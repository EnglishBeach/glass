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69C242C9-FBAB-45DB-B2B2-C32C2AA3791F}" xr6:coauthVersionLast="46" xr6:coauthVersionMax="46" xr10:uidLastSave="{00000000-0000-0000-0000-000000000000}"/>
  <bookViews>
    <workbookView xWindow="-12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A" sheetId="15" r:id="rId7"/>
    <sheet name="s" sheetId="16" r:id="rId8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6" i="8" l="1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C82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C83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C84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AA84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C85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AA85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AA86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C87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C88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AA88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C89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AA89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C90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AA90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C91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C92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C93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C94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C95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AA95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66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B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40" i="8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63" i="8"/>
  <c r="C63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34" i="8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D35" i="9" l="1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23" i="8"/>
  <c r="A24" i="8"/>
  <c r="A25" i="8"/>
  <c r="A26" i="8"/>
  <c r="A27" i="8"/>
  <c r="A28" i="8"/>
  <c r="A29" i="8"/>
  <c r="A30" i="8"/>
  <c r="A31" i="8"/>
  <c r="A32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L49" i="10"/>
  <c r="AH2" i="8" s="1"/>
  <c r="AK49" i="10"/>
  <c r="AG2" i="8" s="1"/>
  <c r="AJ49" i="10"/>
  <c r="AF2" i="8" s="1"/>
  <c r="AI49" i="10"/>
  <c r="AE2" i="8" s="1"/>
  <c r="AH49" i="10"/>
  <c r="AD2" i="8" s="1"/>
  <c r="AG49" i="10"/>
  <c r="AC2" i="8" s="1"/>
  <c r="AF49" i="10"/>
  <c r="AB2" i="8" s="1"/>
  <c r="AE49" i="10"/>
  <c r="AA2" i="8" s="1"/>
  <c r="AD49" i="10"/>
  <c r="Z2" i="8" s="1"/>
  <c r="AC49" i="10"/>
  <c r="Y2" i="8" s="1"/>
  <c r="AB49" i="10"/>
  <c r="X2" i="8" s="1"/>
  <c r="AA49" i="10"/>
  <c r="W2" i="8" s="1"/>
  <c r="Z49" i="10"/>
  <c r="V2" i="8" s="1"/>
  <c r="Y49" i="10"/>
  <c r="U2" i="8" s="1"/>
  <c r="X49" i="10"/>
  <c r="T2" i="8" s="1"/>
  <c r="W49" i="10"/>
  <c r="S2" i="8" s="1"/>
  <c r="V49" i="10"/>
  <c r="R2" i="8" s="1"/>
  <c r="U49" i="10"/>
  <c r="Q2" i="8" s="1"/>
  <c r="T49" i="10"/>
  <c r="P2" i="8" s="1"/>
  <c r="S49" i="10"/>
  <c r="O2" i="8" s="1"/>
  <c r="R49" i="10"/>
  <c r="N2" i="8" s="1"/>
  <c r="Q49" i="10"/>
  <c r="M2" i="8" s="1"/>
  <c r="P49" i="10"/>
  <c r="L2" i="8" s="1"/>
  <c r="O49" i="10"/>
  <c r="K2" i="8" s="1"/>
  <c r="N49" i="10"/>
  <c r="J2" i="8" s="1"/>
  <c r="M49" i="10"/>
  <c r="I2" i="8" s="1"/>
  <c r="L49" i="10"/>
  <c r="H2" i="8" s="1"/>
  <c r="K49" i="10"/>
  <c r="G2" i="8" s="1"/>
  <c r="J49" i="10"/>
  <c r="F2" i="8" s="1"/>
  <c r="I49" i="10"/>
  <c r="E2" i="8" s="1"/>
  <c r="H49" i="10"/>
  <c r="D2" i="8" s="1"/>
  <c r="G49" i="10"/>
  <c r="C2" i="8" s="1"/>
  <c r="F49" i="10"/>
  <c r="B2" i="8" s="1"/>
  <c r="E49" i="10"/>
  <c r="E83" i="10" s="1"/>
  <c r="A45" i="10"/>
  <c r="A45" i="10" a="1"/>
  <c r="D45" i="10" s="1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F145" i="9"/>
  <c r="F146" i="9" s="1"/>
  <c r="E145" i="9"/>
  <c r="E146" i="9" s="1"/>
  <c r="D145" i="9"/>
  <c r="D146" i="9" s="1"/>
  <c r="C145" i="9"/>
  <c r="C146" i="9" s="1"/>
  <c r="C118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E83" i="9" s="1"/>
  <c r="D45" i="9"/>
  <c r="A45" i="9" a="1"/>
  <c r="C45" i="9" s="1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A34" i="10" l="1"/>
  <c r="P35" i="9"/>
  <c r="E36" i="9"/>
  <c r="AC36" i="9"/>
  <c r="W36" i="9"/>
  <c r="L35" i="9"/>
  <c r="G36" i="9"/>
  <c r="AE36" i="9"/>
  <c r="O35" i="9"/>
  <c r="I36" i="9"/>
  <c r="AK36" i="9"/>
  <c r="M36" i="9"/>
  <c r="AB35" i="9"/>
  <c r="O36" i="9"/>
  <c r="AE35" i="9"/>
  <c r="Q36" i="9"/>
  <c r="AF35" i="9"/>
  <c r="U36" i="9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41" i="9" l="1"/>
  <c r="C41" i="10"/>
  <c r="AH59" i="10"/>
  <c r="AD12" i="8" s="1"/>
  <c r="J53" i="10"/>
  <c r="F6" i="8" s="1"/>
  <c r="R65" i="10"/>
  <c r="N18" i="8" s="1"/>
  <c r="Z76" i="10"/>
  <c r="V29" i="8" s="1"/>
  <c r="AC53" i="10"/>
  <c r="Y6" i="8" s="1"/>
  <c r="AE53" i="10"/>
  <c r="AA6" i="8" s="1"/>
  <c r="AH75" i="10"/>
  <c r="AD28" i="8" s="1"/>
  <c r="P53" i="10"/>
  <c r="L6" i="8" s="1"/>
  <c r="AG77" i="10"/>
  <c r="AC30" i="8" s="1"/>
  <c r="AL53" i="10"/>
  <c r="AH6" i="8" s="1"/>
  <c r="O74" i="9"/>
  <c r="R69" i="10"/>
  <c r="N22" i="8" s="1"/>
  <c r="U73" i="10"/>
  <c r="Q26" i="8" s="1"/>
  <c r="AF69" i="10"/>
  <c r="AB22" i="8" s="1"/>
  <c r="AH57" i="10"/>
  <c r="AD10" i="8" s="1"/>
  <c r="F76" i="9"/>
  <c r="AE76" i="9"/>
  <c r="R73" i="10"/>
  <c r="N26" i="8" s="1"/>
  <c r="AH77" i="9"/>
  <c r="Q75" i="9"/>
  <c r="AI75" i="9"/>
  <c r="R77" i="10"/>
  <c r="N30" i="8" s="1"/>
  <c r="X53" i="10"/>
  <c r="T6" i="8" s="1"/>
  <c r="AC75" i="9"/>
  <c r="X75" i="9"/>
  <c r="K77" i="9"/>
  <c r="AH75" i="9"/>
  <c r="AE57" i="10"/>
  <c r="AA10" i="8" s="1"/>
  <c r="AD74" i="9"/>
  <c r="Q73" i="10"/>
  <c r="M26" i="8" s="1"/>
  <c r="F53" i="10"/>
  <c r="B6" i="8" s="1"/>
  <c r="U69" i="10"/>
  <c r="Q22" i="8" s="1"/>
  <c r="S78" i="9"/>
  <c r="AE54" i="9"/>
  <c r="M70" i="10"/>
  <c r="I23" i="8" s="1"/>
  <c r="AJ50" i="10"/>
  <c r="AF3" i="8" s="1"/>
  <c r="P53" i="9"/>
  <c r="Y76" i="10"/>
  <c r="U29" i="8" s="1"/>
  <c r="AE77" i="10"/>
  <c r="AA30" i="8" s="1"/>
  <c r="AB53" i="10"/>
  <c r="X6" i="8" s="1"/>
  <c r="AA77" i="9"/>
  <c r="Q76" i="9"/>
  <c r="AB75" i="9"/>
  <c r="AL60" i="9"/>
  <c r="AK56" i="9"/>
  <c r="M76" i="9"/>
  <c r="O59" i="10"/>
  <c r="K12" i="8" s="1"/>
  <c r="AL69" i="10"/>
  <c r="AH22" i="8" s="1"/>
  <c r="R75" i="10"/>
  <c r="N28" i="8" s="1"/>
  <c r="AH69" i="10"/>
  <c r="AD22" i="8" s="1"/>
  <c r="T77" i="9"/>
  <c r="AD75" i="10"/>
  <c r="Z28" i="8" s="1"/>
  <c r="AJ75" i="10"/>
  <c r="AF28" i="8" s="1"/>
  <c r="U77" i="10"/>
  <c r="Q30" i="8" s="1"/>
  <c r="AE75" i="9"/>
  <c r="L77" i="9"/>
  <c r="AH61" i="9"/>
  <c r="U57" i="10"/>
  <c r="Q10" i="8" s="1"/>
  <c r="W73" i="10"/>
  <c r="S26" i="8" s="1"/>
  <c r="V65" i="10"/>
  <c r="R18" i="8" s="1"/>
  <c r="M57" i="10"/>
  <c r="I10" i="8" s="1"/>
  <c r="AJ73" i="10"/>
  <c r="AF26" i="8" s="1"/>
  <c r="T73" i="10"/>
  <c r="P26" i="8" s="1"/>
  <c r="J75" i="9"/>
  <c r="M74" i="9"/>
  <c r="AK74" i="9"/>
  <c r="G52" i="10"/>
  <c r="C5" i="8" s="1"/>
  <c r="AA73" i="10"/>
  <c r="W26" i="8" s="1"/>
  <c r="AA69" i="10"/>
  <c r="W22" i="8" s="1"/>
  <c r="V63" i="9"/>
  <c r="AL76" i="9"/>
  <c r="AL66" i="9"/>
  <c r="AJ77" i="9"/>
  <c r="AD67" i="10"/>
  <c r="Z20" i="8" s="1"/>
  <c r="V53" i="10"/>
  <c r="R6" i="8" s="1"/>
  <c r="AI72" i="10"/>
  <c r="AE25" i="8" s="1"/>
  <c r="F65" i="10"/>
  <c r="B18" i="8" s="1"/>
  <c r="N78" i="10"/>
  <c r="J31" i="8" s="1"/>
  <c r="AH77" i="10"/>
  <c r="AD30" i="8" s="1"/>
  <c r="AB75" i="10"/>
  <c r="X28" i="8" s="1"/>
  <c r="V73" i="10"/>
  <c r="R26" i="8" s="1"/>
  <c r="AG69" i="10"/>
  <c r="AC22" i="8" s="1"/>
  <c r="AB57" i="10"/>
  <c r="X10" i="8" s="1"/>
  <c r="AH63" i="10"/>
  <c r="AD16" i="8" s="1"/>
  <c r="R75" i="9"/>
  <c r="AL72" i="9"/>
  <c r="P77" i="9"/>
  <c r="AL64" i="9"/>
  <c r="S75" i="10"/>
  <c r="O28" i="8" s="1"/>
  <c r="M77" i="10"/>
  <c r="I30" i="8" s="1"/>
  <c r="AJ77" i="10"/>
  <c r="AF30" i="8" s="1"/>
  <c r="M75" i="10"/>
  <c r="I28" i="8" s="1"/>
  <c r="AB67" i="10"/>
  <c r="X20" i="8" s="1"/>
  <c r="AL77" i="9"/>
  <c r="Q77" i="9"/>
  <c r="J77" i="9"/>
  <c r="M72" i="9"/>
  <c r="AL62" i="9"/>
  <c r="AA75" i="9"/>
  <c r="W52" i="9"/>
  <c r="AB77" i="9"/>
  <c r="U58" i="9"/>
  <c r="F51" i="10"/>
  <c r="Q52" i="10"/>
  <c r="M5" i="8" s="1"/>
  <c r="AF50" i="10"/>
  <c r="AB3" i="8" s="1"/>
  <c r="AB59" i="10"/>
  <c r="X12" i="8" s="1"/>
  <c r="K75" i="10"/>
  <c r="G28" i="8" s="1"/>
  <c r="V75" i="10"/>
  <c r="R28" i="8" s="1"/>
  <c r="Z73" i="10"/>
  <c r="V26" i="8" s="1"/>
  <c r="AC71" i="10"/>
  <c r="Y24" i="8" s="1"/>
  <c r="AK59" i="10"/>
  <c r="AG12" i="8" s="1"/>
  <c r="Q65" i="10"/>
  <c r="M18" i="8" s="1"/>
  <c r="T76" i="10"/>
  <c r="P29" i="8" s="1"/>
  <c r="Z56" i="9"/>
  <c r="AA77" i="10"/>
  <c r="W30" i="8" s="1"/>
  <c r="AK78" i="9"/>
  <c r="AK72" i="9"/>
  <c r="AF67" i="9"/>
  <c r="AI59" i="9"/>
  <c r="G56" i="9"/>
  <c r="L75" i="9"/>
  <c r="AL69" i="9"/>
  <c r="AC72" i="9"/>
  <c r="O68" i="9"/>
  <c r="I65" i="10"/>
  <c r="E18" i="8" s="1"/>
  <c r="X74" i="10"/>
  <c r="T27" i="8" s="1"/>
  <c r="AL50" i="10"/>
  <c r="AH3" i="8" s="1"/>
  <c r="Z75" i="10"/>
  <c r="V28" i="8" s="1"/>
  <c r="AC50" i="10"/>
  <c r="Y3" i="8" s="1"/>
  <c r="L67" i="10"/>
  <c r="H20" i="8" s="1"/>
  <c r="AA51" i="10"/>
  <c r="AH65" i="10"/>
  <c r="AD18" i="8" s="1"/>
  <c r="AH52" i="10"/>
  <c r="AD5" i="8" s="1"/>
  <c r="V57" i="10"/>
  <c r="R10" i="8" s="1"/>
  <c r="R77" i="9"/>
  <c r="T75" i="9"/>
  <c r="AB72" i="9"/>
  <c r="S68" i="9"/>
  <c r="AL78" i="9"/>
  <c r="AF53" i="10"/>
  <c r="AB6" i="8" s="1"/>
  <c r="P78" i="10"/>
  <c r="L31" i="8" s="1"/>
  <c r="L69" i="10"/>
  <c r="H22" i="8" s="1"/>
  <c r="AF77" i="10"/>
  <c r="AB30" i="8" s="1"/>
  <c r="S78" i="10"/>
  <c r="O31" i="8" s="1"/>
  <c r="K78" i="9"/>
  <c r="AK53" i="10"/>
  <c r="AG6" i="8" s="1"/>
  <c r="H65" i="10"/>
  <c r="D18" i="8" s="1"/>
  <c r="G76" i="10"/>
  <c r="C29" i="8" s="1"/>
  <c r="J75" i="10"/>
  <c r="F28" i="8" s="1"/>
  <c r="AJ69" i="10"/>
  <c r="AF22" i="8" s="1"/>
  <c r="AF59" i="10"/>
  <c r="AB12" i="8" s="1"/>
  <c r="K50" i="10"/>
  <c r="G3" i="8" s="1"/>
  <c r="R50" i="10"/>
  <c r="N3" i="8" s="1"/>
  <c r="AE60" i="9"/>
  <c r="F75" i="9"/>
  <c r="AC77" i="9"/>
  <c r="O77" i="9"/>
  <c r="AF75" i="9"/>
  <c r="AC78" i="9"/>
  <c r="AI72" i="9"/>
  <c r="J70" i="9"/>
  <c r="Q78" i="9"/>
  <c r="AC76" i="9"/>
  <c r="AL74" i="9"/>
  <c r="AL68" i="9"/>
  <c r="AE64" i="9"/>
  <c r="AL58" i="9"/>
  <c r="S57" i="10"/>
  <c r="O10" i="8" s="1"/>
  <c r="Q57" i="10"/>
  <c r="M10" i="8" s="1"/>
  <c r="AE64" i="10"/>
  <c r="AA17" i="8" s="1"/>
  <c r="AE68" i="10"/>
  <c r="AA21" i="8" s="1"/>
  <c r="AE76" i="10"/>
  <c r="AA29" i="8" s="1"/>
  <c r="AE59" i="10"/>
  <c r="AA12" i="8" s="1"/>
  <c r="AE60" i="10"/>
  <c r="AE66" i="10"/>
  <c r="AA19" i="8" s="1"/>
  <c r="AE61" i="10"/>
  <c r="AE58" i="10"/>
  <c r="AA11" i="8" s="1"/>
  <c r="AE54" i="10"/>
  <c r="AA7" i="8" s="1"/>
  <c r="AE72" i="10"/>
  <c r="AA25" i="8" s="1"/>
  <c r="AE52" i="10"/>
  <c r="AA5" i="8" s="1"/>
  <c r="AE71" i="10"/>
  <c r="AA24" i="8" s="1"/>
  <c r="AE56" i="10"/>
  <c r="AA9" i="8" s="1"/>
  <c r="AE70" i="10"/>
  <c r="AA23" i="8" s="1"/>
  <c r="AE78" i="10"/>
  <c r="AA31" i="8" s="1"/>
  <c r="AE50" i="10"/>
  <c r="AA3" i="8" s="1"/>
  <c r="AE55" i="10"/>
  <c r="AA8" i="8" s="1"/>
  <c r="AE62" i="10"/>
  <c r="AA15" i="8" s="1"/>
  <c r="U53" i="10"/>
  <c r="Q6" i="8" s="1"/>
  <c r="AD61" i="10"/>
  <c r="AD65" i="10"/>
  <c r="Z18" i="8" s="1"/>
  <c r="AD54" i="10"/>
  <c r="Z7" i="8" s="1"/>
  <c r="AD56" i="10"/>
  <c r="Z9" i="8" s="1"/>
  <c r="AD64" i="10"/>
  <c r="Z17" i="8" s="1"/>
  <c r="AD72" i="10"/>
  <c r="Z25" i="8" s="1"/>
  <c r="AD58" i="10"/>
  <c r="Z11" i="8" s="1"/>
  <c r="AD66" i="10"/>
  <c r="Z19" i="8" s="1"/>
  <c r="AD55" i="10"/>
  <c r="Z8" i="8" s="1"/>
  <c r="AD71" i="10"/>
  <c r="Z24" i="8" s="1"/>
  <c r="AD60" i="10"/>
  <c r="AD68" i="10"/>
  <c r="Z21" i="8" s="1"/>
  <c r="AD62" i="10"/>
  <c r="Z15" i="8" s="1"/>
  <c r="AD70" i="10"/>
  <c r="Z23" i="8" s="1"/>
  <c r="AD74" i="10"/>
  <c r="Z27" i="8" s="1"/>
  <c r="AD78" i="10"/>
  <c r="Z31" i="8" s="1"/>
  <c r="AC77" i="10"/>
  <c r="Y30" i="8" s="1"/>
  <c r="P77" i="10"/>
  <c r="L30" i="8" s="1"/>
  <c r="T77" i="10"/>
  <c r="P30" i="8" s="1"/>
  <c r="I75" i="10"/>
  <c r="E28" i="8" s="1"/>
  <c r="AA75" i="10"/>
  <c r="W28" i="8" s="1"/>
  <c r="AC75" i="10"/>
  <c r="Y28" i="8" s="1"/>
  <c r="AE75" i="10"/>
  <c r="AA28" i="8" s="1"/>
  <c r="AK73" i="10"/>
  <c r="AG26" i="8" s="1"/>
  <c r="M73" i="10"/>
  <c r="I26" i="8" s="1"/>
  <c r="H73" i="10"/>
  <c r="D26" i="8" s="1"/>
  <c r="J73" i="10"/>
  <c r="F26" i="8" s="1"/>
  <c r="I69" i="10"/>
  <c r="E22" i="8" s="1"/>
  <c r="AK69" i="10"/>
  <c r="AG22" i="8" s="1"/>
  <c r="G69" i="10"/>
  <c r="C22" i="8" s="1"/>
  <c r="L53" i="10"/>
  <c r="H6" i="8" s="1"/>
  <c r="U56" i="10"/>
  <c r="Q9" i="8" s="1"/>
  <c r="U67" i="10"/>
  <c r="Q20" i="8" s="1"/>
  <c r="U55" i="10"/>
  <c r="Q8" i="8" s="1"/>
  <c r="U66" i="10"/>
  <c r="Q19" i="8" s="1"/>
  <c r="U62" i="10"/>
  <c r="Q15" i="8" s="1"/>
  <c r="U70" i="10"/>
  <c r="Q23" i="8" s="1"/>
  <c r="U68" i="10"/>
  <c r="Q21" i="8" s="1"/>
  <c r="U60" i="10"/>
  <c r="U61" i="10"/>
  <c r="U58" i="10"/>
  <c r="Q11" i="8" s="1"/>
  <c r="U51" i="10"/>
  <c r="U54" i="10"/>
  <c r="Q7" i="8" s="1"/>
  <c r="U64" i="10"/>
  <c r="Q17" i="8" s="1"/>
  <c r="U72" i="10"/>
  <c r="Q25" i="8" s="1"/>
  <c r="U63" i="10"/>
  <c r="Q16" i="8" s="1"/>
  <c r="K53" i="10"/>
  <c r="G6" i="8" s="1"/>
  <c r="AH53" i="10"/>
  <c r="AD6" i="8" s="1"/>
  <c r="P57" i="10"/>
  <c r="L10" i="8" s="1"/>
  <c r="AH67" i="10"/>
  <c r="AD20" i="8" s="1"/>
  <c r="AC67" i="10"/>
  <c r="Y20" i="8" s="1"/>
  <c r="AE67" i="10"/>
  <c r="AA20" i="8" s="1"/>
  <c r="U65" i="10"/>
  <c r="Q18" i="8" s="1"/>
  <c r="J65" i="10"/>
  <c r="F18" i="8" s="1"/>
  <c r="AC59" i="10"/>
  <c r="Y12" i="8" s="1"/>
  <c r="P71" i="10"/>
  <c r="L24" i="8" s="1"/>
  <c r="K71" i="10"/>
  <c r="G24" i="8" s="1"/>
  <c r="AL71" i="10"/>
  <c r="AH24" i="8" s="1"/>
  <c r="R63" i="10"/>
  <c r="N16" i="8" s="1"/>
  <c r="H63" i="10"/>
  <c r="D16" i="8" s="1"/>
  <c r="AE51" i="10"/>
  <c r="K51" i="10"/>
  <c r="AF52" i="10"/>
  <c r="AB5" i="8" s="1"/>
  <c r="AJ52" i="10"/>
  <c r="AF5" i="8" s="1"/>
  <c r="H50" i="10"/>
  <c r="D3" i="8" s="1"/>
  <c r="R78" i="10"/>
  <c r="N31" i="8" s="1"/>
  <c r="AK76" i="10"/>
  <c r="AG29" i="8" s="1"/>
  <c r="AK74" i="10"/>
  <c r="AG27" i="8" s="1"/>
  <c r="K74" i="10"/>
  <c r="G27" i="8" s="1"/>
  <c r="AB72" i="10"/>
  <c r="X25" i="8" s="1"/>
  <c r="AE68" i="9"/>
  <c r="AE77" i="9"/>
  <c r="M75" i="9"/>
  <c r="AJ55" i="9"/>
  <c r="U78" i="9"/>
  <c r="AC74" i="9"/>
  <c r="M70" i="9"/>
  <c r="M68" i="9"/>
  <c r="AE58" i="9"/>
  <c r="AL52" i="9"/>
  <c r="W59" i="9"/>
  <c r="AK57" i="10"/>
  <c r="AG10" i="8" s="1"/>
  <c r="G57" i="10"/>
  <c r="C10" i="8" s="1"/>
  <c r="F57" i="10"/>
  <c r="W55" i="10"/>
  <c r="S8" i="8" s="1"/>
  <c r="W62" i="10"/>
  <c r="S15" i="8" s="1"/>
  <c r="W64" i="10"/>
  <c r="S17" i="8" s="1"/>
  <c r="W78" i="10"/>
  <c r="S31" i="8" s="1"/>
  <c r="W59" i="10"/>
  <c r="S12" i="8" s="1"/>
  <c r="W60" i="10"/>
  <c r="W68" i="10"/>
  <c r="S21" i="8" s="1"/>
  <c r="W61" i="10"/>
  <c r="W58" i="10"/>
  <c r="S11" i="8" s="1"/>
  <c r="W66" i="10"/>
  <c r="S19" i="8" s="1"/>
  <c r="W74" i="10"/>
  <c r="S27" i="8" s="1"/>
  <c r="W71" i="10"/>
  <c r="S24" i="8" s="1"/>
  <c r="W65" i="10"/>
  <c r="S18" i="8" s="1"/>
  <c r="W57" i="10"/>
  <c r="S10" i="8" s="1"/>
  <c r="W54" i="10"/>
  <c r="S7" i="8" s="1"/>
  <c r="W70" i="10"/>
  <c r="S23" i="8" s="1"/>
  <c r="W72" i="10"/>
  <c r="S25" i="8" s="1"/>
  <c r="W51" i="10"/>
  <c r="W63" i="10"/>
  <c r="S16" i="8" s="1"/>
  <c r="W56" i="10"/>
  <c r="S9" i="8" s="1"/>
  <c r="W50" i="10"/>
  <c r="S3" i="8" s="1"/>
  <c r="M53" i="10"/>
  <c r="I6" i="8" s="1"/>
  <c r="V62" i="10"/>
  <c r="R15" i="8" s="1"/>
  <c r="V78" i="10"/>
  <c r="R31" i="8" s="1"/>
  <c r="V61" i="10"/>
  <c r="V54" i="10"/>
  <c r="R7" i="8" s="1"/>
  <c r="V56" i="10"/>
  <c r="R9" i="8" s="1"/>
  <c r="V64" i="10"/>
  <c r="R17" i="8" s="1"/>
  <c r="V58" i="10"/>
  <c r="R11" i="8" s="1"/>
  <c r="V66" i="10"/>
  <c r="R19" i="8" s="1"/>
  <c r="V50" i="10"/>
  <c r="R3" i="8" s="1"/>
  <c r="V52" i="10"/>
  <c r="R5" i="8" s="1"/>
  <c r="V55" i="10"/>
  <c r="R8" i="8" s="1"/>
  <c r="V60" i="10"/>
  <c r="V68" i="10"/>
  <c r="R21" i="8" s="1"/>
  <c r="V76" i="10"/>
  <c r="R29" i="8" s="1"/>
  <c r="V63" i="10"/>
  <c r="R16" i="8" s="1"/>
  <c r="V70" i="10"/>
  <c r="R23" i="8" s="1"/>
  <c r="V74" i="10"/>
  <c r="R27" i="8" s="1"/>
  <c r="AD77" i="10"/>
  <c r="Z30" i="8" s="1"/>
  <c r="X77" i="10"/>
  <c r="T30" i="8" s="1"/>
  <c r="Z77" i="10"/>
  <c r="V30" i="8" s="1"/>
  <c r="AB77" i="10"/>
  <c r="X30" i="8" s="1"/>
  <c r="AI75" i="10"/>
  <c r="AE28" i="8" s="1"/>
  <c r="AK75" i="10"/>
  <c r="AG28" i="8" s="1"/>
  <c r="P75" i="10"/>
  <c r="L28" i="8" s="1"/>
  <c r="F73" i="10"/>
  <c r="B26" i="8" s="1"/>
  <c r="AC73" i="10"/>
  <c r="Y26" i="8" s="1"/>
  <c r="P73" i="10"/>
  <c r="L26" i="8" s="1"/>
  <c r="T69" i="10"/>
  <c r="P22" i="8" s="1"/>
  <c r="M69" i="10"/>
  <c r="I22" i="8" s="1"/>
  <c r="O69" i="10"/>
  <c r="K22" i="8" s="1"/>
  <c r="Z69" i="10"/>
  <c r="V22" i="8" s="1"/>
  <c r="AH64" i="10"/>
  <c r="AD17" i="8" s="1"/>
  <c r="AH50" i="10"/>
  <c r="AD3" i="8" s="1"/>
  <c r="AH55" i="10"/>
  <c r="AD8" i="8" s="1"/>
  <c r="AH56" i="10"/>
  <c r="AD9" i="8" s="1"/>
  <c r="AH58" i="10"/>
  <c r="AD11" i="8" s="1"/>
  <c r="AH60" i="10"/>
  <c r="AH68" i="10"/>
  <c r="AD21" i="8" s="1"/>
  <c r="AH76" i="10"/>
  <c r="AD29" i="8" s="1"/>
  <c r="AH72" i="10"/>
  <c r="AD25" i="8" s="1"/>
  <c r="AH54" i="10"/>
  <c r="AD7" i="8" s="1"/>
  <c r="AH70" i="10"/>
  <c r="AD23" i="8" s="1"/>
  <c r="AH71" i="10"/>
  <c r="AD24" i="8" s="1"/>
  <c r="AH61" i="10"/>
  <c r="AH62" i="10"/>
  <c r="AD15" i="8" s="1"/>
  <c r="AH66" i="10"/>
  <c r="AD19" i="8" s="1"/>
  <c r="AH78" i="10"/>
  <c r="AD31" i="8" s="1"/>
  <c r="AH51" i="10"/>
  <c r="M54" i="10"/>
  <c r="I7" i="8" s="1"/>
  <c r="Z53" i="10"/>
  <c r="V6" i="8" s="1"/>
  <c r="AI66" i="10"/>
  <c r="AE19" i="8" s="1"/>
  <c r="X57" i="10"/>
  <c r="T10" i="8" s="1"/>
  <c r="I53" i="10"/>
  <c r="E6" i="8" s="1"/>
  <c r="K67" i="10"/>
  <c r="G20" i="8" s="1"/>
  <c r="AK67" i="10"/>
  <c r="AG20" i="8" s="1"/>
  <c r="P67" i="10"/>
  <c r="L20" i="8" s="1"/>
  <c r="M65" i="10"/>
  <c r="I18" i="8" s="1"/>
  <c r="AL65" i="10"/>
  <c r="AH18" i="8" s="1"/>
  <c r="L59" i="10"/>
  <c r="H12" i="8" s="1"/>
  <c r="AF71" i="10"/>
  <c r="AB24" i="8" s="1"/>
  <c r="S71" i="10"/>
  <c r="O24" i="8" s="1"/>
  <c r="Z63" i="10"/>
  <c r="V16" i="8" s="1"/>
  <c r="P63" i="10"/>
  <c r="L16" i="8" s="1"/>
  <c r="P51" i="10"/>
  <c r="M52" i="10"/>
  <c r="I5" i="8" s="1"/>
  <c r="M50" i="10"/>
  <c r="I3" i="8" s="1"/>
  <c r="X50" i="10"/>
  <c r="T3" i="8" s="1"/>
  <c r="AF78" i="10"/>
  <c r="AB31" i="8" s="1"/>
  <c r="AD76" i="10"/>
  <c r="Z29" i="8" s="1"/>
  <c r="G74" i="10"/>
  <c r="C27" i="8" s="1"/>
  <c r="L74" i="10"/>
  <c r="H27" i="8" s="1"/>
  <c r="AF76" i="9"/>
  <c r="AE74" i="9"/>
  <c r="AE52" i="9"/>
  <c r="AH71" i="9"/>
  <c r="Y53" i="10"/>
  <c r="U6" i="8" s="1"/>
  <c r="Y55" i="10"/>
  <c r="U8" i="8" s="1"/>
  <c r="Y61" i="10"/>
  <c r="Y71" i="10"/>
  <c r="U24" i="8" s="1"/>
  <c r="Y67" i="10"/>
  <c r="U20" i="8" s="1"/>
  <c r="Y56" i="10"/>
  <c r="U9" i="8" s="1"/>
  <c r="Y58" i="10"/>
  <c r="U11" i="8" s="1"/>
  <c r="Y68" i="10"/>
  <c r="U21" i="8" s="1"/>
  <c r="Y54" i="10"/>
  <c r="U7" i="8" s="1"/>
  <c r="Y70" i="10"/>
  <c r="U23" i="8" s="1"/>
  <c r="Y66" i="10"/>
  <c r="U19" i="8" s="1"/>
  <c r="Y78" i="10"/>
  <c r="U31" i="8" s="1"/>
  <c r="Y57" i="10"/>
  <c r="U10" i="8" s="1"/>
  <c r="Y62" i="10"/>
  <c r="U15" i="8" s="1"/>
  <c r="Y50" i="10"/>
  <c r="U3" i="8" s="1"/>
  <c r="Y59" i="10"/>
  <c r="U12" i="8" s="1"/>
  <c r="Y60" i="10"/>
  <c r="Y64" i="10"/>
  <c r="U17" i="8" s="1"/>
  <c r="Y72" i="10"/>
  <c r="U25" i="8" s="1"/>
  <c r="Y74" i="10"/>
  <c r="U27" i="8" s="1"/>
  <c r="O62" i="10"/>
  <c r="K15" i="8" s="1"/>
  <c r="O50" i="10"/>
  <c r="K3" i="8" s="1"/>
  <c r="O55" i="10"/>
  <c r="K8" i="8" s="1"/>
  <c r="O56" i="10"/>
  <c r="K9" i="8" s="1"/>
  <c r="O60" i="10"/>
  <c r="O68" i="10"/>
  <c r="K21" i="8" s="1"/>
  <c r="O61" i="10"/>
  <c r="O58" i="10"/>
  <c r="K11" i="8" s="1"/>
  <c r="O64" i="10"/>
  <c r="K17" i="8" s="1"/>
  <c r="O66" i="10"/>
  <c r="K19" i="8" s="1"/>
  <c r="O54" i="10"/>
  <c r="K7" i="8" s="1"/>
  <c r="O70" i="10"/>
  <c r="K23" i="8" s="1"/>
  <c r="O72" i="10"/>
  <c r="K25" i="8" s="1"/>
  <c r="O74" i="10"/>
  <c r="K27" i="8" s="1"/>
  <c r="O52" i="10"/>
  <c r="K5" i="8" s="1"/>
  <c r="O51" i="10"/>
  <c r="AI68" i="10"/>
  <c r="AE21" i="8" s="1"/>
  <c r="AI70" i="10"/>
  <c r="AE23" i="8" s="1"/>
  <c r="N70" i="10"/>
  <c r="J23" i="8" s="1"/>
  <c r="N74" i="10"/>
  <c r="J27" i="8" s="1"/>
  <c r="N62" i="10"/>
  <c r="J15" i="8" s="1"/>
  <c r="N61" i="10"/>
  <c r="N54" i="10"/>
  <c r="J7" i="8" s="1"/>
  <c r="N56" i="10"/>
  <c r="J9" i="8" s="1"/>
  <c r="N64" i="10"/>
  <c r="J17" i="8" s="1"/>
  <c r="N72" i="10"/>
  <c r="J25" i="8" s="1"/>
  <c r="N51" i="10"/>
  <c r="N59" i="10"/>
  <c r="J12" i="8" s="1"/>
  <c r="N67" i="10"/>
  <c r="J20" i="8" s="1"/>
  <c r="N58" i="10"/>
  <c r="J11" i="8" s="1"/>
  <c r="N66" i="10"/>
  <c r="J19" i="8" s="1"/>
  <c r="N55" i="10"/>
  <c r="J8" i="8" s="1"/>
  <c r="N71" i="10"/>
  <c r="J24" i="8" s="1"/>
  <c r="N60" i="10"/>
  <c r="N68" i="10"/>
  <c r="J21" i="8" s="1"/>
  <c r="N76" i="10"/>
  <c r="J29" i="8" s="1"/>
  <c r="N63" i="10"/>
  <c r="J16" i="8" s="1"/>
  <c r="AK77" i="10"/>
  <c r="AG30" i="8" s="1"/>
  <c r="L75" i="10"/>
  <c r="H28" i="8" s="1"/>
  <c r="F75" i="10"/>
  <c r="B28" i="8" s="1"/>
  <c r="X75" i="10"/>
  <c r="T28" i="8" s="1"/>
  <c r="N73" i="10"/>
  <c r="J26" i="8" s="1"/>
  <c r="X73" i="10"/>
  <c r="T26" i="8" s="1"/>
  <c r="AI69" i="10"/>
  <c r="AE22" i="8" s="1"/>
  <c r="X69" i="10"/>
  <c r="T22" i="8" s="1"/>
  <c r="W69" i="10"/>
  <c r="S22" i="8" s="1"/>
  <c r="Z61" i="10"/>
  <c r="Z62" i="10"/>
  <c r="V15" i="8" s="1"/>
  <c r="Z66" i="10"/>
  <c r="V19" i="8" s="1"/>
  <c r="Z78" i="10"/>
  <c r="V31" i="8" s="1"/>
  <c r="Z51" i="10"/>
  <c r="Z64" i="10"/>
  <c r="V17" i="8" s="1"/>
  <c r="Z55" i="10"/>
  <c r="V8" i="8" s="1"/>
  <c r="Z56" i="10"/>
  <c r="V9" i="8" s="1"/>
  <c r="Z58" i="10"/>
  <c r="V11" i="8" s="1"/>
  <c r="Z65" i="10"/>
  <c r="V18" i="8" s="1"/>
  <c r="Z60" i="10"/>
  <c r="Z68" i="10"/>
  <c r="V21" i="8" s="1"/>
  <c r="Z52" i="10"/>
  <c r="V5" i="8" s="1"/>
  <c r="Z71" i="10"/>
  <c r="V24" i="8" s="1"/>
  <c r="Z54" i="10"/>
  <c r="V7" i="8" s="1"/>
  <c r="Z70" i="10"/>
  <c r="V23" i="8" s="1"/>
  <c r="AG61" i="10"/>
  <c r="AG56" i="10"/>
  <c r="AC9" i="8" s="1"/>
  <c r="AG68" i="10"/>
  <c r="AC21" i="8" s="1"/>
  <c r="AG76" i="10"/>
  <c r="AC29" i="8" s="1"/>
  <c r="AG71" i="10"/>
  <c r="AC24" i="8" s="1"/>
  <c r="AG58" i="10"/>
  <c r="AC11" i="8" s="1"/>
  <c r="AG54" i="10"/>
  <c r="AC7" i="8" s="1"/>
  <c r="AG70" i="10"/>
  <c r="AC23" i="8" s="1"/>
  <c r="AG62" i="10"/>
  <c r="AC15" i="8" s="1"/>
  <c r="AG66" i="10"/>
  <c r="AC19" i="8" s="1"/>
  <c r="AG51" i="10"/>
  <c r="AG65" i="10"/>
  <c r="AC18" i="8" s="1"/>
  <c r="AG53" i="10"/>
  <c r="AC6" i="8" s="1"/>
  <c r="AG64" i="10"/>
  <c r="AC17" i="8" s="1"/>
  <c r="AG74" i="10"/>
  <c r="AC27" i="8" s="1"/>
  <c r="AG59" i="10"/>
  <c r="AC12" i="8" s="1"/>
  <c r="AG55" i="10"/>
  <c r="AC8" i="8" s="1"/>
  <c r="AG60" i="10"/>
  <c r="AG72" i="10"/>
  <c r="AC25" i="8" s="1"/>
  <c r="AJ53" i="10"/>
  <c r="AF6" i="8" s="1"/>
  <c r="AJ55" i="10"/>
  <c r="AF8" i="8" s="1"/>
  <c r="AJ54" i="10"/>
  <c r="AF7" i="8" s="1"/>
  <c r="AJ60" i="10"/>
  <c r="AJ64" i="10"/>
  <c r="AF17" i="8" s="1"/>
  <c r="AJ72" i="10"/>
  <c r="AF25" i="8" s="1"/>
  <c r="AJ56" i="10"/>
  <c r="AF9" i="8" s="1"/>
  <c r="AJ61" i="10"/>
  <c r="AJ62" i="10"/>
  <c r="AF15" i="8" s="1"/>
  <c r="AJ66" i="10"/>
  <c r="AF19" i="8" s="1"/>
  <c r="AJ71" i="10"/>
  <c r="AF24" i="8" s="1"/>
  <c r="AJ68" i="10"/>
  <c r="AF21" i="8" s="1"/>
  <c r="AJ70" i="10"/>
  <c r="AF23" i="8" s="1"/>
  <c r="AJ76" i="10"/>
  <c r="AF29" i="8" s="1"/>
  <c r="AJ51" i="10"/>
  <c r="AJ59" i="10"/>
  <c r="AF12" i="8" s="1"/>
  <c r="AJ58" i="10"/>
  <c r="AF11" i="8" s="1"/>
  <c r="AJ78" i="10"/>
  <c r="AF31" i="8" s="1"/>
  <c r="AJ65" i="10"/>
  <c r="AF18" i="8" s="1"/>
  <c r="AA65" i="10"/>
  <c r="W18" i="8" s="1"/>
  <c r="AA57" i="10"/>
  <c r="W10" i="8" s="1"/>
  <c r="AA66" i="10"/>
  <c r="W19" i="8" s="1"/>
  <c r="AA68" i="10"/>
  <c r="W21" i="8" s="1"/>
  <c r="AA62" i="10"/>
  <c r="W15" i="8" s="1"/>
  <c r="AA70" i="10"/>
  <c r="W23" i="8" s="1"/>
  <c r="AA78" i="10"/>
  <c r="W31" i="8" s="1"/>
  <c r="AA50" i="10"/>
  <c r="W3" i="8" s="1"/>
  <c r="AA59" i="10"/>
  <c r="W12" i="8" s="1"/>
  <c r="AA60" i="10"/>
  <c r="AA64" i="10"/>
  <c r="W17" i="8" s="1"/>
  <c r="AA61" i="10"/>
  <c r="AA54" i="10"/>
  <c r="W7" i="8" s="1"/>
  <c r="AA63" i="10"/>
  <c r="W16" i="8" s="1"/>
  <c r="AA55" i="10"/>
  <c r="W8" i="8" s="1"/>
  <c r="AA56" i="10"/>
  <c r="W9" i="8" s="1"/>
  <c r="AA58" i="10"/>
  <c r="W11" i="8" s="1"/>
  <c r="AA74" i="10"/>
  <c r="W27" i="8" s="1"/>
  <c r="AF57" i="10"/>
  <c r="AB10" i="8" s="1"/>
  <c r="AL77" i="10"/>
  <c r="AH30" i="8" s="1"/>
  <c r="AA67" i="10"/>
  <c r="W20" i="8" s="1"/>
  <c r="F67" i="10"/>
  <c r="B20" i="8" s="1"/>
  <c r="X67" i="10"/>
  <c r="T20" i="8" s="1"/>
  <c r="Y65" i="10"/>
  <c r="U18" i="8" s="1"/>
  <c r="G65" i="10"/>
  <c r="C18" i="8" s="1"/>
  <c r="S59" i="10"/>
  <c r="O12" i="8" s="1"/>
  <c r="F59" i="10"/>
  <c r="B12" i="8" s="1"/>
  <c r="Q71" i="10"/>
  <c r="M24" i="8" s="1"/>
  <c r="AA71" i="10"/>
  <c r="W24" i="8" s="1"/>
  <c r="AI73" i="10"/>
  <c r="AE26" i="8" s="1"/>
  <c r="X63" i="10"/>
  <c r="T16" i="8" s="1"/>
  <c r="X51" i="10"/>
  <c r="AI51" i="10"/>
  <c r="Y52" i="10"/>
  <c r="U5" i="8" s="1"/>
  <c r="U52" i="10"/>
  <c r="Q5" i="8" s="1"/>
  <c r="U50" i="10"/>
  <c r="Q3" i="8" s="1"/>
  <c r="H78" i="10"/>
  <c r="D31" i="8" s="1"/>
  <c r="AI78" i="10"/>
  <c r="AE31" i="8" s="1"/>
  <c r="S76" i="10"/>
  <c r="O29" i="8" s="1"/>
  <c r="H74" i="10"/>
  <c r="D27" i="8" s="1"/>
  <c r="AB74" i="10"/>
  <c r="X27" i="8" s="1"/>
  <c r="T72" i="10"/>
  <c r="P25" i="8" s="1"/>
  <c r="Z77" i="9"/>
  <c r="AE78" i="9"/>
  <c r="AC70" i="9"/>
  <c r="M77" i="9"/>
  <c r="O75" i="9"/>
  <c r="T50" i="9"/>
  <c r="M78" i="9"/>
  <c r="O76" i="9"/>
  <c r="AG77" i="9"/>
  <c r="AL70" i="9"/>
  <c r="M66" i="9"/>
  <c r="AE62" i="9"/>
  <c r="AC56" i="9"/>
  <c r="AL55" i="9"/>
  <c r="K75" i="9"/>
  <c r="I60" i="9"/>
  <c r="H57" i="10"/>
  <c r="D10" i="8" s="1"/>
  <c r="Q60" i="10"/>
  <c r="Q72" i="10"/>
  <c r="M25" i="8" s="1"/>
  <c r="Q74" i="10"/>
  <c r="M27" i="8" s="1"/>
  <c r="Q63" i="10"/>
  <c r="M16" i="8" s="1"/>
  <c r="Q55" i="10"/>
  <c r="M8" i="8" s="1"/>
  <c r="Q61" i="10"/>
  <c r="Q56" i="10"/>
  <c r="M9" i="8" s="1"/>
  <c r="Q58" i="10"/>
  <c r="M11" i="8" s="1"/>
  <c r="Q64" i="10"/>
  <c r="M17" i="8" s="1"/>
  <c r="Q68" i="10"/>
  <c r="M21" i="8" s="1"/>
  <c r="Q54" i="10"/>
  <c r="M7" i="8" s="1"/>
  <c r="Q70" i="10"/>
  <c r="M23" i="8" s="1"/>
  <c r="Q66" i="10"/>
  <c r="M19" i="8" s="1"/>
  <c r="Q62" i="10"/>
  <c r="M15" i="8" s="1"/>
  <c r="Q51" i="10"/>
  <c r="Q50" i="10"/>
  <c r="M3" i="8" s="1"/>
  <c r="Q59" i="10"/>
  <c r="M12" i="8" s="1"/>
  <c r="W53" i="10"/>
  <c r="S6" i="8" s="1"/>
  <c r="AF60" i="10"/>
  <c r="AF72" i="10"/>
  <c r="AB25" i="8" s="1"/>
  <c r="AF63" i="10"/>
  <c r="AB16" i="8" s="1"/>
  <c r="AF55" i="10"/>
  <c r="AB8" i="8" s="1"/>
  <c r="AF61" i="10"/>
  <c r="AF70" i="10"/>
  <c r="AB23" i="8" s="1"/>
  <c r="AF56" i="10"/>
  <c r="AB9" i="8" s="1"/>
  <c r="AF62" i="10"/>
  <c r="AB15" i="8" s="1"/>
  <c r="AF64" i="10"/>
  <c r="AB17" i="8" s="1"/>
  <c r="AF68" i="10"/>
  <c r="AB21" i="8" s="1"/>
  <c r="AF76" i="10"/>
  <c r="AB29" i="8" s="1"/>
  <c r="AF54" i="10"/>
  <c r="AB7" i="8" s="1"/>
  <c r="AF58" i="10"/>
  <c r="AB11" i="8" s="1"/>
  <c r="AF66" i="10"/>
  <c r="AB19" i="8" s="1"/>
  <c r="AD53" i="10"/>
  <c r="Z6" i="8" s="1"/>
  <c r="G56" i="10"/>
  <c r="C9" i="8" s="1"/>
  <c r="G51" i="10"/>
  <c r="G63" i="10"/>
  <c r="C16" i="8" s="1"/>
  <c r="G67" i="10"/>
  <c r="C20" i="8" s="1"/>
  <c r="G62" i="10"/>
  <c r="C15" i="8" s="1"/>
  <c r="G55" i="10"/>
  <c r="C8" i="8" s="1"/>
  <c r="G60" i="10"/>
  <c r="G61" i="10"/>
  <c r="G68" i="10"/>
  <c r="C21" i="8" s="1"/>
  <c r="G58" i="10"/>
  <c r="C11" i="8" s="1"/>
  <c r="G78" i="10"/>
  <c r="C31" i="8" s="1"/>
  <c r="G64" i="10"/>
  <c r="C17" i="8" s="1"/>
  <c r="G70" i="10"/>
  <c r="C23" i="8" s="1"/>
  <c r="G54" i="10"/>
  <c r="C7" i="8" s="1"/>
  <c r="G66" i="10"/>
  <c r="C19" i="8" s="1"/>
  <c r="G72" i="10"/>
  <c r="C25" i="8" s="1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G77" i="10"/>
  <c r="C30" i="8" s="1"/>
  <c r="I77" i="10"/>
  <c r="E30" i="8" s="1"/>
  <c r="K77" i="10"/>
  <c r="G30" i="8" s="1"/>
  <c r="O75" i="10"/>
  <c r="K28" i="8" s="1"/>
  <c r="T75" i="10"/>
  <c r="P28" i="8" s="1"/>
  <c r="N75" i="10"/>
  <c r="J28" i="8" s="1"/>
  <c r="AF75" i="10"/>
  <c r="AB28" i="8" s="1"/>
  <c r="AL73" i="10"/>
  <c r="AH26" i="8" s="1"/>
  <c r="AD73" i="10"/>
  <c r="Z26" i="8" s="1"/>
  <c r="AF73" i="10"/>
  <c r="AB26" i="8" s="1"/>
  <c r="AH73" i="10"/>
  <c r="AD26" i="8" s="1"/>
  <c r="K69" i="10"/>
  <c r="G22" i="8" s="1"/>
  <c r="AE69" i="10"/>
  <c r="AA22" i="8" s="1"/>
  <c r="R54" i="10"/>
  <c r="N7" i="8" s="1"/>
  <c r="R70" i="10"/>
  <c r="N23" i="8" s="1"/>
  <c r="R53" i="10"/>
  <c r="N6" i="8" s="1"/>
  <c r="R61" i="10"/>
  <c r="R62" i="10"/>
  <c r="N15" i="8" s="1"/>
  <c r="R66" i="10"/>
  <c r="N19" i="8" s="1"/>
  <c r="R64" i="10"/>
  <c r="N17" i="8" s="1"/>
  <c r="R55" i="10"/>
  <c r="N8" i="8" s="1"/>
  <c r="R74" i="10"/>
  <c r="N27" i="8" s="1"/>
  <c r="R59" i="10"/>
  <c r="N12" i="8" s="1"/>
  <c r="R67" i="10"/>
  <c r="N20" i="8" s="1"/>
  <c r="R57" i="10"/>
  <c r="N10" i="8" s="1"/>
  <c r="R56" i="10"/>
  <c r="N9" i="8" s="1"/>
  <c r="R58" i="10"/>
  <c r="N11" i="8" s="1"/>
  <c r="R60" i="10"/>
  <c r="R68" i="10"/>
  <c r="N21" i="8" s="1"/>
  <c r="R72" i="10"/>
  <c r="N25" i="8" s="1"/>
  <c r="R76" i="10"/>
  <c r="N29" i="8" s="1"/>
  <c r="R52" i="10"/>
  <c r="N5" i="8" s="1"/>
  <c r="R71" i="10"/>
  <c r="N24" i="8" s="1"/>
  <c r="F77" i="10"/>
  <c r="B30" i="8" s="1"/>
  <c r="AB58" i="10"/>
  <c r="X11" i="8" s="1"/>
  <c r="B41" i="10"/>
  <c r="A41" i="10"/>
  <c r="S73" i="10"/>
  <c r="O26" i="8" s="1"/>
  <c r="S55" i="10"/>
  <c r="O8" i="8" s="1"/>
  <c r="S56" i="10"/>
  <c r="O9" i="8" s="1"/>
  <c r="S58" i="10"/>
  <c r="O11" i="8" s="1"/>
  <c r="S74" i="10"/>
  <c r="O27" i="8" s="1"/>
  <c r="S67" i="10"/>
  <c r="O20" i="8" s="1"/>
  <c r="S64" i="10"/>
  <c r="O17" i="8" s="1"/>
  <c r="S66" i="10"/>
  <c r="O19" i="8" s="1"/>
  <c r="S68" i="10"/>
  <c r="O21" i="8" s="1"/>
  <c r="S62" i="10"/>
  <c r="O15" i="8" s="1"/>
  <c r="S70" i="10"/>
  <c r="O23" i="8" s="1"/>
  <c r="S72" i="10"/>
  <c r="O25" i="8" s="1"/>
  <c r="S50" i="10"/>
  <c r="O3" i="8" s="1"/>
  <c r="S51" i="10"/>
  <c r="S65" i="10"/>
  <c r="O18" i="8" s="1"/>
  <c r="S53" i="10"/>
  <c r="O6" i="8" s="1"/>
  <c r="S54" i="10"/>
  <c r="O7" i="8" s="1"/>
  <c r="S60" i="10"/>
  <c r="S61" i="10"/>
  <c r="S63" i="10"/>
  <c r="O16" i="8" s="1"/>
  <c r="Z57" i="10"/>
  <c r="V10" i="8" s="1"/>
  <c r="AG67" i="10"/>
  <c r="AC20" i="8" s="1"/>
  <c r="AI67" i="10"/>
  <c r="AE20" i="8" s="1"/>
  <c r="V67" i="10"/>
  <c r="R20" i="8" s="1"/>
  <c r="AF67" i="10"/>
  <c r="AB20" i="8" s="1"/>
  <c r="O65" i="10"/>
  <c r="K18" i="8" s="1"/>
  <c r="L65" i="10"/>
  <c r="H18" i="8" s="1"/>
  <c r="U59" i="10"/>
  <c r="Q12" i="8" s="1"/>
  <c r="V59" i="10"/>
  <c r="R12" i="8" s="1"/>
  <c r="G71" i="10"/>
  <c r="C24" i="8" s="1"/>
  <c r="AB71" i="10"/>
  <c r="X24" i="8" s="1"/>
  <c r="AE63" i="10"/>
  <c r="AA16" i="8" s="1"/>
  <c r="AI63" i="10"/>
  <c r="AE16" i="8" s="1"/>
  <c r="AF51" i="10"/>
  <c r="L51" i="10"/>
  <c r="AG52" i="10"/>
  <c r="AC5" i="8" s="1"/>
  <c r="AC52" i="10"/>
  <c r="Y5" i="8" s="1"/>
  <c r="O78" i="10"/>
  <c r="K31" i="8" s="1"/>
  <c r="L78" i="10"/>
  <c r="H31" i="8" s="1"/>
  <c r="O76" i="10"/>
  <c r="K29" i="8" s="1"/>
  <c r="M74" i="10"/>
  <c r="I27" i="8" s="1"/>
  <c r="AJ74" i="10"/>
  <c r="AF27" i="8" s="1"/>
  <c r="V72" i="10"/>
  <c r="R25" i="8" s="1"/>
  <c r="L74" i="9"/>
  <c r="O78" i="9"/>
  <c r="AF68" i="9"/>
  <c r="Q56" i="9"/>
  <c r="AE70" i="9"/>
  <c r="O50" i="9"/>
  <c r="I57" i="10"/>
  <c r="E10" i="8" s="1"/>
  <c r="I60" i="10"/>
  <c r="I72" i="10"/>
  <c r="E25" i="8" s="1"/>
  <c r="I50" i="10"/>
  <c r="E3" i="8" s="1"/>
  <c r="I61" i="10"/>
  <c r="I55" i="10"/>
  <c r="E8" i="8" s="1"/>
  <c r="I58" i="10"/>
  <c r="E11" i="8" s="1"/>
  <c r="I56" i="10"/>
  <c r="E9" i="8" s="1"/>
  <c r="I68" i="10"/>
  <c r="E21" i="8" s="1"/>
  <c r="I52" i="10"/>
  <c r="E5" i="8" s="1"/>
  <c r="I54" i="10"/>
  <c r="E7" i="8" s="1"/>
  <c r="I62" i="10"/>
  <c r="E15" i="8" s="1"/>
  <c r="I64" i="10"/>
  <c r="E17" i="8" s="1"/>
  <c r="I70" i="10"/>
  <c r="E23" i="8" s="1"/>
  <c r="I66" i="10"/>
  <c r="E19" i="8" s="1"/>
  <c r="I78" i="10"/>
  <c r="E31" i="8" s="1"/>
  <c r="I63" i="10"/>
  <c r="E16" i="8" s="1"/>
  <c r="I51" i="10"/>
  <c r="I59" i="10"/>
  <c r="E12" i="8" s="1"/>
  <c r="O53" i="10"/>
  <c r="K6" i="8" s="1"/>
  <c r="X54" i="10"/>
  <c r="T7" i="8" s="1"/>
  <c r="X58" i="10"/>
  <c r="T11" i="8" s="1"/>
  <c r="X66" i="10"/>
  <c r="T19" i="8" s="1"/>
  <c r="X65" i="10"/>
  <c r="T18" i="8" s="1"/>
  <c r="X60" i="10"/>
  <c r="X72" i="10"/>
  <c r="T25" i="8" s="1"/>
  <c r="X70" i="10"/>
  <c r="T23" i="8" s="1"/>
  <c r="X55" i="10"/>
  <c r="T8" i="8" s="1"/>
  <c r="X61" i="10"/>
  <c r="X56" i="10"/>
  <c r="T9" i="8" s="1"/>
  <c r="X62" i="10"/>
  <c r="T15" i="8" s="1"/>
  <c r="X64" i="10"/>
  <c r="T17" i="8" s="1"/>
  <c r="X68" i="10"/>
  <c r="T21" i="8" s="1"/>
  <c r="X52" i="10"/>
  <c r="T5" i="8" s="1"/>
  <c r="X59" i="10"/>
  <c r="T12" i="8" s="1"/>
  <c r="X78" i="10"/>
  <c r="T31" i="8" s="1"/>
  <c r="O77" i="10"/>
  <c r="K30" i="8" s="1"/>
  <c r="Q77" i="10"/>
  <c r="M30" i="8" s="1"/>
  <c r="S77" i="10"/>
  <c r="O30" i="8" s="1"/>
  <c r="G75" i="10"/>
  <c r="C28" i="8" s="1"/>
  <c r="Q75" i="10"/>
  <c r="M28" i="8" s="1"/>
  <c r="K73" i="10"/>
  <c r="G26" i="8" s="1"/>
  <c r="G73" i="10"/>
  <c r="C26" i="8" s="1"/>
  <c r="I73" i="10"/>
  <c r="E26" i="8" s="1"/>
  <c r="N69" i="10"/>
  <c r="J22" i="8" s="1"/>
  <c r="AC57" i="10"/>
  <c r="Y10" i="8" s="1"/>
  <c r="J52" i="10"/>
  <c r="F5" i="8" s="1"/>
  <c r="J54" i="10"/>
  <c r="F7" i="8" s="1"/>
  <c r="J70" i="10"/>
  <c r="F23" i="8" s="1"/>
  <c r="J61" i="10"/>
  <c r="J62" i="10"/>
  <c r="F15" i="8" s="1"/>
  <c r="J66" i="10"/>
  <c r="F19" i="8" s="1"/>
  <c r="J64" i="10"/>
  <c r="F17" i="8" s="1"/>
  <c r="J63" i="10"/>
  <c r="F16" i="8" s="1"/>
  <c r="J55" i="10"/>
  <c r="F8" i="8" s="1"/>
  <c r="J56" i="10"/>
  <c r="F9" i="8" s="1"/>
  <c r="J58" i="10"/>
  <c r="F11" i="8" s="1"/>
  <c r="J72" i="10"/>
  <c r="F25" i="8" s="1"/>
  <c r="J60" i="10"/>
  <c r="J68" i="10"/>
  <c r="F21" i="8" s="1"/>
  <c r="J76" i="10"/>
  <c r="F29" i="8" s="1"/>
  <c r="J71" i="10"/>
  <c r="F24" i="8" s="1"/>
  <c r="Q69" i="10"/>
  <c r="M22" i="8" s="1"/>
  <c r="T70" i="10"/>
  <c r="P23" i="8" s="1"/>
  <c r="T51" i="10"/>
  <c r="T59" i="10"/>
  <c r="P12" i="8" s="1"/>
  <c r="T57" i="10"/>
  <c r="P10" i="8" s="1"/>
  <c r="T58" i="10"/>
  <c r="P11" i="8" s="1"/>
  <c r="T55" i="10"/>
  <c r="P8" i="8" s="1"/>
  <c r="T54" i="10"/>
  <c r="P7" i="8" s="1"/>
  <c r="T60" i="10"/>
  <c r="T64" i="10"/>
  <c r="P17" i="8" s="1"/>
  <c r="T56" i="10"/>
  <c r="P9" i="8" s="1"/>
  <c r="T74" i="10"/>
  <c r="P27" i="8" s="1"/>
  <c r="T67" i="10"/>
  <c r="P20" i="8" s="1"/>
  <c r="T61" i="10"/>
  <c r="T62" i="10"/>
  <c r="P15" i="8" s="1"/>
  <c r="T66" i="10"/>
  <c r="P19" i="8" s="1"/>
  <c r="T71" i="10"/>
  <c r="P24" i="8" s="1"/>
  <c r="T68" i="10"/>
  <c r="P21" i="8" s="1"/>
  <c r="T50" i="10"/>
  <c r="P3" i="8" s="1"/>
  <c r="T52" i="10"/>
  <c r="P5" i="8" s="1"/>
  <c r="K58" i="10"/>
  <c r="G11" i="8" s="1"/>
  <c r="K63" i="10"/>
  <c r="G16" i="8" s="1"/>
  <c r="K55" i="10"/>
  <c r="G8" i="8" s="1"/>
  <c r="K56" i="10"/>
  <c r="G9" i="8" s="1"/>
  <c r="K54" i="10"/>
  <c r="G7" i="8" s="1"/>
  <c r="K62" i="10"/>
  <c r="G15" i="8" s="1"/>
  <c r="K68" i="10"/>
  <c r="G21" i="8" s="1"/>
  <c r="K72" i="10"/>
  <c r="G25" i="8" s="1"/>
  <c r="K52" i="10"/>
  <c r="G5" i="8" s="1"/>
  <c r="K70" i="10"/>
  <c r="G23" i="8" s="1"/>
  <c r="K60" i="10"/>
  <c r="K66" i="10"/>
  <c r="G19" i="8" s="1"/>
  <c r="K78" i="10"/>
  <c r="G31" i="8" s="1"/>
  <c r="K61" i="10"/>
  <c r="K64" i="10"/>
  <c r="G17" i="8" s="1"/>
  <c r="I67" i="10"/>
  <c r="E20" i="8" s="1"/>
  <c r="AC65" i="10"/>
  <c r="Y18" i="8" s="1"/>
  <c r="AE65" i="10"/>
  <c r="AA18" i="8" s="1"/>
  <c r="T65" i="10"/>
  <c r="P18" i="8" s="1"/>
  <c r="AD59" i="10"/>
  <c r="Z12" i="8" s="1"/>
  <c r="H71" i="10"/>
  <c r="D24" i="8" s="1"/>
  <c r="M71" i="10"/>
  <c r="I24" i="8" s="1"/>
  <c r="AG63" i="10"/>
  <c r="AC16" i="8" s="1"/>
  <c r="T63" i="10"/>
  <c r="P16" i="8" s="1"/>
  <c r="Y51" i="10"/>
  <c r="N52" i="10"/>
  <c r="J5" i="8" s="1"/>
  <c r="N50" i="10"/>
  <c r="J3" i="8" s="1"/>
  <c r="AG50" i="10"/>
  <c r="AC3" i="8" s="1"/>
  <c r="T78" i="10"/>
  <c r="P31" i="8" s="1"/>
  <c r="AA76" i="10"/>
  <c r="W29" i="8" s="1"/>
  <c r="W76" i="10"/>
  <c r="S29" i="8" s="1"/>
  <c r="AC74" i="10"/>
  <c r="Y27" i="8" s="1"/>
  <c r="I74" i="10"/>
  <c r="E27" i="8" s="1"/>
  <c r="AE72" i="9"/>
  <c r="AE66" i="9"/>
  <c r="AE56" i="9"/>
  <c r="X50" i="9"/>
  <c r="G52" i="9"/>
  <c r="Q53" i="10"/>
  <c r="M6" i="8" s="1"/>
  <c r="G53" i="10"/>
  <c r="C6" i="8" s="1"/>
  <c r="P54" i="10"/>
  <c r="L7" i="8" s="1"/>
  <c r="P58" i="10"/>
  <c r="L11" i="8" s="1"/>
  <c r="P66" i="10"/>
  <c r="L19" i="8" s="1"/>
  <c r="P60" i="10"/>
  <c r="P72" i="10"/>
  <c r="L25" i="8" s="1"/>
  <c r="P70" i="10"/>
  <c r="L23" i="8" s="1"/>
  <c r="P74" i="10"/>
  <c r="L27" i="8" s="1"/>
  <c r="P50" i="10"/>
  <c r="L3" i="8" s="1"/>
  <c r="P55" i="10"/>
  <c r="L8" i="8" s="1"/>
  <c r="P61" i="10"/>
  <c r="P56" i="10"/>
  <c r="L9" i="8" s="1"/>
  <c r="P62" i="10"/>
  <c r="L15" i="8" s="1"/>
  <c r="P64" i="10"/>
  <c r="L17" i="8" s="1"/>
  <c r="P68" i="10"/>
  <c r="L21" i="8" s="1"/>
  <c r="P76" i="10"/>
  <c r="L29" i="8" s="1"/>
  <c r="P52" i="10"/>
  <c r="L5" i="8" s="1"/>
  <c r="P59" i="10"/>
  <c r="L12" i="8" s="1"/>
  <c r="N53" i="10"/>
  <c r="J6" i="8" s="1"/>
  <c r="O57" i="10"/>
  <c r="K10" i="8" s="1"/>
  <c r="N77" i="10"/>
  <c r="J30" i="8" s="1"/>
  <c r="W77" i="10"/>
  <c r="S30" i="8" s="1"/>
  <c r="Y77" i="10"/>
  <c r="U30" i="8" s="1"/>
  <c r="O73" i="10"/>
  <c r="K26" i="8" s="1"/>
  <c r="H69" i="10"/>
  <c r="D22" i="8" s="1"/>
  <c r="Y69" i="10"/>
  <c r="U22" i="8" s="1"/>
  <c r="K57" i="10"/>
  <c r="G10" i="8" s="1"/>
  <c r="L68" i="10"/>
  <c r="H21" i="8" s="1"/>
  <c r="L50" i="10"/>
  <c r="H3" i="8" s="1"/>
  <c r="L52" i="10"/>
  <c r="H5" i="8" s="1"/>
  <c r="L70" i="10"/>
  <c r="H23" i="8" s="1"/>
  <c r="L58" i="10"/>
  <c r="H11" i="8" s="1"/>
  <c r="L55" i="10"/>
  <c r="H8" i="8" s="1"/>
  <c r="L54" i="10"/>
  <c r="H7" i="8" s="1"/>
  <c r="L60" i="10"/>
  <c r="L64" i="10"/>
  <c r="H17" i="8" s="1"/>
  <c r="L76" i="10"/>
  <c r="H29" i="8" s="1"/>
  <c r="L63" i="10"/>
  <c r="H16" i="8" s="1"/>
  <c r="L56" i="10"/>
  <c r="H9" i="8" s="1"/>
  <c r="L61" i="10"/>
  <c r="L62" i="10"/>
  <c r="H15" i="8" s="1"/>
  <c r="L66" i="10"/>
  <c r="H19" i="8" s="1"/>
  <c r="L71" i="10"/>
  <c r="H24" i="8" s="1"/>
  <c r="N57" i="10"/>
  <c r="J10" i="8" s="1"/>
  <c r="L57" i="10"/>
  <c r="H10" i="8" s="1"/>
  <c r="Q67" i="10"/>
  <c r="M20" i="8" s="1"/>
  <c r="AL67" i="10"/>
  <c r="AH20" i="8" s="1"/>
  <c r="AI65" i="10"/>
  <c r="AE18" i="8" s="1"/>
  <c r="K65" i="10"/>
  <c r="G18" i="8" s="1"/>
  <c r="G59" i="10"/>
  <c r="C12" i="8" s="1"/>
  <c r="AL59" i="10"/>
  <c r="AH12" i="8" s="1"/>
  <c r="X71" i="10"/>
  <c r="T24" i="8" s="1"/>
  <c r="U71" i="10"/>
  <c r="Q24" i="8" s="1"/>
  <c r="O63" i="10"/>
  <c r="K16" i="8" s="1"/>
  <c r="AB63" i="10"/>
  <c r="X16" i="8" s="1"/>
  <c r="V51" i="10"/>
  <c r="M51" i="10"/>
  <c r="S52" i="10"/>
  <c r="O5" i="8" s="1"/>
  <c r="AD52" i="10"/>
  <c r="Z5" i="8" s="1"/>
  <c r="AD50" i="10"/>
  <c r="Z3" i="8" s="1"/>
  <c r="J50" i="10"/>
  <c r="F3" i="8" s="1"/>
  <c r="Q78" i="10"/>
  <c r="M31" i="8" s="1"/>
  <c r="U78" i="10"/>
  <c r="Q31" i="8" s="1"/>
  <c r="K76" i="10"/>
  <c r="G29" i="8" s="1"/>
  <c r="X76" i="10"/>
  <c r="T29" i="8" s="1"/>
  <c r="AE74" i="10"/>
  <c r="AA27" i="8" s="1"/>
  <c r="J74" i="10"/>
  <c r="F27" i="8" s="1"/>
  <c r="Z72" i="10"/>
  <c r="V25" i="8" s="1"/>
  <c r="Y75" i="10"/>
  <c r="U28" i="8" s="1"/>
  <c r="H52" i="10"/>
  <c r="D5" i="8" s="1"/>
  <c r="H59" i="10"/>
  <c r="D12" i="8" s="1"/>
  <c r="H54" i="10"/>
  <c r="D7" i="8" s="1"/>
  <c r="H58" i="10"/>
  <c r="D11" i="8" s="1"/>
  <c r="H66" i="10"/>
  <c r="D19" i="8" s="1"/>
  <c r="H60" i="10"/>
  <c r="H72" i="10"/>
  <c r="D25" i="8" s="1"/>
  <c r="H70" i="10"/>
  <c r="D23" i="8" s="1"/>
  <c r="H51" i="10"/>
  <c r="H67" i="10"/>
  <c r="D20" i="8" s="1"/>
  <c r="H55" i="10"/>
  <c r="D8" i="8" s="1"/>
  <c r="H61" i="10"/>
  <c r="H56" i="10"/>
  <c r="D9" i="8" s="1"/>
  <c r="H62" i="10"/>
  <c r="D15" i="8" s="1"/>
  <c r="H64" i="10"/>
  <c r="D17" i="8" s="1"/>
  <c r="H68" i="10"/>
  <c r="D21" i="8" s="1"/>
  <c r="H76" i="10"/>
  <c r="D29" i="8" s="1"/>
  <c r="AI77" i="10"/>
  <c r="AE30" i="8" s="1"/>
  <c r="H75" i="10"/>
  <c r="D28" i="8" s="1"/>
  <c r="AL75" i="10"/>
  <c r="AH28" i="8" s="1"/>
  <c r="L73" i="10"/>
  <c r="H26" i="8" s="1"/>
  <c r="Y73" i="10"/>
  <c r="U26" i="8" s="1"/>
  <c r="S69" i="10"/>
  <c r="O22" i="8" s="1"/>
  <c r="P69" i="10"/>
  <c r="L22" i="8" s="1"/>
  <c r="AK55" i="10"/>
  <c r="AG8" i="8" s="1"/>
  <c r="AK50" i="10"/>
  <c r="AG3" i="8" s="1"/>
  <c r="AK52" i="10"/>
  <c r="AG5" i="8" s="1"/>
  <c r="AK51" i="10"/>
  <c r="AK71" i="10"/>
  <c r="AG24" i="8" s="1"/>
  <c r="AK68" i="10"/>
  <c r="AG21" i="8" s="1"/>
  <c r="AK70" i="10"/>
  <c r="AG23" i="8" s="1"/>
  <c r="AK60" i="10"/>
  <c r="AK62" i="10"/>
  <c r="AG15" i="8" s="1"/>
  <c r="AK61" i="10"/>
  <c r="AK54" i="10"/>
  <c r="AG7" i="8" s="1"/>
  <c r="AK58" i="10"/>
  <c r="AG11" i="8" s="1"/>
  <c r="AK64" i="10"/>
  <c r="AG17" i="8" s="1"/>
  <c r="AK72" i="10"/>
  <c r="AG25" i="8" s="1"/>
  <c r="AK56" i="10"/>
  <c r="AG9" i="8" s="1"/>
  <c r="AK66" i="10"/>
  <c r="AG19" i="8" s="1"/>
  <c r="AI53" i="10"/>
  <c r="AE6" i="8" s="1"/>
  <c r="F69" i="10"/>
  <c r="B22" i="8" s="1"/>
  <c r="J67" i="10"/>
  <c r="F20" i="8" s="1"/>
  <c r="AJ67" i="10"/>
  <c r="AF20" i="8" s="1"/>
  <c r="O67" i="10"/>
  <c r="K20" i="8" s="1"/>
  <c r="P65" i="10"/>
  <c r="L18" i="8" s="1"/>
  <c r="K59" i="10"/>
  <c r="G12" i="8" s="1"/>
  <c r="J59" i="10"/>
  <c r="F12" i="8" s="1"/>
  <c r="I71" i="10"/>
  <c r="E24" i="8" s="1"/>
  <c r="AK63" i="10"/>
  <c r="AG16" i="8" s="1"/>
  <c r="AJ63" i="10"/>
  <c r="AF16" i="8" s="1"/>
  <c r="AD51" i="10"/>
  <c r="J51" i="10"/>
  <c r="AA52" i="10"/>
  <c r="W5" i="8" s="1"/>
  <c r="AL52" i="10"/>
  <c r="AH5" i="8" s="1"/>
  <c r="AG78" i="10"/>
  <c r="AC31" i="8" s="1"/>
  <c r="AK78" i="10"/>
  <c r="AG31" i="8" s="1"/>
  <c r="U76" i="10"/>
  <c r="Q29" i="8" s="1"/>
  <c r="I76" i="10"/>
  <c r="E29" i="8" s="1"/>
  <c r="AF74" i="10"/>
  <c r="AB27" i="8" s="1"/>
  <c r="Z74" i="10"/>
  <c r="V27" i="8" s="1"/>
  <c r="AA72" i="10"/>
  <c r="W25" i="8" s="1"/>
  <c r="N74" i="9"/>
  <c r="G77" i="9"/>
  <c r="AF78" i="9"/>
  <c r="H68" i="9"/>
  <c r="U54" i="9"/>
  <c r="O51" i="9"/>
  <c r="M54" i="9"/>
  <c r="H53" i="10"/>
  <c r="D6" i="8" s="1"/>
  <c r="AI57" i="10"/>
  <c r="AE10" i="8" s="1"/>
  <c r="AG57" i="10"/>
  <c r="AC10" i="8" s="1"/>
  <c r="AL54" i="10"/>
  <c r="AH7" i="8" s="1"/>
  <c r="AL56" i="10"/>
  <c r="AH9" i="8" s="1"/>
  <c r="AL64" i="10"/>
  <c r="AH17" i="8" s="1"/>
  <c r="AL72" i="10"/>
  <c r="AH25" i="8" s="1"/>
  <c r="AL57" i="10"/>
  <c r="AH10" i="8" s="1"/>
  <c r="AL58" i="10"/>
  <c r="AH11" i="8" s="1"/>
  <c r="AL66" i="10"/>
  <c r="AH19" i="8" s="1"/>
  <c r="AL55" i="10"/>
  <c r="AH8" i="8" s="1"/>
  <c r="AL60" i="10"/>
  <c r="AL68" i="10"/>
  <c r="AH21" i="8" s="1"/>
  <c r="AL76" i="10"/>
  <c r="AH29" i="8" s="1"/>
  <c r="AL63" i="10"/>
  <c r="AH16" i="8" s="1"/>
  <c r="AL62" i="10"/>
  <c r="AH15" i="8" s="1"/>
  <c r="AL70" i="10"/>
  <c r="AH23" i="8" s="1"/>
  <c r="AL74" i="10"/>
  <c r="AH27" i="8" s="1"/>
  <c r="AL78" i="10"/>
  <c r="AH31" i="8" s="1"/>
  <c r="AL61" i="10"/>
  <c r="V77" i="10"/>
  <c r="R30" i="8" s="1"/>
  <c r="H77" i="10"/>
  <c r="D30" i="8" s="1"/>
  <c r="J77" i="10"/>
  <c r="F30" i="8" s="1"/>
  <c r="L77" i="10"/>
  <c r="H30" i="8" s="1"/>
  <c r="AG75" i="10"/>
  <c r="AC28" i="8" s="1"/>
  <c r="U75" i="10"/>
  <c r="Q28" i="8" s="1"/>
  <c r="W75" i="10"/>
  <c r="S28" i="8" s="1"/>
  <c r="AB73" i="10"/>
  <c r="X26" i="8" s="1"/>
  <c r="AE73" i="10"/>
  <c r="AA26" i="8" s="1"/>
  <c r="AG73" i="10"/>
  <c r="AC26" i="8" s="1"/>
  <c r="AD69" i="10"/>
  <c r="Z22" i="8" s="1"/>
  <c r="V69" i="10"/>
  <c r="R22" i="8" s="1"/>
  <c r="AB69" i="10"/>
  <c r="X22" i="8" s="1"/>
  <c r="J69" i="10"/>
  <c r="F22" i="8" s="1"/>
  <c r="T53" i="10"/>
  <c r="P6" i="8" s="1"/>
  <c r="AC66" i="10"/>
  <c r="Y19" i="8" s="1"/>
  <c r="AC62" i="10"/>
  <c r="Y15" i="8" s="1"/>
  <c r="AC70" i="10"/>
  <c r="Y23" i="8" s="1"/>
  <c r="AC68" i="10"/>
  <c r="Y21" i="8" s="1"/>
  <c r="AC60" i="10"/>
  <c r="AC61" i="10"/>
  <c r="AC69" i="10"/>
  <c r="Y22" i="8" s="1"/>
  <c r="AC78" i="10"/>
  <c r="Y31" i="8" s="1"/>
  <c r="AC58" i="10"/>
  <c r="Y11" i="8" s="1"/>
  <c r="AC55" i="10"/>
  <c r="Y8" i="8" s="1"/>
  <c r="AC54" i="10"/>
  <c r="Y7" i="8" s="1"/>
  <c r="AC64" i="10"/>
  <c r="Y17" i="8" s="1"/>
  <c r="AC72" i="10"/>
  <c r="Y25" i="8" s="1"/>
  <c r="AC51" i="10"/>
  <c r="AC56" i="10"/>
  <c r="Y9" i="8" s="1"/>
  <c r="AC63" i="10"/>
  <c r="Y16" i="8" s="1"/>
  <c r="AA53" i="10"/>
  <c r="W6" i="8" s="1"/>
  <c r="J57" i="10"/>
  <c r="F10" i="8" s="1"/>
  <c r="AD57" i="10"/>
  <c r="Z10" i="8" s="1"/>
  <c r="AJ57" i="10"/>
  <c r="AF10" i="8" s="1"/>
  <c r="Z67" i="10"/>
  <c r="V20" i="8" s="1"/>
  <c r="M67" i="10"/>
  <c r="I20" i="8" s="1"/>
  <c r="W67" i="10"/>
  <c r="S20" i="8" s="1"/>
  <c r="AK65" i="10"/>
  <c r="AG18" i="8" s="1"/>
  <c r="N65" i="10"/>
  <c r="J18" i="8" s="1"/>
  <c r="AF65" i="10"/>
  <c r="AB18" i="8" s="1"/>
  <c r="M59" i="10"/>
  <c r="I12" i="8" s="1"/>
  <c r="Z59" i="10"/>
  <c r="V12" i="8" s="1"/>
  <c r="O71" i="10"/>
  <c r="K24" i="8" s="1"/>
  <c r="V71" i="10"/>
  <c r="R24" i="8" s="1"/>
  <c r="Y63" i="10"/>
  <c r="U16" i="8" s="1"/>
  <c r="AD63" i="10"/>
  <c r="Z16" i="8" s="1"/>
  <c r="AL51" i="10"/>
  <c r="R51" i="10"/>
  <c r="W52" i="10"/>
  <c r="S5" i="8" s="1"/>
  <c r="AI52" i="10"/>
  <c r="AE5" i="8" s="1"/>
  <c r="G50" i="10"/>
  <c r="C3" i="8" s="1"/>
  <c r="Z50" i="10"/>
  <c r="V3" i="8" s="1"/>
  <c r="J78" i="10"/>
  <c r="F31" i="8" s="1"/>
  <c r="F78" i="10"/>
  <c r="B31" i="8" s="1"/>
  <c r="AC76" i="10"/>
  <c r="Y29" i="8" s="1"/>
  <c r="Q76" i="10"/>
  <c r="M29" i="8" s="1"/>
  <c r="U74" i="10"/>
  <c r="Q27" i="8" s="1"/>
  <c r="AH74" i="10"/>
  <c r="AD27" i="8" s="1"/>
  <c r="L72" i="10"/>
  <c r="H25" i="8" s="1"/>
  <c r="AB51" i="10"/>
  <c r="AI50" i="10"/>
  <c r="AE3" i="8" s="1"/>
  <c r="AI76" i="10"/>
  <c r="AE29" i="8" s="1"/>
  <c r="AB70" i="10"/>
  <c r="X23" i="8" s="1"/>
  <c r="AI58" i="10"/>
  <c r="AE11" i="8" s="1"/>
  <c r="AB52" i="10"/>
  <c r="X5" i="8" s="1"/>
  <c r="AB50" i="10"/>
  <c r="X3" i="8" s="1"/>
  <c r="M78" i="10"/>
  <c r="I31" i="8" s="1"/>
  <c r="AI74" i="10"/>
  <c r="AE27" i="8" s="1"/>
  <c r="AB68" i="10"/>
  <c r="X21" i="8" s="1"/>
  <c r="M58" i="10"/>
  <c r="I11" i="8" s="1"/>
  <c r="AI56" i="10"/>
  <c r="AE9" i="8" s="1"/>
  <c r="AI61" i="10"/>
  <c r="AI55" i="10"/>
  <c r="AE8" i="8" s="1"/>
  <c r="AI62" i="10"/>
  <c r="AE15" i="8" s="1"/>
  <c r="AI60" i="10"/>
  <c r="AI54" i="10"/>
  <c r="AE7" i="8" s="1"/>
  <c r="M61" i="10"/>
  <c r="M55" i="10"/>
  <c r="I8" i="8" s="1"/>
  <c r="AI59" i="10"/>
  <c r="AE12" i="8" s="1"/>
  <c r="M63" i="10"/>
  <c r="I16" i="8" s="1"/>
  <c r="M76" i="10"/>
  <c r="I29" i="8" s="1"/>
  <c r="M68" i="10"/>
  <c r="I21" i="8" s="1"/>
  <c r="AB66" i="10"/>
  <c r="X19" i="8" s="1"/>
  <c r="AB62" i="10"/>
  <c r="X15" i="8" s="1"/>
  <c r="M60" i="10"/>
  <c r="AB61" i="10"/>
  <c r="AI64" i="10"/>
  <c r="AE17" i="8" s="1"/>
  <c r="AB56" i="10"/>
  <c r="X9" i="8" s="1"/>
  <c r="M66" i="10"/>
  <c r="I19" i="8" s="1"/>
  <c r="AB64" i="10"/>
  <c r="X17" i="8" s="1"/>
  <c r="M62" i="10"/>
  <c r="I15" i="8" s="1"/>
  <c r="AB60" i="10"/>
  <c r="AB54" i="10"/>
  <c r="X7" i="8" s="1"/>
  <c r="AB55" i="10"/>
  <c r="X8" i="8" s="1"/>
  <c r="M56" i="10"/>
  <c r="I9" i="8" s="1"/>
  <c r="AB65" i="10"/>
  <c r="X18" i="8" s="1"/>
  <c r="AI71" i="10"/>
  <c r="AE24" i="8" s="1"/>
  <c r="AB78" i="10"/>
  <c r="X31" i="8" s="1"/>
  <c r="AB76" i="10"/>
  <c r="X29" i="8" s="1"/>
  <c r="M72" i="10"/>
  <c r="I25" i="8" s="1"/>
  <c r="M64" i="10"/>
  <c r="I17" i="8" s="1"/>
  <c r="AK77" i="9"/>
  <c r="U77" i="9"/>
  <c r="I75" i="9"/>
  <c r="AJ75" i="9"/>
  <c r="F78" i="9"/>
  <c r="AK76" i="9"/>
  <c r="Z59" i="9"/>
  <c r="F74" i="9"/>
  <c r="X74" i="9"/>
  <c r="I72" i="9"/>
  <c r="I70" i="9"/>
  <c r="U66" i="9"/>
  <c r="I66" i="9"/>
  <c r="U64" i="9"/>
  <c r="W62" i="9"/>
  <c r="G60" i="9"/>
  <c r="W58" i="9"/>
  <c r="W56" i="9"/>
  <c r="AK54" i="9"/>
  <c r="I52" i="9"/>
  <c r="G51" i="9"/>
  <c r="U73" i="9"/>
  <c r="O56" i="9"/>
  <c r="W77" i="9"/>
  <c r="U75" i="9"/>
  <c r="V78" i="9"/>
  <c r="R78" i="9"/>
  <c r="K76" i="9"/>
  <c r="G76" i="9"/>
  <c r="I58" i="9"/>
  <c r="I76" i="9"/>
  <c r="R74" i="9"/>
  <c r="I74" i="9"/>
  <c r="AA72" i="9"/>
  <c r="Q70" i="9"/>
  <c r="AH66" i="9"/>
  <c r="Q66" i="9"/>
  <c r="AK64" i="9"/>
  <c r="U60" i="9"/>
  <c r="AI58" i="9"/>
  <c r="G54" i="9"/>
  <c r="G73" i="9"/>
  <c r="AE51" i="9"/>
  <c r="X77" i="9"/>
  <c r="AK75" i="9"/>
  <c r="AA69" i="9"/>
  <c r="W76" i="9"/>
  <c r="H55" i="9"/>
  <c r="V74" i="9"/>
  <c r="Q74" i="9"/>
  <c r="U72" i="9"/>
  <c r="U70" i="9"/>
  <c r="AH70" i="9"/>
  <c r="W68" i="9"/>
  <c r="X62" i="9"/>
  <c r="AK60" i="9"/>
  <c r="I56" i="9"/>
  <c r="W54" i="9"/>
  <c r="I50" i="9"/>
  <c r="W53" i="9"/>
  <c r="U51" i="9"/>
  <c r="AL54" i="9"/>
  <c r="I77" i="9"/>
  <c r="W78" i="9"/>
  <c r="X78" i="9"/>
  <c r="X76" i="9"/>
  <c r="H76" i="9"/>
  <c r="Y70" i="9"/>
  <c r="G74" i="9"/>
  <c r="AA70" i="9"/>
  <c r="AK66" i="9"/>
  <c r="AI62" i="9"/>
  <c r="I62" i="9"/>
  <c r="AF60" i="9"/>
  <c r="U56" i="9"/>
  <c r="AK50" i="9"/>
  <c r="N53" i="9"/>
  <c r="AK70" i="9"/>
  <c r="G71" i="9"/>
  <c r="G57" i="9"/>
  <c r="G58" i="9"/>
  <c r="V77" i="9"/>
  <c r="G75" i="9"/>
  <c r="T78" i="9"/>
  <c r="AI78" i="9"/>
  <c r="AH76" i="9"/>
  <c r="R76" i="9"/>
  <c r="W74" i="9"/>
  <c r="AH72" i="9"/>
  <c r="U68" i="9"/>
  <c r="W64" i="9"/>
  <c r="AK62" i="9"/>
  <c r="U52" i="9"/>
  <c r="G50" i="9"/>
  <c r="I61" i="9"/>
  <c r="L71" i="9"/>
  <c r="I71" i="9"/>
  <c r="U63" i="9"/>
  <c r="I57" i="9"/>
  <c r="U53" i="9"/>
  <c r="AD77" i="9"/>
  <c r="G78" i="9"/>
  <c r="AD78" i="9"/>
  <c r="N78" i="9"/>
  <c r="I78" i="9"/>
  <c r="Z72" i="9"/>
  <c r="AI74" i="9"/>
  <c r="K74" i="9"/>
  <c r="G72" i="9"/>
  <c r="AF72" i="9"/>
  <c r="G70" i="9"/>
  <c r="G68" i="9"/>
  <c r="AK68" i="9"/>
  <c r="G66" i="9"/>
  <c r="G64" i="9"/>
  <c r="G62" i="9"/>
  <c r="W60" i="9"/>
  <c r="I54" i="9"/>
  <c r="U50" i="9"/>
  <c r="W75" i="9"/>
  <c r="S76" i="9"/>
  <c r="AI76" i="9"/>
  <c r="U76" i="9"/>
  <c r="U74" i="9"/>
  <c r="W72" i="9"/>
  <c r="W70" i="9"/>
  <c r="I68" i="9"/>
  <c r="W66" i="9"/>
  <c r="I64" i="9"/>
  <c r="U62" i="9"/>
  <c r="AL56" i="9"/>
  <c r="AL61" i="9"/>
  <c r="V75" i="9"/>
  <c r="S75" i="9"/>
  <c r="K66" i="9"/>
  <c r="K52" i="9"/>
  <c r="K58" i="9"/>
  <c r="K50" i="9"/>
  <c r="K56" i="9"/>
  <c r="K60" i="9"/>
  <c r="K62" i="9"/>
  <c r="K64" i="9"/>
  <c r="J78" i="9"/>
  <c r="AH78" i="9"/>
  <c r="AA78" i="9"/>
  <c r="V76" i="9"/>
  <c r="AJ76" i="9"/>
  <c r="AF56" i="9"/>
  <c r="AF58" i="9"/>
  <c r="AF52" i="9"/>
  <c r="AF62" i="9"/>
  <c r="AF64" i="9"/>
  <c r="AF66" i="9"/>
  <c r="T57" i="9"/>
  <c r="AB68" i="9"/>
  <c r="AB70" i="9"/>
  <c r="AB54" i="9"/>
  <c r="AB60" i="9"/>
  <c r="AB58" i="9"/>
  <c r="AB52" i="9"/>
  <c r="AB50" i="9"/>
  <c r="AH74" i="9"/>
  <c r="AA74" i="9"/>
  <c r="J74" i="9"/>
  <c r="AF74" i="9"/>
  <c r="F72" i="9"/>
  <c r="AJ72" i="9"/>
  <c r="N70" i="9"/>
  <c r="P70" i="9"/>
  <c r="K70" i="9"/>
  <c r="AH68" i="9"/>
  <c r="AC68" i="9"/>
  <c r="T63" i="9"/>
  <c r="T62" i="9"/>
  <c r="T64" i="9"/>
  <c r="T66" i="9"/>
  <c r="T55" i="9"/>
  <c r="T61" i="9"/>
  <c r="T65" i="9"/>
  <c r="T56" i="9"/>
  <c r="T68" i="9"/>
  <c r="T70" i="9"/>
  <c r="T69" i="9"/>
  <c r="T71" i="9"/>
  <c r="T73" i="9"/>
  <c r="T52" i="9"/>
  <c r="T54" i="9"/>
  <c r="T67" i="9"/>
  <c r="T60" i="9"/>
  <c r="T59" i="9"/>
  <c r="T58" i="9"/>
  <c r="T51" i="9"/>
  <c r="T53" i="9"/>
  <c r="R61" i="9"/>
  <c r="N55" i="9"/>
  <c r="M53" i="9"/>
  <c r="M59" i="9"/>
  <c r="M67" i="9"/>
  <c r="M61" i="9"/>
  <c r="M56" i="9"/>
  <c r="M73" i="9"/>
  <c r="M62" i="9"/>
  <c r="M51" i="9"/>
  <c r="M57" i="9"/>
  <c r="M63" i="9"/>
  <c r="M71" i="9"/>
  <c r="M50" i="9"/>
  <c r="M64" i="9"/>
  <c r="M55" i="9"/>
  <c r="M65" i="9"/>
  <c r="M52" i="9"/>
  <c r="M58" i="9"/>
  <c r="M60" i="9"/>
  <c r="AB57" i="9"/>
  <c r="AB73" i="9"/>
  <c r="AD65" i="9"/>
  <c r="S77" i="9"/>
  <c r="H75" i="9"/>
  <c r="Y75" i="9"/>
  <c r="Y76" i="9"/>
  <c r="AA76" i="9"/>
  <c r="X60" i="9"/>
  <c r="X68" i="9"/>
  <c r="X70" i="9"/>
  <c r="X56" i="9"/>
  <c r="X73" i="9"/>
  <c r="X58" i="9"/>
  <c r="AB56" i="9"/>
  <c r="T74" i="9"/>
  <c r="R72" i="9"/>
  <c r="V72" i="9"/>
  <c r="V70" i="9"/>
  <c r="AF70" i="9"/>
  <c r="S70" i="9"/>
  <c r="K68" i="9"/>
  <c r="R66" i="9"/>
  <c r="X66" i="9"/>
  <c r="F64" i="9"/>
  <c r="X64" i="9"/>
  <c r="S60" i="9"/>
  <c r="X52" i="9"/>
  <c r="Z51" i="9"/>
  <c r="Z61" i="9"/>
  <c r="Z67" i="9"/>
  <c r="Z69" i="9"/>
  <c r="Z71" i="9"/>
  <c r="Z58" i="9"/>
  <c r="Z60" i="9"/>
  <c r="Z62" i="9"/>
  <c r="Z68" i="9"/>
  <c r="Z70" i="9"/>
  <c r="Z57" i="9"/>
  <c r="Z54" i="9"/>
  <c r="Z55" i="9"/>
  <c r="Z53" i="9"/>
  <c r="Z73" i="9"/>
  <c r="Z52" i="9"/>
  <c r="Z50" i="9"/>
  <c r="V57" i="9"/>
  <c r="V54" i="9"/>
  <c r="V55" i="9"/>
  <c r="V65" i="9"/>
  <c r="V67" i="9"/>
  <c r="V53" i="9"/>
  <c r="V52" i="9"/>
  <c r="V66" i="9"/>
  <c r="V50" i="9"/>
  <c r="V69" i="9"/>
  <c r="V60" i="9"/>
  <c r="V64" i="9"/>
  <c r="V59" i="9"/>
  <c r="V71" i="9"/>
  <c r="V56" i="9"/>
  <c r="V51" i="9"/>
  <c r="V58" i="9"/>
  <c r="V62" i="9"/>
  <c r="L55" i="9"/>
  <c r="AF71" i="9"/>
  <c r="AJ67" i="9"/>
  <c r="Z65" i="9"/>
  <c r="S61" i="9"/>
  <c r="P62" i="9"/>
  <c r="P64" i="9"/>
  <c r="P66" i="9"/>
  <c r="P60" i="9"/>
  <c r="P68" i="9"/>
  <c r="P72" i="9"/>
  <c r="J51" i="9"/>
  <c r="P73" i="9"/>
  <c r="AJ61" i="9"/>
  <c r="R53" i="9"/>
  <c r="AJ56" i="9"/>
  <c r="AD70" i="9"/>
  <c r="AD60" i="9"/>
  <c r="AD56" i="9"/>
  <c r="AD62" i="9"/>
  <c r="AD64" i="9"/>
  <c r="H72" i="9"/>
  <c r="H74" i="9"/>
  <c r="H52" i="9"/>
  <c r="H62" i="9"/>
  <c r="H64" i="9"/>
  <c r="H66" i="9"/>
  <c r="H58" i="9"/>
  <c r="H60" i="9"/>
  <c r="H51" i="9"/>
  <c r="H56" i="9"/>
  <c r="H69" i="9"/>
  <c r="P54" i="9"/>
  <c r="AG68" i="9"/>
  <c r="AG53" i="9"/>
  <c r="AG50" i="9"/>
  <c r="AG63" i="9"/>
  <c r="AG69" i="9"/>
  <c r="AG52" i="9"/>
  <c r="AG62" i="9"/>
  <c r="AG66" i="9"/>
  <c r="AG64" i="9"/>
  <c r="AG51" i="9"/>
  <c r="AG61" i="9"/>
  <c r="AG65" i="9"/>
  <c r="AG67" i="9"/>
  <c r="AG71" i="9"/>
  <c r="AG60" i="9"/>
  <c r="AG70" i="9"/>
  <c r="AG57" i="9"/>
  <c r="AG54" i="9"/>
  <c r="AG56" i="9"/>
  <c r="AG58" i="9"/>
  <c r="AG55" i="9"/>
  <c r="AG59" i="9"/>
  <c r="AG73" i="9"/>
  <c r="Y74" i="9"/>
  <c r="Y72" i="9"/>
  <c r="J72" i="9"/>
  <c r="L70" i="9"/>
  <c r="AA68" i="9"/>
  <c r="AD66" i="9"/>
  <c r="AD58" i="9"/>
  <c r="AA52" i="9"/>
  <c r="H53" i="9"/>
  <c r="K73" i="9"/>
  <c r="AJ57" i="9"/>
  <c r="V73" i="9"/>
  <c r="AH67" i="9"/>
  <c r="K57" i="9"/>
  <c r="F77" i="9"/>
  <c r="AG75" i="9"/>
  <c r="B41" i="9"/>
  <c r="C41" i="9"/>
  <c r="D41" i="9"/>
  <c r="AH54" i="9"/>
  <c r="AH55" i="9"/>
  <c r="AH62" i="9"/>
  <c r="AH58" i="9"/>
  <c r="AH50" i="9"/>
  <c r="AH64" i="9"/>
  <c r="AB78" i="9"/>
  <c r="Y78" i="9"/>
  <c r="AG76" i="9"/>
  <c r="P76" i="9"/>
  <c r="AD76" i="9"/>
  <c r="AB53" i="9"/>
  <c r="Q55" i="9"/>
  <c r="Q58" i="9"/>
  <c r="Q61" i="9"/>
  <c r="Q71" i="9"/>
  <c r="Q60" i="9"/>
  <c r="Q64" i="9"/>
  <c r="Q53" i="9"/>
  <c r="Q59" i="9"/>
  <c r="Q50" i="9"/>
  <c r="Q63" i="9"/>
  <c r="Q65" i="9"/>
  <c r="Q73" i="9"/>
  <c r="Q52" i="9"/>
  <c r="Q62" i="9"/>
  <c r="Q51" i="9"/>
  <c r="Q67" i="9"/>
  <c r="Q57" i="9"/>
  <c r="Q54" i="9"/>
  <c r="AB74" i="9"/>
  <c r="AG74" i="9"/>
  <c r="AD72" i="9"/>
  <c r="AG72" i="9"/>
  <c r="O70" i="9"/>
  <c r="AJ70" i="9"/>
  <c r="Q68" i="9"/>
  <c r="L68" i="9"/>
  <c r="AB66" i="9"/>
  <c r="AH60" i="9"/>
  <c r="P71" i="9"/>
  <c r="S59" i="9"/>
  <c r="H54" i="9"/>
  <c r="L50" i="9"/>
  <c r="L60" i="9"/>
  <c r="L62" i="9"/>
  <c r="L64" i="9"/>
  <c r="L66" i="9"/>
  <c r="L57" i="9"/>
  <c r="L54" i="9"/>
  <c r="L63" i="9"/>
  <c r="L58" i="9"/>
  <c r="Q69" i="9"/>
  <c r="AD67" i="9"/>
  <c r="AF63" i="9"/>
  <c r="AD75" i="9"/>
  <c r="N72" i="9"/>
  <c r="N52" i="9"/>
  <c r="N66" i="9"/>
  <c r="N68" i="9"/>
  <c r="N57" i="9"/>
  <c r="N58" i="9"/>
  <c r="N50" i="9"/>
  <c r="N56" i="9"/>
  <c r="N60" i="9"/>
  <c r="N62" i="9"/>
  <c r="H77" i="9"/>
  <c r="AF77" i="9"/>
  <c r="N77" i="9"/>
  <c r="N75" i="9"/>
  <c r="Z75" i="9"/>
  <c r="AI50" i="9"/>
  <c r="AI56" i="9"/>
  <c r="AI64" i="9"/>
  <c r="AI68" i="9"/>
  <c r="AI70" i="9"/>
  <c r="AI54" i="9"/>
  <c r="AI66" i="9"/>
  <c r="AI52" i="9"/>
  <c r="Z78" i="9"/>
  <c r="AG78" i="9"/>
  <c r="N76" i="9"/>
  <c r="Z76" i="9"/>
  <c r="L76" i="9"/>
  <c r="V61" i="9"/>
  <c r="AJ52" i="9"/>
  <c r="Z74" i="9"/>
  <c r="Q72" i="9"/>
  <c r="K72" i="9"/>
  <c r="L72" i="9"/>
  <c r="V68" i="9"/>
  <c r="AJ68" i="9"/>
  <c r="Z64" i="9"/>
  <c r="AB62" i="9"/>
  <c r="K54" i="9"/>
  <c r="AD52" i="9"/>
  <c r="X63" i="9"/>
  <c r="AA62" i="9"/>
  <c r="M69" i="9"/>
  <c r="AB59" i="9"/>
  <c r="L51" i="9"/>
  <c r="F58" i="9"/>
  <c r="F60" i="9"/>
  <c r="F52" i="9"/>
  <c r="F66" i="9"/>
  <c r="F57" i="9"/>
  <c r="F56" i="9"/>
  <c r="AJ54" i="9"/>
  <c r="AJ60" i="9"/>
  <c r="AJ58" i="9"/>
  <c r="AJ50" i="9"/>
  <c r="AJ62" i="9"/>
  <c r="AJ64" i="9"/>
  <c r="AJ66" i="9"/>
  <c r="AA50" i="9"/>
  <c r="AA56" i="9"/>
  <c r="AA64" i="9"/>
  <c r="AA66" i="9"/>
  <c r="AA54" i="9"/>
  <c r="AA60" i="9"/>
  <c r="R64" i="9"/>
  <c r="R60" i="9"/>
  <c r="R68" i="9"/>
  <c r="R54" i="9"/>
  <c r="R62" i="9"/>
  <c r="L78" i="9"/>
  <c r="AJ78" i="9"/>
  <c r="H78" i="9"/>
  <c r="T76" i="9"/>
  <c r="P51" i="9"/>
  <c r="AJ74" i="9"/>
  <c r="P74" i="9"/>
  <c r="X72" i="9"/>
  <c r="T72" i="9"/>
  <c r="R70" i="9"/>
  <c r="Z66" i="9"/>
  <c r="O66" i="9"/>
  <c r="O64" i="9"/>
  <c r="AB64" i="9"/>
  <c r="O58" i="9"/>
  <c r="R50" i="9"/>
  <c r="AF57" i="9"/>
  <c r="AI55" i="9"/>
  <c r="AA65" i="9"/>
  <c r="Z63" i="9"/>
  <c r="AD55" i="9"/>
  <c r="F51" i="9"/>
  <c r="P55" i="9"/>
  <c r="S72" i="9"/>
  <c r="S74" i="9"/>
  <c r="S58" i="9"/>
  <c r="S62" i="9"/>
  <c r="S64" i="9"/>
  <c r="S54" i="9"/>
  <c r="J64" i="9"/>
  <c r="J60" i="9"/>
  <c r="J66" i="9"/>
  <c r="J58" i="9"/>
  <c r="P78" i="9"/>
  <c r="J76" i="9"/>
  <c r="AB76" i="9"/>
  <c r="Y60" i="9"/>
  <c r="Y73" i="9"/>
  <c r="Y50" i="9"/>
  <c r="Y52" i="9"/>
  <c r="Y62" i="9"/>
  <c r="Y66" i="9"/>
  <c r="Y58" i="9"/>
  <c r="Y54" i="9"/>
  <c r="Y56" i="9"/>
  <c r="Y64" i="9"/>
  <c r="F70" i="9"/>
  <c r="H70" i="9"/>
  <c r="AD68" i="9"/>
  <c r="J68" i="9"/>
  <c r="F62" i="9"/>
  <c r="J61" i="9"/>
  <c r="F55" i="9"/>
  <c r="AH69" i="9"/>
  <c r="AJ65" i="9"/>
  <c r="Y55" i="9"/>
  <c r="AC51" i="9"/>
  <c r="AC57" i="9"/>
  <c r="AC71" i="9"/>
  <c r="AC66" i="9"/>
  <c r="AC50" i="9"/>
  <c r="AC61" i="9"/>
  <c r="AC63" i="9"/>
  <c r="AC67" i="9"/>
  <c r="AC58" i="9"/>
  <c r="AC62" i="9"/>
  <c r="AC64" i="9"/>
  <c r="AC55" i="9"/>
  <c r="AC59" i="9"/>
  <c r="AC65" i="9"/>
  <c r="AC73" i="9"/>
  <c r="AC52" i="9"/>
  <c r="AC60" i="9"/>
  <c r="AC69" i="9"/>
  <c r="AC54" i="9"/>
  <c r="AC53" i="9"/>
  <c r="O54" i="9"/>
  <c r="O62" i="9"/>
  <c r="O52" i="9"/>
  <c r="O60" i="9"/>
  <c r="W50" i="9"/>
  <c r="AJ59" i="9"/>
  <c r="AH56" i="9"/>
  <c r="AD57" i="9"/>
  <c r="AD53" i="9"/>
  <c r="AD54" i="9"/>
  <c r="AD50" i="9"/>
  <c r="AI65" i="9"/>
  <c r="L56" i="9"/>
  <c r="I73" i="9"/>
  <c r="AD73" i="9"/>
  <c r="S71" i="9"/>
  <c r="U71" i="9"/>
  <c r="F71" i="9"/>
  <c r="S69" i="9"/>
  <c r="U69" i="9"/>
  <c r="G69" i="9"/>
  <c r="O67" i="9"/>
  <c r="I67" i="9"/>
  <c r="K67" i="9"/>
  <c r="AL67" i="9"/>
  <c r="I65" i="9"/>
  <c r="AL65" i="9"/>
  <c r="AH65" i="9"/>
  <c r="W63" i="9"/>
  <c r="AH63" i="9"/>
  <c r="AD63" i="9"/>
  <c r="N61" i="9"/>
  <c r="AF61" i="9"/>
  <c r="G61" i="9"/>
  <c r="K59" i="9"/>
  <c r="AF59" i="9"/>
  <c r="O57" i="9"/>
  <c r="S57" i="9"/>
  <c r="K55" i="9"/>
  <c r="X53" i="9"/>
  <c r="N51" i="9"/>
  <c r="I51" i="9"/>
  <c r="X54" i="9"/>
  <c r="AJ53" i="9"/>
  <c r="AE50" i="9"/>
  <c r="AE63" i="9"/>
  <c r="AL75" i="9"/>
  <c r="AL53" i="9"/>
  <c r="AL50" i="9"/>
  <c r="AL57" i="9"/>
  <c r="AH51" i="9"/>
  <c r="X55" i="9"/>
  <c r="Y77" i="9"/>
  <c r="S73" i="9"/>
  <c r="L73" i="9"/>
  <c r="AJ73" i="9"/>
  <c r="AL73" i="9"/>
  <c r="Y71" i="9"/>
  <c r="AB71" i="9"/>
  <c r="AD71" i="9"/>
  <c r="O71" i="9"/>
  <c r="I69" i="9"/>
  <c r="X69" i="9"/>
  <c r="O69" i="9"/>
  <c r="AB67" i="9"/>
  <c r="AK67" i="9"/>
  <c r="S67" i="9"/>
  <c r="AF65" i="9"/>
  <c r="U65" i="9"/>
  <c r="G65" i="9"/>
  <c r="AB63" i="9"/>
  <c r="I63" i="9"/>
  <c r="K63" i="9"/>
  <c r="AL63" i="9"/>
  <c r="AA61" i="9"/>
  <c r="H61" i="9"/>
  <c r="O61" i="9"/>
  <c r="I59" i="9"/>
  <c r="O59" i="9"/>
  <c r="F59" i="9"/>
  <c r="W57" i="9"/>
  <c r="Y57" i="9"/>
  <c r="AA57" i="9"/>
  <c r="S55" i="9"/>
  <c r="U55" i="9"/>
  <c r="G55" i="9"/>
  <c r="AF53" i="9"/>
  <c r="AH53" i="9"/>
  <c r="AK53" i="9"/>
  <c r="AB51" i="9"/>
  <c r="L52" i="9"/>
  <c r="X51" i="9"/>
  <c r="O72" i="9"/>
  <c r="P58" i="9"/>
  <c r="AF54" i="9"/>
  <c r="AI71" i="9"/>
  <c r="AK71" i="9"/>
  <c r="X71" i="9"/>
  <c r="AF69" i="9"/>
  <c r="Y69" i="9"/>
  <c r="AK69" i="9"/>
  <c r="W69" i="9"/>
  <c r="G67" i="9"/>
  <c r="Y67" i="9"/>
  <c r="AA67" i="9"/>
  <c r="K65" i="9"/>
  <c r="O65" i="9"/>
  <c r="G63" i="9"/>
  <c r="S63" i="9"/>
  <c r="K61" i="9"/>
  <c r="P61" i="9"/>
  <c r="U61" i="9"/>
  <c r="W61" i="9"/>
  <c r="R59" i="9"/>
  <c r="X59" i="9"/>
  <c r="N59" i="9"/>
  <c r="AE57" i="9"/>
  <c r="AI57" i="9"/>
  <c r="AA55" i="9"/>
  <c r="O55" i="9"/>
  <c r="G53" i="9"/>
  <c r="I53" i="9"/>
  <c r="K53" i="9"/>
  <c r="AJ51" i="9"/>
  <c r="AD51" i="9"/>
  <c r="Y51" i="9"/>
  <c r="AF50" i="9"/>
  <c r="Y68" i="9"/>
  <c r="P56" i="9"/>
  <c r="S56" i="9"/>
  <c r="J54" i="9"/>
  <c r="AK52" i="9"/>
  <c r="S50" i="9"/>
  <c r="AA58" i="9"/>
  <c r="H59" i="9"/>
  <c r="P50" i="9"/>
  <c r="R56" i="9"/>
  <c r="F68" i="9"/>
  <c r="L53" i="9"/>
  <c r="AI77" i="9"/>
  <c r="J73" i="9"/>
  <c r="AH73" i="9"/>
  <c r="AA73" i="9"/>
  <c r="O73" i="9"/>
  <c r="H71" i="9"/>
  <c r="K71" i="9"/>
  <c r="K69" i="9"/>
  <c r="L69" i="9"/>
  <c r="F69" i="9"/>
  <c r="AE69" i="9"/>
  <c r="U67" i="9"/>
  <c r="AI67" i="9"/>
  <c r="S65" i="9"/>
  <c r="AK65" i="9"/>
  <c r="W65" i="9"/>
  <c r="AJ63" i="9"/>
  <c r="Y63" i="9"/>
  <c r="AA63" i="9"/>
  <c r="X61" i="9"/>
  <c r="AE61" i="9"/>
  <c r="AA59" i="9"/>
  <c r="L59" i="9"/>
  <c r="AH59" i="9"/>
  <c r="H57" i="9"/>
  <c r="J57" i="9"/>
  <c r="AK55" i="9"/>
  <c r="W55" i="9"/>
  <c r="O53" i="9"/>
  <c r="S53" i="9"/>
  <c r="K51" i="9"/>
  <c r="AL51" i="9"/>
  <c r="AH52" i="9"/>
  <c r="AI61" i="9"/>
  <c r="P65" i="9"/>
  <c r="P75" i="9"/>
  <c r="AK73" i="9"/>
  <c r="W73" i="9"/>
  <c r="AE71" i="9"/>
  <c r="J71" i="9"/>
  <c r="N69" i="9"/>
  <c r="J69" i="9"/>
  <c r="L67" i="9"/>
  <c r="H67" i="9"/>
  <c r="J67" i="9"/>
  <c r="F67" i="9"/>
  <c r="X65" i="9"/>
  <c r="L65" i="9"/>
  <c r="F65" i="9"/>
  <c r="AE65" i="9"/>
  <c r="O63" i="9"/>
  <c r="H63" i="9"/>
  <c r="AI63" i="9"/>
  <c r="AK61" i="9"/>
  <c r="L61" i="9"/>
  <c r="AK59" i="9"/>
  <c r="U59" i="9"/>
  <c r="G59" i="9"/>
  <c r="AD59" i="9"/>
  <c r="P57" i="9"/>
  <c r="R57" i="9"/>
  <c r="U57" i="9"/>
  <c r="AE55" i="9"/>
  <c r="Y53" i="9"/>
  <c r="AA53" i="9"/>
  <c r="S51" i="9"/>
  <c r="S66" i="9"/>
  <c r="J52" i="9"/>
  <c r="J55" i="9"/>
  <c r="J62" i="9"/>
  <c r="J56" i="9"/>
  <c r="F53" i="9"/>
  <c r="F50" i="9"/>
  <c r="AF51" i="9"/>
  <c r="H73" i="9"/>
  <c r="AF73" i="9"/>
  <c r="F73" i="9"/>
  <c r="AE73" i="9"/>
  <c r="AA71" i="9"/>
  <c r="N71" i="9"/>
  <c r="R71" i="9"/>
  <c r="P69" i="9"/>
  <c r="AB69" i="9"/>
  <c r="R69" i="9"/>
  <c r="AE67" i="9"/>
  <c r="P67" i="9"/>
  <c r="R67" i="9"/>
  <c r="N67" i="9"/>
  <c r="Y65" i="9"/>
  <c r="N65" i="9"/>
  <c r="J65" i="9"/>
  <c r="AK63" i="9"/>
  <c r="P63" i="9"/>
  <c r="J63" i="9"/>
  <c r="F63" i="9"/>
  <c r="AD61" i="9"/>
  <c r="J59" i="9"/>
  <c r="AE59" i="9"/>
  <c r="P59" i="9"/>
  <c r="AL59" i="9"/>
  <c r="X57" i="9"/>
  <c r="I55" i="9"/>
  <c r="AE53" i="9"/>
  <c r="AI53" i="9"/>
  <c r="AA51" i="9"/>
  <c r="AI60" i="9"/>
  <c r="P52" i="9"/>
  <c r="S52" i="9"/>
  <c r="J50" i="9"/>
  <c r="W67" i="9"/>
  <c r="R51" i="9"/>
  <c r="R52" i="9"/>
  <c r="R55" i="9"/>
  <c r="N64" i="9"/>
  <c r="AF55" i="9"/>
  <c r="F54" i="9"/>
  <c r="AK58" i="9"/>
  <c r="H50" i="9"/>
  <c r="R73" i="9"/>
  <c r="AI73" i="9"/>
  <c r="N73" i="9"/>
  <c r="AJ71" i="9"/>
  <c r="AL71" i="9"/>
  <c r="W71" i="9"/>
  <c r="AI69" i="9"/>
  <c r="AJ69" i="9"/>
  <c r="AD69" i="9"/>
  <c r="X67" i="9"/>
  <c r="H65" i="9"/>
  <c r="AB65" i="9"/>
  <c r="R65" i="9"/>
  <c r="R63" i="9"/>
  <c r="N63" i="9"/>
  <c r="Y61" i="9"/>
  <c r="F61" i="9"/>
  <c r="AB61" i="9"/>
  <c r="Y59" i="9"/>
  <c r="AH57" i="9"/>
  <c r="AK57" i="9"/>
  <c r="AB55" i="9"/>
  <c r="J53" i="9"/>
  <c r="AI51" i="9"/>
  <c r="AK51" i="9"/>
  <c r="W51" i="9"/>
  <c r="R58" i="9"/>
  <c r="N54" i="9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F41" i="9" l="1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E41" i="9"/>
  <c r="C82" i="9" s="1"/>
  <c r="AJ112" i="9" s="1"/>
  <c r="E41" i="10"/>
  <c r="C82" i="10" s="1"/>
  <c r="AE41" i="10"/>
  <c r="W41" i="10"/>
  <c r="O41" i="10"/>
  <c r="G41" i="10"/>
  <c r="AL41" i="10"/>
  <c r="AD41" i="10"/>
  <c r="V41" i="10"/>
  <c r="N41" i="10"/>
  <c r="F41" i="10"/>
  <c r="X41" i="10"/>
  <c r="AK41" i="10"/>
  <c r="AC41" i="10"/>
  <c r="U41" i="10"/>
  <c r="M41" i="10"/>
  <c r="P41" i="10"/>
  <c r="AJ41" i="10"/>
  <c r="AB41" i="10"/>
  <c r="T41" i="10"/>
  <c r="L41" i="10"/>
  <c r="AI41" i="10"/>
  <c r="AA41" i="10"/>
  <c r="S41" i="10"/>
  <c r="K41" i="10"/>
  <c r="AH41" i="10"/>
  <c r="Z41" i="10"/>
  <c r="R41" i="10"/>
  <c r="J41" i="10"/>
  <c r="AF41" i="10"/>
  <c r="AG41" i="10"/>
  <c r="Y41" i="10"/>
  <c r="Q41" i="10"/>
  <c r="I41" i="10"/>
  <c r="H41" i="10"/>
  <c r="AC112" i="9"/>
  <c r="J112" i="9"/>
  <c r="H111" i="9"/>
  <c r="AD110" i="9"/>
  <c r="P112" i="9"/>
  <c r="AL111" i="9"/>
  <c r="F111" i="9"/>
  <c r="AB110" i="9"/>
  <c r="AF108" i="9"/>
  <c r="X108" i="9"/>
  <c r="H108" i="9"/>
  <c r="AL107" i="9"/>
  <c r="F107" i="9"/>
  <c r="AJ106" i="9"/>
  <c r="T106" i="9"/>
  <c r="L106" i="9"/>
  <c r="J105" i="9"/>
  <c r="AF104" i="9"/>
  <c r="P104" i="9"/>
  <c r="H104" i="9"/>
  <c r="N103" i="9"/>
  <c r="F103" i="9"/>
  <c r="AB102" i="9"/>
  <c r="T102" i="9"/>
  <c r="R101" i="9"/>
  <c r="AI112" i="9"/>
  <c r="O112" i="9"/>
  <c r="G112" i="9"/>
  <c r="M111" i="9"/>
  <c r="AI110" i="9"/>
  <c r="S110" i="9"/>
  <c r="K110" i="9"/>
  <c r="I109" i="9"/>
  <c r="AE108" i="9"/>
  <c r="O108" i="9"/>
  <c r="G108" i="9"/>
  <c r="M107" i="9"/>
  <c r="AI106" i="9"/>
  <c r="S106" i="9"/>
  <c r="K106" i="9"/>
  <c r="I105" i="9"/>
  <c r="AE104" i="9"/>
  <c r="O104" i="9"/>
  <c r="G104" i="9"/>
  <c r="M103" i="9"/>
  <c r="AI102" i="9"/>
  <c r="S102" i="9"/>
  <c r="K102" i="9"/>
  <c r="I101" i="9"/>
  <c r="AE100" i="9"/>
  <c r="O100" i="9"/>
  <c r="G100" i="9"/>
  <c r="M99" i="9"/>
  <c r="AI98" i="9"/>
  <c r="S98" i="9"/>
  <c r="K98" i="9"/>
  <c r="AI111" i="9"/>
  <c r="AA111" i="9"/>
  <c r="K111" i="9"/>
  <c r="AG110" i="9"/>
  <c r="Y110" i="9"/>
  <c r="Q110" i="9"/>
  <c r="AE109" i="9"/>
  <c r="W109" i="9"/>
  <c r="G109" i="9"/>
  <c r="AK108" i="9"/>
  <c r="AC108" i="9"/>
  <c r="U108" i="9"/>
  <c r="AI107" i="9"/>
  <c r="AA107" i="9"/>
  <c r="K107" i="9"/>
  <c r="AG106" i="9"/>
  <c r="Y106" i="9"/>
  <c r="Q106" i="9"/>
  <c r="AE105" i="9"/>
  <c r="W105" i="9"/>
  <c r="G105" i="9"/>
  <c r="AK104" i="9"/>
  <c r="AC104" i="9"/>
  <c r="AE112" i="9"/>
  <c r="U112" i="9"/>
  <c r="L112" i="9"/>
  <c r="AH111" i="9"/>
  <c r="Z111" i="9"/>
  <c r="R111" i="9"/>
  <c r="J111" i="9"/>
  <c r="AF110" i="9"/>
  <c r="X110" i="9"/>
  <c r="P110" i="9"/>
  <c r="H110" i="9"/>
  <c r="AL109" i="9"/>
  <c r="AD109" i="9"/>
  <c r="V109" i="9"/>
  <c r="N109" i="9"/>
  <c r="F109" i="9"/>
  <c r="AJ108" i="9"/>
  <c r="AB108" i="9"/>
  <c r="T108" i="9"/>
  <c r="L108" i="9"/>
  <c r="AH107" i="9"/>
  <c r="Z107" i="9"/>
  <c r="R107" i="9"/>
  <c r="J107" i="9"/>
  <c r="AF106" i="9"/>
  <c r="X106" i="9"/>
  <c r="P106" i="9"/>
  <c r="H106" i="9"/>
  <c r="AL105" i="9"/>
  <c r="AD105" i="9"/>
  <c r="V105" i="9"/>
  <c r="N105" i="9"/>
  <c r="F105" i="9"/>
  <c r="AJ104" i="9"/>
  <c r="AB104" i="9"/>
  <c r="T104" i="9"/>
  <c r="L104" i="9"/>
  <c r="AH103" i="9"/>
  <c r="Z103" i="9"/>
  <c r="R103" i="9"/>
  <c r="J103" i="9"/>
  <c r="AF102" i="9"/>
  <c r="X102" i="9"/>
  <c r="P102" i="9"/>
  <c r="H102" i="9"/>
  <c r="AL101" i="9"/>
  <c r="AD101" i="9"/>
  <c r="V101" i="9"/>
  <c r="N101" i="9"/>
  <c r="F101" i="9"/>
  <c r="AJ100" i="9"/>
  <c r="AB100" i="9"/>
  <c r="T100" i="9"/>
  <c r="L100" i="9"/>
  <c r="AH99" i="9"/>
  <c r="Z99" i="9"/>
  <c r="R99" i="9"/>
  <c r="J99" i="9"/>
  <c r="AF98" i="9"/>
  <c r="X98" i="9"/>
  <c r="P98" i="9"/>
  <c r="H98" i="9"/>
  <c r="AH112" i="9"/>
  <c r="I112" i="9"/>
  <c r="Y111" i="9"/>
  <c r="U110" i="9"/>
  <c r="AK109" i="9"/>
  <c r="S109" i="9"/>
  <c r="Y108" i="9"/>
  <c r="I108" i="9"/>
  <c r="AE107" i="9"/>
  <c r="O107" i="9"/>
  <c r="AK106" i="9"/>
  <c r="U106" i="9"/>
  <c r="AA105" i="9"/>
  <c r="K105" i="9"/>
  <c r="AG104" i="9"/>
  <c r="R104" i="9"/>
  <c r="AE103" i="9"/>
  <c r="Q103" i="9"/>
  <c r="AD102" i="9"/>
  <c r="Q102" i="9"/>
  <c r="AC101" i="9"/>
  <c r="P101" i="9"/>
  <c r="AG100" i="9"/>
  <c r="V100" i="9"/>
  <c r="K100" i="9"/>
  <c r="AB99" i="9"/>
  <c r="Q99" i="9"/>
  <c r="G99" i="9"/>
  <c r="AH98" i="9"/>
  <c r="W98" i="9"/>
  <c r="M98" i="9"/>
  <c r="AF97" i="9"/>
  <c r="X97" i="9"/>
  <c r="P97" i="9"/>
  <c r="H97" i="9"/>
  <c r="AL96" i="9"/>
  <c r="AD96" i="9"/>
  <c r="V96" i="9"/>
  <c r="N96" i="9"/>
  <c r="F96" i="9"/>
  <c r="AJ95" i="9"/>
  <c r="AB95" i="9"/>
  <c r="T95" i="9"/>
  <c r="L95" i="9"/>
  <c r="AH94" i="9"/>
  <c r="Z94" i="9"/>
  <c r="R94" i="9"/>
  <c r="J94" i="9"/>
  <c r="AF93" i="9"/>
  <c r="X93" i="9"/>
  <c r="P93" i="9"/>
  <c r="H93" i="9"/>
  <c r="AL92" i="9"/>
  <c r="AD92" i="9"/>
  <c r="V92" i="9"/>
  <c r="N92" i="9"/>
  <c r="F92" i="9"/>
  <c r="AJ91" i="9"/>
  <c r="AB91" i="9"/>
  <c r="T91" i="9"/>
  <c r="L91" i="9"/>
  <c r="AH90" i="9"/>
  <c r="Z90" i="9"/>
  <c r="R90" i="9"/>
  <c r="J90" i="9"/>
  <c r="AF89" i="9"/>
  <c r="X89" i="9"/>
  <c r="P89" i="9"/>
  <c r="H89" i="9"/>
  <c r="AD112" i="9"/>
  <c r="F112" i="9"/>
  <c r="W111" i="9"/>
  <c r="R110" i="9"/>
  <c r="AI109" i="9"/>
  <c r="P109" i="9"/>
  <c r="AL108" i="9"/>
  <c r="V108" i="9"/>
  <c r="F108" i="9"/>
  <c r="AB107" i="9"/>
  <c r="L107" i="9"/>
  <c r="AH106" i="9"/>
  <c r="R106" i="9"/>
  <c r="X105" i="9"/>
  <c r="H105" i="9"/>
  <c r="AD104" i="9"/>
  <c r="Q104" i="9"/>
  <c r="AB103" i="9"/>
  <c r="P103" i="9"/>
  <c r="AC102" i="9"/>
  <c r="O102" i="9"/>
  <c r="AB101" i="9"/>
  <c r="O101" i="9"/>
  <c r="AA112" i="9"/>
  <c r="T111" i="9"/>
  <c r="AK110" i="9"/>
  <c r="O110" i="9"/>
  <c r="AF109" i="9"/>
  <c r="M109" i="9"/>
  <c r="AI108" i="9"/>
  <c r="S108" i="9"/>
  <c r="Y107" i="9"/>
  <c r="I107" i="9"/>
  <c r="AE106" i="9"/>
  <c r="O106" i="9"/>
  <c r="AK105" i="9"/>
  <c r="U105" i="9"/>
  <c r="AA104" i="9"/>
  <c r="N104" i="9"/>
  <c r="AA103" i="9"/>
  <c r="O103" i="9"/>
  <c r="Z102" i="9"/>
  <c r="N102" i="9"/>
  <c r="AA101" i="9"/>
  <c r="M101" i="9"/>
  <c r="AD100" i="9"/>
  <c r="S100" i="9"/>
  <c r="I100" i="9"/>
  <c r="AJ99" i="9"/>
  <c r="Y99" i="9"/>
  <c r="O99" i="9"/>
  <c r="AE98" i="9"/>
  <c r="U98" i="9"/>
  <c r="J98" i="9"/>
  <c r="AL97" i="9"/>
  <c r="AD97" i="9"/>
  <c r="V97" i="9"/>
  <c r="N97" i="9"/>
  <c r="F97" i="9"/>
  <c r="AJ96" i="9"/>
  <c r="AB96" i="9"/>
  <c r="T96" i="9"/>
  <c r="L96" i="9"/>
  <c r="AH95" i="9"/>
  <c r="Z95" i="9"/>
  <c r="R95" i="9"/>
  <c r="J95" i="9"/>
  <c r="AF94" i="9"/>
  <c r="X94" i="9"/>
  <c r="P94" i="9"/>
  <c r="H94" i="9"/>
  <c r="AL93" i="9"/>
  <c r="AD93" i="9"/>
  <c r="V93" i="9"/>
  <c r="N93" i="9"/>
  <c r="F93" i="9"/>
  <c r="AJ92" i="9"/>
  <c r="AB92" i="9"/>
  <c r="T92" i="9"/>
  <c r="L92" i="9"/>
  <c r="AH91" i="9"/>
  <c r="Z91" i="9"/>
  <c r="R91" i="9"/>
  <c r="J91" i="9"/>
  <c r="AF90" i="9"/>
  <c r="X90" i="9"/>
  <c r="P90" i="9"/>
  <c r="H90" i="9"/>
  <c r="AL89" i="9"/>
  <c r="AD89" i="9"/>
  <c r="V89" i="9"/>
  <c r="N89" i="9"/>
  <c r="F89" i="9"/>
  <c r="W112" i="9"/>
  <c r="Q111" i="9"/>
  <c r="AH110" i="9"/>
  <c r="M110" i="9"/>
  <c r="AC109" i="9"/>
  <c r="L109" i="9"/>
  <c r="AH108" i="9"/>
  <c r="R108" i="9"/>
  <c r="X107" i="9"/>
  <c r="H107" i="9"/>
  <c r="AD106" i="9"/>
  <c r="N106" i="9"/>
  <c r="AJ105" i="9"/>
  <c r="T105" i="9"/>
  <c r="Z104" i="9"/>
  <c r="M104" i="9"/>
  <c r="Y103" i="9"/>
  <c r="L103" i="9"/>
  <c r="AL102" i="9"/>
  <c r="Y102" i="9"/>
  <c r="M102" i="9"/>
  <c r="AK101" i="9"/>
  <c r="X101" i="9"/>
  <c r="L101" i="9"/>
  <c r="AC100" i="9"/>
  <c r="R100" i="9"/>
  <c r="H100" i="9"/>
  <c r="AI99" i="9"/>
  <c r="X99" i="9"/>
  <c r="N99" i="9"/>
  <c r="AD98" i="9"/>
  <c r="T98" i="9"/>
  <c r="I98" i="9"/>
  <c r="AK97" i="9"/>
  <c r="AC97" i="9"/>
  <c r="U97" i="9"/>
  <c r="M97" i="9"/>
  <c r="AI96" i="9"/>
  <c r="AA96" i="9"/>
  <c r="S96" i="9"/>
  <c r="K96" i="9"/>
  <c r="AG95" i="9"/>
  <c r="Y95" i="9"/>
  <c r="Q95" i="9"/>
  <c r="I95" i="9"/>
  <c r="AE94" i="9"/>
  <c r="W94" i="9"/>
  <c r="O94" i="9"/>
  <c r="G94" i="9"/>
  <c r="AK93" i="9"/>
  <c r="AC93" i="9"/>
  <c r="U93" i="9"/>
  <c r="M93" i="9"/>
  <c r="AI92" i="9"/>
  <c r="AA92" i="9"/>
  <c r="S92" i="9"/>
  <c r="K92" i="9"/>
  <c r="AG91" i="9"/>
  <c r="Y91" i="9"/>
  <c r="Q91" i="9"/>
  <c r="I91" i="9"/>
  <c r="AE90" i="9"/>
  <c r="W90" i="9"/>
  <c r="O90" i="9"/>
  <c r="G90" i="9"/>
  <c r="AK89" i="9"/>
  <c r="AC89" i="9"/>
  <c r="U89" i="9"/>
  <c r="M89" i="9"/>
  <c r="AI88" i="9"/>
  <c r="S112" i="9"/>
  <c r="AJ111" i="9"/>
  <c r="O111" i="9"/>
  <c r="AE110" i="9"/>
  <c r="J110" i="9"/>
  <c r="AA109" i="9"/>
  <c r="K109" i="9"/>
  <c r="AG108" i="9"/>
  <c r="Q108" i="9"/>
  <c r="W107" i="9"/>
  <c r="G107" i="9"/>
  <c r="AC106" i="9"/>
  <c r="M106" i="9"/>
  <c r="AI105" i="9"/>
  <c r="S105" i="9"/>
  <c r="Y104" i="9"/>
  <c r="K104" i="9"/>
  <c r="AJ103" i="9"/>
  <c r="X103" i="9"/>
  <c r="K103" i="9"/>
  <c r="AK102" i="9"/>
  <c r="W102" i="9"/>
  <c r="J102" i="9"/>
  <c r="AJ101" i="9"/>
  <c r="W101" i="9"/>
  <c r="K101" i="9"/>
  <c r="AL100" i="9"/>
  <c r="AA100" i="9"/>
  <c r="Q100" i="9"/>
  <c r="F100" i="9"/>
  <c r="AG99" i="9"/>
  <c r="W99" i="9"/>
  <c r="L99" i="9"/>
  <c r="AC98" i="9"/>
  <c r="R98" i="9"/>
  <c r="G98" i="9"/>
  <c r="AJ97" i="9"/>
  <c r="AB97" i="9"/>
  <c r="T97" i="9"/>
  <c r="Q112" i="9"/>
  <c r="AG111" i="9"/>
  <c r="L111" i="9"/>
  <c r="AC110" i="9"/>
  <c r="G110" i="9"/>
  <c r="X109" i="9"/>
  <c r="H109" i="9"/>
  <c r="AD108" i="9"/>
  <c r="N108" i="9"/>
  <c r="AJ107" i="9"/>
  <c r="T107" i="9"/>
  <c r="Z106" i="9"/>
  <c r="J106" i="9"/>
  <c r="AF105" i="9"/>
  <c r="P105" i="9"/>
  <c r="AL104" i="9"/>
  <c r="V104" i="9"/>
  <c r="J104" i="9"/>
  <c r="AI103" i="9"/>
  <c r="W103" i="9"/>
  <c r="I103" i="9"/>
  <c r="AH102" i="9"/>
  <c r="V102" i="9"/>
  <c r="I102" i="9"/>
  <c r="AI101" i="9"/>
  <c r="U101" i="9"/>
  <c r="J101" i="9"/>
  <c r="AK100" i="9"/>
  <c r="Z100" i="9"/>
  <c r="P100" i="9"/>
  <c r="AF99" i="9"/>
  <c r="V99" i="9"/>
  <c r="K99" i="9"/>
  <c r="AL98" i="9"/>
  <c r="AB98" i="9"/>
  <c r="Q98" i="9"/>
  <c r="F98" i="9"/>
  <c r="AI97" i="9"/>
  <c r="AA97" i="9"/>
  <c r="S97" i="9"/>
  <c r="K97" i="9"/>
  <c r="AG96" i="9"/>
  <c r="Y96" i="9"/>
  <c r="Q96" i="9"/>
  <c r="I96" i="9"/>
  <c r="AE95" i="9"/>
  <c r="W95" i="9"/>
  <c r="O95" i="9"/>
  <c r="G95" i="9"/>
  <c r="AK94" i="9"/>
  <c r="AC94" i="9"/>
  <c r="U94" i="9"/>
  <c r="M94" i="9"/>
  <c r="AI93" i="9"/>
  <c r="AA93" i="9"/>
  <c r="S93" i="9"/>
  <c r="K93" i="9"/>
  <c r="AG92" i="9"/>
  <c r="Y92" i="9"/>
  <c r="Q92" i="9"/>
  <c r="I92" i="9"/>
  <c r="AE91" i="9"/>
  <c r="W91" i="9"/>
  <c r="O91" i="9"/>
  <c r="G91" i="9"/>
  <c r="AK90" i="9"/>
  <c r="AC90" i="9"/>
  <c r="U90" i="9"/>
  <c r="M90" i="9"/>
  <c r="AI89" i="9"/>
  <c r="AA89" i="9"/>
  <c r="N112" i="9"/>
  <c r="AE111" i="9"/>
  <c r="I111" i="9"/>
  <c r="Z110" i="9"/>
  <c r="U109" i="9"/>
  <c r="AA108" i="9"/>
  <c r="K108" i="9"/>
  <c r="AG107" i="9"/>
  <c r="Q107" i="9"/>
  <c r="W106" i="9"/>
  <c r="G106" i="9"/>
  <c r="AC105" i="9"/>
  <c r="M105" i="9"/>
  <c r="AI104" i="9"/>
  <c r="U104" i="9"/>
  <c r="I104" i="9"/>
  <c r="AG103" i="9"/>
  <c r="T103" i="9"/>
  <c r="H103" i="9"/>
  <c r="AG102" i="9"/>
  <c r="U102" i="9"/>
  <c r="G102" i="9"/>
  <c r="AF101" i="9"/>
  <c r="T101" i="9"/>
  <c r="H101" i="9"/>
  <c r="AI100" i="9"/>
  <c r="Y100" i="9"/>
  <c r="N100" i="9"/>
  <c r="AE99" i="9"/>
  <c r="T99" i="9"/>
  <c r="I99" i="9"/>
  <c r="AK98" i="9"/>
  <c r="Z98" i="9"/>
  <c r="O98" i="9"/>
  <c r="AH97" i="9"/>
  <c r="Z97" i="9"/>
  <c r="R97" i="9"/>
  <c r="J97" i="9"/>
  <c r="AF96" i="9"/>
  <c r="X96" i="9"/>
  <c r="P96" i="9"/>
  <c r="H96" i="9"/>
  <c r="AL95" i="9"/>
  <c r="AD95" i="9"/>
  <c r="V95" i="9"/>
  <c r="N95" i="9"/>
  <c r="F95" i="9"/>
  <c r="AJ94" i="9"/>
  <c r="AJ118" i="9" s="1"/>
  <c r="AB94" i="9"/>
  <c r="AB118" i="9" s="1"/>
  <c r="T94" i="9"/>
  <c r="T118" i="9" s="1"/>
  <c r="L94" i="9"/>
  <c r="L118" i="9" s="1"/>
  <c r="AH93" i="9"/>
  <c r="Z93" i="9"/>
  <c r="R93" i="9"/>
  <c r="J93" i="9"/>
  <c r="AF92" i="9"/>
  <c r="X92" i="9"/>
  <c r="P92" i="9"/>
  <c r="H92" i="9"/>
  <c r="AL91" i="9"/>
  <c r="AL119" i="9" s="1"/>
  <c r="AD91" i="9"/>
  <c r="AD120" i="9" s="1"/>
  <c r="V91" i="9"/>
  <c r="N91" i="9"/>
  <c r="F91" i="9"/>
  <c r="F120" i="9" s="1"/>
  <c r="AJ90" i="9"/>
  <c r="AB90" i="9"/>
  <c r="T90" i="9"/>
  <c r="L90" i="9"/>
  <c r="AH89" i="9"/>
  <c r="Z89" i="9"/>
  <c r="AB105" i="9"/>
  <c r="AE102" i="9"/>
  <c r="AF100" i="9"/>
  <c r="AA99" i="9"/>
  <c r="V98" i="9"/>
  <c r="W97" i="9"/>
  <c r="AK96" i="9"/>
  <c r="O96" i="9"/>
  <c r="AF95" i="9"/>
  <c r="K95" i="9"/>
  <c r="AA94" i="9"/>
  <c r="F94" i="9"/>
  <c r="F118" i="9" s="1"/>
  <c r="W93" i="9"/>
  <c r="R92" i="9"/>
  <c r="AI91" i="9"/>
  <c r="AI119" i="9" s="1"/>
  <c r="M91" i="9"/>
  <c r="AD90" i="9"/>
  <c r="I90" i="9"/>
  <c r="Y89" i="9"/>
  <c r="K89" i="9"/>
  <c r="AL88" i="9"/>
  <c r="AC88" i="9"/>
  <c r="U88" i="9"/>
  <c r="M88" i="9"/>
  <c r="AI87" i="9"/>
  <c r="AA87" i="9"/>
  <c r="S87" i="9"/>
  <c r="K87" i="9"/>
  <c r="AG86" i="9"/>
  <c r="Y86" i="9"/>
  <c r="Q86" i="9"/>
  <c r="I86" i="9"/>
  <c r="AE85" i="9"/>
  <c r="AL112" i="9"/>
  <c r="Z108" i="9"/>
  <c r="L105" i="9"/>
  <c r="R102" i="9"/>
  <c r="X100" i="9"/>
  <c r="S99" i="9"/>
  <c r="N98" i="9"/>
  <c r="Q97" i="9"/>
  <c r="AH96" i="9"/>
  <c r="M96" i="9"/>
  <c r="AC95" i="9"/>
  <c r="H95" i="9"/>
  <c r="Y94" i="9"/>
  <c r="Y118" i="9" s="1"/>
  <c r="T93" i="9"/>
  <c r="AK92" i="9"/>
  <c r="O92" i="9"/>
  <c r="AF91" i="9"/>
  <c r="AF119" i="9" s="1"/>
  <c r="K91" i="9"/>
  <c r="K119" i="9" s="1"/>
  <c r="AA90" i="9"/>
  <c r="F90" i="9"/>
  <c r="W89" i="9"/>
  <c r="J89" i="9"/>
  <c r="AK88" i="9"/>
  <c r="AB88" i="9"/>
  <c r="T88" i="9"/>
  <c r="L88" i="9"/>
  <c r="AH87" i="9"/>
  <c r="Z87" i="9"/>
  <c r="R87" i="9"/>
  <c r="J87" i="9"/>
  <c r="AF86" i="9"/>
  <c r="X86" i="9"/>
  <c r="P86" i="9"/>
  <c r="H86" i="9"/>
  <c r="AL85" i="9"/>
  <c r="AD85" i="9"/>
  <c r="V85" i="9"/>
  <c r="K112" i="9"/>
  <c r="J108" i="9"/>
  <c r="AH104" i="9"/>
  <c r="F102" i="9"/>
  <c r="U100" i="9"/>
  <c r="P99" i="9"/>
  <c r="L98" i="9"/>
  <c r="O97" i="9"/>
  <c r="AE96" i="9"/>
  <c r="J96" i="9"/>
  <c r="AA95" i="9"/>
  <c r="V94" i="9"/>
  <c r="V118" i="9" s="1"/>
  <c r="Q93" i="9"/>
  <c r="AH92" i="9"/>
  <c r="M92" i="9"/>
  <c r="AC91" i="9"/>
  <c r="H91" i="9"/>
  <c r="H120" i="9" s="1"/>
  <c r="Y90" i="9"/>
  <c r="T89" i="9"/>
  <c r="I89" i="9"/>
  <c r="AJ88" i="9"/>
  <c r="AA88" i="9"/>
  <c r="S88" i="9"/>
  <c r="K88" i="9"/>
  <c r="AG87" i="9"/>
  <c r="Y87" i="9"/>
  <c r="Q87" i="9"/>
  <c r="I87" i="9"/>
  <c r="AE86" i="9"/>
  <c r="W86" i="9"/>
  <c r="O86" i="9"/>
  <c r="G86" i="9"/>
  <c r="AK85" i="9"/>
  <c r="AC85" i="9"/>
  <c r="U85" i="9"/>
  <c r="M85" i="9"/>
  <c r="AI84" i="9"/>
  <c r="AA84" i="9"/>
  <c r="S84" i="9"/>
  <c r="K84" i="9"/>
  <c r="AB111" i="9"/>
  <c r="AF107" i="9"/>
  <c r="S104" i="9"/>
  <c r="AE101" i="9"/>
  <c r="M100" i="9"/>
  <c r="H99" i="9"/>
  <c r="L97" i="9"/>
  <c r="AC96" i="9"/>
  <c r="G96" i="9"/>
  <c r="X95" i="9"/>
  <c r="S94" i="9"/>
  <c r="AJ93" i="9"/>
  <c r="O93" i="9"/>
  <c r="AE92" i="9"/>
  <c r="J92" i="9"/>
  <c r="AA91" i="9"/>
  <c r="AA119" i="9" s="1"/>
  <c r="V90" i="9"/>
  <c r="S89" i="9"/>
  <c r="G89" i="9"/>
  <c r="AH88" i="9"/>
  <c r="Z88" i="9"/>
  <c r="R88" i="9"/>
  <c r="J88" i="9"/>
  <c r="AF87" i="9"/>
  <c r="X87" i="9"/>
  <c r="P87" i="9"/>
  <c r="H87" i="9"/>
  <c r="AL86" i="9"/>
  <c r="AD86" i="9"/>
  <c r="V86" i="9"/>
  <c r="N86" i="9"/>
  <c r="F86" i="9"/>
  <c r="AJ85" i="9"/>
  <c r="AB85" i="9"/>
  <c r="T85" i="9"/>
  <c r="L85" i="9"/>
  <c r="AH84" i="9"/>
  <c r="Z84" i="9"/>
  <c r="R84" i="9"/>
  <c r="J84" i="9"/>
  <c r="G111" i="9"/>
  <c r="P107" i="9"/>
  <c r="F104" i="9"/>
  <c r="S101" i="9"/>
  <c r="J100" i="9"/>
  <c r="F99" i="9"/>
  <c r="I97" i="9"/>
  <c r="Z96" i="9"/>
  <c r="U95" i="9"/>
  <c r="AL94" i="9"/>
  <c r="AL118" i="9" s="1"/>
  <c r="Q94" i="9"/>
  <c r="Q118" i="9" s="1"/>
  <c r="AG93" i="9"/>
  <c r="L93" i="9"/>
  <c r="AC92" i="9"/>
  <c r="G92" i="9"/>
  <c r="X91" i="9"/>
  <c r="S90" i="9"/>
  <c r="AJ89" i="9"/>
  <c r="R89" i="9"/>
  <c r="AG88" i="9"/>
  <c r="Y88" i="9"/>
  <c r="Q88" i="9"/>
  <c r="I88" i="9"/>
  <c r="AE87" i="9"/>
  <c r="W87" i="9"/>
  <c r="O87" i="9"/>
  <c r="G87" i="9"/>
  <c r="AK86" i="9"/>
  <c r="AC86" i="9"/>
  <c r="U86" i="9"/>
  <c r="M86" i="9"/>
  <c r="AI85" i="9"/>
  <c r="W110" i="9"/>
  <c r="AL106" i="9"/>
  <c r="AF103" i="9"/>
  <c r="G101" i="9"/>
  <c r="AJ98" i="9"/>
  <c r="AG97" i="9"/>
  <c r="G97" i="9"/>
  <c r="W96" i="9"/>
  <c r="S95" i="9"/>
  <c r="AI94" i="9"/>
  <c r="N94" i="9"/>
  <c r="N118" i="9" s="1"/>
  <c r="AE93" i="9"/>
  <c r="I93" i="9"/>
  <c r="Z92" i="9"/>
  <c r="U91" i="9"/>
  <c r="AL90" i="9"/>
  <c r="Q90" i="9"/>
  <c r="AG89" i="9"/>
  <c r="Q89" i="9"/>
  <c r="AF88" i="9"/>
  <c r="X88" i="9"/>
  <c r="P88" i="9"/>
  <c r="H88" i="9"/>
  <c r="AL87" i="9"/>
  <c r="AD87" i="9"/>
  <c r="V87" i="9"/>
  <c r="N87" i="9"/>
  <c r="F87" i="9"/>
  <c r="AJ86" i="9"/>
  <c r="AB86" i="9"/>
  <c r="T86" i="9"/>
  <c r="L86" i="9"/>
  <c r="AH85" i="9"/>
  <c r="Z85" i="9"/>
  <c r="T109" i="9"/>
  <c r="AD99" i="9"/>
  <c r="R96" i="9"/>
  <c r="I94" i="9"/>
  <c r="I118" i="9" s="1"/>
  <c r="AK91" i="9"/>
  <c r="AK119" i="9" s="1"/>
  <c r="AB89" i="9"/>
  <c r="V88" i="9"/>
  <c r="AB87" i="9"/>
  <c r="AH86" i="9"/>
  <c r="R85" i="9"/>
  <c r="H85" i="9"/>
  <c r="AJ84" i="9"/>
  <c r="X84" i="9"/>
  <c r="N84" i="9"/>
  <c r="V106" i="9"/>
  <c r="AG98" i="9"/>
  <c r="AK95" i="9"/>
  <c r="AB93" i="9"/>
  <c r="S91" i="9"/>
  <c r="S119" i="9" s="1"/>
  <c r="O89" i="9"/>
  <c r="O88" i="9"/>
  <c r="U87" i="9"/>
  <c r="AA86" i="9"/>
  <c r="AG85" i="9"/>
  <c r="Q85" i="9"/>
  <c r="G85" i="9"/>
  <c r="AG84" i="9"/>
  <c r="W84" i="9"/>
  <c r="M84" i="9"/>
  <c r="F106" i="9"/>
  <c r="Y98" i="9"/>
  <c r="AI95" i="9"/>
  <c r="Y93" i="9"/>
  <c r="P91" i="9"/>
  <c r="L89" i="9"/>
  <c r="N88" i="9"/>
  <c r="T87" i="9"/>
  <c r="Z86" i="9"/>
  <c r="AF85" i="9"/>
  <c r="P85" i="9"/>
  <c r="F85" i="9"/>
  <c r="AF84" i="9"/>
  <c r="V84" i="9"/>
  <c r="L84" i="9"/>
  <c r="S103" i="9"/>
  <c r="AE97" i="9"/>
  <c r="P95" i="9"/>
  <c r="G93" i="9"/>
  <c r="AI90" i="9"/>
  <c r="G88" i="9"/>
  <c r="M87" i="9"/>
  <c r="S86" i="9"/>
  <c r="AA85" i="9"/>
  <c r="O85" i="9"/>
  <c r="AE84" i="9"/>
  <c r="U84" i="9"/>
  <c r="I84" i="9"/>
  <c r="G103" i="9"/>
  <c r="Y97" i="9"/>
  <c r="M95" i="9"/>
  <c r="AG90" i="9"/>
  <c r="F88" i="9"/>
  <c r="L87" i="9"/>
  <c r="R86" i="9"/>
  <c r="Y85" i="9"/>
  <c r="N85" i="9"/>
  <c r="AD84" i="9"/>
  <c r="T84" i="9"/>
  <c r="H84" i="9"/>
  <c r="AG94" i="9"/>
  <c r="AG118" i="9" s="1"/>
  <c r="W92" i="9"/>
  <c r="N90" i="9"/>
  <c r="AE88" i="9"/>
  <c r="AK87" i="9"/>
  <c r="K86" i="9"/>
  <c r="X85" i="9"/>
  <c r="K85" i="9"/>
  <c r="AC84" i="9"/>
  <c r="Q84" i="9"/>
  <c r="G84" i="9"/>
  <c r="AH100" i="9"/>
  <c r="AD94" i="9"/>
  <c r="U92" i="9"/>
  <c r="K90" i="9"/>
  <c r="AD88" i="9"/>
  <c r="AJ87" i="9"/>
  <c r="J86" i="9"/>
  <c r="W85" i="9"/>
  <c r="J85" i="9"/>
  <c r="AL84" i="9"/>
  <c r="AB84" i="9"/>
  <c r="P84" i="9"/>
  <c r="F84" i="9"/>
  <c r="AL99" i="9"/>
  <c r="U96" i="9"/>
  <c r="S85" i="9"/>
  <c r="K94" i="9"/>
  <c r="K118" i="9" s="1"/>
  <c r="I85" i="9"/>
  <c r="AK84" i="9"/>
  <c r="AE89" i="9"/>
  <c r="Y84" i="9"/>
  <c r="W88" i="9"/>
  <c r="O84" i="9"/>
  <c r="AC87" i="9"/>
  <c r="AI86" i="9"/>
  <c r="AJ41" i="9"/>
  <c r="AB41" i="9"/>
  <c r="T41" i="9"/>
  <c r="L41" i="9"/>
  <c r="AH41" i="9"/>
  <c r="Z41" i="9"/>
  <c r="R41" i="9"/>
  <c r="J41" i="9"/>
  <c r="AG41" i="9"/>
  <c r="Y41" i="9"/>
  <c r="Q41" i="9"/>
  <c r="I41" i="9"/>
  <c r="AF41" i="9"/>
  <c r="X41" i="9"/>
  <c r="P41" i="9"/>
  <c r="H41" i="9"/>
  <c r="AE41" i="9"/>
  <c r="W41" i="9"/>
  <c r="O41" i="9"/>
  <c r="G41" i="9"/>
  <c r="AL41" i="9"/>
  <c r="AD41" i="9"/>
  <c r="V41" i="9"/>
  <c r="N41" i="9"/>
  <c r="S41" i="9"/>
  <c r="U41" i="9"/>
  <c r="M41" i="9"/>
  <c r="K41" i="9"/>
  <c r="AK41" i="9"/>
  <c r="AC41" i="9"/>
  <c r="AI41" i="9"/>
  <c r="AA41" i="9"/>
  <c r="A45" i="4" a="1"/>
  <c r="A45" i="4" s="1"/>
  <c r="A2" i="4"/>
  <c r="A35" i="4" s="1"/>
  <c r="F145" i="4"/>
  <c r="F146" i="4" s="1"/>
  <c r="E145" i="4"/>
  <c r="E146" i="4" s="1"/>
  <c r="D145" i="4"/>
  <c r="D146" i="4" s="1"/>
  <c r="C145" i="4"/>
  <c r="C146" i="4" s="1"/>
  <c r="C118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F49" i="4"/>
  <c r="E49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D118" i="9" l="1"/>
  <c r="N50" i="4"/>
  <c r="G50" i="4"/>
  <c r="S50" i="4"/>
  <c r="K50" i="4"/>
  <c r="P50" i="4"/>
  <c r="T50" i="4"/>
  <c r="AB50" i="4"/>
  <c r="AA50" i="4"/>
  <c r="V50" i="4"/>
  <c r="Q50" i="4"/>
  <c r="AK50" i="4"/>
  <c r="I50" i="4"/>
  <c r="W50" i="4"/>
  <c r="L50" i="4"/>
  <c r="AD50" i="4"/>
  <c r="Y50" i="4"/>
  <c r="AH50" i="4"/>
  <c r="AF50" i="4"/>
  <c r="AC50" i="4"/>
  <c r="X50" i="4"/>
  <c r="AG50" i="4"/>
  <c r="R50" i="4"/>
  <c r="AE50" i="4"/>
  <c r="O50" i="4"/>
  <c r="U50" i="4"/>
  <c r="M50" i="4"/>
  <c r="H50" i="4"/>
  <c r="AL50" i="4"/>
  <c r="J50" i="4"/>
  <c r="AJ50" i="4"/>
  <c r="Z50" i="4"/>
  <c r="AI50" i="4"/>
  <c r="AH52" i="4"/>
  <c r="AF52" i="4"/>
  <c r="AC52" i="4"/>
  <c r="X52" i="4"/>
  <c r="AG52" i="4"/>
  <c r="N52" i="4"/>
  <c r="R52" i="4"/>
  <c r="AE52" i="4"/>
  <c r="G52" i="4"/>
  <c r="S52" i="4"/>
  <c r="P52" i="4"/>
  <c r="T52" i="4"/>
  <c r="V52" i="4"/>
  <c r="AB52" i="4"/>
  <c r="K52" i="4"/>
  <c r="M52" i="4"/>
  <c r="AA52" i="4"/>
  <c r="Q52" i="4"/>
  <c r="AK52" i="4"/>
  <c r="AD52" i="4"/>
  <c r="I52" i="4"/>
  <c r="L52" i="4"/>
  <c r="Y52" i="4"/>
  <c r="Z52" i="4"/>
  <c r="W52" i="4"/>
  <c r="AI52" i="4"/>
  <c r="O52" i="4"/>
  <c r="U52" i="4"/>
  <c r="H52" i="4"/>
  <c r="AL52" i="4"/>
  <c r="J52" i="4"/>
  <c r="AJ52" i="4"/>
  <c r="AK54" i="4"/>
  <c r="K54" i="4"/>
  <c r="I54" i="4"/>
  <c r="W54" i="4"/>
  <c r="L54" i="4"/>
  <c r="Y54" i="4"/>
  <c r="AH54" i="4"/>
  <c r="N54" i="4"/>
  <c r="AF54" i="4"/>
  <c r="AC54" i="4"/>
  <c r="X54" i="4"/>
  <c r="AG54" i="4"/>
  <c r="R54" i="4"/>
  <c r="AE54" i="4"/>
  <c r="G54" i="4"/>
  <c r="S54" i="4"/>
  <c r="P54" i="4"/>
  <c r="T54" i="4"/>
  <c r="V54" i="4"/>
  <c r="AB54" i="4"/>
  <c r="AA54" i="4"/>
  <c r="Q54" i="4"/>
  <c r="AD54" i="4"/>
  <c r="J54" i="4"/>
  <c r="AJ54" i="4"/>
  <c r="Z54" i="4"/>
  <c r="M54" i="4"/>
  <c r="AI54" i="4"/>
  <c r="O54" i="4"/>
  <c r="U54" i="4"/>
  <c r="AL54" i="4"/>
  <c r="H54" i="4"/>
  <c r="AD56" i="4"/>
  <c r="AB56" i="4"/>
  <c r="M56" i="4"/>
  <c r="AA56" i="4"/>
  <c r="Q56" i="4"/>
  <c r="AK56" i="4"/>
  <c r="I56" i="4"/>
  <c r="N56" i="4"/>
  <c r="L56" i="4"/>
  <c r="Y56" i="4"/>
  <c r="AH56" i="4"/>
  <c r="AF56" i="4"/>
  <c r="AC56" i="4"/>
  <c r="X56" i="4"/>
  <c r="AG56" i="4"/>
  <c r="R56" i="4"/>
  <c r="AE56" i="4"/>
  <c r="K56" i="4"/>
  <c r="V56" i="4"/>
  <c r="G56" i="4"/>
  <c r="S56" i="4"/>
  <c r="P56" i="4"/>
  <c r="T56" i="4"/>
  <c r="H56" i="4"/>
  <c r="W56" i="4"/>
  <c r="J56" i="4"/>
  <c r="AJ56" i="4"/>
  <c r="Z56" i="4"/>
  <c r="AI56" i="4"/>
  <c r="O56" i="4"/>
  <c r="U56" i="4"/>
  <c r="AL56" i="4"/>
  <c r="G58" i="4"/>
  <c r="S58" i="4"/>
  <c r="P58" i="4"/>
  <c r="T58" i="4"/>
  <c r="AD58" i="4"/>
  <c r="AB58" i="4"/>
  <c r="AA58" i="4"/>
  <c r="Q58" i="4"/>
  <c r="N58" i="4"/>
  <c r="I58" i="4"/>
  <c r="W58" i="4"/>
  <c r="L58" i="4"/>
  <c r="Y58" i="4"/>
  <c r="AK58" i="4"/>
  <c r="AH58" i="4"/>
  <c r="AF58" i="4"/>
  <c r="AC58" i="4"/>
  <c r="X58" i="4"/>
  <c r="AG58" i="4"/>
  <c r="V58" i="4"/>
  <c r="R58" i="4"/>
  <c r="AE58" i="4"/>
  <c r="O58" i="4"/>
  <c r="AL58" i="4"/>
  <c r="U58" i="4"/>
  <c r="H58" i="4"/>
  <c r="M58" i="4"/>
  <c r="J58" i="4"/>
  <c r="AJ58" i="4"/>
  <c r="Z58" i="4"/>
  <c r="K58" i="4"/>
  <c r="AI58" i="4"/>
  <c r="AK60" i="4"/>
  <c r="AH60" i="4"/>
  <c r="AF60" i="4"/>
  <c r="AC60" i="4"/>
  <c r="X60" i="4"/>
  <c r="AG60" i="4"/>
  <c r="V60" i="4"/>
  <c r="R60" i="4"/>
  <c r="AE60" i="4"/>
  <c r="G60" i="4"/>
  <c r="S60" i="4"/>
  <c r="P60" i="4"/>
  <c r="T60" i="4"/>
  <c r="AD60" i="4"/>
  <c r="K60" i="4"/>
  <c r="AB60" i="4"/>
  <c r="AA60" i="4"/>
  <c r="Q60" i="4"/>
  <c r="M60" i="4"/>
  <c r="I60" i="4"/>
  <c r="N60" i="4"/>
  <c r="L60" i="4"/>
  <c r="Y60" i="4"/>
  <c r="Z60" i="4"/>
  <c r="AI60" i="4"/>
  <c r="O60" i="4"/>
  <c r="AL60" i="4"/>
  <c r="U60" i="4"/>
  <c r="W60" i="4"/>
  <c r="H60" i="4"/>
  <c r="J60" i="4"/>
  <c r="AJ60" i="4"/>
  <c r="N62" i="4"/>
  <c r="I62" i="4"/>
  <c r="W62" i="4"/>
  <c r="L62" i="4"/>
  <c r="Y62" i="4"/>
  <c r="AK62" i="4"/>
  <c r="AH62" i="4"/>
  <c r="AF62" i="4"/>
  <c r="AC62" i="4"/>
  <c r="X62" i="4"/>
  <c r="AG62" i="4"/>
  <c r="V62" i="4"/>
  <c r="R62" i="4"/>
  <c r="AE62" i="4"/>
  <c r="G62" i="4"/>
  <c r="S62" i="4"/>
  <c r="P62" i="4"/>
  <c r="T62" i="4"/>
  <c r="AD62" i="4"/>
  <c r="AB62" i="4"/>
  <c r="AA62" i="4"/>
  <c r="K62" i="4"/>
  <c r="Q62" i="4"/>
  <c r="M62" i="4"/>
  <c r="J62" i="4"/>
  <c r="AJ62" i="4"/>
  <c r="Z62" i="4"/>
  <c r="AI62" i="4"/>
  <c r="O62" i="4"/>
  <c r="AL62" i="4"/>
  <c r="U62" i="4"/>
  <c r="H62" i="4"/>
  <c r="AB64" i="4"/>
  <c r="AA64" i="4"/>
  <c r="N64" i="4"/>
  <c r="Q64" i="4"/>
  <c r="M64" i="4"/>
  <c r="I64" i="4"/>
  <c r="L64" i="4"/>
  <c r="Y64" i="4"/>
  <c r="AK64" i="4"/>
  <c r="AH64" i="4"/>
  <c r="AF64" i="4"/>
  <c r="AC64" i="4"/>
  <c r="K64" i="4"/>
  <c r="X64" i="4"/>
  <c r="AG64" i="4"/>
  <c r="V64" i="4"/>
  <c r="R64" i="4"/>
  <c r="AE64" i="4"/>
  <c r="G64" i="4"/>
  <c r="S64" i="4"/>
  <c r="P64" i="4"/>
  <c r="T64" i="4"/>
  <c r="AD64" i="4"/>
  <c r="H64" i="4"/>
  <c r="J64" i="4"/>
  <c r="AJ64" i="4"/>
  <c r="W64" i="4"/>
  <c r="Z64" i="4"/>
  <c r="AI64" i="4"/>
  <c r="O64" i="4"/>
  <c r="AL64" i="4"/>
  <c r="U64" i="4"/>
  <c r="G66" i="4"/>
  <c r="S66" i="4"/>
  <c r="P66" i="4"/>
  <c r="T66" i="4"/>
  <c r="AD66" i="4"/>
  <c r="N66" i="4"/>
  <c r="AB66" i="4"/>
  <c r="AA66" i="4"/>
  <c r="Q66" i="4"/>
  <c r="M66" i="4"/>
  <c r="I66" i="4"/>
  <c r="W66" i="4"/>
  <c r="L66" i="4"/>
  <c r="Y66" i="4"/>
  <c r="AK66" i="4"/>
  <c r="AH66" i="4"/>
  <c r="AF66" i="4"/>
  <c r="AC66" i="4"/>
  <c r="X66" i="4"/>
  <c r="AG66" i="4"/>
  <c r="V66" i="4"/>
  <c r="R66" i="4"/>
  <c r="AE66" i="4"/>
  <c r="O66" i="4"/>
  <c r="AL66" i="4"/>
  <c r="U66" i="4"/>
  <c r="H66" i="4"/>
  <c r="J66" i="4"/>
  <c r="AJ66" i="4"/>
  <c r="K66" i="4"/>
  <c r="Z66" i="4"/>
  <c r="AI66" i="4"/>
  <c r="AH68" i="4"/>
  <c r="AF68" i="4"/>
  <c r="AC68" i="4"/>
  <c r="X68" i="4"/>
  <c r="AG68" i="4"/>
  <c r="V68" i="4"/>
  <c r="R68" i="4"/>
  <c r="AE68" i="4"/>
  <c r="G68" i="4"/>
  <c r="S68" i="4"/>
  <c r="K68" i="4"/>
  <c r="P68" i="4"/>
  <c r="T68" i="4"/>
  <c r="AD68" i="4"/>
  <c r="AB68" i="4"/>
  <c r="AA68" i="4"/>
  <c r="Q68" i="4"/>
  <c r="M68" i="4"/>
  <c r="N68" i="4"/>
  <c r="I68" i="4"/>
  <c r="AK68" i="4"/>
  <c r="L68" i="4"/>
  <c r="Y68" i="4"/>
  <c r="Z68" i="4"/>
  <c r="AI68" i="4"/>
  <c r="O68" i="4"/>
  <c r="AL68" i="4"/>
  <c r="U68" i="4"/>
  <c r="H68" i="4"/>
  <c r="W68" i="4"/>
  <c r="J68" i="4"/>
  <c r="AJ68" i="4"/>
  <c r="AG70" i="4"/>
  <c r="L70" i="4"/>
  <c r="AD70" i="4"/>
  <c r="AH70" i="4"/>
  <c r="AF70" i="4"/>
  <c r="AC70" i="4"/>
  <c r="X70" i="4"/>
  <c r="V70" i="4"/>
  <c r="R70" i="4"/>
  <c r="Y70" i="4"/>
  <c r="M70" i="4"/>
  <c r="AE70" i="4"/>
  <c r="AK70" i="4"/>
  <c r="G70" i="4"/>
  <c r="S70" i="4"/>
  <c r="P70" i="4"/>
  <c r="N70" i="4"/>
  <c r="T70" i="4"/>
  <c r="K70" i="4"/>
  <c r="AB70" i="4"/>
  <c r="I70" i="4"/>
  <c r="AA70" i="4"/>
  <c r="Q70" i="4"/>
  <c r="J70" i="4"/>
  <c r="AJ70" i="4"/>
  <c r="Z70" i="4"/>
  <c r="AL70" i="4"/>
  <c r="AI70" i="4"/>
  <c r="O70" i="4"/>
  <c r="U70" i="4"/>
  <c r="H70" i="4"/>
  <c r="W70" i="4"/>
  <c r="AB72" i="4"/>
  <c r="AG72" i="4"/>
  <c r="AA72" i="4"/>
  <c r="AD72" i="4"/>
  <c r="L72" i="4"/>
  <c r="AC72" i="4"/>
  <c r="K72" i="4"/>
  <c r="AH72" i="4"/>
  <c r="AF72" i="4"/>
  <c r="V72" i="4"/>
  <c r="I72" i="4"/>
  <c r="M72" i="4"/>
  <c r="X72" i="4"/>
  <c r="R72" i="4"/>
  <c r="Y72" i="4"/>
  <c r="AE72" i="4"/>
  <c r="AK72" i="4"/>
  <c r="N72" i="4"/>
  <c r="G72" i="4"/>
  <c r="S72" i="4"/>
  <c r="P72" i="4"/>
  <c r="T72" i="4"/>
  <c r="Q72" i="4"/>
  <c r="H72" i="4"/>
  <c r="W72" i="4"/>
  <c r="AL72" i="4"/>
  <c r="J72" i="4"/>
  <c r="AJ72" i="4"/>
  <c r="Z72" i="4"/>
  <c r="AI72" i="4"/>
  <c r="O72" i="4"/>
  <c r="U72" i="4"/>
  <c r="AK74" i="4"/>
  <c r="N74" i="4"/>
  <c r="G74" i="4"/>
  <c r="S74" i="4"/>
  <c r="P74" i="4"/>
  <c r="T74" i="4"/>
  <c r="AB74" i="4"/>
  <c r="AA74" i="4"/>
  <c r="AD74" i="4"/>
  <c r="Q74" i="4"/>
  <c r="Y74" i="4"/>
  <c r="L74" i="4"/>
  <c r="AC74" i="4"/>
  <c r="AH74" i="4"/>
  <c r="AF74" i="4"/>
  <c r="V74" i="4"/>
  <c r="X74" i="4"/>
  <c r="AG74" i="4"/>
  <c r="R74" i="4"/>
  <c r="I74" i="4"/>
  <c r="AE74" i="4"/>
  <c r="O74" i="4"/>
  <c r="U74" i="4"/>
  <c r="H74" i="4"/>
  <c r="W74" i="4"/>
  <c r="AL74" i="4"/>
  <c r="K74" i="4"/>
  <c r="M74" i="4"/>
  <c r="J74" i="4"/>
  <c r="AJ74" i="4"/>
  <c r="Z74" i="4"/>
  <c r="AI74" i="4"/>
  <c r="AH76" i="4"/>
  <c r="AF76" i="4"/>
  <c r="I76" i="4"/>
  <c r="M76" i="4"/>
  <c r="X76" i="4"/>
  <c r="V76" i="4"/>
  <c r="Q76" i="4"/>
  <c r="R76" i="4"/>
  <c r="K76" i="4"/>
  <c r="AE76" i="4"/>
  <c r="AG76" i="4"/>
  <c r="AK76" i="4"/>
  <c r="G76" i="4"/>
  <c r="S76" i="4"/>
  <c r="P76" i="4"/>
  <c r="T76" i="4"/>
  <c r="AB76" i="4"/>
  <c r="AA76" i="4"/>
  <c r="AD76" i="4"/>
  <c r="N76" i="4"/>
  <c r="L76" i="4"/>
  <c r="AC76" i="4"/>
  <c r="Z76" i="4"/>
  <c r="Y76" i="4"/>
  <c r="AI76" i="4"/>
  <c r="O76" i="4"/>
  <c r="U76" i="4"/>
  <c r="H76" i="4"/>
  <c r="W76" i="4"/>
  <c r="AL76" i="4"/>
  <c r="J76" i="4"/>
  <c r="AJ76" i="4"/>
  <c r="N78" i="4"/>
  <c r="L78" i="4"/>
  <c r="AC78" i="4"/>
  <c r="I78" i="4"/>
  <c r="AH78" i="4"/>
  <c r="AF78" i="4"/>
  <c r="Q78" i="4"/>
  <c r="X78" i="4"/>
  <c r="AG78" i="4"/>
  <c r="V78" i="4"/>
  <c r="R78" i="4"/>
  <c r="AE78" i="4"/>
  <c r="AK78" i="4"/>
  <c r="G78" i="4"/>
  <c r="S78" i="4"/>
  <c r="P78" i="4"/>
  <c r="K78" i="4"/>
  <c r="T78" i="4"/>
  <c r="AB78" i="4"/>
  <c r="AA78" i="4"/>
  <c r="AD78" i="4"/>
  <c r="Y78" i="4"/>
  <c r="J78" i="4"/>
  <c r="AJ78" i="4"/>
  <c r="Z78" i="4"/>
  <c r="AI78" i="4"/>
  <c r="O78" i="4"/>
  <c r="AL78" i="4"/>
  <c r="U78" i="4"/>
  <c r="M78" i="4"/>
  <c r="H78" i="4"/>
  <c r="W78" i="4"/>
  <c r="X51" i="4"/>
  <c r="AG51" i="4"/>
  <c r="R51" i="4"/>
  <c r="AE51" i="4"/>
  <c r="G51" i="4"/>
  <c r="S51" i="4"/>
  <c r="P51" i="4"/>
  <c r="N51" i="4"/>
  <c r="T51" i="4"/>
  <c r="AB51" i="4"/>
  <c r="M51" i="4"/>
  <c r="AA51" i="4"/>
  <c r="V51" i="4"/>
  <c r="Q51" i="4"/>
  <c r="AK51" i="4"/>
  <c r="AD51" i="4"/>
  <c r="I51" i="4"/>
  <c r="W51" i="4"/>
  <c r="L51" i="4"/>
  <c r="Y51" i="4"/>
  <c r="AH51" i="4"/>
  <c r="AF51" i="4"/>
  <c r="AC51" i="4"/>
  <c r="AI51" i="4"/>
  <c r="O51" i="4"/>
  <c r="U51" i="4"/>
  <c r="H51" i="4"/>
  <c r="AL51" i="4"/>
  <c r="K51" i="4"/>
  <c r="J51" i="4"/>
  <c r="AJ51" i="4"/>
  <c r="Z51" i="4"/>
  <c r="L53" i="4"/>
  <c r="Y53" i="4"/>
  <c r="AH53" i="4"/>
  <c r="AF53" i="4"/>
  <c r="AC53" i="4"/>
  <c r="X53" i="4"/>
  <c r="AG53" i="4"/>
  <c r="R53" i="4"/>
  <c r="N53" i="4"/>
  <c r="G53" i="4"/>
  <c r="S53" i="4"/>
  <c r="P53" i="4"/>
  <c r="T53" i="4"/>
  <c r="V53" i="4"/>
  <c r="K53" i="4"/>
  <c r="AB53" i="4"/>
  <c r="M53" i="4"/>
  <c r="AA53" i="4"/>
  <c r="Q53" i="4"/>
  <c r="AD53" i="4"/>
  <c r="AK53" i="4"/>
  <c r="I53" i="4"/>
  <c r="W53" i="4"/>
  <c r="J53" i="4"/>
  <c r="AJ53" i="4"/>
  <c r="Z53" i="4"/>
  <c r="AE53" i="4"/>
  <c r="AI53" i="4"/>
  <c r="O53" i="4"/>
  <c r="U53" i="4"/>
  <c r="H53" i="4"/>
  <c r="AL53" i="4"/>
  <c r="AA55" i="4"/>
  <c r="Q55" i="4"/>
  <c r="AK55" i="4"/>
  <c r="I55" i="4"/>
  <c r="W55" i="4"/>
  <c r="L55" i="4"/>
  <c r="Y55" i="4"/>
  <c r="AH55" i="4"/>
  <c r="AF55" i="4"/>
  <c r="AC55" i="4"/>
  <c r="X55" i="4"/>
  <c r="AG55" i="4"/>
  <c r="N55" i="4"/>
  <c r="R55" i="4"/>
  <c r="AE55" i="4"/>
  <c r="G55" i="4"/>
  <c r="S55" i="4"/>
  <c r="K55" i="4"/>
  <c r="P55" i="4"/>
  <c r="T55" i="4"/>
  <c r="V55" i="4"/>
  <c r="AD55" i="4"/>
  <c r="AB55" i="4"/>
  <c r="M55" i="4"/>
  <c r="J55" i="4"/>
  <c r="AJ55" i="4"/>
  <c r="Z55" i="4"/>
  <c r="AI55" i="4"/>
  <c r="O55" i="4"/>
  <c r="AL55" i="4"/>
  <c r="U55" i="4"/>
  <c r="H55" i="4"/>
  <c r="K57" i="4"/>
  <c r="P57" i="4"/>
  <c r="T57" i="4"/>
  <c r="AD57" i="4"/>
  <c r="AB57" i="4"/>
  <c r="M57" i="4"/>
  <c r="AA57" i="4"/>
  <c r="Q57" i="4"/>
  <c r="AK57" i="4"/>
  <c r="I57" i="4"/>
  <c r="W57" i="4"/>
  <c r="L57" i="4"/>
  <c r="Y57" i="4"/>
  <c r="AH57" i="4"/>
  <c r="N57" i="4"/>
  <c r="AF57" i="4"/>
  <c r="AC57" i="4"/>
  <c r="X57" i="4"/>
  <c r="AG57" i="4"/>
  <c r="R57" i="4"/>
  <c r="V57" i="4"/>
  <c r="G57" i="4"/>
  <c r="S57" i="4"/>
  <c r="H57" i="4"/>
  <c r="AE57" i="4"/>
  <c r="J57" i="4"/>
  <c r="AJ57" i="4"/>
  <c r="Z57" i="4"/>
  <c r="AI57" i="4"/>
  <c r="O57" i="4"/>
  <c r="AL57" i="4"/>
  <c r="U57" i="4"/>
  <c r="X59" i="4"/>
  <c r="AG59" i="4"/>
  <c r="V59" i="4"/>
  <c r="R59" i="4"/>
  <c r="AE59" i="4"/>
  <c r="G59" i="4"/>
  <c r="S59" i="4"/>
  <c r="P59" i="4"/>
  <c r="N59" i="4"/>
  <c r="T59" i="4"/>
  <c r="AD59" i="4"/>
  <c r="AB59" i="4"/>
  <c r="AA59" i="4"/>
  <c r="Q59" i="4"/>
  <c r="M59" i="4"/>
  <c r="I59" i="4"/>
  <c r="W59" i="4"/>
  <c r="L59" i="4"/>
  <c r="Y59" i="4"/>
  <c r="AK59" i="4"/>
  <c r="AH59" i="4"/>
  <c r="AF59" i="4"/>
  <c r="AC59" i="4"/>
  <c r="AI59" i="4"/>
  <c r="O59" i="4"/>
  <c r="AL59" i="4"/>
  <c r="U59" i="4"/>
  <c r="H59" i="4"/>
  <c r="K59" i="4"/>
  <c r="J59" i="4"/>
  <c r="AJ59" i="4"/>
  <c r="Z59" i="4"/>
  <c r="L61" i="4"/>
  <c r="Y61" i="4"/>
  <c r="AK61" i="4"/>
  <c r="AH61" i="4"/>
  <c r="AF61" i="4"/>
  <c r="AC61" i="4"/>
  <c r="X61" i="4"/>
  <c r="AG61" i="4"/>
  <c r="V61" i="4"/>
  <c r="R61" i="4"/>
  <c r="N61" i="4"/>
  <c r="G61" i="4"/>
  <c r="S61" i="4"/>
  <c r="P61" i="4"/>
  <c r="T61" i="4"/>
  <c r="K61" i="4"/>
  <c r="AD61" i="4"/>
  <c r="AB61" i="4"/>
  <c r="AA61" i="4"/>
  <c r="Q61" i="4"/>
  <c r="I61" i="4"/>
  <c r="W61" i="4"/>
  <c r="J61" i="4"/>
  <c r="AJ61" i="4"/>
  <c r="Z61" i="4"/>
  <c r="AI61" i="4"/>
  <c r="O61" i="4"/>
  <c r="AL61" i="4"/>
  <c r="U61" i="4"/>
  <c r="AE61" i="4"/>
  <c r="H61" i="4"/>
  <c r="M61" i="4"/>
  <c r="AA63" i="4"/>
  <c r="Q63" i="4"/>
  <c r="M63" i="4"/>
  <c r="I63" i="4"/>
  <c r="W63" i="4"/>
  <c r="L63" i="4"/>
  <c r="Y63" i="4"/>
  <c r="AK63" i="4"/>
  <c r="AH63" i="4"/>
  <c r="AF63" i="4"/>
  <c r="AC63" i="4"/>
  <c r="X63" i="4"/>
  <c r="AG63" i="4"/>
  <c r="N63" i="4"/>
  <c r="V63" i="4"/>
  <c r="R63" i="4"/>
  <c r="AE63" i="4"/>
  <c r="K63" i="4"/>
  <c r="G63" i="4"/>
  <c r="S63" i="4"/>
  <c r="P63" i="4"/>
  <c r="T63" i="4"/>
  <c r="AD63" i="4"/>
  <c r="AB63" i="4"/>
  <c r="J63" i="4"/>
  <c r="AJ63" i="4"/>
  <c r="Z63" i="4"/>
  <c r="AI63" i="4"/>
  <c r="O63" i="4"/>
  <c r="AL63" i="4"/>
  <c r="U63" i="4"/>
  <c r="H63" i="4"/>
  <c r="P65" i="4"/>
  <c r="T65" i="4"/>
  <c r="AD65" i="4"/>
  <c r="AB65" i="4"/>
  <c r="AA65" i="4"/>
  <c r="Q65" i="4"/>
  <c r="K65" i="4"/>
  <c r="I65" i="4"/>
  <c r="W65" i="4"/>
  <c r="L65" i="4"/>
  <c r="Y65" i="4"/>
  <c r="AK65" i="4"/>
  <c r="AH65" i="4"/>
  <c r="N65" i="4"/>
  <c r="AF65" i="4"/>
  <c r="AC65" i="4"/>
  <c r="X65" i="4"/>
  <c r="AG65" i="4"/>
  <c r="V65" i="4"/>
  <c r="R65" i="4"/>
  <c r="G65" i="4"/>
  <c r="S65" i="4"/>
  <c r="M65" i="4"/>
  <c r="H65" i="4"/>
  <c r="J65" i="4"/>
  <c r="AJ65" i="4"/>
  <c r="AE65" i="4"/>
  <c r="Z65" i="4"/>
  <c r="AI65" i="4"/>
  <c r="O65" i="4"/>
  <c r="AL65" i="4"/>
  <c r="U65" i="4"/>
  <c r="X67" i="4"/>
  <c r="AG67" i="4"/>
  <c r="V67" i="4"/>
  <c r="R67" i="4"/>
  <c r="AE67" i="4"/>
  <c r="G67" i="4"/>
  <c r="S67" i="4"/>
  <c r="P67" i="4"/>
  <c r="T67" i="4"/>
  <c r="AD67" i="4"/>
  <c r="N67" i="4"/>
  <c r="AB67" i="4"/>
  <c r="AA67" i="4"/>
  <c r="Q67" i="4"/>
  <c r="M67" i="4"/>
  <c r="AK67" i="4"/>
  <c r="I67" i="4"/>
  <c r="W67" i="4"/>
  <c r="L67" i="4"/>
  <c r="Y67" i="4"/>
  <c r="AH67" i="4"/>
  <c r="AF67" i="4"/>
  <c r="AC67" i="4"/>
  <c r="AI67" i="4"/>
  <c r="O67" i="4"/>
  <c r="AL67" i="4"/>
  <c r="U67" i="4"/>
  <c r="K67" i="4"/>
  <c r="H67" i="4"/>
  <c r="J67" i="4"/>
  <c r="AJ67" i="4"/>
  <c r="Z67" i="4"/>
  <c r="AK69" i="4"/>
  <c r="L69" i="4"/>
  <c r="Y69" i="4"/>
  <c r="AH69" i="4"/>
  <c r="AF69" i="4"/>
  <c r="AC69" i="4"/>
  <c r="X69" i="4"/>
  <c r="AG69" i="4"/>
  <c r="V69" i="4"/>
  <c r="R69" i="4"/>
  <c r="G69" i="4"/>
  <c r="K69" i="4"/>
  <c r="S69" i="4"/>
  <c r="P69" i="4"/>
  <c r="N69" i="4"/>
  <c r="T69" i="4"/>
  <c r="AD69" i="4"/>
  <c r="AB69" i="4"/>
  <c r="AA69" i="4"/>
  <c r="Q69" i="4"/>
  <c r="I69" i="4"/>
  <c r="J69" i="4"/>
  <c r="AJ69" i="4"/>
  <c r="M69" i="4"/>
  <c r="Z69" i="4"/>
  <c r="AI69" i="4"/>
  <c r="O69" i="4"/>
  <c r="AL69" i="4"/>
  <c r="U69" i="4"/>
  <c r="H69" i="4"/>
  <c r="AE69" i="4"/>
  <c r="W69" i="4"/>
  <c r="AA71" i="4"/>
  <c r="V71" i="4"/>
  <c r="AD71" i="4"/>
  <c r="Y71" i="4"/>
  <c r="L71" i="4"/>
  <c r="AC71" i="4"/>
  <c r="I71" i="4"/>
  <c r="AH71" i="4"/>
  <c r="AF71" i="4"/>
  <c r="Q71" i="4"/>
  <c r="M71" i="4"/>
  <c r="X71" i="4"/>
  <c r="K71" i="4"/>
  <c r="R71" i="4"/>
  <c r="AE71" i="4"/>
  <c r="AK71" i="4"/>
  <c r="G71" i="4"/>
  <c r="S71" i="4"/>
  <c r="AG71" i="4"/>
  <c r="P71" i="4"/>
  <c r="N71" i="4"/>
  <c r="T71" i="4"/>
  <c r="AB71" i="4"/>
  <c r="W71" i="4"/>
  <c r="AL71" i="4"/>
  <c r="J71" i="4"/>
  <c r="AJ71" i="4"/>
  <c r="Z71" i="4"/>
  <c r="AI71" i="4"/>
  <c r="O71" i="4"/>
  <c r="U71" i="4"/>
  <c r="H71" i="4"/>
  <c r="P73" i="4"/>
  <c r="T73" i="4"/>
  <c r="Q73" i="4"/>
  <c r="AB73" i="4"/>
  <c r="Y73" i="4"/>
  <c r="K73" i="4"/>
  <c r="AA73" i="4"/>
  <c r="AD73" i="4"/>
  <c r="L73" i="4"/>
  <c r="AC73" i="4"/>
  <c r="AG73" i="4"/>
  <c r="AH73" i="4"/>
  <c r="AF73" i="4"/>
  <c r="V73" i="4"/>
  <c r="I73" i="4"/>
  <c r="M73" i="4"/>
  <c r="X73" i="4"/>
  <c r="R73" i="4"/>
  <c r="AK73" i="4"/>
  <c r="N73" i="4"/>
  <c r="G73" i="4"/>
  <c r="S73" i="4"/>
  <c r="H73" i="4"/>
  <c r="W73" i="4"/>
  <c r="AL73" i="4"/>
  <c r="J73" i="4"/>
  <c r="AJ73" i="4"/>
  <c r="Z73" i="4"/>
  <c r="AI73" i="4"/>
  <c r="AE73" i="4"/>
  <c r="O73" i="4"/>
  <c r="U73" i="4"/>
  <c r="X75" i="4"/>
  <c r="R75" i="4"/>
  <c r="I75" i="4"/>
  <c r="AE75" i="4"/>
  <c r="AK75" i="4"/>
  <c r="N75" i="4"/>
  <c r="G75" i="4"/>
  <c r="S75" i="4"/>
  <c r="Y75" i="4"/>
  <c r="P75" i="4"/>
  <c r="T75" i="4"/>
  <c r="AB75" i="4"/>
  <c r="AG75" i="4"/>
  <c r="AA75" i="4"/>
  <c r="AD75" i="4"/>
  <c r="Q75" i="4"/>
  <c r="L75" i="4"/>
  <c r="AC75" i="4"/>
  <c r="AH75" i="4"/>
  <c r="AF75" i="4"/>
  <c r="V75" i="4"/>
  <c r="M75" i="4"/>
  <c r="AI75" i="4"/>
  <c r="O75" i="4"/>
  <c r="U75" i="4"/>
  <c r="K75" i="4"/>
  <c r="H75" i="4"/>
  <c r="W75" i="4"/>
  <c r="AL75" i="4"/>
  <c r="J75" i="4"/>
  <c r="AJ75" i="4"/>
  <c r="Z75" i="4"/>
  <c r="N77" i="4"/>
  <c r="L77" i="4"/>
  <c r="AC77" i="4"/>
  <c r="AH77" i="4"/>
  <c r="AF77" i="4"/>
  <c r="M77" i="4"/>
  <c r="X77" i="4"/>
  <c r="V77" i="4"/>
  <c r="K77" i="4"/>
  <c r="R77" i="4"/>
  <c r="AG77" i="4"/>
  <c r="AK77" i="4"/>
  <c r="G77" i="4"/>
  <c r="S77" i="4"/>
  <c r="I77" i="4"/>
  <c r="P77" i="4"/>
  <c r="T77" i="4"/>
  <c r="AB77" i="4"/>
  <c r="AA77" i="4"/>
  <c r="Q77" i="4"/>
  <c r="AD77" i="4"/>
  <c r="Y77" i="4"/>
  <c r="AE77" i="4"/>
  <c r="J77" i="4"/>
  <c r="AJ77" i="4"/>
  <c r="Z77" i="4"/>
  <c r="AI77" i="4"/>
  <c r="O77" i="4"/>
  <c r="U77" i="4"/>
  <c r="H77" i="4"/>
  <c r="W77" i="4"/>
  <c r="AL77" i="4"/>
  <c r="V119" i="9"/>
  <c r="V121" i="9" s="1"/>
  <c r="X119" i="9"/>
  <c r="P119" i="9"/>
  <c r="N120" i="9"/>
  <c r="J118" i="9"/>
  <c r="R118" i="9"/>
  <c r="Z118" i="9"/>
  <c r="M118" i="9"/>
  <c r="X118" i="9"/>
  <c r="AI118" i="9"/>
  <c r="AI121" i="9" s="1"/>
  <c r="M119" i="9"/>
  <c r="AG119" i="9"/>
  <c r="AG121" i="9" s="1"/>
  <c r="H118" i="9"/>
  <c r="T119" i="9"/>
  <c r="T121" i="9" s="1"/>
  <c r="I106" i="9"/>
  <c r="M108" i="9"/>
  <c r="I110" i="9"/>
  <c r="M112" i="9"/>
  <c r="U99" i="9"/>
  <c r="Q101" i="9"/>
  <c r="U103" i="9"/>
  <c r="Q105" i="9"/>
  <c r="U107" i="9"/>
  <c r="Q109" i="9"/>
  <c r="U111" i="9"/>
  <c r="Z101" i="9"/>
  <c r="V103" i="9"/>
  <c r="R105" i="9"/>
  <c r="N107" i="9"/>
  <c r="J109" i="9"/>
  <c r="AK112" i="9"/>
  <c r="AG112" i="9"/>
  <c r="U118" i="9"/>
  <c r="G118" i="9"/>
  <c r="P118" i="9"/>
  <c r="AB119" i="9"/>
  <c r="AB121" i="9" s="1"/>
  <c r="P120" i="9"/>
  <c r="V112" i="9"/>
  <c r="AC99" i="9"/>
  <c r="Y101" i="9"/>
  <c r="AC103" i="9"/>
  <c r="Y105" i="9"/>
  <c r="AC107" i="9"/>
  <c r="Y109" i="9"/>
  <c r="AC111" i="9"/>
  <c r="AH101" i="9"/>
  <c r="AD103" i="9"/>
  <c r="Z105" i="9"/>
  <c r="V107" i="9"/>
  <c r="Z109" i="9"/>
  <c r="AJ109" i="9"/>
  <c r="AB112" i="9"/>
  <c r="AC119" i="9"/>
  <c r="AC118" i="9"/>
  <c r="O118" i="9"/>
  <c r="AJ119" i="9"/>
  <c r="AJ121" i="9" s="1"/>
  <c r="AF112" i="9"/>
  <c r="AK99" i="9"/>
  <c r="AG101" i="9"/>
  <c r="AK103" i="9"/>
  <c r="AG105" i="9"/>
  <c r="AK107" i="9"/>
  <c r="AG109" i="9"/>
  <c r="AK111" i="9"/>
  <c r="L102" i="9"/>
  <c r="AL103" i="9"/>
  <c r="AH105" i="9"/>
  <c r="AD107" i="9"/>
  <c r="L110" i="9"/>
  <c r="N110" i="9"/>
  <c r="AL120" i="9"/>
  <c r="U119" i="9"/>
  <c r="AK118" i="9"/>
  <c r="AK121" i="9" s="1"/>
  <c r="W118" i="9"/>
  <c r="J119" i="9"/>
  <c r="AF118" i="9"/>
  <c r="AF121" i="9" s="1"/>
  <c r="G119" i="9"/>
  <c r="AE118" i="9"/>
  <c r="R119" i="9"/>
  <c r="AA118" i="9"/>
  <c r="AA121" i="9" s="1"/>
  <c r="O119" i="9"/>
  <c r="I119" i="9"/>
  <c r="I121" i="9" s="1"/>
  <c r="Z119" i="9"/>
  <c r="O105" i="9"/>
  <c r="S107" i="9"/>
  <c r="O109" i="9"/>
  <c r="S111" i="9"/>
  <c r="AA98" i="9"/>
  <c r="W100" i="9"/>
  <c r="AA102" i="9"/>
  <c r="W104" i="9"/>
  <c r="AA106" i="9"/>
  <c r="W108" i="9"/>
  <c r="AA110" i="9"/>
  <c r="X112" i="9"/>
  <c r="AJ102" i="9"/>
  <c r="X104" i="9"/>
  <c r="AB106" i="9"/>
  <c r="P108" i="9"/>
  <c r="V111" i="9"/>
  <c r="X111" i="9"/>
  <c r="W119" i="9"/>
  <c r="Q119" i="9"/>
  <c r="Q121" i="9" s="1"/>
  <c r="AH119" i="9"/>
  <c r="S118" i="9"/>
  <c r="S121" i="9" s="1"/>
  <c r="AE119" i="9"/>
  <c r="Y119" i="9"/>
  <c r="Y121" i="9" s="1"/>
  <c r="L119" i="9"/>
  <c r="L121" i="9" s="1"/>
  <c r="AH118" i="9"/>
  <c r="S120" i="9"/>
  <c r="M120" i="9"/>
  <c r="AD119" i="9"/>
  <c r="AD121" i="9" s="1"/>
  <c r="H119" i="9"/>
  <c r="F119" i="9"/>
  <c r="F121" i="9" s="1"/>
  <c r="AI120" i="9"/>
  <c r="AJ120" i="9"/>
  <c r="O120" i="9"/>
  <c r="R120" i="9"/>
  <c r="AH120" i="9"/>
  <c r="Y120" i="9"/>
  <c r="AA120" i="9"/>
  <c r="Z120" i="9"/>
  <c r="N119" i="9"/>
  <c r="N121" i="9" s="1"/>
  <c r="AF120" i="9"/>
  <c r="AG120" i="9"/>
  <c r="AK120" i="9"/>
  <c r="AE120" i="9"/>
  <c r="G120" i="9"/>
  <c r="L120" i="9"/>
  <c r="X120" i="9"/>
  <c r="W120" i="9"/>
  <c r="T120" i="9"/>
  <c r="I120" i="9"/>
  <c r="AB120" i="9"/>
  <c r="AC120" i="9"/>
  <c r="J120" i="9"/>
  <c r="U120" i="9"/>
  <c r="K120" i="9"/>
  <c r="V120" i="9"/>
  <c r="Q120" i="9"/>
  <c r="A34" i="4"/>
  <c r="K121" i="9"/>
  <c r="AL121" i="9"/>
  <c r="T110" i="9"/>
  <c r="H112" i="9"/>
  <c r="V110" i="9"/>
  <c r="R112" i="9"/>
  <c r="AJ110" i="9"/>
  <c r="Z112" i="9"/>
  <c r="AL110" i="9"/>
  <c r="Y112" i="9"/>
  <c r="R109" i="9"/>
  <c r="N111" i="9"/>
  <c r="AB109" i="9"/>
  <c r="P111" i="9"/>
  <c r="T112" i="9"/>
  <c r="AH109" i="9"/>
  <c r="AD111" i="9"/>
  <c r="F110" i="9"/>
  <c r="AF111" i="9"/>
  <c r="AJ112" i="10"/>
  <c r="AB112" i="10"/>
  <c r="T112" i="10"/>
  <c r="AG112" i="10"/>
  <c r="Y112" i="10"/>
  <c r="AI112" i="10"/>
  <c r="X112" i="10"/>
  <c r="O112" i="10"/>
  <c r="G112" i="10"/>
  <c r="AK111" i="10"/>
  <c r="AC111" i="10"/>
  <c r="U111" i="10"/>
  <c r="M111" i="10"/>
  <c r="AI110" i="10"/>
  <c r="AA110" i="10"/>
  <c r="S110" i="10"/>
  <c r="K110" i="10"/>
  <c r="AG109" i="10"/>
  <c r="Y109" i="10"/>
  <c r="Q109" i="10"/>
  <c r="I109" i="10"/>
  <c r="AE108" i="10"/>
  <c r="W108" i="10"/>
  <c r="O108" i="10"/>
  <c r="G108" i="10"/>
  <c r="AK107" i="10"/>
  <c r="AC107" i="10"/>
  <c r="U107" i="10"/>
  <c r="M107" i="10"/>
  <c r="AI106" i="10"/>
  <c r="AA106" i="10"/>
  <c r="S106" i="10"/>
  <c r="K106" i="10"/>
  <c r="AG105" i="10"/>
  <c r="Y105" i="10"/>
  <c r="Q105" i="10"/>
  <c r="I105" i="10"/>
  <c r="AH112" i="10"/>
  <c r="W112" i="10"/>
  <c r="N112" i="10"/>
  <c r="F112" i="10"/>
  <c r="AJ111" i="10"/>
  <c r="AB111" i="10"/>
  <c r="T111" i="10"/>
  <c r="L111" i="10"/>
  <c r="AH110" i="10"/>
  <c r="Z110" i="10"/>
  <c r="R110" i="10"/>
  <c r="J110" i="10"/>
  <c r="AF109" i="10"/>
  <c r="X109" i="10"/>
  <c r="P109" i="10"/>
  <c r="H109" i="10"/>
  <c r="AL108" i="10"/>
  <c r="AD108" i="10"/>
  <c r="V108" i="10"/>
  <c r="N108" i="10"/>
  <c r="F108" i="10"/>
  <c r="AJ107" i="10"/>
  <c r="AB107" i="10"/>
  <c r="T107" i="10"/>
  <c r="L107" i="10"/>
  <c r="AH106" i="10"/>
  <c r="Z106" i="10"/>
  <c r="R106" i="10"/>
  <c r="AF112" i="10"/>
  <c r="V112" i="10"/>
  <c r="M112" i="10"/>
  <c r="AI111" i="10"/>
  <c r="AA111" i="10"/>
  <c r="S111" i="10"/>
  <c r="K111" i="10"/>
  <c r="AG110" i="10"/>
  <c r="Y110" i="10"/>
  <c r="Q110" i="10"/>
  <c r="I110" i="10"/>
  <c r="AE109" i="10"/>
  <c r="W109" i="10"/>
  <c r="O109" i="10"/>
  <c r="G109" i="10"/>
  <c r="AK108" i="10"/>
  <c r="AC108" i="10"/>
  <c r="U108" i="10"/>
  <c r="M108" i="10"/>
  <c r="AI107" i="10"/>
  <c r="AA107" i="10"/>
  <c r="S107" i="10"/>
  <c r="K107" i="10"/>
  <c r="AG106" i="10"/>
  <c r="Y106" i="10"/>
  <c r="Q106" i="10"/>
  <c r="I106" i="10"/>
  <c r="AE105" i="10"/>
  <c r="W105" i="10"/>
  <c r="O105" i="10"/>
  <c r="G105" i="10"/>
  <c r="AK104" i="10"/>
  <c r="AC104" i="10"/>
  <c r="U104" i="10"/>
  <c r="M104" i="10"/>
  <c r="AI103" i="10"/>
  <c r="AA103" i="10"/>
  <c r="S103" i="10"/>
  <c r="K103" i="10"/>
  <c r="AE112" i="10"/>
  <c r="U112" i="10"/>
  <c r="L112" i="10"/>
  <c r="AH111" i="10"/>
  <c r="Z111" i="10"/>
  <c r="R111" i="10"/>
  <c r="J111" i="10"/>
  <c r="AF110" i="10"/>
  <c r="X110" i="10"/>
  <c r="P110" i="10"/>
  <c r="H110" i="10"/>
  <c r="AL109" i="10"/>
  <c r="AD109" i="10"/>
  <c r="V109" i="10"/>
  <c r="N109" i="10"/>
  <c r="F109" i="10"/>
  <c r="AJ108" i="10"/>
  <c r="AB108" i="10"/>
  <c r="T108" i="10"/>
  <c r="L108" i="10"/>
  <c r="AH107" i="10"/>
  <c r="Z107" i="10"/>
  <c r="R107" i="10"/>
  <c r="J107" i="10"/>
  <c r="AF106" i="10"/>
  <c r="X106" i="10"/>
  <c r="P106" i="10"/>
  <c r="H106" i="10"/>
  <c r="AD112" i="10"/>
  <c r="S112" i="10"/>
  <c r="K112" i="10"/>
  <c r="AG111" i="10"/>
  <c r="Y111" i="10"/>
  <c r="Q111" i="10"/>
  <c r="I111" i="10"/>
  <c r="AE110" i="10"/>
  <c r="W110" i="10"/>
  <c r="O110" i="10"/>
  <c r="G110" i="10"/>
  <c r="AK109" i="10"/>
  <c r="AC109" i="10"/>
  <c r="U109" i="10"/>
  <c r="M109" i="10"/>
  <c r="AI108" i="10"/>
  <c r="AA108" i="10"/>
  <c r="S108" i="10"/>
  <c r="K108" i="10"/>
  <c r="AG107" i="10"/>
  <c r="Y107" i="10"/>
  <c r="Q107" i="10"/>
  <c r="I107" i="10"/>
  <c r="AE106" i="10"/>
  <c r="W106" i="10"/>
  <c r="O106" i="10"/>
  <c r="G106" i="10"/>
  <c r="AK105" i="10"/>
  <c r="AC105" i="10"/>
  <c r="U105" i="10"/>
  <c r="M105" i="10"/>
  <c r="AI104" i="10"/>
  <c r="AA104" i="10"/>
  <c r="S104" i="10"/>
  <c r="K104" i="10"/>
  <c r="AG103" i="10"/>
  <c r="Y103" i="10"/>
  <c r="Q103" i="10"/>
  <c r="I103" i="10"/>
  <c r="AE102" i="10"/>
  <c r="W102" i="10"/>
  <c r="O102" i="10"/>
  <c r="G102" i="10"/>
  <c r="AK101" i="10"/>
  <c r="AC101" i="10"/>
  <c r="U101" i="10"/>
  <c r="M101" i="10"/>
  <c r="AI100" i="10"/>
  <c r="AA100" i="10"/>
  <c r="AC112" i="10"/>
  <c r="R112" i="10"/>
  <c r="J112" i="10"/>
  <c r="AF111" i="10"/>
  <c r="X111" i="10"/>
  <c r="P111" i="10"/>
  <c r="H111" i="10"/>
  <c r="AL110" i="10"/>
  <c r="AD110" i="10"/>
  <c r="V110" i="10"/>
  <c r="N110" i="10"/>
  <c r="F110" i="10"/>
  <c r="AJ109" i="10"/>
  <c r="AB109" i="10"/>
  <c r="T109" i="10"/>
  <c r="L109" i="10"/>
  <c r="AH108" i="10"/>
  <c r="Z108" i="10"/>
  <c r="R108" i="10"/>
  <c r="J108" i="10"/>
  <c r="AF107" i="10"/>
  <c r="X107" i="10"/>
  <c r="P107" i="10"/>
  <c r="H107" i="10"/>
  <c r="AL106" i="10"/>
  <c r="AD106" i="10"/>
  <c r="V106" i="10"/>
  <c r="N106" i="10"/>
  <c r="F106" i="10"/>
  <c r="AJ105" i="10"/>
  <c r="AB105" i="10"/>
  <c r="T105" i="10"/>
  <c r="L105" i="10"/>
  <c r="AH104" i="10"/>
  <c r="Z104" i="10"/>
  <c r="R104" i="10"/>
  <c r="J104" i="10"/>
  <c r="AF103" i="10"/>
  <c r="X103" i="10"/>
  <c r="P103" i="10"/>
  <c r="H103" i="10"/>
  <c r="AL102" i="10"/>
  <c r="AD102" i="10"/>
  <c r="V102" i="10"/>
  <c r="N102" i="10"/>
  <c r="F102" i="10"/>
  <c r="AJ101" i="10"/>
  <c r="AB101" i="10"/>
  <c r="AL112" i="10"/>
  <c r="AA112" i="10"/>
  <c r="Q112" i="10"/>
  <c r="I112" i="10"/>
  <c r="AE111" i="10"/>
  <c r="W111" i="10"/>
  <c r="O111" i="10"/>
  <c r="G111" i="10"/>
  <c r="AK110" i="10"/>
  <c r="AC110" i="10"/>
  <c r="U110" i="10"/>
  <c r="M110" i="10"/>
  <c r="AI109" i="10"/>
  <c r="AA109" i="10"/>
  <c r="S109" i="10"/>
  <c r="K109" i="10"/>
  <c r="AG108" i="10"/>
  <c r="Y108" i="10"/>
  <c r="Q108" i="10"/>
  <c r="I108" i="10"/>
  <c r="AE107" i="10"/>
  <c r="W107" i="10"/>
  <c r="O107" i="10"/>
  <c r="G107" i="10"/>
  <c r="AK106" i="10"/>
  <c r="AC106" i="10"/>
  <c r="U106" i="10"/>
  <c r="M106" i="10"/>
  <c r="AI105" i="10"/>
  <c r="AA105" i="10"/>
  <c r="S105" i="10"/>
  <c r="K105" i="10"/>
  <c r="AG104" i="10"/>
  <c r="Y104" i="10"/>
  <c r="Q104" i="10"/>
  <c r="I104" i="10"/>
  <c r="AE103" i="10"/>
  <c r="W103" i="10"/>
  <c r="O103" i="10"/>
  <c r="G103" i="10"/>
  <c r="AK102" i="10"/>
  <c r="AC102" i="10"/>
  <c r="U102" i="10"/>
  <c r="M102" i="10"/>
  <c r="AI101" i="10"/>
  <c r="AA101" i="10"/>
  <c r="S101" i="10"/>
  <c r="K101" i="10"/>
  <c r="AG100" i="10"/>
  <c r="Y100" i="10"/>
  <c r="AL111" i="10"/>
  <c r="L110" i="10"/>
  <c r="X108" i="10"/>
  <c r="AJ106" i="10"/>
  <c r="AH105" i="10"/>
  <c r="N105" i="10"/>
  <c r="AE104" i="10"/>
  <c r="O104" i="10"/>
  <c r="AK103" i="10"/>
  <c r="U103" i="10"/>
  <c r="AF102" i="10"/>
  <c r="R102" i="10"/>
  <c r="AE101" i="10"/>
  <c r="R101" i="10"/>
  <c r="H101" i="10"/>
  <c r="AJ100" i="10"/>
  <c r="X100" i="10"/>
  <c r="P100" i="10"/>
  <c r="H100" i="10"/>
  <c r="AL99" i="10"/>
  <c r="AD99" i="10"/>
  <c r="V99" i="10"/>
  <c r="N99" i="10"/>
  <c r="F99" i="10"/>
  <c r="AJ98" i="10"/>
  <c r="AB98" i="10"/>
  <c r="T98" i="10"/>
  <c r="L98" i="10"/>
  <c r="AH97" i="10"/>
  <c r="Z97" i="10"/>
  <c r="R97" i="10"/>
  <c r="J97" i="10"/>
  <c r="AF96" i="10"/>
  <c r="X96" i="10"/>
  <c r="P96" i="10"/>
  <c r="H96" i="10"/>
  <c r="AL95" i="10"/>
  <c r="AD95" i="10"/>
  <c r="V95" i="10"/>
  <c r="N95" i="10"/>
  <c r="F95" i="10"/>
  <c r="AJ94" i="10"/>
  <c r="AB94" i="10"/>
  <c r="T94" i="10"/>
  <c r="L94" i="10"/>
  <c r="AH93" i="10"/>
  <c r="Z93" i="10"/>
  <c r="R93" i="10"/>
  <c r="J93" i="10"/>
  <c r="AF92" i="10"/>
  <c r="X92" i="10"/>
  <c r="P92" i="10"/>
  <c r="H92" i="10"/>
  <c r="AL91" i="10"/>
  <c r="AD91" i="10"/>
  <c r="V91" i="10"/>
  <c r="N91" i="10"/>
  <c r="F91" i="10"/>
  <c r="AJ90" i="10"/>
  <c r="AB90" i="10"/>
  <c r="T90" i="10"/>
  <c r="L90" i="10"/>
  <c r="AH89" i="10"/>
  <c r="Z89" i="10"/>
  <c r="R89" i="10"/>
  <c r="J89" i="10"/>
  <c r="AF88" i="10"/>
  <c r="X88" i="10"/>
  <c r="P88" i="10"/>
  <c r="H88" i="10"/>
  <c r="AL87" i="10"/>
  <c r="AD87" i="10"/>
  <c r="V87" i="10"/>
  <c r="N87" i="10"/>
  <c r="AD111" i="10"/>
  <c r="P108" i="10"/>
  <c r="AB106" i="10"/>
  <c r="AF105" i="10"/>
  <c r="J105" i="10"/>
  <c r="AD104" i="10"/>
  <c r="N104" i="10"/>
  <c r="AJ103" i="10"/>
  <c r="T103" i="10"/>
  <c r="AB102" i="10"/>
  <c r="Q102" i="10"/>
  <c r="AD101" i="10"/>
  <c r="Q101" i="10"/>
  <c r="G101" i="10"/>
  <c r="AH100" i="10"/>
  <c r="W100" i="10"/>
  <c r="O100" i="10"/>
  <c r="G100" i="10"/>
  <c r="AK99" i="10"/>
  <c r="AC99" i="10"/>
  <c r="U99" i="10"/>
  <c r="M99" i="10"/>
  <c r="AI98" i="10"/>
  <c r="AA98" i="10"/>
  <c r="S98" i="10"/>
  <c r="K98" i="10"/>
  <c r="AG97" i="10"/>
  <c r="Y97" i="10"/>
  <c r="Q97" i="10"/>
  <c r="I97" i="10"/>
  <c r="AE96" i="10"/>
  <c r="W96" i="10"/>
  <c r="O96" i="10"/>
  <c r="G96" i="10"/>
  <c r="AK95" i="10"/>
  <c r="AC95" i="10"/>
  <c r="U95" i="10"/>
  <c r="M95" i="10"/>
  <c r="AI94" i="10"/>
  <c r="AA94" i="10"/>
  <c r="S94" i="10"/>
  <c r="K94" i="10"/>
  <c r="AG93" i="10"/>
  <c r="Y93" i="10"/>
  <c r="Q93" i="10"/>
  <c r="I93" i="10"/>
  <c r="V111" i="10"/>
  <c r="AH109" i="10"/>
  <c r="H108" i="10"/>
  <c r="T106" i="10"/>
  <c r="AD105" i="10"/>
  <c r="H105" i="10"/>
  <c r="AB104" i="10"/>
  <c r="L104" i="10"/>
  <c r="AH103" i="10"/>
  <c r="R103" i="10"/>
  <c r="AA102" i="10"/>
  <c r="P102" i="10"/>
  <c r="Z101" i="10"/>
  <c r="P101" i="10"/>
  <c r="F101" i="10"/>
  <c r="AF100" i="10"/>
  <c r="V100" i="10"/>
  <c r="N100" i="10"/>
  <c r="F100" i="10"/>
  <c r="AJ99" i="10"/>
  <c r="AB99" i="10"/>
  <c r="T99" i="10"/>
  <c r="L99" i="10"/>
  <c r="AH98" i="10"/>
  <c r="Z98" i="10"/>
  <c r="R98" i="10"/>
  <c r="J98" i="10"/>
  <c r="AF97" i="10"/>
  <c r="X97" i="10"/>
  <c r="P97" i="10"/>
  <c r="H97" i="10"/>
  <c r="AL96" i="10"/>
  <c r="AD96" i="10"/>
  <c r="V96" i="10"/>
  <c r="N96" i="10"/>
  <c r="F96" i="10"/>
  <c r="AJ95" i="10"/>
  <c r="AB95" i="10"/>
  <c r="T95" i="10"/>
  <c r="L95" i="10"/>
  <c r="AH94" i="10"/>
  <c r="Z94" i="10"/>
  <c r="R94" i="10"/>
  <c r="J94" i="10"/>
  <c r="AF93" i="10"/>
  <c r="X93" i="10"/>
  <c r="P93" i="10"/>
  <c r="H93" i="10"/>
  <c r="AL92" i="10"/>
  <c r="AD92" i="10"/>
  <c r="V92" i="10"/>
  <c r="N92" i="10"/>
  <c r="F92" i="10"/>
  <c r="AJ91" i="10"/>
  <c r="AB91" i="10"/>
  <c r="T91" i="10"/>
  <c r="L91" i="10"/>
  <c r="AH90" i="10"/>
  <c r="Z90" i="10"/>
  <c r="N111" i="10"/>
  <c r="Z109" i="10"/>
  <c r="AL107" i="10"/>
  <c r="L106" i="10"/>
  <c r="Z105" i="10"/>
  <c r="F105" i="10"/>
  <c r="X104" i="10"/>
  <c r="H104" i="10"/>
  <c r="AD103" i="10"/>
  <c r="N103" i="10"/>
  <c r="Z102" i="10"/>
  <c r="L102" i="10"/>
  <c r="Y101" i="10"/>
  <c r="O101" i="10"/>
  <c r="AE100" i="10"/>
  <c r="U100" i="10"/>
  <c r="M100" i="10"/>
  <c r="AI99" i="10"/>
  <c r="AA99" i="10"/>
  <c r="S99" i="10"/>
  <c r="K99" i="10"/>
  <c r="AG98" i="10"/>
  <c r="Y98" i="10"/>
  <c r="Q98" i="10"/>
  <c r="I98" i="10"/>
  <c r="AE97" i="10"/>
  <c r="W97" i="10"/>
  <c r="O97" i="10"/>
  <c r="G97" i="10"/>
  <c r="AK96" i="10"/>
  <c r="AC96" i="10"/>
  <c r="U96" i="10"/>
  <c r="M96" i="10"/>
  <c r="AI95" i="10"/>
  <c r="AA95" i="10"/>
  <c r="S95" i="10"/>
  <c r="K95" i="10"/>
  <c r="AG94" i="10"/>
  <c r="Y94" i="10"/>
  <c r="Q94" i="10"/>
  <c r="I94" i="10"/>
  <c r="AE93" i="10"/>
  <c r="W93" i="10"/>
  <c r="O93" i="10"/>
  <c r="G93" i="10"/>
  <c r="AK92" i="10"/>
  <c r="AK112" i="10"/>
  <c r="F111" i="10"/>
  <c r="R109" i="10"/>
  <c r="AD107" i="10"/>
  <c r="J106" i="10"/>
  <c r="X105" i="10"/>
  <c r="W104" i="10"/>
  <c r="G104" i="10"/>
  <c r="AC103" i="10"/>
  <c r="M103" i="10"/>
  <c r="AJ102" i="10"/>
  <c r="Y102" i="10"/>
  <c r="K102" i="10"/>
  <c r="AL101" i="10"/>
  <c r="X101" i="10"/>
  <c r="N101" i="10"/>
  <c r="AD100" i="10"/>
  <c r="T100" i="10"/>
  <c r="L100" i="10"/>
  <c r="AH99" i="10"/>
  <c r="Z99" i="10"/>
  <c r="R99" i="10"/>
  <c r="J99" i="10"/>
  <c r="AF98" i="10"/>
  <c r="X98" i="10"/>
  <c r="P98" i="10"/>
  <c r="H98" i="10"/>
  <c r="AL97" i="10"/>
  <c r="AD97" i="10"/>
  <c r="V97" i="10"/>
  <c r="N97" i="10"/>
  <c r="F97" i="10"/>
  <c r="AJ96" i="10"/>
  <c r="AB96" i="10"/>
  <c r="T96" i="10"/>
  <c r="L96" i="10"/>
  <c r="AH95" i="10"/>
  <c r="Z95" i="10"/>
  <c r="R95" i="10"/>
  <c r="J95" i="10"/>
  <c r="AF94" i="10"/>
  <c r="X94" i="10"/>
  <c r="P94" i="10"/>
  <c r="H94" i="10"/>
  <c r="AL93" i="10"/>
  <c r="AD93" i="10"/>
  <c r="V93" i="10"/>
  <c r="N93" i="10"/>
  <c r="F93" i="10"/>
  <c r="AJ92" i="10"/>
  <c r="AB92" i="10"/>
  <c r="T92" i="10"/>
  <c r="L92" i="10"/>
  <c r="AH91" i="10"/>
  <c r="Z91" i="10"/>
  <c r="R91" i="10"/>
  <c r="J91" i="10"/>
  <c r="AF90" i="10"/>
  <c r="X90" i="10"/>
  <c r="P90" i="10"/>
  <c r="H90" i="10"/>
  <c r="AL89" i="10"/>
  <c r="AD89" i="10"/>
  <c r="V89" i="10"/>
  <c r="N89" i="10"/>
  <c r="F89" i="10"/>
  <c r="AJ88" i="10"/>
  <c r="AB88" i="10"/>
  <c r="T88" i="10"/>
  <c r="L88" i="10"/>
  <c r="AH87" i="10"/>
  <c r="Z87" i="10"/>
  <c r="R87" i="10"/>
  <c r="Z112" i="10"/>
  <c r="AJ110" i="10"/>
  <c r="J109" i="10"/>
  <c r="V107" i="10"/>
  <c r="V105" i="10"/>
  <c r="AL104" i="10"/>
  <c r="V104" i="10"/>
  <c r="F104" i="10"/>
  <c r="AB103" i="10"/>
  <c r="L103" i="10"/>
  <c r="AI102" i="10"/>
  <c r="X102" i="10"/>
  <c r="J102" i="10"/>
  <c r="AH101" i="10"/>
  <c r="W101" i="10"/>
  <c r="L101" i="10"/>
  <c r="AC100" i="10"/>
  <c r="S100" i="10"/>
  <c r="K100" i="10"/>
  <c r="AG99" i="10"/>
  <c r="Y99" i="10"/>
  <c r="Q99" i="10"/>
  <c r="I99" i="10"/>
  <c r="AE98" i="10"/>
  <c r="W98" i="10"/>
  <c r="O98" i="10"/>
  <c r="G98" i="10"/>
  <c r="AK97" i="10"/>
  <c r="AC97" i="10"/>
  <c r="U97" i="10"/>
  <c r="M97" i="10"/>
  <c r="AI96" i="10"/>
  <c r="AA96" i="10"/>
  <c r="S96" i="10"/>
  <c r="K96" i="10"/>
  <c r="AG95" i="10"/>
  <c r="Y95" i="10"/>
  <c r="Q95" i="10"/>
  <c r="I95" i="10"/>
  <c r="AE94" i="10"/>
  <c r="W94" i="10"/>
  <c r="O94" i="10"/>
  <c r="G94" i="10"/>
  <c r="AK93" i="10"/>
  <c r="AC93" i="10"/>
  <c r="U93" i="10"/>
  <c r="M93" i="10"/>
  <c r="AI92" i="10"/>
  <c r="AA92" i="10"/>
  <c r="S92" i="10"/>
  <c r="K92" i="10"/>
  <c r="AG91" i="10"/>
  <c r="Y91" i="10"/>
  <c r="Q91" i="10"/>
  <c r="I91" i="10"/>
  <c r="AE90" i="10"/>
  <c r="W90" i="10"/>
  <c r="P112" i="10"/>
  <c r="AB110" i="10"/>
  <c r="N107" i="10"/>
  <c r="R105" i="10"/>
  <c r="AJ104" i="10"/>
  <c r="T104" i="10"/>
  <c r="Z103" i="10"/>
  <c r="J103" i="10"/>
  <c r="AH102" i="10"/>
  <c r="T102" i="10"/>
  <c r="I102" i="10"/>
  <c r="AG101" i="10"/>
  <c r="V101" i="10"/>
  <c r="J101" i="10"/>
  <c r="AL100" i="10"/>
  <c r="AB100" i="10"/>
  <c r="R100" i="10"/>
  <c r="J100" i="10"/>
  <c r="AF99" i="10"/>
  <c r="X99" i="10"/>
  <c r="P99" i="10"/>
  <c r="H99" i="10"/>
  <c r="AL98" i="10"/>
  <c r="AD98" i="10"/>
  <c r="V98" i="10"/>
  <c r="N98" i="10"/>
  <c r="F98" i="10"/>
  <c r="AJ97" i="10"/>
  <c r="AB97" i="10"/>
  <c r="T97" i="10"/>
  <c r="L97" i="10"/>
  <c r="AH96" i="10"/>
  <c r="Z96" i="10"/>
  <c r="R96" i="10"/>
  <c r="J96" i="10"/>
  <c r="AF95" i="10"/>
  <c r="AF118" i="10" s="1"/>
  <c r="X95" i="10"/>
  <c r="X118" i="10" s="1"/>
  <c r="P95" i="10"/>
  <c r="P118" i="10" s="1"/>
  <c r="H95" i="10"/>
  <c r="AL94" i="10"/>
  <c r="AD94" i="10"/>
  <c r="V94" i="10"/>
  <c r="N94" i="10"/>
  <c r="F94" i="10"/>
  <c r="AJ93" i="10"/>
  <c r="AB93" i="10"/>
  <c r="T93" i="10"/>
  <c r="L93" i="10"/>
  <c r="AH92" i="10"/>
  <c r="Z92" i="10"/>
  <c r="R92" i="10"/>
  <c r="J92" i="10"/>
  <c r="AF91" i="10"/>
  <c r="X91" i="10"/>
  <c r="P91" i="10"/>
  <c r="H91" i="10"/>
  <c r="AL90" i="10"/>
  <c r="AD90" i="10"/>
  <c r="V90" i="10"/>
  <c r="N90" i="10"/>
  <c r="F90" i="10"/>
  <c r="H112" i="10"/>
  <c r="AL103" i="10"/>
  <c r="I101" i="10"/>
  <c r="O99" i="10"/>
  <c r="AA97" i="10"/>
  <c r="M94" i="10"/>
  <c r="AE92" i="10"/>
  <c r="I92" i="10"/>
  <c r="AA91" i="10"/>
  <c r="U90" i="10"/>
  <c r="I90" i="10"/>
  <c r="AI89" i="10"/>
  <c r="X89" i="10"/>
  <c r="M89" i="10"/>
  <c r="AD88" i="10"/>
  <c r="S88" i="10"/>
  <c r="I88" i="10"/>
  <c r="AJ87" i="10"/>
  <c r="Y87" i="10"/>
  <c r="O87" i="10"/>
  <c r="F87" i="10"/>
  <c r="AJ86" i="10"/>
  <c r="AB86" i="10"/>
  <c r="T86" i="10"/>
  <c r="L86" i="10"/>
  <c r="AH85" i="10"/>
  <c r="Z85" i="10"/>
  <c r="R85" i="10"/>
  <c r="J85" i="10"/>
  <c r="AF84" i="10"/>
  <c r="X84" i="10"/>
  <c r="P84" i="10"/>
  <c r="H84" i="10"/>
  <c r="T110" i="10"/>
  <c r="V103" i="10"/>
  <c r="AK100" i="10"/>
  <c r="G99" i="10"/>
  <c r="S97" i="10"/>
  <c r="AE95" i="10"/>
  <c r="AE118" i="10" s="1"/>
  <c r="AC92" i="10"/>
  <c r="G92" i="10"/>
  <c r="W91" i="10"/>
  <c r="S90" i="10"/>
  <c r="G90" i="10"/>
  <c r="AG89" i="10"/>
  <c r="W89" i="10"/>
  <c r="L89" i="10"/>
  <c r="AC88" i="10"/>
  <c r="R88" i="10"/>
  <c r="G88" i="10"/>
  <c r="AI87" i="10"/>
  <c r="X87" i="10"/>
  <c r="M87" i="10"/>
  <c r="AI86" i="10"/>
  <c r="AA86" i="10"/>
  <c r="S86" i="10"/>
  <c r="K86" i="10"/>
  <c r="AG85" i="10"/>
  <c r="Y85" i="10"/>
  <c r="Q85" i="10"/>
  <c r="I85" i="10"/>
  <c r="AE84" i="10"/>
  <c r="W84" i="10"/>
  <c r="O84" i="10"/>
  <c r="G84" i="10"/>
  <c r="AF108" i="10"/>
  <c r="F103" i="10"/>
  <c r="Z100" i="10"/>
  <c r="AK98" i="10"/>
  <c r="K97" i="10"/>
  <c r="W95" i="10"/>
  <c r="W118" i="10" s="1"/>
  <c r="AI93" i="10"/>
  <c r="Y92" i="10"/>
  <c r="U91" i="10"/>
  <c r="AK90" i="10"/>
  <c r="R90" i="10"/>
  <c r="AF89" i="10"/>
  <c r="U89" i="10"/>
  <c r="K89" i="10"/>
  <c r="AL88" i="10"/>
  <c r="AA88" i="10"/>
  <c r="Q88" i="10"/>
  <c r="F88" i="10"/>
  <c r="AG87" i="10"/>
  <c r="W87" i="10"/>
  <c r="L87" i="10"/>
  <c r="AH86" i="10"/>
  <c r="Z86" i="10"/>
  <c r="R86" i="10"/>
  <c r="J86" i="10"/>
  <c r="AF85" i="10"/>
  <c r="X85" i="10"/>
  <c r="P85" i="10"/>
  <c r="H85" i="10"/>
  <c r="AL84" i="10"/>
  <c r="AD84" i="10"/>
  <c r="V84" i="10"/>
  <c r="N84" i="10"/>
  <c r="F84" i="10"/>
  <c r="F107" i="10"/>
  <c r="AG102" i="10"/>
  <c r="Q100" i="10"/>
  <c r="AC98" i="10"/>
  <c r="O95" i="10"/>
  <c r="O118" i="10" s="1"/>
  <c r="AA93" i="10"/>
  <c r="W92" i="10"/>
  <c r="S91" i="10"/>
  <c r="AI90" i="10"/>
  <c r="Q90" i="10"/>
  <c r="AE89" i="10"/>
  <c r="T89" i="10"/>
  <c r="I89" i="10"/>
  <c r="AK88" i="10"/>
  <c r="Z88" i="10"/>
  <c r="O88" i="10"/>
  <c r="AF87" i="10"/>
  <c r="U87" i="10"/>
  <c r="K87" i="10"/>
  <c r="AG86" i="10"/>
  <c r="Y86" i="10"/>
  <c r="Q86" i="10"/>
  <c r="I86" i="10"/>
  <c r="AE85" i="10"/>
  <c r="W85" i="10"/>
  <c r="O85" i="10"/>
  <c r="G85" i="10"/>
  <c r="AK84" i="10"/>
  <c r="AC84" i="10"/>
  <c r="U84" i="10"/>
  <c r="M84" i="10"/>
  <c r="AL105" i="10"/>
  <c r="S102" i="10"/>
  <c r="I100" i="10"/>
  <c r="U98" i="10"/>
  <c r="AG96" i="10"/>
  <c r="G95" i="10"/>
  <c r="G118" i="10" s="1"/>
  <c r="S93" i="10"/>
  <c r="U92" i="10"/>
  <c r="AK91" i="10"/>
  <c r="O91" i="10"/>
  <c r="AG90" i="10"/>
  <c r="O90" i="10"/>
  <c r="AC89" i="10"/>
  <c r="S89" i="10"/>
  <c r="H89" i="10"/>
  <c r="AI88" i="10"/>
  <c r="Y88" i="10"/>
  <c r="N88" i="10"/>
  <c r="AE87" i="10"/>
  <c r="T87" i="10"/>
  <c r="J87" i="10"/>
  <c r="AF86" i="10"/>
  <c r="X86" i="10"/>
  <c r="P86" i="10"/>
  <c r="H86" i="10"/>
  <c r="AL85" i="10"/>
  <c r="AD85" i="10"/>
  <c r="V85" i="10"/>
  <c r="N85" i="10"/>
  <c r="F85" i="10"/>
  <c r="AJ84" i="10"/>
  <c r="AB84" i="10"/>
  <c r="T84" i="10"/>
  <c r="L84" i="10"/>
  <c r="P105" i="10"/>
  <c r="H102" i="10"/>
  <c r="M98" i="10"/>
  <c r="Y96" i="10"/>
  <c r="AK94" i="10"/>
  <c r="K93" i="10"/>
  <c r="Q92" i="10"/>
  <c r="AI91" i="10"/>
  <c r="M91" i="10"/>
  <c r="AC90" i="10"/>
  <c r="M90" i="10"/>
  <c r="AB89" i="10"/>
  <c r="Q89" i="10"/>
  <c r="G89" i="10"/>
  <c r="AH88" i="10"/>
  <c r="W88" i="10"/>
  <c r="M88" i="10"/>
  <c r="AC87" i="10"/>
  <c r="S87" i="10"/>
  <c r="I87" i="10"/>
  <c r="AE86" i="10"/>
  <c r="W86" i="10"/>
  <c r="O86" i="10"/>
  <c r="G86" i="10"/>
  <c r="AK85" i="10"/>
  <c r="AC85" i="10"/>
  <c r="U85" i="10"/>
  <c r="U119" i="10" s="1"/>
  <c r="M85" i="10"/>
  <c r="AI84" i="10"/>
  <c r="AA84" i="10"/>
  <c r="S84" i="10"/>
  <c r="K84" i="10"/>
  <c r="AF101" i="10"/>
  <c r="AC94" i="10"/>
  <c r="K91" i="10"/>
  <c r="AA89" i="10"/>
  <c r="V88" i="10"/>
  <c r="Q87" i="10"/>
  <c r="V86" i="10"/>
  <c r="AB85" i="10"/>
  <c r="AH84" i="10"/>
  <c r="T101" i="10"/>
  <c r="U94" i="10"/>
  <c r="G91" i="10"/>
  <c r="Y89" i="10"/>
  <c r="U88" i="10"/>
  <c r="P87" i="10"/>
  <c r="U86" i="10"/>
  <c r="AA85" i="10"/>
  <c r="AA119" i="10" s="1"/>
  <c r="AA120" i="10" s="1"/>
  <c r="AG84" i="10"/>
  <c r="AE99" i="10"/>
  <c r="AA90" i="10"/>
  <c r="P89" i="10"/>
  <c r="K88" i="10"/>
  <c r="H87" i="10"/>
  <c r="N86" i="10"/>
  <c r="T85" i="10"/>
  <c r="T119" i="10" s="1"/>
  <c r="Z84" i="10"/>
  <c r="W99" i="10"/>
  <c r="AG92" i="10"/>
  <c r="Y90" i="10"/>
  <c r="O89" i="10"/>
  <c r="J88" i="10"/>
  <c r="G87" i="10"/>
  <c r="M86" i="10"/>
  <c r="S85" i="10"/>
  <c r="S119" i="10" s="1"/>
  <c r="S120" i="10" s="1"/>
  <c r="Y84" i="10"/>
  <c r="O92" i="10"/>
  <c r="K90" i="10"/>
  <c r="AL86" i="10"/>
  <c r="F86" i="10"/>
  <c r="L85" i="10"/>
  <c r="R84" i="10"/>
  <c r="AI97" i="10"/>
  <c r="M92" i="10"/>
  <c r="J90" i="10"/>
  <c r="AK87" i="10"/>
  <c r="AK86" i="10"/>
  <c r="K85" i="10"/>
  <c r="Q84" i="10"/>
  <c r="AF104" i="10"/>
  <c r="Q96" i="10"/>
  <c r="AE91" i="10"/>
  <c r="AK89" i="10"/>
  <c r="AG88" i="10"/>
  <c r="AB87" i="10"/>
  <c r="AD86" i="10"/>
  <c r="AJ85" i="10"/>
  <c r="J84" i="10"/>
  <c r="AC91" i="10"/>
  <c r="AJ89" i="10"/>
  <c r="AE88" i="10"/>
  <c r="AA87" i="10"/>
  <c r="AC86" i="10"/>
  <c r="AI85" i="10"/>
  <c r="AI119" i="10" s="1"/>
  <c r="AI120" i="10" s="1"/>
  <c r="P104" i="10"/>
  <c r="I96" i="10"/>
  <c r="I84" i="10"/>
  <c r="E112" i="4"/>
  <c r="E89" i="4"/>
  <c r="E97" i="4"/>
  <c r="E105" i="4"/>
  <c r="E113" i="4"/>
  <c r="E96" i="4"/>
  <c r="E83" i="4"/>
  <c r="E90" i="4"/>
  <c r="E98" i="4"/>
  <c r="E106" i="4"/>
  <c r="E91" i="4"/>
  <c r="E99" i="4"/>
  <c r="E107" i="4"/>
  <c r="E84" i="4"/>
  <c r="E92" i="4"/>
  <c r="E100" i="4"/>
  <c r="E108" i="4"/>
  <c r="E88" i="4"/>
  <c r="E85" i="4"/>
  <c r="E93" i="4"/>
  <c r="E101" i="4"/>
  <c r="E109" i="4"/>
  <c r="E104" i="4"/>
  <c r="E86" i="4"/>
  <c r="E94" i="4"/>
  <c r="E102" i="4"/>
  <c r="E110" i="4"/>
  <c r="E87" i="4"/>
  <c r="E95" i="4"/>
  <c r="E103" i="4"/>
  <c r="E111" i="4"/>
  <c r="D45" i="4"/>
  <c r="C45" i="4"/>
  <c r="B45" i="4"/>
  <c r="B41" i="4" s="1"/>
  <c r="A118" i="4"/>
  <c r="A119" i="4" s="1"/>
  <c r="A87" i="4"/>
  <c r="F53" i="4"/>
  <c r="A91" i="4"/>
  <c r="F57" i="4"/>
  <c r="A84" i="4"/>
  <c r="F50" i="4"/>
  <c r="A88" i="4"/>
  <c r="F54" i="4"/>
  <c r="A92" i="4"/>
  <c r="F58" i="4"/>
  <c r="A94" i="4"/>
  <c r="F60" i="4"/>
  <c r="A98" i="4"/>
  <c r="F64" i="4"/>
  <c r="A86" i="4"/>
  <c r="F52" i="4"/>
  <c r="A90" i="4"/>
  <c r="F56" i="4"/>
  <c r="A96" i="4"/>
  <c r="F62" i="4"/>
  <c r="A95" i="4"/>
  <c r="F61" i="4"/>
  <c r="A41" i="4"/>
  <c r="F51" i="4"/>
  <c r="A100" i="4"/>
  <c r="F66" i="4"/>
  <c r="A102" i="4"/>
  <c r="F68" i="4"/>
  <c r="A104" i="4"/>
  <c r="F70" i="4"/>
  <c r="A106" i="4"/>
  <c r="F72" i="4"/>
  <c r="A108" i="4"/>
  <c r="F74" i="4"/>
  <c r="A110" i="4"/>
  <c r="F76" i="4"/>
  <c r="A112" i="4"/>
  <c r="F78" i="4"/>
  <c r="F63" i="4"/>
  <c r="F55" i="4"/>
  <c r="A85" i="4"/>
  <c r="A89" i="4"/>
  <c r="A93" i="4"/>
  <c r="A97" i="4"/>
  <c r="A99" i="4"/>
  <c r="F65" i="4"/>
  <c r="A101" i="4"/>
  <c r="F67" i="4"/>
  <c r="A103" i="4"/>
  <c r="F69" i="4"/>
  <c r="A105" i="4"/>
  <c r="F71" i="4"/>
  <c r="A107" i="4"/>
  <c r="F73" i="4"/>
  <c r="A109" i="4"/>
  <c r="F75" i="4"/>
  <c r="A111" i="4"/>
  <c r="F77" i="4"/>
  <c r="F59" i="4"/>
  <c r="C119" i="4"/>
  <c r="P121" i="9" l="1"/>
  <c r="X121" i="9"/>
  <c r="M121" i="9"/>
  <c r="R121" i="9"/>
  <c r="Z121" i="9"/>
  <c r="J121" i="9"/>
  <c r="L119" i="10"/>
  <c r="L120" i="10" s="1"/>
  <c r="H118" i="10"/>
  <c r="W121" i="9"/>
  <c r="G121" i="9"/>
  <c r="H121" i="9"/>
  <c r="AH121" i="9"/>
  <c r="U121" i="9"/>
  <c r="O121" i="9"/>
  <c r="AC121" i="9"/>
  <c r="AE121" i="9"/>
  <c r="U120" i="10"/>
  <c r="V119" i="10"/>
  <c r="V120" i="10" s="1"/>
  <c r="AH118" i="10"/>
  <c r="AK119" i="10"/>
  <c r="AK120" i="10" s="1"/>
  <c r="AD119" i="10"/>
  <c r="AD120" i="10" s="1"/>
  <c r="I118" i="10"/>
  <c r="J118" i="10"/>
  <c r="F118" i="10"/>
  <c r="M119" i="10"/>
  <c r="F119" i="10"/>
  <c r="F120" i="10" s="1"/>
  <c r="Q118" i="10"/>
  <c r="R118" i="10"/>
  <c r="K118" i="10"/>
  <c r="L118" i="10"/>
  <c r="M118" i="10"/>
  <c r="N118" i="10"/>
  <c r="N119" i="10"/>
  <c r="Y118" i="10"/>
  <c r="Z118" i="10"/>
  <c r="S118" i="10"/>
  <c r="S122" i="10" s="1"/>
  <c r="T118" i="10"/>
  <c r="T121" i="10" s="1"/>
  <c r="U118" i="10"/>
  <c r="U121" i="10" s="1"/>
  <c r="V118" i="10"/>
  <c r="T120" i="10"/>
  <c r="AC119" i="10"/>
  <c r="G119" i="10"/>
  <c r="H119" i="10"/>
  <c r="AG118" i="10"/>
  <c r="AA118" i="10"/>
  <c r="AA122" i="10" s="1"/>
  <c r="AB118" i="10"/>
  <c r="AC118" i="10"/>
  <c r="AD118" i="10"/>
  <c r="O119" i="10"/>
  <c r="P119" i="10"/>
  <c r="I119" i="10"/>
  <c r="J119" i="10"/>
  <c r="AI118" i="10"/>
  <c r="AI122" i="10" s="1"/>
  <c r="AJ118" i="10"/>
  <c r="AK118" i="10"/>
  <c r="AL118" i="10"/>
  <c r="AJ119" i="10"/>
  <c r="AB119" i="10"/>
  <c r="AL119" i="10"/>
  <c r="W119" i="10"/>
  <c r="X119" i="10"/>
  <c r="Q119" i="10"/>
  <c r="R119" i="10"/>
  <c r="K119" i="10"/>
  <c r="AE119" i="10"/>
  <c r="AF119" i="10"/>
  <c r="Y119" i="10"/>
  <c r="Z119" i="10"/>
  <c r="AG119" i="10"/>
  <c r="AH119" i="10"/>
  <c r="C41" i="4"/>
  <c r="D41" i="4"/>
  <c r="L121" i="10" l="1"/>
  <c r="AK122" i="10"/>
  <c r="B118" i="9"/>
  <c r="B119" i="9"/>
  <c r="AK121" i="10"/>
  <c r="S121" i="10"/>
  <c r="V122" i="10"/>
  <c r="U122" i="10"/>
  <c r="V121" i="10"/>
  <c r="AD121" i="10"/>
  <c r="T122" i="10"/>
  <c r="X120" i="10"/>
  <c r="X122" i="10" s="1"/>
  <c r="X121" i="10"/>
  <c r="N120" i="10"/>
  <c r="N122" i="10" s="1"/>
  <c r="N121" i="10"/>
  <c r="M120" i="10"/>
  <c r="M122" i="10" s="1"/>
  <c r="M121" i="10"/>
  <c r="AD122" i="10"/>
  <c r="O120" i="10"/>
  <c r="O122" i="10" s="1"/>
  <c r="O121" i="10"/>
  <c r="Z120" i="10"/>
  <c r="Z122" i="10" s="1"/>
  <c r="Z121" i="10"/>
  <c r="W120" i="10"/>
  <c r="W122" i="10" s="1"/>
  <c r="W121" i="10"/>
  <c r="AI121" i="10"/>
  <c r="L122" i="10"/>
  <c r="Y120" i="10"/>
  <c r="Y122" i="10" s="1"/>
  <c r="Y121" i="10"/>
  <c r="AL120" i="10"/>
  <c r="AL122" i="10" s="1"/>
  <c r="AL121" i="10"/>
  <c r="AA121" i="10"/>
  <c r="Q120" i="10"/>
  <c r="Q122" i="10" s="1"/>
  <c r="Q121" i="10"/>
  <c r="AF120" i="10"/>
  <c r="AF122" i="10" s="1"/>
  <c r="AF121" i="10"/>
  <c r="AB120" i="10"/>
  <c r="AB122" i="10" s="1"/>
  <c r="AB121" i="10"/>
  <c r="AE120" i="10"/>
  <c r="AE122" i="10" s="1"/>
  <c r="AE121" i="10"/>
  <c r="AJ121" i="10"/>
  <c r="AJ120" i="10"/>
  <c r="AJ122" i="10" s="1"/>
  <c r="J120" i="10"/>
  <c r="J122" i="10" s="1"/>
  <c r="J121" i="10"/>
  <c r="AH120" i="10"/>
  <c r="AH122" i="10" s="1"/>
  <c r="AH121" i="10"/>
  <c r="K120" i="10"/>
  <c r="K122" i="10" s="1"/>
  <c r="K121" i="10"/>
  <c r="I120" i="10"/>
  <c r="I122" i="10" s="1"/>
  <c r="I121" i="10"/>
  <c r="H120" i="10"/>
  <c r="H122" i="10" s="1"/>
  <c r="H121" i="10"/>
  <c r="AC120" i="10"/>
  <c r="AC122" i="10" s="1"/>
  <c r="AC121" i="10"/>
  <c r="AG120" i="10"/>
  <c r="AG122" i="10" s="1"/>
  <c r="AG121" i="10"/>
  <c r="R120" i="10"/>
  <c r="R122" i="10" s="1"/>
  <c r="R121" i="10"/>
  <c r="P120" i="10"/>
  <c r="P122" i="10" s="1"/>
  <c r="P121" i="10"/>
  <c r="G120" i="10"/>
  <c r="G122" i="10" s="1"/>
  <c r="G121" i="10"/>
  <c r="F121" i="10"/>
  <c r="O41" i="4"/>
  <c r="F122" i="10"/>
  <c r="E126" i="9" a="1"/>
  <c r="AD139" i="9" s="1"/>
  <c r="J41" i="4"/>
  <c r="S41" i="4"/>
  <c r="AK41" i="4"/>
  <c r="L41" i="4"/>
  <c r="AD41" i="4"/>
  <c r="R41" i="4"/>
  <c r="N41" i="4"/>
  <c r="U41" i="4"/>
  <c r="AG41" i="4"/>
  <c r="T41" i="4"/>
  <c r="G41" i="4"/>
  <c r="AI41" i="4"/>
  <c r="K41" i="4"/>
  <c r="AL41" i="4"/>
  <c r="AJ41" i="4"/>
  <c r="X41" i="4"/>
  <c r="W41" i="4"/>
  <c r="AH41" i="4"/>
  <c r="AB41" i="4"/>
  <c r="Q41" i="4"/>
  <c r="AF41" i="4"/>
  <c r="Z41" i="4"/>
  <c r="AC41" i="4"/>
  <c r="H41" i="4"/>
  <c r="AE41" i="4"/>
  <c r="AA41" i="4"/>
  <c r="F41" i="4"/>
  <c r="E41" i="4"/>
  <c r="C82" i="4" s="1"/>
  <c r="M41" i="4"/>
  <c r="V41" i="4"/>
  <c r="Y41" i="4"/>
  <c r="I41" i="4"/>
  <c r="P41" i="4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I119" i="4" s="1"/>
  <c r="Q103" i="4"/>
  <c r="Y103" i="4"/>
  <c r="Y119" i="4" s="1"/>
  <c r="AG103" i="4"/>
  <c r="AG119" i="4" s="1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AI100" i="4"/>
  <c r="K101" i="4"/>
  <c r="S101" i="4"/>
  <c r="AA101" i="4"/>
  <c r="AI101" i="4"/>
  <c r="K102" i="4"/>
  <c r="S102" i="4"/>
  <c r="AA102" i="4"/>
  <c r="AI102" i="4"/>
  <c r="K103" i="4"/>
  <c r="S103" i="4"/>
  <c r="S119" i="4" s="1"/>
  <c r="AA103" i="4"/>
  <c r="AA119" i="4" s="1"/>
  <c r="AI103" i="4"/>
  <c r="AI119" i="4" s="1"/>
  <c r="K104" i="4"/>
  <c r="S104" i="4"/>
  <c r="AA104" i="4"/>
  <c r="AI104" i="4"/>
  <c r="K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N84" i="4"/>
  <c r="V84" i="4"/>
  <c r="AD84" i="4"/>
  <c r="AL84" i="4"/>
  <c r="N85" i="4"/>
  <c r="V85" i="4"/>
  <c r="AD85" i="4"/>
  <c r="AL85" i="4"/>
  <c r="N86" i="4"/>
  <c r="V86" i="4"/>
  <c r="AD86" i="4"/>
  <c r="AL86" i="4"/>
  <c r="N87" i="4"/>
  <c r="V87" i="4"/>
  <c r="AD87" i="4"/>
  <c r="AL87" i="4"/>
  <c r="N88" i="4"/>
  <c r="V88" i="4"/>
  <c r="AD88" i="4"/>
  <c r="AL88" i="4"/>
  <c r="N89" i="4"/>
  <c r="V89" i="4"/>
  <c r="AD89" i="4"/>
  <c r="AL89" i="4"/>
  <c r="N90" i="4"/>
  <c r="V90" i="4"/>
  <c r="AD90" i="4"/>
  <c r="AL90" i="4"/>
  <c r="N91" i="4"/>
  <c r="V91" i="4"/>
  <c r="AD91" i="4"/>
  <c r="AL91" i="4"/>
  <c r="N92" i="4"/>
  <c r="V92" i="4"/>
  <c r="AD92" i="4"/>
  <c r="AL92" i="4"/>
  <c r="N93" i="4"/>
  <c r="V93" i="4"/>
  <c r="M84" i="4"/>
  <c r="M86" i="4"/>
  <c r="M88" i="4"/>
  <c r="M90" i="4"/>
  <c r="M92" i="4"/>
  <c r="AK93" i="4"/>
  <c r="AC94" i="4"/>
  <c r="M95" i="4"/>
  <c r="AC95" i="4"/>
  <c r="M96" i="4"/>
  <c r="AC96" i="4"/>
  <c r="M97" i="4"/>
  <c r="AC97" i="4"/>
  <c r="M98" i="4"/>
  <c r="AC98" i="4"/>
  <c r="M99" i="4"/>
  <c r="AC99" i="4"/>
  <c r="M100" i="4"/>
  <c r="AC100" i="4"/>
  <c r="M101" i="4"/>
  <c r="AC101" i="4"/>
  <c r="L102" i="4"/>
  <c r="V102" i="4"/>
  <c r="AF102" i="4"/>
  <c r="L103" i="4"/>
  <c r="V103" i="4"/>
  <c r="AF103" i="4"/>
  <c r="AF119" i="4" s="1"/>
  <c r="L104" i="4"/>
  <c r="V104" i="4"/>
  <c r="AF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M107" i="4"/>
  <c r="AC108" i="4"/>
  <c r="U84" i="4"/>
  <c r="U86" i="4"/>
  <c r="U88" i="4"/>
  <c r="U90" i="4"/>
  <c r="U92" i="4"/>
  <c r="AL93" i="4"/>
  <c r="AD94" i="4"/>
  <c r="N95" i="4"/>
  <c r="AD95" i="4"/>
  <c r="N96" i="4"/>
  <c r="AD96" i="4"/>
  <c r="N97" i="4"/>
  <c r="AD97" i="4"/>
  <c r="N98" i="4"/>
  <c r="AD98" i="4"/>
  <c r="N99" i="4"/>
  <c r="AD99" i="4"/>
  <c r="N100" i="4"/>
  <c r="AD100" i="4"/>
  <c r="N101" i="4"/>
  <c r="AD101" i="4"/>
  <c r="M102" i="4"/>
  <c r="W102" i="4"/>
  <c r="AH102" i="4"/>
  <c r="M103" i="4"/>
  <c r="M119" i="4" s="1"/>
  <c r="W103" i="4"/>
  <c r="AH103" i="4"/>
  <c r="AH119" i="4" s="1"/>
  <c r="M104" i="4"/>
  <c r="W104" i="4"/>
  <c r="AH104" i="4"/>
  <c r="M105" i="4"/>
  <c r="U105" i="4"/>
  <c r="AC105" i="4"/>
  <c r="AK105" i="4"/>
  <c r="M106" i="4"/>
  <c r="U106" i="4"/>
  <c r="AC106" i="4"/>
  <c r="AK106" i="4"/>
  <c r="U107" i="4"/>
  <c r="AC107" i="4"/>
  <c r="AK107" i="4"/>
  <c r="M108" i="4"/>
  <c r="U108" i="4"/>
  <c r="AK108" i="4"/>
  <c r="M109" i="4"/>
  <c r="AC84" i="4"/>
  <c r="AC86" i="4"/>
  <c r="AC88" i="4"/>
  <c r="AC90" i="4"/>
  <c r="AC92" i="4"/>
  <c r="M94" i="4"/>
  <c r="AF94" i="4"/>
  <c r="P95" i="4"/>
  <c r="AF95" i="4"/>
  <c r="P96" i="4"/>
  <c r="AF96" i="4"/>
  <c r="P97" i="4"/>
  <c r="AF97" i="4"/>
  <c r="P98" i="4"/>
  <c r="AF98" i="4"/>
  <c r="P99" i="4"/>
  <c r="AF99" i="4"/>
  <c r="P100" i="4"/>
  <c r="AF100" i="4"/>
  <c r="P101" i="4"/>
  <c r="AF101" i="4"/>
  <c r="N102" i="4"/>
  <c r="X102" i="4"/>
  <c r="AJ102" i="4"/>
  <c r="N103" i="4"/>
  <c r="X103" i="4"/>
  <c r="X119" i="4" s="1"/>
  <c r="AJ103" i="4"/>
  <c r="N104" i="4"/>
  <c r="X104" i="4"/>
  <c r="AJ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N109" i="4"/>
  <c r="V109" i="4"/>
  <c r="AD109" i="4"/>
  <c r="AL109" i="4"/>
  <c r="N110" i="4"/>
  <c r="V110" i="4"/>
  <c r="AD110" i="4"/>
  <c r="AL110" i="4"/>
  <c r="N111" i="4"/>
  <c r="V111" i="4"/>
  <c r="AD111" i="4"/>
  <c r="AL111" i="4"/>
  <c r="N112" i="4"/>
  <c r="V112" i="4"/>
  <c r="AD112" i="4"/>
  <c r="AL112" i="4"/>
  <c r="AK88" i="4"/>
  <c r="R98" i="4"/>
  <c r="R100" i="4"/>
  <c r="R101" i="4"/>
  <c r="O102" i="4"/>
  <c r="AK102" i="4"/>
  <c r="O103" i="4"/>
  <c r="AK103" i="4"/>
  <c r="AK119" i="4" s="1"/>
  <c r="Z104" i="4"/>
  <c r="O105" i="4"/>
  <c r="AE105" i="4"/>
  <c r="O106" i="4"/>
  <c r="W106" i="4"/>
  <c r="G107" i="4"/>
  <c r="AE107" i="4"/>
  <c r="O108" i="4"/>
  <c r="AE108" i="4"/>
  <c r="W109" i="4"/>
  <c r="G110" i="4"/>
  <c r="O110" i="4"/>
  <c r="AE110" i="4"/>
  <c r="O111" i="4"/>
  <c r="AE111" i="4"/>
  <c r="AK84" i="4"/>
  <c r="AK86" i="4"/>
  <c r="AK90" i="4"/>
  <c r="AK92" i="4"/>
  <c r="N94" i="4"/>
  <c r="AH94" i="4"/>
  <c r="R95" i="4"/>
  <c r="AH95" i="4"/>
  <c r="R96" i="4"/>
  <c r="AH96" i="4"/>
  <c r="R97" i="4"/>
  <c r="AH97" i="4"/>
  <c r="AH98" i="4"/>
  <c r="R99" i="4"/>
  <c r="AH99" i="4"/>
  <c r="AH100" i="4"/>
  <c r="AH101" i="4"/>
  <c r="Z102" i="4"/>
  <c r="Z103" i="4"/>
  <c r="Z119" i="4" s="1"/>
  <c r="O104" i="4"/>
  <c r="AK104" i="4"/>
  <c r="W105" i="4"/>
  <c r="G106" i="4"/>
  <c r="AE106" i="4"/>
  <c r="O107" i="4"/>
  <c r="W107" i="4"/>
  <c r="G108" i="4"/>
  <c r="W108" i="4"/>
  <c r="G109" i="4"/>
  <c r="O109" i="4"/>
  <c r="AE109" i="4"/>
  <c r="W110" i="4"/>
  <c r="G111" i="4"/>
  <c r="W111" i="4"/>
  <c r="G112" i="4"/>
  <c r="W112" i="4"/>
  <c r="M85" i="4"/>
  <c r="M87" i="4"/>
  <c r="M89" i="4"/>
  <c r="M91" i="4"/>
  <c r="M93" i="4"/>
  <c r="U94" i="4"/>
  <c r="AK94" i="4"/>
  <c r="U95" i="4"/>
  <c r="AK95" i="4"/>
  <c r="U96" i="4"/>
  <c r="AK96" i="4"/>
  <c r="U97" i="4"/>
  <c r="AK97" i="4"/>
  <c r="U98" i="4"/>
  <c r="AK98" i="4"/>
  <c r="U99" i="4"/>
  <c r="AK99" i="4"/>
  <c r="U100" i="4"/>
  <c r="AK100" i="4"/>
  <c r="U101" i="4"/>
  <c r="AK101" i="4"/>
  <c r="P102" i="4"/>
  <c r="AB102" i="4"/>
  <c r="AL102" i="4"/>
  <c r="P103" i="4"/>
  <c r="P119" i="4" s="1"/>
  <c r="AB103" i="4"/>
  <c r="AL103" i="4"/>
  <c r="AL119" i="4" s="1"/>
  <c r="P104" i="4"/>
  <c r="AB104" i="4"/>
  <c r="AL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Q110" i="4"/>
  <c r="Q111" i="4"/>
  <c r="I112" i="4"/>
  <c r="Y112" i="4"/>
  <c r="U85" i="4"/>
  <c r="U87" i="4"/>
  <c r="U89" i="4"/>
  <c r="U91" i="4"/>
  <c r="U93" i="4"/>
  <c r="V94" i="4"/>
  <c r="AL94" i="4"/>
  <c r="V95" i="4"/>
  <c r="AL95" i="4"/>
  <c r="V96" i="4"/>
  <c r="AL96" i="4"/>
  <c r="V97" i="4"/>
  <c r="AL97" i="4"/>
  <c r="V98" i="4"/>
  <c r="AL98" i="4"/>
  <c r="V99" i="4"/>
  <c r="AL99" i="4"/>
  <c r="V100" i="4"/>
  <c r="AL100" i="4"/>
  <c r="V101" i="4"/>
  <c r="AL101" i="4"/>
  <c r="R102" i="4"/>
  <c r="AC102" i="4"/>
  <c r="G103" i="4"/>
  <c r="G119" i="4" s="1"/>
  <c r="R103" i="4"/>
  <c r="AC103" i="4"/>
  <c r="AC119" i="4" s="1"/>
  <c r="G104" i="4"/>
  <c r="R104" i="4"/>
  <c r="AC104" i="4"/>
  <c r="G105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Y110" i="4"/>
  <c r="AG110" i="4"/>
  <c r="I111" i="4"/>
  <c r="Y111" i="4"/>
  <c r="AG111" i="4"/>
  <c r="Q112" i="4"/>
  <c r="AG112" i="4"/>
  <c r="AK89" i="4"/>
  <c r="AC85" i="4"/>
  <c r="AC87" i="4"/>
  <c r="AC89" i="4"/>
  <c r="AC91" i="4"/>
  <c r="AC93" i="4"/>
  <c r="X94" i="4"/>
  <c r="H95" i="4"/>
  <c r="X95" i="4"/>
  <c r="H96" i="4"/>
  <c r="X96" i="4"/>
  <c r="H97" i="4"/>
  <c r="X97" i="4"/>
  <c r="H98" i="4"/>
  <c r="X98" i="4"/>
  <c r="H99" i="4"/>
  <c r="X99" i="4"/>
  <c r="H100" i="4"/>
  <c r="X100" i="4"/>
  <c r="H101" i="4"/>
  <c r="X101" i="4"/>
  <c r="H102" i="4"/>
  <c r="T102" i="4"/>
  <c r="AD102" i="4"/>
  <c r="H103" i="4"/>
  <c r="H119" i="4" s="1"/>
  <c r="T103" i="4"/>
  <c r="AD103" i="4"/>
  <c r="AD119" i="4" s="1"/>
  <c r="H104" i="4"/>
  <c r="T104" i="4"/>
  <c r="AD104" i="4"/>
  <c r="H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K85" i="4"/>
  <c r="AK87" i="4"/>
  <c r="AK91" i="4"/>
  <c r="Z94" i="4"/>
  <c r="J95" i="4"/>
  <c r="Z95" i="4"/>
  <c r="J96" i="4"/>
  <c r="Z96" i="4"/>
  <c r="J97" i="4"/>
  <c r="Z97" i="4"/>
  <c r="J98" i="4"/>
  <c r="J99" i="4"/>
  <c r="J100" i="4"/>
  <c r="U103" i="4"/>
  <c r="AI105" i="4"/>
  <c r="AI107" i="4"/>
  <c r="AA109" i="4"/>
  <c r="AA110" i="4"/>
  <c r="AA111" i="4"/>
  <c r="U112" i="4"/>
  <c r="AC110" i="4"/>
  <c r="AA112" i="4"/>
  <c r="J101" i="4"/>
  <c r="J104" i="4"/>
  <c r="S108" i="4"/>
  <c r="AI109" i="4"/>
  <c r="AI111" i="4"/>
  <c r="J105" i="4"/>
  <c r="K109" i="4"/>
  <c r="M112" i="4"/>
  <c r="Z98" i="4"/>
  <c r="S109" i="4"/>
  <c r="O112" i="4"/>
  <c r="Z99" i="4"/>
  <c r="AA105" i="4"/>
  <c r="U109" i="4"/>
  <c r="U111" i="4"/>
  <c r="Z100" i="4"/>
  <c r="AE103" i="4"/>
  <c r="AE119" i="4" s="1"/>
  <c r="K106" i="4"/>
  <c r="K108" i="4"/>
  <c r="AC109" i="4"/>
  <c r="AC111" i="4"/>
  <c r="S106" i="4"/>
  <c r="AI110" i="4"/>
  <c r="AC112" i="4"/>
  <c r="U102" i="4"/>
  <c r="M111" i="4"/>
  <c r="S105" i="4"/>
  <c r="S110" i="4"/>
  <c r="J103" i="4"/>
  <c r="AA107" i="4"/>
  <c r="U110" i="4"/>
  <c r="S112" i="4"/>
  <c r="Z101" i="4"/>
  <c r="U104" i="4"/>
  <c r="AA106" i="4"/>
  <c r="AA108" i="4"/>
  <c r="AK109" i="4"/>
  <c r="AK110" i="4"/>
  <c r="AK111" i="4"/>
  <c r="AE112" i="4"/>
  <c r="J102" i="4"/>
  <c r="AE104" i="4"/>
  <c r="AI106" i="4"/>
  <c r="AI108" i="4"/>
  <c r="K110" i="4"/>
  <c r="K111" i="4"/>
  <c r="K112" i="4"/>
  <c r="AI112" i="4"/>
  <c r="AD93" i="4"/>
  <c r="K107" i="4"/>
  <c r="M110" i="4"/>
  <c r="AK112" i="4"/>
  <c r="AE102" i="4"/>
  <c r="S107" i="4"/>
  <c r="S111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F119" i="4" l="1"/>
  <c r="L118" i="4"/>
  <c r="L119" i="4"/>
  <c r="N119" i="4"/>
  <c r="N118" i="4"/>
  <c r="T119" i="4"/>
  <c r="O119" i="4"/>
  <c r="AC118" i="4"/>
  <c r="W119" i="4"/>
  <c r="V119" i="4"/>
  <c r="K119" i="4"/>
  <c r="AG118" i="4"/>
  <c r="AG121" i="4"/>
  <c r="AG122" i="4"/>
  <c r="U121" i="4"/>
  <c r="U122" i="4"/>
  <c r="J119" i="4"/>
  <c r="AI118" i="4"/>
  <c r="AI121" i="4"/>
  <c r="AI122" i="4"/>
  <c r="Y118" i="4"/>
  <c r="Y121" i="4"/>
  <c r="Y122" i="4"/>
  <c r="M121" i="4"/>
  <c r="M122" i="4"/>
  <c r="L121" i="4"/>
  <c r="L122" i="4"/>
  <c r="R119" i="4"/>
  <c r="AB119" i="4"/>
  <c r="AJ119" i="4"/>
  <c r="AC121" i="4"/>
  <c r="AC122" i="4"/>
  <c r="AA118" i="4"/>
  <c r="AA121" i="4"/>
  <c r="AA122" i="4"/>
  <c r="Q118" i="4"/>
  <c r="Q121" i="4"/>
  <c r="Q122" i="4"/>
  <c r="AF118" i="4"/>
  <c r="AF122" i="4"/>
  <c r="AF121" i="4"/>
  <c r="S118" i="4"/>
  <c r="S121" i="4"/>
  <c r="S122" i="4"/>
  <c r="AH118" i="4"/>
  <c r="AH122" i="4"/>
  <c r="AH121" i="4"/>
  <c r="I118" i="4"/>
  <c r="I121" i="4"/>
  <c r="I122" i="4"/>
  <c r="X118" i="4"/>
  <c r="X121" i="4"/>
  <c r="X122" i="4"/>
  <c r="AE118" i="4"/>
  <c r="AE121" i="4"/>
  <c r="AE122" i="4"/>
  <c r="AK118" i="4"/>
  <c r="AL118" i="4"/>
  <c r="AL121" i="4"/>
  <c r="AL122" i="4"/>
  <c r="AJ118" i="4"/>
  <c r="AJ121" i="4"/>
  <c r="AJ122" i="4"/>
  <c r="K118" i="4"/>
  <c r="K121" i="4"/>
  <c r="K122" i="4"/>
  <c r="Z118" i="4"/>
  <c r="Z121" i="4"/>
  <c r="Z122" i="4"/>
  <c r="P118" i="4"/>
  <c r="P121" i="4"/>
  <c r="P122" i="4"/>
  <c r="W118" i="4"/>
  <c r="W122" i="4"/>
  <c r="W121" i="4"/>
  <c r="N121" i="4"/>
  <c r="N122" i="4"/>
  <c r="U118" i="4"/>
  <c r="M118" i="4"/>
  <c r="AD118" i="4"/>
  <c r="AD121" i="4"/>
  <c r="AD122" i="4"/>
  <c r="AB118" i="4"/>
  <c r="AB121" i="4"/>
  <c r="AB122" i="4"/>
  <c r="R118" i="4"/>
  <c r="R121" i="4"/>
  <c r="R122" i="4"/>
  <c r="H118" i="4"/>
  <c r="H121" i="4"/>
  <c r="H122" i="4"/>
  <c r="O118" i="4"/>
  <c r="O121" i="4"/>
  <c r="O122" i="4"/>
  <c r="U119" i="4"/>
  <c r="AK121" i="4"/>
  <c r="AK122" i="4"/>
  <c r="V118" i="4"/>
  <c r="V122" i="4"/>
  <c r="V121" i="4"/>
  <c r="T118" i="4"/>
  <c r="T121" i="4"/>
  <c r="T122" i="4"/>
  <c r="J118" i="4"/>
  <c r="J121" i="4"/>
  <c r="J122" i="4"/>
  <c r="Q119" i="4"/>
  <c r="G118" i="4"/>
  <c r="G121" i="4"/>
  <c r="G122" i="4"/>
  <c r="F121" i="4"/>
  <c r="F122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V124" i="4" l="1"/>
  <c r="V123" i="4"/>
  <c r="N124" i="4"/>
  <c r="N123" i="4"/>
  <c r="Z123" i="4"/>
  <c r="Z124" i="4"/>
  <c r="X123" i="4"/>
  <c r="X124" i="4"/>
  <c r="W123" i="4"/>
  <c r="W124" i="4"/>
  <c r="AL124" i="4"/>
  <c r="AL123" i="4"/>
  <c r="S123" i="4"/>
  <c r="S124" i="4"/>
  <c r="AI123" i="4"/>
  <c r="AI124" i="4"/>
  <c r="AB123" i="4"/>
  <c r="AB124" i="4"/>
  <c r="H123" i="4"/>
  <c r="H124" i="4"/>
  <c r="AA123" i="4"/>
  <c r="AA124" i="4"/>
  <c r="L123" i="4"/>
  <c r="L124" i="4"/>
  <c r="J123" i="4"/>
  <c r="J124" i="4"/>
  <c r="AD124" i="4"/>
  <c r="AD123" i="4"/>
  <c r="K123" i="4"/>
  <c r="K124" i="4"/>
  <c r="I123" i="4"/>
  <c r="I124" i="4"/>
  <c r="AF123" i="4"/>
  <c r="AF124" i="4"/>
  <c r="M123" i="4"/>
  <c r="M124" i="4"/>
  <c r="AK123" i="4"/>
  <c r="AK124" i="4"/>
  <c r="R123" i="4"/>
  <c r="R124" i="4"/>
  <c r="P123" i="4"/>
  <c r="P124" i="4"/>
  <c r="AE123" i="4"/>
  <c r="AE124" i="4"/>
  <c r="AH123" i="4"/>
  <c r="AH124" i="4"/>
  <c r="AC123" i="4"/>
  <c r="AC124" i="4"/>
  <c r="U123" i="4"/>
  <c r="U124" i="4"/>
  <c r="T123" i="4"/>
  <c r="T124" i="4"/>
  <c r="AJ123" i="4"/>
  <c r="AJ124" i="4"/>
  <c r="Y123" i="4"/>
  <c r="Y124" i="4"/>
  <c r="G123" i="4"/>
  <c r="G124" i="4"/>
  <c r="O123" i="4"/>
  <c r="O124" i="4"/>
  <c r="Q123" i="4"/>
  <c r="Q124" i="4"/>
  <c r="AG123" i="4"/>
  <c r="AG124" i="4"/>
  <c r="F123" i="4"/>
  <c r="F124" i="4"/>
  <c r="B118" i="4" l="1"/>
  <c r="B119" i="4"/>
  <c r="E126" i="4" a="1"/>
  <c r="V139" i="4" s="1"/>
  <c r="E133" i="4" l="1"/>
  <c r="T130" i="4"/>
  <c r="AE133" i="4"/>
  <c r="S128" i="4"/>
  <c r="Y137" i="4"/>
  <c r="I126" i="4"/>
  <c r="P139" i="4"/>
  <c r="I135" i="4"/>
  <c r="AC127" i="4"/>
  <c r="F131" i="4"/>
  <c r="Z130" i="4"/>
  <c r="O130" i="4"/>
  <c r="AG135" i="4"/>
  <c r="AE126" i="4"/>
  <c r="Q126" i="4"/>
  <c r="AD131" i="4"/>
  <c r="AJ131" i="4"/>
  <c r="X130" i="4"/>
  <c r="AL139" i="4"/>
  <c r="AK138" i="4"/>
  <c r="G137" i="4"/>
  <c r="AF128" i="4"/>
  <c r="U132" i="4"/>
  <c r="U136" i="4"/>
  <c r="E136" i="4"/>
  <c r="AL137" i="4"/>
  <c r="E135" i="4"/>
  <c r="I134" i="4"/>
  <c r="Z128" i="4"/>
  <c r="AF130" i="4"/>
  <c r="S139" i="4"/>
  <c r="AJ132" i="4"/>
  <c r="Z126" i="4"/>
  <c r="AL130" i="4"/>
  <c r="V132" i="4"/>
  <c r="R127" i="4"/>
  <c r="AE137" i="4"/>
  <c r="AK135" i="4"/>
  <c r="G131" i="4"/>
  <c r="AC137" i="4"/>
  <c r="Q132" i="4"/>
  <c r="AA128" i="4"/>
  <c r="AA131" i="4"/>
  <c r="K133" i="4"/>
  <c r="AA126" i="4"/>
  <c r="M138" i="4"/>
  <c r="N139" i="4"/>
  <c r="O135" i="4"/>
  <c r="K138" i="4"/>
  <c r="T139" i="4"/>
  <c r="AB139" i="4"/>
  <c r="P128" i="4"/>
  <c r="T138" i="4"/>
  <c r="E134" i="4"/>
  <c r="R133" i="4"/>
  <c r="N126" i="4"/>
  <c r="P132" i="4"/>
  <c r="Q131" i="4"/>
  <c r="M139" i="4"/>
  <c r="W137" i="4"/>
  <c r="Q139" i="4"/>
  <c r="AC129" i="4"/>
  <c r="N135" i="4"/>
  <c r="AH134" i="4"/>
  <c r="Q136" i="4"/>
  <c r="O136" i="4"/>
  <c r="AA133" i="4"/>
  <c r="E132" i="4"/>
  <c r="R132" i="4"/>
  <c r="I127" i="4"/>
  <c r="Z139" i="4"/>
  <c r="P135" i="4"/>
  <c r="F132" i="4"/>
  <c r="AJ133" i="4"/>
  <c r="AF127" i="4"/>
  <c r="AL135" i="4"/>
  <c r="AC136" i="4"/>
  <c r="J136" i="4"/>
  <c r="P138" i="4"/>
  <c r="AD134" i="4"/>
  <c r="X138" i="4"/>
  <c r="J134" i="4"/>
  <c r="V138" i="4"/>
  <c r="R134" i="4"/>
  <c r="F133" i="4"/>
  <c r="T127" i="4"/>
  <c r="AG137" i="4"/>
  <c r="AL128" i="4"/>
  <c r="Y139" i="4"/>
  <c r="E138" i="4"/>
  <c r="S132" i="4"/>
  <c r="K139" i="4"/>
  <c r="S133" i="4"/>
  <c r="K134" i="4"/>
  <c r="AF129" i="4"/>
  <c r="E126" i="4"/>
  <c r="Y130" i="4"/>
  <c r="AL129" i="4"/>
  <c r="M127" i="4"/>
  <c r="AB129" i="4"/>
  <c r="H136" i="4"/>
  <c r="Y135" i="4"/>
  <c r="AL138" i="4"/>
  <c r="AG128" i="4"/>
  <c r="S138" i="4"/>
  <c r="AH135" i="4"/>
  <c r="T136" i="4"/>
  <c r="AI135" i="4"/>
  <c r="U130" i="4"/>
  <c r="Y126" i="4"/>
  <c r="X139" i="4"/>
  <c r="X131" i="4"/>
  <c r="I133" i="4"/>
  <c r="K131" i="4"/>
  <c r="G133" i="4"/>
  <c r="W136" i="4"/>
  <c r="M132" i="4"/>
  <c r="P136" i="4"/>
  <c r="T137" i="4"/>
  <c r="G139" i="4"/>
  <c r="N128" i="4"/>
  <c r="P130" i="4"/>
  <c r="S129" i="4"/>
  <c r="Z136" i="4"/>
  <c r="AE129" i="4"/>
  <c r="AJ137" i="4"/>
  <c r="O139" i="4"/>
  <c r="J138" i="4"/>
  <c r="AJ134" i="4"/>
  <c r="P129" i="4"/>
  <c r="AC139" i="4"/>
  <c r="Z134" i="4"/>
  <c r="V129" i="4"/>
  <c r="AI139" i="4"/>
  <c r="O134" i="4"/>
  <c r="N138" i="4"/>
  <c r="U128" i="4"/>
  <c r="G136" i="4"/>
  <c r="P137" i="4"/>
  <c r="R136" i="4"/>
  <c r="AC132" i="4"/>
  <c r="V137" i="4"/>
  <c r="AI132" i="4"/>
  <c r="Y138" i="4"/>
  <c r="Q129" i="4"/>
  <c r="J129" i="4"/>
  <c r="AF138" i="4"/>
  <c r="H126" i="4"/>
  <c r="S131" i="4"/>
  <c r="AA127" i="4"/>
  <c r="X126" i="4"/>
  <c r="U127" i="4"/>
  <c r="AI138" i="4"/>
  <c r="M133" i="4"/>
  <c r="T133" i="4"/>
  <c r="AH137" i="4"/>
  <c r="N132" i="4"/>
  <c r="O126" i="4"/>
  <c r="V134" i="4"/>
  <c r="Q135" i="4"/>
  <c r="W139" i="4"/>
  <c r="K126" i="4"/>
  <c r="AF136" i="4"/>
  <c r="AL134" i="4"/>
  <c r="R129" i="4"/>
  <c r="V136" i="4"/>
  <c r="R131" i="4"/>
  <c r="AB127" i="4"/>
  <c r="AK139" i="4"/>
  <c r="I138" i="4"/>
  <c r="AC128" i="4"/>
  <c r="AH127" i="4"/>
  <c r="L139" i="4"/>
  <c r="S137" i="4"/>
  <c r="X127" i="4"/>
  <c r="R139" i="4"/>
  <c r="P126" i="4"/>
  <c r="X128" i="4"/>
  <c r="N134" i="4"/>
  <c r="AJ128" i="4"/>
  <c r="K130" i="4"/>
  <c r="AE128" i="4"/>
  <c r="J132" i="4"/>
  <c r="AA135" i="4"/>
  <c r="F138" i="4"/>
  <c r="AF135" i="4"/>
  <c r="AI133" i="4"/>
  <c r="V130" i="4"/>
  <c r="N130" i="4"/>
  <c r="H139" i="4"/>
  <c r="J130" i="4"/>
  <c r="Q127" i="4"/>
  <c r="AI130" i="4"/>
  <c r="R126" i="4"/>
  <c r="Q133" i="4"/>
  <c r="AE138" i="4"/>
  <c r="S127" i="4"/>
  <c r="W127" i="4"/>
  <c r="T134" i="4"/>
  <c r="AB137" i="4"/>
  <c r="U129" i="4"/>
  <c r="AI127" i="4"/>
  <c r="AJ130" i="4"/>
  <c r="AK131" i="4"/>
  <c r="G126" i="4"/>
  <c r="J127" i="4"/>
  <c r="AE139" i="4"/>
  <c r="AG131" i="4"/>
  <c r="U126" i="4"/>
  <c r="AH136" i="4"/>
  <c r="N131" i="4"/>
  <c r="R138" i="4"/>
  <c r="F137" i="4"/>
  <c r="T131" i="4"/>
  <c r="AD127" i="4"/>
  <c r="R130" i="4"/>
  <c r="AG130" i="4"/>
  <c r="R135" i="4"/>
  <c r="AE130" i="4"/>
  <c r="O127" i="4"/>
  <c r="H135" i="4"/>
  <c r="AK130" i="4"/>
  <c r="L128" i="4"/>
  <c r="AJ129" i="4"/>
  <c r="W135" i="4"/>
  <c r="Z132" i="4"/>
  <c r="O131" i="4"/>
  <c r="AC126" i="4"/>
  <c r="AL132" i="4"/>
  <c r="E139" i="4"/>
  <c r="L136" i="4"/>
  <c r="AC138" i="4"/>
  <c r="E137" i="4"/>
  <c r="AG136" i="4"/>
  <c r="AF131" i="4"/>
  <c r="AF126" i="4"/>
  <c r="X135" i="4"/>
  <c r="AJ135" i="4"/>
  <c r="AJ126" i="4"/>
  <c r="AH139" i="4"/>
  <c r="M129" i="4"/>
  <c r="AB130" i="4"/>
  <c r="AH128" i="4"/>
  <c r="AB134" i="4"/>
  <c r="AC135" i="4"/>
  <c r="Y133" i="4"/>
  <c r="M126" i="4"/>
  <c r="K129" i="4"/>
  <c r="AC133" i="4"/>
  <c r="Q128" i="4"/>
  <c r="AD138" i="4"/>
  <c r="AJ136" i="4"/>
  <c r="O128" i="4"/>
  <c r="AJ138" i="4"/>
  <c r="P133" i="4"/>
  <c r="Z129" i="4"/>
  <c r="I128" i="4"/>
  <c r="G135" i="4"/>
  <c r="N137" i="4"/>
  <c r="O138" i="4"/>
  <c r="U133" i="4"/>
  <c r="AL136" i="4"/>
  <c r="U138" i="4"/>
  <c r="AH133" i="4"/>
  <c r="J139" i="4"/>
  <c r="AH138" i="4"/>
  <c r="L126" i="4"/>
  <c r="K127" i="4"/>
  <c r="J128" i="4"/>
  <c r="I129" i="4"/>
  <c r="H130" i="4"/>
  <c r="AD136" i="4"/>
  <c r="AK137" i="4"/>
  <c r="F126" i="4"/>
  <c r="E127" i="4"/>
  <c r="AL127" i="4"/>
  <c r="O137" i="4"/>
  <c r="V128" i="4"/>
  <c r="AK128" i="4"/>
  <c r="AG134" i="4"/>
  <c r="AD137" i="4"/>
  <c r="T132" i="4"/>
  <c r="AE132" i="4"/>
  <c r="AJ139" i="4"/>
  <c r="I131" i="4"/>
  <c r="Y134" i="4"/>
  <c r="L134" i="4"/>
  <c r="P134" i="4"/>
  <c r="W129" i="4"/>
  <c r="K137" i="4"/>
  <c r="R128" i="4"/>
  <c r="AB126" i="4"/>
  <c r="AG138" i="4"/>
  <c r="AA138" i="4"/>
  <c r="T128" i="4"/>
  <c r="AA134" i="4"/>
  <c r="AB133" i="4"/>
  <c r="K135" i="4"/>
  <c r="S135" i="4"/>
  <c r="AA137" i="4"/>
  <c r="AI131" i="4"/>
  <c r="G130" i="4"/>
  <c r="AB136" i="4"/>
  <c r="F127" i="4"/>
  <c r="Y131" i="4"/>
  <c r="L127" i="4"/>
  <c r="G127" i="4"/>
  <c r="N136" i="4"/>
  <c r="U137" i="4"/>
  <c r="AB138" i="4"/>
  <c r="AA139" i="4"/>
  <c r="W126" i="4"/>
  <c r="V127" i="4"/>
  <c r="K128" i="4"/>
  <c r="S126" i="4"/>
  <c r="Z127" i="4"/>
  <c r="Y128" i="4"/>
  <c r="X129" i="4"/>
  <c r="W130" i="4"/>
  <c r="V131" i="4"/>
  <c r="AB132" i="4"/>
  <c r="AG126" i="4"/>
  <c r="AK132" i="4"/>
  <c r="Z138" i="4"/>
  <c r="AG139" i="4"/>
  <c r="AK126" i="4"/>
  <c r="AJ127" i="4"/>
  <c r="AI128" i="4"/>
  <c r="AH129" i="4"/>
  <c r="AD130" i="4"/>
  <c r="F136" i="4"/>
  <c r="H127" i="4"/>
  <c r="AK136" i="4"/>
  <c r="AI126" i="4"/>
  <c r="H128" i="4"/>
  <c r="G129" i="4"/>
  <c r="F130" i="4"/>
  <c r="E131" i="4"/>
  <c r="AL131" i="4"/>
  <c r="AF133" i="4"/>
  <c r="M136" i="4"/>
  <c r="V126" i="4"/>
  <c r="E129" i="4"/>
  <c r="I137" i="4"/>
  <c r="U131" i="4"/>
  <c r="O133" i="4"/>
  <c r="Q138" i="4"/>
  <c r="AK134" i="4"/>
  <c r="AI134" i="4"/>
  <c r="Y129" i="4"/>
  <c r="AK127" i="4"/>
  <c r="AG127" i="4"/>
  <c r="H129" i="4"/>
  <c r="U139" i="4"/>
  <c r="W133" i="4"/>
  <c r="AA129" i="4"/>
  <c r="AF132" i="4"/>
  <c r="AF134" i="4"/>
  <c r="AH126" i="4"/>
  <c r="G128" i="4"/>
  <c r="N129" i="4"/>
  <c r="M130" i="4"/>
  <c r="L131" i="4"/>
  <c r="K132" i="4"/>
  <c r="J133" i="4"/>
  <c r="AH130" i="4"/>
  <c r="G132" i="4"/>
  <c r="N133" i="4"/>
  <c r="M134" i="4"/>
  <c r="L135" i="4"/>
  <c r="K136" i="4"/>
  <c r="J137" i="4"/>
  <c r="AF139" i="4"/>
  <c r="E128" i="4"/>
  <c r="L129" i="4"/>
  <c r="S130" i="4"/>
  <c r="Z131" i="4"/>
  <c r="Y132" i="4"/>
  <c r="X133" i="4"/>
  <c r="W134" i="4"/>
  <c r="V135" i="4"/>
  <c r="Q137" i="4"/>
  <c r="E130" i="4"/>
  <c r="I130" i="4"/>
  <c r="P131" i="4"/>
  <c r="W132" i="4"/>
  <c r="AD133" i="4"/>
  <c r="AC134" i="4"/>
  <c r="AB135" i="4"/>
  <c r="AA136" i="4"/>
  <c r="Z137" i="4"/>
  <c r="P127" i="4"/>
  <c r="W128" i="4"/>
  <c r="AD129" i="4"/>
  <c r="AC130" i="4"/>
  <c r="AB131" i="4"/>
  <c r="AA132" i="4"/>
  <c r="Z133" i="4"/>
  <c r="AC131" i="4"/>
  <c r="F129" i="4"/>
  <c r="AI129" i="4"/>
  <c r="T129" i="4"/>
  <c r="AA130" i="4"/>
  <c r="AH131" i="4"/>
  <c r="AG132" i="4"/>
  <c r="AE134" i="4"/>
  <c r="AD135" i="4"/>
  <c r="H132" i="4"/>
  <c r="AE136" i="4"/>
  <c r="AL133" i="4"/>
  <c r="H134" i="4"/>
  <c r="M131" i="4"/>
  <c r="L137" i="4"/>
  <c r="O129" i="4"/>
  <c r="AD139" i="4"/>
  <c r="M135" i="4"/>
  <c r="AF137" i="4"/>
  <c r="X132" i="4"/>
  <c r="J126" i="4"/>
  <c r="L138" i="4"/>
  <c r="AE131" i="4"/>
  <c r="L132" i="4"/>
  <c r="Y127" i="4"/>
  <c r="F134" i="4"/>
  <c r="AG129" i="4"/>
  <c r="Q134" i="4"/>
  <c r="L130" i="4"/>
  <c r="AB128" i="4"/>
  <c r="H138" i="4"/>
  <c r="AE135" i="4"/>
  <c r="AD126" i="4"/>
  <c r="F128" i="4"/>
  <c r="AE127" i="4"/>
  <c r="T126" i="4"/>
  <c r="AI136" i="4"/>
  <c r="U135" i="4"/>
  <c r="M137" i="4"/>
  <c r="AH132" i="4"/>
  <c r="N127" i="4"/>
  <c r="AL126" i="4"/>
  <c r="AI137" i="4"/>
  <c r="X136" i="4"/>
  <c r="W131" i="4"/>
  <c r="AD128" i="4"/>
  <c r="AK129" i="4"/>
  <c r="J131" i="4"/>
  <c r="I132" i="4"/>
  <c r="H133" i="4"/>
  <c r="G134" i="4"/>
  <c r="F135" i="4"/>
  <c r="AD132" i="4"/>
  <c r="AK133" i="4"/>
  <c r="J135" i="4"/>
  <c r="I136" i="4"/>
  <c r="H137" i="4"/>
  <c r="G138" i="4"/>
  <c r="F139" i="4"/>
  <c r="I139" i="4"/>
  <c r="M128" i="4"/>
  <c r="H131" i="4"/>
  <c r="O132" i="4"/>
  <c r="V133" i="4"/>
  <c r="U134" i="4"/>
  <c r="T135" i="4"/>
  <c r="S136" i="4"/>
  <c r="R137" i="4"/>
  <c r="X134" i="4"/>
  <c r="AG133" i="4"/>
  <c r="Q130" i="4"/>
  <c r="L133" i="4"/>
  <c r="S134" i="4"/>
  <c r="Z135" i="4"/>
  <c r="Y136" i="4"/>
  <c r="X137" i="4"/>
  <c r="W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<sst xmlns="http://schemas.openxmlformats.org/spreadsheetml/2006/main" count="342" uniqueCount="103">
  <si>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</si>
  <si>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</si>
  <si>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</si>
  <si>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</si>
  <si>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</si>
  <si>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</si>
  <si>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</si>
  <si>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</si>
  <si>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</si>
  <si>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</si>
  <si>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</si>
  <si>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</si>
  <si>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</si>
  <si>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</si>
  <si>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</si>
  <si>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</si>
  <si>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</si>
  <si>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</si>
  <si>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</si>
  <si>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</si>
  <si>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</si>
  <si>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</si>
  <si>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</si>
  <si>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</si>
  <si>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</si>
  <si>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</si>
  <si>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</si>
  <si>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</si>
  <si>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</si>
  <si>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</si>
  <si>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</si>
  <si>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</si>
  <si>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</si>
  <si>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</si>
  <si>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</si>
  <si>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</si>
  <si>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</si>
  <si>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</si>
  <si>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</si>
  <si>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</si>
  <si>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</si>
  <si>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</si>
  <si>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</si>
  <si>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</si>
  <si>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Solution #1</t>
  </si>
  <si>
    <t>Vapor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</si>
  <si>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</si>
  <si>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</si>
  <si>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</si>
  <si>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</si>
  <si>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</si>
  <si>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</si>
  <si>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</si>
  <si>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</si>
  <si>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</si>
  <si>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</si>
  <si>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</si>
  <si>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(l)SeCl]</t>
  </si>
  <si>
    <t>(l)Ge[lJ</t>
  </si>
  <si>
    <t>Se?</t>
  </si>
  <si>
    <t>*Se[l]</t>
  </si>
  <si>
    <t>(l)Geic]</t>
  </si>
  <si>
    <t>Ga2Se3</t>
  </si>
  <si>
    <t>*GeSe2</t>
  </si>
  <si>
    <t>Solution #3</t>
  </si>
  <si>
    <t>Solution #2</t>
  </si>
  <si>
    <t>(3)Ge[l]</t>
  </si>
  <si>
    <t>(3)Ga[l]</t>
  </si>
  <si>
    <r>
      <t>Temperature,</t>
    </r>
    <r>
      <rPr>
        <sz val="8"/>
        <rFont val="Arial"/>
        <family val="2"/>
        <charset val="204"/>
      </rPr>
      <t>К</t>
    </r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</si>
  <si>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</si>
  <si>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</si>
  <si>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</si>
  <si>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</si>
  <si>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</si>
  <si>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</si>
  <si>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</si>
  <si>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</si>
  <si>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</si>
  <si>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</si>
  <si>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 xml:space="preserve">Раствор 3 (жид): </t>
  </si>
  <si>
    <t>Расвтор 2</t>
  </si>
  <si>
    <t xml:space="preserve">Раствор 3 + газовая без Ar: </t>
  </si>
  <si>
    <t>0,00006+00</t>
  </si>
  <si>
    <t>*Ga[1]</t>
  </si>
  <si>
    <t>(1)GeSe2</t>
  </si>
  <si>
    <t>(1)GeSe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</si>
  <si>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</si>
  <si>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</si>
  <si>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</si>
  <si>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</si>
  <si>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</si>
  <si>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</si>
  <si>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</si>
  <si>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</si>
  <si>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Temperature,К</t>
  </si>
  <si>
    <t>Temperature,K</t>
  </si>
  <si>
    <t>(1)Ga[1]</t>
  </si>
  <si>
    <t>(1)GeC1]</t>
  </si>
  <si>
    <t>So1ution #1</t>
  </si>
  <si>
    <t>(1)Ge[c]</t>
  </si>
  <si>
    <t>(1)Ga[l]</t>
  </si>
  <si>
    <t>(1)Ge[l]</t>
  </si>
  <si>
    <t>Данный концентраций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</si>
</sst>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6" borderId="0"/>
    <xf numFmtId="1" fontId="8" fillId="9" borderId="2">
      <alignment horizontal="left" vertical="center"/>
    </xf>
    <xf numFmtId="0" fontId="9" fillId="8" borderId="3" applyNumberFormat="0">
      <alignment horizontal="left" vertical="center"/>
    </xf>
    <xf numFmtId="165" fontId="10" fillId="0" borderId="0"/>
    <xf numFmtId="11" fontId="13" fillId="13" borderId="0">
      <alignment vertical="top"/>
    </xf>
    <xf numFmtId="0" fontId="2" fillId="4" borderId="0">
      <alignment horizontal="center" vertical="center"/>
    </xf>
    <xf numFmtId="0" fontId="23" fillId="3" borderId="1">
      <alignment horizontal="center" vertical="center"/>
    </xf>
    <xf numFmtId="165" fontId="10" fillId="0" borderId="0"/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</cellStyleXfs>
  <cellXfs count="172">
    <xf numFmtId="0" fontId="0" fillId="0" borderId="0" xfId="0"/>
    <xf numFmtId="0" fontId="8" fillId="9" borderId="38" xfId="2" applyNumberFormat="1" applyBorder="1">
      <alignment horizontal="left" vertical="center"/>
    </xf>
    <xf numFmtId="0" fontId="6" fillId="7" borderId="33" xfId="0" applyFont="1" applyFill="1" applyBorder="1"/>
    <xf numFmtId="0" fontId="0" fillId="5" borderId="0" xfId="0" applyFill="1"/>
    <xf numFmtId="0" fontId="5" fillId="7" borderId="0" xfId="1" applyFill="1"/>
    <xf numFmtId="0" fontId="0" fillId="7" borderId="0" xfId="0" applyFill="1"/>
    <xf numFmtId="0" fontId="6" fillId="7" borderId="0" xfId="0" applyFont="1" applyFill="1"/>
    <xf numFmtId="0" fontId="7" fillId="8" borderId="1" xfId="0" applyFont="1" applyFill="1" applyBorder="1" applyAlignment="1">
      <alignment horizontal="center" vertical="center"/>
    </xf>
    <xf numFmtId="0" fontId="8" fillId="9" borderId="2" xfId="2" applyNumberFormat="1">
      <alignment horizontal="left" vertical="center"/>
    </xf>
    <xf numFmtId="1" fontId="8" fillId="9" borderId="2" xfId="2">
      <alignment horizontal="left" vertical="center"/>
    </xf>
    <xf numFmtId="0" fontId="3" fillId="10" borderId="0" xfId="0" applyFont="1" applyFill="1"/>
    <xf numFmtId="0" fontId="9" fillId="8" borderId="3" xfId="3" applyNumberFormat="1">
      <alignment horizontal="left" vertical="center"/>
    </xf>
    <xf numFmtId="165" fontId="10" fillId="0" borderId="0" xfId="4"/>
    <xf numFmtId="0" fontId="11" fillId="11" borderId="4" xfId="0" applyFont="1" applyFill="1" applyBorder="1"/>
    <xf numFmtId="0" fontId="11" fillId="11" borderId="5" xfId="0" applyFont="1" applyFill="1" applyBorder="1"/>
    <xf numFmtId="0" fontId="11" fillId="11" borderId="6" xfId="0" applyFont="1" applyFill="1" applyBorder="1"/>
    <xf numFmtId="0" fontId="12" fillId="7" borderId="5" xfId="0" applyFont="1" applyFill="1" applyBorder="1"/>
    <xf numFmtId="0" fontId="0" fillId="2" borderId="0" xfId="0" applyFill="1"/>
    <xf numFmtId="0" fontId="6" fillId="9" borderId="7" xfId="0" applyFont="1" applyFill="1" applyBorder="1" applyAlignment="1">
      <alignment horizontal="center" vertical="center"/>
    </xf>
    <xf numFmtId="0" fontId="8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6" fillId="9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top"/>
    </xf>
    <xf numFmtId="0" fontId="2" fillId="4" borderId="0" xfId="6">
      <alignment horizontal="center" vertical="center"/>
    </xf>
    <xf numFmtId="0" fontId="6" fillId="7" borderId="9" xfId="0" applyFont="1" applyFill="1" applyBorder="1"/>
    <xf numFmtId="0" fontId="7" fillId="8" borderId="10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11" fontId="13" fillId="13" borderId="0" xfId="5">
      <alignment vertical="top"/>
    </xf>
    <xf numFmtId="0" fontId="8" fillId="12" borderId="0" xfId="0" applyFont="1" applyFill="1"/>
    <xf numFmtId="1" fontId="13" fillId="13" borderId="0" xfId="5" applyNumberFormat="1">
      <alignment vertical="top"/>
    </xf>
    <xf numFmtId="0" fontId="9" fillId="8" borderId="3" xfId="3" applyAlignment="1">
      <alignment horizontal="right" vertical="center"/>
    </xf>
    <xf numFmtId="0" fontId="9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8" fillId="9" borderId="13" xfId="0" applyFont="1" applyFill="1" applyBorder="1"/>
    <xf numFmtId="0" fontId="8" fillId="9" borderId="14" xfId="0" applyFont="1" applyFill="1" applyBorder="1"/>
    <xf numFmtId="0" fontId="8" fillId="9" borderId="15" xfId="0" applyFont="1" applyFill="1" applyBorder="1"/>
    <xf numFmtId="0" fontId="15" fillId="9" borderId="15" xfId="0" applyFont="1" applyFill="1" applyBorder="1"/>
    <xf numFmtId="0" fontId="0" fillId="10" borderId="0" xfId="0" applyFill="1"/>
    <xf numFmtId="2" fontId="13" fillId="13" borderId="0" xfId="5" applyNumberFormat="1">
      <alignment vertical="top"/>
    </xf>
    <xf numFmtId="1" fontId="16" fillId="9" borderId="4" xfId="2" applyFont="1" applyBorder="1">
      <alignment horizontal="left" vertical="center"/>
    </xf>
    <xf numFmtId="1" fontId="8" fillId="9" borderId="4" xfId="2" applyBorder="1">
      <alignment horizontal="left" vertical="center"/>
    </xf>
    <xf numFmtId="166" fontId="13" fillId="5" borderId="0" xfId="5" applyNumberFormat="1" applyFill="1">
      <alignment vertical="top"/>
    </xf>
    <xf numFmtId="0" fontId="2" fillId="4" borderId="19" xfId="6" applyBorder="1">
      <alignment horizontal="center" vertical="center"/>
    </xf>
    <xf numFmtId="0" fontId="2" fillId="4" borderId="21" xfId="6" applyBorder="1">
      <alignment horizontal="center" vertical="center"/>
    </xf>
    <xf numFmtId="0" fontId="2" fillId="4" borderId="8" xfId="6" applyBorder="1">
      <alignment horizontal="center" vertical="center"/>
    </xf>
    <xf numFmtId="0" fontId="2" fillId="4" borderId="23" xfId="6" applyBorder="1">
      <alignment horizontal="center" vertical="center"/>
    </xf>
    <xf numFmtId="0" fontId="2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4" fillId="14" borderId="3" xfId="0" applyFont="1" applyFill="1" applyBorder="1" applyAlignment="1">
      <alignment horizontal="right" vertical="center"/>
    </xf>
    <xf numFmtId="0" fontId="4" fillId="15" borderId="3" xfId="0" applyFont="1" applyFill="1" applyBorder="1" applyAlignment="1">
      <alignment horizontal="right" vertical="center"/>
    </xf>
    <xf numFmtId="0" fontId="17" fillId="15" borderId="12" xfId="0" applyFont="1" applyFill="1" applyBorder="1" applyAlignment="1">
      <alignment horizontal="center" vertical="center"/>
    </xf>
    <xf numFmtId="1" fontId="9" fillId="8" borderId="3" xfId="3" applyNumberFormat="1">
      <alignment horizontal="left" vertical="center"/>
    </xf>
    <xf numFmtId="164" fontId="9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7" fillId="14" borderId="9" xfId="0" applyNumberFormat="1" applyFont="1" applyFill="1" applyBorder="1" applyAlignment="1">
      <alignment horizontal="center" vertical="center"/>
    </xf>
    <xf numFmtId="0" fontId="23" fillId="3" borderId="1" xfId="7">
      <alignment horizontal="center" vertical="center"/>
    </xf>
    <xf numFmtId="0" fontId="9" fillId="8" borderId="12" xfId="3" applyNumberFormat="1" applyBorder="1">
      <alignment horizontal="left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3" fillId="10" borderId="9" xfId="0" applyFont="1" applyFill="1" applyBorder="1"/>
    <xf numFmtId="0" fontId="24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1" fillId="17" borderId="6" xfId="0" applyFont="1" applyFill="1" applyBorder="1"/>
    <xf numFmtId="0" fontId="0" fillId="17" borderId="0" xfId="0" applyFill="1"/>
    <xf numFmtId="0" fontId="3" fillId="10" borderId="0" xfId="0" applyFont="1" applyFill="1" applyBorder="1"/>
    <xf numFmtId="11" fontId="9" fillId="8" borderId="3" xfId="3" applyNumberFormat="1">
      <alignment horizontal="left" vertical="center"/>
    </xf>
    <xf numFmtId="165" fontId="10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2" fillId="4" borderId="20" xfId="6" applyNumberFormat="1" applyBorder="1">
      <alignment horizontal="center" vertical="center"/>
    </xf>
    <xf numFmtId="1" fontId="2" fillId="4" borderId="22" xfId="6" applyNumberFormat="1" applyBorder="1">
      <alignment horizontal="center" vertical="center"/>
    </xf>
    <xf numFmtId="11" fontId="13" fillId="13" borderId="0" xfId="5" applyNumberFormat="1">
      <alignment vertical="top"/>
    </xf>
    <xf numFmtId="1" fontId="25" fillId="4" borderId="20" xfId="6" applyNumberFormat="1" applyFont="1" applyBorder="1">
      <alignment horizontal="center" vertical="center"/>
    </xf>
    <xf numFmtId="1" fontId="25" fillId="4" borderId="22" xfId="6" applyNumberFormat="1" applyFont="1" applyBorder="1">
      <alignment horizontal="center" vertical="center"/>
    </xf>
    <xf numFmtId="0" fontId="0" fillId="0" borderId="0" xfId="0"/>
    <xf numFmtId="1" fontId="0" fillId="0" borderId="29" xfId="0" applyNumberFormat="1" applyBorder="1"/>
    <xf numFmtId="0" fontId="8" fillId="9" borderId="4" xfId="2" applyNumberFormat="1" applyBorder="1">
      <alignment horizontal="left" vertical="center"/>
    </xf>
    <xf numFmtId="0" fontId="8" fillId="9" borderId="4" xfId="0" applyFont="1" applyFill="1" applyBorder="1"/>
    <xf numFmtId="0" fontId="8" fillId="9" borderId="34" xfId="2" applyNumberFormat="1" applyBorder="1">
      <alignment horizontal="left" vertical="center"/>
    </xf>
    <xf numFmtId="0" fontId="8" fillId="9" borderId="34" xfId="0" applyFont="1" applyFill="1" applyBorder="1"/>
    <xf numFmtId="1" fontId="8" fillId="9" borderId="34" xfId="2" applyBorder="1">
      <alignment horizontal="left" vertical="center"/>
    </xf>
    <xf numFmtId="0" fontId="6" fillId="7" borderId="26" xfId="0" applyFont="1" applyFill="1" applyBorder="1"/>
    <xf numFmtId="0" fontId="6" fillId="7" borderId="0" xfId="0" applyFont="1" applyFill="1" applyBorder="1"/>
    <xf numFmtId="0" fontId="8" fillId="9" borderId="35" xfId="2" applyNumberFormat="1" applyBorder="1">
      <alignment horizontal="left" vertical="center"/>
    </xf>
    <xf numFmtId="0" fontId="8" fillId="9" borderId="2" xfId="2" applyNumberFormat="1" applyBorder="1">
      <alignment horizontal="left" vertical="center"/>
    </xf>
    <xf numFmtId="11" fontId="13" fillId="13" borderId="26" xfId="5" applyBorder="1">
      <alignment vertical="top"/>
    </xf>
    <xf numFmtId="11" fontId="13" fillId="13" borderId="0" xfId="5" applyBorder="1">
      <alignment vertical="top"/>
    </xf>
    <xf numFmtId="0" fontId="12" fillId="7" borderId="36" xfId="0" applyFont="1" applyFill="1" applyBorder="1"/>
    <xf numFmtId="0" fontId="8" fillId="9" borderId="35" xfId="0" applyFont="1" applyFill="1" applyBorder="1"/>
    <xf numFmtId="165" fontId="0" fillId="10" borderId="26" xfId="0" applyNumberFormat="1" applyFill="1" applyBorder="1"/>
    <xf numFmtId="165" fontId="0" fillId="10" borderId="0" xfId="0" applyNumberFormat="1" applyFill="1" applyBorder="1"/>
    <xf numFmtId="0" fontId="0" fillId="17" borderId="26" xfId="0" applyFill="1" applyBorder="1"/>
    <xf numFmtId="0" fontId="0" fillId="17" borderId="0" xfId="0" applyFill="1" applyBorder="1"/>
    <xf numFmtId="0" fontId="6" fillId="7" borderId="37" xfId="0" applyFont="1" applyFill="1" applyBorder="1"/>
    <xf numFmtId="1" fontId="8" fillId="9" borderId="35" xfId="2" applyBorder="1">
      <alignment horizontal="left" vertical="center"/>
    </xf>
    <xf numFmtId="1" fontId="8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3" fillId="13" borderId="33" xfId="5" applyBorder="1">
      <alignment vertical="top"/>
    </xf>
    <xf numFmtId="0" fontId="0" fillId="0" borderId="33" xfId="0" applyBorder="1"/>
    <xf numFmtId="0" fontId="12" fillId="7" borderId="39" xfId="0" applyFont="1" applyFill="1" applyBorder="1"/>
    <xf numFmtId="0" fontId="8" fillId="9" borderId="38" xfId="0" applyFont="1" applyFill="1" applyBorder="1"/>
    <xf numFmtId="165" fontId="0" fillId="10" borderId="33" xfId="0" applyNumberFormat="1" applyFill="1" applyBorder="1"/>
    <xf numFmtId="0" fontId="0" fillId="17" borderId="33" xfId="0" applyFill="1" applyBorder="1"/>
    <xf numFmtId="0" fontId="14" fillId="0" borderId="33" xfId="0" applyFont="1" applyBorder="1" applyAlignment="1">
      <alignment vertical="top"/>
    </xf>
    <xf numFmtId="0" fontId="6" fillId="7" borderId="40" xfId="0" applyFont="1" applyFill="1" applyBorder="1"/>
    <xf numFmtId="1" fontId="8" fillId="9" borderId="38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0" fontId="14" fillId="0" borderId="32" xfId="9" applyNumberFormat="1" applyFont="1" applyFill="1" applyBorder="1" applyAlignment="1" applyProtection="1">
      <alignment horizontal="left"/>
    </xf>
    <xf numFmtId="0" fontId="14" fillId="0" borderId="32" xfId="9" applyNumberFormat="1" applyFont="1" applyFill="1" applyBorder="1" applyAlignment="1" applyProtection="1">
      <alignment horizontal="justify"/>
    </xf>
    <xf numFmtId="0" fontId="14" fillId="0" borderId="32" xfId="9" applyNumberFormat="1" applyFont="1" applyFill="1" applyBorder="1" applyAlignment="1" applyProtection="1">
      <alignment horizontal="right"/>
    </xf>
    <xf numFmtId="0" fontId="14" fillId="0" borderId="30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center"/>
    </xf>
    <xf numFmtId="0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justify" vertical="top"/>
    </xf>
    <xf numFmtId="11" fontId="14" fillId="0" borderId="30" xfId="9" applyNumberFormat="1" applyFont="1" applyFill="1" applyBorder="1" applyAlignment="1" applyProtection="1">
      <alignment horizontal="center" vertical="top"/>
    </xf>
    <xf numFmtId="11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/>
    </xf>
    <xf numFmtId="11" fontId="14" fillId="0" borderId="32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 vertical="top"/>
    </xf>
    <xf numFmtId="11" fontId="14" fillId="0" borderId="32" xfId="9" applyNumberFormat="1" applyFont="1" applyFill="1" applyBorder="1" applyAlignment="1" applyProtection="1">
      <alignment horizontal="center" vertical="top"/>
    </xf>
    <xf numFmtId="0" fontId="14" fillId="0" borderId="32" xfId="10" applyNumberFormat="1" applyFont="1" applyFill="1" applyBorder="1" applyAlignment="1" applyProtection="1">
      <alignment horizontal="left"/>
    </xf>
    <xf numFmtId="0" fontId="14" fillId="0" borderId="32" xfId="10" applyNumberFormat="1" applyFont="1" applyFill="1" applyBorder="1" applyAlignment="1" applyProtection="1">
      <alignment horizontal="justify"/>
    </xf>
    <xf numFmtId="0" fontId="14" fillId="0" borderId="32" xfId="10" applyNumberFormat="1" applyFont="1" applyFill="1" applyBorder="1" applyAlignment="1" applyProtection="1">
      <alignment horizontal="left" vertical="top"/>
    </xf>
    <xf numFmtId="11" fontId="14" fillId="0" borderId="32" xfId="10" applyNumberFormat="1" applyFont="1" applyFill="1" applyBorder="1" applyAlignment="1" applyProtection="1">
      <alignment horizontal="justify" vertical="top"/>
    </xf>
    <xf numFmtId="11" fontId="14" fillId="0" borderId="32" xfId="10" applyNumberFormat="1" applyFont="1" applyFill="1" applyBorder="1" applyAlignment="1" applyProtection="1">
      <alignment horizontal="center" vertical="top"/>
    </xf>
    <xf numFmtId="11" fontId="14" fillId="0" borderId="32" xfId="10" applyNumberFormat="1" applyFont="1" applyFill="1" applyBorder="1" applyAlignment="1" applyProtection="1">
      <alignment horizontal="justify"/>
    </xf>
    <xf numFmtId="11" fontId="14" fillId="0" borderId="32" xfId="10" applyNumberFormat="1" applyFont="1" applyFill="1" applyBorder="1" applyAlignment="1" applyProtection="1">
      <alignment horizontal="center"/>
    </xf>
    <xf numFmtId="165" fontId="10" fillId="0" borderId="0" xfId="8" applyAlignment="1"/>
    <xf numFmtId="11" fontId="14" fillId="0" borderId="0" xfId="11" applyNumberFormat="1" applyFont="1" applyFill="1" applyBorder="1" applyAlignment="1" applyProtection="1">
      <alignment vertical="top"/>
    </xf>
    <xf numFmtId="11" fontId="26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26" fillId="0" borderId="0" xfId="12" applyNumberFormat="1" applyFont="1" applyFill="1" applyBorder="1" applyAlignment="1" applyProtection="1">
      <alignment vertical="top"/>
    </xf>
    <xf numFmtId="0" fontId="14" fillId="0" borderId="33" xfId="12" applyNumberFormat="1" applyFont="1" applyFill="1" applyBorder="1" applyAlignment="1" applyProtection="1">
      <alignment horizontal="left" vertical="top"/>
    </xf>
    <xf numFmtId="0" fontId="14" fillId="0" borderId="32" xfId="12" applyNumberFormat="1" applyFont="1" applyFill="1" applyBorder="1" applyAlignment="1" applyProtection="1">
      <alignment horizontal="justify" vertical="top"/>
    </xf>
    <xf numFmtId="0" fontId="14" fillId="0" borderId="41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justify"/>
    </xf>
    <xf numFmtId="0" fontId="14" fillId="0" borderId="33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right"/>
    </xf>
    <xf numFmtId="0" fontId="14" fillId="0" borderId="1" xfId="12" applyNumberFormat="1" applyFont="1" applyFill="1" applyBorder="1" applyAlignment="1" applyProtection="1">
      <alignment horizontal="right" vertical="center" wrapText="1"/>
    </xf>
    <xf numFmtId="0" fontId="14" fillId="0" borderId="32" xfId="12" applyNumberFormat="1" applyFont="1" applyFill="1" applyBorder="1" applyAlignment="1" applyProtection="1">
      <alignment horizontal="right"/>
    </xf>
    <xf numFmtId="11" fontId="14" fillId="0" borderId="30" xfId="12" applyNumberFormat="1" applyFont="1" applyFill="1" applyBorder="1" applyAlignment="1" applyProtection="1">
      <alignment horizontal="justify"/>
    </xf>
    <xf numFmtId="11" fontId="14" fillId="0" borderId="30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/>
    </xf>
    <xf numFmtId="11" fontId="14" fillId="0" borderId="32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 vertical="top"/>
    </xf>
    <xf numFmtId="11" fontId="14" fillId="0" borderId="32" xfId="12" applyNumberFormat="1" applyFont="1" applyFill="1" applyBorder="1" applyAlignment="1" applyProtection="1">
      <alignment horizontal="center" vertical="top"/>
    </xf>
    <xf numFmtId="1" fontId="1" fillId="4" borderId="20" xfId="6" applyNumberFormat="1" applyFont="1" applyBorder="1">
      <alignment horizontal="center" vertical="center"/>
    </xf>
    <xf numFmtId="1" fontId="1" fillId="4" borderId="22" xfId="6" applyNumberFormat="1" applyFont="1" applyBorder="1">
      <alignment horizontal="center" vertical="center"/>
    </xf>
    <xf numFmtId="0" fontId="19" fillId="16" borderId="0" xfId="0" applyFont="1" applyFill="1" applyAlignment="1">
      <alignment vertical="center" wrapText="1"/>
    </xf>
    <xf numFmtId="0" fontId="19" fillId="16" borderId="0" xfId="0" applyFont="1" applyFill="1" applyAlignment="1">
      <alignment vertical="center"/>
    </xf>
    <xf numFmtId="1" fontId="18" fillId="9" borderId="16" xfId="2" applyFont="1" applyBorder="1" applyAlignment="1">
      <alignment horizontal="center" vertical="center"/>
    </xf>
    <xf numFmtId="1" fontId="18" fillId="9" borderId="6" xfId="2" applyFont="1" applyBorder="1" applyAlignment="1">
      <alignment horizontal="center" vertical="center"/>
    </xf>
    <xf numFmtId="0" fontId="2" fillId="4" borderId="17" xfId="6" applyBorder="1">
      <alignment horizontal="center" vertical="center"/>
    </xf>
    <xf numFmtId="0" fontId="2" fillId="4" borderId="18" xfId="6" applyBorder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  <xf numFmtId="0" fontId="0" fillId="18" borderId="0" xfId="0" applyFill="1"/>
  </cellXfs>
  <cellStyles count="13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A" xfId="9" xr:uid="{1DD74449-4FD7-4700-A91A-A253EF281C6E}"/>
    <cellStyle name="Обычный_A2" xfId="10" xr:uid="{DC1B7091-480F-488A-AB54-618704251EC9}"/>
    <cellStyle name="Обычный_data" xfId="11" xr:uid="{2FCA5598-67EC-4247-8EB5-A0E62D072B34}"/>
    <cellStyle name="Обычный_s" xfId="12" xr:uid="{D308B56B-C345-4A96-8188-B7AEF14D79D4}"/>
    <cellStyle name="Форм" xfId="5" xr:uid="{810E17FE-2F7B-4E62-B173-29B9F2A26C86}"/>
  </cellStyles>
  <dxfs count="12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1.8093999999999999E-2</c:v>
                </c:pt>
                <c:pt idx="1">
                  <c:v>1.7804E-2</c:v>
                </c:pt>
                <c:pt idx="2">
                  <c:v>1.7049999999999999E-2</c:v>
                </c:pt>
                <c:pt idx="3">
                  <c:v>1.5945000000000001E-2</c:v>
                </c:pt>
                <c:pt idx="4">
                  <c:v>1.5049999999999999E-2</c:v>
                </c:pt>
                <c:pt idx="5">
                  <c:v>1.3743999999999999E-2</c:v>
                </c:pt>
                <c:pt idx="6">
                  <c:v>1.306E-2</c:v>
                </c:pt>
                <c:pt idx="7">
                  <c:v>1.2156E-2</c:v>
                </c:pt>
                <c:pt idx="8">
                  <c:v>1.1287E-2</c:v>
                </c:pt>
                <c:pt idx="9">
                  <c:v>1.0671E-2</c:v>
                </c:pt>
                <c:pt idx="10">
                  <c:v>1.0324E-2</c:v>
                </c:pt>
                <c:pt idx="11">
                  <c:v>1.0154E-2</c:v>
                </c:pt>
                <c:pt idx="12">
                  <c:v>1.0073E-2</c:v>
                </c:pt>
                <c:pt idx="13">
                  <c:v>1.0034E-2</c:v>
                </c:pt>
                <c:pt idx="14">
                  <c:v>1.0005999999999999E-2</c:v>
                </c:pt>
                <c:pt idx="15">
                  <c:v>9.9433999999999998E-3</c:v>
                </c:pt>
                <c:pt idx="16">
                  <c:v>9.6798000000000006E-3</c:v>
                </c:pt>
                <c:pt idx="17">
                  <c:v>8.6563000000000005E-3</c:v>
                </c:pt>
                <c:pt idx="18">
                  <c:v>2.6289E-4</c:v>
                </c:pt>
                <c:pt idx="19">
                  <c:v>7.4824000000000001E-5</c:v>
                </c:pt>
                <c:pt idx="20">
                  <c:v>2.1580999999999999E-5</c:v>
                </c:pt>
                <c:pt idx="21">
                  <c:v>6.3327999999999997E-6</c:v>
                </c:pt>
                <c:pt idx="22">
                  <c:v>1.8872999999999999E-6</c:v>
                </c:pt>
                <c:pt idx="23">
                  <c:v>5.5927999999999996E-7</c:v>
                </c:pt>
                <c:pt idx="24">
                  <c:v>8.7534999999999996E-8</c:v>
                </c:pt>
                <c:pt idx="25">
                  <c:v>1.3694E-8</c:v>
                </c:pt>
                <c:pt idx="26">
                  <c:v>2.2223000000000001E-9</c:v>
                </c:pt>
                <c:pt idx="27">
                  <c:v>2.4674000000000002E-12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1.7552999999999999E-34</c:v>
                </c:pt>
                <c:pt idx="7">
                  <c:v>5.9637999999999997E-32</c:v>
                </c:pt>
                <c:pt idx="8">
                  <c:v>1.3317E-29</c:v>
                </c:pt>
                <c:pt idx="9">
                  <c:v>2.1693E-27</c:v>
                </c:pt>
                <c:pt idx="10">
                  <c:v>2.6676999999999999E-25</c:v>
                </c:pt>
                <c:pt idx="11">
                  <c:v>2.4886000000000001E-23</c:v>
                </c:pt>
                <c:pt idx="12">
                  <c:v>1.7740000000000002E-21</c:v>
                </c:pt>
                <c:pt idx="13">
                  <c:v>9.8104000000000004E-20</c:v>
                </c:pt>
                <c:pt idx="14">
                  <c:v>4.2854000000000003E-18</c:v>
                </c:pt>
                <c:pt idx="15">
                  <c:v>1.5015000000000001E-16</c:v>
                </c:pt>
                <c:pt idx="16">
                  <c:v>4.2180000000000003E-15</c:v>
                </c:pt>
                <c:pt idx="17">
                  <c:v>8.9942999999999996E-14</c:v>
                </c:pt>
                <c:pt idx="18">
                  <c:v>1.8166E-10</c:v>
                </c:pt>
                <c:pt idx="19">
                  <c:v>6.1698999999999995E-10</c:v>
                </c:pt>
                <c:pt idx="20">
                  <c:v>1.9062999999999999E-9</c:v>
                </c:pt>
                <c:pt idx="21">
                  <c:v>5.4154999999999998E-9</c:v>
                </c:pt>
                <c:pt idx="22">
                  <c:v>1.4215E-8</c:v>
                </c:pt>
                <c:pt idx="23">
                  <c:v>3.3835999999999999E-8</c:v>
                </c:pt>
                <c:pt idx="24">
                  <c:v>3.6131000000000001E-8</c:v>
                </c:pt>
                <c:pt idx="25">
                  <c:v>3.7158000000000001E-8</c:v>
                </c:pt>
                <c:pt idx="26">
                  <c:v>3.7517999999999999E-8</c:v>
                </c:pt>
                <c:pt idx="27">
                  <c:v>3.4862999999999999E-8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7.4216000000000001E-36</c:v>
                </c:pt>
                <c:pt idx="8">
                  <c:v>1.2279E-33</c:v>
                </c:pt>
                <c:pt idx="9">
                  <c:v>1.4772000000000001E-31</c:v>
                </c:pt>
                <c:pt idx="10">
                  <c:v>1.3357000000000001E-29</c:v>
                </c:pt>
                <c:pt idx="11">
                  <c:v>9.1925000000000003E-28</c:v>
                </c:pt>
                <c:pt idx="12">
                  <c:v>4.8815000000000001E-26</c:v>
                </c:pt>
                <c:pt idx="13">
                  <c:v>2.0363E-24</c:v>
                </c:pt>
                <c:pt idx="14">
                  <c:v>6.8009999999999997E-23</c:v>
                </c:pt>
                <c:pt idx="15">
                  <c:v>1.8494000000000001E-21</c:v>
                </c:pt>
                <c:pt idx="16">
                  <c:v>4.1246999999999999E-20</c:v>
                </c:pt>
                <c:pt idx="17">
                  <c:v>7.3727999999999996E-19</c:v>
                </c:pt>
                <c:pt idx="18">
                  <c:v>3.723E-15</c:v>
                </c:pt>
                <c:pt idx="19">
                  <c:v>1.9612000000000001E-14</c:v>
                </c:pt>
                <c:pt idx="20">
                  <c:v>9.3993000000000001E-14</c:v>
                </c:pt>
                <c:pt idx="21">
                  <c:v>4.132E-13</c:v>
                </c:pt>
                <c:pt idx="22">
                  <c:v>1.6752999999999999E-12</c:v>
                </c:pt>
                <c:pt idx="23">
                  <c:v>6.2173999999999997E-12</c:v>
                </c:pt>
                <c:pt idx="24">
                  <c:v>1.4609999999999999E-11</c:v>
                </c:pt>
                <c:pt idx="25">
                  <c:v>3.2901E-11</c:v>
                </c:pt>
                <c:pt idx="26">
                  <c:v>7.1446000000000001E-11</c:v>
                </c:pt>
                <c:pt idx="27">
                  <c:v>1.1532999999999999E-9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6.1877999999999997E-9</c:v>
                      </c:pt>
                      <c:pt idx="1">
                        <c:v>5.5165000000000001E-9</c:v>
                      </c:pt>
                      <c:pt idx="2">
                        <c:v>7.4244000000000001E-9</c:v>
                      </c:pt>
                      <c:pt idx="3">
                        <c:v>1.3577999999999999E-8</c:v>
                      </c:pt>
                      <c:pt idx="4">
                        <c:v>2.9451E-8</c:v>
                      </c:pt>
                      <c:pt idx="5">
                        <c:v>1.5819999999999999E-8</c:v>
                      </c:pt>
                      <c:pt idx="6">
                        <c:v>2.8747E-9</c:v>
                      </c:pt>
                      <c:pt idx="7">
                        <c:v>2.4480999999999999E-13</c:v>
                      </c:pt>
                      <c:pt idx="8">
                        <c:v>9.9445000000000001E-21</c:v>
                      </c:pt>
                      <c:pt idx="9">
                        <c:v>7.3141000000000006E-30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1.1499999999999999E-31</c:v>
                      </c:pt>
                      <c:pt idx="20">
                        <c:v>9.5558000000000007E-24</c:v>
                      </c:pt>
                      <c:pt idx="21">
                        <c:v>1.4482E-16</c:v>
                      </c:pt>
                      <c:pt idx="22">
                        <c:v>1.0933999999999999E-10</c:v>
                      </c:pt>
                      <c:pt idx="23">
                        <c:v>3.2417999999999998E-7</c:v>
                      </c:pt>
                      <c:pt idx="24">
                        <c:v>1.2376E-5</c:v>
                      </c:pt>
                      <c:pt idx="25">
                        <c:v>2.1126999999999999E-5</c:v>
                      </c:pt>
                      <c:pt idx="26">
                        <c:v>2.3708000000000001E-5</c:v>
                      </c:pt>
                      <c:pt idx="27">
                        <c:v>2.8283999999999999E-6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9.5128000000000004E-28</c:v>
                      </c:pt>
                      <c:pt idx="3">
                        <c:v>1.5372000000000001E-22</c:v>
                      </c:pt>
                      <c:pt idx="4">
                        <c:v>1.1156E-19</c:v>
                      </c:pt>
                      <c:pt idx="5">
                        <c:v>1.7943999999999999E-13</c:v>
                      </c:pt>
                      <c:pt idx="6">
                        <c:v>4.2096999999999999E-10</c:v>
                      </c:pt>
                      <c:pt idx="7">
                        <c:v>4.2095000000000004E-9</c:v>
                      </c:pt>
                      <c:pt idx="8">
                        <c:v>7.7497000000000002E-9</c:v>
                      </c:pt>
                      <c:pt idx="9">
                        <c:v>1.3306E-8</c:v>
                      </c:pt>
                      <c:pt idx="10">
                        <c:v>1.2213999999999999E-8</c:v>
                      </c:pt>
                      <c:pt idx="11">
                        <c:v>2.3015999999999999E-8</c:v>
                      </c:pt>
                      <c:pt idx="12">
                        <c:v>1.5737999999999998E-8</c:v>
                      </c:pt>
                      <c:pt idx="13">
                        <c:v>1.6776000000000001E-8</c:v>
                      </c:pt>
                      <c:pt idx="14">
                        <c:v>1.7397E-8</c:v>
                      </c:pt>
                      <c:pt idx="15">
                        <c:v>1.768E-8</c:v>
                      </c:pt>
                      <c:pt idx="16">
                        <c:v>1.8666E-8</c:v>
                      </c:pt>
                      <c:pt idx="17">
                        <c:v>2.2871E-8</c:v>
                      </c:pt>
                      <c:pt idx="18">
                        <c:v>2.7468000000000002E-8</c:v>
                      </c:pt>
                      <c:pt idx="19">
                        <c:v>2.7864000000000001E-8</c:v>
                      </c:pt>
                      <c:pt idx="20">
                        <c:v>2.7649999999999999E-8</c:v>
                      </c:pt>
                      <c:pt idx="21">
                        <c:v>2.8200000000000001E-8</c:v>
                      </c:pt>
                      <c:pt idx="22">
                        <c:v>6.5486999999999999E-9</c:v>
                      </c:pt>
                      <c:pt idx="23">
                        <c:v>6.0900999999999995E-32</c:v>
                      </c:pt>
                      <c:pt idx="24">
                        <c:v>4.7079000000000003E-30</c:v>
                      </c:pt>
                      <c:pt idx="25">
                        <c:v>8.2700999999999997E-29</c:v>
                      </c:pt>
                      <c:pt idx="26">
                        <c:v>4.4598999999999997E-28</c:v>
                      </c:pt>
                      <c:pt idx="27">
                        <c:v>2.2786000000000001E-23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1.2300000000000001E-9</c:v>
                      </c:pt>
                      <c:pt idx="1">
                        <c:v>4.5156E-11</c:v>
                      </c:pt>
                      <c:pt idx="2">
                        <c:v>6.8465000000000003E-15</c:v>
                      </c:pt>
                      <c:pt idx="3">
                        <c:v>3.7467999999999999E-23</c:v>
                      </c:pt>
                      <c:pt idx="4">
                        <c:v>3.8006E-35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0.11787</c:v>
                      </c:pt>
                      <c:pt idx="1">
                        <c:v>0.11068</c:v>
                      </c:pt>
                      <c:pt idx="2">
                        <c:v>9.0792999999999999E-2</c:v>
                      </c:pt>
                      <c:pt idx="3">
                        <c:v>5.8309E-2</c:v>
                      </c:pt>
                      <c:pt idx="4">
                        <c:v>2.8580999999999999E-2</c:v>
                      </c:pt>
                      <c:pt idx="5">
                        <c:v>8.4281999999999998E-4</c:v>
                      </c:pt>
                      <c:pt idx="6">
                        <c:v>3.6653E-4</c:v>
                      </c:pt>
                      <c:pt idx="7">
                        <c:v>1.4880000000000001E-4</c:v>
                      </c:pt>
                      <c:pt idx="8">
                        <c:v>5.2157000000000002E-5</c:v>
                      </c:pt>
                      <c:pt idx="9">
                        <c:v>1.5631999999999999E-5</c:v>
                      </c:pt>
                      <c:pt idx="10">
                        <c:v>4.2572999999999999E-6</c:v>
                      </c:pt>
                      <c:pt idx="11">
                        <c:v>1.1320999999999999E-6</c:v>
                      </c:pt>
                      <c:pt idx="12">
                        <c:v>3.0759999999999998E-7</c:v>
                      </c:pt>
                      <c:pt idx="13">
                        <c:v>8.7147999999999994E-8</c:v>
                      </c:pt>
                      <c:pt idx="14">
                        <c:v>2.5918999999999999E-8</c:v>
                      </c:pt>
                      <c:pt idx="15">
                        <c:v>8.1001000000000002E-9</c:v>
                      </c:pt>
                      <c:pt idx="16">
                        <c:v>2.6604E-9</c:v>
                      </c:pt>
                      <c:pt idx="17">
                        <c:v>9.2248999999999999E-10</c:v>
                      </c:pt>
                      <c:pt idx="18">
                        <c:v>2.0673000000000001E-11</c:v>
                      </c:pt>
                      <c:pt idx="19">
                        <c:v>8.4606999999999993E-12</c:v>
                      </c:pt>
                      <c:pt idx="20">
                        <c:v>3.5548000000000002E-12</c:v>
                      </c:pt>
                      <c:pt idx="21">
                        <c:v>1.5325E-12</c:v>
                      </c:pt>
                      <c:pt idx="22">
                        <c:v>6.7700999999999996E-13</c:v>
                      </c:pt>
                      <c:pt idx="23">
                        <c:v>3.0721000000000001E-13</c:v>
                      </c:pt>
                      <c:pt idx="24">
                        <c:v>1.5357999999999999E-13</c:v>
                      </c:pt>
                      <c:pt idx="25">
                        <c:v>7.5448000000000003E-14</c:v>
                      </c:pt>
                      <c:pt idx="26">
                        <c:v>3.7177999999999999E-14</c:v>
                      </c:pt>
                      <c:pt idx="27">
                        <c:v>2.4715E-15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0.12213</c:v>
                      </c:pt>
                      <c:pt idx="1">
                        <c:v>0.12931999999999999</c:v>
                      </c:pt>
                      <c:pt idx="2">
                        <c:v>0.1492</c:v>
                      </c:pt>
                      <c:pt idx="3">
                        <c:v>0.18165999999999999</c:v>
                      </c:pt>
                      <c:pt idx="4">
                        <c:v>0.21128</c:v>
                      </c:pt>
                      <c:pt idx="5">
                        <c:v>0.21623999999999999</c:v>
                      </c:pt>
                      <c:pt idx="6">
                        <c:v>0.18673000000000001</c:v>
                      </c:pt>
                      <c:pt idx="7">
                        <c:v>0.14158000000000001</c:v>
                      </c:pt>
                      <c:pt idx="8">
                        <c:v>9.1116000000000003E-2</c:v>
                      </c:pt>
                      <c:pt idx="9">
                        <c:v>5.0257000000000003E-2</c:v>
                      </c:pt>
                      <c:pt idx="10">
                        <c:v>2.5132000000000002E-2</c:v>
                      </c:pt>
                      <c:pt idx="11">
                        <c:v>1.2115000000000001E-2</c:v>
                      </c:pt>
                      <c:pt idx="12">
                        <c:v>5.8520999999999998E-3</c:v>
                      </c:pt>
                      <c:pt idx="13">
                        <c:v>2.8841000000000001E-3</c:v>
                      </c:pt>
                      <c:pt idx="14">
                        <c:v>1.4599999999999999E-3</c:v>
                      </c:pt>
                      <c:pt idx="15">
                        <c:v>7.6039E-4</c:v>
                      </c:pt>
                      <c:pt idx="16">
                        <c:v>4.0761999999999998E-4</c:v>
                      </c:pt>
                      <c:pt idx="17">
                        <c:v>2.2541E-4</c:v>
                      </c:pt>
                      <c:pt idx="18">
                        <c:v>2.7175E-5</c:v>
                      </c:pt>
                      <c:pt idx="19">
                        <c:v>1.6592999999999999E-5</c:v>
                      </c:pt>
                      <c:pt idx="20">
                        <c:v>1.0291E-5</c:v>
                      </c:pt>
                      <c:pt idx="21">
                        <c:v>6.4810999999999997E-6</c:v>
                      </c:pt>
                      <c:pt idx="22">
                        <c:v>4.1408000000000002E-6</c:v>
                      </c:pt>
                      <c:pt idx="23">
                        <c:v>2.6863999999999998E-6</c:v>
                      </c:pt>
                      <c:pt idx="24">
                        <c:v>1.8275000000000001E-6</c:v>
                      </c:pt>
                      <c:pt idx="25">
                        <c:v>1.2358000000000001E-6</c:v>
                      </c:pt>
                      <c:pt idx="26">
                        <c:v>8.3857000000000002E-7</c:v>
                      </c:pt>
                      <c:pt idx="27">
                        <c:v>1.9167E-7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2.1905999999999998E-2</c:v>
                      </c:pt>
                      <c:pt idx="1">
                        <c:v>2.2196E-2</c:v>
                      </c:pt>
                      <c:pt idx="2">
                        <c:v>2.2950000000000002E-2</c:v>
                      </c:pt>
                      <c:pt idx="3">
                        <c:v>2.4055E-2</c:v>
                      </c:pt>
                      <c:pt idx="4">
                        <c:v>2.495E-2</c:v>
                      </c:pt>
                      <c:pt idx="5">
                        <c:v>2.6256000000000002E-2</c:v>
                      </c:pt>
                      <c:pt idx="6">
                        <c:v>2.6939999999999999E-2</c:v>
                      </c:pt>
                      <c:pt idx="7">
                        <c:v>2.7844000000000001E-2</c:v>
                      </c:pt>
                      <c:pt idx="8">
                        <c:v>2.8712999999999999E-2</c:v>
                      </c:pt>
                      <c:pt idx="9">
                        <c:v>2.9329000000000001E-2</c:v>
                      </c:pt>
                      <c:pt idx="10">
                        <c:v>2.9676000000000001E-2</c:v>
                      </c:pt>
                      <c:pt idx="11">
                        <c:v>2.9846000000000001E-2</c:v>
                      </c:pt>
                      <c:pt idx="12">
                        <c:v>2.9926000000000001E-2</c:v>
                      </c:pt>
                      <c:pt idx="13">
                        <c:v>2.9959E-2</c:v>
                      </c:pt>
                      <c:pt idx="14">
                        <c:v>2.9951999999999999E-2</c:v>
                      </c:pt>
                      <c:pt idx="15">
                        <c:v>2.9828E-2</c:v>
                      </c:pt>
                      <c:pt idx="16">
                        <c:v>2.9187999999999999E-2</c:v>
                      </c:pt>
                      <c:pt idx="17">
                        <c:v>2.6589999999999999E-2</c:v>
                      </c:pt>
                      <c:pt idx="18">
                        <c:v>9.5122999999999996E-4</c:v>
                      </c:pt>
                      <c:pt idx="19">
                        <c:v>2.7313000000000001E-4</c:v>
                      </c:pt>
                      <c:pt idx="20">
                        <c:v>7.9382999999999995E-5</c:v>
                      </c:pt>
                      <c:pt idx="21">
                        <c:v>2.3487999999999999E-5</c:v>
                      </c:pt>
                      <c:pt idx="22">
                        <c:v>7.0636999999999998E-6</c:v>
                      </c:pt>
                      <c:pt idx="23">
                        <c:v>2.1115999999999998E-6</c:v>
                      </c:pt>
                      <c:pt idx="24">
                        <c:v>3.2650999999999998E-7</c:v>
                      </c:pt>
                      <c:pt idx="25">
                        <c:v>5.0575000000000001E-8</c:v>
                      </c:pt>
                      <c:pt idx="26">
                        <c:v>8.1415000000000005E-9</c:v>
                      </c:pt>
                      <c:pt idx="27">
                        <c:v>8.8611000000000007E-12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1.4219000000000001E-28</c:v>
                      </c:pt>
                      <c:pt idx="1">
                        <c:v>1.2244E-26</c:v>
                      </c:pt>
                      <c:pt idx="2">
                        <c:v>9.3656999999999993E-25</c:v>
                      </c:pt>
                      <c:pt idx="3">
                        <c:v>8.2229999999999995E-23</c:v>
                      </c:pt>
                      <c:pt idx="4">
                        <c:v>7.5761000000000006E-21</c:v>
                      </c:pt>
                      <c:pt idx="5">
                        <c:v>3.6578999999999997E-14</c:v>
                      </c:pt>
                      <c:pt idx="6">
                        <c:v>7.0040000000000002E-13</c:v>
                      </c:pt>
                      <c:pt idx="7">
                        <c:v>1.0294E-11</c:v>
                      </c:pt>
                      <c:pt idx="8">
                        <c:v>1.2805000000000001E-10</c:v>
                      </c:pt>
                      <c:pt idx="9">
                        <c:v>1.4134999999999999E-9</c:v>
                      </c:pt>
                      <c:pt idx="10">
                        <c:v>1.3907E-8</c:v>
                      </c:pt>
                      <c:pt idx="11">
                        <c:v>1.2118999999999999E-7</c:v>
                      </c:pt>
                      <c:pt idx="12">
                        <c:v>9.3500000000000005E-7</c:v>
                      </c:pt>
                      <c:pt idx="13">
                        <c:v>6.4214E-6</c:v>
                      </c:pt>
                      <c:pt idx="14">
                        <c:v>3.9548999999999997E-5</c:v>
                      </c:pt>
                      <c:pt idx="15">
                        <c:v>2.1958000000000001E-4</c:v>
                      </c:pt>
                      <c:pt idx="16">
                        <c:v>1.0908999999999999E-3</c:v>
                      </c:pt>
                      <c:pt idx="17">
                        <c:v>4.5948999999999999E-3</c:v>
                      </c:pt>
                      <c:pt idx="18">
                        <c:v>3.5118000000000003E-2</c:v>
                      </c:pt>
                      <c:pt idx="19">
                        <c:v>3.4089000000000001E-2</c:v>
                      </c:pt>
                      <c:pt idx="20">
                        <c:v>3.1904000000000002E-2</c:v>
                      </c:pt>
                      <c:pt idx="21">
                        <c:v>2.9024000000000001E-2</c:v>
                      </c:pt>
                      <c:pt idx="22">
                        <c:v>2.5696E-2</c:v>
                      </c:pt>
                      <c:pt idx="23">
                        <c:v>2.1628000000000001E-2</c:v>
                      </c:pt>
                      <c:pt idx="24">
                        <c:v>8.3616999999999997E-3</c:v>
                      </c:pt>
                      <c:pt idx="25">
                        <c:v>3.2523999999999999E-3</c:v>
                      </c:pt>
                      <c:pt idx="26">
                        <c:v>1.2936E-3</c:v>
                      </c:pt>
                      <c:pt idx="27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3.6374999999999999E-28</c:v>
                      </c:pt>
                      <c:pt idx="1">
                        <c:v>2.9487000000000001E-26</c:v>
                      </c:pt>
                      <c:pt idx="2">
                        <c:v>2.0040999999999999E-24</c:v>
                      </c:pt>
                      <c:pt idx="3">
                        <c:v>1.4044000000000001E-22</c:v>
                      </c:pt>
                      <c:pt idx="4">
                        <c:v>9.4172000000000002E-21</c:v>
                      </c:pt>
                      <c:pt idx="5">
                        <c:v>1.3252E-14</c:v>
                      </c:pt>
                      <c:pt idx="6">
                        <c:v>2.1316999999999999E-13</c:v>
                      </c:pt>
                      <c:pt idx="7">
                        <c:v>2.7485999999999998E-12</c:v>
                      </c:pt>
                      <c:pt idx="8">
                        <c:v>3.0313999999999999E-11</c:v>
                      </c:pt>
                      <c:pt idx="9">
                        <c:v>2.9357999999999998E-10</c:v>
                      </c:pt>
                      <c:pt idx="10">
                        <c:v>2.5024E-9</c:v>
                      </c:pt>
                      <c:pt idx="11">
                        <c:v>1.8787000000000001E-8</c:v>
                      </c:pt>
                      <c:pt idx="12">
                        <c:v>1.2485999999999999E-7</c:v>
                      </c:pt>
                      <c:pt idx="13">
                        <c:v>7.4010999999999997E-7</c:v>
                      </c:pt>
                      <c:pt idx="14">
                        <c:v>3.9424999999999999E-6</c:v>
                      </c:pt>
                      <c:pt idx="15">
                        <c:v>1.8986000000000001E-5</c:v>
                      </c:pt>
                      <c:pt idx="16">
                        <c:v>8.2616999999999999E-5</c:v>
                      </c:pt>
                      <c:pt idx="17">
                        <c:v>3.1750000000000002E-4</c:v>
                      </c:pt>
                      <c:pt idx="18">
                        <c:v>7.3359999999999996E-3</c:v>
                      </c:pt>
                      <c:pt idx="19">
                        <c:v>1.1124999999999999E-2</c:v>
                      </c:pt>
                      <c:pt idx="20">
                        <c:v>1.5989E-2</c:v>
                      </c:pt>
                      <c:pt idx="21">
                        <c:v>2.1892999999999999E-2</c:v>
                      </c:pt>
                      <c:pt idx="22">
                        <c:v>2.8590999999999998E-2</c:v>
                      </c:pt>
                      <c:pt idx="23">
                        <c:v>3.5165000000000002E-2</c:v>
                      </c:pt>
                      <c:pt idx="24">
                        <c:v>2.7507E-2</c:v>
                      </c:pt>
                      <c:pt idx="25">
                        <c:v>2.1121999999999998E-2</c:v>
                      </c:pt>
                      <c:pt idx="26">
                        <c:v>1.5965E-2</c:v>
                      </c:pt>
                      <c:pt idx="27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2.5337E-9</c:v>
                      </c:pt>
                      <c:pt idx="1">
                        <c:v>8.7521E-9</c:v>
                      </c:pt>
                      <c:pt idx="2">
                        <c:v>2.1410000000000001E-8</c:v>
                      </c:pt>
                      <c:pt idx="3">
                        <c:v>3.5043999999999999E-8</c:v>
                      </c:pt>
                      <c:pt idx="4">
                        <c:v>4.0088000000000001E-8</c:v>
                      </c:pt>
                      <c:pt idx="5">
                        <c:v>2.18E-8</c:v>
                      </c:pt>
                      <c:pt idx="6">
                        <c:v>2.0435000000000001E-8</c:v>
                      </c:pt>
                      <c:pt idx="7">
                        <c:v>1.9989999999999999E-8</c:v>
                      </c:pt>
                      <c:pt idx="8">
                        <c:v>1.9168E-8</c:v>
                      </c:pt>
                      <c:pt idx="9">
                        <c:v>1.8243E-8</c:v>
                      </c:pt>
                      <c:pt idx="10">
                        <c:v>1.6292999999999999E-8</c:v>
                      </c:pt>
                      <c:pt idx="11">
                        <c:v>1.3986E-8</c:v>
                      </c:pt>
                      <c:pt idx="12">
                        <c:v>1.1771E-8</c:v>
                      </c:pt>
                      <c:pt idx="13">
                        <c:v>9.8201E-9</c:v>
                      </c:pt>
                      <c:pt idx="14">
                        <c:v>8.1651999999999999E-9</c:v>
                      </c:pt>
                      <c:pt idx="15">
                        <c:v>6.7876E-9</c:v>
                      </c:pt>
                      <c:pt idx="16">
                        <c:v>5.6655000000000003E-9</c:v>
                      </c:pt>
                      <c:pt idx="17">
                        <c:v>4.8032999999999997E-9</c:v>
                      </c:pt>
                      <c:pt idx="18">
                        <c:v>2.7602E-9</c:v>
                      </c:pt>
                      <c:pt idx="19">
                        <c:v>2.3245E-9</c:v>
                      </c:pt>
                      <c:pt idx="20">
                        <c:v>1.9566E-9</c:v>
                      </c:pt>
                      <c:pt idx="21">
                        <c:v>1.6493000000000001E-9</c:v>
                      </c:pt>
                      <c:pt idx="22">
                        <c:v>1.3927E-9</c:v>
                      </c:pt>
                      <c:pt idx="23">
                        <c:v>1.179E-9</c:v>
                      </c:pt>
                      <c:pt idx="24">
                        <c:v>1.0190000000000001E-9</c:v>
                      </c:pt>
                      <c:pt idx="25">
                        <c:v>8.6608999999999995E-10</c:v>
                      </c:pt>
                      <c:pt idx="26">
                        <c:v>7.3197999999999999E-10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5.8400000000000005E-10</c:v>
                      </c:pt>
                      <c:pt idx="1">
                        <c:v>2.3464000000000001E-9</c:v>
                      </c:pt>
                      <c:pt idx="2">
                        <c:v>6.5551000000000002E-9</c:v>
                      </c:pt>
                      <c:pt idx="3">
                        <c:v>1.2069E-8</c:v>
                      </c:pt>
                      <c:pt idx="4">
                        <c:v>1.5332000000000001E-8</c:v>
                      </c:pt>
                      <c:pt idx="5">
                        <c:v>1.1541000000000001E-8</c:v>
                      </c:pt>
                      <c:pt idx="6">
                        <c:v>1.153E-8</c:v>
                      </c:pt>
                      <c:pt idx="7">
                        <c:v>1.1954000000000001E-8</c:v>
                      </c:pt>
                      <c:pt idx="8">
                        <c:v>1.2058E-8</c:v>
                      </c:pt>
                      <c:pt idx="9">
                        <c:v>1.1358999999999999E-8</c:v>
                      </c:pt>
                      <c:pt idx="10">
                        <c:v>1.0034000000000001E-8</c:v>
                      </c:pt>
                      <c:pt idx="11">
                        <c:v>8.5150000000000005E-9</c:v>
                      </c:pt>
                      <c:pt idx="12">
                        <c:v>7.0818999999999997E-9</c:v>
                      </c:pt>
                      <c:pt idx="13">
                        <c:v>5.8369999999999996E-9</c:v>
                      </c:pt>
                      <c:pt idx="14">
                        <c:v>4.7939999999999998E-9</c:v>
                      </c:pt>
                      <c:pt idx="15">
                        <c:v>3.9361000000000001E-9</c:v>
                      </c:pt>
                      <c:pt idx="16">
                        <c:v>3.2447999999999998E-9</c:v>
                      </c:pt>
                      <c:pt idx="17">
                        <c:v>2.717E-9</c:v>
                      </c:pt>
                      <c:pt idx="18">
                        <c:v>1.4865E-9</c:v>
                      </c:pt>
                      <c:pt idx="19">
                        <c:v>1.2368999999999999E-9</c:v>
                      </c:pt>
                      <c:pt idx="20">
                        <c:v>1.0288E-9</c:v>
                      </c:pt>
                      <c:pt idx="21">
                        <c:v>8.5701000000000002E-10</c:v>
                      </c:pt>
                      <c:pt idx="22">
                        <c:v>7.1524999999999999E-10</c:v>
                      </c:pt>
                      <c:pt idx="23">
                        <c:v>5.9853E-10</c:v>
                      </c:pt>
                      <c:pt idx="24">
                        <c:v>5.1136999999999996E-10</c:v>
                      </c:pt>
                      <c:pt idx="25">
                        <c:v>4.2971000000000001E-10</c:v>
                      </c:pt>
                      <c:pt idx="26">
                        <c:v>3.5909E-10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2.1339000000000002E-3</c:v>
                      </c:pt>
                      <c:pt idx="1">
                        <c:v>9.3252000000000005E-3</c:v>
                      </c:pt>
                      <c:pt idx="2">
                        <c:v>2.9215000000000001E-2</c:v>
                      </c:pt>
                      <c:pt idx="3">
                        <c:v>6.1720999999999998E-2</c:v>
                      </c:pt>
                      <c:pt idx="4">
                        <c:v>9.1555999999999998E-2</c:v>
                      </c:pt>
                      <c:pt idx="5">
                        <c:v>0.14207</c:v>
                      </c:pt>
                      <c:pt idx="6">
                        <c:v>0.17254</c:v>
                      </c:pt>
                      <c:pt idx="7">
                        <c:v>0.21812000000000001</c:v>
                      </c:pt>
                      <c:pt idx="8">
                        <c:v>0.26878000000000002</c:v>
                      </c:pt>
                      <c:pt idx="9">
                        <c:v>0.30970999999999999</c:v>
                      </c:pt>
                      <c:pt idx="10">
                        <c:v>0.33485999999999999</c:v>
                      </c:pt>
                      <c:pt idx="11">
                        <c:v>0.34788000000000002</c:v>
                      </c:pt>
                      <c:pt idx="12">
                        <c:v>0.35415000000000002</c:v>
                      </c:pt>
                      <c:pt idx="13">
                        <c:v>0.35713</c:v>
                      </c:pt>
                      <c:pt idx="14">
                        <c:v>0.35861999999999999</c:v>
                      </c:pt>
                      <c:pt idx="15">
                        <c:v>0.35970999999999997</c:v>
                      </c:pt>
                      <c:pt idx="16">
                        <c:v>0.3619</c:v>
                      </c:pt>
                      <c:pt idx="17">
                        <c:v>0.36943999999999999</c:v>
                      </c:pt>
                      <c:pt idx="18">
                        <c:v>0.44120999999999999</c:v>
                      </c:pt>
                      <c:pt idx="19">
                        <c:v>0.44485000000000002</c:v>
                      </c:pt>
                      <c:pt idx="20">
                        <c:v>0.44778000000000001</c:v>
                      </c:pt>
                      <c:pt idx="21">
                        <c:v>0.45088</c:v>
                      </c:pt>
                      <c:pt idx="22">
                        <c:v>0.45427000000000001</c:v>
                      </c:pt>
                      <c:pt idx="23">
                        <c:v>0.45835999999999999</c:v>
                      </c:pt>
                      <c:pt idx="24">
                        <c:v>0.47164</c:v>
                      </c:pt>
                      <c:pt idx="25">
                        <c:v>0.47675000000000001</c:v>
                      </c:pt>
                      <c:pt idx="26">
                        <c:v>0.47871000000000002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6.4788000000000002E-12</c:v>
                      </c:pt>
                      <c:pt idx="1">
                        <c:v>3.6438999999999997E-11</c:v>
                      </c:pt>
                      <c:pt idx="2">
                        <c:v>1.3745E-10</c:v>
                      </c:pt>
                      <c:pt idx="3">
                        <c:v>3.3158000000000001E-10</c:v>
                      </c:pt>
                      <c:pt idx="4">
                        <c:v>5.3816000000000003E-10</c:v>
                      </c:pt>
                      <c:pt idx="5">
                        <c:v>8.9524999999999998E-10</c:v>
                      </c:pt>
                      <c:pt idx="6">
                        <c:v>1.0527000000000001E-9</c:v>
                      </c:pt>
                      <c:pt idx="7">
                        <c:v>1.2709E-9</c:v>
                      </c:pt>
                      <c:pt idx="8">
                        <c:v>1.4783E-9</c:v>
                      </c:pt>
                      <c:pt idx="9">
                        <c:v>1.5923E-9</c:v>
                      </c:pt>
                      <c:pt idx="10">
                        <c:v>1.5959E-9</c:v>
                      </c:pt>
                      <c:pt idx="11">
                        <c:v>1.5259000000000001E-9</c:v>
                      </c:pt>
                      <c:pt idx="12">
                        <c:v>1.421E-9</c:v>
                      </c:pt>
                      <c:pt idx="13">
                        <c:v>1.3038E-9</c:v>
                      </c:pt>
                      <c:pt idx="14">
                        <c:v>1.1859E-9</c:v>
                      </c:pt>
                      <c:pt idx="15">
                        <c:v>1.0730999999999999E-9</c:v>
                      </c:pt>
                      <c:pt idx="16">
                        <c:v>9.7069999999999997E-10</c:v>
                      </c:pt>
                      <c:pt idx="17">
                        <c:v>8.8829000000000004E-10</c:v>
                      </c:pt>
                      <c:pt idx="18">
                        <c:v>6.6946999999999996E-10</c:v>
                      </c:pt>
                      <c:pt idx="19">
                        <c:v>5.9896999999999995E-10</c:v>
                      </c:pt>
                      <c:pt idx="20">
                        <c:v>5.3429000000000002E-10</c:v>
                      </c:pt>
                      <c:pt idx="21">
                        <c:v>4.7617000000000002E-10</c:v>
                      </c:pt>
                      <c:pt idx="22">
                        <c:v>4.2419000000000001E-10</c:v>
                      </c:pt>
                      <c:pt idx="23">
                        <c:v>3.7808E-10</c:v>
                      </c:pt>
                      <c:pt idx="24">
                        <c:v>3.4335000000000001E-10</c:v>
                      </c:pt>
                      <c:pt idx="25">
                        <c:v>3.0610000000000001E-10</c:v>
                      </c:pt>
                      <c:pt idx="26">
                        <c:v>2.7088999999999998E-10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2.9604E-33</c:v>
                      </c:pt>
                      <c:pt idx="19">
                        <c:v>3.7014000000000003E-26</c:v>
                      </c:pt>
                      <c:pt idx="20">
                        <c:v>2.1821E-19</c:v>
                      </c:pt>
                      <c:pt idx="21">
                        <c:v>3.8508999999999998E-13</c:v>
                      </c:pt>
                      <c:pt idx="22">
                        <c:v>5.2928000000000003E-8</c:v>
                      </c:pt>
                      <c:pt idx="23">
                        <c:v>1.5735E-3</c:v>
                      </c:pt>
                      <c:pt idx="24">
                        <c:v>3.5756999999999997E-2</c:v>
                      </c:pt>
                      <c:pt idx="25">
                        <c:v>5.2352000000000003E-2</c:v>
                      </c:pt>
                      <c:pt idx="26">
                        <c:v>6.1423999999999999E-2</c:v>
                      </c:pt>
                      <c:pt idx="27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6.6405999999999999E-34</c:v>
                      </c:pt>
                      <c:pt idx="19">
                        <c:v>5.4394E-27</c:v>
                      </c:pt>
                      <c:pt idx="20">
                        <c:v>2.1702999999999999E-20</c:v>
                      </c:pt>
                      <c:pt idx="21">
                        <c:v>2.6639000000000001E-14</c:v>
                      </c:pt>
                      <c:pt idx="22">
                        <c:v>2.6133000000000001E-9</c:v>
                      </c:pt>
                      <c:pt idx="23">
                        <c:v>5.7606999999999999E-5</c:v>
                      </c:pt>
                      <c:pt idx="24">
                        <c:v>1.4848999999999999E-3</c:v>
                      </c:pt>
                      <c:pt idx="25">
                        <c:v>2.4618999999999999E-3</c:v>
                      </c:pt>
                      <c:pt idx="26">
                        <c:v>3.2528000000000001E-3</c:v>
                      </c:pt>
                      <c:pt idx="27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189441160330482E-2"/>
          <c:y val="4.031043881855613E-2"/>
          <c:w val="0.91712319681176846"/>
          <c:h val="0.895759295228694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-161.21212229458382</c:v>
                </c:pt>
                <c:pt idx="1">
                  <c:v>-164.1921638354986</c:v>
                </c:pt>
                <c:pt idx="2">
                  <c:v>-168.46466631585722</c:v>
                </c:pt>
                <c:pt idx="3">
                  <c:v>-173.91202272433173</c:v>
                </c:pt>
                <c:pt idx="4">
                  <c:v>-179.53570362182828</c:v>
                </c:pt>
                <c:pt idx="5">
                  <c:v>-201.17705549058644</c:v>
                </c:pt>
                <c:pt idx="6">
                  <c:v>-208.35513303812795</c:v>
                </c:pt>
                <c:pt idx="7">
                  <c:v>-216.75692033806186</c:v>
                </c:pt>
                <c:pt idx="8">
                  <c:v>-226.06657614390045</c:v>
                </c:pt>
                <c:pt idx="9">
                  <c:v>-235.73012543055336</c:v>
                </c:pt>
                <c:pt idx="10">
                  <c:v>-245.58769694241278</c:v>
                </c:pt>
                <c:pt idx="11">
                  <c:v>-255.46279413930517</c:v>
                </c:pt>
                <c:pt idx="12">
                  <c:v>-265.48610573190058</c:v>
                </c:pt>
                <c:pt idx="13">
                  <c:v>-275.62478528795151</c:v>
                </c:pt>
                <c:pt idx="14">
                  <c:v>-285.82498719459625</c:v>
                </c:pt>
                <c:pt idx="15">
                  <c:v>-296.40361571073947</c:v>
                </c:pt>
                <c:pt idx="16">
                  <c:v>-307.57339835972186</c:v>
                </c:pt>
                <c:pt idx="17">
                  <c:v>-320.74492668641795</c:v>
                </c:pt>
                <c:pt idx="18">
                  <c:v>-389.67607093817116</c:v>
                </c:pt>
                <c:pt idx="19">
                  <c:v>-403.22737200467765</c:v>
                </c:pt>
                <c:pt idx="20">
                  <c:v>-416.78991351954159</c:v>
                </c:pt>
                <c:pt idx="21">
                  <c:v>-430.34856481334219</c:v>
                </c:pt>
                <c:pt idx="22">
                  <c:v>-444.10041316427277</c:v>
                </c:pt>
                <c:pt idx="23">
                  <c:v>-457.57245234487431</c:v>
                </c:pt>
                <c:pt idx="24">
                  <c:v>-463.48738289907232</c:v>
                </c:pt>
                <c:pt idx="25">
                  <c:v>-473.65362493254327</c:v>
                </c:pt>
                <c:pt idx="26">
                  <c:v>-485.86663911861325</c:v>
                </c:pt>
                <c:pt idx="27">
                  <c:v>-541.07669222208028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-8.7498232543780483E-31</c:v>
                </c:pt>
                <c:pt idx="19">
                  <c:v>-1.0248912302009179E-23</c:v>
                </c:pt>
                <c:pt idx="20">
                  <c:v>-5.740727254150078E-17</c:v>
                </c:pt>
                <c:pt idx="21">
                  <c:v>-9.7158105183933796E-11</c:v>
                </c:pt>
                <c:pt idx="22">
                  <c:v>-1.2886811976545888E-5</c:v>
                </c:pt>
                <c:pt idx="23">
                  <c:v>-0.37227352571302685</c:v>
                </c:pt>
                <c:pt idx="24">
                  <c:v>-8.7719693703715986</c:v>
                </c:pt>
                <c:pt idx="25">
                  <c:v>-13.316717888614431</c:v>
                </c:pt>
                <c:pt idx="26">
                  <c:v>-16.195995582074115</c:v>
                </c:pt>
                <c:pt idx="27">
                  <c:v>-22.920084478673754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-196.1659210545553</c:v>
                </c:pt>
                <c:pt idx="1">
                  <c:v>-198.88101501276299</c:v>
                </c:pt>
                <c:pt idx="2">
                  <c:v>-201.9853899135166</c:v>
                </c:pt>
                <c:pt idx="3">
                  <c:v>-205.55665353998589</c:v>
                </c:pt>
                <c:pt idx="4">
                  <c:v>-209.69170393917545</c:v>
                </c:pt>
                <c:pt idx="5">
                  <c:v>-229.81890172563465</c:v>
                </c:pt>
                <c:pt idx="6">
                  <c:v>-235.85863392202458</c:v>
                </c:pt>
                <c:pt idx="7">
                  <c:v>-242.63108357326098</c:v>
                </c:pt>
                <c:pt idx="8">
                  <c:v>-250.35228886769136</c:v>
                </c:pt>
                <c:pt idx="9">
                  <c:v>-258.93536522020207</c:v>
                </c:pt>
                <c:pt idx="10">
                  <c:v>-268.28417683961038</c:v>
                </c:pt>
                <c:pt idx="11">
                  <c:v>-278.02525190316169</c:v>
                </c:pt>
                <c:pt idx="12">
                  <c:v>-288.11320485592859</c:v>
                </c:pt>
                <c:pt idx="13">
                  <c:v>-298.40966273333487</c:v>
                </c:pt>
                <c:pt idx="14">
                  <c:v>-308.78620196187597</c:v>
                </c:pt>
                <c:pt idx="15">
                  <c:v>-319.4711351761681</c:v>
                </c:pt>
                <c:pt idx="16">
                  <c:v>-330.27941563091372</c:v>
                </c:pt>
                <c:pt idx="17">
                  <c:v>-341.29088376058297</c:v>
                </c:pt>
                <c:pt idx="18">
                  <c:v>-390.3516959164009</c:v>
                </c:pt>
                <c:pt idx="19">
                  <c:v>-403.42438895020598</c:v>
                </c:pt>
                <c:pt idx="20">
                  <c:v>-416.84815705320551</c:v>
                </c:pt>
                <c:pt idx="21">
                  <c:v>-430.36608417162864</c:v>
                </c:pt>
                <c:pt idx="22">
                  <c:v>-444.10577908265759</c:v>
                </c:pt>
                <c:pt idx="23">
                  <c:v>-457.57411945241699</c:v>
                </c:pt>
                <c:pt idx="24">
                  <c:v>-463.48769258885937</c:v>
                </c:pt>
                <c:pt idx="25">
                  <c:v>-473.65371762946614</c:v>
                </c:pt>
                <c:pt idx="26">
                  <c:v>-485.86669867956266</c:v>
                </c:pt>
                <c:pt idx="27">
                  <c:v>-541.07674738422531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-34.953798759971484</c:v>
                </c:pt>
                <c:pt idx="1">
                  <c:v>-34.688851177264375</c:v>
                </c:pt>
                <c:pt idx="2">
                  <c:v>-33.520723597659384</c:v>
                </c:pt>
                <c:pt idx="3">
                  <c:v>-31.644630815654164</c:v>
                </c:pt>
                <c:pt idx="4">
                  <c:v>-30.156000317347189</c:v>
                </c:pt>
                <c:pt idx="5">
                  <c:v>-28.641846235048202</c:v>
                </c:pt>
                <c:pt idx="6">
                  <c:v>-27.503500883896631</c:v>
                </c:pt>
                <c:pt idx="7">
                  <c:v>-25.874163235199106</c:v>
                </c:pt>
                <c:pt idx="8">
                  <c:v>-24.285712723790901</c:v>
                </c:pt>
                <c:pt idx="9">
                  <c:v>-23.20523978964874</c:v>
                </c:pt>
                <c:pt idx="10">
                  <c:v>-22.696479897197602</c:v>
                </c:pt>
                <c:pt idx="11">
                  <c:v>-22.562457763856504</c:v>
                </c:pt>
                <c:pt idx="12">
                  <c:v>-22.627099124028003</c:v>
                </c:pt>
                <c:pt idx="13">
                  <c:v>-22.784877445383355</c:v>
                </c:pt>
                <c:pt idx="14">
                  <c:v>-22.961214767279706</c:v>
                </c:pt>
                <c:pt idx="15">
                  <c:v>-23.06751946542866</c:v>
                </c:pt>
                <c:pt idx="16">
                  <c:v>-22.706017271191872</c:v>
                </c:pt>
                <c:pt idx="17">
                  <c:v>-20.545957074165006</c:v>
                </c:pt>
                <c:pt idx="18">
                  <c:v>-0.67562497822971768</c:v>
                </c:pt>
                <c:pt idx="19">
                  <c:v>-0.19701694552835669</c:v>
                </c:pt>
                <c:pt idx="20">
                  <c:v>-5.8243533663917463E-2</c:v>
                </c:pt>
                <c:pt idx="21">
                  <c:v>-1.7519358383587376E-2</c:v>
                </c:pt>
                <c:pt idx="22">
                  <c:v>-5.378805196809968E-3</c:v>
                </c:pt>
                <c:pt idx="23">
                  <c:v>-0.37394063325569593</c:v>
                </c:pt>
                <c:pt idx="24">
                  <c:v>-8.7722790601586631</c:v>
                </c:pt>
                <c:pt idx="25">
                  <c:v>-13.316810585537281</c:v>
                </c:pt>
                <c:pt idx="26">
                  <c:v>-16.196055143023553</c:v>
                </c:pt>
                <c:pt idx="27">
                  <c:v>-22.920139640818746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-563.99747850000006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-34.953798759971484</c:v>
                      </c:pt>
                      <c:pt idx="1">
                        <c:v>-34.688851177264375</c:v>
                      </c:pt>
                      <c:pt idx="2">
                        <c:v>-33.520723597659384</c:v>
                      </c:pt>
                      <c:pt idx="3">
                        <c:v>-31.644630815654164</c:v>
                      </c:pt>
                      <c:pt idx="4">
                        <c:v>-30.156000317347189</c:v>
                      </c:pt>
                      <c:pt idx="5">
                        <c:v>-28.641846235048202</c:v>
                      </c:pt>
                      <c:pt idx="6">
                        <c:v>-27.503500883896631</c:v>
                      </c:pt>
                      <c:pt idx="7">
                        <c:v>-25.874163235199106</c:v>
                      </c:pt>
                      <c:pt idx="8">
                        <c:v>-24.285712723790901</c:v>
                      </c:pt>
                      <c:pt idx="9">
                        <c:v>-23.20523978964874</c:v>
                      </c:pt>
                      <c:pt idx="10">
                        <c:v>-22.696479897197602</c:v>
                      </c:pt>
                      <c:pt idx="11">
                        <c:v>-22.562457763856504</c:v>
                      </c:pt>
                      <c:pt idx="12">
                        <c:v>-22.627099124028003</c:v>
                      </c:pt>
                      <c:pt idx="13">
                        <c:v>-22.784877445383355</c:v>
                      </c:pt>
                      <c:pt idx="14">
                        <c:v>-22.961214767279706</c:v>
                      </c:pt>
                      <c:pt idx="15">
                        <c:v>-23.06751946542866</c:v>
                      </c:pt>
                      <c:pt idx="16">
                        <c:v>-22.706017271191872</c:v>
                      </c:pt>
                      <c:pt idx="17">
                        <c:v>-20.545957074165006</c:v>
                      </c:pt>
                      <c:pt idx="18">
                        <c:v>-0.67562497822971768</c:v>
                      </c:pt>
                      <c:pt idx="19">
                        <c:v>-0.19701694552835669</c:v>
                      </c:pt>
                      <c:pt idx="20">
                        <c:v>-5.8243533663917407E-2</c:v>
                      </c:pt>
                      <c:pt idx="21">
                        <c:v>-1.7519358286429271E-2</c:v>
                      </c:pt>
                      <c:pt idx="22">
                        <c:v>-5.365918384833422E-3</c:v>
                      </c:pt>
                      <c:pt idx="23">
                        <c:v>-1.6671075426690639E-3</c:v>
                      </c:pt>
                      <c:pt idx="24">
                        <c:v>-3.0968978706519344E-4</c:v>
                      </c:pt>
                      <c:pt idx="25">
                        <c:v>-9.2696922850965657E-5</c:v>
                      </c:pt>
                      <c:pt idx="26">
                        <c:v>-5.9560949436893274E-5</c:v>
                      </c:pt>
                      <c:pt idx="27">
                        <c:v>-5.5162144992664493E-5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-70.357639563721492</c:v>
                      </c:pt>
                      <c:pt idx="1">
                        <c:v>-72.691035589764383</c:v>
                      </c:pt>
                      <c:pt idx="2">
                        <c:v>-74.14017403515939</c:v>
                      </c:pt>
                      <c:pt idx="3">
                        <c:v>-74.88134727815418</c:v>
                      </c:pt>
                      <c:pt idx="4">
                        <c:v>-76.059024497347195</c:v>
                      </c:pt>
                      <c:pt idx="5">
                        <c:v>-85.356443413798203</c:v>
                      </c:pt>
                      <c:pt idx="6">
                        <c:v>-86.979634520146647</c:v>
                      </c:pt>
                      <c:pt idx="7">
                        <c:v>-88.090111697699115</c:v>
                      </c:pt>
                      <c:pt idx="8">
                        <c:v>-89.271068703790917</c:v>
                      </c:pt>
                      <c:pt idx="9">
                        <c:v>-90.984295484648754</c:v>
                      </c:pt>
                      <c:pt idx="10">
                        <c:v>-93.280432167197617</c:v>
                      </c:pt>
                      <c:pt idx="11">
                        <c:v>-95.962503468856497</c:v>
                      </c:pt>
                      <c:pt idx="12">
                        <c:v>-98.854435124028029</c:v>
                      </c:pt>
                      <c:pt idx="13">
                        <c:v>-101.85070060038338</c:v>
                      </c:pt>
                      <c:pt idx="14">
                        <c:v>-104.87672193727973</c:v>
                      </c:pt>
                      <c:pt idx="15">
                        <c:v>-107.88801593292868</c:v>
                      </c:pt>
                      <c:pt idx="16">
                        <c:v>-110.39999108119189</c:v>
                      </c:pt>
                      <c:pt idx="17">
                        <c:v>-111.07769744916503</c:v>
                      </c:pt>
                      <c:pt idx="18">
                        <c:v>-102.68145156947976</c:v>
                      </c:pt>
                      <c:pt idx="19">
                        <c:v>-105.13787589427838</c:v>
                      </c:pt>
                      <c:pt idx="20">
                        <c:v>-107.94533169991395</c:v>
                      </c:pt>
                      <c:pt idx="21">
                        <c:v>-110.86203360203648</c:v>
                      </c:pt>
                      <c:pt idx="22">
                        <c:v>-113.81850309963487</c:v>
                      </c:pt>
                      <c:pt idx="23">
                        <c:v>-116.73512691004274</c:v>
                      </c:pt>
                      <c:pt idx="24">
                        <c:v>-119.72338654228709</c:v>
                      </c:pt>
                      <c:pt idx="25">
                        <c:v>-122.71033382192287</c:v>
                      </c:pt>
                      <c:pt idx="26">
                        <c:v>-125.72228374094946</c:v>
                      </c:pt>
                      <c:pt idx="27">
                        <c:v>-137.74360516214506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At val="0"/>
        <c:crossBetween val="midCat"/>
      </c:valAx>
      <c:valAx>
        <c:axId val="1103702336"/>
        <c:scaling>
          <c:orientation val="minMax"/>
          <c:max val="40"/>
          <c:min val="-5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6.1877999999999997E-9</c:v>
                </c:pt>
                <c:pt idx="1">
                  <c:v>5.5165000000000001E-9</c:v>
                </c:pt>
                <c:pt idx="2">
                  <c:v>7.4244000000000001E-9</c:v>
                </c:pt>
                <c:pt idx="3">
                  <c:v>1.3577999999999999E-8</c:v>
                </c:pt>
                <c:pt idx="4">
                  <c:v>2.9451E-8</c:v>
                </c:pt>
                <c:pt idx="5">
                  <c:v>1.5819999999999999E-8</c:v>
                </c:pt>
                <c:pt idx="6">
                  <c:v>2.8747E-9</c:v>
                </c:pt>
                <c:pt idx="7">
                  <c:v>2.4480999999999999E-13</c:v>
                </c:pt>
                <c:pt idx="8">
                  <c:v>9.9445000000000001E-21</c:v>
                </c:pt>
                <c:pt idx="9">
                  <c:v>7.3141000000000006E-30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1.1499999999999999E-31</c:v>
                </c:pt>
                <c:pt idx="20">
                  <c:v>9.5558000000000007E-24</c:v>
                </c:pt>
                <c:pt idx="21">
                  <c:v>1.4482E-16</c:v>
                </c:pt>
                <c:pt idx="22">
                  <c:v>1.0933999999999999E-10</c:v>
                </c:pt>
                <c:pt idx="23">
                  <c:v>3.2417999999999998E-7</c:v>
                </c:pt>
                <c:pt idx="24">
                  <c:v>1.2376E-5</c:v>
                </c:pt>
                <c:pt idx="25">
                  <c:v>2.1126999999999999E-5</c:v>
                </c:pt>
                <c:pt idx="26">
                  <c:v>2.3708000000000001E-5</c:v>
                </c:pt>
                <c:pt idx="27">
                  <c:v>2.8283999999999999E-6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9.5128000000000004E-28</c:v>
                </c:pt>
                <c:pt idx="3">
                  <c:v>1.5372000000000001E-22</c:v>
                </c:pt>
                <c:pt idx="4">
                  <c:v>1.1156E-19</c:v>
                </c:pt>
                <c:pt idx="5">
                  <c:v>1.7943999999999999E-13</c:v>
                </c:pt>
                <c:pt idx="6">
                  <c:v>4.2096999999999999E-10</c:v>
                </c:pt>
                <c:pt idx="7">
                  <c:v>4.2095000000000004E-9</c:v>
                </c:pt>
                <c:pt idx="8">
                  <c:v>7.7497000000000002E-9</c:v>
                </c:pt>
                <c:pt idx="9">
                  <c:v>1.3306E-8</c:v>
                </c:pt>
                <c:pt idx="10">
                  <c:v>1.2213999999999999E-8</c:v>
                </c:pt>
                <c:pt idx="11">
                  <c:v>2.3015999999999999E-8</c:v>
                </c:pt>
                <c:pt idx="12">
                  <c:v>1.5737999999999998E-8</c:v>
                </c:pt>
                <c:pt idx="13">
                  <c:v>1.6776000000000001E-8</c:v>
                </c:pt>
                <c:pt idx="14">
                  <c:v>1.7397E-8</c:v>
                </c:pt>
                <c:pt idx="15">
                  <c:v>1.768E-8</c:v>
                </c:pt>
                <c:pt idx="16">
                  <c:v>1.8666E-8</c:v>
                </c:pt>
                <c:pt idx="17">
                  <c:v>2.2871E-8</c:v>
                </c:pt>
                <c:pt idx="18">
                  <c:v>2.7468000000000002E-8</c:v>
                </c:pt>
                <c:pt idx="19">
                  <c:v>2.7864000000000001E-8</c:v>
                </c:pt>
                <c:pt idx="20">
                  <c:v>2.7649999999999999E-8</c:v>
                </c:pt>
                <c:pt idx="21">
                  <c:v>2.8200000000000001E-8</c:v>
                </c:pt>
                <c:pt idx="22">
                  <c:v>6.5486999999999999E-9</c:v>
                </c:pt>
                <c:pt idx="23">
                  <c:v>6.0900999999999995E-32</c:v>
                </c:pt>
                <c:pt idx="24">
                  <c:v>4.7079000000000003E-30</c:v>
                </c:pt>
                <c:pt idx="25">
                  <c:v>8.2700999999999997E-29</c:v>
                </c:pt>
                <c:pt idx="26">
                  <c:v>4.4598999999999997E-28</c:v>
                </c:pt>
                <c:pt idx="27">
                  <c:v>2.2786000000000001E-23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1.2300000000000001E-9</c:v>
                </c:pt>
                <c:pt idx="1">
                  <c:v>4.5156E-11</c:v>
                </c:pt>
                <c:pt idx="2">
                  <c:v>6.8465000000000003E-15</c:v>
                </c:pt>
                <c:pt idx="3">
                  <c:v>3.7467999999999999E-23</c:v>
                </c:pt>
                <c:pt idx="4">
                  <c:v>3.8006E-35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0.11787</c:v>
                </c:pt>
                <c:pt idx="1">
                  <c:v>0.11068</c:v>
                </c:pt>
                <c:pt idx="2">
                  <c:v>9.0792999999999999E-2</c:v>
                </c:pt>
                <c:pt idx="3">
                  <c:v>5.8309E-2</c:v>
                </c:pt>
                <c:pt idx="4">
                  <c:v>2.8580999999999999E-2</c:v>
                </c:pt>
                <c:pt idx="5">
                  <c:v>8.4281999999999998E-4</c:v>
                </c:pt>
                <c:pt idx="6">
                  <c:v>3.6653E-4</c:v>
                </c:pt>
                <c:pt idx="7">
                  <c:v>1.4880000000000001E-4</c:v>
                </c:pt>
                <c:pt idx="8">
                  <c:v>5.2157000000000002E-5</c:v>
                </c:pt>
                <c:pt idx="9">
                  <c:v>1.5631999999999999E-5</c:v>
                </c:pt>
                <c:pt idx="10">
                  <c:v>4.2572999999999999E-6</c:v>
                </c:pt>
                <c:pt idx="11">
                  <c:v>1.1320999999999999E-6</c:v>
                </c:pt>
                <c:pt idx="12">
                  <c:v>3.0759999999999998E-7</c:v>
                </c:pt>
                <c:pt idx="13">
                  <c:v>8.7147999999999994E-8</c:v>
                </c:pt>
                <c:pt idx="14">
                  <c:v>2.5918999999999999E-8</c:v>
                </c:pt>
                <c:pt idx="15">
                  <c:v>8.1001000000000002E-9</c:v>
                </c:pt>
                <c:pt idx="16">
                  <c:v>2.6604E-9</c:v>
                </c:pt>
                <c:pt idx="17">
                  <c:v>9.2248999999999999E-10</c:v>
                </c:pt>
                <c:pt idx="18">
                  <c:v>2.0673000000000001E-11</c:v>
                </c:pt>
                <c:pt idx="19">
                  <c:v>8.4606999999999993E-12</c:v>
                </c:pt>
                <c:pt idx="20">
                  <c:v>3.5548000000000002E-12</c:v>
                </c:pt>
                <c:pt idx="21">
                  <c:v>1.5325E-12</c:v>
                </c:pt>
                <c:pt idx="22">
                  <c:v>6.7700999999999996E-13</c:v>
                </c:pt>
                <c:pt idx="23">
                  <c:v>3.0721000000000001E-13</c:v>
                </c:pt>
                <c:pt idx="24">
                  <c:v>1.5357999999999999E-13</c:v>
                </c:pt>
                <c:pt idx="25">
                  <c:v>7.5448000000000003E-14</c:v>
                </c:pt>
                <c:pt idx="26">
                  <c:v>3.7177999999999999E-14</c:v>
                </c:pt>
                <c:pt idx="27">
                  <c:v>2.4715E-15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0.12213</c:v>
                </c:pt>
                <c:pt idx="1">
                  <c:v>0.12931999999999999</c:v>
                </c:pt>
                <c:pt idx="2">
                  <c:v>0.1492</c:v>
                </c:pt>
                <c:pt idx="3">
                  <c:v>0.18165999999999999</c:v>
                </c:pt>
                <c:pt idx="4">
                  <c:v>0.21128</c:v>
                </c:pt>
                <c:pt idx="5">
                  <c:v>0.21623999999999999</c:v>
                </c:pt>
                <c:pt idx="6">
                  <c:v>0.18673000000000001</c:v>
                </c:pt>
                <c:pt idx="7">
                  <c:v>0.14158000000000001</c:v>
                </c:pt>
                <c:pt idx="8">
                  <c:v>9.1116000000000003E-2</c:v>
                </c:pt>
                <c:pt idx="9">
                  <c:v>5.0257000000000003E-2</c:v>
                </c:pt>
                <c:pt idx="10">
                  <c:v>2.5132000000000002E-2</c:v>
                </c:pt>
                <c:pt idx="11">
                  <c:v>1.2115000000000001E-2</c:v>
                </c:pt>
                <c:pt idx="12">
                  <c:v>5.8520999999999998E-3</c:v>
                </c:pt>
                <c:pt idx="13">
                  <c:v>2.8841000000000001E-3</c:v>
                </c:pt>
                <c:pt idx="14">
                  <c:v>1.4599999999999999E-3</c:v>
                </c:pt>
                <c:pt idx="15">
                  <c:v>7.6039E-4</c:v>
                </c:pt>
                <c:pt idx="16">
                  <c:v>4.0761999999999998E-4</c:v>
                </c:pt>
                <c:pt idx="17">
                  <c:v>2.2541E-4</c:v>
                </c:pt>
                <c:pt idx="18">
                  <c:v>2.7175E-5</c:v>
                </c:pt>
                <c:pt idx="19">
                  <c:v>1.6592999999999999E-5</c:v>
                </c:pt>
                <c:pt idx="20">
                  <c:v>1.0291E-5</c:v>
                </c:pt>
                <c:pt idx="21">
                  <c:v>6.4810999999999997E-6</c:v>
                </c:pt>
                <c:pt idx="22">
                  <c:v>4.1408000000000002E-6</c:v>
                </c:pt>
                <c:pt idx="23">
                  <c:v>2.6863999999999998E-6</c:v>
                </c:pt>
                <c:pt idx="24">
                  <c:v>1.8275000000000001E-6</c:v>
                </c:pt>
                <c:pt idx="25">
                  <c:v>1.2358000000000001E-6</c:v>
                </c:pt>
                <c:pt idx="26">
                  <c:v>8.3857000000000002E-7</c:v>
                </c:pt>
                <c:pt idx="27">
                  <c:v>1.9167E-7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2.1905999999999998E-2</c:v>
                </c:pt>
                <c:pt idx="1">
                  <c:v>2.2196E-2</c:v>
                </c:pt>
                <c:pt idx="2">
                  <c:v>2.2950000000000002E-2</c:v>
                </c:pt>
                <c:pt idx="3">
                  <c:v>2.4055E-2</c:v>
                </c:pt>
                <c:pt idx="4">
                  <c:v>2.495E-2</c:v>
                </c:pt>
                <c:pt idx="5">
                  <c:v>2.6256000000000002E-2</c:v>
                </c:pt>
                <c:pt idx="6">
                  <c:v>2.6939999999999999E-2</c:v>
                </c:pt>
                <c:pt idx="7">
                  <c:v>2.7844000000000001E-2</c:v>
                </c:pt>
                <c:pt idx="8">
                  <c:v>2.8712999999999999E-2</c:v>
                </c:pt>
                <c:pt idx="9">
                  <c:v>2.9329000000000001E-2</c:v>
                </c:pt>
                <c:pt idx="10">
                  <c:v>2.9676000000000001E-2</c:v>
                </c:pt>
                <c:pt idx="11">
                  <c:v>2.9846000000000001E-2</c:v>
                </c:pt>
                <c:pt idx="12">
                  <c:v>2.9926000000000001E-2</c:v>
                </c:pt>
                <c:pt idx="13">
                  <c:v>2.9959E-2</c:v>
                </c:pt>
                <c:pt idx="14">
                  <c:v>2.9951999999999999E-2</c:v>
                </c:pt>
                <c:pt idx="15">
                  <c:v>2.9828E-2</c:v>
                </c:pt>
                <c:pt idx="16">
                  <c:v>2.9187999999999999E-2</c:v>
                </c:pt>
                <c:pt idx="17">
                  <c:v>2.6589999999999999E-2</c:v>
                </c:pt>
                <c:pt idx="18">
                  <c:v>9.5122999999999996E-4</c:v>
                </c:pt>
                <c:pt idx="19">
                  <c:v>2.7313000000000001E-4</c:v>
                </c:pt>
                <c:pt idx="20">
                  <c:v>7.9382999999999995E-5</c:v>
                </c:pt>
                <c:pt idx="21">
                  <c:v>2.3487999999999999E-5</c:v>
                </c:pt>
                <c:pt idx="22">
                  <c:v>7.0636999999999998E-6</c:v>
                </c:pt>
                <c:pt idx="23">
                  <c:v>2.1115999999999998E-6</c:v>
                </c:pt>
                <c:pt idx="24">
                  <c:v>3.2650999999999998E-7</c:v>
                </c:pt>
                <c:pt idx="25">
                  <c:v>5.0575000000000001E-8</c:v>
                </c:pt>
                <c:pt idx="26">
                  <c:v>8.1415000000000005E-9</c:v>
                </c:pt>
                <c:pt idx="27">
                  <c:v>8.8611000000000007E-12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1.4219000000000001E-28</c:v>
                </c:pt>
                <c:pt idx="1">
                  <c:v>1.2244E-26</c:v>
                </c:pt>
                <c:pt idx="2">
                  <c:v>9.3656999999999993E-25</c:v>
                </c:pt>
                <c:pt idx="3">
                  <c:v>8.2229999999999995E-23</c:v>
                </c:pt>
                <c:pt idx="4">
                  <c:v>7.5761000000000006E-21</c:v>
                </c:pt>
                <c:pt idx="5">
                  <c:v>3.6578999999999997E-14</c:v>
                </c:pt>
                <c:pt idx="6">
                  <c:v>7.0040000000000002E-13</c:v>
                </c:pt>
                <c:pt idx="7">
                  <c:v>1.0294E-11</c:v>
                </c:pt>
                <c:pt idx="8">
                  <c:v>1.2805000000000001E-10</c:v>
                </c:pt>
                <c:pt idx="9">
                  <c:v>1.4134999999999999E-9</c:v>
                </c:pt>
                <c:pt idx="10">
                  <c:v>1.3907E-8</c:v>
                </c:pt>
                <c:pt idx="11">
                  <c:v>1.2118999999999999E-7</c:v>
                </c:pt>
                <c:pt idx="12">
                  <c:v>9.3500000000000005E-7</c:v>
                </c:pt>
                <c:pt idx="13">
                  <c:v>6.4214E-6</c:v>
                </c:pt>
                <c:pt idx="14">
                  <c:v>3.9548999999999997E-5</c:v>
                </c:pt>
                <c:pt idx="15">
                  <c:v>2.1958000000000001E-4</c:v>
                </c:pt>
                <c:pt idx="16">
                  <c:v>1.0908999999999999E-3</c:v>
                </c:pt>
                <c:pt idx="17">
                  <c:v>4.5948999999999999E-3</c:v>
                </c:pt>
                <c:pt idx="18">
                  <c:v>3.5118000000000003E-2</c:v>
                </c:pt>
                <c:pt idx="19">
                  <c:v>3.4089000000000001E-2</c:v>
                </c:pt>
                <c:pt idx="20">
                  <c:v>3.1904000000000002E-2</c:v>
                </c:pt>
                <c:pt idx="21">
                  <c:v>2.9024000000000001E-2</c:v>
                </c:pt>
                <c:pt idx="22">
                  <c:v>2.5696E-2</c:v>
                </c:pt>
                <c:pt idx="23">
                  <c:v>2.1628000000000001E-2</c:v>
                </c:pt>
                <c:pt idx="24">
                  <c:v>8.3616999999999997E-3</c:v>
                </c:pt>
                <c:pt idx="25">
                  <c:v>3.2523999999999999E-3</c:v>
                </c:pt>
                <c:pt idx="26">
                  <c:v>1.2936E-3</c:v>
                </c:pt>
                <c:pt idx="27">
                  <c:v>4.1288000000000002E-5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3.6374999999999999E-28</c:v>
                </c:pt>
                <c:pt idx="1">
                  <c:v>2.9487000000000001E-26</c:v>
                </c:pt>
                <c:pt idx="2">
                  <c:v>2.0040999999999999E-24</c:v>
                </c:pt>
                <c:pt idx="3">
                  <c:v>1.4044000000000001E-22</c:v>
                </c:pt>
                <c:pt idx="4">
                  <c:v>9.4172000000000002E-21</c:v>
                </c:pt>
                <c:pt idx="5">
                  <c:v>1.3252E-14</c:v>
                </c:pt>
                <c:pt idx="6">
                  <c:v>2.1316999999999999E-13</c:v>
                </c:pt>
                <c:pt idx="7">
                  <c:v>2.7485999999999998E-12</c:v>
                </c:pt>
                <c:pt idx="8">
                  <c:v>3.0313999999999999E-11</c:v>
                </c:pt>
                <c:pt idx="9">
                  <c:v>2.9357999999999998E-10</c:v>
                </c:pt>
                <c:pt idx="10">
                  <c:v>2.5024E-9</c:v>
                </c:pt>
                <c:pt idx="11">
                  <c:v>1.8787000000000001E-8</c:v>
                </c:pt>
                <c:pt idx="12">
                  <c:v>1.2485999999999999E-7</c:v>
                </c:pt>
                <c:pt idx="13">
                  <c:v>7.4010999999999997E-7</c:v>
                </c:pt>
                <c:pt idx="14">
                  <c:v>3.9424999999999999E-6</c:v>
                </c:pt>
                <c:pt idx="15">
                  <c:v>1.8986000000000001E-5</c:v>
                </c:pt>
                <c:pt idx="16">
                  <c:v>8.2616999999999999E-5</c:v>
                </c:pt>
                <c:pt idx="17">
                  <c:v>3.1750000000000002E-4</c:v>
                </c:pt>
                <c:pt idx="18">
                  <c:v>7.3359999999999996E-3</c:v>
                </c:pt>
                <c:pt idx="19">
                  <c:v>1.1124999999999999E-2</c:v>
                </c:pt>
                <c:pt idx="20">
                  <c:v>1.5989E-2</c:v>
                </c:pt>
                <c:pt idx="21">
                  <c:v>2.1892999999999999E-2</c:v>
                </c:pt>
                <c:pt idx="22">
                  <c:v>2.8590999999999998E-2</c:v>
                </c:pt>
                <c:pt idx="23">
                  <c:v>3.5165000000000002E-2</c:v>
                </c:pt>
                <c:pt idx="24">
                  <c:v>2.7507E-2</c:v>
                </c:pt>
                <c:pt idx="25">
                  <c:v>2.1121999999999998E-2</c:v>
                </c:pt>
                <c:pt idx="26">
                  <c:v>1.5965E-2</c:v>
                </c:pt>
                <c:pt idx="27">
                  <c:v>4.3797999999999997E-3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2.5337E-9</c:v>
                </c:pt>
                <c:pt idx="1">
                  <c:v>8.7521E-9</c:v>
                </c:pt>
                <c:pt idx="2">
                  <c:v>2.1410000000000001E-8</c:v>
                </c:pt>
                <c:pt idx="3">
                  <c:v>3.5043999999999999E-8</c:v>
                </c:pt>
                <c:pt idx="4">
                  <c:v>4.0088000000000001E-8</c:v>
                </c:pt>
                <c:pt idx="5">
                  <c:v>2.18E-8</c:v>
                </c:pt>
                <c:pt idx="6">
                  <c:v>2.0435000000000001E-8</c:v>
                </c:pt>
                <c:pt idx="7">
                  <c:v>1.9989999999999999E-8</c:v>
                </c:pt>
                <c:pt idx="8">
                  <c:v>1.9168E-8</c:v>
                </c:pt>
                <c:pt idx="9">
                  <c:v>1.8243E-8</c:v>
                </c:pt>
                <c:pt idx="10">
                  <c:v>1.6292999999999999E-8</c:v>
                </c:pt>
                <c:pt idx="11">
                  <c:v>1.3986E-8</c:v>
                </c:pt>
                <c:pt idx="12">
                  <c:v>1.1771E-8</c:v>
                </c:pt>
                <c:pt idx="13">
                  <c:v>9.8201E-9</c:v>
                </c:pt>
                <c:pt idx="14">
                  <c:v>8.1651999999999999E-9</c:v>
                </c:pt>
                <c:pt idx="15">
                  <c:v>6.7876E-9</c:v>
                </c:pt>
                <c:pt idx="16">
                  <c:v>5.6655000000000003E-9</c:v>
                </c:pt>
                <c:pt idx="17">
                  <c:v>4.8032999999999997E-9</c:v>
                </c:pt>
                <c:pt idx="18">
                  <c:v>2.7602E-9</c:v>
                </c:pt>
                <c:pt idx="19">
                  <c:v>2.3245E-9</c:v>
                </c:pt>
                <c:pt idx="20">
                  <c:v>1.9566E-9</c:v>
                </c:pt>
                <c:pt idx="21">
                  <c:v>1.6493000000000001E-9</c:v>
                </c:pt>
                <c:pt idx="22">
                  <c:v>1.3927E-9</c:v>
                </c:pt>
                <c:pt idx="23">
                  <c:v>1.179E-9</c:v>
                </c:pt>
                <c:pt idx="24">
                  <c:v>1.0190000000000001E-9</c:v>
                </c:pt>
                <c:pt idx="25">
                  <c:v>8.6608999999999995E-10</c:v>
                </c:pt>
                <c:pt idx="26">
                  <c:v>7.3197999999999999E-10</c:v>
                </c:pt>
                <c:pt idx="27">
                  <c:v>3.7200000000000001E-10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5.8400000000000005E-10</c:v>
                </c:pt>
                <c:pt idx="1">
                  <c:v>2.3464000000000001E-9</c:v>
                </c:pt>
                <c:pt idx="2">
                  <c:v>6.5551000000000002E-9</c:v>
                </c:pt>
                <c:pt idx="3">
                  <c:v>1.2069E-8</c:v>
                </c:pt>
                <c:pt idx="4">
                  <c:v>1.5332000000000001E-8</c:v>
                </c:pt>
                <c:pt idx="5">
                  <c:v>1.1541000000000001E-8</c:v>
                </c:pt>
                <c:pt idx="6">
                  <c:v>1.153E-8</c:v>
                </c:pt>
                <c:pt idx="7">
                  <c:v>1.1954000000000001E-8</c:v>
                </c:pt>
                <c:pt idx="8">
                  <c:v>1.2058E-8</c:v>
                </c:pt>
                <c:pt idx="9">
                  <c:v>1.1358999999999999E-8</c:v>
                </c:pt>
                <c:pt idx="10">
                  <c:v>1.0034000000000001E-8</c:v>
                </c:pt>
                <c:pt idx="11">
                  <c:v>8.5150000000000005E-9</c:v>
                </c:pt>
                <c:pt idx="12">
                  <c:v>7.0818999999999997E-9</c:v>
                </c:pt>
                <c:pt idx="13">
                  <c:v>5.8369999999999996E-9</c:v>
                </c:pt>
                <c:pt idx="14">
                  <c:v>4.7939999999999998E-9</c:v>
                </c:pt>
                <c:pt idx="15">
                  <c:v>3.9361000000000001E-9</c:v>
                </c:pt>
                <c:pt idx="16">
                  <c:v>3.2447999999999998E-9</c:v>
                </c:pt>
                <c:pt idx="17">
                  <c:v>2.717E-9</c:v>
                </c:pt>
                <c:pt idx="18">
                  <c:v>1.4865E-9</c:v>
                </c:pt>
                <c:pt idx="19">
                  <c:v>1.2368999999999999E-9</c:v>
                </c:pt>
                <c:pt idx="20">
                  <c:v>1.0288E-9</c:v>
                </c:pt>
                <c:pt idx="21">
                  <c:v>8.5701000000000002E-10</c:v>
                </c:pt>
                <c:pt idx="22">
                  <c:v>7.1524999999999999E-10</c:v>
                </c:pt>
                <c:pt idx="23">
                  <c:v>5.9853E-10</c:v>
                </c:pt>
                <c:pt idx="24">
                  <c:v>5.1136999999999996E-10</c:v>
                </c:pt>
                <c:pt idx="25">
                  <c:v>4.2971000000000001E-10</c:v>
                </c:pt>
                <c:pt idx="26">
                  <c:v>3.5909E-10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2.1339000000000002E-3</c:v>
                </c:pt>
                <c:pt idx="1">
                  <c:v>9.3252000000000005E-3</c:v>
                </c:pt>
                <c:pt idx="2">
                  <c:v>2.9215000000000001E-2</c:v>
                </c:pt>
                <c:pt idx="3">
                  <c:v>6.1720999999999998E-2</c:v>
                </c:pt>
                <c:pt idx="4">
                  <c:v>9.1555999999999998E-2</c:v>
                </c:pt>
                <c:pt idx="5">
                  <c:v>0.14207</c:v>
                </c:pt>
                <c:pt idx="6">
                  <c:v>0.17254</c:v>
                </c:pt>
                <c:pt idx="7">
                  <c:v>0.21812000000000001</c:v>
                </c:pt>
                <c:pt idx="8">
                  <c:v>0.26878000000000002</c:v>
                </c:pt>
                <c:pt idx="9">
                  <c:v>0.30970999999999999</c:v>
                </c:pt>
                <c:pt idx="10">
                  <c:v>0.33485999999999999</c:v>
                </c:pt>
                <c:pt idx="11">
                  <c:v>0.34788000000000002</c:v>
                </c:pt>
                <c:pt idx="12">
                  <c:v>0.35415000000000002</c:v>
                </c:pt>
                <c:pt idx="13">
                  <c:v>0.35713</c:v>
                </c:pt>
                <c:pt idx="14">
                  <c:v>0.35861999999999999</c:v>
                </c:pt>
                <c:pt idx="15">
                  <c:v>0.35970999999999997</c:v>
                </c:pt>
                <c:pt idx="16">
                  <c:v>0.3619</c:v>
                </c:pt>
                <c:pt idx="17">
                  <c:v>0.36943999999999999</c:v>
                </c:pt>
                <c:pt idx="18">
                  <c:v>0.44120999999999999</c:v>
                </c:pt>
                <c:pt idx="19">
                  <c:v>0.44485000000000002</c:v>
                </c:pt>
                <c:pt idx="20">
                  <c:v>0.44778000000000001</c:v>
                </c:pt>
                <c:pt idx="21">
                  <c:v>0.45088</c:v>
                </c:pt>
                <c:pt idx="22">
                  <c:v>0.45427000000000001</c:v>
                </c:pt>
                <c:pt idx="23">
                  <c:v>0.45835999999999999</c:v>
                </c:pt>
                <c:pt idx="24">
                  <c:v>0.47164</c:v>
                </c:pt>
                <c:pt idx="25">
                  <c:v>0.47675000000000001</c:v>
                </c:pt>
                <c:pt idx="26">
                  <c:v>0.47871000000000002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6.4788000000000002E-12</c:v>
                </c:pt>
                <c:pt idx="1">
                  <c:v>3.6438999999999997E-11</c:v>
                </c:pt>
                <c:pt idx="2">
                  <c:v>1.3745E-10</c:v>
                </c:pt>
                <c:pt idx="3">
                  <c:v>3.3158000000000001E-10</c:v>
                </c:pt>
                <c:pt idx="4">
                  <c:v>5.3816000000000003E-10</c:v>
                </c:pt>
                <c:pt idx="5">
                  <c:v>8.9524999999999998E-10</c:v>
                </c:pt>
                <c:pt idx="6">
                  <c:v>1.0527000000000001E-9</c:v>
                </c:pt>
                <c:pt idx="7">
                  <c:v>1.2709E-9</c:v>
                </c:pt>
                <c:pt idx="8">
                  <c:v>1.4783E-9</c:v>
                </c:pt>
                <c:pt idx="9">
                  <c:v>1.5923E-9</c:v>
                </c:pt>
                <c:pt idx="10">
                  <c:v>1.5959E-9</c:v>
                </c:pt>
                <c:pt idx="11">
                  <c:v>1.5259000000000001E-9</c:v>
                </c:pt>
                <c:pt idx="12">
                  <c:v>1.421E-9</c:v>
                </c:pt>
                <c:pt idx="13">
                  <c:v>1.3038E-9</c:v>
                </c:pt>
                <c:pt idx="14">
                  <c:v>1.1859E-9</c:v>
                </c:pt>
                <c:pt idx="15">
                  <c:v>1.0730999999999999E-9</c:v>
                </c:pt>
                <c:pt idx="16">
                  <c:v>9.7069999999999997E-10</c:v>
                </c:pt>
                <c:pt idx="17">
                  <c:v>8.8829000000000004E-10</c:v>
                </c:pt>
                <c:pt idx="18">
                  <c:v>6.6946999999999996E-10</c:v>
                </c:pt>
                <c:pt idx="19">
                  <c:v>5.9896999999999995E-10</c:v>
                </c:pt>
                <c:pt idx="20">
                  <c:v>5.3429000000000002E-10</c:v>
                </c:pt>
                <c:pt idx="21">
                  <c:v>4.7617000000000002E-10</c:v>
                </c:pt>
                <c:pt idx="22">
                  <c:v>4.2419000000000001E-10</c:v>
                </c:pt>
                <c:pt idx="23">
                  <c:v>3.7808E-10</c:v>
                </c:pt>
                <c:pt idx="24">
                  <c:v>3.4335000000000001E-10</c:v>
                </c:pt>
                <c:pt idx="25">
                  <c:v>3.0610000000000001E-10</c:v>
                </c:pt>
                <c:pt idx="26">
                  <c:v>2.7088999999999998E-10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2.9604E-33</c:v>
                </c:pt>
                <c:pt idx="19">
                  <c:v>3.7014000000000003E-26</c:v>
                </c:pt>
                <c:pt idx="20">
                  <c:v>2.1821E-19</c:v>
                </c:pt>
                <c:pt idx="21">
                  <c:v>3.8508999999999998E-13</c:v>
                </c:pt>
                <c:pt idx="22">
                  <c:v>5.2928000000000003E-8</c:v>
                </c:pt>
                <c:pt idx="23">
                  <c:v>1.5735E-3</c:v>
                </c:pt>
                <c:pt idx="24">
                  <c:v>3.5756999999999997E-2</c:v>
                </c:pt>
                <c:pt idx="25">
                  <c:v>5.2352000000000003E-2</c:v>
                </c:pt>
                <c:pt idx="26">
                  <c:v>6.1423999999999999E-2</c:v>
                </c:pt>
                <c:pt idx="27">
                  <c:v>7.5535000000000005E-2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6.6405999999999999E-34</c:v>
                </c:pt>
                <c:pt idx="19">
                  <c:v>5.4394E-27</c:v>
                </c:pt>
                <c:pt idx="20">
                  <c:v>2.1702999999999999E-20</c:v>
                </c:pt>
                <c:pt idx="21">
                  <c:v>2.6639000000000001E-14</c:v>
                </c:pt>
                <c:pt idx="22">
                  <c:v>2.6133000000000001E-9</c:v>
                </c:pt>
                <c:pt idx="23">
                  <c:v>5.7606999999999999E-5</c:v>
                </c:pt>
                <c:pt idx="24">
                  <c:v>1.4848999999999999E-3</c:v>
                </c:pt>
                <c:pt idx="25">
                  <c:v>2.4618999999999999E-3</c:v>
                </c:pt>
                <c:pt idx="26">
                  <c:v>3.2528000000000001E-3</c:v>
                </c:pt>
                <c:pt idx="27">
                  <c:v>6.1139000000000002E-3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1.8093999999999999E-2</c:v>
                      </c:pt>
                      <c:pt idx="1">
                        <c:v>1.7804E-2</c:v>
                      </c:pt>
                      <c:pt idx="2">
                        <c:v>1.7049999999999999E-2</c:v>
                      </c:pt>
                      <c:pt idx="3">
                        <c:v>1.5945000000000001E-2</c:v>
                      </c:pt>
                      <c:pt idx="4">
                        <c:v>1.5049999999999999E-2</c:v>
                      </c:pt>
                      <c:pt idx="5">
                        <c:v>1.3743999999999999E-2</c:v>
                      </c:pt>
                      <c:pt idx="6">
                        <c:v>1.306E-2</c:v>
                      </c:pt>
                      <c:pt idx="7">
                        <c:v>1.2156E-2</c:v>
                      </c:pt>
                      <c:pt idx="8">
                        <c:v>1.1287E-2</c:v>
                      </c:pt>
                      <c:pt idx="9">
                        <c:v>1.0671E-2</c:v>
                      </c:pt>
                      <c:pt idx="10">
                        <c:v>1.0324E-2</c:v>
                      </c:pt>
                      <c:pt idx="11">
                        <c:v>1.0154E-2</c:v>
                      </c:pt>
                      <c:pt idx="12">
                        <c:v>1.0073E-2</c:v>
                      </c:pt>
                      <c:pt idx="13">
                        <c:v>1.0034E-2</c:v>
                      </c:pt>
                      <c:pt idx="14">
                        <c:v>1.0005999999999999E-2</c:v>
                      </c:pt>
                      <c:pt idx="15">
                        <c:v>9.9433999999999998E-3</c:v>
                      </c:pt>
                      <c:pt idx="16">
                        <c:v>9.6798000000000006E-3</c:v>
                      </c:pt>
                      <c:pt idx="17">
                        <c:v>8.6563000000000005E-3</c:v>
                      </c:pt>
                      <c:pt idx="18">
                        <c:v>2.6289E-4</c:v>
                      </c:pt>
                      <c:pt idx="19">
                        <c:v>7.4824000000000001E-5</c:v>
                      </c:pt>
                      <c:pt idx="20">
                        <c:v>2.1580999999999999E-5</c:v>
                      </c:pt>
                      <c:pt idx="21">
                        <c:v>6.3327999999999997E-6</c:v>
                      </c:pt>
                      <c:pt idx="22">
                        <c:v>1.8872999999999999E-6</c:v>
                      </c:pt>
                      <c:pt idx="23">
                        <c:v>5.5927999999999996E-7</c:v>
                      </c:pt>
                      <c:pt idx="24">
                        <c:v>8.7534999999999996E-8</c:v>
                      </c:pt>
                      <c:pt idx="25">
                        <c:v>1.3694E-8</c:v>
                      </c:pt>
                      <c:pt idx="26">
                        <c:v>2.2223000000000001E-9</c:v>
                      </c:pt>
                      <c:pt idx="27">
                        <c:v>2.4674000000000002E-12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1.7552999999999999E-34</c:v>
                      </c:pt>
                      <c:pt idx="7">
                        <c:v>5.9637999999999997E-32</c:v>
                      </c:pt>
                      <c:pt idx="8">
                        <c:v>1.3317E-29</c:v>
                      </c:pt>
                      <c:pt idx="9">
                        <c:v>2.1693E-27</c:v>
                      </c:pt>
                      <c:pt idx="10">
                        <c:v>2.6676999999999999E-25</c:v>
                      </c:pt>
                      <c:pt idx="11">
                        <c:v>2.4886000000000001E-23</c:v>
                      </c:pt>
                      <c:pt idx="12">
                        <c:v>1.7740000000000002E-21</c:v>
                      </c:pt>
                      <c:pt idx="13">
                        <c:v>9.8104000000000004E-20</c:v>
                      </c:pt>
                      <c:pt idx="14">
                        <c:v>4.2854000000000003E-18</c:v>
                      </c:pt>
                      <c:pt idx="15">
                        <c:v>1.5015000000000001E-16</c:v>
                      </c:pt>
                      <c:pt idx="16">
                        <c:v>4.2180000000000003E-15</c:v>
                      </c:pt>
                      <c:pt idx="17">
                        <c:v>8.9942999999999996E-14</c:v>
                      </c:pt>
                      <c:pt idx="18">
                        <c:v>1.8166E-10</c:v>
                      </c:pt>
                      <c:pt idx="19">
                        <c:v>6.1698999999999995E-10</c:v>
                      </c:pt>
                      <c:pt idx="20">
                        <c:v>1.9062999999999999E-9</c:v>
                      </c:pt>
                      <c:pt idx="21">
                        <c:v>5.4154999999999998E-9</c:v>
                      </c:pt>
                      <c:pt idx="22">
                        <c:v>1.4215E-8</c:v>
                      </c:pt>
                      <c:pt idx="23">
                        <c:v>3.3835999999999999E-8</c:v>
                      </c:pt>
                      <c:pt idx="24">
                        <c:v>3.6131000000000001E-8</c:v>
                      </c:pt>
                      <c:pt idx="25">
                        <c:v>3.7158000000000001E-8</c:v>
                      </c:pt>
                      <c:pt idx="26">
                        <c:v>3.7517999999999999E-8</c:v>
                      </c:pt>
                      <c:pt idx="27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7.4216000000000001E-36</c:v>
                      </c:pt>
                      <c:pt idx="8">
                        <c:v>1.2279E-33</c:v>
                      </c:pt>
                      <c:pt idx="9">
                        <c:v>1.4772000000000001E-31</c:v>
                      </c:pt>
                      <c:pt idx="10">
                        <c:v>1.3357000000000001E-29</c:v>
                      </c:pt>
                      <c:pt idx="11">
                        <c:v>9.1925000000000003E-28</c:v>
                      </c:pt>
                      <c:pt idx="12">
                        <c:v>4.8815000000000001E-26</c:v>
                      </c:pt>
                      <c:pt idx="13">
                        <c:v>2.0363E-24</c:v>
                      </c:pt>
                      <c:pt idx="14">
                        <c:v>6.8009999999999997E-23</c:v>
                      </c:pt>
                      <c:pt idx="15">
                        <c:v>1.8494000000000001E-21</c:v>
                      </c:pt>
                      <c:pt idx="16">
                        <c:v>4.1246999999999999E-20</c:v>
                      </c:pt>
                      <c:pt idx="17">
                        <c:v>7.3727999999999996E-19</c:v>
                      </c:pt>
                      <c:pt idx="18">
                        <c:v>3.723E-15</c:v>
                      </c:pt>
                      <c:pt idx="19">
                        <c:v>1.9612000000000001E-14</c:v>
                      </c:pt>
                      <c:pt idx="20">
                        <c:v>9.3993000000000001E-14</c:v>
                      </c:pt>
                      <c:pt idx="21">
                        <c:v>4.132E-13</c:v>
                      </c:pt>
                      <c:pt idx="22">
                        <c:v>1.6752999999999999E-12</c:v>
                      </c:pt>
                      <c:pt idx="23">
                        <c:v>6.2173999999999997E-12</c:v>
                      </c:pt>
                      <c:pt idx="24">
                        <c:v>1.4609999999999999E-11</c:v>
                      </c:pt>
                      <c:pt idx="25">
                        <c:v>3.2901E-11</c:v>
                      </c:pt>
                      <c:pt idx="26">
                        <c:v>7.1446000000000001E-11</c:v>
                      </c:pt>
                      <c:pt idx="27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smooth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4.5515999999999997E-18</c:v>
                </c:pt>
                <c:pt idx="2">
                  <c:v>1.1457000000000001E-13</c:v>
                </c:pt>
                <c:pt idx="3">
                  <c:v>9.9512000000000005E-11</c:v>
                </c:pt>
                <c:pt idx="4">
                  <c:v>1.2369E-8</c:v>
                </c:pt>
                <c:pt idx="5">
                  <c:v>4.6673E-7</c:v>
                </c:pt>
                <c:pt idx="6">
                  <c:v>7.8967000000000001E-6</c:v>
                </c:pt>
                <c:pt idx="7">
                  <c:v>7.2719999999999995E-5</c:v>
                </c:pt>
                <c:pt idx="8">
                  <c:v>4.1031999999999999E-4</c:v>
                </c:pt>
                <c:pt idx="9">
                  <c:v>1.4090000000000001E-3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9.2949999999999999E-17</c:v>
                </c:pt>
                <c:pt idx="2">
                  <c:v>7.6946999999999995E-13</c:v>
                </c:pt>
                <c:pt idx="3">
                  <c:v>2.9715999999999999E-10</c:v>
                </c:pt>
                <c:pt idx="4">
                  <c:v>1.9913999999999999E-8</c:v>
                </c:pt>
                <c:pt idx="5">
                  <c:v>4.6399000000000001E-7</c:v>
                </c:pt>
                <c:pt idx="6">
                  <c:v>5.3253999999999999E-6</c:v>
                </c:pt>
                <c:pt idx="7">
                  <c:v>3.5135000000000002E-5</c:v>
                </c:pt>
                <c:pt idx="8">
                  <c:v>1.4407999999999999E-4</c:v>
                </c:pt>
                <c:pt idx="9">
                  <c:v>3.4330999999999999E-4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7.1755000000000006E-14</c:v>
                </c:pt>
                <c:pt idx="2">
                  <c:v>2.4208999999999999E-10</c:v>
                </c:pt>
                <c:pt idx="3">
                  <c:v>4.8461E-8</c:v>
                </c:pt>
                <c:pt idx="4">
                  <c:v>1.9645999999999998E-6</c:v>
                </c:pt>
                <c:pt idx="5">
                  <c:v>3.0911999999999998E-5</c:v>
                </c:pt>
                <c:pt idx="6">
                  <c:v>2.5855000000000002E-4</c:v>
                </c:pt>
                <c:pt idx="7">
                  <c:v>1.2959E-3</c:v>
                </c:pt>
                <c:pt idx="8">
                  <c:v>4.0553999999999998E-3</c:v>
                </c:pt>
                <c:pt idx="9">
                  <c:v>6.9873000000000001E-3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2.8145000000000002E-12</c:v>
                </c:pt>
                <c:pt idx="2">
                  <c:v>2.1021E-9</c:v>
                </c:pt>
                <c:pt idx="3">
                  <c:v>1.4306000000000001E-7</c:v>
                </c:pt>
                <c:pt idx="4">
                  <c:v>2.576E-6</c:v>
                </c:pt>
                <c:pt idx="5">
                  <c:v>2.1617E-5</c:v>
                </c:pt>
                <c:pt idx="6">
                  <c:v>1.0938E-4</c:v>
                </c:pt>
                <c:pt idx="7">
                  <c:v>3.5818999999999998E-4</c:v>
                </c:pt>
                <c:pt idx="8">
                  <c:v>7.5535000000000001E-4</c:v>
                </c:pt>
                <c:pt idx="9">
                  <c:v>8.4774000000000004E-4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4.5969000000000003E-13</c:v>
                </c:pt>
                <c:pt idx="2">
                  <c:v>4.7612000000000001E-10</c:v>
                </c:pt>
                <c:pt idx="3">
                  <c:v>3.8772999999999999E-8</c:v>
                </c:pt>
                <c:pt idx="4">
                  <c:v>7.7553000000000001E-7</c:v>
                </c:pt>
                <c:pt idx="5">
                  <c:v>6.9723000000000001E-6</c:v>
                </c:pt>
                <c:pt idx="6">
                  <c:v>3.6933E-5</c:v>
                </c:pt>
                <c:pt idx="7">
                  <c:v>1.2303999999999999E-4</c:v>
                </c:pt>
                <c:pt idx="8">
                  <c:v>2.5179E-4</c:v>
                </c:pt>
                <c:pt idx="9">
                  <c:v>2.4991E-4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1.3799E-14</c:v>
                </c:pt>
                <c:pt idx="2">
                  <c:v>1.8275E-11</c:v>
                </c:pt>
                <c:pt idx="3">
                  <c:v>1.6851999999999999E-9</c:v>
                </c:pt>
                <c:pt idx="4">
                  <c:v>3.5975000000000003E-8</c:v>
                </c:pt>
                <c:pt idx="5">
                  <c:v>3.3615E-7</c:v>
                </c:pt>
                <c:pt idx="6">
                  <c:v>1.8204E-6</c:v>
                </c:pt>
                <c:pt idx="7">
                  <c:v>6.0522999999999996E-6</c:v>
                </c:pt>
                <c:pt idx="8">
                  <c:v>1.1833E-5</c:v>
                </c:pt>
                <c:pt idx="9">
                  <c:v>1.025E-5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3.2498000000000001E-14</c:v>
                </c:pt>
                <c:pt idx="2">
                  <c:v>1.4395E-10</c:v>
                </c:pt>
                <c:pt idx="3">
                  <c:v>4.0954999999999998E-8</c:v>
                </c:pt>
                <c:pt idx="4">
                  <c:v>2.3640000000000002E-6</c:v>
                </c:pt>
                <c:pt idx="5">
                  <c:v>5.1038000000000002E-5</c:v>
                </c:pt>
                <c:pt idx="6">
                  <c:v>5.6714000000000005E-4</c:v>
                </c:pt>
                <c:pt idx="7">
                  <c:v>3.8249999999999998E-3</c:v>
                </c:pt>
                <c:pt idx="8">
                  <c:v>1.7559000000000002E-2</c:v>
                </c:pt>
                <c:pt idx="9">
                  <c:v>5.6219999999999999E-2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1.7529999999999999E-29</c:v>
                </c:pt>
                <c:pt idx="2">
                  <c:v>4.0370000000000001E-23</c:v>
                </c:pt>
                <c:pt idx="3">
                  <c:v>8.9280999999999991E-19</c:v>
                </c:pt>
                <c:pt idx="4">
                  <c:v>1.2809E-15</c:v>
                </c:pt>
                <c:pt idx="5">
                  <c:v>3.2693E-13</c:v>
                </c:pt>
                <c:pt idx="6">
                  <c:v>2.5864999999999999E-11</c:v>
                </c:pt>
                <c:pt idx="7">
                  <c:v>8.7663E-10</c:v>
                </c:pt>
                <c:pt idx="8">
                  <c:v>1.6053999999999999E-8</c:v>
                </c:pt>
                <c:pt idx="9">
                  <c:v>1.822E-7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2.0007000000000001E-11</c:v>
                </c:pt>
                <c:pt idx="1">
                  <c:v>6.6300000000000005E-8</c:v>
                </c:pt>
                <c:pt idx="2">
                  <c:v>8.8271000000000006E-6</c:v>
                </c:pt>
                <c:pt idx="3">
                  <c:v>2.2261000000000001E-4</c:v>
                </c:pt>
                <c:pt idx="4">
                  <c:v>2.0268999999999999E-3</c:v>
                </c:pt>
                <c:pt idx="5">
                  <c:v>8.2603999999999993E-3</c:v>
                </c:pt>
                <c:pt idx="6">
                  <c:v>1.7273E-2</c:v>
                </c:pt>
                <c:pt idx="7">
                  <c:v>2.4695000000000002E-2</c:v>
                </c:pt>
                <c:pt idx="8">
                  <c:v>2.9939E-2</c:v>
                </c:pt>
                <c:pt idx="9">
                  <c:v>3.3692E-2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7.9981999999999998E-2</c:v>
                      </c:pt>
                      <c:pt idx="3">
                        <c:v>7.9555000000000001E-2</c:v>
                      </c:pt>
                      <c:pt idx="4">
                        <c:v>7.5946E-2</c:v>
                      </c:pt>
                      <c:pt idx="5">
                        <c:v>6.3478999999999994E-2</c:v>
                      </c:pt>
                      <c:pt idx="6">
                        <c:v>4.5453E-2</c:v>
                      </c:pt>
                      <c:pt idx="7">
                        <c:v>3.0609000000000001E-2</c:v>
                      </c:pt>
                      <c:pt idx="8">
                        <c:v>2.0122000000000001E-2</c:v>
                      </c:pt>
                      <c:pt idx="9">
                        <c:v>1.2617E-2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0.47999000000000003</c:v>
                      </c:pt>
                      <c:pt idx="3">
                        <c:v>0.47977999999999998</c:v>
                      </c:pt>
                      <c:pt idx="4">
                        <c:v>0.47793999999999998</c:v>
                      </c:pt>
                      <c:pt idx="5">
                        <c:v>0.4713</c:v>
                      </c:pt>
                      <c:pt idx="6">
                        <c:v>0.45933000000000002</c:v>
                      </c:pt>
                      <c:pt idx="7">
                        <c:v>0.43775999999999998</c:v>
                      </c:pt>
                      <c:pt idx="8">
                        <c:v>0.38646999999999998</c:v>
                      </c:pt>
                      <c:pt idx="9">
                        <c:v>0.28641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7.9981999999999998E-2</c:v>
                </c:pt>
                <c:pt idx="3">
                  <c:v>7.9555000000000001E-2</c:v>
                </c:pt>
                <c:pt idx="4">
                  <c:v>7.5946E-2</c:v>
                </c:pt>
                <c:pt idx="5">
                  <c:v>6.3478999999999994E-2</c:v>
                </c:pt>
                <c:pt idx="6">
                  <c:v>4.5453E-2</c:v>
                </c:pt>
                <c:pt idx="7">
                  <c:v>3.0609000000000001E-2</c:v>
                </c:pt>
                <c:pt idx="8">
                  <c:v>2.0122000000000001E-2</c:v>
                </c:pt>
                <c:pt idx="9">
                  <c:v>1.2617E-2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0.47999000000000003</c:v>
                </c:pt>
                <c:pt idx="3">
                  <c:v>0.47977999999999998</c:v>
                </c:pt>
                <c:pt idx="4">
                  <c:v>0.47793999999999998</c:v>
                </c:pt>
                <c:pt idx="5">
                  <c:v>0.4713</c:v>
                </c:pt>
                <c:pt idx="6">
                  <c:v>0.45933000000000002</c:v>
                </c:pt>
                <c:pt idx="7">
                  <c:v>0.43775999999999998</c:v>
                </c:pt>
                <c:pt idx="8">
                  <c:v>0.38646999999999998</c:v>
                </c:pt>
                <c:pt idx="9">
                  <c:v>0.28641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1.1457000000000001E-13</c:v>
                      </c:pt>
                      <c:pt idx="3">
                        <c:v>9.9512000000000005E-11</c:v>
                      </c:pt>
                      <c:pt idx="4">
                        <c:v>1.2369E-8</c:v>
                      </c:pt>
                      <c:pt idx="5">
                        <c:v>4.6673E-7</c:v>
                      </c:pt>
                      <c:pt idx="6">
                        <c:v>7.8967000000000001E-6</c:v>
                      </c:pt>
                      <c:pt idx="7">
                        <c:v>7.2719999999999995E-5</c:v>
                      </c:pt>
                      <c:pt idx="8">
                        <c:v>4.1031999999999999E-4</c:v>
                      </c:pt>
                      <c:pt idx="9">
                        <c:v>1.4090000000000001E-3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7.6946999999999995E-13</c:v>
                      </c:pt>
                      <c:pt idx="3">
                        <c:v>2.9715999999999999E-10</c:v>
                      </c:pt>
                      <c:pt idx="4">
                        <c:v>1.9913999999999999E-8</c:v>
                      </c:pt>
                      <c:pt idx="5">
                        <c:v>4.6399000000000001E-7</c:v>
                      </c:pt>
                      <c:pt idx="6">
                        <c:v>5.3253999999999999E-6</c:v>
                      </c:pt>
                      <c:pt idx="7">
                        <c:v>3.5135000000000002E-5</c:v>
                      </c:pt>
                      <c:pt idx="8">
                        <c:v>1.4407999999999999E-4</c:v>
                      </c:pt>
                      <c:pt idx="9">
                        <c:v>3.4330999999999999E-4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2.4208999999999999E-10</c:v>
                      </c:pt>
                      <c:pt idx="3">
                        <c:v>4.8461E-8</c:v>
                      </c:pt>
                      <c:pt idx="4">
                        <c:v>1.9645999999999998E-6</c:v>
                      </c:pt>
                      <c:pt idx="5">
                        <c:v>3.0911999999999998E-5</c:v>
                      </c:pt>
                      <c:pt idx="6">
                        <c:v>2.5855000000000002E-4</c:v>
                      </c:pt>
                      <c:pt idx="7">
                        <c:v>1.2959E-3</c:v>
                      </c:pt>
                      <c:pt idx="8">
                        <c:v>4.0553999999999998E-3</c:v>
                      </c:pt>
                      <c:pt idx="9">
                        <c:v>6.9873000000000001E-3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2.1021E-9</c:v>
                      </c:pt>
                      <c:pt idx="3">
                        <c:v>1.4306000000000001E-7</c:v>
                      </c:pt>
                      <c:pt idx="4">
                        <c:v>2.576E-6</c:v>
                      </c:pt>
                      <c:pt idx="5">
                        <c:v>2.1617E-5</c:v>
                      </c:pt>
                      <c:pt idx="6">
                        <c:v>1.0938E-4</c:v>
                      </c:pt>
                      <c:pt idx="7">
                        <c:v>3.5818999999999998E-4</c:v>
                      </c:pt>
                      <c:pt idx="8">
                        <c:v>7.5535000000000001E-4</c:v>
                      </c:pt>
                      <c:pt idx="9">
                        <c:v>8.4774000000000004E-4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4.7612000000000001E-10</c:v>
                      </c:pt>
                      <c:pt idx="3">
                        <c:v>3.8772999999999999E-8</c:v>
                      </c:pt>
                      <c:pt idx="4">
                        <c:v>7.7553000000000001E-7</c:v>
                      </c:pt>
                      <c:pt idx="5">
                        <c:v>6.9723000000000001E-6</c:v>
                      </c:pt>
                      <c:pt idx="6">
                        <c:v>3.6933E-5</c:v>
                      </c:pt>
                      <c:pt idx="7">
                        <c:v>1.2303999999999999E-4</c:v>
                      </c:pt>
                      <c:pt idx="8">
                        <c:v>2.5179E-4</c:v>
                      </c:pt>
                      <c:pt idx="9">
                        <c:v>2.4991E-4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1.8275E-11</c:v>
                      </c:pt>
                      <c:pt idx="3">
                        <c:v>1.6851999999999999E-9</c:v>
                      </c:pt>
                      <c:pt idx="4">
                        <c:v>3.5975000000000003E-8</c:v>
                      </c:pt>
                      <c:pt idx="5">
                        <c:v>3.3615E-7</c:v>
                      </c:pt>
                      <c:pt idx="6">
                        <c:v>1.8204E-6</c:v>
                      </c:pt>
                      <c:pt idx="7">
                        <c:v>6.0522999999999996E-6</c:v>
                      </c:pt>
                      <c:pt idx="8">
                        <c:v>1.1833E-5</c:v>
                      </c:pt>
                      <c:pt idx="9">
                        <c:v>1.025E-5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1.4395E-10</c:v>
                      </c:pt>
                      <c:pt idx="3">
                        <c:v>4.0954999999999998E-8</c:v>
                      </c:pt>
                      <c:pt idx="4">
                        <c:v>2.3640000000000002E-6</c:v>
                      </c:pt>
                      <c:pt idx="5">
                        <c:v>5.1038000000000002E-5</c:v>
                      </c:pt>
                      <c:pt idx="6">
                        <c:v>5.6714000000000005E-4</c:v>
                      </c:pt>
                      <c:pt idx="7">
                        <c:v>3.8249999999999998E-3</c:v>
                      </c:pt>
                      <c:pt idx="8">
                        <c:v>1.7559000000000002E-2</c:v>
                      </c:pt>
                      <c:pt idx="9">
                        <c:v>5.6219999999999999E-2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4.0370000000000001E-23</c:v>
                      </c:pt>
                      <c:pt idx="3">
                        <c:v>8.9280999999999991E-19</c:v>
                      </c:pt>
                      <c:pt idx="4">
                        <c:v>1.2809E-15</c:v>
                      </c:pt>
                      <c:pt idx="5">
                        <c:v>3.2693E-13</c:v>
                      </c:pt>
                      <c:pt idx="6">
                        <c:v>2.5864999999999999E-11</c:v>
                      </c:pt>
                      <c:pt idx="7">
                        <c:v>8.7663E-10</c:v>
                      </c:pt>
                      <c:pt idx="8">
                        <c:v>1.6053999999999999E-8</c:v>
                      </c:pt>
                      <c:pt idx="9">
                        <c:v>1.822E-7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2.0007000000000001E-11</c:v>
                      </c:pt>
                      <c:pt idx="1">
                        <c:v>6.6300000000000005E-8</c:v>
                      </c:pt>
                      <c:pt idx="2">
                        <c:v>8.8271000000000006E-6</c:v>
                      </c:pt>
                      <c:pt idx="3">
                        <c:v>2.2261000000000001E-4</c:v>
                      </c:pt>
                      <c:pt idx="4">
                        <c:v>2.0268999999999999E-3</c:v>
                      </c:pt>
                      <c:pt idx="5">
                        <c:v>8.2603999999999993E-3</c:v>
                      </c:pt>
                      <c:pt idx="6">
                        <c:v>1.7273E-2</c:v>
                      </c:pt>
                      <c:pt idx="7">
                        <c:v>2.4695000000000002E-2</c:v>
                      </c:pt>
                      <c:pt idx="8">
                        <c:v>2.9939E-2</c:v>
                      </c:pt>
                      <c:pt idx="9">
                        <c:v>3.3692E-2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-45.410808616346188</c:v>
                </c:pt>
                <c:pt idx="3">
                  <c:v>-65.809270456012612</c:v>
                </c:pt>
                <c:pt idx="4">
                  <c:v>-86.736197150008607</c:v>
                </c:pt>
                <c:pt idx="5">
                  <c:v>-105.74296348759854</c:v>
                </c:pt>
                <c:pt idx="6">
                  <c:v>-121.95551454100026</c:v>
                </c:pt>
                <c:pt idx="7">
                  <c:v>-135.72527721344724</c:v>
                </c:pt>
                <c:pt idx="8">
                  <c:v>-141.71895089018238</c:v>
                </c:pt>
                <c:pt idx="9">
                  <c:v>-131.33896374831249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-9.9123185319283866</c:v>
                </c:pt>
                <c:pt idx="1">
                  <c:v>-26.592383815230473</c:v>
                </c:pt>
                <c:pt idx="2">
                  <c:v>-45.413704983966333</c:v>
                </c:pt>
                <c:pt idx="3">
                  <c:v>-65.901430109699959</c:v>
                </c:pt>
                <c:pt idx="4">
                  <c:v>-87.764220196937572</c:v>
                </c:pt>
                <c:pt idx="5">
                  <c:v>-110.82042728129643</c:v>
                </c:pt>
                <c:pt idx="6">
                  <c:v>-135.03045237251683</c:v>
                </c:pt>
                <c:pt idx="7">
                  <c:v>-160.39125491085349</c:v>
                </c:pt>
                <c:pt idx="8">
                  <c:v>-186.80783315751262</c:v>
                </c:pt>
                <c:pt idx="9">
                  <c:v>-214.61611798674843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-214.6166455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-3.5283822254549341E-9</c:v>
                      </c:pt>
                      <c:pt idx="1">
                        <c:v>-1.6474030472918424E-5</c:v>
                      </c:pt>
                      <c:pt idx="2">
                        <c:v>-2.8963676201447059E-3</c:v>
                      </c:pt>
                      <c:pt idx="3">
                        <c:v>-9.215965368734029E-2</c:v>
                      </c:pt>
                      <c:pt idx="4">
                        <c:v>-1.0280230469289584</c:v>
                      </c:pt>
                      <c:pt idx="5">
                        <c:v>-5.0774637936978921</c:v>
                      </c:pt>
                      <c:pt idx="6">
                        <c:v>-13.07493783151657</c:v>
                      </c:pt>
                      <c:pt idx="7">
                        <c:v>-24.665977697406237</c:v>
                      </c:pt>
                      <c:pt idx="8">
                        <c:v>-45.088882267330241</c:v>
                      </c:pt>
                      <c:pt idx="9">
                        <c:v>-83.277154238435941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-15.516666670195054</c:v>
                      </c:pt>
                      <c:pt idx="1">
                        <c:v>-15.54168314069714</c:v>
                      </c:pt>
                      <c:pt idx="2">
                        <c:v>-15.644563034286813</c:v>
                      </c:pt>
                      <c:pt idx="3">
                        <c:v>-15.867159653687342</c:v>
                      </c:pt>
                      <c:pt idx="4">
                        <c:v>-16.944689713595629</c:v>
                      </c:pt>
                      <c:pt idx="5">
                        <c:v>-21.160797127031227</c:v>
                      </c:pt>
                      <c:pt idx="6">
                        <c:v>-29.333271164849904</c:v>
                      </c:pt>
                      <c:pt idx="7">
                        <c:v>-41.107644364072911</c:v>
                      </c:pt>
                      <c:pt idx="8">
                        <c:v>-61.730548933996914</c:v>
                      </c:pt>
                      <c:pt idx="9">
                        <c:v>-100.18548757176927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-25.428985198595058</c:v>
                      </c:pt>
                      <c:pt idx="1">
                        <c:v>-42.134050481897141</c:v>
                      </c:pt>
                      <c:pt idx="2">
                        <c:v>-61.055371650632999</c:v>
                      </c:pt>
                      <c:pt idx="3">
                        <c:v>-81.67643010969995</c:v>
                      </c:pt>
                      <c:pt idx="4">
                        <c:v>-103.68088686360423</c:v>
                      </c:pt>
                      <c:pt idx="5">
                        <c:v>-126.90376061462977</c:v>
                      </c:pt>
                      <c:pt idx="6">
                        <c:v>-151.28878570585016</c:v>
                      </c:pt>
                      <c:pt idx="7">
                        <c:v>-176.83292157752015</c:v>
                      </c:pt>
                      <c:pt idx="8">
                        <c:v>-203.4494998241793</c:v>
                      </c:pt>
                      <c:pt idx="9">
                        <c:v>-231.52445132008177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-543.746128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1.5765000000000001E-2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8.2863999999999999E-35</c:v>
                </c:pt>
                <c:pt idx="7">
                  <c:v>3.9535999999999999E-32</c:v>
                </c:pt>
                <c:pt idx="8">
                  <c:v>1.1802E-29</c:v>
                </c:pt>
                <c:pt idx="9">
                  <c:v>2.318E-27</c:v>
                </c:pt>
                <c:pt idx="10">
                  <c:v>3.1711999999999998E-25</c:v>
                </c:pt>
                <c:pt idx="11">
                  <c:v>3.1093000000000001E-23</c:v>
                </c:pt>
                <c:pt idx="12">
                  <c:v>2.2684999999999999E-21</c:v>
                </c:pt>
                <c:pt idx="13">
                  <c:v>1.2683999999999999E-19</c:v>
                </c:pt>
                <c:pt idx="14">
                  <c:v>1.3808E-13</c:v>
                </c:pt>
                <c:pt idx="15">
                  <c:v>2.8290000000000002E-12</c:v>
                </c:pt>
                <c:pt idx="16">
                  <c:v>4.9786000000000001E-11</c:v>
                </c:pt>
                <c:pt idx="17">
                  <c:v>7.6181999999999996E-10</c:v>
                </c:pt>
                <c:pt idx="18">
                  <c:v>4.0387000000000001E-9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1.7782E-8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0.10562000000000001</c:v>
                      </c:pt>
                      <c:pt idx="10">
                        <c:v>5.8947000000000003E-9</c:v>
                      </c:pt>
                      <c:pt idx="11">
                        <c:v>2.9583999999999998E-10</c:v>
                      </c:pt>
                      <c:pt idx="12">
                        <c:v>5.7976000000000003E-12</c:v>
                      </c:pt>
                      <c:pt idx="13">
                        <c:v>3.5656000000000001E-12</c:v>
                      </c:pt>
                      <c:pt idx="14">
                        <c:v>6.6780000000000004E-22</c:v>
                      </c:pt>
                      <c:pt idx="15">
                        <c:v>5.9907000000000002E-27</c:v>
                      </c:pt>
                      <c:pt idx="16">
                        <c:v>2.7018000000000001E-32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2.1572000000000002E-31</c:v>
                      </c:pt>
                      <c:pt idx="15">
                        <c:v>1.5057E-27</c:v>
                      </c:pt>
                      <c:pt idx="16">
                        <c:v>6.8638000000000005E-23</c:v>
                      </c:pt>
                      <c:pt idx="17">
                        <c:v>7.9580000000000003E-23</c:v>
                      </c:pt>
                      <c:pt idx="18">
                        <c:v>6.1874000000000002E-17</c:v>
                      </c:pt>
                      <c:pt idx="19" formatCode="General">
                        <c:v>5.1635999999999997E-16</c:v>
                      </c:pt>
                      <c:pt idx="20" formatCode="General">
                        <c:v>3.1504999999999998E-9</c:v>
                      </c:pt>
                      <c:pt idx="21" formatCode="General">
                        <c:v>3.9756000000000002E-7</c:v>
                      </c:pt>
                      <c:pt idx="22" formatCode="General">
                        <c:v>2.9050000000000001E-7</c:v>
                      </c:pt>
                      <c:pt idx="23" formatCode="General">
                        <c:v>6.5820000000000003E-8</c:v>
                      </c:pt>
                      <c:pt idx="24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2.482E-22</c:v>
                      </c:pt>
                      <c:pt idx="15">
                        <c:v>4.1234E-18</c:v>
                      </c:pt>
                      <c:pt idx="16">
                        <c:v>4.5319000000000001E-13</c:v>
                      </c:pt>
                      <c:pt idx="17">
                        <c:v>2.2366E-8</c:v>
                      </c:pt>
                      <c:pt idx="18">
                        <c:v>2.4235E-2</c:v>
                      </c:pt>
                      <c:pt idx="19" formatCode="General">
                        <c:v>3.5584999999999999E-2</c:v>
                      </c:pt>
                      <c:pt idx="20" formatCode="General">
                        <c:v>2.9937000000000001E-7</c:v>
                      </c:pt>
                      <c:pt idx="21" formatCode="General">
                        <c:v>2.7884000000000001E-21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4.6744E-24</c:v>
                      </c:pt>
                      <c:pt idx="1">
                        <c:v>8.8713000000000006E-17</c:v>
                      </c:pt>
                      <c:pt idx="2">
                        <c:v>7.5023000000000003E-11</c:v>
                      </c:pt>
                      <c:pt idx="3">
                        <c:v>2.4996999999999999E-8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0.25438</c:v>
                      </c:pt>
                      <c:pt idx="10">
                        <c:v>0.36</c:v>
                      </c:pt>
                      <c:pt idx="11">
                        <c:v>0.36</c:v>
                      </c:pt>
                      <c:pt idx="12">
                        <c:v>0.36</c:v>
                      </c:pt>
                      <c:pt idx="13">
                        <c:v>0.36</c:v>
                      </c:pt>
                      <c:pt idx="14">
                        <c:v>0.36</c:v>
                      </c:pt>
                      <c:pt idx="15">
                        <c:v>0.36</c:v>
                      </c:pt>
                      <c:pt idx="16">
                        <c:v>0.36</c:v>
                      </c:pt>
                      <c:pt idx="17">
                        <c:v>0.36</c:v>
                      </c:pt>
                      <c:pt idx="18">
                        <c:v>0.40847</c:v>
                      </c:pt>
                      <c:pt idx="19" formatCode="General">
                        <c:v>0.43117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6.8576999999999996E-9</c:v>
                      </c:pt>
                      <c:pt idx="5">
                        <c:v>3.5479000000000002E-18</c:v>
                      </c:pt>
                      <c:pt idx="6">
                        <c:v>3.3890000000000001E-21</c:v>
                      </c:pt>
                      <c:pt idx="7">
                        <c:v>2.8891000000000001E-29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1.5435999999999999E-32</c:v>
                      </c:pt>
                      <c:pt idx="12">
                        <c:v>2.2441000000000001E-26</c:v>
                      </c:pt>
                      <c:pt idx="13">
                        <c:v>2.012E-20</c:v>
                      </c:pt>
                      <c:pt idx="14">
                        <c:v>3.7214000000000002E-13</c:v>
                      </c:pt>
                      <c:pt idx="15">
                        <c:v>8.3488999999999999E-13</c:v>
                      </c:pt>
                      <c:pt idx="16">
                        <c:v>1.2235E-11</c:v>
                      </c:pt>
                      <c:pt idx="17">
                        <c:v>5.7031000000000002E-13</c:v>
                      </c:pt>
                      <c:pt idx="18">
                        <c:v>4.5874000000000001E-9</c:v>
                      </c:pt>
                      <c:pt idx="19" formatCode="General">
                        <c:v>3.9656000000000001E-8</c:v>
                      </c:pt>
                      <c:pt idx="20" formatCode="General">
                        <c:v>7.7692999999999998E-2</c:v>
                      </c:pt>
                      <c:pt idx="21" formatCode="General">
                        <c:v>7.9759999999999998E-2</c:v>
                      </c:pt>
                      <c:pt idx="22" formatCode="General">
                        <c:v>7.9973000000000002E-2</c:v>
                      </c:pt>
                      <c:pt idx="23" formatCode="General">
                        <c:v>0.08</c:v>
                      </c:pt>
                      <c:pt idx="24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2.9877999999999998E-27</c:v>
                      </c:pt>
                      <c:pt idx="12">
                        <c:v>7.9918999999999997E-22</c:v>
                      </c:pt>
                      <c:pt idx="13">
                        <c:v>1.449E-16</c:v>
                      </c:pt>
                      <c:pt idx="14">
                        <c:v>9.8116000000000007E-12</c:v>
                      </c:pt>
                      <c:pt idx="15">
                        <c:v>6.3760999999999999E-12</c:v>
                      </c:pt>
                      <c:pt idx="16">
                        <c:v>2.8513E-11</c:v>
                      </c:pt>
                      <c:pt idx="17">
                        <c:v>4.2784000000000002E-13</c:v>
                      </c:pt>
                      <c:pt idx="18">
                        <c:v>1.7531999999999999E-9</c:v>
                      </c:pt>
                      <c:pt idx="19" formatCode="General">
                        <c:v>9.8190000000000001E-9</c:v>
                      </c:pt>
                      <c:pt idx="20" formatCode="General">
                        <c:v>1.3691E-2</c:v>
                      </c:pt>
                      <c:pt idx="21" formatCode="General">
                        <c:v>1.6542000000000001E-2</c:v>
                      </c:pt>
                      <c:pt idx="22" formatCode="General">
                        <c:v>1.9453999999999999E-2</c:v>
                      </c:pt>
                      <c:pt idx="23" formatCode="General">
                        <c:v>3.6164000000000002E-2</c:v>
                      </c:pt>
                      <c:pt idx="24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-2.416331360551476E-25</c:v>
                </c:pt>
                <c:pt idx="12">
                  <c:v>-6.7771099755617479E-20</c:v>
                </c:pt>
                <c:pt idx="13">
                  <c:v>-1.2874283308126365E-14</c:v>
                </c:pt>
                <c:pt idx="14">
                  <c:v>-1.149994864726175E-9</c:v>
                </c:pt>
                <c:pt idx="15">
                  <c:v>-9.3839257293185501E-10</c:v>
                </c:pt>
                <c:pt idx="16">
                  <c:v>-6.4563921984541171E-9</c:v>
                </c:pt>
                <c:pt idx="17">
                  <c:v>-1.8622288071749536E-10</c:v>
                </c:pt>
                <c:pt idx="18">
                  <c:v>-1.2441156914934824E-6</c:v>
                </c:pt>
                <c:pt idx="19">
                  <c:v>-9.8338275468824105E-6</c:v>
                </c:pt>
                <c:pt idx="20">
                  <c:v>-18.176426567311626</c:v>
                </c:pt>
                <c:pt idx="21">
                  <c:v>-19.714212242718705</c:v>
                </c:pt>
                <c:pt idx="22">
                  <c:v>-20.916887807870076</c:v>
                </c:pt>
                <c:pt idx="23">
                  <c:v>-26.821621468725546</c:v>
                </c:pt>
                <c:pt idx="24">
                  <c:v>-36.569349260425007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-77.006665171000009</c:v>
                </c:pt>
                <c:pt idx="1">
                  <c:v>-77.646388344000016</c:v>
                </c:pt>
                <c:pt idx="2">
                  <c:v>-78.310824982500023</c:v>
                </c:pt>
                <c:pt idx="3">
                  <c:v>-79.005272808750021</c:v>
                </c:pt>
                <c:pt idx="4">
                  <c:v>-79.717271158750009</c:v>
                </c:pt>
                <c:pt idx="5">
                  <c:v>-82.785842700750024</c:v>
                </c:pt>
                <c:pt idx="6">
                  <c:v>-83.594383481750015</c:v>
                </c:pt>
                <c:pt idx="7">
                  <c:v>-84.442513754500013</c:v>
                </c:pt>
                <c:pt idx="8">
                  <c:v>-85.270119684000008</c:v>
                </c:pt>
                <c:pt idx="9">
                  <c:v>-86.134395330000018</c:v>
                </c:pt>
                <c:pt idx="10">
                  <c:v>-87.038696979000008</c:v>
                </c:pt>
                <c:pt idx="11">
                  <c:v>-87.949120871500014</c:v>
                </c:pt>
                <c:pt idx="12">
                  <c:v>-88.854733440000004</c:v>
                </c:pt>
                <c:pt idx="13">
                  <c:v>-89.78143158050004</c:v>
                </c:pt>
                <c:pt idx="14">
                  <c:v>-93.637025978814492</c:v>
                </c:pt>
                <c:pt idx="15">
                  <c:v>-94.639639664494482</c:v>
                </c:pt>
                <c:pt idx="16">
                  <c:v>-95.642533327990407</c:v>
                </c:pt>
                <c:pt idx="17">
                  <c:v>-96.657830186270346</c:v>
                </c:pt>
                <c:pt idx="18">
                  <c:v>-38.847363238558387</c:v>
                </c:pt>
                <c:pt idx="19">
                  <c:v>-11.143044561616689</c:v>
                </c:pt>
                <c:pt idx="20">
                  <c:v>-21.161414973315381</c:v>
                </c:pt>
                <c:pt idx="21">
                  <c:v>-20.036047992261974</c:v>
                </c:pt>
                <c:pt idx="22">
                  <c:v>-20.95452473181177</c:v>
                </c:pt>
                <c:pt idx="23">
                  <c:v>-26.821677161823121</c:v>
                </c:pt>
                <c:pt idx="24">
                  <c:v>-36.569377651252125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-543.746128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-543.746128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-77.006665171000009</c:v>
                      </c:pt>
                      <c:pt idx="1">
                        <c:v>-77.646388344000016</c:v>
                      </c:pt>
                      <c:pt idx="2">
                        <c:v>-78.310824982500023</c:v>
                      </c:pt>
                      <c:pt idx="3">
                        <c:v>-79.005272808750021</c:v>
                      </c:pt>
                      <c:pt idx="4">
                        <c:v>-79.717271158750009</c:v>
                      </c:pt>
                      <c:pt idx="5">
                        <c:v>-82.785842700750024</c:v>
                      </c:pt>
                      <c:pt idx="6">
                        <c:v>-83.594383481750015</c:v>
                      </c:pt>
                      <c:pt idx="7">
                        <c:v>-84.442513754500013</c:v>
                      </c:pt>
                      <c:pt idx="8">
                        <c:v>-85.270119684000008</c:v>
                      </c:pt>
                      <c:pt idx="9">
                        <c:v>-86.134395330000018</c:v>
                      </c:pt>
                      <c:pt idx="10">
                        <c:v>-87.038696979000008</c:v>
                      </c:pt>
                      <c:pt idx="11">
                        <c:v>-87.949120871500014</c:v>
                      </c:pt>
                      <c:pt idx="12">
                        <c:v>-88.854733440000004</c:v>
                      </c:pt>
                      <c:pt idx="13">
                        <c:v>-89.781431580500026</c:v>
                      </c:pt>
                      <c:pt idx="14">
                        <c:v>-93.637025977664493</c:v>
                      </c:pt>
                      <c:pt idx="15">
                        <c:v>-94.639639663556082</c:v>
                      </c:pt>
                      <c:pt idx="16">
                        <c:v>-95.642533321534017</c:v>
                      </c:pt>
                      <c:pt idx="17">
                        <c:v>-96.657830186084126</c:v>
                      </c:pt>
                      <c:pt idx="18">
                        <c:v>-38.847361994442693</c:v>
                      </c:pt>
                      <c:pt idx="19">
                        <c:v>-11.143034727789143</c:v>
                      </c:pt>
                      <c:pt idx="20">
                        <c:v>-2.984988406003755</c:v>
                      </c:pt>
                      <c:pt idx="21">
                        <c:v>-0.32183574954326805</c:v>
                      </c:pt>
                      <c:pt idx="22">
                        <c:v>-3.7636923941692838E-2</c:v>
                      </c:pt>
                      <c:pt idx="23">
                        <c:v>-5.5693097577178986E-5</c:v>
                      </c:pt>
                      <c:pt idx="24">
                        <c:v>-2.8390827119092951E-5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  <c15:filteredScatterSeries>
              <c15:ser>
                <c:idx val="13"/>
                <c:order val="2"/>
                <c:tx>
                  <c:v>Ряд3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D96-4B09-963C-81925246AA8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-112.58080772100003</c:v>
                      </c:pt>
                      <c:pt idx="1">
                        <c:v>-115.83147097025001</c:v>
                      </c:pt>
                      <c:pt idx="2">
                        <c:v>-119.14749173250004</c:v>
                      </c:pt>
                      <c:pt idx="3">
                        <c:v>-122.49632289750002</c:v>
                      </c:pt>
                      <c:pt idx="4">
                        <c:v>-125.89002464750001</c:v>
                      </c:pt>
                      <c:pt idx="5">
                        <c:v>-139.86187119450003</c:v>
                      </c:pt>
                      <c:pt idx="6">
                        <c:v>-143.44874372300004</c:v>
                      </c:pt>
                      <c:pt idx="7">
                        <c:v>-147.08640260325006</c:v>
                      </c:pt>
                      <c:pt idx="8">
                        <c:v>-150.70152087400004</c:v>
                      </c:pt>
                      <c:pt idx="9">
                        <c:v>-154.37769113250005</c:v>
                      </c:pt>
                      <c:pt idx="10">
                        <c:v>-158.10508425400005</c:v>
                      </c:pt>
                      <c:pt idx="11">
                        <c:v>-161.84979647900005</c:v>
                      </c:pt>
                      <c:pt idx="12">
                        <c:v>-165.60089424</c:v>
                      </c:pt>
                      <c:pt idx="13">
                        <c:v>-169.42558364050009</c:v>
                      </c:pt>
                      <c:pt idx="14">
                        <c:v>-184.82547327766451</c:v>
                      </c:pt>
                      <c:pt idx="15">
                        <c:v>-188.77695603480609</c:v>
                      </c:pt>
                      <c:pt idx="16">
                        <c:v>-192.70648440528404</c:v>
                      </c:pt>
                      <c:pt idx="17">
                        <c:v>-196.65961284233418</c:v>
                      </c:pt>
                      <c:pt idx="18">
                        <c:v>-141.22068255694271</c:v>
                      </c:pt>
                      <c:pt idx="19">
                        <c:v>-116.19169116903915</c:v>
                      </c:pt>
                      <c:pt idx="20">
                        <c:v>-110.87207657225379</c:v>
                      </c:pt>
                      <c:pt idx="21">
                        <c:v>-111.16634999329332</c:v>
                      </c:pt>
                      <c:pt idx="22">
                        <c:v>-113.85077410519173</c:v>
                      </c:pt>
                      <c:pt idx="23">
                        <c:v>-125.72227987309762</c:v>
                      </c:pt>
                      <c:pt idx="24">
                        <c:v>-137.74357839082714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55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0.10562000000000001</c:v>
                </c:pt>
                <c:pt idx="10">
                  <c:v>5.8947000000000003E-9</c:v>
                </c:pt>
                <c:pt idx="11">
                  <c:v>2.9583999999999998E-10</c:v>
                </c:pt>
                <c:pt idx="12">
                  <c:v>5.7976000000000003E-12</c:v>
                </c:pt>
                <c:pt idx="13">
                  <c:v>3.5656000000000001E-12</c:v>
                </c:pt>
                <c:pt idx="14">
                  <c:v>6.6780000000000004E-22</c:v>
                </c:pt>
                <c:pt idx="15">
                  <c:v>5.9907000000000002E-27</c:v>
                </c:pt>
                <c:pt idx="16">
                  <c:v>2.7018000000000001E-32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2.1572000000000002E-31</c:v>
                </c:pt>
                <c:pt idx="15">
                  <c:v>1.5057E-27</c:v>
                </c:pt>
                <c:pt idx="16">
                  <c:v>6.8638000000000005E-23</c:v>
                </c:pt>
                <c:pt idx="17">
                  <c:v>7.9580000000000003E-23</c:v>
                </c:pt>
                <c:pt idx="18">
                  <c:v>6.1874000000000002E-17</c:v>
                </c:pt>
                <c:pt idx="19" formatCode="General">
                  <c:v>5.1635999999999997E-16</c:v>
                </c:pt>
                <c:pt idx="20" formatCode="General">
                  <c:v>3.1504999999999998E-9</c:v>
                </c:pt>
                <c:pt idx="21" formatCode="General">
                  <c:v>3.9756000000000002E-7</c:v>
                </c:pt>
                <c:pt idx="22" formatCode="General">
                  <c:v>2.9050000000000001E-7</c:v>
                </c:pt>
                <c:pt idx="23" formatCode="General">
                  <c:v>6.5820000000000003E-8</c:v>
                </c:pt>
                <c:pt idx="24" formatCode="General">
                  <c:v>1.1147E-8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2.482E-22</c:v>
                </c:pt>
                <c:pt idx="15">
                  <c:v>4.1234E-18</c:v>
                </c:pt>
                <c:pt idx="16">
                  <c:v>4.5319000000000001E-13</c:v>
                </c:pt>
                <c:pt idx="17">
                  <c:v>2.2366E-8</c:v>
                </c:pt>
                <c:pt idx="18">
                  <c:v>2.4235E-2</c:v>
                </c:pt>
                <c:pt idx="19" formatCode="General">
                  <c:v>3.5584999999999999E-2</c:v>
                </c:pt>
                <c:pt idx="20" formatCode="General">
                  <c:v>2.9937000000000001E-7</c:v>
                </c:pt>
                <c:pt idx="21" formatCode="General">
                  <c:v>2.7884000000000001E-21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4.6744E-24</c:v>
                </c:pt>
                <c:pt idx="1">
                  <c:v>8.8713000000000006E-17</c:v>
                </c:pt>
                <c:pt idx="2">
                  <c:v>7.5023000000000003E-11</c:v>
                </c:pt>
                <c:pt idx="3">
                  <c:v>2.4996999999999999E-8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0.25438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0.36</c:v>
                </c:pt>
                <c:pt idx="18">
                  <c:v>0.40847</c:v>
                </c:pt>
                <c:pt idx="19" formatCode="General">
                  <c:v>0.43117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6.8576999999999996E-9</c:v>
                </c:pt>
                <c:pt idx="5">
                  <c:v>3.5479000000000002E-18</c:v>
                </c:pt>
                <c:pt idx="6">
                  <c:v>3.3890000000000001E-21</c:v>
                </c:pt>
                <c:pt idx="7">
                  <c:v>2.8891000000000001E-29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1.5435999999999999E-32</c:v>
                </c:pt>
                <c:pt idx="12">
                  <c:v>2.2441000000000001E-26</c:v>
                </c:pt>
                <c:pt idx="13">
                  <c:v>2.012E-20</c:v>
                </c:pt>
                <c:pt idx="14">
                  <c:v>3.7214000000000002E-13</c:v>
                </c:pt>
                <c:pt idx="15">
                  <c:v>8.3488999999999999E-13</c:v>
                </c:pt>
                <c:pt idx="16">
                  <c:v>1.2235E-11</c:v>
                </c:pt>
                <c:pt idx="17">
                  <c:v>5.7031000000000002E-13</c:v>
                </c:pt>
                <c:pt idx="18">
                  <c:v>4.5874000000000001E-9</c:v>
                </c:pt>
                <c:pt idx="19" formatCode="General">
                  <c:v>3.9656000000000001E-8</c:v>
                </c:pt>
                <c:pt idx="20" formatCode="General">
                  <c:v>7.7692999999999998E-2</c:v>
                </c:pt>
                <c:pt idx="21" formatCode="General">
                  <c:v>7.9759999999999998E-2</c:v>
                </c:pt>
                <c:pt idx="22" formatCode="General">
                  <c:v>7.9973000000000002E-2</c:v>
                </c:pt>
                <c:pt idx="23" formatCode="General">
                  <c:v>0.08</c:v>
                </c:pt>
                <c:pt idx="24" formatCode="General">
                  <c:v>0.08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2.9877999999999998E-27</c:v>
                </c:pt>
                <c:pt idx="12">
                  <c:v>7.9918999999999997E-22</c:v>
                </c:pt>
                <c:pt idx="13">
                  <c:v>1.449E-16</c:v>
                </c:pt>
                <c:pt idx="14">
                  <c:v>9.8116000000000007E-12</c:v>
                </c:pt>
                <c:pt idx="15">
                  <c:v>6.3760999999999999E-12</c:v>
                </c:pt>
                <c:pt idx="16">
                  <c:v>2.8513E-11</c:v>
                </c:pt>
                <c:pt idx="17">
                  <c:v>4.2784000000000002E-13</c:v>
                </c:pt>
                <c:pt idx="18">
                  <c:v>1.7531999999999999E-9</c:v>
                </c:pt>
                <c:pt idx="19" formatCode="General">
                  <c:v>9.8190000000000001E-9</c:v>
                </c:pt>
                <c:pt idx="20" formatCode="General">
                  <c:v>1.3691E-2</c:v>
                </c:pt>
                <c:pt idx="21" formatCode="General">
                  <c:v>1.6542000000000001E-2</c:v>
                </c:pt>
                <c:pt idx="22" formatCode="General">
                  <c:v>1.9453999999999999E-2</c:v>
                </c:pt>
                <c:pt idx="23" formatCode="General">
                  <c:v>3.6164000000000002E-2</c:v>
                </c:pt>
                <c:pt idx="24" formatCode="General">
                  <c:v>6.8124000000000004E-2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1.5765000000000001E-2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2.8184000000000002E-12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8.2863999999999999E-35</c:v>
                      </c:pt>
                      <c:pt idx="7">
                        <c:v>3.9535999999999999E-32</c:v>
                      </c:pt>
                      <c:pt idx="8">
                        <c:v>1.1802E-29</c:v>
                      </c:pt>
                      <c:pt idx="9">
                        <c:v>2.318E-27</c:v>
                      </c:pt>
                      <c:pt idx="10">
                        <c:v>3.1711999999999998E-25</c:v>
                      </c:pt>
                      <c:pt idx="11">
                        <c:v>3.1093000000000001E-23</c:v>
                      </c:pt>
                      <c:pt idx="12">
                        <c:v>2.2684999999999999E-21</c:v>
                      </c:pt>
                      <c:pt idx="13">
                        <c:v>1.2683999999999999E-19</c:v>
                      </c:pt>
                      <c:pt idx="14">
                        <c:v>1.3808E-13</c:v>
                      </c:pt>
                      <c:pt idx="15">
                        <c:v>2.8290000000000002E-12</c:v>
                      </c:pt>
                      <c:pt idx="16">
                        <c:v>4.9786000000000001E-11</c:v>
                      </c:pt>
                      <c:pt idx="17">
                        <c:v>7.6181999999999996E-10</c:v>
                      </c:pt>
                      <c:pt idx="18">
                        <c:v>4.0387000000000001E-9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5426066075994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EVALUATION!$B$101:$BT$101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2.888365099009911E-19</c:v>
                </c:pt>
                <c:pt idx="7" formatCode="General">
                  <c:v>7.6233898514851576E-19</c:v>
                </c:pt>
                <c:pt idx="8" formatCode="General">
                  <c:v>1.2358414603960404E-18</c:v>
                </c:pt>
                <c:pt idx="9" formatCode="General">
                  <c:v>1.709343935643565E-18</c:v>
                </c:pt>
                <c:pt idx="10" formatCode="General">
                  <c:v>2.1828464108910896E-18</c:v>
                </c:pt>
                <c:pt idx="11" formatCode="General">
                  <c:v>2.6563488861386144E-18</c:v>
                </c:pt>
                <c:pt idx="12" formatCode="General">
                  <c:v>3.1298513613861388E-18</c:v>
                </c:pt>
                <c:pt idx="13" formatCode="General">
                  <c:v>3.603353836633664E-18</c:v>
                </c:pt>
                <c:pt idx="14" formatCode="General">
                  <c:v>4.2347723064851602E-14</c:v>
                </c:pt>
                <c:pt idx="15" formatCode="General">
                  <c:v>1.2224186865891106E-13</c:v>
                </c:pt>
                <c:pt idx="16" formatCode="General">
                  <c:v>2.142652420792084E-11</c:v>
                </c:pt>
                <c:pt idx="17" formatCode="General">
                  <c:v>6.3122865792079168E-11</c:v>
                </c:pt>
                <c:pt idx="18" formatCode="General">
                  <c:v>4.0645012935323289E-10</c:v>
                </c:pt>
                <c:pt idx="19" formatCode="General">
                  <c:v>1.0637197810945274E-9</c:v>
                </c:pt>
                <c:pt idx="20" formatCode="General">
                  <c:v>1.5965941665579256E-2</c:v>
                </c:pt>
                <c:pt idx="21" formatCode="General">
                  <c:v>4.9228317207410964E-2</c:v>
                </c:pt>
                <c:pt idx="22" formatCode="General">
                  <c:v>7.9216039603960425E-2</c:v>
                </c:pt>
                <c:pt idx="23" formatCode="General">
                  <c:v>0.10535960396039601</c:v>
                </c:pt>
                <c:pt idx="24" formatCode="General">
                  <c:v>0.12</c:v>
                </c:pt>
                <c:pt idx="25" formatCode="General">
                  <c:v>0.12</c:v>
                </c:pt>
                <c:pt idx="26" formatCode="General">
                  <c:v>0.12</c:v>
                </c:pt>
                <c:pt idx="27" formatCode="General">
                  <c:v>0.12</c:v>
                </c:pt>
                <c:pt idx="28" formatCode="General">
                  <c:v>0.12</c:v>
                </c:pt>
                <c:pt idx="29" formatCode="General">
                  <c:v>0.12</c:v>
                </c:pt>
                <c:pt idx="30" formatCode="General">
                  <c:v>0.12</c:v>
                </c:pt>
                <c:pt idx="31" formatCode="General">
                  <c:v>0.12</c:v>
                </c:pt>
                <c:pt idx="32" formatCode="General">
                  <c:v>0.12</c:v>
                </c:pt>
                <c:pt idx="33" formatCode="General">
                  <c:v>0.12</c:v>
                </c:pt>
                <c:pt idx="34" formatCode="General">
                  <c:v>0.12</c:v>
                </c:pt>
                <c:pt idx="35" formatCode="General">
                  <c:v>0.12</c:v>
                </c:pt>
                <c:pt idx="36" formatCode="General">
                  <c:v>0.12</c:v>
                </c:pt>
                <c:pt idx="37" formatCode="General">
                  <c:v>0.12</c:v>
                </c:pt>
                <c:pt idx="38" formatCode="General">
                  <c:v>0.12</c:v>
                </c:pt>
                <c:pt idx="39" formatCode="General">
                  <c:v>0.12</c:v>
                </c:pt>
                <c:pt idx="40" formatCode="General">
                  <c:v>0.12</c:v>
                </c:pt>
                <c:pt idx="41" formatCode="General">
                  <c:v>0.12</c:v>
                </c:pt>
                <c:pt idx="42" formatCode="General">
                  <c:v>0.12</c:v>
                </c:pt>
                <c:pt idx="43" formatCode="General">
                  <c:v>0.12</c:v>
                </c:pt>
                <c:pt idx="44" formatCode="General">
                  <c:v>0.12</c:v>
                </c:pt>
                <c:pt idx="45" formatCode="General">
                  <c:v>0.12</c:v>
                </c:pt>
                <c:pt idx="46" formatCode="General">
                  <c:v>0.12</c:v>
                </c:pt>
                <c:pt idx="47" formatCode="General">
                  <c:v>0.12</c:v>
                </c:pt>
                <c:pt idx="48" formatCode="General">
                  <c:v>0.1192878712871287</c:v>
                </c:pt>
                <c:pt idx="49" formatCode="General">
                  <c:v>0.11589678217821782</c:v>
                </c:pt>
                <c:pt idx="50" formatCode="General">
                  <c:v>0.11301643564356435</c:v>
                </c:pt>
                <c:pt idx="51" formatCode="General">
                  <c:v>0.11231346534653465</c:v>
                </c:pt>
                <c:pt idx="52" formatCode="General">
                  <c:v>0.11160712871287128</c:v>
                </c:pt>
                <c:pt idx="53" formatCode="General">
                  <c:v>0.11088435643564357</c:v>
                </c:pt>
                <c:pt idx="54" formatCode="General">
                  <c:v>0.11011479553903346</c:v>
                </c:pt>
                <c:pt idx="55" formatCode="General">
                  <c:v>0.10908009913258984</c:v>
                </c:pt>
                <c:pt idx="56" formatCode="General">
                  <c:v>0.10804540272614623</c:v>
                </c:pt>
                <c:pt idx="57" formatCode="General">
                  <c:v>0.10701070631970261</c:v>
                </c:pt>
                <c:pt idx="58" formatCode="General">
                  <c:v>0.10597600991325899</c:v>
                </c:pt>
                <c:pt idx="59" formatCode="General">
                  <c:v>0.10494131350681538</c:v>
                </c:pt>
                <c:pt idx="60" formatCode="General">
                  <c:v>0.10390661710037175</c:v>
                </c:pt>
                <c:pt idx="61" formatCode="General">
                  <c:v>0.10287192069392813</c:v>
                </c:pt>
                <c:pt idx="62" formatCode="General">
                  <c:v>0.10176176237623763</c:v>
                </c:pt>
                <c:pt idx="63" formatCode="General">
                  <c:v>9.9783792079207928E-2</c:v>
                </c:pt>
                <c:pt idx="64" formatCode="General">
                  <c:v>9.7805821782178226E-2</c:v>
                </c:pt>
                <c:pt idx="65" formatCode="General">
                  <c:v>9.5827851485148524E-2</c:v>
                </c:pt>
                <c:pt idx="66" formatCode="General">
                  <c:v>9.3849881188118822E-2</c:v>
                </c:pt>
                <c:pt idx="67" formatCode="General">
                  <c:v>9.1871910891089106E-2</c:v>
                </c:pt>
                <c:pt idx="68" formatCode="General">
                  <c:v>8.9893940594059404E-2</c:v>
                </c:pt>
                <c:pt idx="69" formatCode="General">
                  <c:v>8.7915970297029702E-2</c:v>
                </c:pt>
                <c:pt idx="70" formatCode="General">
                  <c:v>8.5938000000000001E-2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04-46F0-833E-2788F418E0A5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EVALUATION!$B$144:$BT$144</c:f>
              <c:numCache>
                <c:formatCode>0</c:formatCode>
                <c:ptCount val="71"/>
                <c:pt idx="0">
                  <c:v>3.1882737623762335E-25</c:v>
                </c:pt>
                <c:pt idx="1">
                  <c:v>7.7641450495049489E-25</c:v>
                </c:pt>
                <c:pt idx="2" formatCode="General">
                  <c:v>2.7095346980198036E-23</c:v>
                </c:pt>
                <c:pt idx="3" formatCode="General">
                  <c:v>6.7339619257425777E-23</c:v>
                </c:pt>
                <c:pt idx="4" formatCode="General">
                  <c:v>2.4194270792079265E-21</c:v>
                </c:pt>
                <c:pt idx="5" formatCode="General">
                  <c:v>6.1292637128712954E-21</c:v>
                </c:pt>
                <c:pt idx="6" formatCode="General">
                  <c:v>2.7615404199835493E-15</c:v>
                </c:pt>
                <c:pt idx="7" formatCode="General">
                  <c:v>7.2886434427434494E-15</c:v>
                </c:pt>
                <c:pt idx="8" formatCode="General">
                  <c:v>1.1815746465503349E-14</c:v>
                </c:pt>
                <c:pt idx="9" formatCode="General">
                  <c:v>1.634284948826325E-14</c:v>
                </c:pt>
                <c:pt idx="10" formatCode="General">
                  <c:v>2.0869952511023147E-14</c:v>
                </c:pt>
                <c:pt idx="11" formatCode="General">
                  <c:v>2.5397055533783048E-14</c:v>
                </c:pt>
                <c:pt idx="12" formatCode="General">
                  <c:v>2.9924158556542949E-14</c:v>
                </c:pt>
                <c:pt idx="13" formatCode="General">
                  <c:v>3.4451261579302847E-14</c:v>
                </c:pt>
                <c:pt idx="14" formatCode="General">
                  <c:v>2.1074985643564404E-13</c:v>
                </c:pt>
                <c:pt idx="15" formatCode="General">
                  <c:v>5.3937411386138682E-13</c:v>
                </c:pt>
                <c:pt idx="16" formatCode="General">
                  <c:v>3.1225465346534707E-12</c:v>
                </c:pt>
                <c:pt idx="17" formatCode="General">
                  <c:v>7.8718534653465298E-12</c:v>
                </c:pt>
                <c:pt idx="18" formatCode="General">
                  <c:v>3.9000686567164093E-11</c:v>
                </c:pt>
                <c:pt idx="19" formatCode="General">
                  <c:v>9.7585761194029867E-11</c:v>
                </c:pt>
                <c:pt idx="20" formatCode="General">
                  <c:v>4.3350346534653556E-10</c:v>
                </c:pt>
                <c:pt idx="21" formatCode="General">
                  <c:v>1.0698648514851496E-9</c:v>
                </c:pt>
                <c:pt idx="22" formatCode="General">
                  <c:v>4.2585544554455522E-9</c:v>
                </c:pt>
                <c:pt idx="23" formatCode="General">
                  <c:v>1.0443455445544547E-8</c:v>
                </c:pt>
                <c:pt idx="24" formatCode="General">
                  <c:v>3.7275574257425699E-8</c:v>
                </c:pt>
                <c:pt idx="25" formatCode="General">
                  <c:v>9.0385970297029834E-8</c:v>
                </c:pt>
                <c:pt idx="26" formatCode="General">
                  <c:v>2.9039801980198161E-7</c:v>
                </c:pt>
                <c:pt idx="27" formatCode="General">
                  <c:v>6.93274257425743E-7</c:v>
                </c:pt>
                <c:pt idx="28" formatCode="General">
                  <c:v>2.0214158415841559E-6</c:v>
                </c:pt>
                <c:pt idx="29" formatCode="General">
                  <c:v>4.7374554455445456E-6</c:v>
                </c:pt>
                <c:pt idx="30" formatCode="General">
                  <c:v>1.2653324752475194E-5</c:v>
                </c:pt>
                <c:pt idx="31" formatCode="General">
                  <c:v>2.9053126732673266E-5</c:v>
                </c:pt>
                <c:pt idx="32" formatCode="General">
                  <c:v>7.1633732673267458E-5</c:v>
                </c:pt>
                <c:pt idx="33" formatCode="General">
                  <c:v>1.6075799009900984E-4</c:v>
                </c:pt>
                <c:pt idx="34" formatCode="General">
                  <c:v>3.6623782178217773E-4</c:v>
                </c:pt>
                <c:pt idx="35" formatCode="General">
                  <c:v>7.975843564356444E-4</c:v>
                </c:pt>
                <c:pt idx="36" formatCode="General">
                  <c:v>1.6459891089108977E-3</c:v>
                </c:pt>
                <c:pt idx="37" formatCode="General">
                  <c:v>3.3806425742574286E-3</c:v>
                </c:pt>
                <c:pt idx="38" formatCode="General">
                  <c:v>5.7295877323420069E-3</c:v>
                </c:pt>
                <c:pt idx="39" formatCode="General">
                  <c:v>9.5118801734820312E-3</c:v>
                </c:pt>
                <c:pt idx="40" formatCode="General">
                  <c:v>1.3294172614622055E-2</c:v>
                </c:pt>
                <c:pt idx="41" formatCode="General">
                  <c:v>1.7076465055762078E-2</c:v>
                </c:pt>
                <c:pt idx="42" formatCode="General">
                  <c:v>2.0858757496902101E-2</c:v>
                </c:pt>
                <c:pt idx="43" formatCode="General">
                  <c:v>2.4641049938042121E-2</c:v>
                </c:pt>
                <c:pt idx="44" formatCode="General">
                  <c:v>2.8423342379182148E-2</c:v>
                </c:pt>
                <c:pt idx="45" formatCode="General">
                  <c:v>3.2205634820322168E-2</c:v>
                </c:pt>
                <c:pt idx="46" formatCode="General">
                  <c:v>3.5000836633663372E-2</c:v>
                </c:pt>
                <c:pt idx="47" formatCode="General">
                  <c:v>3.4491430693069307E-2</c:v>
                </c:pt>
                <c:pt idx="48" formatCode="General">
                  <c:v>3.3861846534653461E-2</c:v>
                </c:pt>
                <c:pt idx="49" formatCode="General">
                  <c:v>3.2780163366336636E-2</c:v>
                </c:pt>
                <c:pt idx="50" formatCode="General">
                  <c:v>3.1633108910891092E-2</c:v>
                </c:pt>
                <c:pt idx="51" formatCode="General">
                  <c:v>3.0207366336633661E-2</c:v>
                </c:pt>
                <c:pt idx="52" formatCode="General">
                  <c:v>2.8743920792079204E-2</c:v>
                </c:pt>
                <c:pt idx="53" formatCode="General">
                  <c:v>2.7096396039603957E-2</c:v>
                </c:pt>
                <c:pt idx="54" formatCode="General">
                  <c:v>2.5393920792079208E-2</c:v>
                </c:pt>
                <c:pt idx="55" formatCode="General">
                  <c:v>2.3380059405940599E-2</c:v>
                </c:pt>
                <c:pt idx="56" formatCode="General">
                  <c:v>2.0774228217821811E-2</c:v>
                </c:pt>
                <c:pt idx="57" formatCode="General">
                  <c:v>1.4206752970297035E-2</c:v>
                </c:pt>
                <c:pt idx="58" formatCode="General">
                  <c:v>8.0820865671641737E-3</c:v>
                </c:pt>
                <c:pt idx="59" formatCode="General">
                  <c:v>5.5401462686567142E-3</c:v>
                </c:pt>
                <c:pt idx="60" formatCode="General">
                  <c:v>3.1554297029702969E-3</c:v>
                </c:pt>
                <c:pt idx="61" formatCode="General">
                  <c:v>2.1857267326732695E-3</c:v>
                </c:pt>
                <c:pt idx="62" formatCode="General">
                  <c:v>1.2812008712871294E-3</c:v>
                </c:pt>
                <c:pt idx="63" formatCode="General">
                  <c:v>1.1262117623762383E-3</c:v>
                </c:pt>
                <c:pt idx="64" formatCode="General">
                  <c:v>9.7122265346534704E-4</c:v>
                </c:pt>
                <c:pt idx="65" formatCode="General">
                  <c:v>8.1623354455445587E-4</c:v>
                </c:pt>
                <c:pt idx="66" formatCode="General">
                  <c:v>6.6124443564356469E-4</c:v>
                </c:pt>
                <c:pt idx="67" formatCode="General">
                  <c:v>5.0625532673267352E-4</c:v>
                </c:pt>
                <c:pt idx="68" formatCode="General">
                  <c:v>3.5126621782178235E-4</c:v>
                </c:pt>
                <c:pt idx="69" formatCode="General">
                  <c:v>1.9627710891089107E-4</c:v>
                </c:pt>
                <c:pt idx="70" formatCode="General">
                  <c:v>4.1288000000000002E-5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4A04-46F0-833E-2788F418E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A04-46F0-833E-2788F418E0A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4A04-46F0-833E-2788F418E0A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04-46F0-833E-2788F418E0A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A04-46F0-833E-2788F418E0A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A04-46F0-833E-2788F418E0A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A04-46F0-833E-2788F418E0A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A04-46F0-833E-2788F418E0A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04-46F0-833E-2788F418E0A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A04-46F0-833E-2788F418E0A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A04-46F0-833E-2788F418E0A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04-46F0-833E-2788F418E0A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04-46F0-833E-2788F418E0A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A04-46F0-833E-2788F418E0A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A04-46F0-833E-2788F418E0A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A04-46F0-833E-2788F418E0A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A04-46F0-833E-2788F418E0A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4A04-46F0-833E-2788F418E0A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4A04-46F0-833E-2788F418E0A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4A04-46F0-833E-2788F418E0A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4A04-46F0-833E-2788F418E0A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4A04-46F0-833E-2788F418E0A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4A04-46F0-833E-2788F418E0A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4A04-46F0-833E-2788F418E0A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4A04-46F0-833E-2788F418E0A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4A04-46F0-833E-2788F418E0A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A04-46F0-833E-2788F418E0A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4A04-46F0-833E-2788F418E0A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4A04-46F0-833E-2788F418E0A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4A04-46F0-833E-2788F418E0A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A04-46F0-833E-2788F418E0A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4A04-46F0-833E-2788F418E0A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A04-46F0-833E-2788F418E0A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4A04-46F0-833E-2788F418E0A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A04-46F0-833E-2788F418E0A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4A04-46F0-833E-2788F418E0A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A04-46F0-833E-2788F418E0A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4A04-46F0-833E-2788F418E0A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A04-46F0-833E-2788F418E0A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4A04-46F0-833E-2788F418E0A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A04-46F0-833E-2788F418E0A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4-4A04-46F0-833E-2788F418E0A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A04-46F0-833E-2788F418E0A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4A04-46F0-833E-2788F418E0A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4A04-46F0-833E-2788F418E0A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A04-46F0-833E-2788F418E0A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4A04-46F0-833E-2788F418E0A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4A04-46F0-833E-2788F418E0A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4A04-46F0-833E-2788F418E0A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4A04-46F0-833E-2788F418E0A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4A04-46F0-833E-2788F418E0A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4A04-46F0-833E-2788F418E0A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4A04-46F0-833E-2788F418E0A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4A04-46F0-833E-2788F418E0A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4A04-46F0-833E-2788F418E0A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4A04-46F0-833E-2788F418E0A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4A04-46F0-833E-2788F418E0A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4A04-46F0-833E-2788F418E0A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4A04-46F0-833E-2788F418E0A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4A04-46F0-833E-2788F418E0A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4A04-46F0-833E-2788F418E0A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9986372433"/>
          <c:y val="1.36494158291845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tx>
            <c:strRef>
              <c:f>EVALUATION!$A$103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Pt>
            <c:idx val="1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41A2-4E8C-B290-4D717775A019}"/>
              </c:ext>
            </c:extLst>
          </c:dPt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EVALUATION!$B$103:$BT$103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1.0145247524752361E-32</c:v>
                </c:pt>
                <c:pt idx="31" formatCode="General">
                  <c:v>3.684326732673258E-32</c:v>
                </c:pt>
                <c:pt idx="32" formatCode="General">
                  <c:v>6.3541287128712789E-32</c:v>
                </c:pt>
                <c:pt idx="33" formatCode="General">
                  <c:v>9.0239306930693009E-32</c:v>
                </c:pt>
                <c:pt idx="34" formatCode="General">
                  <c:v>1.1693732673267322E-31</c:v>
                </c:pt>
                <c:pt idx="35" formatCode="General">
                  <c:v>1.4363534653465345E-31</c:v>
                </c:pt>
                <c:pt idx="36" formatCode="General">
                  <c:v>1.7033336633663366E-31</c:v>
                </c:pt>
                <c:pt idx="37" formatCode="General">
                  <c:v>1.9703138613861387E-31</c:v>
                </c:pt>
                <c:pt idx="38" formatCode="General">
                  <c:v>2.2491486626865643E-28</c:v>
                </c:pt>
                <c:pt idx="39" formatCode="General">
                  <c:v>9.7391202049751126E-28</c:v>
                </c:pt>
                <c:pt idx="40" formatCode="General">
                  <c:v>9.855259832178176E-24</c:v>
                </c:pt>
                <c:pt idx="41" formatCode="General">
                  <c:v>4.3833722356930771E-23</c:v>
                </c:pt>
                <c:pt idx="42" formatCode="General">
                  <c:v>7.0100544554455473E-23</c:v>
                </c:pt>
                <c:pt idx="43" formatCode="General">
                  <c:v>7.5517376237623773E-23</c:v>
                </c:pt>
                <c:pt idx="44" formatCode="General">
                  <c:v>7.6577429983168138E-18</c:v>
                </c:pt>
                <c:pt idx="45" formatCode="General">
                  <c:v>3.8288396671584069E-17</c:v>
                </c:pt>
                <c:pt idx="46" formatCode="General">
                  <c:v>1.1362240594059319E-16</c:v>
                </c:pt>
                <c:pt idx="47" formatCode="General">
                  <c:v>3.3861547524752463E-16</c:v>
                </c:pt>
                <c:pt idx="48" formatCode="General">
                  <c:v>3.2752769040178494E-10</c:v>
                </c:pt>
                <c:pt idx="49" formatCode="General">
                  <c:v>1.8871809001245535E-9</c:v>
                </c:pt>
                <c:pt idx="50" formatCode="General">
                  <c:v>4.024842326732642E-8</c:v>
                </c:pt>
                <c:pt idx="51" formatCode="General">
                  <c:v>2.3550065099009939E-7</c:v>
                </c:pt>
                <c:pt idx="52" formatCode="General">
                  <c:v>3.8854999999999981E-7</c:v>
                </c:pt>
                <c:pt idx="53" formatCode="General">
                  <c:v>3.355499999999999E-7</c:v>
                </c:pt>
                <c:pt idx="54" formatCode="General">
                  <c:v>2.8632379182156137E-7</c:v>
                </c:pt>
                <c:pt idx="55" formatCode="General">
                  <c:v>2.5848240396530363E-7</c:v>
                </c:pt>
                <c:pt idx="56" formatCode="General">
                  <c:v>2.306410161090459E-7</c:v>
                </c:pt>
                <c:pt idx="57" formatCode="General">
                  <c:v>2.0279962825278816E-7</c:v>
                </c:pt>
                <c:pt idx="58" formatCode="General">
                  <c:v>1.7495824039653042E-7</c:v>
                </c:pt>
                <c:pt idx="59" formatCode="General">
                  <c:v>1.4711685254027271E-7</c:v>
                </c:pt>
                <c:pt idx="60" formatCode="General">
                  <c:v>1.1927546468401497E-7</c:v>
                </c:pt>
                <c:pt idx="61" formatCode="General">
                  <c:v>9.1434076827757238E-8</c:v>
                </c:pt>
                <c:pt idx="62" formatCode="General">
                  <c:v>6.5278683168316868E-8</c:v>
                </c:pt>
                <c:pt idx="63" formatCode="General">
                  <c:v>5.851222277227726E-8</c:v>
                </c:pt>
                <c:pt idx="64" formatCode="General">
                  <c:v>5.1745762376237651E-8</c:v>
                </c:pt>
                <c:pt idx="65" formatCode="General">
                  <c:v>4.4979301980198043E-8</c:v>
                </c:pt>
                <c:pt idx="66" formatCode="General">
                  <c:v>3.8212841584158434E-8</c:v>
                </c:pt>
                <c:pt idx="67" formatCode="General">
                  <c:v>3.1446381188118826E-8</c:v>
                </c:pt>
                <c:pt idx="68" formatCode="General">
                  <c:v>2.4679920792079217E-8</c:v>
                </c:pt>
                <c:pt idx="69" formatCode="General">
                  <c:v>1.7913460396039609E-8</c:v>
                </c:pt>
                <c:pt idx="70" formatCode="General">
                  <c:v>1.1147E-8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A2-4E8C-B290-4D717775A019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EVALUATION!$B$145:$BT$145</c:f>
              <c:numCache>
                <c:formatCode>0</c:formatCode>
                <c:ptCount val="71"/>
                <c:pt idx="0">
                  <c:v>1.9815108910891081E-6</c:v>
                </c:pt>
                <c:pt idx="1">
                  <c:v>3.208243564356435E-6</c:v>
                </c:pt>
                <c:pt idx="2" formatCode="General">
                  <c:v>7.278050495049506E-6</c:v>
                </c:pt>
                <c:pt idx="3" formatCode="General">
                  <c:v>1.287874356435644E-5</c:v>
                </c:pt>
                <c:pt idx="4" formatCode="General">
                  <c:v>3.1694341584158459E-5</c:v>
                </c:pt>
                <c:pt idx="5" formatCode="General">
                  <c:v>5.8271074257425795E-5</c:v>
                </c:pt>
                <c:pt idx="6" formatCode="General">
                  <c:v>9.2832560891089406E-4</c:v>
                </c:pt>
                <c:pt idx="7" formatCode="General">
                  <c:v>2.337652836633666E-3</c:v>
                </c:pt>
                <c:pt idx="8" formatCode="General">
                  <c:v>3.7469800643564377E-3</c:v>
                </c:pt>
                <c:pt idx="9" formatCode="General">
                  <c:v>5.1563072920792104E-3</c:v>
                </c:pt>
                <c:pt idx="10" formatCode="General">
                  <c:v>6.5656345198019826E-3</c:v>
                </c:pt>
                <c:pt idx="11" formatCode="General">
                  <c:v>7.9749617475247548E-3</c:v>
                </c:pt>
                <c:pt idx="12" formatCode="General">
                  <c:v>9.3842889752475261E-3</c:v>
                </c:pt>
                <c:pt idx="13" formatCode="General">
                  <c:v>1.0793616202970297E-2</c:v>
                </c:pt>
                <c:pt idx="14" formatCode="General">
                  <c:v>1.5391118811881198E-2</c:v>
                </c:pt>
                <c:pt idx="15" formatCode="General">
                  <c:v>2.2815871287128725E-2</c:v>
                </c:pt>
                <c:pt idx="16" formatCode="General">
                  <c:v>3.2180896039603973E-2</c:v>
                </c:pt>
                <c:pt idx="17" formatCode="General">
                  <c:v>4.3410103960396032E-2</c:v>
                </c:pt>
                <c:pt idx="18" formatCode="General">
                  <c:v>5.5299542288557192E-2</c:v>
                </c:pt>
                <c:pt idx="19" formatCode="General">
                  <c:v>6.7876159203980102E-2</c:v>
                </c:pt>
                <c:pt idx="20" formatCode="General">
                  <c:v>7.9274930693069318E-2</c:v>
                </c:pt>
                <c:pt idx="21" formatCode="General">
                  <c:v>8.9397702970297047E-2</c:v>
                </c:pt>
                <c:pt idx="22" formatCode="General">
                  <c:v>9.772556435643566E-2</c:v>
                </c:pt>
                <c:pt idx="23" formatCode="General">
                  <c:v>0.10394635643564355</c:v>
                </c:pt>
                <c:pt idx="24" formatCode="General">
                  <c:v>0.10884801980198019</c:v>
                </c:pt>
                <c:pt idx="25" formatCode="General">
                  <c:v>0.11207079207920793</c:v>
                </c:pt>
                <c:pt idx="26" formatCode="General">
                  <c:v>0.11459079207920793</c:v>
                </c:pt>
                <c:pt idx="27" formatCode="General">
                  <c:v>0.11614029702970297</c:v>
                </c:pt>
                <c:pt idx="28" formatCode="General">
                  <c:v>0.11736504950495048</c:v>
                </c:pt>
                <c:pt idx="29" formatCode="General">
                  <c:v>0.11810267326732672</c:v>
                </c:pt>
                <c:pt idx="30" formatCode="General">
                  <c:v>0.11869356435643565</c:v>
                </c:pt>
                <c:pt idx="31" formatCode="General">
                  <c:v>0.1190450495049505</c:v>
                </c:pt>
                <c:pt idx="32" formatCode="General">
                  <c:v>0.11933237623762376</c:v>
                </c:pt>
                <c:pt idx="33" formatCode="General">
                  <c:v>0.11950564356435645</c:v>
                </c:pt>
                <c:pt idx="34" formatCode="General">
                  <c:v>0.11965029702970298</c:v>
                </c:pt>
                <c:pt idx="35" formatCode="General">
                  <c:v>0.11973940594059407</c:v>
                </c:pt>
                <c:pt idx="36" formatCode="General">
                  <c:v>0.11981425742574257</c:v>
                </c:pt>
                <c:pt idx="37" formatCode="General">
                  <c:v>0.11985881188118812</c:v>
                </c:pt>
                <c:pt idx="38" formatCode="General">
                  <c:v>0.11989371747211895</c:v>
                </c:pt>
                <c:pt idx="39" formatCode="General">
                  <c:v>0.11990610904584882</c:v>
                </c:pt>
                <c:pt idx="40" formatCode="General">
                  <c:v>0.11991850061957868</c:v>
                </c:pt>
                <c:pt idx="41" formatCode="General">
                  <c:v>0.11993089219330855</c:v>
                </c:pt>
                <c:pt idx="42" formatCode="General">
                  <c:v>0.11994328376703842</c:v>
                </c:pt>
                <c:pt idx="43" formatCode="General">
                  <c:v>0.11995567534076827</c:v>
                </c:pt>
                <c:pt idx="44" formatCode="General">
                  <c:v>0.11996806691449814</c:v>
                </c:pt>
                <c:pt idx="45" formatCode="General">
                  <c:v>0.119980458488228</c:v>
                </c:pt>
                <c:pt idx="46" formatCode="General">
                  <c:v>0.11999</c:v>
                </c:pt>
                <c:pt idx="47" formatCode="General">
                  <c:v>0.11999</c:v>
                </c:pt>
                <c:pt idx="48" formatCode="General">
                  <c:v>0.11999</c:v>
                </c:pt>
                <c:pt idx="49" formatCode="General">
                  <c:v>0.11999</c:v>
                </c:pt>
                <c:pt idx="50" formatCode="General">
                  <c:v>0.1199909405940594</c:v>
                </c:pt>
                <c:pt idx="51" formatCode="General">
                  <c:v>0.11999589108910891</c:v>
                </c:pt>
                <c:pt idx="52" formatCode="General">
                  <c:v>0.12</c:v>
                </c:pt>
                <c:pt idx="53" formatCode="General">
                  <c:v>0.12</c:v>
                </c:pt>
                <c:pt idx="54" formatCode="General">
                  <c:v>0.11999777227722772</c:v>
                </c:pt>
                <c:pt idx="55" formatCode="General">
                  <c:v>0.1199829207920792</c:v>
                </c:pt>
                <c:pt idx="56" formatCode="General">
                  <c:v>0.11992430693069306</c:v>
                </c:pt>
                <c:pt idx="57" formatCode="General">
                  <c:v>0.11957282178217822</c:v>
                </c:pt>
                <c:pt idx="58" formatCode="General">
                  <c:v>0.119233184079602</c:v>
                </c:pt>
                <c:pt idx="59" formatCode="General">
                  <c:v>0.11898940298507463</c:v>
                </c:pt>
                <c:pt idx="60" formatCode="General">
                  <c:v>0.11875019801980198</c:v>
                </c:pt>
                <c:pt idx="61" formatCode="General">
                  <c:v>0.11855217821782178</c:v>
                </c:pt>
                <c:pt idx="62" formatCode="General">
                  <c:v>0.11835584158415842</c:v>
                </c:pt>
                <c:pt idx="63" formatCode="General">
                  <c:v>0.11817886138613862</c:v>
                </c:pt>
                <c:pt idx="64" formatCode="General">
                  <c:v>0.11800188118811882</c:v>
                </c:pt>
                <c:pt idx="65" formatCode="General">
                  <c:v>0.11782490099009901</c:v>
                </c:pt>
                <c:pt idx="66" formatCode="General">
                  <c:v>0.11764792079207921</c:v>
                </c:pt>
                <c:pt idx="67" formatCode="General">
                  <c:v>0.11747094059405941</c:v>
                </c:pt>
                <c:pt idx="68" formatCode="General">
                  <c:v>0.11729396039603961</c:v>
                </c:pt>
                <c:pt idx="69" formatCode="General">
                  <c:v>0.1171169801980198</c:v>
                </c:pt>
                <c:pt idx="70" formatCode="General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1A2-4E8C-B290-4D717775A019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  <c:pt idx="0">
                  <c:v>(1)Ge[c]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EVALUATION!$B$151:$BT$151</c:f>
              <c:numCache>
                <c:formatCode>0</c:formatCode>
                <c:ptCount val="71"/>
                <c:pt idx="0">
                  <c:v>1.9815108910891081E-6</c:v>
                </c:pt>
                <c:pt idx="1">
                  <c:v>3.208243564356435E-6</c:v>
                </c:pt>
                <c:pt idx="2" formatCode="General">
                  <c:v>7.278050495049506E-6</c:v>
                </c:pt>
                <c:pt idx="3" formatCode="General">
                  <c:v>1.287874356435644E-5</c:v>
                </c:pt>
                <c:pt idx="4" formatCode="General">
                  <c:v>3.1694341584158459E-5</c:v>
                </c:pt>
                <c:pt idx="5" formatCode="General">
                  <c:v>5.8271074257425795E-5</c:v>
                </c:pt>
                <c:pt idx="6" formatCode="General">
                  <c:v>9.2832560891089406E-4</c:v>
                </c:pt>
                <c:pt idx="7" formatCode="General">
                  <c:v>2.337652836633666E-3</c:v>
                </c:pt>
                <c:pt idx="8" formatCode="General">
                  <c:v>3.7469800643564377E-3</c:v>
                </c:pt>
                <c:pt idx="9" formatCode="General">
                  <c:v>5.1563072920792104E-3</c:v>
                </c:pt>
                <c:pt idx="10" formatCode="General">
                  <c:v>6.5656345198019826E-3</c:v>
                </c:pt>
                <c:pt idx="11" formatCode="General">
                  <c:v>7.9749617475247548E-3</c:v>
                </c:pt>
                <c:pt idx="12" formatCode="General">
                  <c:v>9.3842889752475261E-3</c:v>
                </c:pt>
                <c:pt idx="13" formatCode="General">
                  <c:v>1.0793616202970297E-2</c:v>
                </c:pt>
                <c:pt idx="14" formatCode="General">
                  <c:v>1.5391118811881198E-2</c:v>
                </c:pt>
                <c:pt idx="15" formatCode="General">
                  <c:v>2.2815871287128725E-2</c:v>
                </c:pt>
                <c:pt idx="16" formatCode="General">
                  <c:v>3.2180896039603973E-2</c:v>
                </c:pt>
                <c:pt idx="17" formatCode="General">
                  <c:v>4.3410103960396032E-2</c:v>
                </c:pt>
                <c:pt idx="18" formatCode="General">
                  <c:v>5.5299542288557192E-2</c:v>
                </c:pt>
                <c:pt idx="19" formatCode="General">
                  <c:v>6.7876159203980102E-2</c:v>
                </c:pt>
                <c:pt idx="20" formatCode="General">
                  <c:v>7.9274930693069318E-2</c:v>
                </c:pt>
                <c:pt idx="21" formatCode="General">
                  <c:v>8.9397702970297047E-2</c:v>
                </c:pt>
                <c:pt idx="22" formatCode="General">
                  <c:v>9.772556435643566E-2</c:v>
                </c:pt>
                <c:pt idx="23" formatCode="General">
                  <c:v>0.10394635643564355</c:v>
                </c:pt>
                <c:pt idx="24" formatCode="General">
                  <c:v>0.10884801980198019</c:v>
                </c:pt>
                <c:pt idx="25" formatCode="General">
                  <c:v>0.11207079207920793</c:v>
                </c:pt>
                <c:pt idx="26" formatCode="General">
                  <c:v>0.11459079207920793</c:v>
                </c:pt>
                <c:pt idx="27" formatCode="General">
                  <c:v>0.11614029702970297</c:v>
                </c:pt>
                <c:pt idx="28" formatCode="General">
                  <c:v>0.11736504950495048</c:v>
                </c:pt>
                <c:pt idx="29" formatCode="General">
                  <c:v>0.11810267326732672</c:v>
                </c:pt>
                <c:pt idx="30" formatCode="General">
                  <c:v>0.11869356435643565</c:v>
                </c:pt>
                <c:pt idx="31" formatCode="General">
                  <c:v>0.1190450495049505</c:v>
                </c:pt>
                <c:pt idx="32" formatCode="General">
                  <c:v>0.11933237623762376</c:v>
                </c:pt>
                <c:pt idx="33" formatCode="General">
                  <c:v>0.11950564356435645</c:v>
                </c:pt>
                <c:pt idx="34" formatCode="General">
                  <c:v>0.11965029702970298</c:v>
                </c:pt>
                <c:pt idx="35" formatCode="General">
                  <c:v>0.11973940594059407</c:v>
                </c:pt>
                <c:pt idx="36" formatCode="General">
                  <c:v>0.11981425742574257</c:v>
                </c:pt>
                <c:pt idx="37" formatCode="General">
                  <c:v>0.11985881188118812</c:v>
                </c:pt>
                <c:pt idx="38" formatCode="General">
                  <c:v>0.11989371747211895</c:v>
                </c:pt>
                <c:pt idx="39" formatCode="General">
                  <c:v>0.11990610904584882</c:v>
                </c:pt>
                <c:pt idx="40" formatCode="General">
                  <c:v>0.11991850061957868</c:v>
                </c:pt>
                <c:pt idx="41" formatCode="General">
                  <c:v>0.11993089219330855</c:v>
                </c:pt>
                <c:pt idx="42" formatCode="General">
                  <c:v>0.11994328376703842</c:v>
                </c:pt>
                <c:pt idx="43" formatCode="General">
                  <c:v>0.11995567534076827</c:v>
                </c:pt>
                <c:pt idx="44" formatCode="General">
                  <c:v>0.11996806691449814</c:v>
                </c:pt>
                <c:pt idx="45" formatCode="General">
                  <c:v>0.119980458488228</c:v>
                </c:pt>
                <c:pt idx="46" formatCode="General">
                  <c:v>0.11999</c:v>
                </c:pt>
                <c:pt idx="47" formatCode="General">
                  <c:v>0.11999</c:v>
                </c:pt>
                <c:pt idx="48" formatCode="General">
                  <c:v>0.11999</c:v>
                </c:pt>
                <c:pt idx="49" formatCode="General">
                  <c:v>0.11999</c:v>
                </c:pt>
                <c:pt idx="50" formatCode="General">
                  <c:v>0.1199909405940594</c:v>
                </c:pt>
                <c:pt idx="51" formatCode="General">
                  <c:v>0.11999589108910891</c:v>
                </c:pt>
                <c:pt idx="52" formatCode="General">
                  <c:v>0.12</c:v>
                </c:pt>
                <c:pt idx="53" formatCode="General">
                  <c:v>0.12</c:v>
                </c:pt>
                <c:pt idx="54" formatCode="General">
                  <c:v>0.11999777227722772</c:v>
                </c:pt>
                <c:pt idx="55" formatCode="General">
                  <c:v>0.1199829207920792</c:v>
                </c:pt>
                <c:pt idx="56" formatCode="General">
                  <c:v>0.11992430693069306</c:v>
                </c:pt>
                <c:pt idx="57" formatCode="General">
                  <c:v>0.11957282178217822</c:v>
                </c:pt>
                <c:pt idx="58" formatCode="General">
                  <c:v>0.119233184079602</c:v>
                </c:pt>
                <c:pt idx="59" formatCode="General">
                  <c:v>0.11898940298507463</c:v>
                </c:pt>
                <c:pt idx="60" formatCode="General">
                  <c:v>0.11875019801980198</c:v>
                </c:pt>
                <c:pt idx="61" formatCode="General">
                  <c:v>0.11855217821782178</c:v>
                </c:pt>
                <c:pt idx="62" formatCode="General">
                  <c:v>0.11835584158415842</c:v>
                </c:pt>
                <c:pt idx="63" formatCode="General">
                  <c:v>0.11817886138613862</c:v>
                </c:pt>
                <c:pt idx="64" formatCode="General">
                  <c:v>0.11800188118811882</c:v>
                </c:pt>
                <c:pt idx="65" formatCode="General">
                  <c:v>0.11782490099009901</c:v>
                </c:pt>
                <c:pt idx="66" formatCode="General">
                  <c:v>0.11764792079207921</c:v>
                </c:pt>
                <c:pt idx="67" formatCode="General">
                  <c:v>0.11747094059405941</c:v>
                </c:pt>
                <c:pt idx="68" formatCode="General">
                  <c:v>0.11729396039603961</c:v>
                </c:pt>
                <c:pt idx="69" formatCode="General">
                  <c:v>0.1171169801980198</c:v>
                </c:pt>
                <c:pt idx="70" formatCode="General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1A2-4E8C-B290-4D717775A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1A2-4E8C-B290-4D717775A01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2-4E8C-B290-4D717775A019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1A2-4E8C-B290-4D717775A01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1A2-4E8C-B290-4D717775A019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A2-4E8C-B290-4D717775A019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A2-4E8C-B290-4D717775A019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A2-4E8C-B290-4D717775A019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A2-4E8C-B290-4D717775A019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A2-4E8C-B290-4D717775A019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A2-4E8C-B290-4D717775A019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A2-4E8C-B290-4D717775A01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A2-4E8C-B290-4D717775A01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A2-4E8C-B290-4D717775A01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A2-4E8C-B290-4D717775A01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A2-4E8C-B290-4D717775A01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A2-4E8C-B290-4D717775A01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A2-4E8C-B290-4D717775A01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A2-4E8C-B290-4D717775A01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A2-4E8C-B290-4D717775A01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A2-4E8C-B290-4D717775A01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A2-4E8C-B290-4D717775A01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A2-4E8C-B290-4D717775A01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A2-4E8C-B290-4D717775A01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A2-4E8C-B290-4D717775A01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A2-4E8C-B290-4D717775A01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A2-4E8C-B290-4D717775A01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A2-4E8C-B290-4D717775A01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A2-4E8C-B290-4D717775A01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A2-4E8C-B290-4D717775A01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A2-4E8C-B290-4D717775A01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A2-4E8C-B290-4D717775A01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A2-4E8C-B290-4D717775A01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A2-4E8C-B290-4D717775A01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A2-4E8C-B290-4D717775A01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A2-4E8C-B290-4D717775A01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A2-4E8C-B290-4D717775A01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A2-4E8C-B290-4D717775A01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A2-4E8C-B290-4D717775A01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A2-4E8C-B290-4D717775A019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A2-4E8C-B290-4D717775A01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A2-4E8C-B290-4D717775A01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A2-4E8C-B290-4D717775A01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A2-4E8C-B290-4D717775A01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A2-4E8C-B290-4D717775A01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A2-4E8C-B290-4D717775A01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A2-4E8C-B290-4D717775A01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A2-4E8C-B290-4D717775A01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A2-4E8C-B290-4D717775A01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A2-4E8C-B290-4D717775A01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A2-4E8C-B290-4D717775A01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A2-4E8C-B290-4D717775A019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A2-4E8C-B290-4D717775A01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A2-4E8C-B290-4D717775A01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A2-4E8C-B290-4D717775A01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A2-4E8C-B290-4D717775A01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A2-4E8C-B290-4D717775A01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A2-4E8C-B290-4D717775A01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A2-4E8C-B290-4D717775A01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tx>
            <c:strRef>
              <c:f>EVALUATION!$A$106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EVALUATION!$B$106:$BT$106</c:f>
              <c:numCache>
                <c:formatCode>0</c:formatCode>
                <c:ptCount val="71"/>
                <c:pt idx="0">
                  <c:v>2.4883925625024724E-11</c:v>
                </c:pt>
                <c:pt idx="1">
                  <c:v>6.2023980717599001E-11</c:v>
                </c:pt>
                <c:pt idx="2" formatCode="General">
                  <c:v>8.0944710445544599E-9</c:v>
                </c:pt>
                <c:pt idx="3" formatCode="General">
                  <c:v>2.0432083420792089E-8</c:v>
                </c:pt>
                <c:pt idx="4" formatCode="General">
                  <c:v>3.742575977516345E-2</c:v>
                </c:pt>
                <c:pt idx="5" formatCode="General">
                  <c:v>9.6831687994470408E-2</c:v>
                </c:pt>
                <c:pt idx="6" formatCode="General">
                  <c:v>0.12</c:v>
                </c:pt>
                <c:pt idx="7" formatCode="General">
                  <c:v>0.12</c:v>
                </c:pt>
                <c:pt idx="8" formatCode="General">
                  <c:v>0.12</c:v>
                </c:pt>
                <c:pt idx="9" formatCode="General">
                  <c:v>0.12</c:v>
                </c:pt>
                <c:pt idx="10" formatCode="General">
                  <c:v>0.12</c:v>
                </c:pt>
                <c:pt idx="11" formatCode="General">
                  <c:v>0.12</c:v>
                </c:pt>
                <c:pt idx="12" formatCode="General">
                  <c:v>0.12</c:v>
                </c:pt>
                <c:pt idx="13" formatCode="General">
                  <c:v>0.12</c:v>
                </c:pt>
                <c:pt idx="14" formatCode="General">
                  <c:v>0.12</c:v>
                </c:pt>
                <c:pt idx="15" formatCode="General">
                  <c:v>0.12</c:v>
                </c:pt>
                <c:pt idx="16" formatCode="General">
                  <c:v>0.12</c:v>
                </c:pt>
                <c:pt idx="17" formatCode="General">
                  <c:v>0.12</c:v>
                </c:pt>
                <c:pt idx="18" formatCode="General">
                  <c:v>0.12</c:v>
                </c:pt>
                <c:pt idx="19" formatCode="General">
                  <c:v>0.12</c:v>
                </c:pt>
                <c:pt idx="20" formatCode="General">
                  <c:v>0.1519318811881189</c:v>
                </c:pt>
                <c:pt idx="21" formatCode="General">
                  <c:v>0.21845663366336648</c:v>
                </c:pt>
                <c:pt idx="22" formatCode="General">
                  <c:v>0.27843207920792085</c:v>
                </c:pt>
                <c:pt idx="23" formatCode="General">
                  <c:v>0.33071920792079201</c:v>
                </c:pt>
                <c:pt idx="24" formatCode="General">
                  <c:v>0.36</c:v>
                </c:pt>
                <c:pt idx="25" formatCode="General">
                  <c:v>0.36</c:v>
                </c:pt>
                <c:pt idx="26" formatCode="General">
                  <c:v>0.36</c:v>
                </c:pt>
                <c:pt idx="27" formatCode="General">
                  <c:v>0.36</c:v>
                </c:pt>
                <c:pt idx="28" formatCode="General">
                  <c:v>0.36</c:v>
                </c:pt>
                <c:pt idx="29" formatCode="General">
                  <c:v>0.36</c:v>
                </c:pt>
                <c:pt idx="30" formatCode="General">
                  <c:v>0.36</c:v>
                </c:pt>
                <c:pt idx="31" formatCode="General">
                  <c:v>0.36</c:v>
                </c:pt>
                <c:pt idx="32" formatCode="General">
                  <c:v>0.36</c:v>
                </c:pt>
                <c:pt idx="33" formatCode="General">
                  <c:v>0.36</c:v>
                </c:pt>
                <c:pt idx="34" formatCode="General">
                  <c:v>0.36</c:v>
                </c:pt>
                <c:pt idx="35" formatCode="General">
                  <c:v>0.36</c:v>
                </c:pt>
                <c:pt idx="36" formatCode="General">
                  <c:v>0.36</c:v>
                </c:pt>
                <c:pt idx="37" formatCode="General">
                  <c:v>0.36</c:v>
                </c:pt>
                <c:pt idx="38" formatCode="General">
                  <c:v>0.36</c:v>
                </c:pt>
                <c:pt idx="39" formatCode="General">
                  <c:v>0.36</c:v>
                </c:pt>
                <c:pt idx="40" formatCode="General">
                  <c:v>0.36</c:v>
                </c:pt>
                <c:pt idx="41" formatCode="General">
                  <c:v>0.36</c:v>
                </c:pt>
                <c:pt idx="42" formatCode="General">
                  <c:v>0.36</c:v>
                </c:pt>
                <c:pt idx="43" formatCode="General">
                  <c:v>0.36</c:v>
                </c:pt>
                <c:pt idx="44" formatCode="General">
                  <c:v>0.36599876237623757</c:v>
                </c:pt>
                <c:pt idx="45" formatCode="General">
                  <c:v>0.38999381188118803</c:v>
                </c:pt>
                <c:pt idx="46" formatCode="General">
                  <c:v>0.41105465346534648</c:v>
                </c:pt>
                <c:pt idx="47" formatCode="General">
                  <c:v>0.42229227722772278</c:v>
                </c:pt>
                <c:pt idx="48" formatCode="General">
                  <c:v>0.43588668316831686</c:v>
                </c:pt>
                <c:pt idx="49" formatCode="General">
                  <c:v>0.45834707920792078</c:v>
                </c:pt>
                <c:pt idx="50" formatCode="General">
                  <c:v>0.47683158415841587</c:v>
                </c:pt>
                <c:pt idx="51" formatCode="General">
                  <c:v>0.4783662376237624</c:v>
                </c:pt>
                <c:pt idx="52" formatCode="General">
                  <c:v>0.47966693069306932</c:v>
                </c:pt>
                <c:pt idx="53" formatCode="General">
                  <c:v>0.47982534653465347</c:v>
                </c:pt>
                <c:pt idx="54" formatCode="General">
                  <c:v>0.4799607434944238</c:v>
                </c:pt>
                <c:pt idx="55" formatCode="General">
                  <c:v>0.47996570012391571</c:v>
                </c:pt>
                <c:pt idx="56" formatCode="General">
                  <c:v>0.47997065675340767</c:v>
                </c:pt>
                <c:pt idx="57" formatCode="General">
                  <c:v>0.47997561338289962</c:v>
                </c:pt>
                <c:pt idx="58" formatCode="General">
                  <c:v>0.47998057001239158</c:v>
                </c:pt>
                <c:pt idx="59" formatCode="General">
                  <c:v>0.47998552664188349</c:v>
                </c:pt>
                <c:pt idx="60" formatCode="General">
                  <c:v>0.47999048327137545</c:v>
                </c:pt>
                <c:pt idx="61" formatCode="General">
                  <c:v>0.4799954399008674</c:v>
                </c:pt>
                <c:pt idx="62" formatCode="General">
                  <c:v>0.48</c:v>
                </c:pt>
                <c:pt idx="63" formatCode="General">
                  <c:v>0.48</c:v>
                </c:pt>
                <c:pt idx="64" formatCode="General">
                  <c:v>0.48</c:v>
                </c:pt>
                <c:pt idx="65" formatCode="General">
                  <c:v>0.48</c:v>
                </c:pt>
                <c:pt idx="66" formatCode="General">
                  <c:v>0.48</c:v>
                </c:pt>
                <c:pt idx="67" formatCode="General">
                  <c:v>0.48</c:v>
                </c:pt>
                <c:pt idx="68" formatCode="General">
                  <c:v>0.48</c:v>
                </c:pt>
                <c:pt idx="69" formatCode="General">
                  <c:v>0.48</c:v>
                </c:pt>
                <c:pt idx="70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95-4676-9F1A-1D55DEC238F8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EVALUATION!$B$146:$BT$146</c:f>
              <c:numCache>
                <c:formatCode>0</c:formatCode>
                <c:ptCount val="71"/>
                <c:pt idx="0">
                  <c:v>6.8443289603960319E-25</c:v>
                </c:pt>
                <c:pt idx="1">
                  <c:v>1.6619640841584154E-24</c:v>
                </c:pt>
                <c:pt idx="2" formatCode="General">
                  <c:v>4.6550305445544578E-23</c:v>
                </c:pt>
                <c:pt idx="3" formatCode="General">
                  <c:v>1.1508292920792086E-22</c:v>
                </c:pt>
                <c:pt idx="4" formatCode="General">
                  <c:v>3.0336869306930757E-21</c:v>
                </c:pt>
                <c:pt idx="5" formatCode="General">
                  <c:v>7.6261423762376324E-21</c:v>
                </c:pt>
                <c:pt idx="6" formatCode="General">
                  <c:v>1.0004691022876274E-15</c:v>
                </c:pt>
                <c:pt idx="7" formatCode="General">
                  <c:v>2.640566946693568E-15</c:v>
                </c:pt>
                <c:pt idx="8" formatCode="General">
                  <c:v>4.2806647910995084E-15</c:v>
                </c:pt>
                <c:pt idx="9" formatCode="General">
                  <c:v>5.9207626355054483E-15</c:v>
                </c:pt>
                <c:pt idx="10" formatCode="General">
                  <c:v>7.5608604799113883E-15</c:v>
                </c:pt>
                <c:pt idx="11" formatCode="General">
                  <c:v>9.2009583243173291E-15</c:v>
                </c:pt>
                <c:pt idx="12" formatCode="General">
                  <c:v>1.084105616872327E-14</c:v>
                </c:pt>
                <c:pt idx="13" formatCode="General">
                  <c:v>1.2481154013129211E-14</c:v>
                </c:pt>
                <c:pt idx="14" formatCode="General">
                  <c:v>6.5705732673267454E-14</c:v>
                </c:pt>
                <c:pt idx="15" formatCode="General">
                  <c:v>1.6467503960396057E-13</c:v>
                </c:pt>
                <c:pt idx="16" formatCode="General">
                  <c:v>8.5330331683168446E-13</c:v>
                </c:pt>
                <c:pt idx="17" formatCode="General">
                  <c:v>2.1084666831683151E-12</c:v>
                </c:pt>
                <c:pt idx="18" formatCode="General">
                  <c:v>9.4685233830845568E-12</c:v>
                </c:pt>
                <c:pt idx="19" formatCode="General">
                  <c:v>2.3182652736318409E-11</c:v>
                </c:pt>
                <c:pt idx="20" formatCode="General">
                  <c:v>9.2872257425742742E-11</c:v>
                </c:pt>
                <c:pt idx="21" formatCode="General">
                  <c:v>2.2320196039603984E-10</c:v>
                </c:pt>
                <c:pt idx="22" formatCode="General">
                  <c:v>7.9657861386138742E-10</c:v>
                </c:pt>
                <c:pt idx="23" formatCode="General">
                  <c:v>1.8900538613861375E-9</c:v>
                </c:pt>
                <c:pt idx="24" formatCode="General">
                  <c:v>6.0495405940593993E-9</c:v>
                </c:pt>
                <c:pt idx="25" formatCode="General">
                  <c:v>1.4111223762376259E-8</c:v>
                </c:pt>
                <c:pt idx="26" formatCode="General">
                  <c:v>4.0841782178218014E-8</c:v>
                </c:pt>
                <c:pt idx="27" formatCode="General">
                  <c:v>9.335316831683175E-8</c:v>
                </c:pt>
                <c:pt idx="28" formatCode="General">
                  <c:v>2.4669168316831658E-7</c:v>
                </c:pt>
                <c:pt idx="29" formatCode="General">
                  <c:v>5.5127089108910796E-7</c:v>
                </c:pt>
                <c:pt idx="30" formatCode="General">
                  <c:v>1.3425398019801928E-6</c:v>
                </c:pt>
                <c:pt idx="31" formatCode="General">
                  <c:v>2.927881386138614E-6</c:v>
                </c:pt>
                <c:pt idx="32" formatCode="General">
                  <c:v>6.6235198019802089E-6</c:v>
                </c:pt>
                <c:pt idx="33" formatCode="General">
                  <c:v>1.4070797029702966E-5</c:v>
                </c:pt>
                <c:pt idx="34" formatCode="General">
                  <c:v>2.9696168316831649E-5</c:v>
                </c:pt>
                <c:pt idx="35" formatCode="General">
                  <c:v>6.1196663366336703E-5</c:v>
                </c:pt>
                <c:pt idx="36" formatCode="General">
                  <c:v>1.1982618811881232E-4</c:v>
                </c:pt>
                <c:pt idx="37" formatCode="General">
                  <c:v>2.3610490099009921E-4</c:v>
                </c:pt>
                <c:pt idx="38" formatCode="General">
                  <c:v>5.784107806691449E-4</c:v>
                </c:pt>
                <c:pt idx="39" formatCode="General">
                  <c:v>1.4481133828996276E-3</c:v>
                </c:pt>
                <c:pt idx="40" formatCode="General">
                  <c:v>2.3178159851301103E-3</c:v>
                </c:pt>
                <c:pt idx="41" formatCode="General">
                  <c:v>3.1875185873605932E-3</c:v>
                </c:pt>
                <c:pt idx="42" formatCode="General">
                  <c:v>4.0572211895910752E-3</c:v>
                </c:pt>
                <c:pt idx="43" formatCode="General">
                  <c:v>4.9269237918215586E-3</c:v>
                </c:pt>
                <c:pt idx="44" formatCode="General">
                  <c:v>5.796626394052041E-3</c:v>
                </c:pt>
                <c:pt idx="45" formatCode="General">
                  <c:v>6.6663289962825235E-3</c:v>
                </c:pt>
                <c:pt idx="46" formatCode="General">
                  <c:v>7.7674207920792005E-3</c:v>
                </c:pt>
                <c:pt idx="47" formatCode="General">
                  <c:v>9.6431633663366326E-3</c:v>
                </c:pt>
                <c:pt idx="48" formatCode="General">
                  <c:v>1.1630663366336638E-2</c:v>
                </c:pt>
                <c:pt idx="49" formatCode="General">
                  <c:v>1.4038584158415839E-2</c:v>
                </c:pt>
                <c:pt idx="50" formatCode="General">
                  <c:v>1.6544326732673264E-2</c:v>
                </c:pt>
                <c:pt idx="51" formatCode="General">
                  <c:v>1.9467099009900995E-2</c:v>
                </c:pt>
                <c:pt idx="52" formatCode="General">
                  <c:v>2.2456693069306942E-2</c:v>
                </c:pt>
                <c:pt idx="53" formatCode="General">
                  <c:v>2.5772534653465351E-2</c:v>
                </c:pt>
                <c:pt idx="54" formatCode="General">
                  <c:v>2.9079168316831681E-2</c:v>
                </c:pt>
                <c:pt idx="55" formatCode="General">
                  <c:v>3.233362376237623E-2</c:v>
                </c:pt>
                <c:pt idx="56" formatCode="General">
                  <c:v>3.4672158415841599E-2</c:v>
                </c:pt>
                <c:pt idx="57" formatCode="General">
                  <c:v>3.0881069306930697E-2</c:v>
                </c:pt>
                <c:pt idx="58" formatCode="General">
                  <c:v>2.7157572139303476E-2</c:v>
                </c:pt>
                <c:pt idx="59" formatCode="General">
                  <c:v>2.3980955223880593E-2</c:v>
                </c:pt>
                <c:pt idx="60" formatCode="General">
                  <c:v>2.0866702970297028E-2</c:v>
                </c:pt>
                <c:pt idx="61" formatCode="General">
                  <c:v>1.8313732673267333E-2</c:v>
                </c:pt>
                <c:pt idx="62" formatCode="General">
                  <c:v>1.5850295049504956E-2</c:v>
                </c:pt>
                <c:pt idx="63" formatCode="General">
                  <c:v>1.4416483168316837E-2</c:v>
                </c:pt>
                <c:pt idx="64" formatCode="General">
                  <c:v>1.2982671287128718E-2</c:v>
                </c:pt>
                <c:pt idx="65" formatCode="General">
                  <c:v>1.1548859405940599E-2</c:v>
                </c:pt>
                <c:pt idx="66" formatCode="General">
                  <c:v>1.011504752475248E-2</c:v>
                </c:pt>
                <c:pt idx="67" formatCode="General">
                  <c:v>8.6812356435643587E-3</c:v>
                </c:pt>
                <c:pt idx="68" formatCode="General">
                  <c:v>7.2474237623762396E-3</c:v>
                </c:pt>
                <c:pt idx="69" formatCode="General">
                  <c:v>5.8136118811881188E-3</c:v>
                </c:pt>
                <c:pt idx="70" formatCode="General">
                  <c:v>4.3797999999999997E-3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B395-4676-9F1A-1D55DEC2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B395-4676-9F1A-1D55DEC238F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95-4676-9F1A-1D55DEC238F8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B395-4676-9F1A-1D55DEC238F8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395-4676-9F1A-1D55DEC238F8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395-4676-9F1A-1D55DEC238F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395-4676-9F1A-1D55DEC238F8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395-4676-9F1A-1D55DEC238F8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395-4676-9F1A-1D55DEC238F8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395-4676-9F1A-1D55DEC238F8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395-4676-9F1A-1D55DEC238F8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395-4676-9F1A-1D55DEC238F8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395-4676-9F1A-1D55DEC238F8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395-4676-9F1A-1D55DEC238F8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395-4676-9F1A-1D55DEC238F8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395-4676-9F1A-1D55DEC238F8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395-4676-9F1A-1D55DEC238F8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395-4676-9F1A-1D55DEC238F8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395-4676-9F1A-1D55DEC238F8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395-4676-9F1A-1D55DEC238F8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395-4676-9F1A-1D55DEC238F8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395-4676-9F1A-1D55DEC238F8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395-4676-9F1A-1D55DEC238F8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395-4676-9F1A-1D55DEC238F8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395-4676-9F1A-1D55DEC238F8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395-4676-9F1A-1D55DEC238F8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395-4676-9F1A-1D55DEC238F8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395-4676-9F1A-1D55DEC238F8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395-4676-9F1A-1D55DEC238F8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395-4676-9F1A-1D55DEC238F8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395-4676-9F1A-1D55DEC238F8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395-4676-9F1A-1D55DEC238F8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395-4676-9F1A-1D55DEC238F8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395-4676-9F1A-1D55DEC238F8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395-4676-9F1A-1D55DEC238F8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395-4676-9F1A-1D55DEC238F8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395-4676-9F1A-1D55DEC238F8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395-4676-9F1A-1D55DEC238F8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395-4676-9F1A-1D55DEC238F8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395-4676-9F1A-1D55DEC238F8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395-4676-9F1A-1D55DEC238F8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395-4676-9F1A-1D55DEC238F8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395-4676-9F1A-1D55DEC238F8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395-4676-9F1A-1D55DEC238F8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395-4676-9F1A-1D55DEC238F8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395-4676-9F1A-1D55DEC238F8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395-4676-9F1A-1D55DEC238F8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395-4676-9F1A-1D55DEC238F8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395-4676-9F1A-1D55DEC238F8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395-4676-9F1A-1D55DEC238F8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395-4676-9F1A-1D55DEC238F8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395-4676-9F1A-1D55DEC238F8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395-4676-9F1A-1D55DEC238F8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395-4676-9F1A-1D55DEC238F8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395-4676-9F1A-1D55DEC238F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395-4676-9F1A-1D55DEC238F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395-4676-9F1A-1D55DEC238F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395-4676-9F1A-1D55DEC238F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395-4676-9F1A-1D55DEC238F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395-4676-9F1A-1D55DEC238F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395-4676-9F1A-1D55DEC238F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EVALUATION!$A$102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EVALUATION!$B$102:$BT$102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 formatCode="General">
                  <c:v>0.12</c:v>
                </c:pt>
                <c:pt idx="3" formatCode="General">
                  <c:v>0.12</c:v>
                </c:pt>
                <c:pt idx="4" formatCode="General">
                  <c:v>0.15742574257425751</c:v>
                </c:pt>
                <c:pt idx="5" formatCode="General">
                  <c:v>0.21683168316831697</c:v>
                </c:pt>
                <c:pt idx="6" formatCode="General">
                  <c:v>0.24</c:v>
                </c:pt>
                <c:pt idx="7" formatCode="General">
                  <c:v>0.24</c:v>
                </c:pt>
                <c:pt idx="8" formatCode="General">
                  <c:v>0.24</c:v>
                </c:pt>
                <c:pt idx="9" formatCode="General">
                  <c:v>0.24</c:v>
                </c:pt>
                <c:pt idx="10" formatCode="General">
                  <c:v>0.24</c:v>
                </c:pt>
                <c:pt idx="11" formatCode="General">
                  <c:v>0.24</c:v>
                </c:pt>
                <c:pt idx="12" formatCode="General">
                  <c:v>0.24</c:v>
                </c:pt>
                <c:pt idx="13" formatCode="General">
                  <c:v>0.24</c:v>
                </c:pt>
                <c:pt idx="14" formatCode="General">
                  <c:v>0.24</c:v>
                </c:pt>
                <c:pt idx="15" formatCode="General">
                  <c:v>0.24</c:v>
                </c:pt>
                <c:pt idx="16" formatCode="General">
                  <c:v>0.24</c:v>
                </c:pt>
                <c:pt idx="17" formatCode="General">
                  <c:v>0.24</c:v>
                </c:pt>
                <c:pt idx="18" formatCode="General">
                  <c:v>0.24</c:v>
                </c:pt>
                <c:pt idx="19" formatCode="General">
                  <c:v>0.24</c:v>
                </c:pt>
                <c:pt idx="20" formatCode="General">
                  <c:v>0.20806811881188109</c:v>
                </c:pt>
                <c:pt idx="21" formatCode="General">
                  <c:v>0.1415433663366335</c:v>
                </c:pt>
                <c:pt idx="22" formatCode="General">
                  <c:v>8.1567922134436574E-2</c:v>
                </c:pt>
                <c:pt idx="23" formatCode="General">
                  <c:v>2.9280796339733725E-2</c:v>
                </c:pt>
                <c:pt idx="24" formatCode="General">
                  <c:v>4.6751463366336662E-9</c:v>
                </c:pt>
                <c:pt idx="25" formatCode="General">
                  <c:v>1.9034334653465278E-9</c:v>
                </c:pt>
                <c:pt idx="26" formatCode="General">
                  <c:v>2.3553415445544499E-10</c:v>
                </c:pt>
                <c:pt idx="27" formatCode="General">
                  <c:v>9.194880792079186E-11</c:v>
                </c:pt>
                <c:pt idx="28" formatCode="General">
                  <c:v>5.3556198019801989E-12</c:v>
                </c:pt>
                <c:pt idx="29" formatCode="General">
                  <c:v>4.2506693069306968E-12</c:v>
                </c:pt>
                <c:pt idx="30" formatCode="General">
                  <c:v>3.3979108911205172E-12</c:v>
                </c:pt>
                <c:pt idx="31" formatCode="General">
                  <c:v>2.9566237624902945E-12</c:v>
                </c:pt>
                <c:pt idx="32" formatCode="General">
                  <c:v>2.5153366338600714E-12</c:v>
                </c:pt>
                <c:pt idx="33" formatCode="General">
                  <c:v>2.0740495052298484E-12</c:v>
                </c:pt>
                <c:pt idx="34" formatCode="General">
                  <c:v>1.6327623765996253E-12</c:v>
                </c:pt>
                <c:pt idx="35" formatCode="General">
                  <c:v>1.1914752479694022E-12</c:v>
                </c:pt>
                <c:pt idx="36" formatCode="General">
                  <c:v>7.5018811933917916E-13</c:v>
                </c:pt>
                <c:pt idx="37" formatCode="General">
                  <c:v>3.089009907089561E-13</c:v>
                </c:pt>
                <c:pt idx="38" formatCode="General">
                  <c:v>5.6812925234328373E-22</c:v>
                </c:pt>
                <c:pt idx="39" formatCode="General">
                  <c:v>2.3589342682089605E-22</c:v>
                </c:pt>
                <c:pt idx="40" formatCode="General">
                  <c:v>5.1306528887227764E-27</c:v>
                </c:pt>
                <c:pt idx="41" formatCode="General">
                  <c:v>2.1649731946633601E-27</c:v>
                </c:pt>
                <c:pt idx="42" formatCode="General">
                  <c:v>2.340668316831678E-32</c:v>
                </c:pt>
                <c:pt idx="43" formatCode="General">
                  <c:v>1.0031435643564335E-32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D28-491D-BECC-52CBAB10CB6C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EVALUATION!$B$141:$BT$141</c:f>
              <c:numCache>
                <c:formatCode>0</c:formatCode>
                <c:ptCount val="71"/>
                <c:pt idx="0">
                  <c:v>0.10408381683168318</c:v>
                </c:pt>
                <c:pt idx="1">
                  <c:v>9.423876732673267E-2</c:v>
                </c:pt>
                <c:pt idx="2" formatCode="General">
                  <c:v>8.0340227722772273E-2</c:v>
                </c:pt>
                <c:pt idx="3" formatCode="General">
                  <c:v>6.4259039603960386E-2</c:v>
                </c:pt>
                <c:pt idx="4" formatCode="General">
                  <c:v>4.9037396039603935E-2</c:v>
                </c:pt>
                <c:pt idx="5" formatCode="General">
                  <c:v>3.4320564356435615E-2</c:v>
                </c:pt>
                <c:pt idx="6" formatCode="General">
                  <c:v>2.6486904727722763E-2</c:v>
                </c:pt>
                <c:pt idx="7" formatCode="General">
                  <c:v>2.3053961658415834E-2</c:v>
                </c:pt>
                <c:pt idx="8" formatCode="General">
                  <c:v>1.9621018589108905E-2</c:v>
                </c:pt>
                <c:pt idx="9" formatCode="General">
                  <c:v>1.6188075519801975E-2</c:v>
                </c:pt>
                <c:pt idx="10" formatCode="General">
                  <c:v>1.2755132450495043E-2</c:v>
                </c:pt>
                <c:pt idx="11" formatCode="General">
                  <c:v>9.3221893811881139E-3</c:v>
                </c:pt>
                <c:pt idx="12" formatCode="General">
                  <c:v>5.8892463118811848E-3</c:v>
                </c:pt>
                <c:pt idx="13" formatCode="General">
                  <c:v>2.4563032425742523E-3</c:v>
                </c:pt>
                <c:pt idx="14" formatCode="General">
                  <c:v>7.1785282178217784E-4</c:v>
                </c:pt>
                <c:pt idx="15" formatCode="General">
                  <c:v>4.8206569306930648E-4</c:v>
                </c:pt>
                <c:pt idx="16" formatCode="General">
                  <c:v>3.1155856435643553E-4</c:v>
                </c:pt>
                <c:pt idx="17" formatCode="General">
                  <c:v>2.0377143564356449E-4</c:v>
                </c:pt>
                <c:pt idx="18" formatCode="General">
                  <c:v>1.2524026368159212E-4</c:v>
                </c:pt>
                <c:pt idx="19" formatCode="General">
                  <c:v>7.7159169154228843E-5</c:v>
                </c:pt>
                <c:pt idx="20" formatCode="General">
                  <c:v>4.3477792079207898E-5</c:v>
                </c:pt>
                <c:pt idx="21" formatCode="General">
                  <c:v>2.5396108910891053E-5</c:v>
                </c:pt>
                <c:pt idx="22" formatCode="General">
                  <c:v>1.3041721782178211E-5</c:v>
                </c:pt>
                <c:pt idx="23" formatCode="General">
                  <c:v>7.4106821782178285E-6</c:v>
                </c:pt>
                <c:pt idx="24" formatCode="General">
                  <c:v>3.5765633663366347E-6</c:v>
                </c:pt>
                <c:pt idx="25" formatCode="General">
                  <c:v>2.0294346534653424E-6</c:v>
                </c:pt>
                <c:pt idx="26" formatCode="General">
                  <c:v>9.6066930693069165E-7</c:v>
                </c:pt>
                <c:pt idx="27" formatCode="General">
                  <c:v>5.5250099009900936E-7</c:v>
                </c:pt>
                <c:pt idx="28" formatCode="General">
                  <c:v>2.6394613861386145E-7</c:v>
                </c:pt>
                <c:pt idx="29" formatCode="General">
                  <c:v>1.5481148514851519E-7</c:v>
                </c:pt>
                <c:pt idx="30" formatCode="General">
                  <c:v>7.5629673267326829E-8</c:v>
                </c:pt>
                <c:pt idx="31" formatCode="General">
                  <c:v>4.5318287128712862E-8</c:v>
                </c:pt>
                <c:pt idx="32" formatCode="General">
                  <c:v>2.274335445544553E-8</c:v>
                </c:pt>
                <c:pt idx="33" formatCode="General">
                  <c:v>1.3922116831683176E-8</c:v>
                </c:pt>
                <c:pt idx="34" formatCode="General">
                  <c:v>7.1845069306930721E-9</c:v>
                </c:pt>
                <c:pt idx="35" formatCode="General">
                  <c:v>4.4915861386138558E-9</c:v>
                </c:pt>
                <c:pt idx="36" formatCode="General">
                  <c:v>2.3850875247524721E-9</c:v>
                </c:pt>
                <c:pt idx="37" formatCode="General">
                  <c:v>1.5247360396039589E-9</c:v>
                </c:pt>
                <c:pt idx="38" formatCode="General">
                  <c:v>8.8896520446096654E-10</c:v>
                </c:pt>
                <c:pt idx="39" formatCode="General">
                  <c:v>7.7721588599752181E-10</c:v>
                </c:pt>
                <c:pt idx="40" formatCode="General">
                  <c:v>6.6546656753407699E-10</c:v>
                </c:pt>
                <c:pt idx="41" formatCode="General">
                  <c:v>5.5371724907063216E-10</c:v>
                </c:pt>
                <c:pt idx="42" formatCode="General">
                  <c:v>4.4196793060718733E-10</c:v>
                </c:pt>
                <c:pt idx="43" formatCode="General">
                  <c:v>3.3021861214374261E-10</c:v>
                </c:pt>
                <c:pt idx="44" formatCode="General">
                  <c:v>2.1846929368029778E-10</c:v>
                </c:pt>
                <c:pt idx="45" formatCode="General">
                  <c:v>1.0671997521685296E-10</c:v>
                </c:pt>
                <c:pt idx="46" formatCode="General">
                  <c:v>1.9282490594059428E-11</c:v>
                </c:pt>
                <c:pt idx="47" formatCode="General">
                  <c:v>1.3236797524752477E-11</c:v>
                </c:pt>
                <c:pt idx="48" formatCode="General">
                  <c:v>7.9506806930693018E-12</c:v>
                </c:pt>
                <c:pt idx="49" formatCode="General">
                  <c:v>5.5220173267326748E-12</c:v>
                </c:pt>
                <c:pt idx="50" formatCode="General">
                  <c:v>3.3645836633663383E-12</c:v>
                </c:pt>
                <c:pt idx="51" formatCode="General">
                  <c:v>2.3634450495049485E-12</c:v>
                </c:pt>
                <c:pt idx="52" formatCode="General">
                  <c:v>1.4605033168316813E-12</c:v>
                </c:pt>
                <c:pt idx="53" formatCode="General">
                  <c:v>1.0369934158415835E-12</c:v>
                </c:pt>
                <c:pt idx="54" formatCode="General">
                  <c:v>6.4954960396039604E-13</c:v>
                </c:pt>
                <c:pt idx="55" formatCode="General">
                  <c:v>4.6648029702970339E-13</c:v>
                </c:pt>
                <c:pt idx="56" formatCode="General">
                  <c:v>2.9732292079207953E-13</c:v>
                </c:pt>
                <c:pt idx="57" formatCode="General">
                  <c:v>2.2126846534653472E-13</c:v>
                </c:pt>
                <c:pt idx="58" formatCode="General">
                  <c:v>1.4930411940298499E-13</c:v>
                </c:pt>
                <c:pt idx="59" formatCode="General">
                  <c:v>1.1043247761194025E-13</c:v>
                </c:pt>
                <c:pt idx="60" formatCode="General">
                  <c:v>7.3553445544554461E-14</c:v>
                </c:pt>
                <c:pt idx="61" formatCode="General">
                  <c:v>5.4607900990099063E-14</c:v>
                </c:pt>
                <c:pt idx="62" formatCode="General">
                  <c:v>3.6834371287128729E-14</c:v>
                </c:pt>
                <c:pt idx="63" formatCode="General">
                  <c:v>3.2539012376237642E-14</c:v>
                </c:pt>
                <c:pt idx="64" formatCode="General">
                  <c:v>2.8243653465346549E-14</c:v>
                </c:pt>
                <c:pt idx="65" formatCode="General">
                  <c:v>2.3948294554455456E-14</c:v>
                </c:pt>
                <c:pt idx="66" formatCode="General">
                  <c:v>1.9652935643564366E-14</c:v>
                </c:pt>
                <c:pt idx="67" formatCode="General">
                  <c:v>1.5357576732673276E-14</c:v>
                </c:pt>
                <c:pt idx="68" formatCode="General">
                  <c:v>1.1062217821782182E-14</c:v>
                </c:pt>
                <c:pt idx="69" formatCode="General">
                  <c:v>6.7668589108910956E-15</c:v>
                </c:pt>
                <c:pt idx="70" formatCode="General">
                  <c:v>2.4715000000000024E-15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D28-491D-BECC-52CBAB10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D28-491D-BECC-52CBAB10CB6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3D28-491D-BECC-52CBAB10CB6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28-491D-BECC-52CBAB10CB6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28-491D-BECC-52CBAB10CB6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28-491D-BECC-52CBAB10CB6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28-491D-BECC-52CBAB10CB6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28-491D-BECC-52CBAB10CB6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D28-491D-BECC-52CBAB10CB6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28-491D-BECC-52CBAB10CB6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28-491D-BECC-52CBAB10CB6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28-491D-BECC-52CBAB10CB6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28-491D-BECC-52CBAB10CB6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28-491D-BECC-52CBAB10CB6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28-491D-BECC-52CBAB10CB6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28-491D-BECC-52CBAB10CB6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28-491D-BECC-52CBAB10CB6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28-491D-BECC-52CBAB10CB6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28-491D-BECC-52CBAB10CB6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28-491D-BECC-52CBAB10CB6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28-491D-BECC-52CBAB10CB6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28-491D-BECC-52CBAB10CB6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28-491D-BECC-52CBAB10CB6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28-491D-BECC-52CBAB10CB6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28-491D-BECC-52CBAB10CB6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28-491D-BECC-52CBAB10CB6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28-491D-BECC-52CBAB10CB6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28-491D-BECC-52CBAB10CB6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28-491D-BECC-52CBAB10CB6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28-491D-BECC-52CBAB10CB6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28-491D-BECC-52CBAB10CB6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28-491D-BECC-52CBAB10CB6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28-491D-BECC-52CBAB10CB6C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28-491D-BECC-52CBAB10CB6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28-491D-BECC-52CBAB10CB6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28-491D-BECC-52CBAB10CB6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28-491D-BECC-52CBAB10CB6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28-491D-BECC-52CBAB10CB6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D28-491D-BECC-52CBAB10CB6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D28-491D-BECC-52CBAB10CB6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28-491D-BECC-52CBAB10CB6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28-491D-BECC-52CBAB10CB6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28-491D-BECC-52CBAB10CB6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28-491D-BECC-52CBAB10CB6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28-491D-BECC-52CBAB10CB6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28-491D-BECC-52CBAB10CB6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28-491D-BECC-52CBAB10CB6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28-491D-BECC-52CBAB10CB6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28-491D-BECC-52CBAB10CB6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28-491D-BECC-52CBAB10CB6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28-491D-BECC-52CBAB10CB6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28-491D-BECC-52CBAB10CB6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28-491D-BECC-52CBAB10CB6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28-491D-BECC-52CBAB10CB6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D28-491D-BECC-52CBAB10CB6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D28-491D-BECC-52CBAB10CB6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D28-491D-BECC-52CBAB10CB6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D28-491D-BECC-52CBAB10CB6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D28-491D-BECC-52CBAB10CB6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D28-491D-BECC-52CBAB10CB6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D28-491D-BECC-52CBAB10CB6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tx>
            <c:strRef>
              <c:f>EVALUATION!$A$107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EVALUATION!$B$107:$BT$107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 formatCode="General">
                  <c:v>0.12</c:v>
                </c:pt>
                <c:pt idx="3" formatCode="General">
                  <c:v>0.12</c:v>
                </c:pt>
                <c:pt idx="4" formatCode="General">
                  <c:v>8.25742595645301E-2</c:v>
                </c:pt>
                <c:pt idx="5" formatCode="General">
                  <c:v>2.3168322365371669E-2</c:v>
                </c:pt>
                <c:pt idx="6" formatCode="General">
                  <c:v>6.3399775992777476E-9</c:v>
                </c:pt>
                <c:pt idx="7" formatCode="General">
                  <c:v>5.4912523521920919E-9</c:v>
                </c:pt>
                <c:pt idx="8" formatCode="General">
                  <c:v>4.6425271051064361E-9</c:v>
                </c:pt>
                <c:pt idx="9" formatCode="General">
                  <c:v>3.7938018580207804E-9</c:v>
                </c:pt>
                <c:pt idx="10" formatCode="General">
                  <c:v>2.9450766109351247E-9</c:v>
                </c:pt>
                <c:pt idx="11" formatCode="General">
                  <c:v>2.096351363849469E-9</c:v>
                </c:pt>
                <c:pt idx="12" formatCode="General">
                  <c:v>1.2476261167638133E-9</c:v>
                </c:pt>
                <c:pt idx="13" formatCode="General">
                  <c:v>3.9890086967815755E-10</c:v>
                </c:pt>
                <c:pt idx="14" formatCode="General">
                  <c:v>2.6179045396039581E-18</c:v>
                </c:pt>
                <c:pt idx="15" formatCode="General">
                  <c:v>8.6319612376237308E-19</c:v>
                </c:pt>
                <c:pt idx="16" formatCode="General">
                  <c:v>2.5333613934328741E-21</c:v>
                </c:pt>
                <c:pt idx="17" formatCode="General">
                  <c:v>8.5563863545812557E-22</c:v>
                </c:pt>
                <c:pt idx="18" formatCode="General">
                  <c:v>2.1847920398009971E-29</c:v>
                </c:pt>
                <c:pt idx="19" formatCode="General">
                  <c:v>7.4742885572139276E-30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F7-49C8-9739-2EE48172F8F6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EVALUATION!$B$140:$BT$140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 formatCode="General">
                  <c:v>0.2</c:v>
                </c:pt>
                <c:pt idx="3" formatCode="General">
                  <c:v>0.2</c:v>
                </c:pt>
                <c:pt idx="4" formatCode="General">
                  <c:v>0.2</c:v>
                </c:pt>
                <c:pt idx="5" formatCode="General">
                  <c:v>0.2</c:v>
                </c:pt>
                <c:pt idx="6" formatCode="General">
                  <c:v>0.2</c:v>
                </c:pt>
                <c:pt idx="7" formatCode="General">
                  <c:v>0.2</c:v>
                </c:pt>
                <c:pt idx="8" formatCode="General">
                  <c:v>0.2</c:v>
                </c:pt>
                <c:pt idx="9" formatCode="General">
                  <c:v>0.2</c:v>
                </c:pt>
                <c:pt idx="10" formatCode="General">
                  <c:v>0.2</c:v>
                </c:pt>
                <c:pt idx="11" formatCode="General">
                  <c:v>0.2</c:v>
                </c:pt>
                <c:pt idx="12" formatCode="General">
                  <c:v>0.2</c:v>
                </c:pt>
                <c:pt idx="13" formatCode="General">
                  <c:v>0.2</c:v>
                </c:pt>
                <c:pt idx="14" formatCode="General">
                  <c:v>0.2</c:v>
                </c:pt>
                <c:pt idx="15" formatCode="General">
                  <c:v>0.2</c:v>
                </c:pt>
                <c:pt idx="16" formatCode="General">
                  <c:v>0.2</c:v>
                </c:pt>
                <c:pt idx="17" formatCode="General">
                  <c:v>0.2</c:v>
                </c:pt>
                <c:pt idx="18" formatCode="General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  <c:pt idx="30" formatCode="General">
                  <c:v>0.2</c:v>
                </c:pt>
                <c:pt idx="31" formatCode="General">
                  <c:v>0.2</c:v>
                </c:pt>
                <c:pt idx="32" formatCode="General">
                  <c:v>0.2</c:v>
                </c:pt>
                <c:pt idx="33" formatCode="General">
                  <c:v>0.2</c:v>
                </c:pt>
                <c:pt idx="34" formatCode="General">
                  <c:v>0.2</c:v>
                </c:pt>
                <c:pt idx="35" formatCode="General">
                  <c:v>0.2</c:v>
                </c:pt>
                <c:pt idx="36" formatCode="General">
                  <c:v>0.2</c:v>
                </c:pt>
                <c:pt idx="37" formatCode="General">
                  <c:v>0.2</c:v>
                </c:pt>
                <c:pt idx="38" formatCode="General">
                  <c:v>0.2</c:v>
                </c:pt>
                <c:pt idx="39" formatCode="General">
                  <c:v>0.2</c:v>
                </c:pt>
                <c:pt idx="40" formatCode="General">
                  <c:v>0.2</c:v>
                </c:pt>
                <c:pt idx="41" formatCode="General">
                  <c:v>0.2</c:v>
                </c:pt>
                <c:pt idx="42" formatCode="General">
                  <c:v>0.2</c:v>
                </c:pt>
                <c:pt idx="43" formatCode="General">
                  <c:v>0.2</c:v>
                </c:pt>
                <c:pt idx="44" formatCode="General">
                  <c:v>0.2</c:v>
                </c:pt>
                <c:pt idx="45" formatCode="General">
                  <c:v>0.2</c:v>
                </c:pt>
                <c:pt idx="46" formatCode="General">
                  <c:v>0.2</c:v>
                </c:pt>
                <c:pt idx="47" formatCode="General">
                  <c:v>0.2</c:v>
                </c:pt>
                <c:pt idx="48" formatCode="General">
                  <c:v>0.2</c:v>
                </c:pt>
                <c:pt idx="49" formatCode="General">
                  <c:v>0.2</c:v>
                </c:pt>
                <c:pt idx="50" formatCode="General">
                  <c:v>0.2</c:v>
                </c:pt>
                <c:pt idx="51" formatCode="General">
                  <c:v>0.2</c:v>
                </c:pt>
                <c:pt idx="52" formatCode="General">
                  <c:v>0.2</c:v>
                </c:pt>
                <c:pt idx="53" formatCode="General">
                  <c:v>0.2</c:v>
                </c:pt>
                <c:pt idx="54" formatCode="General">
                  <c:v>0.2</c:v>
                </c:pt>
                <c:pt idx="55" formatCode="General">
                  <c:v>0.2</c:v>
                </c:pt>
                <c:pt idx="56" formatCode="General">
                  <c:v>0.2</c:v>
                </c:pt>
                <c:pt idx="57" formatCode="General">
                  <c:v>0.2</c:v>
                </c:pt>
                <c:pt idx="58" formatCode="General">
                  <c:v>0.2</c:v>
                </c:pt>
                <c:pt idx="59" formatCode="General">
                  <c:v>0.2</c:v>
                </c:pt>
                <c:pt idx="60" formatCode="General">
                  <c:v>0.2</c:v>
                </c:pt>
                <c:pt idx="61" formatCode="General">
                  <c:v>0.2</c:v>
                </c:pt>
                <c:pt idx="62" formatCode="General">
                  <c:v>0.2</c:v>
                </c:pt>
                <c:pt idx="63" formatCode="General">
                  <c:v>0.2</c:v>
                </c:pt>
                <c:pt idx="64" formatCode="General">
                  <c:v>0.2</c:v>
                </c:pt>
                <c:pt idx="65" formatCode="General">
                  <c:v>0.2</c:v>
                </c:pt>
                <c:pt idx="66" formatCode="General">
                  <c:v>0.2</c:v>
                </c:pt>
                <c:pt idx="67" formatCode="General">
                  <c:v>0.2</c:v>
                </c:pt>
                <c:pt idx="68" formatCode="General">
                  <c:v>0.2</c:v>
                </c:pt>
                <c:pt idx="69" formatCode="General">
                  <c:v>0.2</c:v>
                </c:pt>
                <c:pt idx="70" formatCode="General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7BF7-49C8-9739-2EE48172F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BF7-49C8-9739-2EE48172F8F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BF7-49C8-9739-2EE48172F8F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7BF7-49C8-9739-2EE48172F8F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BF7-49C8-9739-2EE48172F8F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BF7-49C8-9739-2EE48172F8F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BF7-49C8-9739-2EE48172F8F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BF7-49C8-9739-2EE48172F8F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BF7-49C8-9739-2EE48172F8F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BF7-49C8-9739-2EE48172F8F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BF7-49C8-9739-2EE48172F8F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BF7-49C8-9739-2EE48172F8F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BF7-49C8-9739-2EE48172F8F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BF7-49C8-9739-2EE48172F8F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BF7-49C8-9739-2EE48172F8F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BF7-49C8-9739-2EE48172F8F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BF7-49C8-9739-2EE48172F8F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BF7-49C8-9739-2EE48172F8F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BF7-49C8-9739-2EE48172F8F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BF7-49C8-9739-2EE48172F8F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BF7-49C8-9739-2EE48172F8F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BF7-49C8-9739-2EE48172F8F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BF7-49C8-9739-2EE48172F8F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BF7-49C8-9739-2EE48172F8F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BF7-49C8-9739-2EE48172F8F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BF7-49C8-9739-2EE48172F8F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BF7-49C8-9739-2EE48172F8F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BF7-49C8-9739-2EE48172F8F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BF7-49C8-9739-2EE48172F8F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BF7-49C8-9739-2EE48172F8F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BF7-49C8-9739-2EE48172F8F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BF7-49C8-9739-2EE48172F8F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BF7-49C8-9739-2EE48172F8F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BF7-49C8-9739-2EE48172F8F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BF7-49C8-9739-2EE48172F8F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BF7-49C8-9739-2EE48172F8F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BF7-49C8-9739-2EE48172F8F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BF7-49C8-9739-2EE48172F8F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BF7-49C8-9739-2EE48172F8F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BF7-49C8-9739-2EE48172F8F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BF7-49C8-9739-2EE48172F8F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BF7-49C8-9739-2EE48172F8F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BF7-49C8-9739-2EE48172F8F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BF7-49C8-9739-2EE48172F8F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BF7-49C8-9739-2EE48172F8F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BF7-49C8-9739-2EE48172F8F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BF7-49C8-9739-2EE48172F8F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BF7-49C8-9739-2EE48172F8F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BF7-49C8-9739-2EE48172F8F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BF7-49C8-9739-2EE48172F8F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BF7-49C8-9739-2EE48172F8F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BF7-49C8-9739-2EE48172F8F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BF7-49C8-9739-2EE48172F8F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BF7-49C8-9739-2EE48172F8F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BF7-49C8-9739-2EE48172F8F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BF7-49C8-9739-2EE48172F8F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BF7-49C8-9739-2EE48172F8F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BF7-49C8-9739-2EE48172F8F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BF7-49C8-9739-2EE48172F8F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BF7-49C8-9739-2EE48172F8F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BF7-49C8-9739-2EE48172F8F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tx>
            <c:strRef>
              <c:f>EVALUATION!$A$104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1.1672772277227589E-23</c:v>
                </c:pt>
                <c:pt idx="31" formatCode="General">
                  <c:v>4.2390594059405827E-23</c:v>
                </c:pt>
                <c:pt idx="32" formatCode="General">
                  <c:v>7.3108415841584056E-23</c:v>
                </c:pt>
                <c:pt idx="33" formatCode="General">
                  <c:v>1.038262376237623E-22</c:v>
                </c:pt>
                <c:pt idx="34" formatCode="General">
                  <c:v>1.3454405940594054E-22</c:v>
                </c:pt>
                <c:pt idx="35" formatCode="General">
                  <c:v>1.6526188118811877E-22</c:v>
                </c:pt>
                <c:pt idx="36" formatCode="General">
                  <c:v>1.95979702970297E-22</c:v>
                </c:pt>
                <c:pt idx="37" formatCode="General">
                  <c:v>2.2669752475247522E-22</c:v>
                </c:pt>
                <c:pt idx="38" formatCode="General">
                  <c:v>6.1564399104477543E-19</c:v>
                </c:pt>
                <c:pt idx="39" formatCode="General">
                  <c:v>2.6669632945273601E-18</c:v>
                </c:pt>
                <c:pt idx="40" formatCode="General">
                  <c:v>6.5065462119801684E-14</c:v>
                </c:pt>
                <c:pt idx="41" formatCode="General">
                  <c:v>2.894149059811886E-13</c:v>
                </c:pt>
                <c:pt idx="42" formatCode="General">
                  <c:v>2.9899074665842017E-9</c:v>
                </c:pt>
                <c:pt idx="43" formatCode="General">
                  <c:v>1.40619603428218E-8</c:v>
                </c:pt>
                <c:pt idx="44" formatCode="General">
                  <c:v>2.9994007860494982E-3</c:v>
                </c:pt>
                <c:pt idx="45" formatCode="General">
                  <c:v>1.4996914466247492E-2</c:v>
                </c:pt>
                <c:pt idx="46" formatCode="General">
                  <c:v>2.5527326732673244E-2</c:v>
                </c:pt>
                <c:pt idx="47" formatCode="General">
                  <c:v>3.1146138613861382E-2</c:v>
                </c:pt>
                <c:pt idx="48" formatCode="General">
                  <c:v>3.188560042955442E-2</c:v>
                </c:pt>
                <c:pt idx="49" formatCode="General">
                  <c:v>1.4269411998861392E-2</c:v>
                </c:pt>
                <c:pt idx="50" formatCode="General">
                  <c:v>2.7121143564356486E-7</c:v>
                </c:pt>
                <c:pt idx="51" formatCode="General">
                  <c:v>1.2300846534653606E-7</c:v>
                </c:pt>
                <c:pt idx="52" formatCode="General">
                  <c:v>2.553732673267321E-21</c:v>
                </c:pt>
                <c:pt idx="53" formatCode="General">
                  <c:v>1.1733366336633639E-21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3CD-4D1D-9629-50E1E2551323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EVALUATION!$B$137:$BT$137</c:f>
              <c:numCache>
                <c:formatCode>0</c:formatCode>
                <c:ptCount val="71"/>
                <c:pt idx="0">
                  <c:v>1.7553910891089108E-2</c:v>
                </c:pt>
                <c:pt idx="1">
                  <c:v>1.7180643564356435E-2</c:v>
                </c:pt>
                <c:pt idx="2" formatCode="General">
                  <c:v>1.6694430693069306E-2</c:v>
                </c:pt>
                <c:pt idx="3" formatCode="General">
                  <c:v>1.6147400990099009E-2</c:v>
                </c:pt>
                <c:pt idx="4" formatCode="General">
                  <c:v>1.5665866336633662E-2</c:v>
                </c:pt>
                <c:pt idx="5" formatCode="General">
                  <c:v>1.5222797029702969E-2</c:v>
                </c:pt>
                <c:pt idx="6" formatCode="General">
                  <c:v>1.4951403465346534E-2</c:v>
                </c:pt>
                <c:pt idx="7" formatCode="General">
                  <c:v>1.4789769801980197E-2</c:v>
                </c:pt>
                <c:pt idx="8" formatCode="General">
                  <c:v>1.462813613861386E-2</c:v>
                </c:pt>
                <c:pt idx="9" formatCode="General">
                  <c:v>1.4466502475247525E-2</c:v>
                </c:pt>
                <c:pt idx="10" formatCode="General">
                  <c:v>1.4304868811881187E-2</c:v>
                </c:pt>
                <c:pt idx="11" formatCode="General">
                  <c:v>1.414323514851485E-2</c:v>
                </c:pt>
                <c:pt idx="12" formatCode="General">
                  <c:v>1.3981601485148513E-2</c:v>
                </c:pt>
                <c:pt idx="13" formatCode="General">
                  <c:v>1.3819967821782178E-2</c:v>
                </c:pt>
                <c:pt idx="14" formatCode="General">
                  <c:v>1.3564534653465346E-2</c:v>
                </c:pt>
                <c:pt idx="15" formatCode="General">
                  <c:v>1.3225920792079208E-2</c:v>
                </c:pt>
                <c:pt idx="16" formatCode="General">
                  <c:v>1.2831762376237624E-2</c:v>
                </c:pt>
                <c:pt idx="17" formatCode="General">
                  <c:v>1.2384237623762378E-2</c:v>
                </c:pt>
                <c:pt idx="18" formatCode="General">
                  <c:v>1.1944154228855723E-2</c:v>
                </c:pt>
                <c:pt idx="19" formatCode="General">
                  <c:v>1.1511815920398009E-2</c:v>
                </c:pt>
                <c:pt idx="20" formatCode="General">
                  <c:v>1.1140623762376237E-2</c:v>
                </c:pt>
                <c:pt idx="21" formatCode="General">
                  <c:v>1.0835673267326732E-2</c:v>
                </c:pt>
                <c:pt idx="22" formatCode="General">
                  <c:v>1.0591980198019801E-2</c:v>
                </c:pt>
                <c:pt idx="23" formatCode="General">
                  <c:v>1.042019801980198E-2</c:v>
                </c:pt>
                <c:pt idx="24" formatCode="General">
                  <c:v>1.0286970297029702E-2</c:v>
                </c:pt>
                <c:pt idx="25" formatCode="General">
                  <c:v>1.0202811881188118E-2</c:v>
                </c:pt>
                <c:pt idx="26" formatCode="General">
                  <c:v>1.0137158415841584E-2</c:v>
                </c:pt>
                <c:pt idx="27" formatCode="General">
                  <c:v>1.0097059405940594E-2</c:v>
                </c:pt>
                <c:pt idx="28" formatCode="General">
                  <c:v>1.0065277227722772E-2</c:v>
                </c:pt>
                <c:pt idx="29" formatCode="General">
                  <c:v>1.0045970297029702E-2</c:v>
                </c:pt>
                <c:pt idx="30" formatCode="General">
                  <c:v>1.0028732673267326E-2</c:v>
                </c:pt>
                <c:pt idx="31" formatCode="General">
                  <c:v>1.0014871287128713E-2</c:v>
                </c:pt>
                <c:pt idx="32" formatCode="General">
                  <c:v>9.9948435643564346E-3</c:v>
                </c:pt>
                <c:pt idx="33" formatCode="General">
                  <c:v>9.9638534653465338E-3</c:v>
                </c:pt>
                <c:pt idx="34" formatCode="General">
                  <c:v>9.8990316831683162E-3</c:v>
                </c:pt>
                <c:pt idx="35" formatCode="General">
                  <c:v>9.7685366336633661E-3</c:v>
                </c:pt>
                <c:pt idx="36" formatCode="General">
                  <c:v>9.5176613861386126E-3</c:v>
                </c:pt>
                <c:pt idx="37" formatCode="General">
                  <c:v>9.0109782178217825E-3</c:v>
                </c:pt>
                <c:pt idx="38" formatCode="General">
                  <c:v>8.3442773234200743E-3</c:v>
                </c:pt>
                <c:pt idx="39" formatCode="General">
                  <c:v>7.3042017348203233E-3</c:v>
                </c:pt>
                <c:pt idx="40" formatCode="General">
                  <c:v>6.2641261462205722E-3</c:v>
                </c:pt>
                <c:pt idx="41" formatCode="General">
                  <c:v>5.2240505576208202E-3</c:v>
                </c:pt>
                <c:pt idx="42" formatCode="General">
                  <c:v>4.1839749690210683E-3</c:v>
                </c:pt>
                <c:pt idx="43" formatCode="General">
                  <c:v>3.1438993804213163E-3</c:v>
                </c:pt>
                <c:pt idx="44" formatCode="General">
                  <c:v>2.1038237918215652E-3</c:v>
                </c:pt>
                <c:pt idx="45" formatCode="General">
                  <c:v>1.0637482032218133E-3</c:v>
                </c:pt>
                <c:pt idx="46" formatCode="General">
                  <c:v>2.414765445544558E-4</c:v>
                </c:pt>
                <c:pt idx="47" formatCode="General">
                  <c:v>1.4837456435643569E-4</c:v>
                </c:pt>
                <c:pt idx="48" formatCode="General">
                  <c:v>6.9288836633663313E-5</c:v>
                </c:pt>
                <c:pt idx="49" formatCode="General">
                  <c:v>4.2930915841584168E-5</c:v>
                </c:pt>
                <c:pt idx="50" formatCode="General">
                  <c:v>2.0146763366336644E-5</c:v>
                </c:pt>
                <c:pt idx="51" formatCode="General">
                  <c:v>1.2598149504950482E-5</c:v>
                </c:pt>
                <c:pt idx="52" formatCode="General">
                  <c:v>5.958673762376228E-6</c:v>
                </c:pt>
                <c:pt idx="53" formatCode="General">
                  <c:v>3.7579311881188075E-6</c:v>
                </c:pt>
                <c:pt idx="54" formatCode="General">
                  <c:v>1.7886846534653466E-6</c:v>
                </c:pt>
                <c:pt idx="55" formatCode="General">
                  <c:v>1.1312490099009918E-6</c:v>
                </c:pt>
                <c:pt idx="56" formatCode="General">
                  <c:v>5.2892017326732767E-7</c:v>
                </c:pt>
                <c:pt idx="57" formatCode="General">
                  <c:v>2.9538304455445561E-7</c:v>
                </c:pt>
                <c:pt idx="58" formatCode="General">
                  <c:v>8.349395024875613E-8</c:v>
                </c:pt>
                <c:pt idx="59" formatCode="General">
                  <c:v>4.6757134328358175E-8</c:v>
                </c:pt>
                <c:pt idx="60" formatCode="General">
                  <c:v>1.3126094059405942E-8</c:v>
                </c:pt>
                <c:pt idx="61" formatCode="General">
                  <c:v>7.4470346534653606E-9</c:v>
                </c:pt>
                <c:pt idx="62" formatCode="General">
                  <c:v>2.200321459405942E-9</c:v>
                </c:pt>
                <c:pt idx="63" formatCode="General">
                  <c:v>1.9255897019801993E-9</c:v>
                </c:pt>
                <c:pt idx="64" formatCode="General">
                  <c:v>1.6508579445544564E-9</c:v>
                </c:pt>
                <c:pt idx="65" formatCode="General">
                  <c:v>1.3761261871287135E-9</c:v>
                </c:pt>
                <c:pt idx="66" formatCode="General">
                  <c:v>1.1013944297029708E-9</c:v>
                </c:pt>
                <c:pt idx="67" formatCode="General">
                  <c:v>8.2666267227722804E-10</c:v>
                </c:pt>
                <c:pt idx="68" formatCode="General">
                  <c:v>5.5193091485148532E-10</c:v>
                </c:pt>
                <c:pt idx="69" formatCode="General">
                  <c:v>2.7719915742574261E-10</c:v>
                </c:pt>
                <c:pt idx="70" formatCode="General">
                  <c:v>2.4673999999998875E-12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3CD-4D1D-9629-50E1E2551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3CD-4D1D-9629-50E1E255132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3CD-4D1D-9629-50E1E255132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23CD-4D1D-9629-50E1E255132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3CD-4D1D-9629-50E1E255132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3CD-4D1D-9629-50E1E255132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3CD-4D1D-9629-50E1E255132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3CD-4D1D-9629-50E1E255132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3CD-4D1D-9629-50E1E255132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3CD-4D1D-9629-50E1E255132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3CD-4D1D-9629-50E1E255132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3CD-4D1D-9629-50E1E255132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3CD-4D1D-9629-50E1E255132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3CD-4D1D-9629-50E1E255132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3CD-4D1D-9629-50E1E255132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3CD-4D1D-9629-50E1E255132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3CD-4D1D-9629-50E1E255132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3CD-4D1D-9629-50E1E255132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3CD-4D1D-9629-50E1E255132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3CD-4D1D-9629-50E1E255132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3CD-4D1D-9629-50E1E255132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3CD-4D1D-9629-50E1E255132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3CD-4D1D-9629-50E1E255132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3CD-4D1D-9629-50E1E255132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3CD-4D1D-9629-50E1E255132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3CD-4D1D-9629-50E1E255132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3CD-4D1D-9629-50E1E255132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3CD-4D1D-9629-50E1E255132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3CD-4D1D-9629-50E1E255132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3CD-4D1D-9629-50E1E255132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3CD-4D1D-9629-50E1E255132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3CD-4D1D-9629-50E1E255132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3CD-4D1D-9629-50E1E255132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3CD-4D1D-9629-50E1E255132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3CD-4D1D-9629-50E1E255132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3CD-4D1D-9629-50E1E255132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3CD-4D1D-9629-50E1E255132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3CD-4D1D-9629-50E1E255132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3CD-4D1D-9629-50E1E255132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3CD-4D1D-9629-50E1E255132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3CD-4D1D-9629-50E1E255132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3CD-4D1D-9629-50E1E255132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3CD-4D1D-9629-50E1E255132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3CD-4D1D-9629-50E1E255132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3CD-4D1D-9629-50E1E255132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3CD-4D1D-9629-50E1E255132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3CD-4D1D-9629-50E1E255132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3CD-4D1D-9629-50E1E255132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3CD-4D1D-9629-50E1E255132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3CD-4D1D-9629-50E1E255132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3CD-4D1D-9629-50E1E255132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3CD-4D1D-9629-50E1E255132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3CD-4D1D-9629-50E1E255132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3CD-4D1D-9629-50E1E255132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3CD-4D1D-9629-50E1E255132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3CD-4D1D-9629-50E1E255132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3CD-4D1D-9629-50E1E255132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3CD-4D1D-9629-50E1E255132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3CD-4D1D-9629-50E1E255132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3CD-4D1D-9629-50E1E255132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3CD-4D1D-9629-50E1E25513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tx>
            <c:strRef>
              <c:f>EVALUATION!$A$108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EVALUATION!$B$108:$BT$108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 formatCode="General">
                  <c:v>0.04</c:v>
                </c:pt>
                <c:pt idx="3" formatCode="General">
                  <c:v>0.04</c:v>
                </c:pt>
                <c:pt idx="4" formatCode="General">
                  <c:v>0.04</c:v>
                </c:pt>
                <c:pt idx="5" formatCode="General">
                  <c:v>0.04</c:v>
                </c:pt>
                <c:pt idx="6" formatCode="General">
                  <c:v>0.04</c:v>
                </c:pt>
                <c:pt idx="7" formatCode="General">
                  <c:v>0.04</c:v>
                </c:pt>
                <c:pt idx="8" formatCode="General">
                  <c:v>0.04</c:v>
                </c:pt>
                <c:pt idx="9" formatCode="General">
                  <c:v>0.04</c:v>
                </c:pt>
                <c:pt idx="10" formatCode="General">
                  <c:v>0.04</c:v>
                </c:pt>
                <c:pt idx="11" formatCode="General">
                  <c:v>0.04</c:v>
                </c:pt>
                <c:pt idx="12" formatCode="General">
                  <c:v>0.04</c:v>
                </c:pt>
                <c:pt idx="13" formatCode="General">
                  <c:v>0.04</c:v>
                </c:pt>
                <c:pt idx="14" formatCode="General">
                  <c:v>0.04</c:v>
                </c:pt>
                <c:pt idx="15" formatCode="General">
                  <c:v>0.04</c:v>
                </c:pt>
                <c:pt idx="16" formatCode="General">
                  <c:v>0.04</c:v>
                </c:pt>
                <c:pt idx="17" formatCode="General">
                  <c:v>0.04</c:v>
                </c:pt>
                <c:pt idx="18" formatCode="General">
                  <c:v>0.04</c:v>
                </c:pt>
                <c:pt idx="19" formatCode="General">
                  <c:v>0.04</c:v>
                </c:pt>
                <c:pt idx="20" formatCode="General">
                  <c:v>0.04</c:v>
                </c:pt>
                <c:pt idx="21" formatCode="General">
                  <c:v>0.04</c:v>
                </c:pt>
                <c:pt idx="22" formatCode="General">
                  <c:v>0.04</c:v>
                </c:pt>
                <c:pt idx="23" formatCode="General">
                  <c:v>0.04</c:v>
                </c:pt>
                <c:pt idx="24" formatCode="General">
                  <c:v>0.04</c:v>
                </c:pt>
                <c:pt idx="25" formatCode="General">
                  <c:v>0.04</c:v>
                </c:pt>
                <c:pt idx="26" formatCode="General">
                  <c:v>0.04</c:v>
                </c:pt>
                <c:pt idx="27" formatCode="General">
                  <c:v>0.04</c:v>
                </c:pt>
                <c:pt idx="28" formatCode="General">
                  <c:v>0.04</c:v>
                </c:pt>
                <c:pt idx="29" formatCode="General">
                  <c:v>0.04</c:v>
                </c:pt>
                <c:pt idx="30" formatCode="General">
                  <c:v>0.04</c:v>
                </c:pt>
                <c:pt idx="31" formatCode="General">
                  <c:v>0.04</c:v>
                </c:pt>
                <c:pt idx="32" formatCode="General">
                  <c:v>0.04</c:v>
                </c:pt>
                <c:pt idx="33" formatCode="General">
                  <c:v>0.04</c:v>
                </c:pt>
                <c:pt idx="34" formatCode="General">
                  <c:v>0.04</c:v>
                </c:pt>
                <c:pt idx="35" formatCode="General">
                  <c:v>0.04</c:v>
                </c:pt>
                <c:pt idx="36" formatCode="General">
                  <c:v>0.04</c:v>
                </c:pt>
                <c:pt idx="37" formatCode="General">
                  <c:v>0.04</c:v>
                </c:pt>
                <c:pt idx="38" formatCode="General">
                  <c:v>0.04</c:v>
                </c:pt>
                <c:pt idx="39" formatCode="General">
                  <c:v>0.04</c:v>
                </c:pt>
                <c:pt idx="40" formatCode="General">
                  <c:v>0.04</c:v>
                </c:pt>
                <c:pt idx="41" formatCode="General">
                  <c:v>0.04</c:v>
                </c:pt>
                <c:pt idx="42" formatCode="General">
                  <c:v>0.04</c:v>
                </c:pt>
                <c:pt idx="43" formatCode="General">
                  <c:v>0.04</c:v>
                </c:pt>
                <c:pt idx="44" formatCode="General">
                  <c:v>3.7000618811881193E-2</c:v>
                </c:pt>
                <c:pt idx="45" formatCode="General">
                  <c:v>2.5003094059405977E-2</c:v>
                </c:pt>
                <c:pt idx="46" formatCode="General">
                  <c:v>1.4472616336633685E-2</c:v>
                </c:pt>
                <c:pt idx="47" formatCode="General">
                  <c:v>8.8535569306930732E-3</c:v>
                </c:pt>
                <c:pt idx="48" formatCode="General">
                  <c:v>4.0754435643564329E-3</c:v>
                </c:pt>
                <c:pt idx="49" formatCode="General">
                  <c:v>2.460889108910892E-3</c:v>
                </c:pt>
                <c:pt idx="50" formatCode="General">
                  <c:v>1.0559262871287136E-3</c:v>
                </c:pt>
                <c:pt idx="51" formatCode="General">
                  <c:v>5.4448569306930598E-4</c:v>
                </c:pt>
                <c:pt idx="52" formatCode="General">
                  <c:v>1.1103125247524729E-4</c:v>
                </c:pt>
                <c:pt idx="53" formatCode="General">
                  <c:v>5.8332737623762265E-5</c:v>
                </c:pt>
                <c:pt idx="54" formatCode="General">
                  <c:v>1.3287423609665429E-5</c:v>
                </c:pt>
                <c:pt idx="55" formatCode="General">
                  <c:v>1.1610247674101613E-5</c:v>
                </c:pt>
                <c:pt idx="56" formatCode="General">
                  <c:v>9.9330717385377969E-6</c:v>
                </c:pt>
                <c:pt idx="57" formatCode="General">
                  <c:v>8.255895802973981E-6</c:v>
                </c:pt>
                <c:pt idx="58" formatCode="General">
                  <c:v>6.5787198674101659E-6</c:v>
                </c:pt>
                <c:pt idx="59" formatCode="General">
                  <c:v>4.9015439318463509E-6</c:v>
                </c:pt>
                <c:pt idx="60" formatCode="General">
                  <c:v>3.224367996282535E-6</c:v>
                </c:pt>
                <c:pt idx="61" formatCode="General">
                  <c:v>1.5471920607187191E-6</c:v>
                </c:pt>
                <c:pt idx="62" formatCode="General">
                  <c:v>4.1487407762376261E-9</c:v>
                </c:pt>
                <c:pt idx="63" formatCode="General">
                  <c:v>3.6305004792079228E-9</c:v>
                </c:pt>
                <c:pt idx="64" formatCode="General">
                  <c:v>3.1122601821782194E-9</c:v>
                </c:pt>
                <c:pt idx="65" formatCode="General">
                  <c:v>2.594019885148516E-9</c:v>
                </c:pt>
                <c:pt idx="66" formatCode="General">
                  <c:v>2.0757795881188131E-9</c:v>
                </c:pt>
                <c:pt idx="67" formatCode="General">
                  <c:v>1.5575392910891098E-9</c:v>
                </c:pt>
                <c:pt idx="68" formatCode="General">
                  <c:v>1.0392989940594064E-9</c:v>
                </c:pt>
                <c:pt idx="69" formatCode="General">
                  <c:v>5.2105869702970305E-10</c:v>
                </c:pt>
                <c:pt idx="70" formatCode="General">
                  <c:v>2.8184000000001068E-12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4-4788-9014-A895E877B9FE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EVALUATION!$B$142:$BT$142</c:f>
              <c:numCache>
                <c:formatCode>0</c:formatCode>
                <c:ptCount val="71"/>
                <c:pt idx="0">
                  <c:v>0.13591386138613859</c:v>
                </c:pt>
                <c:pt idx="1">
                  <c:v>0.14575544554455444</c:v>
                </c:pt>
                <c:pt idx="2" formatCode="General">
                  <c:v>0.15964504950495051</c:v>
                </c:pt>
                <c:pt idx="3" formatCode="General">
                  <c:v>0.17571435643564356</c:v>
                </c:pt>
                <c:pt idx="4" formatCode="General">
                  <c:v>0.19089792079207923</c:v>
                </c:pt>
                <c:pt idx="5" formatCode="General">
                  <c:v>0.20556128712871291</c:v>
                </c:pt>
                <c:pt idx="6" formatCode="General">
                  <c:v>0.21165445544554454</c:v>
                </c:pt>
                <c:pt idx="7" formatCode="General">
                  <c:v>0.21226831683168315</c:v>
                </c:pt>
                <c:pt idx="8" formatCode="General">
                  <c:v>0.21288217821782177</c:v>
                </c:pt>
                <c:pt idx="9" formatCode="General">
                  <c:v>0.21349603960396038</c:v>
                </c:pt>
                <c:pt idx="10" formatCode="General">
                  <c:v>0.21410990099009899</c:v>
                </c:pt>
                <c:pt idx="11" formatCode="General">
                  <c:v>0.21472376237623761</c:v>
                </c:pt>
                <c:pt idx="12" formatCode="General">
                  <c:v>0.21533762376237622</c:v>
                </c:pt>
                <c:pt idx="13" formatCode="General">
                  <c:v>0.21595148514851484</c:v>
                </c:pt>
                <c:pt idx="14" formatCode="General">
                  <c:v>0.20849727722772274</c:v>
                </c:pt>
                <c:pt idx="15" formatCode="General">
                  <c:v>0.19388836633663364</c:v>
                </c:pt>
                <c:pt idx="16" formatCode="General">
                  <c:v>0.1753307425742574</c:v>
                </c:pt>
                <c:pt idx="17" formatCode="General">
                  <c:v>0.15297925742574262</c:v>
                </c:pt>
                <c:pt idx="18" formatCode="General">
                  <c:v>0.12927783084577119</c:v>
                </c:pt>
                <c:pt idx="19" formatCode="General">
                  <c:v>0.1041713631840796</c:v>
                </c:pt>
                <c:pt idx="20" formatCode="General">
                  <c:v>8.1406930693069285E-2</c:v>
                </c:pt>
                <c:pt idx="21" formatCode="General">
                  <c:v>6.1179702970296991E-2</c:v>
                </c:pt>
                <c:pt idx="22" formatCode="General">
                  <c:v>4.4535465346534645E-2</c:v>
                </c:pt>
                <c:pt idx="23" formatCode="General">
                  <c:v>3.209734653465348E-2</c:v>
                </c:pt>
                <c:pt idx="24" formatCode="General">
                  <c:v>2.2296613861386146E-2</c:v>
                </c:pt>
                <c:pt idx="25" formatCode="General">
                  <c:v>1.5852554455445526E-2</c:v>
                </c:pt>
                <c:pt idx="26" formatCode="General">
                  <c:v>1.0812812871287119E-2</c:v>
                </c:pt>
                <c:pt idx="27" formatCode="General">
                  <c:v>7.7123673267326699E-3</c:v>
                </c:pt>
                <c:pt idx="28" formatCode="General">
                  <c:v>5.2643772277227736E-3</c:v>
                </c:pt>
                <c:pt idx="29" formatCode="General">
                  <c:v>3.7950702970297075E-3</c:v>
                </c:pt>
                <c:pt idx="30" formatCode="General">
                  <c:v>2.6162000000000026E-3</c:v>
                </c:pt>
                <c:pt idx="31" formatCode="General">
                  <c:v>1.9111999999999998E-3</c:v>
                </c:pt>
                <c:pt idx="32" formatCode="General">
                  <c:v>1.3353170297029698E-3</c:v>
                </c:pt>
                <c:pt idx="33" formatCode="General">
                  <c:v>9.8897544554455482E-4</c:v>
                </c:pt>
                <c:pt idx="34" formatCode="General">
                  <c:v>7.0101287128712891E-4</c:v>
                </c:pt>
                <c:pt idx="35" formatCode="General">
                  <c:v>5.2637425742574221E-4</c:v>
                </c:pt>
                <c:pt idx="36" formatCode="General">
                  <c:v>3.7875504950495015E-4</c:v>
                </c:pt>
                <c:pt idx="37" formatCode="General">
                  <c:v>2.8855207920792063E-4</c:v>
                </c:pt>
                <c:pt idx="38" formatCode="General">
                  <c:v>2.1804066914498141E-4</c:v>
                </c:pt>
                <c:pt idx="39" formatCode="General">
                  <c:v>1.9347623296158615E-4</c:v>
                </c:pt>
                <c:pt idx="40" formatCode="General">
                  <c:v>1.6891179677819087E-4</c:v>
                </c:pt>
                <c:pt idx="41" formatCode="General">
                  <c:v>1.4434736059479558E-4</c:v>
                </c:pt>
                <c:pt idx="42" formatCode="General">
                  <c:v>1.1978292441140032E-4</c:v>
                </c:pt>
                <c:pt idx="43" formatCode="General">
                  <c:v>9.521848822800503E-5</c:v>
                </c:pt>
                <c:pt idx="44" formatCode="General">
                  <c:v>7.065405204460977E-5</c:v>
                </c:pt>
                <c:pt idx="45" formatCode="General">
                  <c:v>4.6089615861214482E-5</c:v>
                </c:pt>
                <c:pt idx="46" formatCode="General">
                  <c:v>2.5970118811881209E-5</c:v>
                </c:pt>
                <c:pt idx="47" formatCode="General">
                  <c:v>2.0731504950495051E-5</c:v>
                </c:pt>
                <c:pt idx="48" formatCode="General">
                  <c:v>1.5937841584158407E-5</c:v>
                </c:pt>
                <c:pt idx="49" formatCode="General">
                  <c:v>1.2818039603960397E-5</c:v>
                </c:pt>
                <c:pt idx="50" formatCode="General">
                  <c:v>9.9326430693069341E-6</c:v>
                </c:pt>
                <c:pt idx="51" formatCode="General">
                  <c:v>8.0465539603960354E-6</c:v>
                </c:pt>
                <c:pt idx="52" formatCode="General">
                  <c:v>6.2841440594059358E-6</c:v>
                </c:pt>
                <c:pt idx="53" formatCode="General">
                  <c:v>5.1255797029702948E-6</c:v>
                </c:pt>
                <c:pt idx="54" formatCode="General">
                  <c:v>4.0328000000000006E-6</c:v>
                </c:pt>
                <c:pt idx="55" formatCode="General">
                  <c:v>3.3128000000000016E-6</c:v>
                </c:pt>
                <c:pt idx="56" formatCode="General">
                  <c:v>2.6311242574257441E-6</c:v>
                </c:pt>
                <c:pt idx="57" formatCode="General">
                  <c:v>2.2059262376237624E-6</c:v>
                </c:pt>
                <c:pt idx="58" formatCode="General">
                  <c:v>1.7951184079601984E-6</c:v>
                </c:pt>
                <c:pt idx="59" formatCode="General">
                  <c:v>1.5007402985074625E-6</c:v>
                </c:pt>
                <c:pt idx="60" formatCode="General">
                  <c:v>1.2161351485148515E-6</c:v>
                </c:pt>
                <c:pt idx="61" formatCode="General">
                  <c:v>1.0194866336633668E-6</c:v>
                </c:pt>
                <c:pt idx="62" formatCode="General">
                  <c:v>8.3216504950495086E-7</c:v>
                </c:pt>
                <c:pt idx="63" formatCode="General">
                  <c:v>7.5210316831683206E-7</c:v>
                </c:pt>
                <c:pt idx="64" formatCode="General">
                  <c:v>6.7204128712871315E-7</c:v>
                </c:pt>
                <c:pt idx="65" formatCode="General">
                  <c:v>5.9197940594059424E-7</c:v>
                </c:pt>
                <c:pt idx="66" formatCode="General">
                  <c:v>5.1191752475247544E-7</c:v>
                </c:pt>
                <c:pt idx="67" formatCode="General">
                  <c:v>4.3185564356435653E-7</c:v>
                </c:pt>
                <c:pt idx="68" formatCode="General">
                  <c:v>3.5179376237623773E-7</c:v>
                </c:pt>
                <c:pt idx="69" formatCode="General">
                  <c:v>2.7173188118811882E-7</c:v>
                </c:pt>
                <c:pt idx="70" formatCode="General">
                  <c:v>1.9166999999999992E-7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A694-4788-9014-A895E877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694-4788-9014-A895E877B9F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694-4788-9014-A895E877B9F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694-4788-9014-A895E877B9F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694-4788-9014-A895E877B9F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694-4788-9014-A895E877B9F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694-4788-9014-A895E877B9F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694-4788-9014-A895E877B9F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694-4788-9014-A895E877B9F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694-4788-9014-A895E877B9F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694-4788-9014-A895E877B9F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694-4788-9014-A895E877B9F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694-4788-9014-A895E877B9F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94-4788-9014-A895E877B9F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94-4788-9014-A895E877B9F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694-4788-9014-A895E877B9F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694-4788-9014-A895E877B9F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694-4788-9014-A895E877B9F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694-4788-9014-A895E877B9F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694-4788-9014-A895E877B9F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694-4788-9014-A895E877B9F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694-4788-9014-A895E877B9F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694-4788-9014-A895E877B9F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694-4788-9014-A895E877B9F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694-4788-9014-A895E877B9F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694-4788-9014-A895E877B9F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694-4788-9014-A895E877B9F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694-4788-9014-A895E877B9F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694-4788-9014-A895E877B9F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694-4788-9014-A895E877B9F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694-4788-9014-A895E877B9F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694-4788-9014-A895E877B9F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694-4788-9014-A895E877B9F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694-4788-9014-A895E877B9F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694-4788-9014-A895E877B9F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694-4788-9014-A895E877B9F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694-4788-9014-A895E877B9F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694-4788-9014-A895E877B9F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694-4788-9014-A895E877B9F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694-4788-9014-A895E877B9F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694-4788-9014-A895E877B9F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694-4788-9014-A895E877B9F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694-4788-9014-A895E877B9F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694-4788-9014-A895E877B9F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694-4788-9014-A895E877B9F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694-4788-9014-A895E877B9F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694-4788-9014-A895E877B9F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694-4788-9014-A895E877B9F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694-4788-9014-A895E877B9F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694-4788-9014-A895E877B9F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694-4788-9014-A895E877B9F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694-4788-9014-A895E877B9F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694-4788-9014-A895E877B9F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694-4788-9014-A895E877B9F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694-4788-9014-A895E877B9F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694-4788-9014-A895E877B9F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694-4788-9014-A895E877B9F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694-4788-9014-A895E877B9F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694-4788-9014-A895E877B9F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694-4788-9014-A895E877B9F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694-4788-9014-A895E877B9F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219074</xdr:rowOff>
    </xdr:from>
    <xdr:to>
      <xdr:col>49</xdr:col>
      <xdr:colOff>818250</xdr:colOff>
      <xdr:row>36</xdr:row>
      <xdr:rowOff>94574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49</xdr:col>
      <xdr:colOff>751574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19876</xdr:rowOff>
    </xdr:from>
    <xdr:to>
      <xdr:col>49</xdr:col>
      <xdr:colOff>880263</xdr:colOff>
      <xdr:row>132</xdr:row>
      <xdr:rowOff>229476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56028</xdr:colOff>
      <xdr:row>17</xdr:row>
      <xdr:rowOff>190500</xdr:rowOff>
    </xdr:from>
    <xdr:to>
      <xdr:col>50</xdr:col>
      <xdr:colOff>4328</xdr:colOff>
      <xdr:row>36</xdr:row>
      <xdr:rowOff>129500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72</xdr:col>
          <xdr:colOff>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907676</xdr:colOff>
      <xdr:row>98</xdr:row>
      <xdr:rowOff>246530</xdr:rowOff>
    </xdr:from>
    <xdr:to>
      <xdr:col>76</xdr:col>
      <xdr:colOff>890204</xdr:colOff>
      <xdr:row>111</xdr:row>
      <xdr:rowOff>200804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898231</xdr:colOff>
      <xdr:row>99</xdr:row>
      <xdr:rowOff>4081</xdr:rowOff>
    </xdr:from>
    <xdr:to>
      <xdr:col>80</xdr:col>
      <xdr:colOff>872595</xdr:colOff>
      <xdr:row>111</xdr:row>
      <xdr:rowOff>234420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5444</xdr:colOff>
      <xdr:row>112</xdr:row>
      <xdr:rowOff>172892</xdr:rowOff>
    </xdr:from>
    <xdr:to>
      <xdr:col>76</xdr:col>
      <xdr:colOff>904875</xdr:colOff>
      <xdr:row>125</xdr:row>
      <xdr:rowOff>156999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5444</xdr:colOff>
      <xdr:row>126</xdr:row>
      <xdr:rowOff>60833</xdr:rowOff>
    </xdr:from>
    <xdr:to>
      <xdr:col>76</xdr:col>
      <xdr:colOff>901411</xdr:colOff>
      <xdr:row>138</xdr:row>
      <xdr:rowOff>64854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895511</xdr:colOff>
      <xdr:row>126</xdr:row>
      <xdr:rowOff>60832</xdr:rowOff>
    </xdr:from>
    <xdr:to>
      <xdr:col>80</xdr:col>
      <xdr:colOff>901411</xdr:colOff>
      <xdr:row>139</xdr:row>
      <xdr:rowOff>133407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5443</xdr:colOff>
      <xdr:row>138</xdr:row>
      <xdr:rowOff>228921</xdr:rowOff>
    </xdr:from>
    <xdr:to>
      <xdr:col>77</xdr:col>
      <xdr:colOff>11343</xdr:colOff>
      <xdr:row>152</xdr:row>
      <xdr:rowOff>25271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895511</xdr:colOff>
      <xdr:row>138</xdr:row>
      <xdr:rowOff>228921</xdr:rowOff>
    </xdr:from>
    <xdr:to>
      <xdr:col>80</xdr:col>
      <xdr:colOff>901411</xdr:colOff>
      <xdr:row>152</xdr:row>
      <xdr:rowOff>25271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E7" sqref="E7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1" t="s">
        <v>35</v>
      </c>
      <c r="B1" s="66">
        <v>450</v>
      </c>
      <c r="D1" s="165" t="s">
        <v>25</v>
      </c>
      <c r="E1" s="166"/>
      <c r="F1" s="166"/>
      <c r="G1" s="166"/>
    </row>
    <row r="2" spans="1:7" ht="21.75" thickTop="1" x14ac:dyDescent="0.35"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6">
        <v>25</v>
      </c>
      <c r="E3" s="66">
        <v>30</v>
      </c>
      <c r="F3" s="66">
        <v>10</v>
      </c>
      <c r="G3" s="66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8"/>
  <sheetViews>
    <sheetView zoomScale="85" zoomScaleNormal="85" zoomScaleSheetLayoutView="25" workbookViewId="0">
      <selection activeCell="E3" sqref="E3:E3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2" hidden="1" customWidth="1"/>
    <col min="22" max="22" width="8.6328125" style="53" hidden="1" customWidth="1"/>
    <col min="23" max="23" width="8.6328125" style="110" hidden="1" customWidth="1"/>
    <col min="24" max="37" width="8.6328125" hidden="1" customWidth="1"/>
    <col min="38" max="38" width="8.6328125" customWidth="1" collapsed="1"/>
  </cols>
  <sheetData>
    <row r="1" spans="1:54" ht="29.25" customHeight="1" thickBot="1" x14ac:dyDescent="0.4">
      <c r="A1" s="164" t="s">
        <v>33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92"/>
      <c r="V2" s="93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9" t="s">
        <v>94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7">
        <v>616.4</v>
      </c>
      <c r="U3" s="94">
        <v>636.6</v>
      </c>
      <c r="V3" s="95">
        <v>656.8</v>
      </c>
      <c r="W3" s="1">
        <v>677</v>
      </c>
      <c r="X3" s="89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858.7</v>
      </c>
      <c r="AD3" s="9">
        <v>878.9</v>
      </c>
      <c r="AE3" s="9">
        <v>899</v>
      </c>
      <c r="AF3" s="9">
        <v>919.2</v>
      </c>
      <c r="AG3" s="9">
        <v>1000</v>
      </c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1</v>
      </c>
      <c r="D4" s="70">
        <f t="shared" si="0"/>
        <v>0</v>
      </c>
      <c r="E4" s="76" t="s">
        <v>55</v>
      </c>
      <c r="F4" s="12">
        <v>6.1877999999999997E-9</v>
      </c>
      <c r="G4" s="12">
        <v>5.5165000000000001E-9</v>
      </c>
      <c r="H4" s="12">
        <v>7.4244000000000001E-9</v>
      </c>
      <c r="I4" s="12">
        <v>1.3577999999999999E-8</v>
      </c>
      <c r="J4" s="12">
        <v>2.9451E-8</v>
      </c>
      <c r="K4" s="12">
        <v>1.5819999999999999E-8</v>
      </c>
      <c r="L4" s="12">
        <v>2.8747E-9</v>
      </c>
      <c r="M4" s="12">
        <v>2.4480999999999999E-13</v>
      </c>
      <c r="N4" s="12">
        <v>9.9445000000000001E-21</v>
      </c>
      <c r="O4" s="12">
        <v>7.3141000000000006E-30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0</v>
      </c>
      <c r="C5" s="70">
        <f t="shared" si="0"/>
        <v>0</v>
      </c>
      <c r="D5" s="70">
        <f t="shared" si="0"/>
        <v>1</v>
      </c>
      <c r="E5" s="76" t="s">
        <v>54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1.1499999999999999E-31</v>
      </c>
      <c r="Z5" s="12">
        <v>9.5558000000000007E-24</v>
      </c>
      <c r="AA5" s="12">
        <v>1.4482E-16</v>
      </c>
      <c r="AB5" s="12">
        <v>1.0933999999999999E-10</v>
      </c>
      <c r="AC5" s="12">
        <v>3.2417999999999998E-7</v>
      </c>
      <c r="AD5" s="12">
        <v>1.2376E-5</v>
      </c>
      <c r="AE5" s="12">
        <v>2.1126999999999999E-5</v>
      </c>
      <c r="AF5" s="12">
        <v>2.3708000000000001E-5</v>
      </c>
      <c r="AG5" s="12">
        <v>2.8283999999999999E-6</v>
      </c>
      <c r="AH5" s="12"/>
      <c r="AI5" s="12"/>
      <c r="AJ5" s="12"/>
      <c r="AK5" s="12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1</v>
      </c>
      <c r="C6" s="70">
        <f t="shared" si="0"/>
        <v>0</v>
      </c>
      <c r="D6" s="70">
        <f t="shared" si="0"/>
        <v>0</v>
      </c>
      <c r="E6" s="76" t="s">
        <v>51</v>
      </c>
      <c r="F6" s="12">
        <v>0</v>
      </c>
      <c r="G6" s="12">
        <v>0</v>
      </c>
      <c r="H6" s="12">
        <v>9.5128000000000004E-28</v>
      </c>
      <c r="I6" s="12">
        <v>1.5372000000000001E-22</v>
      </c>
      <c r="J6" s="12">
        <v>1.1156E-19</v>
      </c>
      <c r="K6" s="12">
        <v>1.7943999999999999E-13</v>
      </c>
      <c r="L6" s="12">
        <v>4.2096999999999999E-10</v>
      </c>
      <c r="M6" s="12">
        <v>4.2095000000000004E-9</v>
      </c>
      <c r="N6" s="12">
        <v>7.7497000000000002E-9</v>
      </c>
      <c r="O6" s="12">
        <v>1.3306E-8</v>
      </c>
      <c r="P6" s="12">
        <v>1.2213999999999999E-8</v>
      </c>
      <c r="Q6" s="12">
        <v>2.3015999999999999E-8</v>
      </c>
      <c r="R6" s="12">
        <v>1.5737999999999998E-8</v>
      </c>
      <c r="S6" s="12">
        <v>1.6776000000000001E-8</v>
      </c>
      <c r="T6" s="12">
        <v>1.7397E-8</v>
      </c>
      <c r="U6" s="12">
        <v>1.768E-8</v>
      </c>
      <c r="V6" s="12">
        <v>1.8666E-8</v>
      </c>
      <c r="W6" s="12">
        <v>2.2871E-8</v>
      </c>
      <c r="X6" s="12">
        <v>2.7468000000000002E-8</v>
      </c>
      <c r="Y6" s="12">
        <v>2.7864000000000001E-8</v>
      </c>
      <c r="Z6" s="12">
        <v>2.7649999999999999E-8</v>
      </c>
      <c r="AA6" s="12">
        <v>2.8200000000000001E-8</v>
      </c>
      <c r="AB6" s="12">
        <v>6.5486999999999999E-9</v>
      </c>
      <c r="AC6" s="12">
        <v>6.0900999999999995E-32</v>
      </c>
      <c r="AD6" s="12">
        <v>4.7079000000000003E-30</v>
      </c>
      <c r="AE6" s="12">
        <v>8.2700999999999997E-29</v>
      </c>
      <c r="AF6" s="12">
        <v>4.4598999999999997E-28</v>
      </c>
      <c r="AG6" s="12">
        <v>2.2786000000000001E-23</v>
      </c>
      <c r="AH6" s="12"/>
      <c r="AI6" s="12"/>
      <c r="AJ6" s="12"/>
      <c r="AK6" s="12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2</v>
      </c>
      <c r="C7" s="70">
        <f t="shared" si="0"/>
        <v>1</v>
      </c>
      <c r="D7" s="70">
        <f t="shared" si="0"/>
        <v>0</v>
      </c>
      <c r="E7" s="76" t="s">
        <v>63</v>
      </c>
      <c r="F7" s="12">
        <v>1.2300000000000001E-9</v>
      </c>
      <c r="G7" s="12">
        <v>4.5156E-11</v>
      </c>
      <c r="H7" s="12">
        <v>6.8465000000000003E-15</v>
      </c>
      <c r="I7" s="12">
        <v>3.7467999999999999E-23</v>
      </c>
      <c r="J7" s="12">
        <v>3.8006E-35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3</v>
      </c>
      <c r="C8" s="70">
        <f t="shared" si="0"/>
        <v>0</v>
      </c>
      <c r="D8" s="70">
        <f t="shared" si="0"/>
        <v>2</v>
      </c>
      <c r="E8" s="76" t="s">
        <v>62</v>
      </c>
      <c r="F8" s="12">
        <v>1.8093999999999999E-2</v>
      </c>
      <c r="G8" s="12">
        <v>1.7804E-2</v>
      </c>
      <c r="H8" s="12">
        <v>1.7049999999999999E-2</v>
      </c>
      <c r="I8" s="12">
        <v>1.5945000000000001E-2</v>
      </c>
      <c r="J8" s="12">
        <v>1.5049999999999999E-2</v>
      </c>
      <c r="K8" s="12">
        <v>1.3743999999999999E-2</v>
      </c>
      <c r="L8" s="12">
        <v>1.306E-2</v>
      </c>
      <c r="M8" s="12">
        <v>1.2156E-2</v>
      </c>
      <c r="N8" s="12">
        <v>1.1287E-2</v>
      </c>
      <c r="O8" s="12">
        <v>1.0671E-2</v>
      </c>
      <c r="P8" s="12">
        <v>1.0324E-2</v>
      </c>
      <c r="Q8" s="12">
        <v>1.0154E-2</v>
      </c>
      <c r="R8" s="12">
        <v>1.0073E-2</v>
      </c>
      <c r="S8" s="12">
        <v>1.0034E-2</v>
      </c>
      <c r="T8" s="12">
        <v>1.0005999999999999E-2</v>
      </c>
      <c r="U8" s="12">
        <v>9.9433999999999998E-3</v>
      </c>
      <c r="V8" s="12">
        <v>9.6798000000000006E-3</v>
      </c>
      <c r="W8" s="12">
        <v>8.6563000000000005E-3</v>
      </c>
      <c r="X8" s="12">
        <v>2.6289E-4</v>
      </c>
      <c r="Y8" s="12">
        <v>7.4824000000000001E-5</v>
      </c>
      <c r="Z8" s="12">
        <v>2.1580999999999999E-5</v>
      </c>
      <c r="AA8" s="12">
        <v>6.3327999999999997E-6</v>
      </c>
      <c r="AB8" s="12">
        <v>1.8872999999999999E-6</v>
      </c>
      <c r="AC8" s="12">
        <v>5.5927999999999996E-7</v>
      </c>
      <c r="AD8" s="12">
        <v>8.7534999999999996E-8</v>
      </c>
      <c r="AE8" s="12">
        <v>1.3694E-8</v>
      </c>
      <c r="AF8" s="12">
        <v>2.2223000000000001E-9</v>
      </c>
      <c r="AG8" s="12">
        <v>2.4674000000000002E-12</v>
      </c>
      <c r="AH8" s="12"/>
      <c r="AI8" s="12"/>
      <c r="AJ8" s="12"/>
      <c r="AK8" s="12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2</v>
      </c>
      <c r="E9" s="76" t="s">
        <v>70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1.7552999999999999E-34</v>
      </c>
      <c r="M9" s="12">
        <v>5.9637999999999997E-32</v>
      </c>
      <c r="N9" s="12">
        <v>1.3317E-29</v>
      </c>
      <c r="O9" s="12">
        <v>2.1693E-27</v>
      </c>
      <c r="P9" s="12">
        <v>2.6676999999999999E-25</v>
      </c>
      <c r="Q9" s="12">
        <v>2.4886000000000001E-23</v>
      </c>
      <c r="R9" s="12">
        <v>1.7740000000000002E-21</v>
      </c>
      <c r="S9" s="12">
        <v>9.8104000000000004E-20</v>
      </c>
      <c r="T9" s="12">
        <v>4.2854000000000003E-18</v>
      </c>
      <c r="U9" s="12">
        <v>1.5015000000000001E-16</v>
      </c>
      <c r="V9" s="12">
        <v>4.2180000000000003E-15</v>
      </c>
      <c r="W9" s="12">
        <v>8.9942999999999996E-14</v>
      </c>
      <c r="X9" s="12">
        <v>1.8166E-10</v>
      </c>
      <c r="Y9" s="12">
        <v>6.1698999999999995E-10</v>
      </c>
      <c r="Z9" s="12">
        <v>1.9062999999999999E-9</v>
      </c>
      <c r="AA9" s="12">
        <v>5.4154999999999998E-9</v>
      </c>
      <c r="AB9" s="12">
        <v>1.4215E-8</v>
      </c>
      <c r="AC9" s="12">
        <v>3.3835999999999999E-8</v>
      </c>
      <c r="AD9" s="12">
        <v>3.6131000000000001E-8</v>
      </c>
      <c r="AE9" s="12">
        <v>3.7158000000000001E-8</v>
      </c>
      <c r="AF9" s="12">
        <v>3.7517999999999999E-8</v>
      </c>
      <c r="AG9" s="12">
        <v>3.4862999999999999E-8</v>
      </c>
      <c r="AH9" s="12"/>
      <c r="AI9" s="12"/>
      <c r="AJ9" s="12"/>
      <c r="AK9" s="12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0</v>
      </c>
      <c r="C10" s="70">
        <f t="shared" si="0"/>
        <v>0</v>
      </c>
      <c r="D10" s="70">
        <f t="shared" si="0"/>
        <v>1</v>
      </c>
      <c r="E10" s="76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7.4216000000000001E-36</v>
      </c>
      <c r="N10" s="12">
        <v>1.2279E-33</v>
      </c>
      <c r="O10" s="12">
        <v>1.4772000000000001E-31</v>
      </c>
      <c r="P10" s="12">
        <v>1.3357000000000001E-29</v>
      </c>
      <c r="Q10" s="12">
        <v>9.1925000000000003E-28</v>
      </c>
      <c r="R10" s="12">
        <v>4.8815000000000001E-26</v>
      </c>
      <c r="S10" s="12">
        <v>2.0363E-24</v>
      </c>
      <c r="T10" s="12">
        <v>6.8009999999999997E-23</v>
      </c>
      <c r="U10" s="12">
        <v>1.8494000000000001E-21</v>
      </c>
      <c r="V10" s="12">
        <v>4.1246999999999999E-20</v>
      </c>
      <c r="W10" s="12">
        <v>7.3727999999999996E-19</v>
      </c>
      <c r="X10" s="12">
        <v>3.723E-15</v>
      </c>
      <c r="Y10" s="12">
        <v>1.9612000000000001E-14</v>
      </c>
      <c r="Z10" s="12">
        <v>9.3993000000000001E-14</v>
      </c>
      <c r="AA10" s="12">
        <v>4.132E-13</v>
      </c>
      <c r="AB10" s="12">
        <v>1.6752999999999999E-12</v>
      </c>
      <c r="AC10" s="12">
        <v>6.2173999999999997E-12</v>
      </c>
      <c r="AD10" s="12">
        <v>1.4609999999999999E-11</v>
      </c>
      <c r="AE10" s="12">
        <v>3.2901E-11</v>
      </c>
      <c r="AF10" s="12">
        <v>7.1446000000000001E-11</v>
      </c>
      <c r="AG10" s="12">
        <v>1.1532999999999999E-9</v>
      </c>
      <c r="AH10" s="12"/>
      <c r="AI10" s="12"/>
      <c r="AJ10" s="12"/>
      <c r="AK10" s="12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1</v>
      </c>
      <c r="B11" s="70">
        <f t="shared" si="0"/>
        <v>0</v>
      </c>
      <c r="C11" s="70">
        <f t="shared" si="0"/>
        <v>0</v>
      </c>
      <c r="D11" s="70">
        <f t="shared" si="0"/>
        <v>0</v>
      </c>
      <c r="E11" s="76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2</v>
      </c>
      <c r="C12" s="70">
        <f t="shared" si="0"/>
        <v>1</v>
      </c>
      <c r="D12" s="70">
        <f t="shared" si="0"/>
        <v>0</v>
      </c>
      <c r="E12" s="76" t="s">
        <v>84</v>
      </c>
      <c r="F12" s="12">
        <v>0.11787</v>
      </c>
      <c r="G12" s="12">
        <v>0.11068</v>
      </c>
      <c r="H12" s="12">
        <v>9.0792999999999999E-2</v>
      </c>
      <c r="I12" s="12">
        <v>5.8309E-2</v>
      </c>
      <c r="J12" s="12">
        <v>2.8580999999999999E-2</v>
      </c>
      <c r="K12" s="12">
        <v>8.4281999999999998E-4</v>
      </c>
      <c r="L12" s="12">
        <v>3.6653E-4</v>
      </c>
      <c r="M12" s="12">
        <v>1.4880000000000001E-4</v>
      </c>
      <c r="N12" s="12">
        <v>5.2157000000000002E-5</v>
      </c>
      <c r="O12" s="12">
        <v>1.5631999999999999E-5</v>
      </c>
      <c r="P12" s="12">
        <v>4.2572999999999999E-6</v>
      </c>
      <c r="Q12" s="12">
        <v>1.1320999999999999E-6</v>
      </c>
      <c r="R12" s="12">
        <v>3.0759999999999998E-7</v>
      </c>
      <c r="S12" s="12">
        <v>8.7147999999999994E-8</v>
      </c>
      <c r="T12" s="12">
        <v>2.5918999999999999E-8</v>
      </c>
      <c r="U12" s="12">
        <v>8.1001000000000002E-9</v>
      </c>
      <c r="V12" s="12">
        <v>2.6604E-9</v>
      </c>
      <c r="W12" s="12">
        <v>9.2248999999999999E-10</v>
      </c>
      <c r="X12" s="12">
        <v>2.0673000000000001E-11</v>
      </c>
      <c r="Y12" s="12">
        <v>8.4606999999999993E-12</v>
      </c>
      <c r="Z12" s="12">
        <v>3.5548000000000002E-12</v>
      </c>
      <c r="AA12" s="12">
        <v>1.5325E-12</v>
      </c>
      <c r="AB12" s="12">
        <v>6.7700999999999996E-13</v>
      </c>
      <c r="AC12" s="12">
        <v>3.0721000000000001E-13</v>
      </c>
      <c r="AD12" s="12">
        <v>1.5357999999999999E-13</v>
      </c>
      <c r="AE12" s="12">
        <v>7.5448000000000003E-14</v>
      </c>
      <c r="AF12" s="12">
        <v>3.7177999999999999E-14</v>
      </c>
      <c r="AG12" s="12">
        <v>2.4715E-15</v>
      </c>
      <c r="AH12" s="12"/>
      <c r="AI12" s="12"/>
      <c r="AJ12" s="12"/>
      <c r="AK12" s="12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1</v>
      </c>
      <c r="D13" s="70">
        <f t="shared" si="0"/>
        <v>0</v>
      </c>
      <c r="E13" s="76" t="s">
        <v>85</v>
      </c>
      <c r="F13" s="12">
        <v>0.12213</v>
      </c>
      <c r="G13" s="12">
        <v>0.12931999999999999</v>
      </c>
      <c r="H13" s="12">
        <v>0.1492</v>
      </c>
      <c r="I13" s="12">
        <v>0.18165999999999999</v>
      </c>
      <c r="J13" s="12">
        <v>0.21128</v>
      </c>
      <c r="K13" s="12">
        <v>0.21623999999999999</v>
      </c>
      <c r="L13" s="12">
        <v>0.18673000000000001</v>
      </c>
      <c r="M13" s="12">
        <v>0.14158000000000001</v>
      </c>
      <c r="N13" s="12">
        <v>9.1116000000000003E-2</v>
      </c>
      <c r="O13" s="12">
        <v>5.0257000000000003E-2</v>
      </c>
      <c r="P13" s="12">
        <v>2.5132000000000002E-2</v>
      </c>
      <c r="Q13" s="12">
        <v>1.2115000000000001E-2</v>
      </c>
      <c r="R13" s="12">
        <v>5.8520999999999998E-3</v>
      </c>
      <c r="S13" s="12">
        <v>2.8841000000000001E-3</v>
      </c>
      <c r="T13" s="12">
        <v>1.4599999999999999E-3</v>
      </c>
      <c r="U13" s="12">
        <v>7.6039E-4</v>
      </c>
      <c r="V13" s="12">
        <v>4.0761999999999998E-4</v>
      </c>
      <c r="W13" s="12">
        <v>2.2541E-4</v>
      </c>
      <c r="X13" s="12">
        <v>2.7175E-5</v>
      </c>
      <c r="Y13" s="12">
        <v>1.6592999999999999E-5</v>
      </c>
      <c r="Z13" s="12">
        <v>1.0291E-5</v>
      </c>
      <c r="AA13" s="12">
        <v>6.4810999999999997E-6</v>
      </c>
      <c r="AB13" s="12">
        <v>4.1408000000000002E-6</v>
      </c>
      <c r="AC13" s="12">
        <v>2.6863999999999998E-6</v>
      </c>
      <c r="AD13" s="12">
        <v>1.8275000000000001E-6</v>
      </c>
      <c r="AE13" s="12">
        <v>1.2358000000000001E-6</v>
      </c>
      <c r="AF13" s="12">
        <v>8.3857000000000002E-7</v>
      </c>
      <c r="AG13" s="12">
        <v>1.9167E-7</v>
      </c>
      <c r="AH13" s="12"/>
      <c r="AI13" s="12"/>
      <c r="AJ13" s="12"/>
      <c r="AK13" s="12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3</v>
      </c>
      <c r="C14" s="70">
        <f t="shared" si="0"/>
        <v>0</v>
      </c>
      <c r="D14" s="70">
        <f t="shared" si="0"/>
        <v>2</v>
      </c>
      <c r="E14" s="76" t="s">
        <v>86</v>
      </c>
      <c r="F14" s="12">
        <v>2.1905999999999998E-2</v>
      </c>
      <c r="G14" s="12">
        <v>2.2196E-2</v>
      </c>
      <c r="H14" s="12">
        <v>2.2950000000000002E-2</v>
      </c>
      <c r="I14" s="12">
        <v>2.4055E-2</v>
      </c>
      <c r="J14" s="12">
        <v>2.495E-2</v>
      </c>
      <c r="K14" s="12">
        <v>2.6256000000000002E-2</v>
      </c>
      <c r="L14" s="12">
        <v>2.6939999999999999E-2</v>
      </c>
      <c r="M14" s="12">
        <v>2.7844000000000001E-2</v>
      </c>
      <c r="N14" s="12">
        <v>2.8712999999999999E-2</v>
      </c>
      <c r="O14" s="12">
        <v>2.9329000000000001E-2</v>
      </c>
      <c r="P14" s="12">
        <v>2.9676000000000001E-2</v>
      </c>
      <c r="Q14" s="12">
        <v>2.9846000000000001E-2</v>
      </c>
      <c r="R14" s="12">
        <v>2.9926000000000001E-2</v>
      </c>
      <c r="S14" s="12">
        <v>2.9959E-2</v>
      </c>
      <c r="T14" s="12">
        <v>2.9951999999999999E-2</v>
      </c>
      <c r="U14" s="12">
        <v>2.9828E-2</v>
      </c>
      <c r="V14" s="12">
        <v>2.9187999999999999E-2</v>
      </c>
      <c r="W14" s="12">
        <v>2.6589999999999999E-2</v>
      </c>
      <c r="X14" s="12">
        <v>9.5122999999999996E-4</v>
      </c>
      <c r="Y14" s="12">
        <v>2.7313000000000001E-4</v>
      </c>
      <c r="Z14" s="12">
        <v>7.9382999999999995E-5</v>
      </c>
      <c r="AA14" s="12">
        <v>2.3487999999999999E-5</v>
      </c>
      <c r="AB14" s="12">
        <v>7.0636999999999998E-6</v>
      </c>
      <c r="AC14" s="12">
        <v>2.1115999999999998E-6</v>
      </c>
      <c r="AD14" s="12">
        <v>3.2650999999999998E-7</v>
      </c>
      <c r="AE14" s="12">
        <v>5.0575000000000001E-8</v>
      </c>
      <c r="AF14" s="12">
        <v>8.1415000000000005E-9</v>
      </c>
      <c r="AG14" s="12">
        <v>8.8611000000000007E-12</v>
      </c>
      <c r="AH14" s="12"/>
      <c r="AI14" s="12"/>
      <c r="AJ14" s="12"/>
      <c r="AK14" s="12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1</v>
      </c>
      <c r="C15" s="70">
        <f t="shared" si="0"/>
        <v>0</v>
      </c>
      <c r="D15" s="70">
        <f t="shared" si="0"/>
        <v>2</v>
      </c>
      <c r="E15" s="76" t="s">
        <v>87</v>
      </c>
      <c r="F15" s="12">
        <v>1.4219000000000001E-28</v>
      </c>
      <c r="G15" s="12">
        <v>1.2244E-26</v>
      </c>
      <c r="H15" s="12">
        <v>9.3656999999999993E-25</v>
      </c>
      <c r="I15" s="12">
        <v>8.2229999999999995E-23</v>
      </c>
      <c r="J15" s="12">
        <v>7.5761000000000006E-21</v>
      </c>
      <c r="K15" s="12">
        <v>3.6578999999999997E-14</v>
      </c>
      <c r="L15" s="12">
        <v>7.0040000000000002E-13</v>
      </c>
      <c r="M15" s="12">
        <v>1.0294E-11</v>
      </c>
      <c r="N15" s="12">
        <v>1.2805000000000001E-10</v>
      </c>
      <c r="O15" s="12">
        <v>1.4134999999999999E-9</v>
      </c>
      <c r="P15" s="12">
        <v>1.3907E-8</v>
      </c>
      <c r="Q15" s="12">
        <v>1.2118999999999999E-7</v>
      </c>
      <c r="R15" s="12">
        <v>9.3500000000000005E-7</v>
      </c>
      <c r="S15" s="12">
        <v>6.4214E-6</v>
      </c>
      <c r="T15" s="12">
        <v>3.9548999999999997E-5</v>
      </c>
      <c r="U15" s="12">
        <v>2.1958000000000001E-4</v>
      </c>
      <c r="V15" s="12">
        <v>1.0908999999999999E-3</v>
      </c>
      <c r="W15" s="12">
        <v>4.5948999999999999E-3</v>
      </c>
      <c r="X15" s="12">
        <v>3.5118000000000003E-2</v>
      </c>
      <c r="Y15" s="12">
        <v>3.4089000000000001E-2</v>
      </c>
      <c r="Z15" s="12">
        <v>3.1904000000000002E-2</v>
      </c>
      <c r="AA15" s="12">
        <v>2.9024000000000001E-2</v>
      </c>
      <c r="AB15" s="12">
        <v>2.5696E-2</v>
      </c>
      <c r="AC15" s="12">
        <v>2.1628000000000001E-2</v>
      </c>
      <c r="AD15" s="12">
        <v>8.3616999999999997E-3</v>
      </c>
      <c r="AE15" s="12">
        <v>3.2523999999999999E-3</v>
      </c>
      <c r="AF15" s="12">
        <v>1.2936E-3</v>
      </c>
      <c r="AG15" s="12">
        <v>4.1288000000000002E-5</v>
      </c>
      <c r="AH15" s="12"/>
      <c r="AI15" s="12"/>
      <c r="AJ15" s="12"/>
      <c r="AK15" s="12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76" t="s">
        <v>88</v>
      </c>
      <c r="F16" s="12">
        <v>4.5409000000000001E-7</v>
      </c>
      <c r="G16" s="12">
        <v>1.1596000000000001E-6</v>
      </c>
      <c r="H16" s="12">
        <v>3.6376000000000001E-6</v>
      </c>
      <c r="I16" s="12">
        <v>1.4951E-5</v>
      </c>
      <c r="J16" s="12">
        <v>6.8635999999999998E-5</v>
      </c>
      <c r="K16" s="12">
        <v>1.1455999999999999E-2</v>
      </c>
      <c r="L16" s="12">
        <v>2.6453999999999998E-2</v>
      </c>
      <c r="M16" s="12">
        <v>4.9137E-2</v>
      </c>
      <c r="N16" s="12">
        <v>7.4415999999999996E-2</v>
      </c>
      <c r="O16" s="12">
        <v>9.4864000000000004E-2</v>
      </c>
      <c r="P16" s="12">
        <v>0.10743</v>
      </c>
      <c r="Q16" s="12">
        <v>0.11394</v>
      </c>
      <c r="R16" s="12">
        <v>0.11706999999999999</v>
      </c>
      <c r="S16" s="12">
        <v>0.11856</v>
      </c>
      <c r="T16" s="12">
        <v>0.11927</v>
      </c>
      <c r="U16" s="12">
        <v>0.11962</v>
      </c>
      <c r="V16" s="12">
        <v>0.1198</v>
      </c>
      <c r="W16" s="12">
        <v>0.11989</v>
      </c>
      <c r="X16" s="12">
        <v>0.11999</v>
      </c>
      <c r="Y16" s="12">
        <v>0.11999</v>
      </c>
      <c r="Z16" s="12">
        <v>0.11999</v>
      </c>
      <c r="AA16" s="12">
        <v>0.12</v>
      </c>
      <c r="AB16" s="12">
        <v>0.12</v>
      </c>
      <c r="AC16" s="12">
        <v>0.11996999999999999</v>
      </c>
      <c r="AD16" s="12">
        <v>0.11926</v>
      </c>
      <c r="AE16" s="12">
        <v>0.11877</v>
      </c>
      <c r="AF16" s="12">
        <v>0.11837</v>
      </c>
      <c r="AG16" s="12">
        <v>0.11694</v>
      </c>
      <c r="AH16" s="12"/>
      <c r="AI16" s="12"/>
      <c r="AJ16" s="12"/>
      <c r="AK16" s="12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76" t="s">
        <v>89</v>
      </c>
      <c r="F17" s="12">
        <v>3.6374999999999999E-28</v>
      </c>
      <c r="G17" s="12">
        <v>2.9487000000000001E-26</v>
      </c>
      <c r="H17" s="12">
        <v>2.0040999999999999E-24</v>
      </c>
      <c r="I17" s="12">
        <v>1.4044000000000001E-22</v>
      </c>
      <c r="J17" s="12">
        <v>9.4172000000000002E-21</v>
      </c>
      <c r="K17" s="12">
        <v>1.3252E-14</v>
      </c>
      <c r="L17" s="12">
        <v>2.1316999999999999E-13</v>
      </c>
      <c r="M17" s="12">
        <v>2.7485999999999998E-12</v>
      </c>
      <c r="N17" s="12">
        <v>3.0313999999999999E-11</v>
      </c>
      <c r="O17" s="12">
        <v>2.9357999999999998E-10</v>
      </c>
      <c r="P17" s="12">
        <v>2.5024E-9</v>
      </c>
      <c r="Q17" s="12">
        <v>1.8787000000000001E-8</v>
      </c>
      <c r="R17" s="12">
        <v>1.2485999999999999E-7</v>
      </c>
      <c r="S17" s="12">
        <v>7.4010999999999997E-7</v>
      </c>
      <c r="T17" s="12">
        <v>3.9424999999999999E-6</v>
      </c>
      <c r="U17" s="12">
        <v>1.8986000000000001E-5</v>
      </c>
      <c r="V17" s="12">
        <v>8.2616999999999999E-5</v>
      </c>
      <c r="W17" s="12">
        <v>3.1750000000000002E-4</v>
      </c>
      <c r="X17" s="12">
        <v>7.3359999999999996E-3</v>
      </c>
      <c r="Y17" s="12">
        <v>1.1124999999999999E-2</v>
      </c>
      <c r="Z17" s="12">
        <v>1.5989E-2</v>
      </c>
      <c r="AA17" s="12">
        <v>2.1892999999999999E-2</v>
      </c>
      <c r="AB17" s="12">
        <v>2.8590999999999998E-2</v>
      </c>
      <c r="AC17" s="12">
        <v>3.5165000000000002E-2</v>
      </c>
      <c r="AD17" s="12">
        <v>2.7507E-2</v>
      </c>
      <c r="AE17" s="12">
        <v>2.1121999999999998E-2</v>
      </c>
      <c r="AF17" s="12">
        <v>1.5965E-2</v>
      </c>
      <c r="AG17" s="12">
        <v>4.3797999999999997E-3</v>
      </c>
      <c r="AH17" s="12"/>
      <c r="AI17" s="12"/>
      <c r="AJ17" s="12"/>
      <c r="AK17" s="12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1</v>
      </c>
      <c r="C18" s="70">
        <f t="shared" si="0"/>
        <v>0</v>
      </c>
      <c r="D18" s="70">
        <f t="shared" si="0"/>
        <v>0</v>
      </c>
      <c r="E18" s="76" t="s">
        <v>90</v>
      </c>
      <c r="F18" s="12">
        <v>2.5337E-9</v>
      </c>
      <c r="G18" s="12">
        <v>8.7521E-9</v>
      </c>
      <c r="H18" s="12">
        <v>2.1410000000000001E-8</v>
      </c>
      <c r="I18" s="12">
        <v>3.5043999999999999E-8</v>
      </c>
      <c r="J18" s="12">
        <v>4.0088000000000001E-8</v>
      </c>
      <c r="K18" s="12">
        <v>2.18E-8</v>
      </c>
      <c r="L18" s="12">
        <v>2.0435000000000001E-8</v>
      </c>
      <c r="M18" s="12">
        <v>1.9989999999999999E-8</v>
      </c>
      <c r="N18" s="12">
        <v>1.9168E-8</v>
      </c>
      <c r="O18" s="12">
        <v>1.8243E-8</v>
      </c>
      <c r="P18" s="12">
        <v>1.6292999999999999E-8</v>
      </c>
      <c r="Q18" s="12">
        <v>1.3986E-8</v>
      </c>
      <c r="R18" s="12">
        <v>1.1771E-8</v>
      </c>
      <c r="S18" s="12">
        <v>9.8201E-9</v>
      </c>
      <c r="T18" s="12">
        <v>8.1651999999999999E-9</v>
      </c>
      <c r="U18" s="12">
        <v>6.7876E-9</v>
      </c>
      <c r="V18" s="12">
        <v>5.6655000000000003E-9</v>
      </c>
      <c r="W18" s="12">
        <v>4.8032999999999997E-9</v>
      </c>
      <c r="X18" s="12">
        <v>2.7602E-9</v>
      </c>
      <c r="Y18" s="12">
        <v>2.3245E-9</v>
      </c>
      <c r="Z18" s="12">
        <v>1.9566E-9</v>
      </c>
      <c r="AA18" s="12">
        <v>1.6493000000000001E-9</v>
      </c>
      <c r="AB18" s="12">
        <v>1.3927E-9</v>
      </c>
      <c r="AC18" s="12">
        <v>1.179E-9</v>
      </c>
      <c r="AD18" s="12">
        <v>1.0190000000000001E-9</v>
      </c>
      <c r="AE18" s="12">
        <v>8.6608999999999995E-10</v>
      </c>
      <c r="AF18" s="12">
        <v>7.3197999999999999E-10</v>
      </c>
      <c r="AG18" s="12">
        <v>3.7200000000000001E-10</v>
      </c>
      <c r="AH18" s="12"/>
      <c r="AI18" s="12"/>
      <c r="AJ18" s="12"/>
      <c r="AK18" s="12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76" t="s">
        <v>91</v>
      </c>
      <c r="F19" s="12">
        <v>5.8400000000000005E-10</v>
      </c>
      <c r="G19" s="12">
        <v>2.3464000000000001E-9</v>
      </c>
      <c r="H19" s="12">
        <v>6.5551000000000002E-9</v>
      </c>
      <c r="I19" s="12">
        <v>1.2069E-8</v>
      </c>
      <c r="J19" s="12">
        <v>1.5332000000000001E-8</v>
      </c>
      <c r="K19" s="12">
        <v>1.1541000000000001E-8</v>
      </c>
      <c r="L19" s="12">
        <v>1.153E-8</v>
      </c>
      <c r="M19" s="12">
        <v>1.1954000000000001E-8</v>
      </c>
      <c r="N19" s="12">
        <v>1.2058E-8</v>
      </c>
      <c r="O19" s="12">
        <v>1.1358999999999999E-8</v>
      </c>
      <c r="P19" s="12">
        <v>1.0034000000000001E-8</v>
      </c>
      <c r="Q19" s="12">
        <v>8.5150000000000005E-9</v>
      </c>
      <c r="R19" s="12">
        <v>7.0818999999999997E-9</v>
      </c>
      <c r="S19" s="12">
        <v>5.8369999999999996E-9</v>
      </c>
      <c r="T19" s="12">
        <v>4.7939999999999998E-9</v>
      </c>
      <c r="U19" s="12">
        <v>3.9361000000000001E-9</v>
      </c>
      <c r="V19" s="12">
        <v>3.2447999999999998E-9</v>
      </c>
      <c r="W19" s="12">
        <v>2.717E-9</v>
      </c>
      <c r="X19" s="12">
        <v>1.4865E-9</v>
      </c>
      <c r="Y19" s="12">
        <v>1.2368999999999999E-9</v>
      </c>
      <c r="Z19" s="12">
        <v>1.0288E-9</v>
      </c>
      <c r="AA19" s="12">
        <v>8.5701000000000002E-10</v>
      </c>
      <c r="AB19" s="12">
        <v>7.1524999999999999E-10</v>
      </c>
      <c r="AC19" s="12">
        <v>5.9853E-10</v>
      </c>
      <c r="AD19" s="12">
        <v>5.1136999999999996E-10</v>
      </c>
      <c r="AE19" s="12">
        <v>4.2971000000000001E-10</v>
      </c>
      <c r="AF19" s="12">
        <v>3.5909E-10</v>
      </c>
      <c r="AG19" s="12">
        <v>1.7455999999999999E-10</v>
      </c>
      <c r="AH19" s="12"/>
      <c r="AI19" s="12"/>
      <c r="AJ19" s="12"/>
      <c r="AK19" s="12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1</v>
      </c>
      <c r="C20" s="70">
        <f t="shared" si="1"/>
        <v>0</v>
      </c>
      <c r="D20" s="70">
        <f t="shared" si="1"/>
        <v>0</v>
      </c>
      <c r="E20" s="76" t="s">
        <v>92</v>
      </c>
      <c r="F20" s="12">
        <v>2.1339000000000002E-3</v>
      </c>
      <c r="G20" s="12">
        <v>9.3252000000000005E-3</v>
      </c>
      <c r="H20" s="12">
        <v>2.9215000000000001E-2</v>
      </c>
      <c r="I20" s="12">
        <v>6.1720999999999998E-2</v>
      </c>
      <c r="J20" s="12">
        <v>9.1555999999999998E-2</v>
      </c>
      <c r="K20" s="12">
        <v>0.14207</v>
      </c>
      <c r="L20" s="12">
        <v>0.17254</v>
      </c>
      <c r="M20" s="12">
        <v>0.21812000000000001</v>
      </c>
      <c r="N20" s="12">
        <v>0.26878000000000002</v>
      </c>
      <c r="O20" s="12">
        <v>0.30970999999999999</v>
      </c>
      <c r="P20" s="12">
        <v>0.33485999999999999</v>
      </c>
      <c r="Q20" s="12">
        <v>0.34788000000000002</v>
      </c>
      <c r="R20" s="12">
        <v>0.35415000000000002</v>
      </c>
      <c r="S20" s="12">
        <v>0.35713</v>
      </c>
      <c r="T20" s="12">
        <v>0.35861999999999999</v>
      </c>
      <c r="U20" s="12">
        <v>0.35970999999999997</v>
      </c>
      <c r="V20" s="12">
        <v>0.3619</v>
      </c>
      <c r="W20" s="12">
        <v>0.36943999999999999</v>
      </c>
      <c r="X20" s="12">
        <v>0.44120999999999999</v>
      </c>
      <c r="Y20" s="12">
        <v>0.44485000000000002</v>
      </c>
      <c r="Z20" s="12">
        <v>0.44778000000000001</v>
      </c>
      <c r="AA20" s="12">
        <v>0.45088</v>
      </c>
      <c r="AB20" s="12">
        <v>0.45427000000000001</v>
      </c>
      <c r="AC20" s="12">
        <v>0.45835999999999999</v>
      </c>
      <c r="AD20" s="12">
        <v>0.47164</v>
      </c>
      <c r="AE20" s="12">
        <v>0.47675000000000001</v>
      </c>
      <c r="AF20" s="12">
        <v>0.47871000000000002</v>
      </c>
      <c r="AG20" s="12">
        <v>0.47996</v>
      </c>
      <c r="AH20" s="12"/>
      <c r="AI20" s="12"/>
      <c r="AJ20" s="12"/>
      <c r="AK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76" t="s">
        <v>93</v>
      </c>
      <c r="F21" s="12">
        <v>6.4788000000000002E-12</v>
      </c>
      <c r="G21" s="12">
        <v>3.6438999999999997E-11</v>
      </c>
      <c r="H21" s="12">
        <v>1.3745E-10</v>
      </c>
      <c r="I21" s="12">
        <v>3.3158000000000001E-10</v>
      </c>
      <c r="J21" s="12">
        <v>5.3816000000000003E-10</v>
      </c>
      <c r="K21" s="12">
        <v>8.9524999999999998E-10</v>
      </c>
      <c r="L21" s="12">
        <v>1.0527000000000001E-9</v>
      </c>
      <c r="M21" s="12">
        <v>1.2709E-9</v>
      </c>
      <c r="N21" s="12">
        <v>1.4783E-9</v>
      </c>
      <c r="O21" s="12">
        <v>1.5923E-9</v>
      </c>
      <c r="P21" s="12">
        <v>1.5959E-9</v>
      </c>
      <c r="Q21" s="12">
        <v>1.5259000000000001E-9</v>
      </c>
      <c r="R21" s="12">
        <v>1.421E-9</v>
      </c>
      <c r="S21" s="12">
        <v>1.3038E-9</v>
      </c>
      <c r="T21" s="12">
        <v>1.1859E-9</v>
      </c>
      <c r="U21" s="12">
        <v>1.0730999999999999E-9</v>
      </c>
      <c r="V21" s="12">
        <v>9.7069999999999997E-10</v>
      </c>
      <c r="W21" s="12">
        <v>8.8829000000000004E-10</v>
      </c>
      <c r="X21" s="12">
        <v>6.6946999999999996E-10</v>
      </c>
      <c r="Y21" s="12">
        <v>5.9896999999999995E-10</v>
      </c>
      <c r="Z21" s="12">
        <v>5.3429000000000002E-10</v>
      </c>
      <c r="AA21" s="12">
        <v>4.7617000000000002E-10</v>
      </c>
      <c r="AB21" s="12">
        <v>4.2419000000000001E-10</v>
      </c>
      <c r="AC21" s="12">
        <v>3.7808E-10</v>
      </c>
      <c r="AD21" s="12">
        <v>3.4335000000000001E-10</v>
      </c>
      <c r="AE21" s="12">
        <v>3.0610000000000001E-10</v>
      </c>
      <c r="AF21" s="12">
        <v>2.7088999999999998E-10</v>
      </c>
      <c r="AG21" s="12">
        <v>1.6297000000000001E-10</v>
      </c>
      <c r="AH21" s="12"/>
      <c r="AI21" s="12"/>
      <c r="AJ21" s="12"/>
      <c r="AK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1</v>
      </c>
      <c r="D22" s="70">
        <f t="shared" si="1"/>
        <v>0</v>
      </c>
      <c r="E22" s="76" t="s">
        <v>99</v>
      </c>
      <c r="F22" s="12">
        <v>4.5409000000000001E-7</v>
      </c>
      <c r="G22" s="12">
        <v>1.1596000000000001E-6</v>
      </c>
      <c r="H22" s="12">
        <v>3.6376000000000001E-6</v>
      </c>
      <c r="I22" s="12">
        <v>1.4951E-5</v>
      </c>
      <c r="J22" s="12">
        <v>6.8635999999999998E-5</v>
      </c>
      <c r="K22" s="12">
        <v>1.1455999999999999E-2</v>
      </c>
      <c r="L22" s="12">
        <v>2.6453999999999998E-2</v>
      </c>
      <c r="M22" s="12">
        <v>4.9137E-2</v>
      </c>
      <c r="N22" s="12">
        <v>7.4415999999999996E-2</v>
      </c>
      <c r="O22" s="12">
        <v>9.4864000000000004E-2</v>
      </c>
      <c r="P22" s="12">
        <v>0.10743</v>
      </c>
      <c r="Q22" s="12">
        <v>0.11394</v>
      </c>
      <c r="R22" s="12">
        <v>0.11706999999999999</v>
      </c>
      <c r="S22" s="12">
        <v>0.11856</v>
      </c>
      <c r="T22" s="12">
        <v>0.11927</v>
      </c>
      <c r="U22" s="12">
        <v>0.11962</v>
      </c>
      <c r="V22" s="12">
        <v>0.1198</v>
      </c>
      <c r="W22" s="12">
        <v>0.11989</v>
      </c>
      <c r="X22" s="12">
        <v>0.11999</v>
      </c>
      <c r="Y22" s="12">
        <v>0.11999</v>
      </c>
      <c r="Z22" s="12">
        <v>0.11999</v>
      </c>
      <c r="AA22" s="12">
        <v>0.12</v>
      </c>
      <c r="AB22" s="12">
        <v>0.12</v>
      </c>
      <c r="AC22" s="12">
        <v>0.11996999999999999</v>
      </c>
      <c r="AD22" s="12">
        <v>0.11926</v>
      </c>
      <c r="AE22" s="12">
        <v>0.11877</v>
      </c>
      <c r="AF22" s="12">
        <v>0.11837</v>
      </c>
      <c r="AG22" s="12">
        <v>0.11694</v>
      </c>
      <c r="AH22" s="12"/>
      <c r="AI22" s="12"/>
      <c r="AJ22" s="12"/>
      <c r="AK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1</v>
      </c>
      <c r="E23" s="67" t="s">
        <v>67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2.9604E-33</v>
      </c>
      <c r="Y23" s="12">
        <v>3.7014000000000003E-26</v>
      </c>
      <c r="Z23" s="12">
        <v>2.1821E-19</v>
      </c>
      <c r="AA23" s="12">
        <v>3.8508999999999998E-13</v>
      </c>
      <c r="AB23" s="12">
        <v>5.2928000000000003E-8</v>
      </c>
      <c r="AC23" s="12">
        <v>1.5735E-3</v>
      </c>
      <c r="AD23" s="12">
        <v>3.5756999999999997E-2</v>
      </c>
      <c r="AE23" s="12">
        <v>5.2352000000000003E-2</v>
      </c>
      <c r="AF23" s="12">
        <v>6.1423999999999999E-2</v>
      </c>
      <c r="AG23" s="12">
        <v>7.5535000000000005E-2</v>
      </c>
      <c r="AH23" s="12"/>
      <c r="AI23" s="12"/>
      <c r="AJ23" s="12"/>
      <c r="AK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1</v>
      </c>
      <c r="D24" s="70">
        <f t="shared" si="1"/>
        <v>0</v>
      </c>
      <c r="E24" s="67" t="s">
        <v>66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6.6405999999999999E-34</v>
      </c>
      <c r="Y24" s="12">
        <v>5.4394E-27</v>
      </c>
      <c r="Z24" s="12">
        <v>2.1702999999999999E-20</v>
      </c>
      <c r="AA24" s="12">
        <v>2.6639000000000001E-14</v>
      </c>
      <c r="AB24" s="12">
        <v>2.6133000000000001E-9</v>
      </c>
      <c r="AC24" s="12">
        <v>5.7606999999999999E-5</v>
      </c>
      <c r="AD24" s="12">
        <v>1.4848999999999999E-3</v>
      </c>
      <c r="AE24" s="12">
        <v>2.4618999999999999E-3</v>
      </c>
      <c r="AF24" s="12">
        <v>3.2528000000000001E-3</v>
      </c>
      <c r="AG24" s="12">
        <v>6.1139000000000002E-3</v>
      </c>
      <c r="AH24" s="12"/>
      <c r="AI24" s="12"/>
      <c r="AJ24" s="12"/>
      <c r="AK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1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 t="s">
        <v>36</v>
      </c>
      <c r="F25" s="12">
        <v>-18.71</v>
      </c>
      <c r="G25" s="12">
        <v>-18.7</v>
      </c>
      <c r="H25" s="12">
        <v>-18.7</v>
      </c>
      <c r="I25" s="12">
        <v>-18.7</v>
      </c>
      <c r="J25" s="12">
        <v>-18.72</v>
      </c>
      <c r="K25" s="12">
        <v>-18.829999999999998</v>
      </c>
      <c r="L25" s="12">
        <v>-18.87</v>
      </c>
      <c r="M25" s="12">
        <v>-18.899999999999999</v>
      </c>
      <c r="N25" s="12">
        <v>-18.940000000000001</v>
      </c>
      <c r="O25" s="12">
        <v>-18.98</v>
      </c>
      <c r="P25" s="12">
        <v>-19.02</v>
      </c>
      <c r="Q25" s="12">
        <v>-19.059999999999999</v>
      </c>
      <c r="R25" s="12">
        <v>-19.100000000000001</v>
      </c>
      <c r="S25" s="12">
        <v>-19.14</v>
      </c>
      <c r="T25" s="12">
        <v>-19.18</v>
      </c>
      <c r="U25" s="12">
        <v>-19.23</v>
      </c>
      <c r="V25" s="12">
        <v>-19.27</v>
      </c>
      <c r="W25" s="12">
        <v>-19.3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-19.62</v>
      </c>
      <c r="AD25" s="12">
        <v>-19.66</v>
      </c>
      <c r="AE25" s="12">
        <v>-19.7</v>
      </c>
      <c r="AF25" s="12">
        <v>-19.739999999999998</v>
      </c>
      <c r="AG25" s="12">
        <v>-19.88</v>
      </c>
      <c r="AH25" s="12"/>
      <c r="AI25" s="12"/>
      <c r="AJ25" s="12"/>
      <c r="AK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1</v>
      </c>
      <c r="E26" s="67" t="s">
        <v>5</v>
      </c>
      <c r="F26" s="12">
        <v>-66.75</v>
      </c>
      <c r="G26" s="12">
        <v>-62.38</v>
      </c>
      <c r="H26" s="12">
        <v>-58.23</v>
      </c>
      <c r="I26" s="12">
        <v>-54.11</v>
      </c>
      <c r="J26" s="12">
        <v>-50.02</v>
      </c>
      <c r="K26" s="12">
        <v>-36.159999999999997</v>
      </c>
      <c r="L26" s="12">
        <v>-33.5</v>
      </c>
      <c r="M26" s="12">
        <v>-31.09</v>
      </c>
      <c r="N26" s="12">
        <v>-28.84</v>
      </c>
      <c r="O26" s="12">
        <v>-26.68</v>
      </c>
      <c r="P26" s="12">
        <v>-24.62</v>
      </c>
      <c r="Q26" s="12">
        <v>-22.66</v>
      </c>
      <c r="R26" s="12">
        <v>-20.81</v>
      </c>
      <c r="S26" s="12">
        <v>-19.059999999999999</v>
      </c>
      <c r="T26" s="12">
        <v>-17.399999999999999</v>
      </c>
      <c r="U26" s="12">
        <v>-15.83</v>
      </c>
      <c r="V26" s="12">
        <v>-14.36</v>
      </c>
      <c r="W26" s="12">
        <v>-13.01</v>
      </c>
      <c r="X26" s="12">
        <v>-9.8030000000000008</v>
      </c>
      <c r="Y26" s="12">
        <v>-9.3119999999999994</v>
      </c>
      <c r="Z26" s="12">
        <v>-8.8580000000000005</v>
      </c>
      <c r="AA26" s="12">
        <v>-8.4390000000000001</v>
      </c>
      <c r="AB26" s="12">
        <v>-8.0500000000000007</v>
      </c>
      <c r="AC26" s="12">
        <v>-7.7050000000000001</v>
      </c>
      <c r="AD26" s="12">
        <v>-7.774</v>
      </c>
      <c r="AE26" s="12">
        <v>-7.8449999999999998</v>
      </c>
      <c r="AF26" s="12">
        <v>-7.915</v>
      </c>
      <c r="AG26" s="12">
        <v>-8.1869999999999994</v>
      </c>
      <c r="AH26" s="12"/>
      <c r="AI26" s="12"/>
      <c r="AJ26" s="12"/>
      <c r="AK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1</v>
      </c>
      <c r="D27" s="70">
        <f t="shared" si="1"/>
        <v>0</v>
      </c>
      <c r="E27" s="67" t="s">
        <v>6</v>
      </c>
      <c r="F27" s="12">
        <v>-17.02</v>
      </c>
      <c r="G27" s="12">
        <v>-16.100000000000001</v>
      </c>
      <c r="H27" s="12">
        <v>-15.04</v>
      </c>
      <c r="I27" s="12">
        <v>-13.75</v>
      </c>
      <c r="J27" s="12">
        <v>-12.33</v>
      </c>
      <c r="K27" s="12">
        <v>-7.4930000000000003</v>
      </c>
      <c r="L27" s="12">
        <v>-6.7720000000000002</v>
      </c>
      <c r="M27" s="12">
        <v>-6.2990000000000004</v>
      </c>
      <c r="N27" s="12">
        <v>-6.0309999999999997</v>
      </c>
      <c r="O27" s="12">
        <v>-5.9109999999999996</v>
      </c>
      <c r="P27" s="12">
        <v>-5.8780000000000001</v>
      </c>
      <c r="Q27" s="12">
        <v>-5.89</v>
      </c>
      <c r="R27" s="12">
        <v>-5.923</v>
      </c>
      <c r="S27" s="12">
        <v>-5.9649999999999999</v>
      </c>
      <c r="T27" s="12">
        <v>-6.0110000000000001</v>
      </c>
      <c r="U27" s="12">
        <v>-6.06</v>
      </c>
      <c r="V27" s="12">
        <v>-6.1130000000000004</v>
      </c>
      <c r="W27" s="12">
        <v>-6.1749999999999998</v>
      </c>
      <c r="X27" s="12">
        <v>-6.4939999999999998</v>
      </c>
      <c r="Y27" s="12">
        <v>-6.55</v>
      </c>
      <c r="Z27" s="12">
        <v>-6.6059999999999999</v>
      </c>
      <c r="AA27" s="12">
        <v>-6.6609999999999996</v>
      </c>
      <c r="AB27" s="12">
        <v>-6.718</v>
      </c>
      <c r="AC27" s="12">
        <v>-6.7729999999999997</v>
      </c>
      <c r="AD27" s="12">
        <v>-6.8140000000000001</v>
      </c>
      <c r="AE27" s="12">
        <v>-6.8540000000000001</v>
      </c>
      <c r="AF27" s="12">
        <v>-6.8940000000000001</v>
      </c>
      <c r="AG27" s="12">
        <v>-7.0640000000000001</v>
      </c>
      <c r="AH27" s="12"/>
      <c r="AI27" s="12"/>
      <c r="AJ27" s="12"/>
      <c r="AK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2" si="2">IF( ISNUMBER( FIND(A$3,$E28,1)),   IF( ISNUMBER( VALUE(MID($E28,FIND(A$3,$E28,1)+2,1)) ), VALUE( MID($E28,FIND(A$3,$E28,1)+2,1) ),1),0)</f>
        <v>0</v>
      </c>
      <c r="B28" s="70">
        <f t="shared" si="2"/>
        <v>1</v>
      </c>
      <c r="C28" s="70">
        <f t="shared" si="2"/>
        <v>0</v>
      </c>
      <c r="D28" s="70">
        <f t="shared" si="2"/>
        <v>0</v>
      </c>
      <c r="E28" s="67" t="s">
        <v>7</v>
      </c>
      <c r="F28" s="12">
        <v>-23.56</v>
      </c>
      <c r="G28" s="12">
        <v>-22.33</v>
      </c>
      <c r="H28" s="12">
        <v>-21.52</v>
      </c>
      <c r="I28" s="12">
        <v>-21.15</v>
      </c>
      <c r="J28" s="12">
        <v>-21.13</v>
      </c>
      <c r="K28" s="12">
        <v>-22.02</v>
      </c>
      <c r="L28" s="12">
        <v>-22.21</v>
      </c>
      <c r="M28" s="12">
        <v>-22.38</v>
      </c>
      <c r="N28" s="12">
        <v>-22.58</v>
      </c>
      <c r="O28" s="12">
        <v>-22.81</v>
      </c>
      <c r="P28" s="12">
        <v>-23.08</v>
      </c>
      <c r="Q28" s="12">
        <v>-23.36</v>
      </c>
      <c r="R28" s="12">
        <v>-23.65</v>
      </c>
      <c r="S28" s="12">
        <v>-23.94</v>
      </c>
      <c r="T28" s="12">
        <v>-24.22</v>
      </c>
      <c r="U28" s="12">
        <v>-24.51</v>
      </c>
      <c r="V28" s="12">
        <v>-24.79</v>
      </c>
      <c r="W28" s="12">
        <v>-25.06</v>
      </c>
      <c r="X28" s="12">
        <v>-26.1</v>
      </c>
      <c r="Y28" s="12">
        <v>-26.36</v>
      </c>
      <c r="Z28" s="12">
        <v>-26.63</v>
      </c>
      <c r="AA28" s="12">
        <v>-26.89</v>
      </c>
      <c r="AB28" s="12">
        <v>-27.15</v>
      </c>
      <c r="AC28" s="12">
        <v>-27.4</v>
      </c>
      <c r="AD28" s="12">
        <v>-27.61</v>
      </c>
      <c r="AE28" s="12">
        <v>-27.84</v>
      </c>
      <c r="AF28" s="12">
        <v>-28.08</v>
      </c>
      <c r="AG28" s="12">
        <v>-29.02</v>
      </c>
      <c r="AH28" s="12"/>
      <c r="AI28" s="12"/>
      <c r="AJ28" s="12"/>
      <c r="AK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ref="A33:D33" si="3">IF( ISNUMBER( FIND(A$3,$E33,1)),   IF( ISNUMBER( VALUE(MID($E33,FIND(A$3,$E33,1)+2,1)) ), VALUE( MID($E33,FIND(A$3,$E33,1)+2,1) ),1),0)</f>
        <v>0</v>
      </c>
      <c r="B33" s="70">
        <f t="shared" si="3"/>
        <v>0</v>
      </c>
      <c r="C33" s="70">
        <f t="shared" si="3"/>
        <v>0</v>
      </c>
      <c r="D33" s="70">
        <f t="shared" si="3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>MATCH(C34,$E$4:$E$33)</f>
        <v>22</v>
      </c>
      <c r="E34" s="24" t="str">
        <f ca="1">OFFSET($E$3:$AL$3,$D34,0)</f>
        <v>H (Ar)</v>
      </c>
      <c r="F34" s="28">
        <f t="shared" ref="F34:AL37" ca="1" si="4">OFFSET($E$3:$AL$3,$D34,0)</f>
        <v>-18.71</v>
      </c>
      <c r="G34" s="28">
        <f t="shared" ca="1" si="4"/>
        <v>-18.7</v>
      </c>
      <c r="H34" s="28">
        <f t="shared" ca="1" si="4"/>
        <v>-18.7</v>
      </c>
      <c r="I34" s="28">
        <f t="shared" ca="1" si="4"/>
        <v>-18.7</v>
      </c>
      <c r="J34" s="28">
        <f t="shared" ca="1" si="4"/>
        <v>-18.72</v>
      </c>
      <c r="K34" s="28">
        <f t="shared" ca="1" si="4"/>
        <v>-18.829999999999998</v>
      </c>
      <c r="L34" s="28">
        <f t="shared" ca="1" si="4"/>
        <v>-18.87</v>
      </c>
      <c r="M34" s="28">
        <f t="shared" ca="1" si="4"/>
        <v>-18.899999999999999</v>
      </c>
      <c r="N34" s="28">
        <f t="shared" ca="1" si="4"/>
        <v>-18.940000000000001</v>
      </c>
      <c r="O34" s="28">
        <f t="shared" ca="1" si="4"/>
        <v>-18.98</v>
      </c>
      <c r="P34" s="28">
        <f t="shared" ca="1" si="4"/>
        <v>-19.02</v>
      </c>
      <c r="Q34" s="28">
        <f t="shared" ca="1" si="4"/>
        <v>-19.059999999999999</v>
      </c>
      <c r="R34" s="28">
        <f t="shared" ca="1" si="4"/>
        <v>-19.100000000000001</v>
      </c>
      <c r="S34" s="28">
        <f t="shared" ca="1" si="4"/>
        <v>-19.14</v>
      </c>
      <c r="T34" s="28">
        <f t="shared" ca="1" si="4"/>
        <v>-19.18</v>
      </c>
      <c r="U34" s="96">
        <f t="shared" ca="1" si="4"/>
        <v>-19.23</v>
      </c>
      <c r="V34" s="97">
        <f t="shared" ca="1" si="4"/>
        <v>-19.27</v>
      </c>
      <c r="W34" s="109">
        <f t="shared" ca="1" si="4"/>
        <v>-19.3</v>
      </c>
      <c r="X34" s="28">
        <f t="shared" ca="1" si="4"/>
        <v>-19.43</v>
      </c>
      <c r="Y34" s="28">
        <f t="shared" ca="1" si="4"/>
        <v>-19.47</v>
      </c>
      <c r="Z34" s="28">
        <f t="shared" ca="1" si="4"/>
        <v>-19.510000000000002</v>
      </c>
      <c r="AA34" s="28">
        <f t="shared" ca="1" si="4"/>
        <v>-19.55</v>
      </c>
      <c r="AB34" s="28">
        <f t="shared" ca="1" si="4"/>
        <v>-19.59</v>
      </c>
      <c r="AC34" s="28">
        <f t="shared" ca="1" si="4"/>
        <v>-19.62</v>
      </c>
      <c r="AD34" s="28">
        <f t="shared" ca="1" si="4"/>
        <v>-19.66</v>
      </c>
      <c r="AE34" s="28">
        <f t="shared" ca="1" si="4"/>
        <v>-19.7</v>
      </c>
      <c r="AF34" s="28">
        <f t="shared" ca="1" si="4"/>
        <v>-19.739999999999998</v>
      </c>
      <c r="AG34" s="28">
        <f t="shared" ca="1" si="4"/>
        <v>-19.88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s="63" customFormat="1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ref="D35:D37" si="5">MATCH(C35,$E$4:$E$33)</f>
        <v>23</v>
      </c>
      <c r="E35" s="24" t="str">
        <f t="shared" ref="E35:E37" ca="1" si="6">OFFSET($E$3:$AL$3,$D35,0)</f>
        <v>H (Ga)</v>
      </c>
      <c r="F35" s="28">
        <f t="shared" ca="1" si="4"/>
        <v>-66.75</v>
      </c>
      <c r="G35" s="28">
        <f t="shared" ca="1" si="4"/>
        <v>-62.38</v>
      </c>
      <c r="H35" s="28">
        <f t="shared" ca="1" si="4"/>
        <v>-58.23</v>
      </c>
      <c r="I35" s="28">
        <f t="shared" ca="1" si="4"/>
        <v>-54.11</v>
      </c>
      <c r="J35" s="28">
        <f t="shared" ca="1" si="4"/>
        <v>-50.02</v>
      </c>
      <c r="K35" s="28">
        <f t="shared" ca="1" si="4"/>
        <v>-36.159999999999997</v>
      </c>
      <c r="L35" s="28">
        <f t="shared" ca="1" si="4"/>
        <v>-33.5</v>
      </c>
      <c r="M35" s="28">
        <f t="shared" ca="1" si="4"/>
        <v>-31.09</v>
      </c>
      <c r="N35" s="28">
        <f t="shared" ca="1" si="4"/>
        <v>-28.84</v>
      </c>
      <c r="O35" s="28">
        <f t="shared" ca="1" si="4"/>
        <v>-26.68</v>
      </c>
      <c r="P35" s="28">
        <f t="shared" ca="1" si="4"/>
        <v>-24.62</v>
      </c>
      <c r="Q35" s="28">
        <f t="shared" ca="1" si="4"/>
        <v>-22.66</v>
      </c>
      <c r="R35" s="28">
        <f t="shared" ca="1" si="4"/>
        <v>-20.81</v>
      </c>
      <c r="S35" s="28">
        <f t="shared" ca="1" si="4"/>
        <v>-19.059999999999999</v>
      </c>
      <c r="T35" s="28">
        <f t="shared" ca="1" si="4"/>
        <v>-17.399999999999999</v>
      </c>
      <c r="U35" s="96">
        <f t="shared" ca="1" si="4"/>
        <v>-15.83</v>
      </c>
      <c r="V35" s="97">
        <f t="shared" ca="1" si="4"/>
        <v>-14.36</v>
      </c>
      <c r="W35" s="109">
        <f t="shared" ca="1" si="4"/>
        <v>-13.01</v>
      </c>
      <c r="X35" s="28">
        <f t="shared" ca="1" si="4"/>
        <v>-9.8030000000000008</v>
      </c>
      <c r="Y35" s="28">
        <f t="shared" ca="1" si="4"/>
        <v>-9.3119999999999994</v>
      </c>
      <c r="Z35" s="28">
        <f t="shared" ca="1" si="4"/>
        <v>-8.8580000000000005</v>
      </c>
      <c r="AA35" s="28">
        <f t="shared" ca="1" si="4"/>
        <v>-8.4390000000000001</v>
      </c>
      <c r="AB35" s="28">
        <f t="shared" ca="1" si="4"/>
        <v>-8.0500000000000007</v>
      </c>
      <c r="AC35" s="28">
        <f t="shared" ca="1" si="4"/>
        <v>-7.7050000000000001</v>
      </c>
      <c r="AD35" s="28">
        <f t="shared" ca="1" si="4"/>
        <v>-7.774</v>
      </c>
      <c r="AE35" s="28">
        <f t="shared" ca="1" si="4"/>
        <v>-7.8449999999999998</v>
      </c>
      <c r="AF35" s="28">
        <f t="shared" ca="1" si="4"/>
        <v>-7.915</v>
      </c>
      <c r="AG35" s="28">
        <f t="shared" ca="1" si="4"/>
        <v>-8.1869999999999994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s="63" customFormat="1" ht="21" customHeight="1" outlineLevel="1" x14ac:dyDescent="0.35">
      <c r="C36" s="24" t="s">
        <v>6</v>
      </c>
      <c r="D36" s="75">
        <f t="shared" si="5"/>
        <v>24</v>
      </c>
      <c r="E36" s="24" t="str">
        <f t="shared" ca="1" si="6"/>
        <v>H (Ge)</v>
      </c>
      <c r="F36" s="28">
        <f t="shared" ca="1" si="4"/>
        <v>-17.02</v>
      </c>
      <c r="G36" s="28">
        <f t="shared" ca="1" si="4"/>
        <v>-16.100000000000001</v>
      </c>
      <c r="H36" s="28">
        <f t="shared" ca="1" si="4"/>
        <v>-15.04</v>
      </c>
      <c r="I36" s="28">
        <f t="shared" ca="1" si="4"/>
        <v>-13.75</v>
      </c>
      <c r="J36" s="28">
        <f t="shared" ca="1" si="4"/>
        <v>-12.33</v>
      </c>
      <c r="K36" s="28">
        <f t="shared" ca="1" si="4"/>
        <v>-7.4930000000000003</v>
      </c>
      <c r="L36" s="28">
        <f t="shared" ca="1" si="4"/>
        <v>-6.7720000000000002</v>
      </c>
      <c r="M36" s="28">
        <f t="shared" ca="1" si="4"/>
        <v>-6.2990000000000004</v>
      </c>
      <c r="N36" s="28">
        <f t="shared" ca="1" si="4"/>
        <v>-6.0309999999999997</v>
      </c>
      <c r="O36" s="28">
        <f t="shared" ca="1" si="4"/>
        <v>-5.9109999999999996</v>
      </c>
      <c r="P36" s="28">
        <f t="shared" ca="1" si="4"/>
        <v>-5.8780000000000001</v>
      </c>
      <c r="Q36" s="28">
        <f t="shared" ca="1" si="4"/>
        <v>-5.89</v>
      </c>
      <c r="R36" s="28">
        <f t="shared" ca="1" si="4"/>
        <v>-5.923</v>
      </c>
      <c r="S36" s="28">
        <f t="shared" ca="1" si="4"/>
        <v>-5.9649999999999999</v>
      </c>
      <c r="T36" s="28">
        <f t="shared" ca="1" si="4"/>
        <v>-6.0110000000000001</v>
      </c>
      <c r="U36" s="97">
        <f t="shared" ca="1" si="4"/>
        <v>-6.06</v>
      </c>
      <c r="V36" s="97">
        <f t="shared" ca="1" si="4"/>
        <v>-6.1130000000000004</v>
      </c>
      <c r="W36" s="109">
        <f t="shared" ca="1" si="4"/>
        <v>-6.1749999999999998</v>
      </c>
      <c r="X36" s="28">
        <f t="shared" ca="1" si="4"/>
        <v>-6.4939999999999998</v>
      </c>
      <c r="Y36" s="28">
        <f t="shared" ca="1" si="4"/>
        <v>-6.55</v>
      </c>
      <c r="Z36" s="28">
        <f t="shared" ca="1" si="4"/>
        <v>-6.6059999999999999</v>
      </c>
      <c r="AA36" s="28">
        <f t="shared" ca="1" si="4"/>
        <v>-6.6609999999999996</v>
      </c>
      <c r="AB36" s="28">
        <f t="shared" ca="1" si="4"/>
        <v>-6.718</v>
      </c>
      <c r="AC36" s="28">
        <f t="shared" ca="1" si="4"/>
        <v>-6.7729999999999997</v>
      </c>
      <c r="AD36" s="28">
        <f t="shared" ca="1" si="4"/>
        <v>-6.8140000000000001</v>
      </c>
      <c r="AE36" s="28">
        <f t="shared" ca="1" si="4"/>
        <v>-6.8540000000000001</v>
      </c>
      <c r="AF36" s="28">
        <f t="shared" ca="1" si="4"/>
        <v>-6.8940000000000001</v>
      </c>
      <c r="AG36" s="28">
        <f t="shared" ca="1" si="4"/>
        <v>-7.0640000000000001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5"/>
        <v>25</v>
      </c>
      <c r="E37" s="24" t="str">
        <f t="shared" ca="1" si="6"/>
        <v>H (Se)</v>
      </c>
      <c r="F37" s="28">
        <f t="shared" ca="1" si="4"/>
        <v>-23.56</v>
      </c>
      <c r="G37" s="28">
        <f t="shared" ca="1" si="4"/>
        <v>-22.33</v>
      </c>
      <c r="H37" s="28">
        <f t="shared" ca="1" si="4"/>
        <v>-21.52</v>
      </c>
      <c r="I37" s="28">
        <f t="shared" ca="1" si="4"/>
        <v>-21.15</v>
      </c>
      <c r="J37" s="28">
        <f t="shared" ca="1" si="4"/>
        <v>-21.13</v>
      </c>
      <c r="K37" s="28">
        <f t="shared" ca="1" si="4"/>
        <v>-22.02</v>
      </c>
      <c r="L37" s="28">
        <f t="shared" ca="1" si="4"/>
        <v>-22.21</v>
      </c>
      <c r="M37" s="28">
        <f t="shared" ca="1" si="4"/>
        <v>-22.38</v>
      </c>
      <c r="N37" s="28">
        <f t="shared" ca="1" si="4"/>
        <v>-22.58</v>
      </c>
      <c r="O37" s="28">
        <f t="shared" ca="1" si="4"/>
        <v>-22.81</v>
      </c>
      <c r="P37" s="28">
        <f t="shared" ca="1" si="4"/>
        <v>-23.08</v>
      </c>
      <c r="Q37" s="28">
        <f t="shared" ca="1" si="4"/>
        <v>-23.36</v>
      </c>
      <c r="R37" s="28">
        <f t="shared" ca="1" si="4"/>
        <v>-23.65</v>
      </c>
      <c r="S37" s="28">
        <f t="shared" ca="1" si="4"/>
        <v>-23.94</v>
      </c>
      <c r="T37" s="28">
        <f t="shared" ca="1" si="4"/>
        <v>-24.22</v>
      </c>
      <c r="U37" s="97">
        <f t="shared" ca="1" si="4"/>
        <v>-24.51</v>
      </c>
      <c r="V37" s="97">
        <f t="shared" ca="1" si="4"/>
        <v>-24.79</v>
      </c>
      <c r="W37" s="109">
        <f t="shared" ca="1" si="4"/>
        <v>-25.06</v>
      </c>
      <c r="X37" s="28">
        <f t="shared" ca="1" si="4"/>
        <v>-26.1</v>
      </c>
      <c r="Y37" s="28">
        <f t="shared" ca="1" si="4"/>
        <v>-26.36</v>
      </c>
      <c r="Z37" s="28">
        <f t="shared" ca="1" si="4"/>
        <v>-26.63</v>
      </c>
      <c r="AA37" s="28">
        <f t="shared" ca="1" si="4"/>
        <v>-26.89</v>
      </c>
      <c r="AB37" s="28">
        <f t="shared" ca="1" si="4"/>
        <v>-27.15</v>
      </c>
      <c r="AC37" s="28">
        <f t="shared" ca="1" si="4"/>
        <v>-27.4</v>
      </c>
      <c r="AD37" s="28">
        <f t="shared" ca="1" si="4"/>
        <v>-27.61</v>
      </c>
      <c r="AE37" s="28">
        <f t="shared" ca="1" si="4"/>
        <v>-27.84</v>
      </c>
      <c r="AF37" s="28">
        <f t="shared" ca="1" si="4"/>
        <v>-28.08</v>
      </c>
      <c r="AG37" s="28">
        <f t="shared" ca="1" si="4"/>
        <v>-29.02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s="63" customFormat="1" ht="21" customHeight="1" thickBot="1" x14ac:dyDescent="0.4">
      <c r="U38" s="52"/>
      <c r="V38" s="53"/>
      <c r="W38" s="110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98"/>
      <c r="V39" s="16"/>
      <c r="W39" s="111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434.7</v>
      </c>
      <c r="L40" s="19">
        <f t="shared" si="7"/>
        <v>454.9</v>
      </c>
      <c r="M40" s="19">
        <f t="shared" si="7"/>
        <v>475.1</v>
      </c>
      <c r="N40" s="19">
        <f t="shared" si="7"/>
        <v>495.2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88">
        <f t="shared" si="7"/>
        <v>616.4</v>
      </c>
      <c r="U40" s="99">
        <f t="shared" si="7"/>
        <v>636.6</v>
      </c>
      <c r="V40" s="19">
        <f t="shared" si="7"/>
        <v>656.8</v>
      </c>
      <c r="W40" s="112">
        <f t="shared" si="7"/>
        <v>677</v>
      </c>
      <c r="X40" s="90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858.7</v>
      </c>
      <c r="AD40" s="19">
        <f t="shared" si="7"/>
        <v>878.9</v>
      </c>
      <c r="AE40" s="19">
        <f t="shared" si="7"/>
        <v>899</v>
      </c>
      <c r="AF40" s="19">
        <f t="shared" si="7"/>
        <v>919.2</v>
      </c>
      <c r="AG40" s="19">
        <f>AG3</f>
        <v>1000</v>
      </c>
      <c r="AH40" s="19">
        <f t="shared" si="7"/>
        <v>0</v>
      </c>
      <c r="AI40" s="19">
        <f>AI3</f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hidden="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8">($B$41*H.Ge+$C$41*H.Ga+$D$41*H.Se)*F$40*$B$2/1000</f>
        <v>-196.1649047805</v>
      </c>
      <c r="G41" s="21">
        <f t="shared" ca="1" si="8"/>
        <v>-198.87945322700003</v>
      </c>
      <c r="H41" s="21">
        <f t="shared" ca="1" si="8"/>
        <v>-201.98510466750002</v>
      </c>
      <c r="I41" s="21">
        <f t="shared" ca="1" si="8"/>
        <v>-205.55706098300001</v>
      </c>
      <c r="J41" s="21">
        <f t="shared" ca="1" si="8"/>
        <v>-209.69246879149998</v>
      </c>
      <c r="K41" s="21">
        <f t="shared" ca="1" si="8"/>
        <v>-229.82092072694999</v>
      </c>
      <c r="L41" s="21">
        <f t="shared" ca="1" si="8"/>
        <v>-235.8570678566</v>
      </c>
      <c r="M41" s="21">
        <f t="shared" ca="1" si="8"/>
        <v>-242.63166508654999</v>
      </c>
      <c r="N41" s="21">
        <f t="shared" ca="1" si="8"/>
        <v>-250.35213812840001</v>
      </c>
      <c r="O41" s="21">
        <f t="shared" ca="1" si="8"/>
        <v>-258.93599079030002</v>
      </c>
      <c r="P41" s="21">
        <f t="shared" ca="1" si="8"/>
        <v>-268.28433290359999</v>
      </c>
      <c r="Q41" s="21">
        <f t="shared" ca="1" si="8"/>
        <v>-278.02674185299998</v>
      </c>
      <c r="R41" s="21">
        <f t="shared" ca="1" si="8"/>
        <v>-288.11378793600005</v>
      </c>
      <c r="S41" s="21">
        <f t="shared" ca="1" si="8"/>
        <v>-298.40945313850006</v>
      </c>
      <c r="T41" s="21">
        <f t="shared" ca="1" si="8"/>
        <v>-308.78985750779998</v>
      </c>
      <c r="U41" s="100">
        <f t="shared" ca="1" si="8"/>
        <v>-319.468482483</v>
      </c>
      <c r="V41" s="101">
        <f t="shared" ca="1" si="8"/>
        <v>-330.27725820680001</v>
      </c>
      <c r="W41" s="113">
        <f t="shared" ca="1" si="8"/>
        <v>-341.29058892249998</v>
      </c>
      <c r="X41" s="21">
        <f t="shared" ca="1" si="8"/>
        <v>-390.35209626175009</v>
      </c>
      <c r="Y41" s="21">
        <f t="shared" ca="1" si="8"/>
        <v>-403.42564783169996</v>
      </c>
      <c r="Z41" s="21">
        <f t="shared" ca="1" si="8"/>
        <v>-416.8522621724</v>
      </c>
      <c r="AA41" s="21">
        <f t="shared" ca="1" si="8"/>
        <v>-430.36474090890005</v>
      </c>
      <c r="AB41" s="21">
        <f t="shared" ca="1" si="8"/>
        <v>-444.10711113600001</v>
      </c>
      <c r="AC41" s="21">
        <f t="shared" ca="1" si="8"/>
        <v>-457.94738570920009</v>
      </c>
      <c r="AD41" s="21">
        <f t="shared" ca="1" si="8"/>
        <v>-472.25699385259998</v>
      </c>
      <c r="AE41" s="21">
        <f t="shared" ca="1" si="8"/>
        <v>-486.97154308950007</v>
      </c>
      <c r="AF41" s="21">
        <f t="shared" ca="1" si="8"/>
        <v>-502.06603393560005</v>
      </c>
      <c r="AG41" s="21">
        <f t="shared" ca="1" si="8"/>
        <v>-563.99747850000006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hidden="1" customHeight="1" outlineLevel="1" x14ac:dyDescent="0.35"/>
    <row r="43" spans="1:54" ht="21" hidden="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102"/>
      <c r="V43" s="103"/>
      <c r="W43" s="11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63"/>
    </row>
    <row r="45" spans="1:54" ht="21" hidden="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115"/>
    </row>
    <row r="46" spans="1:54" ht="21" hidden="1" customHeight="1" outlineLevel="1" x14ac:dyDescent="0.35"/>
    <row r="47" spans="1:54" ht="21" customHeight="1" collapsed="1" thickTop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104"/>
      <c r="V48" s="25"/>
      <c r="W48" s="116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F49" si="9">E3</f>
        <v>Temperature,К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434.7</v>
      </c>
      <c r="L49" s="8">
        <f t="shared" si="10"/>
        <v>454.9</v>
      </c>
      <c r="M49" s="8">
        <f t="shared" si="10"/>
        <v>475.1</v>
      </c>
      <c r="N49" s="8">
        <f t="shared" si="10"/>
        <v>495.2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858.7</v>
      </c>
      <c r="AD49" s="8">
        <f t="shared" si="10"/>
        <v>878.9</v>
      </c>
      <c r="AE49" s="8">
        <f t="shared" si="10"/>
        <v>899</v>
      </c>
      <c r="AF49" s="8">
        <f t="shared" si="10"/>
        <v>919.2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8">
        <f t="shared" ref="F50:U59" ca="1" si="12">$A50*H.Ar + $B50*H.Se + $C50*H.Ge + $D50*H.Ga</f>
        <v>-40.58</v>
      </c>
      <c r="G50" s="28">
        <f t="shared" ca="1" si="12"/>
        <v>-38.43</v>
      </c>
      <c r="H50" s="28">
        <f t="shared" ca="1" si="12"/>
        <v>-36.56</v>
      </c>
      <c r="I50" s="28">
        <f t="shared" ca="1" si="12"/>
        <v>-34.9</v>
      </c>
      <c r="J50" s="28">
        <f t="shared" ca="1" si="12"/>
        <v>-33.46</v>
      </c>
      <c r="K50" s="28">
        <f t="shared" ca="1" si="12"/>
        <v>-29.512999999999998</v>
      </c>
      <c r="L50" s="28">
        <f t="shared" ca="1" si="12"/>
        <v>-28.981999999999999</v>
      </c>
      <c r="M50" s="28">
        <f t="shared" ca="1" si="12"/>
        <v>-28.678999999999998</v>
      </c>
      <c r="N50" s="28">
        <f t="shared" ca="1" si="12"/>
        <v>-28.610999999999997</v>
      </c>
      <c r="O50" s="28">
        <f t="shared" ca="1" si="12"/>
        <v>-28.720999999999997</v>
      </c>
      <c r="P50" s="28">
        <f t="shared" ca="1" si="12"/>
        <v>-28.957999999999998</v>
      </c>
      <c r="Q50" s="28">
        <f t="shared" ca="1" si="12"/>
        <v>-29.25</v>
      </c>
      <c r="R50" s="28">
        <f t="shared" ca="1" si="12"/>
        <v>-29.573</v>
      </c>
      <c r="S50" s="28">
        <f t="shared" ca="1" si="12"/>
        <v>-29.905000000000001</v>
      </c>
      <c r="T50" s="28">
        <f t="shared" ca="1" si="12"/>
        <v>-30.230999999999998</v>
      </c>
      <c r="U50" s="28">
        <f t="shared" ca="1" si="12"/>
        <v>-30.57</v>
      </c>
      <c r="V50" s="28">
        <f t="shared" ref="G50:AL58" ca="1" si="13">$A50*H.Ar + $B50*H.Se + $C50*H.Ge + $D50*H.Ga</f>
        <v>-30.902999999999999</v>
      </c>
      <c r="W50" s="28">
        <f t="shared" ca="1" si="13"/>
        <v>-31.234999999999999</v>
      </c>
      <c r="X50" s="28">
        <f t="shared" ca="1" si="13"/>
        <v>-32.594000000000001</v>
      </c>
      <c r="Y50" s="28">
        <f t="shared" ca="1" si="13"/>
        <v>-32.909999999999997</v>
      </c>
      <c r="Z50" s="28">
        <f t="shared" ca="1" si="13"/>
        <v>-33.235999999999997</v>
      </c>
      <c r="AA50" s="28">
        <f t="shared" ca="1" si="13"/>
        <v>-33.551000000000002</v>
      </c>
      <c r="AB50" s="28">
        <f t="shared" ca="1" si="13"/>
        <v>-33.867999999999995</v>
      </c>
      <c r="AC50" s="28">
        <f t="shared" ca="1" si="13"/>
        <v>-34.173000000000002</v>
      </c>
      <c r="AD50" s="28">
        <f t="shared" ca="1" si="13"/>
        <v>-34.423999999999999</v>
      </c>
      <c r="AE50" s="28">
        <f t="shared" ca="1" si="13"/>
        <v>-34.694000000000003</v>
      </c>
      <c r="AF50" s="28">
        <f t="shared" ca="1" si="13"/>
        <v>-34.973999999999997</v>
      </c>
      <c r="AG50" s="28">
        <f t="shared" ca="1" si="13"/>
        <v>-36.084000000000003</v>
      </c>
      <c r="AH50" s="28">
        <f t="shared" ca="1" si="13"/>
        <v>0</v>
      </c>
      <c r="AI50" s="28">
        <f t="shared" ca="1" si="13"/>
        <v>0</v>
      </c>
      <c r="AJ50" s="28">
        <f t="shared" ca="1" si="13"/>
        <v>0</v>
      </c>
      <c r="AK50" s="28">
        <f t="shared" ca="1" si="13"/>
        <v>0</v>
      </c>
      <c r="AL50" s="28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8">
        <f t="shared" ca="1" si="12"/>
        <v>-66.75</v>
      </c>
      <c r="G51" s="28">
        <f t="shared" ca="1" si="13"/>
        <v>-62.38</v>
      </c>
      <c r="H51" s="28">
        <f t="shared" ca="1" si="13"/>
        <v>-58.23</v>
      </c>
      <c r="I51" s="28">
        <f t="shared" ca="1" si="13"/>
        <v>-54.11</v>
      </c>
      <c r="J51" s="28">
        <f t="shared" ca="1" si="13"/>
        <v>-50.02</v>
      </c>
      <c r="K51" s="28">
        <f t="shared" ca="1" si="13"/>
        <v>-36.159999999999997</v>
      </c>
      <c r="L51" s="28">
        <f t="shared" ca="1" si="13"/>
        <v>-33.5</v>
      </c>
      <c r="M51" s="28">
        <f t="shared" ca="1" si="13"/>
        <v>-31.09</v>
      </c>
      <c r="N51" s="28">
        <f t="shared" ca="1" si="13"/>
        <v>-28.84</v>
      </c>
      <c r="O51" s="28">
        <f t="shared" ca="1" si="13"/>
        <v>-26.68</v>
      </c>
      <c r="P51" s="28">
        <f t="shared" ca="1" si="13"/>
        <v>-24.62</v>
      </c>
      <c r="Q51" s="28">
        <f t="shared" ca="1" si="13"/>
        <v>-22.66</v>
      </c>
      <c r="R51" s="28">
        <f t="shared" ca="1" si="13"/>
        <v>-20.81</v>
      </c>
      <c r="S51" s="28">
        <f t="shared" ca="1" si="13"/>
        <v>-19.059999999999999</v>
      </c>
      <c r="T51" s="28">
        <f t="shared" ca="1" si="13"/>
        <v>-17.399999999999999</v>
      </c>
      <c r="U51" s="28">
        <f t="shared" ca="1" si="13"/>
        <v>-15.83</v>
      </c>
      <c r="V51" s="28">
        <f t="shared" ca="1" si="13"/>
        <v>-14.36</v>
      </c>
      <c r="W51" s="28">
        <f t="shared" ca="1" si="13"/>
        <v>-13.01</v>
      </c>
      <c r="X51" s="28">
        <f t="shared" ca="1" si="13"/>
        <v>-9.8030000000000008</v>
      </c>
      <c r="Y51" s="28">
        <f t="shared" ca="1" si="13"/>
        <v>-9.3119999999999994</v>
      </c>
      <c r="Z51" s="28">
        <f t="shared" ca="1" si="13"/>
        <v>-8.8580000000000005</v>
      </c>
      <c r="AA51" s="28">
        <f t="shared" ca="1" si="13"/>
        <v>-8.4390000000000001</v>
      </c>
      <c r="AB51" s="28">
        <f t="shared" ca="1" si="13"/>
        <v>-8.0500000000000007</v>
      </c>
      <c r="AC51" s="28">
        <f t="shared" ca="1" si="13"/>
        <v>-7.7050000000000001</v>
      </c>
      <c r="AD51" s="28">
        <f t="shared" ca="1" si="13"/>
        <v>-7.774</v>
      </c>
      <c r="AE51" s="28">
        <f t="shared" ca="1" si="13"/>
        <v>-7.8449999999999998</v>
      </c>
      <c r="AF51" s="28">
        <f t="shared" ca="1" si="13"/>
        <v>-7.915</v>
      </c>
      <c r="AG51" s="28">
        <f t="shared" ca="1" si="13"/>
        <v>-8.1869999999999994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8">
        <f t="shared" ca="1" si="12"/>
        <v>-23.56</v>
      </c>
      <c r="G52" s="28">
        <f t="shared" ca="1" si="13"/>
        <v>-22.33</v>
      </c>
      <c r="H52" s="28">
        <f t="shared" ca="1" si="13"/>
        <v>-21.52</v>
      </c>
      <c r="I52" s="28">
        <f t="shared" ca="1" si="13"/>
        <v>-21.15</v>
      </c>
      <c r="J52" s="28">
        <f t="shared" ca="1" si="13"/>
        <v>-21.13</v>
      </c>
      <c r="K52" s="28">
        <f t="shared" ca="1" si="13"/>
        <v>-22.02</v>
      </c>
      <c r="L52" s="28">
        <f t="shared" ca="1" si="13"/>
        <v>-22.21</v>
      </c>
      <c r="M52" s="28">
        <f t="shared" ca="1" si="13"/>
        <v>-22.38</v>
      </c>
      <c r="N52" s="28">
        <f t="shared" ca="1" si="13"/>
        <v>-22.58</v>
      </c>
      <c r="O52" s="28">
        <f t="shared" ca="1" si="13"/>
        <v>-22.81</v>
      </c>
      <c r="P52" s="28">
        <f t="shared" ca="1" si="13"/>
        <v>-23.08</v>
      </c>
      <c r="Q52" s="28">
        <f t="shared" ca="1" si="13"/>
        <v>-23.36</v>
      </c>
      <c r="R52" s="28">
        <f t="shared" ca="1" si="13"/>
        <v>-23.65</v>
      </c>
      <c r="S52" s="28">
        <f t="shared" ca="1" si="13"/>
        <v>-23.94</v>
      </c>
      <c r="T52" s="28">
        <f t="shared" ca="1" si="13"/>
        <v>-24.22</v>
      </c>
      <c r="U52" s="28">
        <f t="shared" ca="1" si="13"/>
        <v>-24.51</v>
      </c>
      <c r="V52" s="28">
        <f t="shared" ca="1" si="13"/>
        <v>-24.79</v>
      </c>
      <c r="W52" s="28">
        <f t="shared" ca="1" si="13"/>
        <v>-25.06</v>
      </c>
      <c r="X52" s="28">
        <f t="shared" ca="1" si="13"/>
        <v>-26.1</v>
      </c>
      <c r="Y52" s="28">
        <f t="shared" ca="1" si="13"/>
        <v>-26.36</v>
      </c>
      <c r="Z52" s="28">
        <f t="shared" ca="1" si="13"/>
        <v>-26.63</v>
      </c>
      <c r="AA52" s="28">
        <f t="shared" ca="1" si="13"/>
        <v>-26.89</v>
      </c>
      <c r="AB52" s="28">
        <f t="shared" ca="1" si="13"/>
        <v>-27.15</v>
      </c>
      <c r="AC52" s="28">
        <f t="shared" ca="1" si="13"/>
        <v>-27.4</v>
      </c>
      <c r="AD52" s="28">
        <f t="shared" ca="1" si="13"/>
        <v>-27.61</v>
      </c>
      <c r="AE52" s="28">
        <f t="shared" ca="1" si="13"/>
        <v>-27.84</v>
      </c>
      <c r="AF52" s="28">
        <f t="shared" ca="1" si="13"/>
        <v>-28.08</v>
      </c>
      <c r="AG52" s="28">
        <f t="shared" ca="1" si="13"/>
        <v>-29.02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8">
        <f t="shared" ca="1" si="12"/>
        <v>-64.14</v>
      </c>
      <c r="G53" s="28">
        <f t="shared" ca="1" si="13"/>
        <v>-60.76</v>
      </c>
      <c r="H53" s="28">
        <f t="shared" ca="1" si="13"/>
        <v>-58.08</v>
      </c>
      <c r="I53" s="28">
        <f t="shared" ca="1" si="13"/>
        <v>-56.05</v>
      </c>
      <c r="J53" s="28">
        <f t="shared" ca="1" si="13"/>
        <v>-54.589999999999996</v>
      </c>
      <c r="K53" s="28">
        <f t="shared" ca="1" si="13"/>
        <v>-51.533000000000001</v>
      </c>
      <c r="L53" s="28">
        <f t="shared" ca="1" si="13"/>
        <v>-51.192</v>
      </c>
      <c r="M53" s="28">
        <f t="shared" ca="1" si="13"/>
        <v>-51.058999999999997</v>
      </c>
      <c r="N53" s="28">
        <f t="shared" ca="1" si="13"/>
        <v>-51.190999999999995</v>
      </c>
      <c r="O53" s="28">
        <f t="shared" ca="1" si="13"/>
        <v>-51.530999999999999</v>
      </c>
      <c r="P53" s="28">
        <f t="shared" ca="1" si="13"/>
        <v>-52.037999999999997</v>
      </c>
      <c r="Q53" s="28">
        <f t="shared" ca="1" si="13"/>
        <v>-52.61</v>
      </c>
      <c r="R53" s="28">
        <f t="shared" ca="1" si="13"/>
        <v>-53.222999999999999</v>
      </c>
      <c r="S53" s="28">
        <f t="shared" ca="1" si="13"/>
        <v>-53.844999999999999</v>
      </c>
      <c r="T53" s="28">
        <f t="shared" ca="1" si="13"/>
        <v>-54.451000000000001</v>
      </c>
      <c r="U53" s="28">
        <f t="shared" ca="1" si="13"/>
        <v>-55.080000000000005</v>
      </c>
      <c r="V53" s="28">
        <f t="shared" ca="1" si="13"/>
        <v>-55.692999999999998</v>
      </c>
      <c r="W53" s="28">
        <f t="shared" ca="1" si="13"/>
        <v>-56.294999999999995</v>
      </c>
      <c r="X53" s="28">
        <f t="shared" ca="1" si="13"/>
        <v>-58.694000000000003</v>
      </c>
      <c r="Y53" s="28">
        <f t="shared" ca="1" si="13"/>
        <v>-59.269999999999996</v>
      </c>
      <c r="Z53" s="28">
        <f t="shared" ca="1" si="13"/>
        <v>-59.866</v>
      </c>
      <c r="AA53" s="28">
        <f t="shared" ca="1" si="13"/>
        <v>-60.441000000000003</v>
      </c>
      <c r="AB53" s="28">
        <f t="shared" ca="1" si="13"/>
        <v>-61.018000000000001</v>
      </c>
      <c r="AC53" s="28">
        <f t="shared" ca="1" si="13"/>
        <v>-61.572999999999993</v>
      </c>
      <c r="AD53" s="28">
        <f t="shared" ca="1" si="13"/>
        <v>-62.033999999999999</v>
      </c>
      <c r="AE53" s="28">
        <f t="shared" ca="1" si="13"/>
        <v>-62.533999999999999</v>
      </c>
      <c r="AF53" s="28">
        <f t="shared" ca="1" si="13"/>
        <v>-63.053999999999995</v>
      </c>
      <c r="AG53" s="28">
        <f t="shared" ca="1" si="13"/>
        <v>-65.103999999999999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8">
        <f t="shared" ca="1" si="12"/>
        <v>-204.18</v>
      </c>
      <c r="G54" s="28">
        <f t="shared" ca="1" si="13"/>
        <v>-191.75</v>
      </c>
      <c r="H54" s="28">
        <f t="shared" ca="1" si="13"/>
        <v>-181.01999999999998</v>
      </c>
      <c r="I54" s="28">
        <f t="shared" ca="1" si="13"/>
        <v>-171.67</v>
      </c>
      <c r="J54" s="28">
        <f t="shared" ca="1" si="13"/>
        <v>-163.43</v>
      </c>
      <c r="K54" s="28">
        <f t="shared" ca="1" si="13"/>
        <v>-138.38</v>
      </c>
      <c r="L54" s="28">
        <f t="shared" ca="1" si="13"/>
        <v>-133.63</v>
      </c>
      <c r="M54" s="28">
        <f t="shared" ca="1" si="13"/>
        <v>-129.32</v>
      </c>
      <c r="N54" s="28">
        <f t="shared" ca="1" si="13"/>
        <v>-125.41999999999999</v>
      </c>
      <c r="O54" s="28">
        <f t="shared" ca="1" si="13"/>
        <v>-121.78999999999999</v>
      </c>
      <c r="P54" s="28">
        <f t="shared" ca="1" si="13"/>
        <v>-118.47999999999999</v>
      </c>
      <c r="Q54" s="28">
        <f t="shared" ca="1" si="13"/>
        <v>-115.4</v>
      </c>
      <c r="R54" s="28">
        <f t="shared" ca="1" si="13"/>
        <v>-112.57</v>
      </c>
      <c r="S54" s="28">
        <f t="shared" ca="1" si="13"/>
        <v>-109.94</v>
      </c>
      <c r="T54" s="28">
        <f t="shared" ca="1" si="13"/>
        <v>-107.46</v>
      </c>
      <c r="U54" s="28">
        <f t="shared" ca="1" si="13"/>
        <v>-105.19</v>
      </c>
      <c r="V54" s="28">
        <f t="shared" ca="1" si="13"/>
        <v>-103.09</v>
      </c>
      <c r="W54" s="28">
        <f t="shared" ca="1" si="13"/>
        <v>-101.19999999999999</v>
      </c>
      <c r="X54" s="28">
        <f t="shared" ca="1" si="13"/>
        <v>-97.906000000000006</v>
      </c>
      <c r="Y54" s="28">
        <f t="shared" ca="1" si="13"/>
        <v>-97.703999999999994</v>
      </c>
      <c r="Z54" s="28">
        <f t="shared" ca="1" si="13"/>
        <v>-97.605999999999995</v>
      </c>
      <c r="AA54" s="28">
        <f t="shared" ca="1" si="13"/>
        <v>-97.548000000000002</v>
      </c>
      <c r="AB54" s="28">
        <f t="shared" ca="1" si="13"/>
        <v>-97.549999999999983</v>
      </c>
      <c r="AC54" s="28">
        <f t="shared" ca="1" si="13"/>
        <v>-97.609999999999985</v>
      </c>
      <c r="AD54" s="28">
        <f t="shared" ca="1" si="13"/>
        <v>-98.378</v>
      </c>
      <c r="AE54" s="28">
        <f t="shared" ca="1" si="13"/>
        <v>-99.21</v>
      </c>
      <c r="AF54" s="28">
        <f t="shared" ca="1" si="13"/>
        <v>-100.07</v>
      </c>
      <c r="AG54" s="28">
        <f t="shared" ca="1" si="13"/>
        <v>-103.434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8">
        <f t="shared" ca="1" si="12"/>
        <v>-157.06</v>
      </c>
      <c r="G55" s="28">
        <f t="shared" ca="1" si="13"/>
        <v>-147.09</v>
      </c>
      <c r="H55" s="28">
        <f t="shared" ca="1" si="13"/>
        <v>-137.97999999999999</v>
      </c>
      <c r="I55" s="28">
        <f t="shared" ca="1" si="13"/>
        <v>-129.37</v>
      </c>
      <c r="J55" s="28">
        <f t="shared" ca="1" si="13"/>
        <v>-121.17</v>
      </c>
      <c r="K55" s="28">
        <f t="shared" ca="1" si="13"/>
        <v>-94.339999999999989</v>
      </c>
      <c r="L55" s="28">
        <f t="shared" ca="1" si="13"/>
        <v>-89.210000000000008</v>
      </c>
      <c r="M55" s="28">
        <f t="shared" ca="1" si="13"/>
        <v>-84.56</v>
      </c>
      <c r="N55" s="28">
        <f t="shared" ca="1" si="13"/>
        <v>-80.259999999999991</v>
      </c>
      <c r="O55" s="28">
        <f t="shared" ca="1" si="13"/>
        <v>-76.17</v>
      </c>
      <c r="P55" s="28">
        <f t="shared" ca="1" si="13"/>
        <v>-72.319999999999993</v>
      </c>
      <c r="Q55" s="28">
        <f t="shared" ca="1" si="13"/>
        <v>-68.680000000000007</v>
      </c>
      <c r="R55" s="28">
        <f t="shared" ca="1" si="13"/>
        <v>-65.27</v>
      </c>
      <c r="S55" s="28">
        <f t="shared" ca="1" si="13"/>
        <v>-62.06</v>
      </c>
      <c r="T55" s="28">
        <f t="shared" ca="1" si="13"/>
        <v>-59.019999999999996</v>
      </c>
      <c r="U55" s="28">
        <f t="shared" ca="1" si="13"/>
        <v>-56.17</v>
      </c>
      <c r="V55" s="28">
        <f t="shared" ca="1" si="13"/>
        <v>-53.51</v>
      </c>
      <c r="W55" s="28">
        <f t="shared" ca="1" si="13"/>
        <v>-51.08</v>
      </c>
      <c r="X55" s="28">
        <f t="shared" ca="1" si="13"/>
        <v>-45.706000000000003</v>
      </c>
      <c r="Y55" s="28">
        <f t="shared" ca="1" si="13"/>
        <v>-44.983999999999995</v>
      </c>
      <c r="Z55" s="28">
        <f t="shared" ca="1" si="13"/>
        <v>-44.346000000000004</v>
      </c>
      <c r="AA55" s="28">
        <f t="shared" ca="1" si="13"/>
        <v>-43.768000000000001</v>
      </c>
      <c r="AB55" s="28">
        <f t="shared" ca="1" si="13"/>
        <v>-43.25</v>
      </c>
      <c r="AC55" s="28">
        <f t="shared" ca="1" si="13"/>
        <v>-42.81</v>
      </c>
      <c r="AD55" s="28">
        <f t="shared" ca="1" si="13"/>
        <v>-43.158000000000001</v>
      </c>
      <c r="AE55" s="28">
        <f t="shared" ca="1" si="13"/>
        <v>-43.53</v>
      </c>
      <c r="AF55" s="28">
        <f t="shared" ca="1" si="13"/>
        <v>-43.91</v>
      </c>
      <c r="AG55" s="28">
        <f t="shared" ca="1" si="13"/>
        <v>-45.393999999999998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8">
        <f t="shared" ca="1" si="12"/>
        <v>-66.75</v>
      </c>
      <c r="G56" s="28">
        <f t="shared" ca="1" si="13"/>
        <v>-62.38</v>
      </c>
      <c r="H56" s="28">
        <f t="shared" ca="1" si="13"/>
        <v>-58.23</v>
      </c>
      <c r="I56" s="28">
        <f t="shared" ca="1" si="13"/>
        <v>-54.11</v>
      </c>
      <c r="J56" s="28">
        <f t="shared" ca="1" si="13"/>
        <v>-50.02</v>
      </c>
      <c r="K56" s="28">
        <f t="shared" ca="1" si="13"/>
        <v>-36.159999999999997</v>
      </c>
      <c r="L56" s="28">
        <f t="shared" ca="1" si="13"/>
        <v>-33.5</v>
      </c>
      <c r="M56" s="28">
        <f t="shared" ca="1" si="13"/>
        <v>-31.09</v>
      </c>
      <c r="N56" s="28">
        <f t="shared" ca="1" si="13"/>
        <v>-28.84</v>
      </c>
      <c r="O56" s="28">
        <f t="shared" ca="1" si="13"/>
        <v>-26.68</v>
      </c>
      <c r="P56" s="28">
        <f t="shared" ca="1" si="13"/>
        <v>-24.62</v>
      </c>
      <c r="Q56" s="28">
        <f t="shared" ca="1" si="13"/>
        <v>-22.66</v>
      </c>
      <c r="R56" s="28">
        <f t="shared" ca="1" si="13"/>
        <v>-20.81</v>
      </c>
      <c r="S56" s="28">
        <f t="shared" ca="1" si="13"/>
        <v>-19.059999999999999</v>
      </c>
      <c r="T56" s="28">
        <f t="shared" ca="1" si="13"/>
        <v>-17.399999999999999</v>
      </c>
      <c r="U56" s="28">
        <f t="shared" ca="1" si="13"/>
        <v>-15.83</v>
      </c>
      <c r="V56" s="28">
        <f t="shared" ca="1" si="13"/>
        <v>-14.36</v>
      </c>
      <c r="W56" s="28">
        <f t="shared" ca="1" si="13"/>
        <v>-13.01</v>
      </c>
      <c r="X56" s="28">
        <f t="shared" ca="1" si="13"/>
        <v>-9.8030000000000008</v>
      </c>
      <c r="Y56" s="28">
        <f t="shared" ca="1" si="13"/>
        <v>-9.3119999999999994</v>
      </c>
      <c r="Z56" s="28">
        <f t="shared" ca="1" si="13"/>
        <v>-8.8580000000000005</v>
      </c>
      <c r="AA56" s="28">
        <f t="shared" ca="1" si="13"/>
        <v>-8.4390000000000001</v>
      </c>
      <c r="AB56" s="28">
        <f t="shared" ca="1" si="13"/>
        <v>-8.0500000000000007</v>
      </c>
      <c r="AC56" s="28">
        <f t="shared" ca="1" si="13"/>
        <v>-7.7050000000000001</v>
      </c>
      <c r="AD56" s="28">
        <f t="shared" ca="1" si="13"/>
        <v>-7.774</v>
      </c>
      <c r="AE56" s="28">
        <f t="shared" ca="1" si="13"/>
        <v>-7.8449999999999998</v>
      </c>
      <c r="AF56" s="28">
        <f t="shared" ca="1" si="13"/>
        <v>-7.915</v>
      </c>
      <c r="AG56" s="28">
        <f t="shared" ca="1" si="13"/>
        <v>-8.1869999999999994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8">
        <f t="shared" ca="1" si="12"/>
        <v>-18.71</v>
      </c>
      <c r="G57" s="28">
        <f t="shared" ca="1" si="13"/>
        <v>-18.7</v>
      </c>
      <c r="H57" s="28">
        <f t="shared" ca="1" si="13"/>
        <v>-18.7</v>
      </c>
      <c r="I57" s="28">
        <f t="shared" ca="1" si="13"/>
        <v>-18.7</v>
      </c>
      <c r="J57" s="28">
        <f t="shared" ca="1" si="13"/>
        <v>-18.72</v>
      </c>
      <c r="K57" s="28">
        <f t="shared" ca="1" si="13"/>
        <v>-18.829999999999998</v>
      </c>
      <c r="L57" s="28">
        <f t="shared" ca="1" si="13"/>
        <v>-18.87</v>
      </c>
      <c r="M57" s="28">
        <f t="shared" ca="1" si="13"/>
        <v>-18.899999999999999</v>
      </c>
      <c r="N57" s="28">
        <f t="shared" ca="1" si="13"/>
        <v>-18.940000000000001</v>
      </c>
      <c r="O57" s="28">
        <f t="shared" ca="1" si="13"/>
        <v>-18.98</v>
      </c>
      <c r="P57" s="28">
        <f t="shared" ca="1" si="13"/>
        <v>-19.02</v>
      </c>
      <c r="Q57" s="28">
        <f t="shared" ca="1" si="13"/>
        <v>-19.059999999999999</v>
      </c>
      <c r="R57" s="28">
        <f t="shared" ca="1" si="13"/>
        <v>-19.100000000000001</v>
      </c>
      <c r="S57" s="28">
        <f t="shared" ca="1" si="13"/>
        <v>-19.14</v>
      </c>
      <c r="T57" s="28">
        <f t="shared" ca="1" si="13"/>
        <v>-19.18</v>
      </c>
      <c r="U57" s="28">
        <f t="shared" ca="1" si="13"/>
        <v>-19.23</v>
      </c>
      <c r="V57" s="28">
        <f t="shared" ca="1" si="13"/>
        <v>-19.27</v>
      </c>
      <c r="W57" s="28">
        <f t="shared" ca="1" si="13"/>
        <v>-19.3</v>
      </c>
      <c r="X57" s="28">
        <f t="shared" ca="1" si="13"/>
        <v>-19.43</v>
      </c>
      <c r="Y57" s="28">
        <f t="shared" ca="1" si="13"/>
        <v>-19.47</v>
      </c>
      <c r="Z57" s="28">
        <f t="shared" ca="1" si="13"/>
        <v>-19.510000000000002</v>
      </c>
      <c r="AA57" s="28">
        <f t="shared" ca="1" si="13"/>
        <v>-19.55</v>
      </c>
      <c r="AB57" s="28">
        <f t="shared" ca="1" si="13"/>
        <v>-19.59</v>
      </c>
      <c r="AC57" s="28">
        <f t="shared" ca="1" si="13"/>
        <v>-19.62</v>
      </c>
      <c r="AD57" s="28">
        <f t="shared" ca="1" si="13"/>
        <v>-19.66</v>
      </c>
      <c r="AE57" s="28">
        <f t="shared" ca="1" si="13"/>
        <v>-19.7</v>
      </c>
      <c r="AF57" s="28">
        <f t="shared" ca="1" si="13"/>
        <v>-19.739999999999998</v>
      </c>
      <c r="AG57" s="28">
        <f t="shared" ca="1" si="13"/>
        <v>-19.88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(1)GeSe2</v>
      </c>
      <c r="F58" s="28">
        <f t="shared" ca="1" si="12"/>
        <v>-64.14</v>
      </c>
      <c r="G58" s="28">
        <f t="shared" ca="1" si="13"/>
        <v>-60.76</v>
      </c>
      <c r="H58" s="28">
        <f t="shared" ca="1" si="13"/>
        <v>-58.08</v>
      </c>
      <c r="I58" s="28">
        <f t="shared" ca="1" si="13"/>
        <v>-56.05</v>
      </c>
      <c r="J58" s="28">
        <f t="shared" ca="1" si="13"/>
        <v>-54.589999999999996</v>
      </c>
      <c r="K58" s="28">
        <f t="shared" ca="1" si="13"/>
        <v>-51.533000000000001</v>
      </c>
      <c r="L58" s="28">
        <f t="shared" ca="1" si="13"/>
        <v>-51.192</v>
      </c>
      <c r="M58" s="28">
        <f t="shared" ca="1" si="13"/>
        <v>-51.058999999999997</v>
      </c>
      <c r="N58" s="28">
        <f t="shared" ca="1" si="13"/>
        <v>-51.190999999999995</v>
      </c>
      <c r="O58" s="28">
        <f t="shared" ca="1" si="13"/>
        <v>-51.530999999999999</v>
      </c>
      <c r="P58" s="28">
        <f t="shared" ca="1" si="13"/>
        <v>-52.037999999999997</v>
      </c>
      <c r="Q58" s="28">
        <f t="shared" ca="1" si="13"/>
        <v>-52.61</v>
      </c>
      <c r="R58" s="28">
        <f t="shared" ca="1" si="13"/>
        <v>-53.222999999999999</v>
      </c>
      <c r="S58" s="28">
        <f t="shared" ca="1" si="13"/>
        <v>-53.844999999999999</v>
      </c>
      <c r="T58" s="28">
        <f t="shared" ca="1" si="13"/>
        <v>-54.451000000000001</v>
      </c>
      <c r="U58" s="28">
        <f t="shared" ref="G58:AL66" ca="1" si="14">$A58*H.Ar + $B58*H.Se + $C58*H.Ge + $D58*H.Ga</f>
        <v>-55.080000000000005</v>
      </c>
      <c r="V58" s="28">
        <f t="shared" ca="1" si="14"/>
        <v>-55.692999999999998</v>
      </c>
      <c r="W58" s="28">
        <f t="shared" ca="1" si="14"/>
        <v>-56.294999999999995</v>
      </c>
      <c r="X58" s="28">
        <f t="shared" ca="1" si="14"/>
        <v>-58.694000000000003</v>
      </c>
      <c r="Y58" s="28">
        <f t="shared" ca="1" si="14"/>
        <v>-59.269999999999996</v>
      </c>
      <c r="Z58" s="28">
        <f t="shared" ca="1" si="14"/>
        <v>-59.866</v>
      </c>
      <c r="AA58" s="28">
        <f t="shared" ca="1" si="14"/>
        <v>-60.441000000000003</v>
      </c>
      <c r="AB58" s="28">
        <f t="shared" ca="1" si="14"/>
        <v>-61.018000000000001</v>
      </c>
      <c r="AC58" s="28">
        <f t="shared" ca="1" si="14"/>
        <v>-61.572999999999993</v>
      </c>
      <c r="AD58" s="28">
        <f t="shared" ca="1" si="14"/>
        <v>-62.033999999999999</v>
      </c>
      <c r="AE58" s="28">
        <f t="shared" ca="1" si="14"/>
        <v>-62.533999999999999</v>
      </c>
      <c r="AF58" s="28">
        <f t="shared" ca="1" si="14"/>
        <v>-63.053999999999995</v>
      </c>
      <c r="AG58" s="28">
        <f t="shared" ca="1" si="14"/>
        <v>-65.103999999999999</v>
      </c>
      <c r="AH58" s="28">
        <f t="shared" ca="1" si="14"/>
        <v>0</v>
      </c>
      <c r="AI58" s="28">
        <f t="shared" ca="1" si="14"/>
        <v>0</v>
      </c>
      <c r="AJ58" s="28">
        <f t="shared" ca="1" si="14"/>
        <v>0</v>
      </c>
      <c r="AK58" s="28">
        <f t="shared" ca="1" si="14"/>
        <v>0</v>
      </c>
      <c r="AL58" s="28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(1)GeSe</v>
      </c>
      <c r="F59" s="28">
        <f t="shared" ca="1" si="12"/>
        <v>-40.58</v>
      </c>
      <c r="G59" s="28">
        <f t="shared" ca="1" si="14"/>
        <v>-38.43</v>
      </c>
      <c r="H59" s="28">
        <f t="shared" ca="1" si="14"/>
        <v>-36.56</v>
      </c>
      <c r="I59" s="28">
        <f t="shared" ca="1" si="14"/>
        <v>-34.9</v>
      </c>
      <c r="J59" s="28">
        <f t="shared" ca="1" si="14"/>
        <v>-33.46</v>
      </c>
      <c r="K59" s="28">
        <f t="shared" ca="1" si="14"/>
        <v>-29.512999999999998</v>
      </c>
      <c r="L59" s="28">
        <f t="shared" ca="1" si="14"/>
        <v>-28.981999999999999</v>
      </c>
      <c r="M59" s="28">
        <f t="shared" ca="1" si="14"/>
        <v>-28.678999999999998</v>
      </c>
      <c r="N59" s="28">
        <f t="shared" ca="1" si="14"/>
        <v>-28.610999999999997</v>
      </c>
      <c r="O59" s="28">
        <f t="shared" ca="1" si="14"/>
        <v>-28.720999999999997</v>
      </c>
      <c r="P59" s="28">
        <f t="shared" ca="1" si="14"/>
        <v>-28.957999999999998</v>
      </c>
      <c r="Q59" s="28">
        <f t="shared" ca="1" si="14"/>
        <v>-29.25</v>
      </c>
      <c r="R59" s="28">
        <f t="shared" ca="1" si="14"/>
        <v>-29.573</v>
      </c>
      <c r="S59" s="28">
        <f t="shared" ca="1" si="14"/>
        <v>-29.905000000000001</v>
      </c>
      <c r="T59" s="28">
        <f t="shared" ca="1" si="14"/>
        <v>-30.230999999999998</v>
      </c>
      <c r="U59" s="28">
        <f t="shared" ca="1" si="14"/>
        <v>-30.57</v>
      </c>
      <c r="V59" s="28">
        <f t="shared" ca="1" si="14"/>
        <v>-30.902999999999999</v>
      </c>
      <c r="W59" s="28">
        <f t="shared" ca="1" si="14"/>
        <v>-31.234999999999999</v>
      </c>
      <c r="X59" s="28">
        <f t="shared" ca="1" si="14"/>
        <v>-32.594000000000001</v>
      </c>
      <c r="Y59" s="28">
        <f t="shared" ca="1" si="14"/>
        <v>-32.909999999999997</v>
      </c>
      <c r="Z59" s="28">
        <f t="shared" ca="1" si="14"/>
        <v>-33.235999999999997</v>
      </c>
      <c r="AA59" s="28">
        <f t="shared" ca="1" si="14"/>
        <v>-33.551000000000002</v>
      </c>
      <c r="AB59" s="28">
        <f t="shared" ca="1" si="14"/>
        <v>-33.867999999999995</v>
      </c>
      <c r="AC59" s="28">
        <f t="shared" ca="1" si="14"/>
        <v>-34.173000000000002</v>
      </c>
      <c r="AD59" s="28">
        <f t="shared" ca="1" si="14"/>
        <v>-34.423999999999999</v>
      </c>
      <c r="AE59" s="28">
        <f t="shared" ca="1" si="14"/>
        <v>-34.694000000000003</v>
      </c>
      <c r="AF59" s="28">
        <f t="shared" ca="1" si="14"/>
        <v>-34.973999999999997</v>
      </c>
      <c r="AG59" s="28">
        <f t="shared" ca="1" si="14"/>
        <v>-36.084000000000003</v>
      </c>
      <c r="AH59" s="28">
        <f t="shared" ca="1" si="14"/>
        <v>0</v>
      </c>
      <c r="AI59" s="28">
        <f t="shared" ca="1" si="14"/>
        <v>0</v>
      </c>
      <c r="AJ59" s="28">
        <f t="shared" ca="1" si="14"/>
        <v>0</v>
      </c>
      <c r="AK59" s="28">
        <f t="shared" ca="1" si="14"/>
        <v>0</v>
      </c>
      <c r="AL59" s="28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(1)Ga2Se3</v>
      </c>
      <c r="F60" s="28">
        <f t="shared" ref="F60:U69" ca="1" si="16">$A60*H.Ar + $B60*H.Se + $C60*H.Ge + $D60*H.Ga</f>
        <v>-204.18</v>
      </c>
      <c r="G60" s="28">
        <f t="shared" ca="1" si="16"/>
        <v>-191.75</v>
      </c>
      <c r="H60" s="28">
        <f t="shared" ca="1" si="16"/>
        <v>-181.01999999999998</v>
      </c>
      <c r="I60" s="28">
        <f t="shared" ca="1" si="16"/>
        <v>-171.67</v>
      </c>
      <c r="J60" s="28">
        <f t="shared" ca="1" si="16"/>
        <v>-163.43</v>
      </c>
      <c r="K60" s="28">
        <f t="shared" ca="1" si="16"/>
        <v>-138.38</v>
      </c>
      <c r="L60" s="28">
        <f t="shared" ca="1" si="16"/>
        <v>-133.63</v>
      </c>
      <c r="M60" s="28">
        <f t="shared" ca="1" si="16"/>
        <v>-129.32</v>
      </c>
      <c r="N60" s="28">
        <f t="shared" ca="1" si="16"/>
        <v>-125.41999999999999</v>
      </c>
      <c r="O60" s="28">
        <f t="shared" ca="1" si="16"/>
        <v>-121.78999999999999</v>
      </c>
      <c r="P60" s="28">
        <f t="shared" ca="1" si="16"/>
        <v>-118.47999999999999</v>
      </c>
      <c r="Q60" s="28">
        <f t="shared" ca="1" si="16"/>
        <v>-115.4</v>
      </c>
      <c r="R60" s="28">
        <f t="shared" ca="1" si="16"/>
        <v>-112.57</v>
      </c>
      <c r="S60" s="28">
        <f t="shared" ca="1" si="16"/>
        <v>-109.94</v>
      </c>
      <c r="T60" s="28">
        <f t="shared" ca="1" si="16"/>
        <v>-107.46</v>
      </c>
      <c r="U60" s="28">
        <f t="shared" ca="1" si="16"/>
        <v>-105.19</v>
      </c>
      <c r="V60" s="28">
        <f t="shared" ca="1" si="14"/>
        <v>-103.09</v>
      </c>
      <c r="W60" s="28">
        <f t="shared" ca="1" si="14"/>
        <v>-101.19999999999999</v>
      </c>
      <c r="X60" s="28">
        <f t="shared" ca="1" si="14"/>
        <v>-97.906000000000006</v>
      </c>
      <c r="Y60" s="28">
        <f t="shared" ca="1" si="14"/>
        <v>-97.703999999999994</v>
      </c>
      <c r="Z60" s="28">
        <f t="shared" ca="1" si="14"/>
        <v>-97.605999999999995</v>
      </c>
      <c r="AA60" s="28">
        <f t="shared" ca="1" si="14"/>
        <v>-97.548000000000002</v>
      </c>
      <c r="AB60" s="28">
        <f t="shared" ca="1" si="14"/>
        <v>-97.549999999999983</v>
      </c>
      <c r="AC60" s="28">
        <f t="shared" ca="1" si="14"/>
        <v>-97.609999999999985</v>
      </c>
      <c r="AD60" s="28">
        <f t="shared" ca="1" si="14"/>
        <v>-98.378</v>
      </c>
      <c r="AE60" s="28">
        <f t="shared" ca="1" si="14"/>
        <v>-99.21</v>
      </c>
      <c r="AF60" s="28">
        <f t="shared" ca="1" si="14"/>
        <v>-100.07</v>
      </c>
      <c r="AG60" s="28">
        <f t="shared" ca="1" si="14"/>
        <v>-103.434</v>
      </c>
      <c r="AH60" s="28">
        <f t="shared" ca="1" si="14"/>
        <v>0</v>
      </c>
      <c r="AI60" s="28">
        <f t="shared" ca="1" si="14"/>
        <v>0</v>
      </c>
      <c r="AJ60" s="28">
        <f t="shared" ca="1" si="14"/>
        <v>0</v>
      </c>
      <c r="AK60" s="28">
        <f t="shared" ca="1" si="14"/>
        <v>0</v>
      </c>
      <c r="AL60" s="28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(1)Ga2Se</v>
      </c>
      <c r="F61" s="28">
        <f t="shared" ca="1" si="16"/>
        <v>-157.06</v>
      </c>
      <c r="G61" s="28">
        <f t="shared" ca="1" si="14"/>
        <v>-147.09</v>
      </c>
      <c r="H61" s="28">
        <f t="shared" ca="1" si="14"/>
        <v>-137.97999999999999</v>
      </c>
      <c r="I61" s="28">
        <f t="shared" ca="1" si="14"/>
        <v>-129.37</v>
      </c>
      <c r="J61" s="28">
        <f t="shared" ca="1" si="14"/>
        <v>-121.17</v>
      </c>
      <c r="K61" s="28">
        <f t="shared" ca="1" si="14"/>
        <v>-94.339999999999989</v>
      </c>
      <c r="L61" s="28">
        <f t="shared" ca="1" si="14"/>
        <v>-89.210000000000008</v>
      </c>
      <c r="M61" s="28">
        <f t="shared" ca="1" si="14"/>
        <v>-84.56</v>
      </c>
      <c r="N61" s="28">
        <f t="shared" ca="1" si="14"/>
        <v>-80.259999999999991</v>
      </c>
      <c r="O61" s="28">
        <f t="shared" ca="1" si="14"/>
        <v>-76.17</v>
      </c>
      <c r="P61" s="28">
        <f t="shared" ca="1" si="14"/>
        <v>-72.319999999999993</v>
      </c>
      <c r="Q61" s="28">
        <f t="shared" ca="1" si="14"/>
        <v>-68.680000000000007</v>
      </c>
      <c r="R61" s="28">
        <f t="shared" ca="1" si="14"/>
        <v>-65.27</v>
      </c>
      <c r="S61" s="28">
        <f t="shared" ca="1" si="14"/>
        <v>-62.06</v>
      </c>
      <c r="T61" s="28">
        <f t="shared" ca="1" si="14"/>
        <v>-59.019999999999996</v>
      </c>
      <c r="U61" s="28">
        <f t="shared" ca="1" si="14"/>
        <v>-56.17</v>
      </c>
      <c r="V61" s="28">
        <f t="shared" ca="1" si="14"/>
        <v>-53.51</v>
      </c>
      <c r="W61" s="28">
        <f t="shared" ca="1" si="14"/>
        <v>-51.08</v>
      </c>
      <c r="X61" s="28">
        <f t="shared" ca="1" si="14"/>
        <v>-45.706000000000003</v>
      </c>
      <c r="Y61" s="28">
        <f t="shared" ca="1" si="14"/>
        <v>-44.983999999999995</v>
      </c>
      <c r="Z61" s="28">
        <f t="shared" ca="1" si="14"/>
        <v>-44.346000000000004</v>
      </c>
      <c r="AA61" s="28">
        <f t="shared" ca="1" si="14"/>
        <v>-43.768000000000001</v>
      </c>
      <c r="AB61" s="28">
        <f t="shared" ca="1" si="14"/>
        <v>-43.25</v>
      </c>
      <c r="AC61" s="28">
        <f t="shared" ca="1" si="14"/>
        <v>-42.81</v>
      </c>
      <c r="AD61" s="28">
        <f t="shared" ca="1" si="14"/>
        <v>-43.158000000000001</v>
      </c>
      <c r="AE61" s="28">
        <f t="shared" ca="1" si="14"/>
        <v>-43.53</v>
      </c>
      <c r="AF61" s="28">
        <f t="shared" ca="1" si="14"/>
        <v>-43.91</v>
      </c>
      <c r="AG61" s="28">
        <f t="shared" ca="1" si="14"/>
        <v>-45.393999999999998</v>
      </c>
      <c r="AH61" s="28">
        <f t="shared" ca="1" si="14"/>
        <v>0</v>
      </c>
      <c r="AI61" s="28">
        <f t="shared" ca="1" si="14"/>
        <v>0</v>
      </c>
      <c r="AJ61" s="28">
        <f t="shared" ca="1" si="14"/>
        <v>0</v>
      </c>
      <c r="AK61" s="28">
        <f t="shared" ca="1" si="14"/>
        <v>0</v>
      </c>
      <c r="AL61" s="28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(1)Ge</v>
      </c>
      <c r="F62" s="28">
        <f t="shared" ca="1" si="16"/>
        <v>-17.02</v>
      </c>
      <c r="G62" s="28">
        <f t="shared" ca="1" si="14"/>
        <v>-16.100000000000001</v>
      </c>
      <c r="H62" s="28">
        <f t="shared" ca="1" si="14"/>
        <v>-15.04</v>
      </c>
      <c r="I62" s="28">
        <f t="shared" ca="1" si="14"/>
        <v>-13.75</v>
      </c>
      <c r="J62" s="28">
        <f t="shared" ca="1" si="14"/>
        <v>-12.33</v>
      </c>
      <c r="K62" s="28">
        <f t="shared" ca="1" si="14"/>
        <v>-7.4930000000000003</v>
      </c>
      <c r="L62" s="28">
        <f t="shared" ca="1" si="14"/>
        <v>-6.7720000000000002</v>
      </c>
      <c r="M62" s="28">
        <f t="shared" ca="1" si="14"/>
        <v>-6.2990000000000004</v>
      </c>
      <c r="N62" s="28">
        <f t="shared" ca="1" si="14"/>
        <v>-6.0309999999999997</v>
      </c>
      <c r="O62" s="28">
        <f t="shared" ca="1" si="14"/>
        <v>-5.9109999999999996</v>
      </c>
      <c r="P62" s="28">
        <f t="shared" ca="1" si="14"/>
        <v>-5.8780000000000001</v>
      </c>
      <c r="Q62" s="28">
        <f t="shared" ca="1" si="14"/>
        <v>-5.89</v>
      </c>
      <c r="R62" s="28">
        <f t="shared" ca="1" si="14"/>
        <v>-5.923</v>
      </c>
      <c r="S62" s="28">
        <f t="shared" ca="1" si="14"/>
        <v>-5.9649999999999999</v>
      </c>
      <c r="T62" s="28">
        <f t="shared" ca="1" si="14"/>
        <v>-6.0110000000000001</v>
      </c>
      <c r="U62" s="28">
        <f t="shared" ca="1" si="14"/>
        <v>-6.06</v>
      </c>
      <c r="V62" s="28">
        <f t="shared" ca="1" si="14"/>
        <v>-6.1130000000000004</v>
      </c>
      <c r="W62" s="28">
        <f t="shared" ca="1" si="14"/>
        <v>-6.1749999999999998</v>
      </c>
      <c r="X62" s="28">
        <f t="shared" ca="1" si="14"/>
        <v>-6.4939999999999998</v>
      </c>
      <c r="Y62" s="28">
        <f t="shared" ca="1" si="14"/>
        <v>-6.55</v>
      </c>
      <c r="Z62" s="28">
        <f t="shared" ca="1" si="14"/>
        <v>-6.6059999999999999</v>
      </c>
      <c r="AA62" s="28">
        <f t="shared" ca="1" si="14"/>
        <v>-6.6609999999999996</v>
      </c>
      <c r="AB62" s="28">
        <f t="shared" ca="1" si="14"/>
        <v>-6.718</v>
      </c>
      <c r="AC62" s="28">
        <f t="shared" ca="1" si="14"/>
        <v>-6.7729999999999997</v>
      </c>
      <c r="AD62" s="28">
        <f t="shared" ca="1" si="14"/>
        <v>-6.8140000000000001</v>
      </c>
      <c r="AE62" s="28">
        <f t="shared" ca="1" si="14"/>
        <v>-6.8540000000000001</v>
      </c>
      <c r="AF62" s="28">
        <f t="shared" ca="1" si="14"/>
        <v>-6.8940000000000001</v>
      </c>
      <c r="AG62" s="28">
        <f t="shared" ca="1" si="14"/>
        <v>-7.0640000000000001</v>
      </c>
      <c r="AH62" s="28">
        <f t="shared" ca="1" si="14"/>
        <v>0</v>
      </c>
      <c r="AI62" s="28">
        <f t="shared" ca="1" si="14"/>
        <v>0</v>
      </c>
      <c r="AJ62" s="28">
        <f t="shared" ca="1" si="14"/>
        <v>0</v>
      </c>
      <c r="AK62" s="28">
        <f t="shared" ca="1" si="14"/>
        <v>0</v>
      </c>
      <c r="AL62" s="28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(1)Ga</v>
      </c>
      <c r="F63" s="28">
        <f t="shared" ca="1" si="16"/>
        <v>-66.75</v>
      </c>
      <c r="G63" s="28">
        <f t="shared" ca="1" si="14"/>
        <v>-62.38</v>
      </c>
      <c r="H63" s="28">
        <f t="shared" ca="1" si="14"/>
        <v>-58.23</v>
      </c>
      <c r="I63" s="28">
        <f t="shared" ca="1" si="14"/>
        <v>-54.11</v>
      </c>
      <c r="J63" s="28">
        <f t="shared" ca="1" si="14"/>
        <v>-50.02</v>
      </c>
      <c r="K63" s="28">
        <f t="shared" ca="1" si="14"/>
        <v>-36.159999999999997</v>
      </c>
      <c r="L63" s="28">
        <f t="shared" ca="1" si="14"/>
        <v>-33.5</v>
      </c>
      <c r="M63" s="28">
        <f t="shared" ca="1" si="14"/>
        <v>-31.09</v>
      </c>
      <c r="N63" s="28">
        <f t="shared" ca="1" si="14"/>
        <v>-28.84</v>
      </c>
      <c r="O63" s="28">
        <f t="shared" ca="1" si="14"/>
        <v>-26.68</v>
      </c>
      <c r="P63" s="28">
        <f t="shared" ca="1" si="14"/>
        <v>-24.62</v>
      </c>
      <c r="Q63" s="28">
        <f t="shared" ca="1" si="14"/>
        <v>-22.66</v>
      </c>
      <c r="R63" s="28">
        <f t="shared" ca="1" si="14"/>
        <v>-20.81</v>
      </c>
      <c r="S63" s="28">
        <f t="shared" ca="1" si="14"/>
        <v>-19.059999999999999</v>
      </c>
      <c r="T63" s="28">
        <f t="shared" ca="1" si="14"/>
        <v>-17.399999999999999</v>
      </c>
      <c r="U63" s="28">
        <f t="shared" ca="1" si="14"/>
        <v>-15.83</v>
      </c>
      <c r="V63" s="28">
        <f t="shared" ca="1" si="14"/>
        <v>-14.36</v>
      </c>
      <c r="W63" s="28">
        <f t="shared" ca="1" si="14"/>
        <v>-13.01</v>
      </c>
      <c r="X63" s="28">
        <f t="shared" ca="1" si="14"/>
        <v>-9.8030000000000008</v>
      </c>
      <c r="Y63" s="28">
        <f t="shared" ca="1" si="14"/>
        <v>-9.3119999999999994</v>
      </c>
      <c r="Z63" s="28">
        <f t="shared" ca="1" si="14"/>
        <v>-8.8580000000000005</v>
      </c>
      <c r="AA63" s="28">
        <f t="shared" ca="1" si="14"/>
        <v>-8.4390000000000001</v>
      </c>
      <c r="AB63" s="28">
        <f t="shared" ca="1" si="14"/>
        <v>-8.0500000000000007</v>
      </c>
      <c r="AC63" s="28">
        <f t="shared" ca="1" si="14"/>
        <v>-7.7050000000000001</v>
      </c>
      <c r="AD63" s="28">
        <f t="shared" ca="1" si="14"/>
        <v>-7.774</v>
      </c>
      <c r="AE63" s="28">
        <f t="shared" ca="1" si="14"/>
        <v>-7.8449999999999998</v>
      </c>
      <c r="AF63" s="28">
        <f t="shared" ca="1" si="14"/>
        <v>-7.915</v>
      </c>
      <c r="AG63" s="28">
        <f t="shared" ca="1" si="14"/>
        <v>-8.1869999999999994</v>
      </c>
      <c r="AH63" s="28">
        <f t="shared" ca="1" si="14"/>
        <v>0</v>
      </c>
      <c r="AI63" s="28">
        <f t="shared" ca="1" si="14"/>
        <v>0</v>
      </c>
      <c r="AJ63" s="28">
        <f t="shared" ca="1" si="14"/>
        <v>0</v>
      </c>
      <c r="AK63" s="28">
        <f t="shared" ca="1" si="14"/>
        <v>0</v>
      </c>
      <c r="AL63" s="28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(1)Se</v>
      </c>
      <c r="F64" s="28">
        <f t="shared" ca="1" si="16"/>
        <v>-23.56</v>
      </c>
      <c r="G64" s="28">
        <f t="shared" ca="1" si="14"/>
        <v>-22.33</v>
      </c>
      <c r="H64" s="28">
        <f t="shared" ca="1" si="14"/>
        <v>-21.52</v>
      </c>
      <c r="I64" s="28">
        <f t="shared" ca="1" si="14"/>
        <v>-21.15</v>
      </c>
      <c r="J64" s="28">
        <f t="shared" ca="1" si="14"/>
        <v>-21.13</v>
      </c>
      <c r="K64" s="28">
        <f t="shared" ca="1" si="14"/>
        <v>-22.02</v>
      </c>
      <c r="L64" s="28">
        <f t="shared" ca="1" si="14"/>
        <v>-22.21</v>
      </c>
      <c r="M64" s="28">
        <f t="shared" ca="1" si="14"/>
        <v>-22.38</v>
      </c>
      <c r="N64" s="28">
        <f t="shared" ca="1" si="14"/>
        <v>-22.58</v>
      </c>
      <c r="O64" s="28">
        <f t="shared" ca="1" si="14"/>
        <v>-22.81</v>
      </c>
      <c r="P64" s="28">
        <f t="shared" ca="1" si="14"/>
        <v>-23.08</v>
      </c>
      <c r="Q64" s="28">
        <f t="shared" ca="1" si="14"/>
        <v>-23.36</v>
      </c>
      <c r="R64" s="28">
        <f t="shared" ca="1" si="14"/>
        <v>-23.65</v>
      </c>
      <c r="S64" s="28">
        <f t="shared" ca="1" si="14"/>
        <v>-23.94</v>
      </c>
      <c r="T64" s="28">
        <f t="shared" ca="1" si="14"/>
        <v>-24.22</v>
      </c>
      <c r="U64" s="28">
        <f t="shared" ca="1" si="14"/>
        <v>-24.51</v>
      </c>
      <c r="V64" s="28">
        <f t="shared" ca="1" si="14"/>
        <v>-24.79</v>
      </c>
      <c r="W64" s="28">
        <f t="shared" ca="1" si="14"/>
        <v>-25.06</v>
      </c>
      <c r="X64" s="28">
        <f t="shared" ca="1" si="14"/>
        <v>-26.1</v>
      </c>
      <c r="Y64" s="28">
        <f t="shared" ca="1" si="14"/>
        <v>-26.36</v>
      </c>
      <c r="Z64" s="28">
        <f t="shared" ca="1" si="14"/>
        <v>-26.63</v>
      </c>
      <c r="AA64" s="28">
        <f t="shared" ca="1" si="14"/>
        <v>-26.89</v>
      </c>
      <c r="AB64" s="28">
        <f t="shared" ca="1" si="14"/>
        <v>-27.15</v>
      </c>
      <c r="AC64" s="28">
        <f t="shared" ca="1" si="14"/>
        <v>-27.4</v>
      </c>
      <c r="AD64" s="28">
        <f t="shared" ca="1" si="14"/>
        <v>-27.61</v>
      </c>
      <c r="AE64" s="28">
        <f t="shared" ca="1" si="14"/>
        <v>-27.84</v>
      </c>
      <c r="AF64" s="28">
        <f t="shared" ca="1" si="14"/>
        <v>-28.08</v>
      </c>
      <c r="AG64" s="28">
        <f t="shared" ca="1" si="14"/>
        <v>-29.02</v>
      </c>
      <c r="AH64" s="28">
        <f t="shared" ca="1" si="14"/>
        <v>0</v>
      </c>
      <c r="AI64" s="28">
        <f t="shared" ca="1" si="14"/>
        <v>0</v>
      </c>
      <c r="AJ64" s="28">
        <f t="shared" ca="1" si="14"/>
        <v>0</v>
      </c>
      <c r="AK64" s="28">
        <f t="shared" ca="1" si="14"/>
        <v>0</v>
      </c>
      <c r="AL64" s="28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(1)Se[a]</v>
      </c>
      <c r="F65" s="28">
        <f t="shared" ca="1" si="16"/>
        <v>-23.56</v>
      </c>
      <c r="G65" s="28">
        <f t="shared" ca="1" si="14"/>
        <v>-22.33</v>
      </c>
      <c r="H65" s="28">
        <f t="shared" ca="1" si="14"/>
        <v>-21.52</v>
      </c>
      <c r="I65" s="28">
        <f t="shared" ca="1" si="14"/>
        <v>-21.15</v>
      </c>
      <c r="J65" s="28">
        <f t="shared" ca="1" si="14"/>
        <v>-21.13</v>
      </c>
      <c r="K65" s="28">
        <f t="shared" ca="1" si="14"/>
        <v>-22.02</v>
      </c>
      <c r="L65" s="28">
        <f t="shared" ca="1" si="14"/>
        <v>-22.21</v>
      </c>
      <c r="M65" s="28">
        <f t="shared" ca="1" si="14"/>
        <v>-22.38</v>
      </c>
      <c r="N65" s="28">
        <f t="shared" ca="1" si="14"/>
        <v>-22.58</v>
      </c>
      <c r="O65" s="28">
        <f t="shared" ca="1" si="14"/>
        <v>-22.81</v>
      </c>
      <c r="P65" s="28">
        <f t="shared" ca="1" si="14"/>
        <v>-23.08</v>
      </c>
      <c r="Q65" s="28">
        <f t="shared" ca="1" si="14"/>
        <v>-23.36</v>
      </c>
      <c r="R65" s="28">
        <f t="shared" ca="1" si="14"/>
        <v>-23.65</v>
      </c>
      <c r="S65" s="28">
        <f t="shared" ca="1" si="14"/>
        <v>-23.94</v>
      </c>
      <c r="T65" s="28">
        <f t="shared" ca="1" si="14"/>
        <v>-24.22</v>
      </c>
      <c r="U65" s="28">
        <f t="shared" ca="1" si="14"/>
        <v>-24.51</v>
      </c>
      <c r="V65" s="28">
        <f t="shared" ca="1" si="14"/>
        <v>-24.79</v>
      </c>
      <c r="W65" s="28">
        <f t="shared" ca="1" si="14"/>
        <v>-25.06</v>
      </c>
      <c r="X65" s="28">
        <f t="shared" ca="1" si="14"/>
        <v>-26.1</v>
      </c>
      <c r="Y65" s="28">
        <f t="shared" ca="1" si="14"/>
        <v>-26.36</v>
      </c>
      <c r="Z65" s="28">
        <f t="shared" ca="1" si="14"/>
        <v>-26.63</v>
      </c>
      <c r="AA65" s="28">
        <f t="shared" ca="1" si="14"/>
        <v>-26.89</v>
      </c>
      <c r="AB65" s="28">
        <f t="shared" ca="1" si="14"/>
        <v>-27.15</v>
      </c>
      <c r="AC65" s="28">
        <f t="shared" ca="1" si="14"/>
        <v>-27.4</v>
      </c>
      <c r="AD65" s="28">
        <f t="shared" ca="1" si="14"/>
        <v>-27.61</v>
      </c>
      <c r="AE65" s="28">
        <f t="shared" ca="1" si="14"/>
        <v>-27.84</v>
      </c>
      <c r="AF65" s="28">
        <f t="shared" ca="1" si="14"/>
        <v>-28.08</v>
      </c>
      <c r="AG65" s="28">
        <f t="shared" ca="1" si="14"/>
        <v>-29.02</v>
      </c>
      <c r="AH65" s="28">
        <f t="shared" ca="1" si="14"/>
        <v>0</v>
      </c>
      <c r="AI65" s="28">
        <f t="shared" ca="1" si="14"/>
        <v>0</v>
      </c>
      <c r="AJ65" s="28">
        <f t="shared" ca="1" si="14"/>
        <v>0</v>
      </c>
      <c r="AK65" s="28">
        <f t="shared" ca="1" si="14"/>
        <v>0</v>
      </c>
      <c r="AL65" s="28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(1)Se[m]</v>
      </c>
      <c r="F66" s="28">
        <f t="shared" ca="1" si="16"/>
        <v>-23.56</v>
      </c>
      <c r="G66" s="28">
        <f t="shared" ca="1" si="14"/>
        <v>-22.33</v>
      </c>
      <c r="H66" s="28">
        <f t="shared" ca="1" si="14"/>
        <v>-21.52</v>
      </c>
      <c r="I66" s="28">
        <f t="shared" ca="1" si="14"/>
        <v>-21.15</v>
      </c>
      <c r="J66" s="28">
        <f t="shared" ca="1" si="14"/>
        <v>-21.13</v>
      </c>
      <c r="K66" s="28">
        <f t="shared" ca="1" si="14"/>
        <v>-22.02</v>
      </c>
      <c r="L66" s="28">
        <f t="shared" ca="1" si="14"/>
        <v>-22.21</v>
      </c>
      <c r="M66" s="28">
        <f t="shared" ca="1" si="14"/>
        <v>-22.38</v>
      </c>
      <c r="N66" s="28">
        <f t="shared" ca="1" si="14"/>
        <v>-22.58</v>
      </c>
      <c r="O66" s="28">
        <f t="shared" ca="1" si="14"/>
        <v>-22.81</v>
      </c>
      <c r="P66" s="28">
        <f t="shared" ca="1" si="14"/>
        <v>-23.08</v>
      </c>
      <c r="Q66" s="28">
        <f t="shared" ca="1" si="14"/>
        <v>-23.36</v>
      </c>
      <c r="R66" s="28">
        <f t="shared" ca="1" si="14"/>
        <v>-23.65</v>
      </c>
      <c r="S66" s="28">
        <f t="shared" ca="1" si="14"/>
        <v>-23.94</v>
      </c>
      <c r="T66" s="28">
        <f t="shared" ca="1" si="14"/>
        <v>-24.22</v>
      </c>
      <c r="U66" s="28">
        <f t="shared" ca="1" si="14"/>
        <v>-24.51</v>
      </c>
      <c r="V66" s="28">
        <f t="shared" ca="1" si="14"/>
        <v>-24.79</v>
      </c>
      <c r="W66" s="28">
        <f t="shared" ca="1" si="14"/>
        <v>-25.06</v>
      </c>
      <c r="X66" s="28">
        <f t="shared" ca="1" si="14"/>
        <v>-26.1</v>
      </c>
      <c r="Y66" s="28">
        <f t="shared" ca="1" si="14"/>
        <v>-26.36</v>
      </c>
      <c r="Z66" s="28">
        <f t="shared" ca="1" si="14"/>
        <v>-26.63</v>
      </c>
      <c r="AA66" s="28">
        <f t="shared" ca="1" si="14"/>
        <v>-26.89</v>
      </c>
      <c r="AB66" s="28">
        <f t="shared" ca="1" si="14"/>
        <v>-27.15</v>
      </c>
      <c r="AC66" s="28">
        <f t="shared" ca="1" si="14"/>
        <v>-27.4</v>
      </c>
      <c r="AD66" s="28">
        <f t="shared" ca="1" si="14"/>
        <v>-27.61</v>
      </c>
      <c r="AE66" s="28">
        <f t="shared" ca="1" si="14"/>
        <v>-27.84</v>
      </c>
      <c r="AF66" s="28">
        <f t="shared" ca="1" si="14"/>
        <v>-28.08</v>
      </c>
      <c r="AG66" s="28">
        <f t="shared" ca="1" si="14"/>
        <v>-29.02</v>
      </c>
      <c r="AH66" s="28">
        <f t="shared" ca="1" si="14"/>
        <v>0</v>
      </c>
      <c r="AI66" s="28">
        <f t="shared" ref="G66:AL75" ca="1" si="17">$A66*H.Ar + $B66*H.Se + $C66*H.Ge + $D66*H.Ga</f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(1)Se[r]</v>
      </c>
      <c r="F67" s="28">
        <f t="shared" ca="1" si="16"/>
        <v>-23.56</v>
      </c>
      <c r="G67" s="28">
        <f t="shared" ca="1" si="17"/>
        <v>-22.33</v>
      </c>
      <c r="H67" s="28">
        <f t="shared" ca="1" si="17"/>
        <v>-21.52</v>
      </c>
      <c r="I67" s="28">
        <f t="shared" ca="1" si="17"/>
        <v>-21.15</v>
      </c>
      <c r="J67" s="28">
        <f t="shared" ca="1" si="17"/>
        <v>-21.13</v>
      </c>
      <c r="K67" s="28">
        <f t="shared" ca="1" si="17"/>
        <v>-22.02</v>
      </c>
      <c r="L67" s="28">
        <f t="shared" ca="1" si="17"/>
        <v>-22.21</v>
      </c>
      <c r="M67" s="28">
        <f t="shared" ca="1" si="17"/>
        <v>-22.38</v>
      </c>
      <c r="N67" s="28">
        <f t="shared" ca="1" si="17"/>
        <v>-22.58</v>
      </c>
      <c r="O67" s="28">
        <f t="shared" ca="1" si="17"/>
        <v>-22.81</v>
      </c>
      <c r="P67" s="28">
        <f t="shared" ca="1" si="17"/>
        <v>-23.08</v>
      </c>
      <c r="Q67" s="28">
        <f t="shared" ca="1" si="17"/>
        <v>-23.36</v>
      </c>
      <c r="R67" s="28">
        <f t="shared" ca="1" si="17"/>
        <v>-23.65</v>
      </c>
      <c r="S67" s="28">
        <f t="shared" ca="1" si="17"/>
        <v>-23.94</v>
      </c>
      <c r="T67" s="28">
        <f t="shared" ca="1" si="17"/>
        <v>-24.22</v>
      </c>
      <c r="U67" s="28">
        <f t="shared" ca="1" si="17"/>
        <v>-24.51</v>
      </c>
      <c r="V67" s="28">
        <f t="shared" ca="1" si="17"/>
        <v>-24.79</v>
      </c>
      <c r="W67" s="28">
        <f t="shared" ca="1" si="17"/>
        <v>-25.06</v>
      </c>
      <c r="X67" s="28">
        <f t="shared" ca="1" si="17"/>
        <v>-26.1</v>
      </c>
      <c r="Y67" s="28">
        <f t="shared" ca="1" si="17"/>
        <v>-26.36</v>
      </c>
      <c r="Z67" s="28">
        <f t="shared" ca="1" si="17"/>
        <v>-26.63</v>
      </c>
      <c r="AA67" s="28">
        <f t="shared" ca="1" si="17"/>
        <v>-26.89</v>
      </c>
      <c r="AB67" s="28">
        <f t="shared" ca="1" si="17"/>
        <v>-27.15</v>
      </c>
      <c r="AC67" s="28">
        <f t="shared" ca="1" si="17"/>
        <v>-27.4</v>
      </c>
      <c r="AD67" s="28">
        <f t="shared" ca="1" si="17"/>
        <v>-27.61</v>
      </c>
      <c r="AE67" s="28">
        <f t="shared" ca="1" si="17"/>
        <v>-27.84</v>
      </c>
      <c r="AF67" s="28">
        <f t="shared" ca="1" si="17"/>
        <v>-28.08</v>
      </c>
      <c r="AG67" s="28">
        <f t="shared" ca="1" si="17"/>
        <v>-29.02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(1)Ge[c]</v>
      </c>
      <c r="F68" s="28">
        <f t="shared" ca="1" si="16"/>
        <v>-17.02</v>
      </c>
      <c r="G68" s="28">
        <f t="shared" ca="1" si="17"/>
        <v>-16.100000000000001</v>
      </c>
      <c r="H68" s="28">
        <f t="shared" ca="1" si="17"/>
        <v>-15.04</v>
      </c>
      <c r="I68" s="28">
        <f t="shared" ca="1" si="17"/>
        <v>-13.75</v>
      </c>
      <c r="J68" s="28">
        <f t="shared" ca="1" si="17"/>
        <v>-12.33</v>
      </c>
      <c r="K68" s="28">
        <f t="shared" ca="1" si="17"/>
        <v>-7.4930000000000003</v>
      </c>
      <c r="L68" s="28">
        <f t="shared" ca="1" si="17"/>
        <v>-6.7720000000000002</v>
      </c>
      <c r="M68" s="28">
        <f t="shared" ca="1" si="17"/>
        <v>-6.2990000000000004</v>
      </c>
      <c r="N68" s="28">
        <f t="shared" ca="1" si="17"/>
        <v>-6.0309999999999997</v>
      </c>
      <c r="O68" s="28">
        <f t="shared" ca="1" si="17"/>
        <v>-5.9109999999999996</v>
      </c>
      <c r="P68" s="28">
        <f t="shared" ca="1" si="17"/>
        <v>-5.8780000000000001</v>
      </c>
      <c r="Q68" s="28">
        <f t="shared" ca="1" si="17"/>
        <v>-5.89</v>
      </c>
      <c r="R68" s="28">
        <f t="shared" ca="1" si="17"/>
        <v>-5.923</v>
      </c>
      <c r="S68" s="28">
        <f t="shared" ca="1" si="17"/>
        <v>-5.9649999999999999</v>
      </c>
      <c r="T68" s="28">
        <f t="shared" ca="1" si="17"/>
        <v>-6.0110000000000001</v>
      </c>
      <c r="U68" s="28">
        <f t="shared" ca="1" si="17"/>
        <v>-6.06</v>
      </c>
      <c r="V68" s="28">
        <f t="shared" ca="1" si="17"/>
        <v>-6.1130000000000004</v>
      </c>
      <c r="W68" s="28">
        <f t="shared" ca="1" si="17"/>
        <v>-6.1749999999999998</v>
      </c>
      <c r="X68" s="28">
        <f t="shared" ca="1" si="17"/>
        <v>-6.4939999999999998</v>
      </c>
      <c r="Y68" s="28">
        <f t="shared" ca="1" si="17"/>
        <v>-6.55</v>
      </c>
      <c r="Z68" s="28">
        <f t="shared" ca="1" si="17"/>
        <v>-6.6059999999999999</v>
      </c>
      <c r="AA68" s="28">
        <f t="shared" ca="1" si="17"/>
        <v>-6.6609999999999996</v>
      </c>
      <c r="AB68" s="28">
        <f t="shared" ca="1" si="17"/>
        <v>-6.718</v>
      </c>
      <c r="AC68" s="28">
        <f t="shared" ca="1" si="17"/>
        <v>-6.7729999999999997</v>
      </c>
      <c r="AD68" s="28">
        <f t="shared" ca="1" si="17"/>
        <v>-6.8140000000000001</v>
      </c>
      <c r="AE68" s="28">
        <f t="shared" ca="1" si="17"/>
        <v>-6.8540000000000001</v>
      </c>
      <c r="AF68" s="28">
        <f t="shared" ca="1" si="17"/>
        <v>-6.8940000000000001</v>
      </c>
      <c r="AG68" s="28">
        <f t="shared" ca="1" si="17"/>
        <v>-7.0640000000000001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8">
        <f t="shared" ca="1" si="16"/>
        <v>-66.75</v>
      </c>
      <c r="G69" s="28">
        <f t="shared" ca="1" si="17"/>
        <v>-62.38</v>
      </c>
      <c r="H69" s="28">
        <f t="shared" ca="1" si="17"/>
        <v>-58.23</v>
      </c>
      <c r="I69" s="28">
        <f t="shared" ca="1" si="17"/>
        <v>-54.11</v>
      </c>
      <c r="J69" s="28">
        <f t="shared" ca="1" si="17"/>
        <v>-50.02</v>
      </c>
      <c r="K69" s="28">
        <f t="shared" ca="1" si="17"/>
        <v>-36.159999999999997</v>
      </c>
      <c r="L69" s="28">
        <f t="shared" ca="1" si="17"/>
        <v>-33.5</v>
      </c>
      <c r="M69" s="28">
        <f t="shared" ca="1" si="17"/>
        <v>-31.09</v>
      </c>
      <c r="N69" s="28">
        <f t="shared" ca="1" si="17"/>
        <v>-28.84</v>
      </c>
      <c r="O69" s="28">
        <f t="shared" ca="1" si="17"/>
        <v>-26.68</v>
      </c>
      <c r="P69" s="28">
        <f t="shared" ca="1" si="17"/>
        <v>-24.62</v>
      </c>
      <c r="Q69" s="28">
        <f t="shared" ca="1" si="17"/>
        <v>-22.66</v>
      </c>
      <c r="R69" s="28">
        <f t="shared" ca="1" si="17"/>
        <v>-20.81</v>
      </c>
      <c r="S69" s="28">
        <f t="shared" ca="1" si="17"/>
        <v>-19.059999999999999</v>
      </c>
      <c r="T69" s="28">
        <f t="shared" ca="1" si="17"/>
        <v>-17.399999999999999</v>
      </c>
      <c r="U69" s="28">
        <f t="shared" ca="1" si="17"/>
        <v>-15.83</v>
      </c>
      <c r="V69" s="28">
        <f t="shared" ca="1" si="17"/>
        <v>-14.36</v>
      </c>
      <c r="W69" s="28">
        <f t="shared" ca="1" si="17"/>
        <v>-13.01</v>
      </c>
      <c r="X69" s="28">
        <f t="shared" ca="1" si="17"/>
        <v>-9.8030000000000008</v>
      </c>
      <c r="Y69" s="28">
        <f t="shared" ca="1" si="17"/>
        <v>-9.3119999999999994</v>
      </c>
      <c r="Z69" s="28">
        <f t="shared" ca="1" si="17"/>
        <v>-8.8580000000000005</v>
      </c>
      <c r="AA69" s="28">
        <f t="shared" ca="1" si="17"/>
        <v>-8.4390000000000001</v>
      </c>
      <c r="AB69" s="28">
        <f t="shared" ca="1" si="17"/>
        <v>-8.0500000000000007</v>
      </c>
      <c r="AC69" s="28">
        <f t="shared" ca="1" si="17"/>
        <v>-7.7050000000000001</v>
      </c>
      <c r="AD69" s="28">
        <f t="shared" ca="1" si="17"/>
        <v>-7.774</v>
      </c>
      <c r="AE69" s="28">
        <f t="shared" ca="1" si="17"/>
        <v>-7.8449999999999998</v>
      </c>
      <c r="AF69" s="28">
        <f t="shared" ca="1" si="17"/>
        <v>-7.915</v>
      </c>
      <c r="AG69" s="28">
        <f t="shared" ca="1" si="17"/>
        <v>-8.1869999999999994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8">
        <f t="shared" ref="F70:U78" ca="1" si="19">$A70*H.Ar + $B70*H.Se + $C70*H.Ge + $D70*H.Ga</f>
        <v>-17.02</v>
      </c>
      <c r="G70" s="28">
        <f t="shared" ca="1" si="19"/>
        <v>-16.100000000000001</v>
      </c>
      <c r="H70" s="28">
        <f t="shared" ca="1" si="19"/>
        <v>-15.04</v>
      </c>
      <c r="I70" s="28">
        <f t="shared" ca="1" si="19"/>
        <v>-13.75</v>
      </c>
      <c r="J70" s="28">
        <f t="shared" ca="1" si="19"/>
        <v>-12.33</v>
      </c>
      <c r="K70" s="28">
        <f t="shared" ca="1" si="19"/>
        <v>-7.4930000000000003</v>
      </c>
      <c r="L70" s="28">
        <f t="shared" ca="1" si="19"/>
        <v>-6.7720000000000002</v>
      </c>
      <c r="M70" s="28">
        <f t="shared" ca="1" si="19"/>
        <v>-6.2990000000000004</v>
      </c>
      <c r="N70" s="28">
        <f t="shared" ca="1" si="19"/>
        <v>-6.0309999999999997</v>
      </c>
      <c r="O70" s="28">
        <f t="shared" ca="1" si="19"/>
        <v>-5.9109999999999996</v>
      </c>
      <c r="P70" s="28">
        <f t="shared" ca="1" si="19"/>
        <v>-5.8780000000000001</v>
      </c>
      <c r="Q70" s="28">
        <f t="shared" ca="1" si="19"/>
        <v>-5.89</v>
      </c>
      <c r="R70" s="28">
        <f t="shared" ca="1" si="19"/>
        <v>-5.923</v>
      </c>
      <c r="S70" s="28">
        <f t="shared" ca="1" si="19"/>
        <v>-5.9649999999999999</v>
      </c>
      <c r="T70" s="28">
        <f t="shared" ca="1" si="19"/>
        <v>-6.0110000000000001</v>
      </c>
      <c r="U70" s="28">
        <f t="shared" ca="1" si="19"/>
        <v>-6.06</v>
      </c>
      <c r="V70" s="28">
        <f t="shared" ca="1" si="17"/>
        <v>-6.1130000000000004</v>
      </c>
      <c r="W70" s="28">
        <f t="shared" ca="1" si="17"/>
        <v>-6.1749999999999998</v>
      </c>
      <c r="X70" s="28">
        <f t="shared" ca="1" si="17"/>
        <v>-6.4939999999999998</v>
      </c>
      <c r="Y70" s="28">
        <f t="shared" ca="1" si="17"/>
        <v>-6.55</v>
      </c>
      <c r="Z70" s="28">
        <f t="shared" ca="1" si="17"/>
        <v>-6.6059999999999999</v>
      </c>
      <c r="AA70" s="28">
        <f t="shared" ca="1" si="17"/>
        <v>-6.6609999999999996</v>
      </c>
      <c r="AB70" s="28">
        <f t="shared" ca="1" si="17"/>
        <v>-6.718</v>
      </c>
      <c r="AC70" s="28">
        <f t="shared" ca="1" si="17"/>
        <v>-6.7729999999999997</v>
      </c>
      <c r="AD70" s="28">
        <f t="shared" ca="1" si="17"/>
        <v>-6.8140000000000001</v>
      </c>
      <c r="AE70" s="28">
        <f t="shared" ca="1" si="17"/>
        <v>-6.8540000000000001</v>
      </c>
      <c r="AF70" s="28">
        <f t="shared" ca="1" si="17"/>
        <v>-6.8940000000000001</v>
      </c>
      <c r="AG70" s="28">
        <f t="shared" ca="1" si="17"/>
        <v>-7.0640000000000001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8">
        <f t="shared" ca="1" si="19"/>
        <v>-18.71</v>
      </c>
      <c r="G71" s="28">
        <f t="shared" ca="1" si="17"/>
        <v>-18.7</v>
      </c>
      <c r="H71" s="28">
        <f t="shared" ca="1" si="17"/>
        <v>-18.7</v>
      </c>
      <c r="I71" s="28">
        <f t="shared" ca="1" si="17"/>
        <v>-18.7</v>
      </c>
      <c r="J71" s="28">
        <f t="shared" ca="1" si="17"/>
        <v>-18.72</v>
      </c>
      <c r="K71" s="28">
        <f t="shared" ca="1" si="17"/>
        <v>-18.829999999999998</v>
      </c>
      <c r="L71" s="28">
        <f t="shared" ca="1" si="17"/>
        <v>-18.87</v>
      </c>
      <c r="M71" s="28">
        <f t="shared" ca="1" si="17"/>
        <v>-18.899999999999999</v>
      </c>
      <c r="N71" s="28">
        <f t="shared" ca="1" si="17"/>
        <v>-18.940000000000001</v>
      </c>
      <c r="O71" s="28">
        <f t="shared" ca="1" si="17"/>
        <v>-18.98</v>
      </c>
      <c r="P71" s="28">
        <f t="shared" ca="1" si="17"/>
        <v>-19.02</v>
      </c>
      <c r="Q71" s="28">
        <f t="shared" ca="1" si="17"/>
        <v>-19.059999999999999</v>
      </c>
      <c r="R71" s="28">
        <f t="shared" ca="1" si="17"/>
        <v>-19.100000000000001</v>
      </c>
      <c r="S71" s="28">
        <f t="shared" ca="1" si="17"/>
        <v>-19.14</v>
      </c>
      <c r="T71" s="28">
        <f t="shared" ca="1" si="17"/>
        <v>-19.18</v>
      </c>
      <c r="U71" s="28">
        <f t="shared" ca="1" si="17"/>
        <v>-19.23</v>
      </c>
      <c r="V71" s="28">
        <f t="shared" ca="1" si="17"/>
        <v>-19.27</v>
      </c>
      <c r="W71" s="28">
        <f t="shared" ca="1" si="17"/>
        <v>-19.3</v>
      </c>
      <c r="X71" s="28">
        <f t="shared" ca="1" si="17"/>
        <v>-19.43</v>
      </c>
      <c r="Y71" s="28">
        <f t="shared" ca="1" si="17"/>
        <v>-19.47</v>
      </c>
      <c r="Z71" s="28">
        <f t="shared" ca="1" si="17"/>
        <v>-19.510000000000002</v>
      </c>
      <c r="AA71" s="28">
        <f t="shared" ca="1" si="17"/>
        <v>-19.55</v>
      </c>
      <c r="AB71" s="28">
        <f t="shared" ca="1" si="17"/>
        <v>-19.59</v>
      </c>
      <c r="AC71" s="28">
        <f t="shared" ca="1" si="17"/>
        <v>-19.62</v>
      </c>
      <c r="AD71" s="28">
        <f t="shared" ca="1" si="17"/>
        <v>-19.66</v>
      </c>
      <c r="AE71" s="28">
        <f t="shared" ca="1" si="17"/>
        <v>-19.7</v>
      </c>
      <c r="AF71" s="28">
        <f t="shared" ca="1" si="17"/>
        <v>-19.739999999999998</v>
      </c>
      <c r="AG71" s="28">
        <f t="shared" ca="1" si="17"/>
        <v>-19.88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8">
        <f t="shared" ca="1" si="19"/>
        <v>-66.75</v>
      </c>
      <c r="G72" s="28">
        <f t="shared" ca="1" si="17"/>
        <v>-62.38</v>
      </c>
      <c r="H72" s="28">
        <f t="shared" ca="1" si="17"/>
        <v>-58.23</v>
      </c>
      <c r="I72" s="28">
        <f t="shared" ca="1" si="17"/>
        <v>-54.11</v>
      </c>
      <c r="J72" s="28">
        <f t="shared" ca="1" si="17"/>
        <v>-50.02</v>
      </c>
      <c r="K72" s="28">
        <f t="shared" ca="1" si="17"/>
        <v>-36.159999999999997</v>
      </c>
      <c r="L72" s="28">
        <f t="shared" ca="1" si="17"/>
        <v>-33.5</v>
      </c>
      <c r="M72" s="28">
        <f t="shared" ca="1" si="17"/>
        <v>-31.09</v>
      </c>
      <c r="N72" s="28">
        <f t="shared" ca="1" si="17"/>
        <v>-28.84</v>
      </c>
      <c r="O72" s="28">
        <f t="shared" ca="1" si="17"/>
        <v>-26.68</v>
      </c>
      <c r="P72" s="28">
        <f t="shared" ca="1" si="17"/>
        <v>-24.62</v>
      </c>
      <c r="Q72" s="28">
        <f t="shared" ca="1" si="17"/>
        <v>-22.66</v>
      </c>
      <c r="R72" s="28">
        <f t="shared" ca="1" si="17"/>
        <v>-20.81</v>
      </c>
      <c r="S72" s="28">
        <f t="shared" ca="1" si="17"/>
        <v>-19.059999999999999</v>
      </c>
      <c r="T72" s="28">
        <f t="shared" ca="1" si="17"/>
        <v>-17.399999999999999</v>
      </c>
      <c r="U72" s="28">
        <f t="shared" ca="1" si="17"/>
        <v>-15.83</v>
      </c>
      <c r="V72" s="28">
        <f t="shared" ca="1" si="17"/>
        <v>-14.36</v>
      </c>
      <c r="W72" s="28">
        <f t="shared" ca="1" si="17"/>
        <v>-13.01</v>
      </c>
      <c r="X72" s="28">
        <f t="shared" ca="1" si="17"/>
        <v>-9.8030000000000008</v>
      </c>
      <c r="Y72" s="28">
        <f t="shared" ca="1" si="17"/>
        <v>-9.3119999999999994</v>
      </c>
      <c r="Z72" s="28">
        <f t="shared" ca="1" si="17"/>
        <v>-8.8580000000000005</v>
      </c>
      <c r="AA72" s="28">
        <f t="shared" ca="1" si="17"/>
        <v>-8.4390000000000001</v>
      </c>
      <c r="AB72" s="28">
        <f t="shared" ca="1" si="17"/>
        <v>-8.0500000000000007</v>
      </c>
      <c r="AC72" s="28">
        <f t="shared" ca="1" si="17"/>
        <v>-7.7050000000000001</v>
      </c>
      <c r="AD72" s="28">
        <f t="shared" ca="1" si="17"/>
        <v>-7.774</v>
      </c>
      <c r="AE72" s="28">
        <f t="shared" ca="1" si="17"/>
        <v>-7.8449999999999998</v>
      </c>
      <c r="AF72" s="28">
        <f t="shared" ca="1" si="17"/>
        <v>-7.915</v>
      </c>
      <c r="AG72" s="28">
        <f t="shared" ca="1" si="17"/>
        <v>-8.1869999999999994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8">
        <f t="shared" ca="1" si="19"/>
        <v>-17.02</v>
      </c>
      <c r="G73" s="28">
        <f t="shared" ca="1" si="17"/>
        <v>-16.100000000000001</v>
      </c>
      <c r="H73" s="28">
        <f t="shared" ca="1" si="17"/>
        <v>-15.04</v>
      </c>
      <c r="I73" s="28">
        <f t="shared" ca="1" si="17"/>
        <v>-13.75</v>
      </c>
      <c r="J73" s="28">
        <f t="shared" ca="1" si="17"/>
        <v>-12.33</v>
      </c>
      <c r="K73" s="28">
        <f t="shared" ca="1" si="17"/>
        <v>-7.4930000000000003</v>
      </c>
      <c r="L73" s="28">
        <f t="shared" ca="1" si="17"/>
        <v>-6.7720000000000002</v>
      </c>
      <c r="M73" s="28">
        <f t="shared" ca="1" si="17"/>
        <v>-6.2990000000000004</v>
      </c>
      <c r="N73" s="28">
        <f t="shared" ca="1" si="17"/>
        <v>-6.0309999999999997</v>
      </c>
      <c r="O73" s="28">
        <f t="shared" ca="1" si="17"/>
        <v>-5.9109999999999996</v>
      </c>
      <c r="P73" s="28">
        <f t="shared" ca="1" si="17"/>
        <v>-5.8780000000000001</v>
      </c>
      <c r="Q73" s="28">
        <f t="shared" ca="1" si="17"/>
        <v>-5.89</v>
      </c>
      <c r="R73" s="28">
        <f t="shared" ca="1" si="17"/>
        <v>-5.923</v>
      </c>
      <c r="S73" s="28">
        <f t="shared" ca="1" si="17"/>
        <v>-5.9649999999999999</v>
      </c>
      <c r="T73" s="28">
        <f t="shared" ca="1" si="17"/>
        <v>-6.0110000000000001</v>
      </c>
      <c r="U73" s="28">
        <f t="shared" ca="1" si="17"/>
        <v>-6.06</v>
      </c>
      <c r="V73" s="28">
        <f t="shared" ca="1" si="17"/>
        <v>-6.1130000000000004</v>
      </c>
      <c r="W73" s="28">
        <f t="shared" ca="1" si="17"/>
        <v>-6.1749999999999998</v>
      </c>
      <c r="X73" s="28">
        <f t="shared" ca="1" si="17"/>
        <v>-6.4939999999999998</v>
      </c>
      <c r="Y73" s="28">
        <f t="shared" ca="1" si="17"/>
        <v>-6.55</v>
      </c>
      <c r="Z73" s="28">
        <f t="shared" ca="1" si="17"/>
        <v>-6.6059999999999999</v>
      </c>
      <c r="AA73" s="28">
        <f t="shared" ca="1" si="17"/>
        <v>-6.6609999999999996</v>
      </c>
      <c r="AB73" s="28">
        <f t="shared" ca="1" si="17"/>
        <v>-6.718</v>
      </c>
      <c r="AC73" s="28">
        <f t="shared" ca="1" si="17"/>
        <v>-6.7729999999999997</v>
      </c>
      <c r="AD73" s="28">
        <f t="shared" ca="1" si="17"/>
        <v>-6.8140000000000001</v>
      </c>
      <c r="AE73" s="28">
        <f t="shared" ca="1" si="17"/>
        <v>-6.8540000000000001</v>
      </c>
      <c r="AF73" s="28">
        <f t="shared" ca="1" si="17"/>
        <v>-6.8940000000000001</v>
      </c>
      <c r="AG73" s="28">
        <f t="shared" ca="1" si="17"/>
        <v>-7.0640000000000001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8">
        <f t="shared" ca="1" si="19"/>
        <v>-23.56</v>
      </c>
      <c r="G74" s="28">
        <f t="shared" ca="1" si="17"/>
        <v>-22.33</v>
      </c>
      <c r="H74" s="28">
        <f t="shared" ca="1" si="17"/>
        <v>-21.52</v>
      </c>
      <c r="I74" s="28">
        <f t="shared" ca="1" si="17"/>
        <v>-21.15</v>
      </c>
      <c r="J74" s="28">
        <f t="shared" ca="1" si="17"/>
        <v>-21.13</v>
      </c>
      <c r="K74" s="28">
        <f t="shared" ca="1" si="17"/>
        <v>-22.02</v>
      </c>
      <c r="L74" s="28">
        <f t="shared" ca="1" si="17"/>
        <v>-22.21</v>
      </c>
      <c r="M74" s="28">
        <f t="shared" ca="1" si="17"/>
        <v>-22.38</v>
      </c>
      <c r="N74" s="28">
        <f t="shared" ca="1" si="17"/>
        <v>-22.58</v>
      </c>
      <c r="O74" s="28">
        <f t="shared" ca="1" si="17"/>
        <v>-22.81</v>
      </c>
      <c r="P74" s="28">
        <f t="shared" ca="1" si="17"/>
        <v>-23.08</v>
      </c>
      <c r="Q74" s="28">
        <f t="shared" ca="1" si="17"/>
        <v>-23.36</v>
      </c>
      <c r="R74" s="28">
        <f t="shared" ca="1" si="17"/>
        <v>-23.65</v>
      </c>
      <c r="S74" s="28">
        <f t="shared" ca="1" si="17"/>
        <v>-23.94</v>
      </c>
      <c r="T74" s="28">
        <f t="shared" ca="1" si="17"/>
        <v>-24.22</v>
      </c>
      <c r="U74" s="28">
        <f t="shared" ca="1" si="17"/>
        <v>-24.51</v>
      </c>
      <c r="V74" s="28">
        <f t="shared" ca="1" si="17"/>
        <v>-24.79</v>
      </c>
      <c r="W74" s="28">
        <f t="shared" ca="1" si="17"/>
        <v>-25.06</v>
      </c>
      <c r="X74" s="28">
        <f t="shared" ca="1" si="17"/>
        <v>-26.1</v>
      </c>
      <c r="Y74" s="28">
        <f t="shared" ca="1" si="17"/>
        <v>-26.36</v>
      </c>
      <c r="Z74" s="28">
        <f t="shared" ca="1" si="17"/>
        <v>-26.63</v>
      </c>
      <c r="AA74" s="28">
        <f t="shared" ca="1" si="17"/>
        <v>-26.89</v>
      </c>
      <c r="AB74" s="28">
        <f t="shared" ca="1" si="17"/>
        <v>-27.15</v>
      </c>
      <c r="AC74" s="28">
        <f t="shared" ca="1" si="17"/>
        <v>-27.4</v>
      </c>
      <c r="AD74" s="28">
        <f t="shared" ca="1" si="17"/>
        <v>-27.61</v>
      </c>
      <c r="AE74" s="28">
        <f t="shared" ca="1" si="17"/>
        <v>-27.84</v>
      </c>
      <c r="AF74" s="28">
        <f t="shared" ca="1" si="17"/>
        <v>-28.08</v>
      </c>
      <c r="AG74" s="28">
        <f t="shared" ca="1" si="17"/>
        <v>-29.02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8">
        <f t="shared" ca="1" si="19"/>
        <v>0</v>
      </c>
      <c r="G75" s="28">
        <f t="shared" ca="1" si="17"/>
        <v>0</v>
      </c>
      <c r="H75" s="28">
        <f t="shared" ca="1" si="17"/>
        <v>0</v>
      </c>
      <c r="I75" s="28">
        <f t="shared" ca="1" si="17"/>
        <v>0</v>
      </c>
      <c r="J75" s="28">
        <f t="shared" ca="1" si="17"/>
        <v>0</v>
      </c>
      <c r="K75" s="28">
        <f t="shared" ca="1" si="17"/>
        <v>0</v>
      </c>
      <c r="L75" s="28">
        <f t="shared" ca="1" si="17"/>
        <v>0</v>
      </c>
      <c r="M75" s="28">
        <f t="shared" ca="1" si="17"/>
        <v>0</v>
      </c>
      <c r="N75" s="28">
        <f t="shared" ca="1" si="17"/>
        <v>0</v>
      </c>
      <c r="O75" s="28">
        <f t="shared" ca="1" si="17"/>
        <v>0</v>
      </c>
      <c r="P75" s="28">
        <f t="shared" ca="1" si="17"/>
        <v>0</v>
      </c>
      <c r="Q75" s="28">
        <f t="shared" ref="G75:AL78" ca="1" si="20">$A75*H.Ar + $B75*H.Se + $C75*H.Ge + $D75*H.Ga</f>
        <v>0</v>
      </c>
      <c r="R75" s="28">
        <f t="shared" ca="1" si="20"/>
        <v>0</v>
      </c>
      <c r="S75" s="28">
        <f t="shared" ca="1" si="20"/>
        <v>0</v>
      </c>
      <c r="T75" s="28">
        <f t="shared" ca="1" si="20"/>
        <v>0</v>
      </c>
      <c r="U75" s="28">
        <f t="shared" ca="1" si="20"/>
        <v>0</v>
      </c>
      <c r="V75" s="28">
        <f t="shared" ca="1" si="20"/>
        <v>0</v>
      </c>
      <c r="W75" s="28">
        <f t="shared" ca="1" si="20"/>
        <v>0</v>
      </c>
      <c r="X75" s="28">
        <f t="shared" ca="1" si="20"/>
        <v>0</v>
      </c>
      <c r="Y75" s="28">
        <f t="shared" ca="1" si="20"/>
        <v>0</v>
      </c>
      <c r="Z75" s="28">
        <f t="shared" ca="1" si="20"/>
        <v>0</v>
      </c>
      <c r="AA75" s="28">
        <f t="shared" ca="1" si="20"/>
        <v>0</v>
      </c>
      <c r="AB75" s="28">
        <f t="shared" ca="1" si="20"/>
        <v>0</v>
      </c>
      <c r="AC75" s="28">
        <f t="shared" ca="1" si="20"/>
        <v>0</v>
      </c>
      <c r="AD75" s="28">
        <f t="shared" ca="1" si="20"/>
        <v>0</v>
      </c>
      <c r="AE75" s="28">
        <f t="shared" ca="1" si="20"/>
        <v>0</v>
      </c>
      <c r="AF75" s="28">
        <f t="shared" ca="1" si="20"/>
        <v>0</v>
      </c>
      <c r="AG75" s="28">
        <f t="shared" ca="1" si="20"/>
        <v>0</v>
      </c>
      <c r="AH75" s="28">
        <f t="shared" ca="1" si="20"/>
        <v>0</v>
      </c>
      <c r="AI75" s="28">
        <f t="shared" ca="1" si="20"/>
        <v>0</v>
      </c>
      <c r="AJ75" s="28">
        <f t="shared" ca="1" si="20"/>
        <v>0</v>
      </c>
      <c r="AK75" s="28">
        <f t="shared" ca="1" si="20"/>
        <v>0</v>
      </c>
      <c r="AL75" s="28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8">
        <f t="shared" ca="1" si="19"/>
        <v>0</v>
      </c>
      <c r="G76" s="28">
        <f t="shared" ca="1" si="20"/>
        <v>0</v>
      </c>
      <c r="H76" s="28">
        <f t="shared" ca="1" si="20"/>
        <v>0</v>
      </c>
      <c r="I76" s="28">
        <f t="shared" ca="1" si="20"/>
        <v>0</v>
      </c>
      <c r="J76" s="28">
        <f t="shared" ca="1" si="20"/>
        <v>0</v>
      </c>
      <c r="K76" s="28">
        <f t="shared" ca="1" si="20"/>
        <v>0</v>
      </c>
      <c r="L76" s="28">
        <f t="shared" ca="1" si="20"/>
        <v>0</v>
      </c>
      <c r="M76" s="28">
        <f t="shared" ca="1" si="20"/>
        <v>0</v>
      </c>
      <c r="N76" s="28">
        <f t="shared" ca="1" si="20"/>
        <v>0</v>
      </c>
      <c r="O76" s="28">
        <f t="shared" ca="1" si="20"/>
        <v>0</v>
      </c>
      <c r="P76" s="28">
        <f t="shared" ca="1" si="20"/>
        <v>0</v>
      </c>
      <c r="Q76" s="28">
        <f t="shared" ca="1" si="20"/>
        <v>0</v>
      </c>
      <c r="R76" s="28">
        <f t="shared" ca="1" si="20"/>
        <v>0</v>
      </c>
      <c r="S76" s="28">
        <f t="shared" ca="1" si="20"/>
        <v>0</v>
      </c>
      <c r="T76" s="28">
        <f t="shared" ca="1" si="20"/>
        <v>0</v>
      </c>
      <c r="U76" s="28">
        <f t="shared" ca="1" si="20"/>
        <v>0</v>
      </c>
      <c r="V76" s="28">
        <f t="shared" ca="1" si="20"/>
        <v>0</v>
      </c>
      <c r="W76" s="28">
        <f t="shared" ca="1" si="20"/>
        <v>0</v>
      </c>
      <c r="X76" s="28">
        <f t="shared" ca="1" si="20"/>
        <v>0</v>
      </c>
      <c r="Y76" s="28">
        <f t="shared" ca="1" si="20"/>
        <v>0</v>
      </c>
      <c r="Z76" s="28">
        <f t="shared" ca="1" si="20"/>
        <v>0</v>
      </c>
      <c r="AA76" s="28">
        <f t="shared" ca="1" si="20"/>
        <v>0</v>
      </c>
      <c r="AB76" s="28">
        <f t="shared" ca="1" si="20"/>
        <v>0</v>
      </c>
      <c r="AC76" s="28">
        <f t="shared" ca="1" si="20"/>
        <v>0</v>
      </c>
      <c r="AD76" s="28">
        <f t="shared" ca="1" si="20"/>
        <v>0</v>
      </c>
      <c r="AE76" s="28">
        <f t="shared" ca="1" si="20"/>
        <v>0</v>
      </c>
      <c r="AF76" s="28">
        <f t="shared" ca="1" si="20"/>
        <v>0</v>
      </c>
      <c r="AG76" s="28">
        <f t="shared" ca="1" si="20"/>
        <v>0</v>
      </c>
      <c r="AH76" s="28">
        <f t="shared" ca="1" si="20"/>
        <v>0</v>
      </c>
      <c r="AI76" s="28">
        <f t="shared" ca="1" si="20"/>
        <v>0</v>
      </c>
      <c r="AJ76" s="28">
        <f t="shared" ca="1" si="20"/>
        <v>0</v>
      </c>
      <c r="AK76" s="28">
        <f t="shared" ca="1" si="20"/>
        <v>0</v>
      </c>
      <c r="AL76" s="28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8">
        <f t="shared" ca="1" si="19"/>
        <v>0</v>
      </c>
      <c r="G77" s="28">
        <f t="shared" ca="1" si="20"/>
        <v>0</v>
      </c>
      <c r="H77" s="28">
        <f t="shared" ca="1" si="20"/>
        <v>0</v>
      </c>
      <c r="I77" s="28">
        <f t="shared" ca="1" si="20"/>
        <v>0</v>
      </c>
      <c r="J77" s="28">
        <f t="shared" ca="1" si="20"/>
        <v>0</v>
      </c>
      <c r="K77" s="28">
        <f t="shared" ca="1" si="20"/>
        <v>0</v>
      </c>
      <c r="L77" s="28">
        <f t="shared" ca="1" si="20"/>
        <v>0</v>
      </c>
      <c r="M77" s="28">
        <f t="shared" ca="1" si="20"/>
        <v>0</v>
      </c>
      <c r="N77" s="28">
        <f t="shared" ca="1" si="20"/>
        <v>0</v>
      </c>
      <c r="O77" s="28">
        <f t="shared" ca="1" si="20"/>
        <v>0</v>
      </c>
      <c r="P77" s="28">
        <f t="shared" ca="1" si="20"/>
        <v>0</v>
      </c>
      <c r="Q77" s="28">
        <f t="shared" ca="1" si="20"/>
        <v>0</v>
      </c>
      <c r="R77" s="28">
        <f t="shared" ca="1" si="20"/>
        <v>0</v>
      </c>
      <c r="S77" s="28">
        <f t="shared" ca="1" si="20"/>
        <v>0</v>
      </c>
      <c r="T77" s="28">
        <f t="shared" ca="1" si="20"/>
        <v>0</v>
      </c>
      <c r="U77" s="28">
        <f t="shared" ca="1" si="20"/>
        <v>0</v>
      </c>
      <c r="V77" s="28">
        <f t="shared" ca="1" si="20"/>
        <v>0</v>
      </c>
      <c r="W77" s="28">
        <f t="shared" ca="1" si="20"/>
        <v>0</v>
      </c>
      <c r="X77" s="28">
        <f t="shared" ca="1" si="20"/>
        <v>0</v>
      </c>
      <c r="Y77" s="28">
        <f t="shared" ca="1" si="20"/>
        <v>0</v>
      </c>
      <c r="Z77" s="28">
        <f t="shared" ca="1" si="20"/>
        <v>0</v>
      </c>
      <c r="AA77" s="28">
        <f t="shared" ca="1" si="20"/>
        <v>0</v>
      </c>
      <c r="AB77" s="28">
        <f t="shared" ca="1" si="20"/>
        <v>0</v>
      </c>
      <c r="AC77" s="28">
        <f t="shared" ca="1" si="20"/>
        <v>0</v>
      </c>
      <c r="AD77" s="28">
        <f t="shared" ca="1" si="20"/>
        <v>0</v>
      </c>
      <c r="AE77" s="28">
        <f t="shared" ca="1" si="20"/>
        <v>0</v>
      </c>
      <c r="AF77" s="28">
        <f t="shared" ca="1" si="20"/>
        <v>0</v>
      </c>
      <c r="AG77" s="28">
        <f t="shared" ca="1" si="20"/>
        <v>0</v>
      </c>
      <c r="AH77" s="28">
        <f t="shared" ca="1" si="20"/>
        <v>0</v>
      </c>
      <c r="AI77" s="28">
        <f t="shared" ca="1" si="20"/>
        <v>0</v>
      </c>
      <c r="AJ77" s="28">
        <f t="shared" ca="1" si="20"/>
        <v>0</v>
      </c>
      <c r="AK77" s="28">
        <f t="shared" ca="1" si="20"/>
        <v>0</v>
      </c>
      <c r="AL77" s="28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8">
        <f t="shared" ca="1" si="19"/>
        <v>0</v>
      </c>
      <c r="G78" s="28">
        <f t="shared" ca="1" si="20"/>
        <v>0</v>
      </c>
      <c r="H78" s="28">
        <f t="shared" ca="1" si="20"/>
        <v>0</v>
      </c>
      <c r="I78" s="28">
        <f t="shared" ca="1" si="20"/>
        <v>0</v>
      </c>
      <c r="J78" s="28">
        <f t="shared" ca="1" si="20"/>
        <v>0</v>
      </c>
      <c r="K78" s="28">
        <f t="shared" ca="1" si="20"/>
        <v>0</v>
      </c>
      <c r="L78" s="28">
        <f t="shared" ca="1" si="20"/>
        <v>0</v>
      </c>
      <c r="M78" s="28">
        <f t="shared" ca="1" si="20"/>
        <v>0</v>
      </c>
      <c r="N78" s="28">
        <f t="shared" ca="1" si="20"/>
        <v>0</v>
      </c>
      <c r="O78" s="28">
        <f t="shared" ca="1" si="20"/>
        <v>0</v>
      </c>
      <c r="P78" s="28">
        <f t="shared" ca="1" si="20"/>
        <v>0</v>
      </c>
      <c r="Q78" s="28">
        <f t="shared" ca="1" si="20"/>
        <v>0</v>
      </c>
      <c r="R78" s="28">
        <f t="shared" ca="1" si="20"/>
        <v>0</v>
      </c>
      <c r="S78" s="28">
        <f t="shared" ca="1" si="20"/>
        <v>0</v>
      </c>
      <c r="T78" s="28">
        <f t="shared" ca="1" si="20"/>
        <v>0</v>
      </c>
      <c r="U78" s="28">
        <f t="shared" ca="1" si="20"/>
        <v>0</v>
      </c>
      <c r="V78" s="28">
        <f t="shared" ca="1" si="20"/>
        <v>0</v>
      </c>
      <c r="W78" s="28">
        <f t="shared" ca="1" si="20"/>
        <v>0</v>
      </c>
      <c r="X78" s="28">
        <f t="shared" ca="1" si="20"/>
        <v>0</v>
      </c>
      <c r="Y78" s="28">
        <f t="shared" ca="1" si="20"/>
        <v>0</v>
      </c>
      <c r="Z78" s="28">
        <f t="shared" ca="1" si="20"/>
        <v>0</v>
      </c>
      <c r="AA78" s="28">
        <f t="shared" ca="1" si="20"/>
        <v>0</v>
      </c>
      <c r="AB78" s="28">
        <f t="shared" ca="1" si="20"/>
        <v>0</v>
      </c>
      <c r="AC78" s="28">
        <f t="shared" ca="1" si="20"/>
        <v>0</v>
      </c>
      <c r="AD78" s="28">
        <f t="shared" ca="1" si="20"/>
        <v>0</v>
      </c>
      <c r="AE78" s="28">
        <f t="shared" ca="1" si="20"/>
        <v>0</v>
      </c>
      <c r="AF78" s="28">
        <f t="shared" ca="1" si="20"/>
        <v>0</v>
      </c>
      <c r="AG78" s="28">
        <f t="shared" ca="1" si="20"/>
        <v>0</v>
      </c>
      <c r="AH78" s="28">
        <f t="shared" ca="1" si="20"/>
        <v>0</v>
      </c>
      <c r="AI78" s="28">
        <f t="shared" ca="1" si="20"/>
        <v>0</v>
      </c>
      <c r="AJ78" s="28">
        <f t="shared" ca="1" si="20"/>
        <v>0</v>
      </c>
      <c r="AK78" s="28">
        <f t="shared" ca="1" si="20"/>
        <v>0</v>
      </c>
      <c r="AL78" s="28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96"/>
      <c r="V79" s="97"/>
      <c r="W79" s="109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115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104"/>
      <c r="V82" s="25"/>
      <c r="W82" s="116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1">E49</f>
        <v>Temperature,К</v>
      </c>
      <c r="F83" s="8">
        <f t="shared" ref="F83:AL83" si="22">F3</f>
        <v>273.10000000000002</v>
      </c>
      <c r="G83" s="8">
        <f t="shared" si="22"/>
        <v>293.3</v>
      </c>
      <c r="H83" s="8">
        <f t="shared" si="22"/>
        <v>313.5</v>
      </c>
      <c r="I83" s="8">
        <f t="shared" si="22"/>
        <v>333.7</v>
      </c>
      <c r="J83" s="8">
        <f t="shared" si="22"/>
        <v>353.9</v>
      </c>
      <c r="K83" s="8">
        <f t="shared" si="22"/>
        <v>434.7</v>
      </c>
      <c r="L83" s="8">
        <f t="shared" si="22"/>
        <v>454.9</v>
      </c>
      <c r="M83" s="8">
        <f t="shared" si="22"/>
        <v>475.1</v>
      </c>
      <c r="N83" s="8">
        <f t="shared" si="22"/>
        <v>495.2</v>
      </c>
      <c r="O83" s="8">
        <f t="shared" si="22"/>
        <v>515.4</v>
      </c>
      <c r="P83" s="8">
        <f t="shared" si="22"/>
        <v>535.6</v>
      </c>
      <c r="Q83" s="8">
        <f t="shared" si="22"/>
        <v>555.79999999999995</v>
      </c>
      <c r="R83" s="8">
        <f t="shared" si="22"/>
        <v>576</v>
      </c>
      <c r="S83" s="8">
        <f t="shared" si="22"/>
        <v>596.20000000000005</v>
      </c>
      <c r="T83" s="87">
        <f t="shared" si="22"/>
        <v>616.4</v>
      </c>
      <c r="U83" s="94">
        <f t="shared" si="22"/>
        <v>636.6</v>
      </c>
      <c r="V83" s="95">
        <f t="shared" si="22"/>
        <v>656.8</v>
      </c>
      <c r="W83" s="1">
        <f t="shared" si="22"/>
        <v>677</v>
      </c>
      <c r="X83" s="89">
        <f t="shared" si="22"/>
        <v>757.7</v>
      </c>
      <c r="Y83" s="8">
        <f t="shared" si="22"/>
        <v>777.9</v>
      </c>
      <c r="Z83" s="8">
        <f t="shared" si="22"/>
        <v>798.1</v>
      </c>
      <c r="AA83" s="8">
        <f t="shared" si="22"/>
        <v>818.3</v>
      </c>
      <c r="AB83" s="8">
        <f t="shared" si="22"/>
        <v>838.5</v>
      </c>
      <c r="AC83" s="8">
        <f t="shared" si="22"/>
        <v>858.7</v>
      </c>
      <c r="AD83" s="8">
        <f t="shared" si="22"/>
        <v>878.9</v>
      </c>
      <c r="AE83" s="8">
        <f t="shared" si="22"/>
        <v>899</v>
      </c>
      <c r="AF83" s="8">
        <f t="shared" si="22"/>
        <v>919.2</v>
      </c>
      <c r="AG83" s="8">
        <f>AG3</f>
        <v>1000</v>
      </c>
      <c r="AH83" s="8">
        <f t="shared" si="22"/>
        <v>0</v>
      </c>
      <c r="AI83" s="8">
        <f>AI3</f>
        <v>0</v>
      </c>
      <c r="AJ83" s="8">
        <f t="shared" si="22"/>
        <v>0</v>
      </c>
      <c r="AK83" s="8">
        <f t="shared" si="22"/>
        <v>0</v>
      </c>
      <c r="AL83" s="8">
        <f t="shared" si="22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3">B50</f>
        <v>1</v>
      </c>
      <c r="C84" s="10">
        <f t="shared" si="23"/>
        <v>1</v>
      </c>
      <c r="D84" s="10">
        <f t="shared" si="23"/>
        <v>0</v>
      </c>
      <c r="E84" s="11" t="str">
        <f t="shared" si="21"/>
        <v>*GeSe</v>
      </c>
      <c r="F84" s="28">
        <f t="shared" ref="F84" si="24">F4*$C$82</f>
        <v>2.5782499999999999E-8</v>
      </c>
      <c r="G84" s="28">
        <f t="shared" ref="G84:AL84" si="25">G4*$C$82</f>
        <v>2.2985416666666669E-8</v>
      </c>
      <c r="H84" s="28">
        <f t="shared" si="25"/>
        <v>3.0935000000000005E-8</v>
      </c>
      <c r="I84" s="28">
        <f t="shared" si="25"/>
        <v>5.6575000000000002E-8</v>
      </c>
      <c r="J84" s="28">
        <f t="shared" si="25"/>
        <v>1.2271250000000001E-7</v>
      </c>
      <c r="K84" s="28">
        <f t="shared" si="25"/>
        <v>6.5916666666666665E-8</v>
      </c>
      <c r="L84" s="28">
        <f t="shared" si="25"/>
        <v>1.1977916666666667E-8</v>
      </c>
      <c r="M84" s="28">
        <f t="shared" si="25"/>
        <v>1.0200416666666668E-12</v>
      </c>
      <c r="N84" s="28">
        <f t="shared" si="25"/>
        <v>4.1435416666666672E-20</v>
      </c>
      <c r="O84" s="28">
        <f t="shared" si="25"/>
        <v>3.047541666666667E-29</v>
      </c>
      <c r="P84" s="28">
        <f t="shared" si="25"/>
        <v>0</v>
      </c>
      <c r="Q84" s="28">
        <f t="shared" si="25"/>
        <v>0</v>
      </c>
      <c r="R84" s="28">
        <f t="shared" si="25"/>
        <v>0</v>
      </c>
      <c r="S84" s="28">
        <f t="shared" si="25"/>
        <v>0</v>
      </c>
      <c r="T84" s="28">
        <f t="shared" si="25"/>
        <v>0</v>
      </c>
      <c r="U84" s="28">
        <f t="shared" si="25"/>
        <v>0</v>
      </c>
      <c r="V84" s="28">
        <f t="shared" si="25"/>
        <v>0</v>
      </c>
      <c r="W84" s="28">
        <f t="shared" si="25"/>
        <v>0</v>
      </c>
      <c r="X84" s="28">
        <f t="shared" si="25"/>
        <v>0</v>
      </c>
      <c r="Y84" s="28">
        <f t="shared" si="25"/>
        <v>0</v>
      </c>
      <c r="Z84" s="28">
        <f t="shared" si="25"/>
        <v>0</v>
      </c>
      <c r="AA84" s="28">
        <f t="shared" si="25"/>
        <v>0</v>
      </c>
      <c r="AB84" s="28">
        <f t="shared" si="25"/>
        <v>0</v>
      </c>
      <c r="AC84" s="28">
        <f t="shared" si="25"/>
        <v>0</v>
      </c>
      <c r="AD84" s="28">
        <f t="shared" si="25"/>
        <v>0</v>
      </c>
      <c r="AE84" s="28">
        <f t="shared" si="25"/>
        <v>0</v>
      </c>
      <c r="AF84" s="28">
        <f t="shared" si="25"/>
        <v>0</v>
      </c>
      <c r="AG84" s="28">
        <f t="shared" si="25"/>
        <v>0</v>
      </c>
      <c r="AH84" s="28">
        <f t="shared" si="25"/>
        <v>0</v>
      </c>
      <c r="AI84" s="28">
        <f t="shared" si="25"/>
        <v>0</v>
      </c>
      <c r="AJ84" s="28">
        <f t="shared" si="25"/>
        <v>0</v>
      </c>
      <c r="AK84" s="28">
        <f t="shared" si="25"/>
        <v>0</v>
      </c>
      <c r="AL84" s="28">
        <f t="shared" si="25"/>
        <v>0</v>
      </c>
    </row>
    <row r="85" spans="1:38" ht="21" hidden="1" customHeight="1" outlineLevel="1" thickBot="1" x14ac:dyDescent="0.4">
      <c r="A85" s="10">
        <f t="shared" ref="A85:D100" si="26">A51</f>
        <v>0</v>
      </c>
      <c r="B85" s="10">
        <f t="shared" si="26"/>
        <v>0</v>
      </c>
      <c r="C85" s="10">
        <f t="shared" si="26"/>
        <v>0</v>
      </c>
      <c r="D85" s="10">
        <f t="shared" si="26"/>
        <v>1</v>
      </c>
      <c r="E85" s="11" t="str">
        <f t="shared" si="21"/>
        <v>*Ga[l]</v>
      </c>
      <c r="F85" s="28">
        <f t="shared" ref="F85" si="27">F5*$C$82</f>
        <v>0</v>
      </c>
      <c r="G85" s="28">
        <f t="shared" ref="G85:AL85" si="28">G5*$C$82</f>
        <v>0</v>
      </c>
      <c r="H85" s="28">
        <f t="shared" si="28"/>
        <v>0</v>
      </c>
      <c r="I85" s="28">
        <f t="shared" si="28"/>
        <v>0</v>
      </c>
      <c r="J85" s="28">
        <f t="shared" si="28"/>
        <v>0</v>
      </c>
      <c r="K85" s="28">
        <f t="shared" si="28"/>
        <v>0</v>
      </c>
      <c r="L85" s="28">
        <f t="shared" si="28"/>
        <v>0</v>
      </c>
      <c r="M85" s="28">
        <f t="shared" si="28"/>
        <v>0</v>
      </c>
      <c r="N85" s="28">
        <f t="shared" si="28"/>
        <v>0</v>
      </c>
      <c r="O85" s="28">
        <f t="shared" si="28"/>
        <v>0</v>
      </c>
      <c r="P85" s="28">
        <f t="shared" si="28"/>
        <v>0</v>
      </c>
      <c r="Q85" s="28">
        <f t="shared" si="28"/>
        <v>0</v>
      </c>
      <c r="R85" s="28">
        <f t="shared" si="28"/>
        <v>0</v>
      </c>
      <c r="S85" s="28">
        <f t="shared" si="28"/>
        <v>0</v>
      </c>
      <c r="T85" s="28">
        <f t="shared" si="28"/>
        <v>0</v>
      </c>
      <c r="U85" s="28">
        <f t="shared" si="28"/>
        <v>0</v>
      </c>
      <c r="V85" s="28">
        <f t="shared" si="28"/>
        <v>0</v>
      </c>
      <c r="W85" s="28">
        <f t="shared" si="28"/>
        <v>0</v>
      </c>
      <c r="X85" s="28">
        <f t="shared" si="28"/>
        <v>0</v>
      </c>
      <c r="Y85" s="28">
        <f t="shared" si="28"/>
        <v>4.7916666666666665E-31</v>
      </c>
      <c r="Z85" s="28">
        <f t="shared" si="28"/>
        <v>3.981583333333334E-23</v>
      </c>
      <c r="AA85" s="28">
        <f t="shared" si="28"/>
        <v>6.0341666666666673E-16</v>
      </c>
      <c r="AB85" s="28">
        <f t="shared" si="28"/>
        <v>4.5558333333333334E-10</v>
      </c>
      <c r="AC85" s="28">
        <f t="shared" si="28"/>
        <v>1.3507499999999999E-6</v>
      </c>
      <c r="AD85" s="28">
        <f t="shared" si="28"/>
        <v>5.1566666666666669E-5</v>
      </c>
      <c r="AE85" s="28">
        <f t="shared" si="28"/>
        <v>8.8029166666666667E-5</v>
      </c>
      <c r="AF85" s="28">
        <f t="shared" si="28"/>
        <v>9.878333333333334E-5</v>
      </c>
      <c r="AG85" s="28">
        <f t="shared" si="28"/>
        <v>1.1785E-5</v>
      </c>
      <c r="AH85" s="28">
        <f t="shared" si="28"/>
        <v>0</v>
      </c>
      <c r="AI85" s="28">
        <f t="shared" si="28"/>
        <v>0</v>
      </c>
      <c r="AJ85" s="28">
        <f t="shared" si="28"/>
        <v>0</v>
      </c>
      <c r="AK85" s="28">
        <f t="shared" si="28"/>
        <v>0</v>
      </c>
      <c r="AL85" s="28">
        <f t="shared" si="28"/>
        <v>0</v>
      </c>
    </row>
    <row r="86" spans="1:38" ht="21" hidden="1" customHeight="1" outlineLevel="1" thickBot="1" x14ac:dyDescent="0.4">
      <c r="A86" s="10">
        <f t="shared" si="26"/>
        <v>0</v>
      </c>
      <c r="B86" s="10">
        <f t="shared" si="26"/>
        <v>1</v>
      </c>
      <c r="C86" s="10">
        <f t="shared" si="26"/>
        <v>0</v>
      </c>
      <c r="D86" s="10">
        <f t="shared" si="26"/>
        <v>0</v>
      </c>
      <c r="E86" s="11" t="str">
        <f t="shared" si="21"/>
        <v>*Se[m]</v>
      </c>
      <c r="F86" s="28">
        <f t="shared" ref="F86" si="29">F6*$C$82</f>
        <v>0</v>
      </c>
      <c r="G86" s="28">
        <f t="shared" ref="G86:AL86" si="30">G6*$C$82</f>
        <v>0</v>
      </c>
      <c r="H86" s="28">
        <f t="shared" si="30"/>
        <v>3.9636666666666673E-27</v>
      </c>
      <c r="I86" s="28">
        <f t="shared" si="30"/>
        <v>6.405000000000001E-22</v>
      </c>
      <c r="J86" s="28">
        <f t="shared" si="30"/>
        <v>4.6483333333333333E-19</v>
      </c>
      <c r="K86" s="28">
        <f t="shared" si="30"/>
        <v>7.4766666666666664E-13</v>
      </c>
      <c r="L86" s="28">
        <f t="shared" si="30"/>
        <v>1.7540416666666667E-9</v>
      </c>
      <c r="M86" s="28">
        <f t="shared" si="30"/>
        <v>1.7539583333333335E-8</v>
      </c>
      <c r="N86" s="28">
        <f t="shared" si="30"/>
        <v>3.2290416666666672E-8</v>
      </c>
      <c r="O86" s="28">
        <f t="shared" si="30"/>
        <v>5.5441666666666672E-8</v>
      </c>
      <c r="P86" s="28">
        <f t="shared" si="30"/>
        <v>5.0891666666666667E-8</v>
      </c>
      <c r="Q86" s="28">
        <f t="shared" si="30"/>
        <v>9.5900000000000005E-8</v>
      </c>
      <c r="R86" s="28">
        <f t="shared" si="30"/>
        <v>6.5575000000000003E-8</v>
      </c>
      <c r="S86" s="28">
        <f t="shared" si="30"/>
        <v>6.990000000000001E-8</v>
      </c>
      <c r="T86" s="28">
        <f t="shared" si="30"/>
        <v>7.2487500000000006E-8</v>
      </c>
      <c r="U86" s="28">
        <f t="shared" si="30"/>
        <v>7.3666666666666678E-8</v>
      </c>
      <c r="V86" s="28">
        <f t="shared" si="30"/>
        <v>7.7775000000000007E-8</v>
      </c>
      <c r="W86" s="28">
        <f t="shared" si="30"/>
        <v>9.5295833333333337E-8</v>
      </c>
      <c r="X86" s="28">
        <f t="shared" si="30"/>
        <v>1.1445000000000001E-7</v>
      </c>
      <c r="Y86" s="28">
        <f t="shared" si="30"/>
        <v>1.1610000000000001E-7</v>
      </c>
      <c r="Z86" s="28">
        <f t="shared" si="30"/>
        <v>1.1520833333333334E-7</v>
      </c>
      <c r="AA86" s="28">
        <f t="shared" si="30"/>
        <v>1.1750000000000001E-7</v>
      </c>
      <c r="AB86" s="28">
        <f t="shared" si="30"/>
        <v>2.7286250000000001E-8</v>
      </c>
      <c r="AC86" s="28">
        <f t="shared" si="30"/>
        <v>2.5375416666666664E-31</v>
      </c>
      <c r="AD86" s="28">
        <f t="shared" si="30"/>
        <v>1.9616250000000002E-29</v>
      </c>
      <c r="AE86" s="28">
        <f t="shared" si="30"/>
        <v>3.445875E-28</v>
      </c>
      <c r="AF86" s="28">
        <f t="shared" si="30"/>
        <v>1.8582916666666667E-27</v>
      </c>
      <c r="AG86" s="28">
        <f t="shared" si="30"/>
        <v>9.4941666666666681E-23</v>
      </c>
      <c r="AH86" s="28">
        <f t="shared" si="30"/>
        <v>0</v>
      </c>
      <c r="AI86" s="28">
        <f t="shared" si="30"/>
        <v>0</v>
      </c>
      <c r="AJ86" s="28">
        <f t="shared" si="30"/>
        <v>0</v>
      </c>
      <c r="AK86" s="28">
        <f t="shared" si="30"/>
        <v>0</v>
      </c>
      <c r="AL86" s="28">
        <f t="shared" si="30"/>
        <v>0</v>
      </c>
    </row>
    <row r="87" spans="1:38" ht="21" hidden="1" customHeight="1" outlineLevel="1" thickBot="1" x14ac:dyDescent="0.4">
      <c r="A87" s="10">
        <f t="shared" si="26"/>
        <v>0</v>
      </c>
      <c r="B87" s="10">
        <f t="shared" si="26"/>
        <v>2</v>
      </c>
      <c r="C87" s="10">
        <f t="shared" si="26"/>
        <v>1</v>
      </c>
      <c r="D87" s="10">
        <f t="shared" si="26"/>
        <v>0</v>
      </c>
      <c r="E87" s="11" t="str">
        <f t="shared" si="21"/>
        <v>*GeSe2</v>
      </c>
      <c r="F87" s="28">
        <f t="shared" ref="F87" si="31">F7*$C$82</f>
        <v>5.1250000000000004E-9</v>
      </c>
      <c r="G87" s="28">
        <f t="shared" ref="G87:AL87" si="32">G7*$C$82</f>
        <v>1.8815000000000002E-10</v>
      </c>
      <c r="H87" s="28">
        <f t="shared" si="32"/>
        <v>2.8527083333333334E-14</v>
      </c>
      <c r="I87" s="28">
        <f t="shared" si="32"/>
        <v>1.5611666666666667E-22</v>
      </c>
      <c r="J87" s="28">
        <f t="shared" si="32"/>
        <v>1.5835833333333335E-34</v>
      </c>
      <c r="K87" s="28">
        <f t="shared" si="32"/>
        <v>0</v>
      </c>
      <c r="L87" s="28">
        <f t="shared" si="32"/>
        <v>0</v>
      </c>
      <c r="M87" s="28">
        <f t="shared" si="32"/>
        <v>0</v>
      </c>
      <c r="N87" s="28">
        <f t="shared" si="32"/>
        <v>0</v>
      </c>
      <c r="O87" s="28">
        <f t="shared" si="32"/>
        <v>0</v>
      </c>
      <c r="P87" s="28">
        <f t="shared" si="32"/>
        <v>0</v>
      </c>
      <c r="Q87" s="28">
        <f t="shared" si="32"/>
        <v>0</v>
      </c>
      <c r="R87" s="28">
        <f t="shared" si="32"/>
        <v>0</v>
      </c>
      <c r="S87" s="28">
        <f t="shared" si="32"/>
        <v>0</v>
      </c>
      <c r="T87" s="28">
        <f t="shared" si="32"/>
        <v>0</v>
      </c>
      <c r="U87" s="28">
        <f t="shared" si="32"/>
        <v>0</v>
      </c>
      <c r="V87" s="28">
        <f t="shared" si="32"/>
        <v>0</v>
      </c>
      <c r="W87" s="28">
        <f t="shared" si="32"/>
        <v>0</v>
      </c>
      <c r="X87" s="28">
        <f t="shared" si="32"/>
        <v>0</v>
      </c>
      <c r="Y87" s="28">
        <f t="shared" si="32"/>
        <v>0</v>
      </c>
      <c r="Z87" s="28">
        <f t="shared" si="32"/>
        <v>0</v>
      </c>
      <c r="AA87" s="28">
        <f t="shared" si="32"/>
        <v>0</v>
      </c>
      <c r="AB87" s="28">
        <f t="shared" si="32"/>
        <v>0</v>
      </c>
      <c r="AC87" s="28">
        <f t="shared" si="32"/>
        <v>0</v>
      </c>
      <c r="AD87" s="28">
        <f t="shared" si="32"/>
        <v>0</v>
      </c>
      <c r="AE87" s="28">
        <f t="shared" si="32"/>
        <v>0</v>
      </c>
      <c r="AF87" s="28">
        <f t="shared" si="32"/>
        <v>0</v>
      </c>
      <c r="AG87" s="28">
        <f t="shared" si="32"/>
        <v>0</v>
      </c>
      <c r="AH87" s="28">
        <f t="shared" si="32"/>
        <v>0</v>
      </c>
      <c r="AI87" s="28">
        <f t="shared" si="32"/>
        <v>0</v>
      </c>
      <c r="AJ87" s="28">
        <f t="shared" si="32"/>
        <v>0</v>
      </c>
      <c r="AK87" s="28">
        <f t="shared" si="32"/>
        <v>0</v>
      </c>
      <c r="AL87" s="28">
        <f t="shared" si="32"/>
        <v>0</v>
      </c>
    </row>
    <row r="88" spans="1:38" ht="21" hidden="1" customHeight="1" outlineLevel="1" thickBot="1" x14ac:dyDescent="0.4">
      <c r="A88" s="10">
        <f t="shared" si="26"/>
        <v>0</v>
      </c>
      <c r="B88" s="10">
        <f t="shared" si="26"/>
        <v>3</v>
      </c>
      <c r="C88" s="10">
        <f t="shared" si="26"/>
        <v>0</v>
      </c>
      <c r="D88" s="10">
        <f t="shared" si="26"/>
        <v>2</v>
      </c>
      <c r="E88" s="11" t="str">
        <f t="shared" si="21"/>
        <v>Ga2Se3</v>
      </c>
      <c r="F88" s="28">
        <f t="shared" ref="F88" si="33">F8*$C$82</f>
        <v>7.5391666666666662E-2</v>
      </c>
      <c r="G88" s="28">
        <f t="shared" ref="G88:AL88" si="34">G8*$C$82</f>
        <v>7.4183333333333337E-2</v>
      </c>
      <c r="H88" s="28">
        <f t="shared" si="34"/>
        <v>7.104166666666667E-2</v>
      </c>
      <c r="I88" s="28">
        <f t="shared" si="34"/>
        <v>6.643750000000001E-2</v>
      </c>
      <c r="J88" s="28">
        <f t="shared" si="34"/>
        <v>6.2708333333333338E-2</v>
      </c>
      <c r="K88" s="28">
        <f t="shared" si="34"/>
        <v>5.7266666666666667E-2</v>
      </c>
      <c r="L88" s="28">
        <f t="shared" si="34"/>
        <v>5.4416666666666676E-2</v>
      </c>
      <c r="M88" s="28">
        <f t="shared" si="34"/>
        <v>5.0650000000000008E-2</v>
      </c>
      <c r="N88" s="28">
        <f t="shared" si="34"/>
        <v>4.7029166666666671E-2</v>
      </c>
      <c r="O88" s="28">
        <f t="shared" si="34"/>
        <v>4.4462500000000002E-2</v>
      </c>
      <c r="P88" s="28">
        <f t="shared" si="34"/>
        <v>4.3016666666666668E-2</v>
      </c>
      <c r="Q88" s="28">
        <f t="shared" si="34"/>
        <v>4.2308333333333337E-2</v>
      </c>
      <c r="R88" s="28">
        <f t="shared" si="34"/>
        <v>4.1970833333333339E-2</v>
      </c>
      <c r="S88" s="28">
        <f t="shared" si="34"/>
        <v>4.1808333333333336E-2</v>
      </c>
      <c r="T88" s="28">
        <f t="shared" si="34"/>
        <v>4.1691666666666669E-2</v>
      </c>
      <c r="U88" s="28">
        <f t="shared" si="34"/>
        <v>4.1430833333333333E-2</v>
      </c>
      <c r="V88" s="28">
        <f t="shared" si="34"/>
        <v>4.0332500000000007E-2</v>
      </c>
      <c r="W88" s="28">
        <f t="shared" si="34"/>
        <v>3.6067916666666672E-2</v>
      </c>
      <c r="X88" s="28">
        <f t="shared" si="34"/>
        <v>1.095375E-3</v>
      </c>
      <c r="Y88" s="28">
        <f t="shared" si="34"/>
        <v>3.1176666666666669E-4</v>
      </c>
      <c r="Z88" s="28">
        <f t="shared" si="34"/>
        <v>8.9920833333333335E-5</v>
      </c>
      <c r="AA88" s="28">
        <f t="shared" si="34"/>
        <v>2.6386666666666666E-5</v>
      </c>
      <c r="AB88" s="28">
        <f t="shared" si="34"/>
        <v>7.8637500000000007E-6</v>
      </c>
      <c r="AC88" s="28">
        <f t="shared" si="34"/>
        <v>2.3303333333333334E-6</v>
      </c>
      <c r="AD88" s="28">
        <f t="shared" si="34"/>
        <v>3.6472916666666665E-7</v>
      </c>
      <c r="AE88" s="28">
        <f t="shared" si="34"/>
        <v>5.7058333333333336E-8</v>
      </c>
      <c r="AF88" s="28">
        <f t="shared" si="34"/>
        <v>9.2595833333333349E-9</v>
      </c>
      <c r="AG88" s="28">
        <f t="shared" si="34"/>
        <v>1.0280833333333335E-11</v>
      </c>
      <c r="AH88" s="28">
        <f t="shared" si="34"/>
        <v>0</v>
      </c>
      <c r="AI88" s="28">
        <f t="shared" si="34"/>
        <v>0</v>
      </c>
      <c r="AJ88" s="28">
        <f t="shared" si="34"/>
        <v>0</v>
      </c>
      <c r="AK88" s="28">
        <f t="shared" si="34"/>
        <v>0</v>
      </c>
      <c r="AL88" s="28">
        <f t="shared" si="34"/>
        <v>0</v>
      </c>
    </row>
    <row r="89" spans="1:38" ht="21" hidden="1" customHeight="1" outlineLevel="1" thickBot="1" x14ac:dyDescent="0.4">
      <c r="A89" s="10">
        <f t="shared" si="26"/>
        <v>0</v>
      </c>
      <c r="B89" s="10">
        <f t="shared" si="26"/>
        <v>1</v>
      </c>
      <c r="C89" s="10">
        <f t="shared" si="26"/>
        <v>0</v>
      </c>
      <c r="D89" s="10">
        <f t="shared" si="26"/>
        <v>2</v>
      </c>
      <c r="E89" s="11" t="str">
        <f t="shared" si="21"/>
        <v>Ga2Se</v>
      </c>
      <c r="F89" s="28">
        <f t="shared" ref="F89" si="35">F9*$C$82</f>
        <v>0</v>
      </c>
      <c r="G89" s="28">
        <f t="shared" ref="G89:AL89" si="36">G9*$C$82</f>
        <v>0</v>
      </c>
      <c r="H89" s="28">
        <f t="shared" si="36"/>
        <v>0</v>
      </c>
      <c r="I89" s="28">
        <f t="shared" si="36"/>
        <v>0</v>
      </c>
      <c r="J89" s="28">
        <f t="shared" si="36"/>
        <v>0</v>
      </c>
      <c r="K89" s="28">
        <f t="shared" si="36"/>
        <v>0</v>
      </c>
      <c r="L89" s="28">
        <f t="shared" si="36"/>
        <v>7.31375E-34</v>
      </c>
      <c r="M89" s="28">
        <f t="shared" si="36"/>
        <v>2.4849166666666668E-31</v>
      </c>
      <c r="N89" s="28">
        <f t="shared" si="36"/>
        <v>5.5487500000000002E-29</v>
      </c>
      <c r="O89" s="28">
        <f t="shared" si="36"/>
        <v>9.0387500000000008E-27</v>
      </c>
      <c r="P89" s="28">
        <f t="shared" si="36"/>
        <v>1.1115416666666666E-24</v>
      </c>
      <c r="Q89" s="28">
        <f t="shared" si="36"/>
        <v>1.0369166666666668E-22</v>
      </c>
      <c r="R89" s="28">
        <f t="shared" si="36"/>
        <v>7.3916666666666673E-21</v>
      </c>
      <c r="S89" s="28">
        <f t="shared" si="36"/>
        <v>4.0876666666666669E-19</v>
      </c>
      <c r="T89" s="28">
        <f t="shared" si="36"/>
        <v>1.7855833333333337E-17</v>
      </c>
      <c r="U89" s="28">
        <f t="shared" si="36"/>
        <v>6.2562500000000008E-16</v>
      </c>
      <c r="V89" s="28">
        <f t="shared" si="36"/>
        <v>1.7575000000000003E-14</v>
      </c>
      <c r="W89" s="28">
        <f t="shared" si="36"/>
        <v>3.7476249999999999E-13</v>
      </c>
      <c r="X89" s="28">
        <f t="shared" si="36"/>
        <v>7.5691666666666672E-10</v>
      </c>
      <c r="Y89" s="28">
        <f t="shared" si="36"/>
        <v>2.5707916666666666E-9</v>
      </c>
      <c r="Z89" s="28">
        <f t="shared" si="36"/>
        <v>7.9429166666666664E-9</v>
      </c>
      <c r="AA89" s="28">
        <f t="shared" si="36"/>
        <v>2.2564583333333332E-8</v>
      </c>
      <c r="AB89" s="28">
        <f t="shared" si="36"/>
        <v>5.9229166666666672E-8</v>
      </c>
      <c r="AC89" s="28">
        <f t="shared" si="36"/>
        <v>1.4098333333333333E-7</v>
      </c>
      <c r="AD89" s="28">
        <f t="shared" si="36"/>
        <v>1.5054583333333336E-7</v>
      </c>
      <c r="AE89" s="28">
        <f t="shared" si="36"/>
        <v>1.5482500000000001E-7</v>
      </c>
      <c r="AF89" s="28">
        <f t="shared" si="36"/>
        <v>1.5632500000000002E-7</v>
      </c>
      <c r="AG89" s="28">
        <f t="shared" si="36"/>
        <v>1.4526250000000001E-7</v>
      </c>
      <c r="AH89" s="28">
        <f t="shared" si="36"/>
        <v>0</v>
      </c>
      <c r="AI89" s="28">
        <f t="shared" si="36"/>
        <v>0</v>
      </c>
      <c r="AJ89" s="28">
        <f t="shared" si="36"/>
        <v>0</v>
      </c>
      <c r="AK89" s="28">
        <f t="shared" si="36"/>
        <v>0</v>
      </c>
      <c r="AL89" s="28">
        <f t="shared" si="36"/>
        <v>0</v>
      </c>
    </row>
    <row r="90" spans="1:38" ht="21" hidden="1" customHeight="1" outlineLevel="1" thickBot="1" x14ac:dyDescent="0.4">
      <c r="A90" s="10">
        <f t="shared" si="26"/>
        <v>0</v>
      </c>
      <c r="B90" s="10">
        <f t="shared" si="26"/>
        <v>0</v>
      </c>
      <c r="C90" s="10">
        <f t="shared" si="26"/>
        <v>0</v>
      </c>
      <c r="D90" s="10">
        <f t="shared" si="26"/>
        <v>1</v>
      </c>
      <c r="E90" s="11" t="str">
        <f t="shared" si="21"/>
        <v>Ga</v>
      </c>
      <c r="F90" s="28">
        <f t="shared" ref="F90" si="37">F10*$C$82</f>
        <v>0</v>
      </c>
      <c r="G90" s="28">
        <f t="shared" ref="G90:AL90" si="38">G10*$C$82</f>
        <v>0</v>
      </c>
      <c r="H90" s="28">
        <f t="shared" si="38"/>
        <v>0</v>
      </c>
      <c r="I90" s="28">
        <f t="shared" si="38"/>
        <v>0</v>
      </c>
      <c r="J90" s="28">
        <f t="shared" si="38"/>
        <v>0</v>
      </c>
      <c r="K90" s="28">
        <f t="shared" si="38"/>
        <v>0</v>
      </c>
      <c r="L90" s="28">
        <f t="shared" si="38"/>
        <v>0</v>
      </c>
      <c r="M90" s="28">
        <f t="shared" si="38"/>
        <v>3.0923333333333338E-35</v>
      </c>
      <c r="N90" s="28">
        <f t="shared" si="38"/>
        <v>5.1162500000000006E-33</v>
      </c>
      <c r="O90" s="28">
        <f t="shared" si="38"/>
        <v>6.1550000000000005E-31</v>
      </c>
      <c r="P90" s="28">
        <f t="shared" si="38"/>
        <v>5.5654166666666679E-29</v>
      </c>
      <c r="Q90" s="28">
        <f t="shared" si="38"/>
        <v>3.830208333333334E-27</v>
      </c>
      <c r="R90" s="28">
        <f t="shared" si="38"/>
        <v>2.0339583333333334E-25</v>
      </c>
      <c r="S90" s="28">
        <f t="shared" si="38"/>
        <v>8.4845833333333334E-24</v>
      </c>
      <c r="T90" s="28">
        <f t="shared" si="38"/>
        <v>2.8337500000000002E-22</v>
      </c>
      <c r="U90" s="28">
        <f t="shared" si="38"/>
        <v>7.7058333333333347E-21</v>
      </c>
      <c r="V90" s="28">
        <f t="shared" si="38"/>
        <v>1.7186250000000001E-19</v>
      </c>
      <c r="W90" s="28">
        <f t="shared" si="38"/>
        <v>3.0719999999999999E-18</v>
      </c>
      <c r="X90" s="28">
        <f t="shared" si="38"/>
        <v>1.55125E-14</v>
      </c>
      <c r="Y90" s="28">
        <f t="shared" si="38"/>
        <v>8.1716666666666678E-14</v>
      </c>
      <c r="Z90" s="28">
        <f t="shared" si="38"/>
        <v>3.9163750000000006E-13</v>
      </c>
      <c r="AA90" s="28">
        <f t="shared" si="38"/>
        <v>1.7216666666666668E-12</v>
      </c>
      <c r="AB90" s="28">
        <f t="shared" si="38"/>
        <v>6.980416666666667E-12</v>
      </c>
      <c r="AC90" s="28">
        <f t="shared" si="38"/>
        <v>2.5905833333333333E-11</v>
      </c>
      <c r="AD90" s="28">
        <f t="shared" si="38"/>
        <v>6.0874999999999997E-11</v>
      </c>
      <c r="AE90" s="28">
        <f t="shared" si="38"/>
        <v>1.3708750000000002E-10</v>
      </c>
      <c r="AF90" s="28">
        <f t="shared" si="38"/>
        <v>2.9769166666666668E-10</v>
      </c>
      <c r="AG90" s="28">
        <f t="shared" si="38"/>
        <v>4.8054166666666664E-9</v>
      </c>
      <c r="AH90" s="28">
        <f t="shared" si="38"/>
        <v>0</v>
      </c>
      <c r="AI90" s="28">
        <f t="shared" si="38"/>
        <v>0</v>
      </c>
      <c r="AJ90" s="28">
        <f t="shared" si="38"/>
        <v>0</v>
      </c>
      <c r="AK90" s="28">
        <f t="shared" si="38"/>
        <v>0</v>
      </c>
      <c r="AL90" s="28">
        <f t="shared" si="38"/>
        <v>0</v>
      </c>
    </row>
    <row r="91" spans="1:38" ht="21" hidden="1" customHeight="1" outlineLevel="1" thickBot="1" x14ac:dyDescent="0.4">
      <c r="A91" s="10">
        <f t="shared" si="26"/>
        <v>1</v>
      </c>
      <c r="B91" s="10">
        <f t="shared" si="26"/>
        <v>0</v>
      </c>
      <c r="C91" s="10">
        <f t="shared" si="26"/>
        <v>0</v>
      </c>
      <c r="D91" s="10">
        <f t="shared" si="26"/>
        <v>0</v>
      </c>
      <c r="E91" s="11" t="str">
        <f t="shared" si="21"/>
        <v>Ar</v>
      </c>
      <c r="F91" s="28">
        <f t="shared" ref="F91" si="39">F11*$C$82</f>
        <v>0.83333333333333348</v>
      </c>
      <c r="G91" s="28">
        <f t="shared" ref="G91:AL91" si="40">G11*$C$82</f>
        <v>0.83333333333333348</v>
      </c>
      <c r="H91" s="28">
        <f t="shared" si="40"/>
        <v>0.83333333333333348</v>
      </c>
      <c r="I91" s="28">
        <f t="shared" si="40"/>
        <v>0.83333333333333348</v>
      </c>
      <c r="J91" s="28">
        <f t="shared" si="40"/>
        <v>0.83333333333333348</v>
      </c>
      <c r="K91" s="28">
        <f t="shared" si="40"/>
        <v>0.83333333333333348</v>
      </c>
      <c r="L91" s="28">
        <f t="shared" si="40"/>
        <v>0.83333333333333348</v>
      </c>
      <c r="M91" s="28">
        <f t="shared" si="40"/>
        <v>0.83333333333333348</v>
      </c>
      <c r="N91" s="28">
        <f t="shared" si="40"/>
        <v>0.83333333333333348</v>
      </c>
      <c r="O91" s="28">
        <f t="shared" si="40"/>
        <v>0.83333333333333348</v>
      </c>
      <c r="P91" s="28">
        <f t="shared" si="40"/>
        <v>0.83333333333333348</v>
      </c>
      <c r="Q91" s="28">
        <f t="shared" si="40"/>
        <v>0.83333333333333348</v>
      </c>
      <c r="R91" s="28">
        <f t="shared" si="40"/>
        <v>0.83333333333333348</v>
      </c>
      <c r="S91" s="28">
        <f t="shared" si="40"/>
        <v>0.83333333333333348</v>
      </c>
      <c r="T91" s="28">
        <f t="shared" si="40"/>
        <v>0.83333333333333348</v>
      </c>
      <c r="U91" s="28">
        <f t="shared" si="40"/>
        <v>0.83333333333333348</v>
      </c>
      <c r="V91" s="28">
        <f t="shared" si="40"/>
        <v>0.83333333333333348</v>
      </c>
      <c r="W91" s="28">
        <f t="shared" si="40"/>
        <v>0.83333333333333348</v>
      </c>
      <c r="X91" s="28">
        <f t="shared" si="40"/>
        <v>0.83333333333333348</v>
      </c>
      <c r="Y91" s="28">
        <f t="shared" si="40"/>
        <v>0.83333333333333348</v>
      </c>
      <c r="Z91" s="28">
        <f t="shared" si="40"/>
        <v>0.83333333333333348</v>
      </c>
      <c r="AA91" s="28">
        <f t="shared" si="40"/>
        <v>0.83333333333333348</v>
      </c>
      <c r="AB91" s="28">
        <f t="shared" si="40"/>
        <v>0.83333333333333348</v>
      </c>
      <c r="AC91" s="28">
        <f t="shared" si="40"/>
        <v>0.83333333333333348</v>
      </c>
      <c r="AD91" s="28">
        <f t="shared" si="40"/>
        <v>0.83333333333333348</v>
      </c>
      <c r="AE91" s="28">
        <f t="shared" si="40"/>
        <v>0.83333333333333348</v>
      </c>
      <c r="AF91" s="28">
        <f t="shared" si="40"/>
        <v>0.83333333333333348</v>
      </c>
      <c r="AG91" s="28">
        <f t="shared" si="40"/>
        <v>0.83333333333333348</v>
      </c>
      <c r="AH91" s="28">
        <f t="shared" si="40"/>
        <v>0</v>
      </c>
      <c r="AI91" s="28">
        <f t="shared" si="40"/>
        <v>0</v>
      </c>
      <c r="AJ91" s="28">
        <f t="shared" si="40"/>
        <v>0</v>
      </c>
      <c r="AK91" s="28">
        <f t="shared" si="40"/>
        <v>0</v>
      </c>
      <c r="AL91" s="28">
        <f t="shared" si="40"/>
        <v>0</v>
      </c>
    </row>
    <row r="92" spans="1:38" ht="21" hidden="1" customHeight="1" outlineLevel="1" thickBot="1" x14ac:dyDescent="0.4">
      <c r="A92" s="10">
        <f t="shared" si="26"/>
        <v>0</v>
      </c>
      <c r="B92" s="10">
        <f t="shared" si="26"/>
        <v>2</v>
      </c>
      <c r="C92" s="10">
        <f t="shared" si="26"/>
        <v>1</v>
      </c>
      <c r="D92" s="10">
        <f t="shared" si="26"/>
        <v>0</v>
      </c>
      <c r="E92" s="11" t="str">
        <f t="shared" si="21"/>
        <v>(1)GeSe2</v>
      </c>
      <c r="F92" s="28">
        <f t="shared" ref="F92" si="41">F12*$C$82</f>
        <v>0.49112500000000003</v>
      </c>
      <c r="G92" s="28">
        <f t="shared" ref="G92:AL92" si="42">G12*$C$82</f>
        <v>0.46116666666666672</v>
      </c>
      <c r="H92" s="28">
        <f t="shared" si="42"/>
        <v>0.37830416666666666</v>
      </c>
      <c r="I92" s="28">
        <f t="shared" si="42"/>
        <v>0.24295416666666669</v>
      </c>
      <c r="J92" s="28">
        <f t="shared" si="42"/>
        <v>0.1190875</v>
      </c>
      <c r="K92" s="28">
        <f t="shared" si="42"/>
        <v>3.5117500000000001E-3</v>
      </c>
      <c r="L92" s="28">
        <f t="shared" si="42"/>
        <v>1.5272083333333335E-3</v>
      </c>
      <c r="M92" s="28">
        <f t="shared" si="42"/>
        <v>6.2000000000000011E-4</v>
      </c>
      <c r="N92" s="28">
        <f t="shared" si="42"/>
        <v>2.1732083333333337E-4</v>
      </c>
      <c r="O92" s="28">
        <f t="shared" si="42"/>
        <v>6.5133333333333335E-5</v>
      </c>
      <c r="P92" s="28">
        <f t="shared" si="42"/>
        <v>1.773875E-5</v>
      </c>
      <c r="Q92" s="28">
        <f t="shared" si="42"/>
        <v>4.7170833333333334E-6</v>
      </c>
      <c r="R92" s="28">
        <f t="shared" si="42"/>
        <v>1.2816666666666667E-6</v>
      </c>
      <c r="S92" s="28">
        <f t="shared" si="42"/>
        <v>3.6311666666666667E-7</v>
      </c>
      <c r="T92" s="28">
        <f t="shared" si="42"/>
        <v>1.0799583333333334E-7</v>
      </c>
      <c r="U92" s="28">
        <f t="shared" si="42"/>
        <v>3.3750416666666673E-8</v>
      </c>
      <c r="V92" s="28">
        <f t="shared" si="42"/>
        <v>1.1085000000000001E-8</v>
      </c>
      <c r="W92" s="28">
        <f t="shared" si="42"/>
        <v>3.8437083333333339E-9</v>
      </c>
      <c r="X92" s="28">
        <f t="shared" si="42"/>
        <v>8.6137500000000017E-11</v>
      </c>
      <c r="Y92" s="28">
        <f t="shared" si="42"/>
        <v>3.5252916666666665E-11</v>
      </c>
      <c r="Z92" s="28">
        <f t="shared" si="42"/>
        <v>1.4811666666666668E-11</v>
      </c>
      <c r="AA92" s="28">
        <f t="shared" si="42"/>
        <v>6.3854166666666672E-12</v>
      </c>
      <c r="AB92" s="28">
        <f t="shared" si="42"/>
        <v>2.8208749999999999E-12</v>
      </c>
      <c r="AC92" s="28">
        <f t="shared" si="42"/>
        <v>1.2800416666666669E-12</v>
      </c>
      <c r="AD92" s="28">
        <f t="shared" si="42"/>
        <v>6.3991666666666662E-13</v>
      </c>
      <c r="AE92" s="28">
        <f t="shared" si="42"/>
        <v>3.1436666666666671E-13</v>
      </c>
      <c r="AF92" s="28">
        <f t="shared" si="42"/>
        <v>1.5490833333333335E-13</v>
      </c>
      <c r="AG92" s="28">
        <f t="shared" si="42"/>
        <v>1.0297916666666667E-14</v>
      </c>
      <c r="AH92" s="28">
        <f t="shared" si="42"/>
        <v>0</v>
      </c>
      <c r="AI92" s="28">
        <f t="shared" si="42"/>
        <v>0</v>
      </c>
      <c r="AJ92" s="28">
        <f t="shared" si="42"/>
        <v>0</v>
      </c>
      <c r="AK92" s="28">
        <f t="shared" si="42"/>
        <v>0</v>
      </c>
      <c r="AL92" s="28">
        <f t="shared" si="42"/>
        <v>0</v>
      </c>
    </row>
    <row r="93" spans="1:38" ht="21" hidden="1" customHeight="1" outlineLevel="1" thickBot="1" x14ac:dyDescent="0.4">
      <c r="A93" s="10">
        <f t="shared" si="26"/>
        <v>0</v>
      </c>
      <c r="B93" s="10">
        <f t="shared" si="26"/>
        <v>1</v>
      </c>
      <c r="C93" s="10">
        <f t="shared" si="26"/>
        <v>1</v>
      </c>
      <c r="D93" s="10">
        <f t="shared" si="26"/>
        <v>0</v>
      </c>
      <c r="E93" s="11" t="str">
        <f t="shared" si="21"/>
        <v>(1)GeSe</v>
      </c>
      <c r="F93" s="28">
        <f t="shared" ref="F93" si="43">F13*$C$82</f>
        <v>0.50887500000000008</v>
      </c>
      <c r="G93" s="28">
        <f t="shared" ref="G93:AL93" si="44">G13*$C$82</f>
        <v>0.53883333333333339</v>
      </c>
      <c r="H93" s="28">
        <f t="shared" si="44"/>
        <v>0.6216666666666667</v>
      </c>
      <c r="I93" s="28">
        <f t="shared" si="44"/>
        <v>0.75691666666666668</v>
      </c>
      <c r="J93" s="28">
        <f t="shared" si="44"/>
        <v>0.88033333333333341</v>
      </c>
      <c r="K93" s="28">
        <f t="shared" si="44"/>
        <v>0.90100000000000002</v>
      </c>
      <c r="L93" s="28">
        <f t="shared" si="44"/>
        <v>0.77804166666666674</v>
      </c>
      <c r="M93" s="28">
        <f t="shared" si="44"/>
        <v>0.58991666666666676</v>
      </c>
      <c r="N93" s="28">
        <f t="shared" si="44"/>
        <v>0.37965000000000004</v>
      </c>
      <c r="O93" s="28">
        <f t="shared" si="44"/>
        <v>0.2094041666666667</v>
      </c>
      <c r="P93" s="28">
        <f t="shared" si="44"/>
        <v>0.10471666666666668</v>
      </c>
      <c r="Q93" s="28">
        <f t="shared" si="44"/>
        <v>5.0479166666666672E-2</v>
      </c>
      <c r="R93" s="28">
        <f t="shared" si="44"/>
        <v>2.4383750000000003E-2</v>
      </c>
      <c r="S93" s="28">
        <f t="shared" si="44"/>
        <v>1.2017083333333334E-2</v>
      </c>
      <c r="T93" s="28">
        <f t="shared" si="44"/>
        <v>6.0833333333333338E-3</v>
      </c>
      <c r="U93" s="28">
        <f t="shared" si="44"/>
        <v>3.1682916666666669E-3</v>
      </c>
      <c r="V93" s="28">
        <f t="shared" si="44"/>
        <v>1.6984166666666667E-3</v>
      </c>
      <c r="W93" s="28">
        <f t="shared" si="44"/>
        <v>9.3920833333333334E-4</v>
      </c>
      <c r="X93" s="28">
        <f t="shared" si="44"/>
        <v>1.1322916666666667E-4</v>
      </c>
      <c r="Y93" s="28">
        <f t="shared" si="44"/>
        <v>6.9137499999999993E-5</v>
      </c>
      <c r="Z93" s="28">
        <f t="shared" si="44"/>
        <v>4.2879166666666668E-5</v>
      </c>
      <c r="AA93" s="28">
        <f t="shared" si="44"/>
        <v>2.7004583333333332E-5</v>
      </c>
      <c r="AB93" s="28">
        <f t="shared" si="44"/>
        <v>1.7253333333333336E-5</v>
      </c>
      <c r="AC93" s="28">
        <f t="shared" si="44"/>
        <v>1.1193333333333333E-5</v>
      </c>
      <c r="AD93" s="28">
        <f t="shared" si="44"/>
        <v>7.614583333333334E-6</v>
      </c>
      <c r="AE93" s="28">
        <f t="shared" si="44"/>
        <v>5.1491666666666672E-6</v>
      </c>
      <c r="AF93" s="28">
        <f t="shared" si="44"/>
        <v>3.4940416666666671E-6</v>
      </c>
      <c r="AG93" s="28">
        <f t="shared" si="44"/>
        <v>7.9862500000000002E-7</v>
      </c>
      <c r="AH93" s="28">
        <f t="shared" si="44"/>
        <v>0</v>
      </c>
      <c r="AI93" s="28">
        <f t="shared" si="44"/>
        <v>0</v>
      </c>
      <c r="AJ93" s="28">
        <f t="shared" si="44"/>
        <v>0</v>
      </c>
      <c r="AK93" s="28">
        <f t="shared" si="44"/>
        <v>0</v>
      </c>
      <c r="AL93" s="28">
        <f t="shared" si="44"/>
        <v>0</v>
      </c>
    </row>
    <row r="94" spans="1:38" ht="21" hidden="1" customHeight="1" outlineLevel="1" thickBot="1" x14ac:dyDescent="0.4">
      <c r="A94" s="10">
        <f t="shared" si="26"/>
        <v>0</v>
      </c>
      <c r="B94" s="10">
        <f t="shared" si="26"/>
        <v>3</v>
      </c>
      <c r="C94" s="10">
        <f t="shared" si="26"/>
        <v>0</v>
      </c>
      <c r="D94" s="10">
        <f t="shared" si="26"/>
        <v>2</v>
      </c>
      <c r="E94" s="11" t="str">
        <f t="shared" si="21"/>
        <v>(1)Ga2Se3</v>
      </c>
      <c r="F94" s="28">
        <f t="shared" ref="F94" si="45">F14*$C$82</f>
        <v>9.1274999999999995E-2</v>
      </c>
      <c r="G94" s="28">
        <f t="shared" ref="G94:AL94" si="46">G14*$C$82</f>
        <v>9.2483333333333348E-2</v>
      </c>
      <c r="H94" s="28">
        <f t="shared" si="46"/>
        <v>9.5625000000000016E-2</v>
      </c>
      <c r="I94" s="28">
        <f t="shared" si="46"/>
        <v>0.10022916666666667</v>
      </c>
      <c r="J94" s="28">
        <f t="shared" si="46"/>
        <v>0.10395833333333335</v>
      </c>
      <c r="K94" s="28">
        <f t="shared" si="46"/>
        <v>0.10940000000000001</v>
      </c>
      <c r="L94" s="28">
        <f t="shared" si="46"/>
        <v>0.11225</v>
      </c>
      <c r="M94" s="28">
        <f t="shared" si="46"/>
        <v>0.11601666666666668</v>
      </c>
      <c r="N94" s="28">
        <f t="shared" si="46"/>
        <v>0.11963750000000001</v>
      </c>
      <c r="O94" s="28">
        <f t="shared" si="46"/>
        <v>0.12220416666666668</v>
      </c>
      <c r="P94" s="28">
        <f t="shared" si="46"/>
        <v>0.12365000000000001</v>
      </c>
      <c r="Q94" s="28">
        <f t="shared" si="46"/>
        <v>0.12435833333333335</v>
      </c>
      <c r="R94" s="28">
        <f t="shared" si="46"/>
        <v>0.12469166666666669</v>
      </c>
      <c r="S94" s="28">
        <f t="shared" si="46"/>
        <v>0.12482916666666667</v>
      </c>
      <c r="T94" s="28">
        <f t="shared" si="46"/>
        <v>0.12480000000000001</v>
      </c>
      <c r="U94" s="28">
        <f t="shared" si="46"/>
        <v>0.12428333333333334</v>
      </c>
      <c r="V94" s="28">
        <f t="shared" si="46"/>
        <v>0.12161666666666666</v>
      </c>
      <c r="W94" s="28">
        <f t="shared" si="46"/>
        <v>0.11079166666666668</v>
      </c>
      <c r="X94" s="28">
        <f t="shared" si="46"/>
        <v>3.9634583333333336E-3</v>
      </c>
      <c r="Y94" s="28">
        <f t="shared" si="46"/>
        <v>1.1380416666666668E-3</v>
      </c>
      <c r="Z94" s="28">
        <f t="shared" si="46"/>
        <v>3.3076250000000002E-4</v>
      </c>
      <c r="AA94" s="28">
        <f t="shared" si="46"/>
        <v>9.7866666666666669E-5</v>
      </c>
      <c r="AB94" s="28">
        <f t="shared" si="46"/>
        <v>2.9432083333333336E-5</v>
      </c>
      <c r="AC94" s="28">
        <f t="shared" si="46"/>
        <v>8.7983333333333335E-6</v>
      </c>
      <c r="AD94" s="28">
        <f t="shared" si="46"/>
        <v>1.3604583333333334E-6</v>
      </c>
      <c r="AE94" s="28">
        <f t="shared" si="46"/>
        <v>2.1072916666666668E-7</v>
      </c>
      <c r="AF94" s="28">
        <f t="shared" si="46"/>
        <v>3.392291666666667E-8</v>
      </c>
      <c r="AG94" s="28">
        <f t="shared" si="46"/>
        <v>3.6921250000000004E-11</v>
      </c>
      <c r="AH94" s="28">
        <f t="shared" si="46"/>
        <v>0</v>
      </c>
      <c r="AI94" s="28">
        <f t="shared" si="46"/>
        <v>0</v>
      </c>
      <c r="AJ94" s="28">
        <f t="shared" si="46"/>
        <v>0</v>
      </c>
      <c r="AK94" s="28">
        <f t="shared" si="46"/>
        <v>0</v>
      </c>
      <c r="AL94" s="28">
        <f t="shared" si="46"/>
        <v>0</v>
      </c>
    </row>
    <row r="95" spans="1:38" ht="21" hidden="1" customHeight="1" outlineLevel="1" thickBot="1" x14ac:dyDescent="0.4">
      <c r="A95" s="10">
        <f t="shared" si="26"/>
        <v>0</v>
      </c>
      <c r="B95" s="10">
        <f t="shared" si="26"/>
        <v>1</v>
      </c>
      <c r="C95" s="10">
        <f t="shared" si="26"/>
        <v>0</v>
      </c>
      <c r="D95" s="10">
        <f t="shared" si="26"/>
        <v>2</v>
      </c>
      <c r="E95" s="11" t="str">
        <f t="shared" si="21"/>
        <v>(1)Ga2Se</v>
      </c>
      <c r="F95" s="28">
        <f t="shared" ref="F95" si="47">F15*$C$82</f>
        <v>5.9245833333333339E-28</v>
      </c>
      <c r="G95" s="28">
        <f t="shared" ref="G95:AL95" si="48">G15*$C$82</f>
        <v>5.1016666666666671E-26</v>
      </c>
      <c r="H95" s="28">
        <f t="shared" si="48"/>
        <v>3.902375E-24</v>
      </c>
      <c r="I95" s="28">
        <f t="shared" si="48"/>
        <v>3.4262500000000001E-22</v>
      </c>
      <c r="J95" s="28">
        <f t="shared" si="48"/>
        <v>3.1567083333333339E-20</v>
      </c>
      <c r="K95" s="28">
        <f t="shared" si="48"/>
        <v>1.5241250000000001E-13</v>
      </c>
      <c r="L95" s="28">
        <f t="shared" si="48"/>
        <v>2.9183333333333338E-12</v>
      </c>
      <c r="M95" s="28">
        <f t="shared" si="48"/>
        <v>4.2891666666666666E-11</v>
      </c>
      <c r="N95" s="28">
        <f t="shared" si="48"/>
        <v>5.3354166666666675E-10</v>
      </c>
      <c r="O95" s="28">
        <f t="shared" si="48"/>
        <v>5.8895833333333335E-9</v>
      </c>
      <c r="P95" s="28">
        <f t="shared" si="48"/>
        <v>5.7945833333333337E-8</v>
      </c>
      <c r="Q95" s="28">
        <f t="shared" si="48"/>
        <v>5.0495833333333328E-7</v>
      </c>
      <c r="R95" s="28">
        <f t="shared" si="48"/>
        <v>3.8958333333333334E-6</v>
      </c>
      <c r="S95" s="28">
        <f t="shared" si="48"/>
        <v>2.6755833333333336E-5</v>
      </c>
      <c r="T95" s="28">
        <f t="shared" si="48"/>
        <v>1.6478749999999999E-4</v>
      </c>
      <c r="U95" s="28">
        <f t="shared" si="48"/>
        <v>9.1491666666666674E-4</v>
      </c>
      <c r="V95" s="28">
        <f t="shared" si="48"/>
        <v>4.5454166666666664E-3</v>
      </c>
      <c r="W95" s="28">
        <f t="shared" si="48"/>
        <v>1.9145416666666668E-2</v>
      </c>
      <c r="X95" s="28">
        <f t="shared" si="48"/>
        <v>0.14632500000000001</v>
      </c>
      <c r="Y95" s="28">
        <f t="shared" si="48"/>
        <v>0.14203750000000001</v>
      </c>
      <c r="Z95" s="28">
        <f t="shared" si="48"/>
        <v>0.13293333333333335</v>
      </c>
      <c r="AA95" s="28">
        <f t="shared" si="48"/>
        <v>0.12093333333333335</v>
      </c>
      <c r="AB95" s="28">
        <f t="shared" si="48"/>
        <v>0.10706666666666667</v>
      </c>
      <c r="AC95" s="28">
        <f t="shared" si="48"/>
        <v>9.0116666666666678E-2</v>
      </c>
      <c r="AD95" s="28">
        <f t="shared" si="48"/>
        <v>3.4840416666666665E-2</v>
      </c>
      <c r="AE95" s="28">
        <f t="shared" si="48"/>
        <v>1.3551666666666667E-2</v>
      </c>
      <c r="AF95" s="28">
        <f t="shared" si="48"/>
        <v>5.3900000000000007E-3</v>
      </c>
      <c r="AG95" s="28">
        <f t="shared" si="48"/>
        <v>1.7203333333333336E-4</v>
      </c>
      <c r="AH95" s="28">
        <f t="shared" si="48"/>
        <v>0</v>
      </c>
      <c r="AI95" s="28">
        <f t="shared" si="48"/>
        <v>0</v>
      </c>
      <c r="AJ95" s="28">
        <f t="shared" si="48"/>
        <v>0</v>
      </c>
      <c r="AK95" s="28">
        <f t="shared" si="48"/>
        <v>0</v>
      </c>
      <c r="AL95" s="28">
        <f t="shared" si="48"/>
        <v>0</v>
      </c>
    </row>
    <row r="96" spans="1:38" ht="21" hidden="1" customHeight="1" outlineLevel="1" thickBot="1" x14ac:dyDescent="0.4">
      <c r="A96" s="10">
        <f t="shared" si="26"/>
        <v>0</v>
      </c>
      <c r="B96" s="10">
        <f t="shared" si="26"/>
        <v>0</v>
      </c>
      <c r="C96" s="10">
        <f t="shared" si="26"/>
        <v>1</v>
      </c>
      <c r="D96" s="10">
        <f t="shared" si="26"/>
        <v>0</v>
      </c>
      <c r="E96" s="11" t="str">
        <f t="shared" si="21"/>
        <v>(1)Ge</v>
      </c>
      <c r="F96" s="28">
        <f t="shared" ref="F96" si="49">F16*$C$82</f>
        <v>1.8920416666666668E-6</v>
      </c>
      <c r="G96" s="28">
        <f t="shared" ref="G96:AL96" si="50">G16*$C$82</f>
        <v>4.8316666666666673E-6</v>
      </c>
      <c r="H96" s="28">
        <f t="shared" si="50"/>
        <v>1.5156666666666668E-5</v>
      </c>
      <c r="I96" s="28">
        <f t="shared" si="50"/>
        <v>6.2295833333333341E-5</v>
      </c>
      <c r="J96" s="28">
        <f t="shared" si="50"/>
        <v>2.8598333333333334E-4</v>
      </c>
      <c r="K96" s="28">
        <f t="shared" si="50"/>
        <v>4.7733333333333336E-2</v>
      </c>
      <c r="L96" s="28">
        <f t="shared" si="50"/>
        <v>0.110225</v>
      </c>
      <c r="M96" s="28">
        <f t="shared" si="50"/>
        <v>0.20473750000000002</v>
      </c>
      <c r="N96" s="28">
        <f t="shared" si="50"/>
        <v>0.31006666666666666</v>
      </c>
      <c r="O96" s="28">
        <f t="shared" si="50"/>
        <v>0.39526666666666671</v>
      </c>
      <c r="P96" s="28">
        <f t="shared" si="50"/>
        <v>0.447625</v>
      </c>
      <c r="Q96" s="28">
        <f t="shared" si="50"/>
        <v>0.47475000000000001</v>
      </c>
      <c r="R96" s="28">
        <f t="shared" si="50"/>
        <v>0.48779166666666668</v>
      </c>
      <c r="S96" s="28">
        <f t="shared" si="50"/>
        <v>0.49400000000000005</v>
      </c>
      <c r="T96" s="28">
        <f t="shared" si="50"/>
        <v>0.49695833333333339</v>
      </c>
      <c r="U96" s="28">
        <f t="shared" si="50"/>
        <v>0.49841666666666673</v>
      </c>
      <c r="V96" s="28">
        <f t="shared" si="50"/>
        <v>0.4991666666666667</v>
      </c>
      <c r="W96" s="28">
        <f t="shared" si="50"/>
        <v>0.49954166666666666</v>
      </c>
      <c r="X96" s="28">
        <f t="shared" si="50"/>
        <v>0.49995833333333339</v>
      </c>
      <c r="Y96" s="28">
        <f t="shared" si="50"/>
        <v>0.49995833333333339</v>
      </c>
      <c r="Z96" s="28">
        <f t="shared" si="50"/>
        <v>0.49995833333333339</v>
      </c>
      <c r="AA96" s="28">
        <f t="shared" si="50"/>
        <v>0.5</v>
      </c>
      <c r="AB96" s="28">
        <f t="shared" si="50"/>
        <v>0.5</v>
      </c>
      <c r="AC96" s="28">
        <f t="shared" si="50"/>
        <v>0.49987500000000001</v>
      </c>
      <c r="AD96" s="28">
        <f t="shared" si="50"/>
        <v>0.49691666666666673</v>
      </c>
      <c r="AE96" s="28">
        <f t="shared" si="50"/>
        <v>0.49487500000000006</v>
      </c>
      <c r="AF96" s="28">
        <f t="shared" si="50"/>
        <v>0.49320833333333336</v>
      </c>
      <c r="AG96" s="28">
        <f t="shared" si="50"/>
        <v>0.48725000000000002</v>
      </c>
      <c r="AH96" s="28">
        <f t="shared" si="50"/>
        <v>0</v>
      </c>
      <c r="AI96" s="28">
        <f t="shared" si="50"/>
        <v>0</v>
      </c>
      <c r="AJ96" s="28">
        <f t="shared" si="50"/>
        <v>0</v>
      </c>
      <c r="AK96" s="28">
        <f t="shared" si="50"/>
        <v>0</v>
      </c>
      <c r="AL96" s="28">
        <f t="shared" si="50"/>
        <v>0</v>
      </c>
    </row>
    <row r="97" spans="1:38" ht="21" hidden="1" customHeight="1" outlineLevel="1" thickBot="1" x14ac:dyDescent="0.4">
      <c r="A97" s="10">
        <f t="shared" si="26"/>
        <v>0</v>
      </c>
      <c r="B97" s="10">
        <f t="shared" si="26"/>
        <v>0</v>
      </c>
      <c r="C97" s="10">
        <f t="shared" si="26"/>
        <v>0</v>
      </c>
      <c r="D97" s="10">
        <f t="shared" si="26"/>
        <v>1</v>
      </c>
      <c r="E97" s="11" t="str">
        <f t="shared" si="21"/>
        <v>(1)Ga</v>
      </c>
      <c r="F97" s="28">
        <f t="shared" ref="F97" si="51">F17*$C$82</f>
        <v>1.515625E-27</v>
      </c>
      <c r="G97" s="28">
        <f t="shared" ref="G97:AL97" si="52">G17*$C$82</f>
        <v>1.2286250000000001E-25</v>
      </c>
      <c r="H97" s="28">
        <f t="shared" si="52"/>
        <v>8.3504166666666665E-24</v>
      </c>
      <c r="I97" s="28">
        <f t="shared" si="52"/>
        <v>5.8516666666666674E-22</v>
      </c>
      <c r="J97" s="28">
        <f t="shared" si="52"/>
        <v>3.9238333333333336E-20</v>
      </c>
      <c r="K97" s="28">
        <f t="shared" si="52"/>
        <v>5.5216666666666671E-14</v>
      </c>
      <c r="L97" s="28">
        <f t="shared" si="52"/>
        <v>8.8820833333333339E-13</v>
      </c>
      <c r="M97" s="28">
        <f t="shared" si="52"/>
        <v>1.14525E-11</v>
      </c>
      <c r="N97" s="28">
        <f t="shared" si="52"/>
        <v>1.2630833333333333E-10</v>
      </c>
      <c r="O97" s="28">
        <f t="shared" si="52"/>
        <v>1.2232500000000001E-9</v>
      </c>
      <c r="P97" s="28">
        <f t="shared" si="52"/>
        <v>1.0426666666666667E-8</v>
      </c>
      <c r="Q97" s="28">
        <f t="shared" si="52"/>
        <v>7.827916666666668E-8</v>
      </c>
      <c r="R97" s="28">
        <f t="shared" si="52"/>
        <v>5.2025000000000002E-7</v>
      </c>
      <c r="S97" s="28">
        <f t="shared" si="52"/>
        <v>3.0837916666666667E-6</v>
      </c>
      <c r="T97" s="28">
        <f t="shared" si="52"/>
        <v>1.6427083333333334E-5</v>
      </c>
      <c r="U97" s="28">
        <f t="shared" si="52"/>
        <v>7.9108333333333336E-5</v>
      </c>
      <c r="V97" s="28">
        <f t="shared" si="52"/>
        <v>3.4423750000000001E-4</v>
      </c>
      <c r="W97" s="28">
        <f t="shared" si="52"/>
        <v>1.3229166666666669E-3</v>
      </c>
      <c r="X97" s="28">
        <f t="shared" si="52"/>
        <v>3.0566666666666669E-2</v>
      </c>
      <c r="Y97" s="28">
        <f t="shared" si="52"/>
        <v>4.6354166666666669E-2</v>
      </c>
      <c r="Z97" s="28">
        <f t="shared" si="52"/>
        <v>6.6620833333333337E-2</v>
      </c>
      <c r="AA97" s="28">
        <f t="shared" si="52"/>
        <v>9.1220833333333334E-2</v>
      </c>
      <c r="AB97" s="28">
        <f t="shared" si="52"/>
        <v>0.11912916666666667</v>
      </c>
      <c r="AC97" s="28">
        <f t="shared" si="52"/>
        <v>0.14652083333333335</v>
      </c>
      <c r="AD97" s="28">
        <f t="shared" si="52"/>
        <v>0.11461250000000001</v>
      </c>
      <c r="AE97" s="28">
        <f t="shared" si="52"/>
        <v>8.8008333333333327E-2</v>
      </c>
      <c r="AF97" s="28">
        <f t="shared" si="52"/>
        <v>6.6520833333333335E-2</v>
      </c>
      <c r="AG97" s="28">
        <f t="shared" si="52"/>
        <v>1.8249166666666667E-2</v>
      </c>
      <c r="AH97" s="28">
        <f t="shared" si="52"/>
        <v>0</v>
      </c>
      <c r="AI97" s="28">
        <f t="shared" si="52"/>
        <v>0</v>
      </c>
      <c r="AJ97" s="28">
        <f t="shared" si="52"/>
        <v>0</v>
      </c>
      <c r="AK97" s="28">
        <f t="shared" si="52"/>
        <v>0</v>
      </c>
      <c r="AL97" s="28">
        <f t="shared" si="52"/>
        <v>0</v>
      </c>
    </row>
    <row r="98" spans="1:38" ht="21" hidden="1" customHeight="1" outlineLevel="1" thickBot="1" x14ac:dyDescent="0.4">
      <c r="A98" s="10">
        <f t="shared" si="26"/>
        <v>0</v>
      </c>
      <c r="B98" s="10">
        <f t="shared" si="26"/>
        <v>1</v>
      </c>
      <c r="C98" s="10">
        <f t="shared" si="26"/>
        <v>0</v>
      </c>
      <c r="D98" s="10">
        <f t="shared" si="26"/>
        <v>0</v>
      </c>
      <c r="E98" s="11" t="str">
        <f t="shared" si="21"/>
        <v>(1)Se</v>
      </c>
      <c r="F98" s="28">
        <f t="shared" ref="F98:F112" si="53">F18*$C$82</f>
        <v>1.0557083333333334E-8</v>
      </c>
      <c r="G98" s="28">
        <f t="shared" ref="G98:AL98" si="54">G18*$C$82</f>
        <v>3.6467083333333334E-8</v>
      </c>
      <c r="H98" s="28">
        <f t="shared" si="54"/>
        <v>8.9208333333333343E-8</v>
      </c>
      <c r="I98" s="28">
        <f t="shared" si="54"/>
        <v>1.4601666666666669E-7</v>
      </c>
      <c r="J98" s="28">
        <f t="shared" si="54"/>
        <v>1.6703333333333335E-7</v>
      </c>
      <c r="K98" s="28">
        <f t="shared" si="54"/>
        <v>9.0833333333333346E-8</v>
      </c>
      <c r="L98" s="28">
        <f t="shared" si="54"/>
        <v>8.5145833333333342E-8</v>
      </c>
      <c r="M98" s="28">
        <f t="shared" si="54"/>
        <v>8.3291666666666673E-8</v>
      </c>
      <c r="N98" s="28">
        <f t="shared" si="54"/>
        <v>7.9866666666666667E-8</v>
      </c>
      <c r="O98" s="28">
        <f t="shared" si="54"/>
        <v>7.6012500000000006E-8</v>
      </c>
      <c r="P98" s="28">
        <f t="shared" si="54"/>
        <v>6.7887500000000005E-8</v>
      </c>
      <c r="Q98" s="28">
        <f t="shared" si="54"/>
        <v>5.8275000000000004E-8</v>
      </c>
      <c r="R98" s="28">
        <f t="shared" si="54"/>
        <v>4.9045833333333337E-8</v>
      </c>
      <c r="S98" s="28">
        <f t="shared" si="54"/>
        <v>4.0917083333333337E-8</v>
      </c>
      <c r="T98" s="28">
        <f t="shared" si="54"/>
        <v>3.4021666666666669E-8</v>
      </c>
      <c r="U98" s="28">
        <f t="shared" si="54"/>
        <v>2.8281666666666669E-8</v>
      </c>
      <c r="V98" s="28">
        <f t="shared" si="54"/>
        <v>2.3606250000000003E-8</v>
      </c>
      <c r="W98" s="28">
        <f t="shared" si="54"/>
        <v>2.0013749999999999E-8</v>
      </c>
      <c r="X98" s="28">
        <f t="shared" si="54"/>
        <v>1.1500833333333334E-8</v>
      </c>
      <c r="Y98" s="28">
        <f t="shared" si="54"/>
        <v>9.685416666666667E-9</v>
      </c>
      <c r="Z98" s="28">
        <f t="shared" si="54"/>
        <v>8.1525000000000014E-9</v>
      </c>
      <c r="AA98" s="28">
        <f t="shared" si="54"/>
        <v>6.8720833333333342E-9</v>
      </c>
      <c r="AB98" s="28">
        <f t="shared" si="54"/>
        <v>5.8029166666666668E-9</v>
      </c>
      <c r="AC98" s="28">
        <f t="shared" si="54"/>
        <v>4.9125000000000001E-9</v>
      </c>
      <c r="AD98" s="28">
        <f t="shared" si="54"/>
        <v>4.2458333333333341E-9</v>
      </c>
      <c r="AE98" s="28">
        <f t="shared" si="54"/>
        <v>3.6087083333333334E-9</v>
      </c>
      <c r="AF98" s="28">
        <f t="shared" si="54"/>
        <v>3.0499166666666669E-9</v>
      </c>
      <c r="AG98" s="28">
        <f t="shared" si="54"/>
        <v>1.5500000000000002E-9</v>
      </c>
      <c r="AH98" s="28">
        <f t="shared" si="54"/>
        <v>0</v>
      </c>
      <c r="AI98" s="28">
        <f t="shared" si="54"/>
        <v>0</v>
      </c>
      <c r="AJ98" s="28">
        <f t="shared" si="54"/>
        <v>0</v>
      </c>
      <c r="AK98" s="28">
        <f t="shared" si="54"/>
        <v>0</v>
      </c>
      <c r="AL98" s="28">
        <f t="shared" si="54"/>
        <v>0</v>
      </c>
    </row>
    <row r="99" spans="1:38" ht="21" hidden="1" customHeight="1" outlineLevel="1" thickBot="1" x14ac:dyDescent="0.4">
      <c r="A99" s="10">
        <f t="shared" si="26"/>
        <v>0</v>
      </c>
      <c r="B99" s="10">
        <f t="shared" si="26"/>
        <v>1</v>
      </c>
      <c r="C99" s="10">
        <f t="shared" si="26"/>
        <v>0</v>
      </c>
      <c r="D99" s="10">
        <f t="shared" si="26"/>
        <v>0</v>
      </c>
      <c r="E99" s="11" t="str">
        <f t="shared" si="21"/>
        <v>(1)Se[a]</v>
      </c>
      <c r="F99" s="28">
        <f t="shared" si="53"/>
        <v>2.4333333333333336E-9</v>
      </c>
      <c r="G99" s="28">
        <f t="shared" ref="G99:AL99" si="55">G19*$C$82</f>
        <v>9.7766666666666679E-9</v>
      </c>
      <c r="H99" s="28">
        <f t="shared" si="55"/>
        <v>2.7312916666666669E-8</v>
      </c>
      <c r="I99" s="28">
        <f t="shared" si="55"/>
        <v>5.0287500000000006E-8</v>
      </c>
      <c r="J99" s="28">
        <f t="shared" si="55"/>
        <v>6.3883333333333346E-8</v>
      </c>
      <c r="K99" s="28">
        <f t="shared" si="55"/>
        <v>4.8087500000000006E-8</v>
      </c>
      <c r="L99" s="28">
        <f t="shared" si="55"/>
        <v>4.8041666666666672E-8</v>
      </c>
      <c r="M99" s="28">
        <f t="shared" si="55"/>
        <v>4.9808333333333341E-8</v>
      </c>
      <c r="N99" s="28">
        <f t="shared" si="55"/>
        <v>5.0241666666666665E-8</v>
      </c>
      <c r="O99" s="28">
        <f t="shared" si="55"/>
        <v>4.7329166666666664E-8</v>
      </c>
      <c r="P99" s="28">
        <f t="shared" si="55"/>
        <v>4.1808333333333342E-8</v>
      </c>
      <c r="Q99" s="28">
        <f t="shared" si="55"/>
        <v>3.5479166666666674E-8</v>
      </c>
      <c r="R99" s="28">
        <f t="shared" si="55"/>
        <v>2.9507916666666666E-8</v>
      </c>
      <c r="S99" s="28">
        <f t="shared" si="55"/>
        <v>2.4320833333333332E-8</v>
      </c>
      <c r="T99" s="28">
        <f t="shared" si="55"/>
        <v>1.9975000000000002E-8</v>
      </c>
      <c r="U99" s="28">
        <f t="shared" si="55"/>
        <v>1.640041666666667E-8</v>
      </c>
      <c r="V99" s="28">
        <f t="shared" si="55"/>
        <v>1.352E-8</v>
      </c>
      <c r="W99" s="28">
        <f t="shared" si="55"/>
        <v>1.1320833333333335E-8</v>
      </c>
      <c r="X99" s="28">
        <f t="shared" si="55"/>
        <v>6.1937500000000005E-9</v>
      </c>
      <c r="Y99" s="28">
        <f t="shared" si="55"/>
        <v>5.1537499999999999E-9</v>
      </c>
      <c r="Z99" s="28">
        <f t="shared" si="55"/>
        <v>4.2866666666666672E-9</v>
      </c>
      <c r="AA99" s="28">
        <f t="shared" si="55"/>
        <v>3.5708750000000005E-9</v>
      </c>
      <c r="AB99" s="28">
        <f t="shared" si="55"/>
        <v>2.9802083333333333E-9</v>
      </c>
      <c r="AC99" s="28">
        <f t="shared" si="55"/>
        <v>2.4938750000000001E-9</v>
      </c>
      <c r="AD99" s="28">
        <f t="shared" si="55"/>
        <v>2.1307083333333333E-9</v>
      </c>
      <c r="AE99" s="28">
        <f t="shared" si="55"/>
        <v>1.7904583333333334E-9</v>
      </c>
      <c r="AF99" s="28">
        <f t="shared" si="55"/>
        <v>1.4962083333333335E-9</v>
      </c>
      <c r="AG99" s="28">
        <f t="shared" si="55"/>
        <v>7.273333333333333E-10</v>
      </c>
      <c r="AH99" s="28">
        <f t="shared" si="55"/>
        <v>0</v>
      </c>
      <c r="AI99" s="28">
        <f t="shared" si="55"/>
        <v>0</v>
      </c>
      <c r="AJ99" s="28">
        <f t="shared" si="55"/>
        <v>0</v>
      </c>
      <c r="AK99" s="28">
        <f t="shared" si="55"/>
        <v>0</v>
      </c>
      <c r="AL99" s="28">
        <f t="shared" si="55"/>
        <v>0</v>
      </c>
    </row>
    <row r="100" spans="1:38" ht="21" hidden="1" customHeight="1" outlineLevel="1" thickBot="1" x14ac:dyDescent="0.4">
      <c r="A100" s="10">
        <f t="shared" si="26"/>
        <v>0</v>
      </c>
      <c r="B100" s="10">
        <f t="shared" si="26"/>
        <v>1</v>
      </c>
      <c r="C100" s="10">
        <f t="shared" si="26"/>
        <v>0</v>
      </c>
      <c r="D100" s="10">
        <f t="shared" si="26"/>
        <v>0</v>
      </c>
      <c r="E100" s="11" t="str">
        <f t="shared" si="21"/>
        <v>(1)Se[m]</v>
      </c>
      <c r="F100" s="28">
        <f t="shared" si="53"/>
        <v>8.8912500000000016E-3</v>
      </c>
      <c r="G100" s="28">
        <f t="shared" ref="G100:AL100" si="56">G20*$C$82</f>
        <v>3.8855000000000008E-2</v>
      </c>
      <c r="H100" s="28">
        <f t="shared" si="56"/>
        <v>0.12172916666666668</v>
      </c>
      <c r="I100" s="28">
        <f t="shared" si="56"/>
        <v>0.25717083333333335</v>
      </c>
      <c r="J100" s="28">
        <f t="shared" si="56"/>
        <v>0.38148333333333334</v>
      </c>
      <c r="K100" s="28">
        <f t="shared" si="56"/>
        <v>0.59195833333333336</v>
      </c>
      <c r="L100" s="28">
        <f t="shared" si="56"/>
        <v>0.71891666666666676</v>
      </c>
      <c r="M100" s="28">
        <f t="shared" si="56"/>
        <v>0.90883333333333338</v>
      </c>
      <c r="N100" s="28">
        <f t="shared" si="56"/>
        <v>1.1199166666666669</v>
      </c>
      <c r="O100" s="28">
        <f t="shared" si="56"/>
        <v>1.2904583333333333</v>
      </c>
      <c r="P100" s="28">
        <f t="shared" si="56"/>
        <v>1.3952500000000001</v>
      </c>
      <c r="Q100" s="28">
        <f t="shared" si="56"/>
        <v>1.4495000000000002</v>
      </c>
      <c r="R100" s="28">
        <f t="shared" si="56"/>
        <v>1.4756250000000002</v>
      </c>
      <c r="S100" s="28">
        <f t="shared" si="56"/>
        <v>1.4880416666666667</v>
      </c>
      <c r="T100" s="28">
        <f t="shared" si="56"/>
        <v>1.4942500000000001</v>
      </c>
      <c r="U100" s="28">
        <f t="shared" si="56"/>
        <v>1.4987916666666667</v>
      </c>
      <c r="V100" s="28">
        <f t="shared" si="56"/>
        <v>1.5079166666666668</v>
      </c>
      <c r="W100" s="28">
        <f t="shared" si="56"/>
        <v>1.5393333333333334</v>
      </c>
      <c r="X100" s="28">
        <f t="shared" si="56"/>
        <v>1.8383750000000001</v>
      </c>
      <c r="Y100" s="28">
        <f t="shared" si="56"/>
        <v>1.8535416666666669</v>
      </c>
      <c r="Z100" s="28">
        <f t="shared" si="56"/>
        <v>1.8657500000000002</v>
      </c>
      <c r="AA100" s="28">
        <f t="shared" si="56"/>
        <v>1.8786666666666667</v>
      </c>
      <c r="AB100" s="28">
        <f t="shared" si="56"/>
        <v>1.8927916666666669</v>
      </c>
      <c r="AC100" s="28">
        <f t="shared" si="56"/>
        <v>1.9098333333333335</v>
      </c>
      <c r="AD100" s="28">
        <f t="shared" si="56"/>
        <v>1.9651666666666667</v>
      </c>
      <c r="AE100" s="28">
        <f t="shared" si="56"/>
        <v>1.9864583333333334</v>
      </c>
      <c r="AF100" s="28">
        <f t="shared" si="56"/>
        <v>1.9946250000000003</v>
      </c>
      <c r="AG100" s="28">
        <f t="shared" si="56"/>
        <v>1.9998333333333336</v>
      </c>
      <c r="AH100" s="28">
        <f t="shared" si="56"/>
        <v>0</v>
      </c>
      <c r="AI100" s="28">
        <f t="shared" si="56"/>
        <v>0</v>
      </c>
      <c r="AJ100" s="28">
        <f t="shared" si="56"/>
        <v>0</v>
      </c>
      <c r="AK100" s="28">
        <f t="shared" si="56"/>
        <v>0</v>
      </c>
      <c r="AL100" s="28">
        <f t="shared" si="56"/>
        <v>0</v>
      </c>
    </row>
    <row r="101" spans="1:38" ht="21" hidden="1" customHeight="1" outlineLevel="1" thickBot="1" x14ac:dyDescent="0.4">
      <c r="A101" s="10">
        <f t="shared" ref="A101:D113" si="57">A67</f>
        <v>0</v>
      </c>
      <c r="B101" s="10">
        <f t="shared" si="57"/>
        <v>1</v>
      </c>
      <c r="C101" s="10">
        <f t="shared" si="57"/>
        <v>0</v>
      </c>
      <c r="D101" s="10">
        <f t="shared" si="57"/>
        <v>0</v>
      </c>
      <c r="E101" s="11" t="str">
        <f t="shared" si="21"/>
        <v>(1)Se[r]</v>
      </c>
      <c r="F101" s="28">
        <f t="shared" si="53"/>
        <v>2.6995000000000003E-11</v>
      </c>
      <c r="G101" s="28">
        <f t="shared" ref="G101:AL101" si="58">G21*$C$82</f>
        <v>1.5182916666666666E-10</v>
      </c>
      <c r="H101" s="28">
        <f t="shared" si="58"/>
        <v>5.7270833333333333E-10</v>
      </c>
      <c r="I101" s="28">
        <f t="shared" si="58"/>
        <v>1.3815833333333334E-9</v>
      </c>
      <c r="J101" s="28">
        <f t="shared" si="58"/>
        <v>2.2423333333333338E-9</v>
      </c>
      <c r="K101" s="28">
        <f t="shared" si="58"/>
        <v>3.7302083333333334E-9</v>
      </c>
      <c r="L101" s="28">
        <f t="shared" si="58"/>
        <v>4.3862500000000006E-9</v>
      </c>
      <c r="M101" s="28">
        <f t="shared" si="58"/>
        <v>5.295416666666667E-9</v>
      </c>
      <c r="N101" s="28">
        <f t="shared" si="58"/>
        <v>6.1595833333333336E-9</v>
      </c>
      <c r="O101" s="28">
        <f t="shared" si="58"/>
        <v>6.6345833333333338E-9</v>
      </c>
      <c r="P101" s="28">
        <f t="shared" si="58"/>
        <v>6.6495833333333342E-9</v>
      </c>
      <c r="Q101" s="28">
        <f t="shared" si="58"/>
        <v>6.3579166666666674E-9</v>
      </c>
      <c r="R101" s="28">
        <f t="shared" si="58"/>
        <v>5.9208333333333334E-9</v>
      </c>
      <c r="S101" s="28">
        <f t="shared" si="58"/>
        <v>5.4325E-9</v>
      </c>
      <c r="T101" s="28">
        <f t="shared" si="58"/>
        <v>4.9412500000000005E-9</v>
      </c>
      <c r="U101" s="28">
        <f t="shared" si="58"/>
        <v>4.4712500000000003E-9</v>
      </c>
      <c r="V101" s="28">
        <f t="shared" si="58"/>
        <v>4.0445833333333334E-9</v>
      </c>
      <c r="W101" s="28">
        <f t="shared" si="58"/>
        <v>3.7012083333333336E-9</v>
      </c>
      <c r="X101" s="28">
        <f t="shared" si="58"/>
        <v>2.7894583333333334E-9</v>
      </c>
      <c r="Y101" s="28">
        <f t="shared" si="58"/>
        <v>2.4957083333333332E-9</v>
      </c>
      <c r="Z101" s="28">
        <f t="shared" si="58"/>
        <v>2.2262083333333337E-9</v>
      </c>
      <c r="AA101" s="28">
        <f t="shared" si="58"/>
        <v>1.9840416666666668E-9</v>
      </c>
      <c r="AB101" s="28">
        <f t="shared" si="58"/>
        <v>1.7674583333333336E-9</v>
      </c>
      <c r="AC101" s="28">
        <f t="shared" si="58"/>
        <v>1.5753333333333335E-9</v>
      </c>
      <c r="AD101" s="28">
        <f t="shared" si="58"/>
        <v>1.4306250000000001E-9</v>
      </c>
      <c r="AE101" s="28">
        <f t="shared" si="58"/>
        <v>1.2754166666666668E-9</v>
      </c>
      <c r="AF101" s="28">
        <f t="shared" si="58"/>
        <v>1.1287083333333333E-9</v>
      </c>
      <c r="AG101" s="28">
        <f t="shared" si="58"/>
        <v>6.7904166666666671E-10</v>
      </c>
      <c r="AH101" s="28">
        <f t="shared" si="58"/>
        <v>0</v>
      </c>
      <c r="AI101" s="28">
        <f t="shared" si="58"/>
        <v>0</v>
      </c>
      <c r="AJ101" s="28">
        <f t="shared" si="58"/>
        <v>0</v>
      </c>
      <c r="AK101" s="28">
        <f t="shared" si="58"/>
        <v>0</v>
      </c>
      <c r="AL101" s="28">
        <f t="shared" si="58"/>
        <v>0</v>
      </c>
    </row>
    <row r="102" spans="1:38" ht="21" hidden="1" customHeight="1" outlineLevel="1" thickBot="1" x14ac:dyDescent="0.4">
      <c r="A102" s="10">
        <f t="shared" si="57"/>
        <v>0</v>
      </c>
      <c r="B102" s="10">
        <f t="shared" si="57"/>
        <v>0</v>
      </c>
      <c r="C102" s="10">
        <f t="shared" si="57"/>
        <v>1</v>
      </c>
      <c r="D102" s="10">
        <f t="shared" si="57"/>
        <v>0</v>
      </c>
      <c r="E102" s="11" t="str">
        <f t="shared" si="21"/>
        <v>(1)Ge[c]</v>
      </c>
      <c r="F102" s="28">
        <f t="shared" si="53"/>
        <v>1.8920416666666668E-6</v>
      </c>
      <c r="G102" s="28">
        <f t="shared" ref="G102:AL102" si="59">G22*$C$82</f>
        <v>4.8316666666666673E-6</v>
      </c>
      <c r="H102" s="28">
        <f t="shared" si="59"/>
        <v>1.5156666666666668E-5</v>
      </c>
      <c r="I102" s="28">
        <f t="shared" si="59"/>
        <v>6.2295833333333341E-5</v>
      </c>
      <c r="J102" s="28">
        <f t="shared" si="59"/>
        <v>2.8598333333333334E-4</v>
      </c>
      <c r="K102" s="28">
        <f t="shared" si="59"/>
        <v>4.7733333333333336E-2</v>
      </c>
      <c r="L102" s="28">
        <f t="shared" si="59"/>
        <v>0.110225</v>
      </c>
      <c r="M102" s="28">
        <f t="shared" si="59"/>
        <v>0.20473750000000002</v>
      </c>
      <c r="N102" s="28">
        <f t="shared" si="59"/>
        <v>0.31006666666666666</v>
      </c>
      <c r="O102" s="28">
        <f t="shared" si="59"/>
        <v>0.39526666666666671</v>
      </c>
      <c r="P102" s="28">
        <f t="shared" si="59"/>
        <v>0.447625</v>
      </c>
      <c r="Q102" s="28">
        <f t="shared" si="59"/>
        <v>0.47475000000000001</v>
      </c>
      <c r="R102" s="28">
        <f t="shared" si="59"/>
        <v>0.48779166666666668</v>
      </c>
      <c r="S102" s="28">
        <f t="shared" si="59"/>
        <v>0.49400000000000005</v>
      </c>
      <c r="T102" s="28">
        <f t="shared" si="59"/>
        <v>0.49695833333333339</v>
      </c>
      <c r="U102" s="28">
        <f t="shared" si="59"/>
        <v>0.49841666666666673</v>
      </c>
      <c r="V102" s="28">
        <f t="shared" si="59"/>
        <v>0.4991666666666667</v>
      </c>
      <c r="W102" s="28">
        <f t="shared" si="59"/>
        <v>0.49954166666666666</v>
      </c>
      <c r="X102" s="28">
        <f t="shared" si="59"/>
        <v>0.49995833333333339</v>
      </c>
      <c r="Y102" s="28">
        <f t="shared" si="59"/>
        <v>0.49995833333333339</v>
      </c>
      <c r="Z102" s="28">
        <f t="shared" si="59"/>
        <v>0.49995833333333339</v>
      </c>
      <c r="AA102" s="28">
        <f t="shared" si="59"/>
        <v>0.5</v>
      </c>
      <c r="AB102" s="28">
        <f t="shared" si="59"/>
        <v>0.5</v>
      </c>
      <c r="AC102" s="28">
        <f t="shared" si="59"/>
        <v>0.49987500000000001</v>
      </c>
      <c r="AD102" s="28">
        <f t="shared" si="59"/>
        <v>0.49691666666666673</v>
      </c>
      <c r="AE102" s="28">
        <f t="shared" si="59"/>
        <v>0.49487500000000006</v>
      </c>
      <c r="AF102" s="28">
        <f t="shared" si="59"/>
        <v>0.49320833333333336</v>
      </c>
      <c r="AG102" s="28">
        <f t="shared" si="59"/>
        <v>0.48725000000000002</v>
      </c>
      <c r="AH102" s="28">
        <f t="shared" si="59"/>
        <v>0</v>
      </c>
      <c r="AI102" s="28">
        <f t="shared" si="59"/>
        <v>0</v>
      </c>
      <c r="AJ102" s="28">
        <f t="shared" si="59"/>
        <v>0</v>
      </c>
      <c r="AK102" s="28">
        <f t="shared" si="59"/>
        <v>0</v>
      </c>
      <c r="AL102" s="28">
        <f t="shared" si="59"/>
        <v>0</v>
      </c>
    </row>
    <row r="103" spans="1:38" ht="21" hidden="1" customHeight="1" outlineLevel="1" thickBot="1" x14ac:dyDescent="0.4">
      <c r="A103" s="10">
        <f t="shared" si="57"/>
        <v>0</v>
      </c>
      <c r="B103" s="10">
        <f t="shared" si="57"/>
        <v>0</v>
      </c>
      <c r="C103" s="10">
        <f t="shared" si="57"/>
        <v>0</v>
      </c>
      <c r="D103" s="10">
        <f t="shared" si="57"/>
        <v>1</v>
      </c>
      <c r="E103" s="11" t="str">
        <f t="shared" si="21"/>
        <v>(3)Ga[l]</v>
      </c>
      <c r="F103" s="28">
        <f t="shared" si="53"/>
        <v>0</v>
      </c>
      <c r="G103" s="28">
        <f t="shared" ref="G103:AL103" si="60">G23*$C$82</f>
        <v>0</v>
      </c>
      <c r="H103" s="28">
        <f t="shared" si="60"/>
        <v>0</v>
      </c>
      <c r="I103" s="28">
        <f t="shared" si="60"/>
        <v>0</v>
      </c>
      <c r="J103" s="28">
        <f t="shared" si="60"/>
        <v>0</v>
      </c>
      <c r="K103" s="28">
        <f t="shared" si="60"/>
        <v>0</v>
      </c>
      <c r="L103" s="28">
        <f t="shared" si="60"/>
        <v>0</v>
      </c>
      <c r="M103" s="28">
        <f t="shared" si="60"/>
        <v>0</v>
      </c>
      <c r="N103" s="28">
        <f t="shared" si="60"/>
        <v>0</v>
      </c>
      <c r="O103" s="28">
        <f t="shared" si="60"/>
        <v>0</v>
      </c>
      <c r="P103" s="28">
        <f t="shared" si="60"/>
        <v>0</v>
      </c>
      <c r="Q103" s="28">
        <f t="shared" si="60"/>
        <v>0</v>
      </c>
      <c r="R103" s="28">
        <f t="shared" si="60"/>
        <v>0</v>
      </c>
      <c r="S103" s="28">
        <f t="shared" si="60"/>
        <v>0</v>
      </c>
      <c r="T103" s="28">
        <f t="shared" si="60"/>
        <v>0</v>
      </c>
      <c r="U103" s="28">
        <f t="shared" si="60"/>
        <v>0</v>
      </c>
      <c r="V103" s="28">
        <f t="shared" si="60"/>
        <v>0</v>
      </c>
      <c r="W103" s="28">
        <f t="shared" si="60"/>
        <v>0</v>
      </c>
      <c r="X103" s="28">
        <f t="shared" si="60"/>
        <v>1.2335E-32</v>
      </c>
      <c r="Y103" s="28">
        <f t="shared" si="60"/>
        <v>1.5422500000000002E-25</v>
      </c>
      <c r="Z103" s="28">
        <f t="shared" si="60"/>
        <v>9.0920833333333332E-19</v>
      </c>
      <c r="AA103" s="28">
        <f t="shared" si="60"/>
        <v>1.6045416666666668E-12</v>
      </c>
      <c r="AB103" s="28">
        <f t="shared" si="60"/>
        <v>2.2053333333333335E-7</v>
      </c>
      <c r="AC103" s="28">
        <f t="shared" si="60"/>
        <v>6.5562500000000004E-3</v>
      </c>
      <c r="AD103" s="28">
        <f t="shared" si="60"/>
        <v>0.14898749999999999</v>
      </c>
      <c r="AE103" s="28">
        <f t="shared" si="60"/>
        <v>0.21813333333333337</v>
      </c>
      <c r="AF103" s="28">
        <f t="shared" si="60"/>
        <v>0.25593333333333335</v>
      </c>
      <c r="AG103" s="28">
        <f t="shared" si="60"/>
        <v>0.31472916666666673</v>
      </c>
      <c r="AH103" s="28">
        <f t="shared" si="60"/>
        <v>0</v>
      </c>
      <c r="AI103" s="28">
        <f t="shared" si="60"/>
        <v>0</v>
      </c>
      <c r="AJ103" s="28">
        <f t="shared" si="60"/>
        <v>0</v>
      </c>
      <c r="AK103" s="28">
        <f t="shared" si="60"/>
        <v>0</v>
      </c>
      <c r="AL103" s="28">
        <f t="shared" si="60"/>
        <v>0</v>
      </c>
    </row>
    <row r="104" spans="1:38" ht="21" hidden="1" customHeight="1" outlineLevel="1" thickBot="1" x14ac:dyDescent="0.4">
      <c r="A104" s="10">
        <f t="shared" si="57"/>
        <v>0</v>
      </c>
      <c r="B104" s="10">
        <f t="shared" si="57"/>
        <v>0</v>
      </c>
      <c r="C104" s="10">
        <f t="shared" si="57"/>
        <v>1</v>
      </c>
      <c r="D104" s="10">
        <f t="shared" si="57"/>
        <v>0</v>
      </c>
      <c r="E104" s="11" t="str">
        <f t="shared" si="21"/>
        <v>(3)Ge[l]</v>
      </c>
      <c r="F104" s="28">
        <f t="shared" si="53"/>
        <v>0</v>
      </c>
      <c r="G104" s="28">
        <f t="shared" ref="G104:AL104" si="61">G24*$C$82</f>
        <v>0</v>
      </c>
      <c r="H104" s="28">
        <f t="shared" si="61"/>
        <v>0</v>
      </c>
      <c r="I104" s="28">
        <f t="shared" si="61"/>
        <v>0</v>
      </c>
      <c r="J104" s="28">
        <f t="shared" si="61"/>
        <v>0</v>
      </c>
      <c r="K104" s="28">
        <f t="shared" si="61"/>
        <v>0</v>
      </c>
      <c r="L104" s="28">
        <f t="shared" si="61"/>
        <v>0</v>
      </c>
      <c r="M104" s="28">
        <f t="shared" si="61"/>
        <v>0</v>
      </c>
      <c r="N104" s="28">
        <f t="shared" si="61"/>
        <v>0</v>
      </c>
      <c r="O104" s="28">
        <f t="shared" si="61"/>
        <v>0</v>
      </c>
      <c r="P104" s="28">
        <f t="shared" si="61"/>
        <v>0</v>
      </c>
      <c r="Q104" s="28">
        <f t="shared" si="61"/>
        <v>0</v>
      </c>
      <c r="R104" s="28">
        <f t="shared" si="61"/>
        <v>0</v>
      </c>
      <c r="S104" s="28">
        <f t="shared" si="61"/>
        <v>0</v>
      </c>
      <c r="T104" s="28">
        <f t="shared" si="61"/>
        <v>0</v>
      </c>
      <c r="U104" s="28">
        <f t="shared" si="61"/>
        <v>0</v>
      </c>
      <c r="V104" s="28">
        <f t="shared" si="61"/>
        <v>0</v>
      </c>
      <c r="W104" s="28">
        <f t="shared" si="61"/>
        <v>0</v>
      </c>
      <c r="X104" s="28">
        <f t="shared" si="61"/>
        <v>2.7669166666666667E-33</v>
      </c>
      <c r="Y104" s="28">
        <f t="shared" si="61"/>
        <v>2.2664166666666667E-26</v>
      </c>
      <c r="Z104" s="28">
        <f t="shared" si="61"/>
        <v>9.0429166666666667E-20</v>
      </c>
      <c r="AA104" s="28">
        <f t="shared" si="61"/>
        <v>1.1099583333333335E-13</v>
      </c>
      <c r="AB104" s="28">
        <f t="shared" si="61"/>
        <v>1.088875E-8</v>
      </c>
      <c r="AC104" s="28">
        <f t="shared" si="61"/>
        <v>2.4002916666666669E-4</v>
      </c>
      <c r="AD104" s="28">
        <f t="shared" si="61"/>
        <v>6.1870833333333335E-3</v>
      </c>
      <c r="AE104" s="28">
        <f t="shared" si="61"/>
        <v>1.0257916666666667E-2</v>
      </c>
      <c r="AF104" s="28">
        <f t="shared" si="61"/>
        <v>1.3553333333333336E-2</v>
      </c>
      <c r="AG104" s="28">
        <f t="shared" si="61"/>
        <v>2.5474583333333335E-2</v>
      </c>
      <c r="AH104" s="28">
        <f t="shared" si="61"/>
        <v>0</v>
      </c>
      <c r="AI104" s="28">
        <f t="shared" si="61"/>
        <v>0</v>
      </c>
      <c r="AJ104" s="28">
        <f t="shared" si="61"/>
        <v>0</v>
      </c>
      <c r="AK104" s="28">
        <f t="shared" si="61"/>
        <v>0</v>
      </c>
      <c r="AL104" s="28">
        <f t="shared" si="61"/>
        <v>0</v>
      </c>
    </row>
    <row r="105" spans="1:38" ht="21" hidden="1" customHeight="1" outlineLevel="1" thickBot="1" x14ac:dyDescent="0.4">
      <c r="A105" s="10">
        <f t="shared" si="57"/>
        <v>1</v>
      </c>
      <c r="B105" s="10">
        <f t="shared" si="57"/>
        <v>0</v>
      </c>
      <c r="C105" s="10">
        <f t="shared" si="57"/>
        <v>0</v>
      </c>
      <c r="D105" s="10">
        <f t="shared" si="57"/>
        <v>0</v>
      </c>
      <c r="E105" s="11" t="str">
        <f t="shared" si="21"/>
        <v>H (Ar)</v>
      </c>
      <c r="F105" s="28">
        <f t="shared" si="53"/>
        <v>-77.958333333333343</v>
      </c>
      <c r="G105" s="28">
        <f t="shared" ref="G105:AL105" si="62">G25*$C$82</f>
        <v>-77.916666666666671</v>
      </c>
      <c r="H105" s="28">
        <f t="shared" si="62"/>
        <v>-77.916666666666671</v>
      </c>
      <c r="I105" s="28">
        <f t="shared" si="62"/>
        <v>-77.916666666666671</v>
      </c>
      <c r="J105" s="28">
        <f t="shared" si="62"/>
        <v>-78</v>
      </c>
      <c r="K105" s="28">
        <f t="shared" si="62"/>
        <v>-78.458333333333329</v>
      </c>
      <c r="L105" s="28">
        <f t="shared" si="62"/>
        <v>-78.625000000000014</v>
      </c>
      <c r="M105" s="28">
        <f t="shared" si="62"/>
        <v>-78.75</v>
      </c>
      <c r="N105" s="28">
        <f t="shared" si="62"/>
        <v>-78.916666666666671</v>
      </c>
      <c r="O105" s="28">
        <f t="shared" si="62"/>
        <v>-79.083333333333343</v>
      </c>
      <c r="P105" s="28">
        <f t="shared" si="62"/>
        <v>-79.25</v>
      </c>
      <c r="Q105" s="28">
        <f t="shared" si="62"/>
        <v>-79.416666666666671</v>
      </c>
      <c r="R105" s="28">
        <f t="shared" si="62"/>
        <v>-79.583333333333343</v>
      </c>
      <c r="S105" s="28">
        <f t="shared" si="62"/>
        <v>-79.750000000000014</v>
      </c>
      <c r="T105" s="28">
        <f t="shared" si="62"/>
        <v>-79.916666666666671</v>
      </c>
      <c r="U105" s="28">
        <f t="shared" si="62"/>
        <v>-80.125000000000014</v>
      </c>
      <c r="V105" s="28">
        <f t="shared" si="62"/>
        <v>-80.291666666666671</v>
      </c>
      <c r="W105" s="28">
        <f t="shared" si="62"/>
        <v>-80.416666666666671</v>
      </c>
      <c r="X105" s="28">
        <f t="shared" si="62"/>
        <v>-80.958333333333343</v>
      </c>
      <c r="Y105" s="28">
        <f t="shared" si="62"/>
        <v>-81.125</v>
      </c>
      <c r="Z105" s="28">
        <f t="shared" si="62"/>
        <v>-81.291666666666686</v>
      </c>
      <c r="AA105" s="28">
        <f t="shared" si="62"/>
        <v>-81.458333333333343</v>
      </c>
      <c r="AB105" s="28">
        <f t="shared" si="62"/>
        <v>-81.625</v>
      </c>
      <c r="AC105" s="28">
        <f t="shared" si="62"/>
        <v>-81.750000000000014</v>
      </c>
      <c r="AD105" s="28">
        <f t="shared" si="62"/>
        <v>-81.916666666666671</v>
      </c>
      <c r="AE105" s="28">
        <f t="shared" si="62"/>
        <v>-82.083333333333343</v>
      </c>
      <c r="AF105" s="28">
        <f t="shared" si="62"/>
        <v>-82.25</v>
      </c>
      <c r="AG105" s="28">
        <f t="shared" si="62"/>
        <v>-82.833333333333329</v>
      </c>
      <c r="AH105" s="28">
        <f t="shared" si="62"/>
        <v>0</v>
      </c>
      <c r="AI105" s="28">
        <f t="shared" si="62"/>
        <v>0</v>
      </c>
      <c r="AJ105" s="28">
        <f t="shared" si="62"/>
        <v>0</v>
      </c>
      <c r="AK105" s="28">
        <f t="shared" si="62"/>
        <v>0</v>
      </c>
      <c r="AL105" s="28">
        <f t="shared" si="62"/>
        <v>0</v>
      </c>
    </row>
    <row r="106" spans="1:38" ht="21" hidden="1" customHeight="1" outlineLevel="1" thickBot="1" x14ac:dyDescent="0.4">
      <c r="A106" s="10">
        <f t="shared" si="57"/>
        <v>0</v>
      </c>
      <c r="B106" s="10">
        <f t="shared" si="57"/>
        <v>0</v>
      </c>
      <c r="C106" s="10">
        <f t="shared" si="57"/>
        <v>0</v>
      </c>
      <c r="D106" s="10">
        <f t="shared" si="57"/>
        <v>1</v>
      </c>
      <c r="E106" s="11" t="str">
        <f t="shared" si="21"/>
        <v>H (Ga)</v>
      </c>
      <c r="F106" s="28">
        <f t="shared" si="53"/>
        <v>-278.125</v>
      </c>
      <c r="G106" s="28">
        <f t="shared" ref="G106:AL106" si="63">G26*$C$82</f>
        <v>-259.91666666666669</v>
      </c>
      <c r="H106" s="28">
        <f t="shared" si="63"/>
        <v>-242.625</v>
      </c>
      <c r="I106" s="28">
        <f t="shared" si="63"/>
        <v>-225.45833333333334</v>
      </c>
      <c r="J106" s="28">
        <f t="shared" si="63"/>
        <v>-208.41666666666669</v>
      </c>
      <c r="K106" s="28">
        <f t="shared" si="63"/>
        <v>-150.66666666666666</v>
      </c>
      <c r="L106" s="28">
        <f t="shared" si="63"/>
        <v>-139.58333333333334</v>
      </c>
      <c r="M106" s="28">
        <f t="shared" si="63"/>
        <v>-129.54166666666669</v>
      </c>
      <c r="N106" s="28">
        <f t="shared" si="63"/>
        <v>-120.16666666666667</v>
      </c>
      <c r="O106" s="28">
        <f t="shared" si="63"/>
        <v>-111.16666666666667</v>
      </c>
      <c r="P106" s="28">
        <f t="shared" si="63"/>
        <v>-102.58333333333334</v>
      </c>
      <c r="Q106" s="28">
        <f t="shared" si="63"/>
        <v>-94.416666666666671</v>
      </c>
      <c r="R106" s="28">
        <f t="shared" si="63"/>
        <v>-86.708333333333329</v>
      </c>
      <c r="S106" s="28">
        <f t="shared" si="63"/>
        <v>-79.416666666666671</v>
      </c>
      <c r="T106" s="28">
        <f t="shared" si="63"/>
        <v>-72.5</v>
      </c>
      <c r="U106" s="28">
        <f t="shared" si="63"/>
        <v>-65.958333333333343</v>
      </c>
      <c r="V106" s="28">
        <f t="shared" si="63"/>
        <v>-59.833333333333336</v>
      </c>
      <c r="W106" s="28">
        <f t="shared" si="63"/>
        <v>-54.208333333333336</v>
      </c>
      <c r="X106" s="28">
        <f t="shared" si="63"/>
        <v>-40.845833333333339</v>
      </c>
      <c r="Y106" s="28">
        <f t="shared" si="63"/>
        <v>-38.799999999999997</v>
      </c>
      <c r="Z106" s="28">
        <f t="shared" si="63"/>
        <v>-36.908333333333339</v>
      </c>
      <c r="AA106" s="28">
        <f t="shared" si="63"/>
        <v>-35.162500000000001</v>
      </c>
      <c r="AB106" s="28">
        <f t="shared" si="63"/>
        <v>-33.541666666666671</v>
      </c>
      <c r="AC106" s="28">
        <f t="shared" si="63"/>
        <v>-32.104166666666671</v>
      </c>
      <c r="AD106" s="28">
        <f t="shared" si="63"/>
        <v>-32.391666666666666</v>
      </c>
      <c r="AE106" s="28">
        <f t="shared" si="63"/>
        <v>-32.6875</v>
      </c>
      <c r="AF106" s="28">
        <f t="shared" si="63"/>
        <v>-32.979166666666671</v>
      </c>
      <c r="AG106" s="28">
        <f t="shared" si="63"/>
        <v>-34.112499999999997</v>
      </c>
      <c r="AH106" s="28">
        <f t="shared" si="63"/>
        <v>0</v>
      </c>
      <c r="AI106" s="28">
        <f t="shared" si="63"/>
        <v>0</v>
      </c>
      <c r="AJ106" s="28">
        <f t="shared" si="63"/>
        <v>0</v>
      </c>
      <c r="AK106" s="28">
        <f t="shared" si="63"/>
        <v>0</v>
      </c>
      <c r="AL106" s="28">
        <f t="shared" si="63"/>
        <v>0</v>
      </c>
    </row>
    <row r="107" spans="1:38" ht="21" hidden="1" customHeight="1" outlineLevel="1" thickBot="1" x14ac:dyDescent="0.4">
      <c r="A107" s="10">
        <f t="shared" si="57"/>
        <v>0</v>
      </c>
      <c r="B107" s="10">
        <f t="shared" si="57"/>
        <v>0</v>
      </c>
      <c r="C107" s="10">
        <f t="shared" si="57"/>
        <v>1</v>
      </c>
      <c r="D107" s="10">
        <f t="shared" si="57"/>
        <v>0</v>
      </c>
      <c r="E107" s="11" t="str">
        <f t="shared" si="21"/>
        <v>H (Ge)</v>
      </c>
      <c r="F107" s="28">
        <f t="shared" si="53"/>
        <v>-70.916666666666671</v>
      </c>
      <c r="G107" s="28">
        <f t="shared" ref="G107:AL107" si="64">G27*$C$82</f>
        <v>-67.083333333333343</v>
      </c>
      <c r="H107" s="28">
        <f t="shared" si="64"/>
        <v>-62.666666666666664</v>
      </c>
      <c r="I107" s="28">
        <f t="shared" si="64"/>
        <v>-57.291666666666671</v>
      </c>
      <c r="J107" s="28">
        <f t="shared" si="64"/>
        <v>-51.375000000000007</v>
      </c>
      <c r="K107" s="28">
        <f t="shared" si="64"/>
        <v>-31.220833333333339</v>
      </c>
      <c r="L107" s="28">
        <f t="shared" si="64"/>
        <v>-28.216666666666669</v>
      </c>
      <c r="M107" s="28">
        <f t="shared" si="64"/>
        <v>-26.245833333333337</v>
      </c>
      <c r="N107" s="28">
        <f t="shared" si="64"/>
        <v>-25.129166666666666</v>
      </c>
      <c r="O107" s="28">
        <f t="shared" si="64"/>
        <v>-24.629166666666666</v>
      </c>
      <c r="P107" s="28">
        <f t="shared" si="64"/>
        <v>-24.491666666666667</v>
      </c>
      <c r="Q107" s="28">
        <f t="shared" si="64"/>
        <v>-24.541666666666668</v>
      </c>
      <c r="R107" s="28">
        <f t="shared" si="64"/>
        <v>-24.679166666666667</v>
      </c>
      <c r="S107" s="28">
        <f t="shared" si="64"/>
        <v>-24.854166666666668</v>
      </c>
      <c r="T107" s="28">
        <f t="shared" si="64"/>
        <v>-25.045833333333334</v>
      </c>
      <c r="U107" s="28">
        <f t="shared" si="64"/>
        <v>-25.25</v>
      </c>
      <c r="V107" s="28">
        <f t="shared" si="64"/>
        <v>-25.470833333333339</v>
      </c>
      <c r="W107" s="28">
        <f t="shared" si="64"/>
        <v>-25.729166666666668</v>
      </c>
      <c r="X107" s="28">
        <f t="shared" si="64"/>
        <v>-27.058333333333334</v>
      </c>
      <c r="Y107" s="28">
        <f t="shared" si="64"/>
        <v>-27.291666666666668</v>
      </c>
      <c r="Z107" s="28">
        <f t="shared" si="64"/>
        <v>-27.525000000000002</v>
      </c>
      <c r="AA107" s="28">
        <f t="shared" si="64"/>
        <v>-27.754166666666666</v>
      </c>
      <c r="AB107" s="28">
        <f t="shared" si="64"/>
        <v>-27.991666666666667</v>
      </c>
      <c r="AC107" s="28">
        <f t="shared" si="64"/>
        <v>-28.220833333333335</v>
      </c>
      <c r="AD107" s="28">
        <f t="shared" si="64"/>
        <v>-28.391666666666669</v>
      </c>
      <c r="AE107" s="28">
        <f t="shared" si="64"/>
        <v>-28.558333333333337</v>
      </c>
      <c r="AF107" s="28">
        <f t="shared" si="64"/>
        <v>-28.725000000000001</v>
      </c>
      <c r="AG107" s="28">
        <f t="shared" si="64"/>
        <v>-29.433333333333337</v>
      </c>
      <c r="AH107" s="28">
        <f t="shared" si="64"/>
        <v>0</v>
      </c>
      <c r="AI107" s="28">
        <f t="shared" si="64"/>
        <v>0</v>
      </c>
      <c r="AJ107" s="28">
        <f t="shared" si="64"/>
        <v>0</v>
      </c>
      <c r="AK107" s="28">
        <f t="shared" si="64"/>
        <v>0</v>
      </c>
      <c r="AL107" s="28">
        <f t="shared" si="64"/>
        <v>0</v>
      </c>
    </row>
    <row r="108" spans="1:38" ht="21" hidden="1" customHeight="1" outlineLevel="1" thickBot="1" x14ac:dyDescent="0.4">
      <c r="A108" s="10">
        <f t="shared" si="57"/>
        <v>0</v>
      </c>
      <c r="B108" s="10">
        <f t="shared" si="57"/>
        <v>1</v>
      </c>
      <c r="C108" s="10">
        <f t="shared" si="57"/>
        <v>0</v>
      </c>
      <c r="D108" s="10">
        <f t="shared" si="57"/>
        <v>0</v>
      </c>
      <c r="E108" s="11" t="str">
        <f t="shared" si="21"/>
        <v>H (Se)</v>
      </c>
      <c r="F108" s="28">
        <f t="shared" si="53"/>
        <v>-98.166666666666671</v>
      </c>
      <c r="G108" s="28">
        <f t="shared" ref="G108:AL108" si="65">G28*$C$82</f>
        <v>-93.041666666666671</v>
      </c>
      <c r="H108" s="28">
        <f t="shared" si="65"/>
        <v>-89.666666666666671</v>
      </c>
      <c r="I108" s="28">
        <f t="shared" si="65"/>
        <v>-88.125</v>
      </c>
      <c r="J108" s="28">
        <f t="shared" si="65"/>
        <v>-88.041666666666671</v>
      </c>
      <c r="K108" s="28">
        <f t="shared" si="65"/>
        <v>-91.75</v>
      </c>
      <c r="L108" s="28">
        <f t="shared" si="65"/>
        <v>-92.541666666666671</v>
      </c>
      <c r="M108" s="28">
        <f t="shared" si="65"/>
        <v>-93.25</v>
      </c>
      <c r="N108" s="28">
        <f t="shared" si="65"/>
        <v>-94.083333333333329</v>
      </c>
      <c r="O108" s="28">
        <f t="shared" si="65"/>
        <v>-95.041666666666671</v>
      </c>
      <c r="P108" s="28">
        <f t="shared" si="65"/>
        <v>-96.166666666666671</v>
      </c>
      <c r="Q108" s="28">
        <f t="shared" si="65"/>
        <v>-97.333333333333343</v>
      </c>
      <c r="R108" s="28">
        <f t="shared" si="65"/>
        <v>-98.541666666666671</v>
      </c>
      <c r="S108" s="28">
        <f t="shared" si="65"/>
        <v>-99.750000000000014</v>
      </c>
      <c r="T108" s="28">
        <f t="shared" si="65"/>
        <v>-100.91666666666667</v>
      </c>
      <c r="U108" s="28">
        <f t="shared" si="65"/>
        <v>-102.12500000000001</v>
      </c>
      <c r="V108" s="28">
        <f t="shared" si="65"/>
        <v>-103.29166666666667</v>
      </c>
      <c r="W108" s="28">
        <f t="shared" si="65"/>
        <v>-104.41666666666667</v>
      </c>
      <c r="X108" s="28">
        <f t="shared" si="65"/>
        <v>-108.75000000000001</v>
      </c>
      <c r="Y108" s="28">
        <f t="shared" si="65"/>
        <v>-109.83333333333334</v>
      </c>
      <c r="Z108" s="28">
        <f t="shared" si="65"/>
        <v>-110.95833333333334</v>
      </c>
      <c r="AA108" s="28">
        <f t="shared" si="65"/>
        <v>-112.04166666666667</v>
      </c>
      <c r="AB108" s="28">
        <f t="shared" si="65"/>
        <v>-113.125</v>
      </c>
      <c r="AC108" s="28">
        <f t="shared" si="65"/>
        <v>-114.16666666666667</v>
      </c>
      <c r="AD108" s="28">
        <f t="shared" si="65"/>
        <v>-115.04166666666667</v>
      </c>
      <c r="AE108" s="28">
        <f t="shared" si="65"/>
        <v>-116.00000000000001</v>
      </c>
      <c r="AF108" s="28">
        <f t="shared" si="65"/>
        <v>-117</v>
      </c>
      <c r="AG108" s="28">
        <f t="shared" si="65"/>
        <v>-120.91666666666667</v>
      </c>
      <c r="AH108" s="28">
        <f t="shared" si="65"/>
        <v>0</v>
      </c>
      <c r="AI108" s="28">
        <f t="shared" si="65"/>
        <v>0</v>
      </c>
      <c r="AJ108" s="28">
        <f t="shared" si="65"/>
        <v>0</v>
      </c>
      <c r="AK108" s="28">
        <f t="shared" si="65"/>
        <v>0</v>
      </c>
      <c r="AL108" s="28">
        <f t="shared" si="65"/>
        <v>0</v>
      </c>
    </row>
    <row r="109" spans="1:38" ht="21" hidden="1" customHeight="1" outlineLevel="1" thickBot="1" x14ac:dyDescent="0.4">
      <c r="A109" s="10">
        <f t="shared" si="57"/>
        <v>0</v>
      </c>
      <c r="B109" s="10">
        <f t="shared" si="57"/>
        <v>0</v>
      </c>
      <c r="C109" s="10">
        <f t="shared" si="57"/>
        <v>0</v>
      </c>
      <c r="D109" s="10">
        <f t="shared" si="57"/>
        <v>0</v>
      </c>
      <c r="E109" s="11">
        <f t="shared" si="21"/>
        <v>0</v>
      </c>
      <c r="F109" s="28">
        <f t="shared" si="53"/>
        <v>0</v>
      </c>
      <c r="G109" s="28">
        <f t="shared" ref="G109:AL109" si="66">G29*$C$82</f>
        <v>0</v>
      </c>
      <c r="H109" s="28">
        <f t="shared" si="66"/>
        <v>0</v>
      </c>
      <c r="I109" s="28">
        <f t="shared" si="66"/>
        <v>0</v>
      </c>
      <c r="J109" s="28">
        <f t="shared" si="66"/>
        <v>0</v>
      </c>
      <c r="K109" s="28">
        <f t="shared" si="66"/>
        <v>0</v>
      </c>
      <c r="L109" s="28">
        <f t="shared" si="66"/>
        <v>0</v>
      </c>
      <c r="M109" s="28">
        <f t="shared" si="66"/>
        <v>0</v>
      </c>
      <c r="N109" s="28">
        <f t="shared" si="66"/>
        <v>0</v>
      </c>
      <c r="O109" s="28">
        <f t="shared" si="66"/>
        <v>0</v>
      </c>
      <c r="P109" s="28">
        <f t="shared" si="66"/>
        <v>0</v>
      </c>
      <c r="Q109" s="28">
        <f t="shared" si="66"/>
        <v>0</v>
      </c>
      <c r="R109" s="28">
        <f t="shared" si="66"/>
        <v>0</v>
      </c>
      <c r="S109" s="28">
        <f t="shared" si="66"/>
        <v>0</v>
      </c>
      <c r="T109" s="28">
        <f t="shared" si="66"/>
        <v>0</v>
      </c>
      <c r="U109" s="28">
        <f t="shared" si="66"/>
        <v>0</v>
      </c>
      <c r="V109" s="28">
        <f t="shared" si="66"/>
        <v>0</v>
      </c>
      <c r="W109" s="28">
        <f t="shared" si="66"/>
        <v>0</v>
      </c>
      <c r="X109" s="28">
        <f t="shared" si="66"/>
        <v>0</v>
      </c>
      <c r="Y109" s="28">
        <f t="shared" si="66"/>
        <v>0</v>
      </c>
      <c r="Z109" s="28">
        <f t="shared" si="66"/>
        <v>0</v>
      </c>
      <c r="AA109" s="28">
        <f t="shared" si="66"/>
        <v>0</v>
      </c>
      <c r="AB109" s="28">
        <f t="shared" si="66"/>
        <v>0</v>
      </c>
      <c r="AC109" s="28">
        <f t="shared" si="66"/>
        <v>0</v>
      </c>
      <c r="AD109" s="28">
        <f t="shared" si="66"/>
        <v>0</v>
      </c>
      <c r="AE109" s="28">
        <f t="shared" si="66"/>
        <v>0</v>
      </c>
      <c r="AF109" s="28">
        <f t="shared" si="66"/>
        <v>0</v>
      </c>
      <c r="AG109" s="28">
        <f t="shared" si="66"/>
        <v>0</v>
      </c>
      <c r="AH109" s="28">
        <f t="shared" si="66"/>
        <v>0</v>
      </c>
      <c r="AI109" s="28">
        <f t="shared" si="66"/>
        <v>0</v>
      </c>
      <c r="AJ109" s="28">
        <f t="shared" si="66"/>
        <v>0</v>
      </c>
      <c r="AK109" s="28">
        <f t="shared" si="66"/>
        <v>0</v>
      </c>
      <c r="AL109" s="28">
        <f t="shared" si="66"/>
        <v>0</v>
      </c>
    </row>
    <row r="110" spans="1:38" ht="21" hidden="1" customHeight="1" outlineLevel="1" thickBot="1" x14ac:dyDescent="0.4">
      <c r="A110" s="10">
        <f t="shared" si="57"/>
        <v>0</v>
      </c>
      <c r="B110" s="10">
        <f t="shared" si="57"/>
        <v>0</v>
      </c>
      <c r="C110" s="10">
        <f t="shared" si="57"/>
        <v>0</v>
      </c>
      <c r="D110" s="10">
        <f t="shared" si="57"/>
        <v>0</v>
      </c>
      <c r="E110" s="11">
        <f t="shared" si="21"/>
        <v>0</v>
      </c>
      <c r="F110" s="28">
        <f t="shared" si="53"/>
        <v>0</v>
      </c>
      <c r="G110" s="28">
        <f t="shared" ref="G110:AL110" si="67">G30*$C$82</f>
        <v>0</v>
      </c>
      <c r="H110" s="28">
        <f t="shared" si="67"/>
        <v>0</v>
      </c>
      <c r="I110" s="28">
        <f t="shared" si="67"/>
        <v>0</v>
      </c>
      <c r="J110" s="28">
        <f t="shared" si="67"/>
        <v>0</v>
      </c>
      <c r="K110" s="28">
        <f t="shared" si="67"/>
        <v>0</v>
      </c>
      <c r="L110" s="28">
        <f t="shared" si="67"/>
        <v>0</v>
      </c>
      <c r="M110" s="28">
        <f t="shared" si="67"/>
        <v>0</v>
      </c>
      <c r="N110" s="28">
        <f t="shared" si="67"/>
        <v>0</v>
      </c>
      <c r="O110" s="28">
        <f t="shared" si="67"/>
        <v>0</v>
      </c>
      <c r="P110" s="28">
        <f t="shared" si="67"/>
        <v>0</v>
      </c>
      <c r="Q110" s="28">
        <f t="shared" si="67"/>
        <v>0</v>
      </c>
      <c r="R110" s="28">
        <f t="shared" si="67"/>
        <v>0</v>
      </c>
      <c r="S110" s="28">
        <f t="shared" si="67"/>
        <v>0</v>
      </c>
      <c r="T110" s="28">
        <f t="shared" si="67"/>
        <v>0</v>
      </c>
      <c r="U110" s="28">
        <f t="shared" si="67"/>
        <v>0</v>
      </c>
      <c r="V110" s="28">
        <f t="shared" si="67"/>
        <v>0</v>
      </c>
      <c r="W110" s="28">
        <f t="shared" si="67"/>
        <v>0</v>
      </c>
      <c r="X110" s="28">
        <f t="shared" si="67"/>
        <v>0</v>
      </c>
      <c r="Y110" s="28">
        <f t="shared" si="67"/>
        <v>0</v>
      </c>
      <c r="Z110" s="28">
        <f t="shared" si="67"/>
        <v>0</v>
      </c>
      <c r="AA110" s="28">
        <f t="shared" si="67"/>
        <v>0</v>
      </c>
      <c r="AB110" s="28">
        <f t="shared" si="67"/>
        <v>0</v>
      </c>
      <c r="AC110" s="28">
        <f t="shared" si="67"/>
        <v>0</v>
      </c>
      <c r="AD110" s="28">
        <f t="shared" si="67"/>
        <v>0</v>
      </c>
      <c r="AE110" s="28">
        <f t="shared" si="67"/>
        <v>0</v>
      </c>
      <c r="AF110" s="28">
        <f t="shared" si="67"/>
        <v>0</v>
      </c>
      <c r="AG110" s="28">
        <f t="shared" si="67"/>
        <v>0</v>
      </c>
      <c r="AH110" s="28">
        <f t="shared" si="67"/>
        <v>0</v>
      </c>
      <c r="AI110" s="28">
        <f t="shared" si="67"/>
        <v>0</v>
      </c>
      <c r="AJ110" s="28">
        <f t="shared" si="67"/>
        <v>0</v>
      </c>
      <c r="AK110" s="28">
        <f t="shared" si="67"/>
        <v>0</v>
      </c>
      <c r="AL110" s="28">
        <f t="shared" si="67"/>
        <v>0</v>
      </c>
    </row>
    <row r="111" spans="1:38" ht="21" hidden="1" customHeight="1" outlineLevel="1" thickBot="1" x14ac:dyDescent="0.4">
      <c r="A111" s="10">
        <f t="shared" si="57"/>
        <v>0</v>
      </c>
      <c r="B111" s="10">
        <f t="shared" si="57"/>
        <v>0</v>
      </c>
      <c r="C111" s="10">
        <f t="shared" si="57"/>
        <v>0</v>
      </c>
      <c r="D111" s="10">
        <f t="shared" si="57"/>
        <v>0</v>
      </c>
      <c r="E111" s="11">
        <f t="shared" si="21"/>
        <v>0</v>
      </c>
      <c r="F111" s="28">
        <f t="shared" si="53"/>
        <v>0</v>
      </c>
      <c r="G111" s="28">
        <f t="shared" ref="G111:AL111" si="68">G31*$C$82</f>
        <v>0</v>
      </c>
      <c r="H111" s="28">
        <f t="shared" si="68"/>
        <v>0</v>
      </c>
      <c r="I111" s="28">
        <f t="shared" si="68"/>
        <v>0</v>
      </c>
      <c r="J111" s="28">
        <f t="shared" si="68"/>
        <v>0</v>
      </c>
      <c r="K111" s="28">
        <f t="shared" si="68"/>
        <v>0</v>
      </c>
      <c r="L111" s="28">
        <f t="shared" si="68"/>
        <v>0</v>
      </c>
      <c r="M111" s="28">
        <f t="shared" si="68"/>
        <v>0</v>
      </c>
      <c r="N111" s="28">
        <f t="shared" si="68"/>
        <v>0</v>
      </c>
      <c r="O111" s="28">
        <f t="shared" si="68"/>
        <v>0</v>
      </c>
      <c r="P111" s="28">
        <f t="shared" si="68"/>
        <v>0</v>
      </c>
      <c r="Q111" s="28">
        <f t="shared" si="68"/>
        <v>0</v>
      </c>
      <c r="R111" s="28">
        <f t="shared" si="68"/>
        <v>0</v>
      </c>
      <c r="S111" s="28">
        <f t="shared" si="68"/>
        <v>0</v>
      </c>
      <c r="T111" s="28">
        <f t="shared" si="68"/>
        <v>0</v>
      </c>
      <c r="U111" s="28">
        <f t="shared" si="68"/>
        <v>0</v>
      </c>
      <c r="V111" s="28">
        <f t="shared" si="68"/>
        <v>0</v>
      </c>
      <c r="W111" s="28">
        <f t="shared" si="68"/>
        <v>0</v>
      </c>
      <c r="X111" s="28">
        <f t="shared" si="68"/>
        <v>0</v>
      </c>
      <c r="Y111" s="28">
        <f t="shared" si="68"/>
        <v>0</v>
      </c>
      <c r="Z111" s="28">
        <f t="shared" si="68"/>
        <v>0</v>
      </c>
      <c r="AA111" s="28">
        <f t="shared" si="68"/>
        <v>0</v>
      </c>
      <c r="AB111" s="28">
        <f t="shared" si="68"/>
        <v>0</v>
      </c>
      <c r="AC111" s="28">
        <f t="shared" si="68"/>
        <v>0</v>
      </c>
      <c r="AD111" s="28">
        <f t="shared" si="68"/>
        <v>0</v>
      </c>
      <c r="AE111" s="28">
        <f t="shared" si="68"/>
        <v>0</v>
      </c>
      <c r="AF111" s="28">
        <f t="shared" si="68"/>
        <v>0</v>
      </c>
      <c r="AG111" s="28">
        <f t="shared" si="68"/>
        <v>0</v>
      </c>
      <c r="AH111" s="28">
        <f t="shared" si="68"/>
        <v>0</v>
      </c>
      <c r="AI111" s="28">
        <f t="shared" si="68"/>
        <v>0</v>
      </c>
      <c r="AJ111" s="28">
        <f t="shared" si="68"/>
        <v>0</v>
      </c>
      <c r="AK111" s="28">
        <f t="shared" si="68"/>
        <v>0</v>
      </c>
      <c r="AL111" s="28">
        <f t="shared" si="68"/>
        <v>0</v>
      </c>
    </row>
    <row r="112" spans="1:38" ht="21" hidden="1" customHeight="1" outlineLevel="1" thickBot="1" x14ac:dyDescent="0.4">
      <c r="A112" s="10">
        <f t="shared" si="57"/>
        <v>0</v>
      </c>
      <c r="B112" s="10">
        <f t="shared" si="57"/>
        <v>0</v>
      </c>
      <c r="C112" s="10">
        <f t="shared" si="57"/>
        <v>0</v>
      </c>
      <c r="D112" s="10">
        <f t="shared" si="57"/>
        <v>0</v>
      </c>
      <c r="E112" s="11">
        <f t="shared" si="21"/>
        <v>0</v>
      </c>
      <c r="F112" s="28">
        <f t="shared" si="53"/>
        <v>0</v>
      </c>
      <c r="G112" s="28">
        <f t="shared" ref="G112:AL112" si="69">G32*$C$82</f>
        <v>0</v>
      </c>
      <c r="H112" s="28">
        <f t="shared" si="69"/>
        <v>0</v>
      </c>
      <c r="I112" s="28">
        <f t="shared" si="69"/>
        <v>0</v>
      </c>
      <c r="J112" s="28">
        <f t="shared" si="69"/>
        <v>0</v>
      </c>
      <c r="K112" s="28">
        <f t="shared" si="69"/>
        <v>0</v>
      </c>
      <c r="L112" s="28">
        <f t="shared" si="69"/>
        <v>0</v>
      </c>
      <c r="M112" s="28">
        <f t="shared" si="69"/>
        <v>0</v>
      </c>
      <c r="N112" s="28">
        <f t="shared" si="69"/>
        <v>0</v>
      </c>
      <c r="O112" s="28">
        <f t="shared" si="69"/>
        <v>0</v>
      </c>
      <c r="P112" s="28">
        <f t="shared" si="69"/>
        <v>0</v>
      </c>
      <c r="Q112" s="28">
        <f t="shared" si="69"/>
        <v>0</v>
      </c>
      <c r="R112" s="28">
        <f t="shared" si="69"/>
        <v>0</v>
      </c>
      <c r="S112" s="28">
        <f t="shared" si="69"/>
        <v>0</v>
      </c>
      <c r="T112" s="28">
        <f t="shared" si="69"/>
        <v>0</v>
      </c>
      <c r="U112" s="28">
        <f t="shared" si="69"/>
        <v>0</v>
      </c>
      <c r="V112" s="28">
        <f t="shared" si="69"/>
        <v>0</v>
      </c>
      <c r="W112" s="28">
        <f t="shared" si="69"/>
        <v>0</v>
      </c>
      <c r="X112" s="28">
        <f t="shared" si="69"/>
        <v>0</v>
      </c>
      <c r="Y112" s="28">
        <f t="shared" si="69"/>
        <v>0</v>
      </c>
      <c r="Z112" s="28">
        <f t="shared" si="69"/>
        <v>0</v>
      </c>
      <c r="AA112" s="28">
        <f t="shared" si="69"/>
        <v>0</v>
      </c>
      <c r="AB112" s="28">
        <f t="shared" si="69"/>
        <v>0</v>
      </c>
      <c r="AC112" s="28">
        <f t="shared" si="69"/>
        <v>0</v>
      </c>
      <c r="AD112" s="28">
        <f t="shared" si="69"/>
        <v>0</v>
      </c>
      <c r="AE112" s="28">
        <f t="shared" si="69"/>
        <v>0</v>
      </c>
      <c r="AF112" s="28">
        <f t="shared" si="69"/>
        <v>0</v>
      </c>
      <c r="AG112" s="28">
        <f t="shared" si="69"/>
        <v>0</v>
      </c>
      <c r="AH112" s="28">
        <f t="shared" si="69"/>
        <v>0</v>
      </c>
      <c r="AI112" s="28">
        <f t="shared" si="69"/>
        <v>0</v>
      </c>
      <c r="AJ112" s="28">
        <f t="shared" si="69"/>
        <v>0</v>
      </c>
      <c r="AK112" s="28">
        <f t="shared" si="69"/>
        <v>0</v>
      </c>
      <c r="AL112" s="28">
        <f t="shared" si="69"/>
        <v>0</v>
      </c>
    </row>
    <row r="113" spans="1:38" ht="21" hidden="1" customHeight="1" outlineLevel="1" thickBot="1" x14ac:dyDescent="0.4">
      <c r="A113" s="10">
        <f t="shared" si="57"/>
        <v>0</v>
      </c>
      <c r="B113" s="10">
        <f t="shared" si="57"/>
        <v>0</v>
      </c>
      <c r="C113" s="10">
        <f t="shared" si="57"/>
        <v>0</v>
      </c>
      <c r="D113" s="10">
        <f t="shared" si="57"/>
        <v>0</v>
      </c>
      <c r="E113" s="11">
        <f t="shared" si="21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98"/>
      <c r="V116" s="16"/>
      <c r="W116" s="111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70">F3</f>
        <v>273.10000000000002</v>
      </c>
      <c r="G117" s="9">
        <f t="shared" si="70"/>
        <v>293.3</v>
      </c>
      <c r="H117" s="9">
        <f t="shared" si="70"/>
        <v>313.5</v>
      </c>
      <c r="I117" s="9">
        <f t="shared" si="70"/>
        <v>333.7</v>
      </c>
      <c r="J117" s="9">
        <f t="shared" si="70"/>
        <v>353.9</v>
      </c>
      <c r="K117" s="9">
        <f t="shared" si="70"/>
        <v>434.7</v>
      </c>
      <c r="L117" s="9">
        <f t="shared" si="70"/>
        <v>454.9</v>
      </c>
      <c r="M117" s="9">
        <f t="shared" si="70"/>
        <v>475.1</v>
      </c>
      <c r="N117" s="9">
        <f t="shared" si="70"/>
        <v>495.2</v>
      </c>
      <c r="O117" s="9">
        <f t="shared" si="70"/>
        <v>515.4</v>
      </c>
      <c r="P117" s="9">
        <f t="shared" si="70"/>
        <v>535.6</v>
      </c>
      <c r="Q117" s="9">
        <f t="shared" si="70"/>
        <v>555.79999999999995</v>
      </c>
      <c r="R117" s="9">
        <f t="shared" si="70"/>
        <v>576</v>
      </c>
      <c r="S117" s="9">
        <f t="shared" si="70"/>
        <v>596.20000000000005</v>
      </c>
      <c r="T117" s="42">
        <f t="shared" si="70"/>
        <v>616.4</v>
      </c>
      <c r="U117" s="105">
        <f t="shared" si="70"/>
        <v>636.6</v>
      </c>
      <c r="V117" s="106">
        <f t="shared" si="70"/>
        <v>656.8</v>
      </c>
      <c r="W117" s="117">
        <f t="shared" si="70"/>
        <v>677</v>
      </c>
      <c r="X117" s="91">
        <f t="shared" si="70"/>
        <v>757.7</v>
      </c>
      <c r="Y117" s="9">
        <f t="shared" si="70"/>
        <v>777.9</v>
      </c>
      <c r="Z117" s="9">
        <f t="shared" si="70"/>
        <v>798.1</v>
      </c>
      <c r="AA117" s="9">
        <f t="shared" si="70"/>
        <v>818.3</v>
      </c>
      <c r="AB117" s="9">
        <f t="shared" si="70"/>
        <v>838.5</v>
      </c>
      <c r="AC117" s="9">
        <f t="shared" si="70"/>
        <v>858.7</v>
      </c>
      <c r="AD117" s="9">
        <f t="shared" si="70"/>
        <v>878.9</v>
      </c>
      <c r="AE117" s="9">
        <f t="shared" si="70"/>
        <v>899</v>
      </c>
      <c r="AF117" s="9">
        <f t="shared" si="70"/>
        <v>919.2</v>
      </c>
      <c r="AG117" s="9">
        <f>AG3</f>
        <v>1000</v>
      </c>
      <c r="AH117" s="9">
        <f t="shared" si="70"/>
        <v>0</v>
      </c>
      <c r="AI117" s="9">
        <f>AI3</f>
        <v>0</v>
      </c>
      <c r="AJ117" s="9">
        <f t="shared" si="70"/>
        <v>0</v>
      </c>
      <c r="AK117" s="9">
        <f t="shared" si="70"/>
        <v>0</v>
      </c>
      <c r="AL117" s="9">
        <f t="shared" si="70"/>
        <v>0</v>
      </c>
    </row>
    <row r="118" spans="1:38" ht="21" customHeight="1" outlineLevel="1" thickTop="1" thickBot="1" x14ac:dyDescent="0.4">
      <c r="A118" s="44">
        <f>$A$2</f>
        <v>450</v>
      </c>
      <c r="B118" s="161">
        <f ca="1">MIN(MIN(F118:AL124),MIN(F41:AL41))</f>
        <v>-563.99747850000006</v>
      </c>
      <c r="C118" s="47">
        <f>COUNTA(E118:E125)+1</f>
        <v>8</v>
      </c>
      <c r="E118" s="31" t="s">
        <v>42</v>
      </c>
      <c r="F118" s="82">
        <f ca="1">F$117*$B$2*SUMPRODUCT(F$92:F$102,F$58:F$68)/1000</f>
        <v>-161.21212229458382</v>
      </c>
      <c r="G118" s="82">
        <f t="shared" ref="G118:AL118" ca="1" si="71">G$117*$B$2*SUMPRODUCT(G$92:G$102,G$58:G$68)/1000</f>
        <v>-164.1921638354986</v>
      </c>
      <c r="H118" s="82">
        <f t="shared" ca="1" si="71"/>
        <v>-168.46466631585722</v>
      </c>
      <c r="I118" s="82">
        <f t="shared" ca="1" si="71"/>
        <v>-173.91202272433173</v>
      </c>
      <c r="J118" s="82">
        <f t="shared" ca="1" si="71"/>
        <v>-179.53570362182828</v>
      </c>
      <c r="K118" s="82">
        <f t="shared" ca="1" si="71"/>
        <v>-201.17705549058644</v>
      </c>
      <c r="L118" s="82">
        <f t="shared" ca="1" si="71"/>
        <v>-208.35513303812795</v>
      </c>
      <c r="M118" s="82">
        <f t="shared" ca="1" si="71"/>
        <v>-216.75692033806186</v>
      </c>
      <c r="N118" s="82">
        <f t="shared" ca="1" si="71"/>
        <v>-226.06657614390045</v>
      </c>
      <c r="O118" s="82">
        <f t="shared" ca="1" si="71"/>
        <v>-235.73012543055336</v>
      </c>
      <c r="P118" s="82">
        <f t="shared" ca="1" si="71"/>
        <v>-245.58769694241278</v>
      </c>
      <c r="Q118" s="82">
        <f t="shared" ca="1" si="71"/>
        <v>-255.46279413930517</v>
      </c>
      <c r="R118" s="82">
        <f t="shared" ca="1" si="71"/>
        <v>-265.48610573190058</v>
      </c>
      <c r="S118" s="82">
        <f t="shared" ca="1" si="71"/>
        <v>-275.62478528795151</v>
      </c>
      <c r="T118" s="82">
        <f t="shared" ca="1" si="71"/>
        <v>-285.82498719459625</v>
      </c>
      <c r="U118" s="82">
        <f t="shared" ca="1" si="71"/>
        <v>-296.40361571073947</v>
      </c>
      <c r="V118" s="82">
        <f t="shared" ca="1" si="71"/>
        <v>-307.57339835972186</v>
      </c>
      <c r="W118" s="82">
        <f t="shared" ca="1" si="71"/>
        <v>-320.74492668641795</v>
      </c>
      <c r="X118" s="82">
        <f t="shared" ca="1" si="71"/>
        <v>-389.67607093817116</v>
      </c>
      <c r="Y118" s="82">
        <f t="shared" ca="1" si="71"/>
        <v>-403.22737200467765</v>
      </c>
      <c r="Z118" s="82">
        <f t="shared" ca="1" si="71"/>
        <v>-416.78991351954159</v>
      </c>
      <c r="AA118" s="82">
        <f t="shared" ca="1" si="71"/>
        <v>-430.34856481334219</v>
      </c>
      <c r="AB118" s="82">
        <f t="shared" ca="1" si="71"/>
        <v>-444.10041316427277</v>
      </c>
      <c r="AC118" s="82">
        <f t="shared" ca="1" si="71"/>
        <v>-457.57245234487431</v>
      </c>
      <c r="AD118" s="82">
        <f t="shared" ca="1" si="71"/>
        <v>-463.48738289907232</v>
      </c>
      <c r="AE118" s="82">
        <f t="shared" ca="1" si="71"/>
        <v>-473.65362493254327</v>
      </c>
      <c r="AF118" s="82">
        <f t="shared" ca="1" si="71"/>
        <v>-485.86663911861325</v>
      </c>
      <c r="AG118" s="82">
        <f t="shared" ca="1" si="71"/>
        <v>-541.07669222208028</v>
      </c>
      <c r="AH118" s="82">
        <f t="shared" ca="1" si="71"/>
        <v>0</v>
      </c>
      <c r="AI118" s="82">
        <f t="shared" ca="1" si="71"/>
        <v>0</v>
      </c>
      <c r="AJ118" s="82">
        <f t="shared" ca="1" si="71"/>
        <v>0</v>
      </c>
      <c r="AK118" s="82">
        <f t="shared" ca="1" si="71"/>
        <v>0</v>
      </c>
      <c r="AL118" s="82">
        <f t="shared" ca="1" si="71"/>
        <v>0</v>
      </c>
    </row>
    <row r="119" spans="1:38" ht="21" customHeight="1" outlineLevel="1" thickBot="1" x14ac:dyDescent="0.4">
      <c r="A119" s="45">
        <f>$A$118</f>
        <v>450</v>
      </c>
      <c r="B119" s="162">
        <f ca="1">MAX(MAX(F118:AL124),MAX(F41:AL41))</f>
        <v>32</v>
      </c>
      <c r="C119" s="48">
        <f xml:space="preserve"> COUNTIF(F117:AL117,"&lt;&gt;"&amp;0)</f>
        <v>28</v>
      </c>
      <c r="E119" s="31" t="s">
        <v>79</v>
      </c>
      <c r="F119" s="28">
        <f ca="1">F$117*$B$2*SUMPRODUCT(F$103:F$104,F$69:F$70)/1000</f>
        <v>0</v>
      </c>
      <c r="G119" s="28">
        <f t="shared" ref="G119:AL119" ca="1" si="72">G$117*$B$2*SUMPRODUCT(G$103:G$104,G$69:G$70)/1000</f>
        <v>0</v>
      </c>
      <c r="H119" s="28">
        <f t="shared" ca="1" si="72"/>
        <v>0</v>
      </c>
      <c r="I119" s="28">
        <f t="shared" ca="1" si="72"/>
        <v>0</v>
      </c>
      <c r="J119" s="28">
        <f t="shared" ca="1" si="72"/>
        <v>0</v>
      </c>
      <c r="K119" s="28">
        <f t="shared" ca="1" si="72"/>
        <v>0</v>
      </c>
      <c r="L119" s="28">
        <f t="shared" ca="1" si="72"/>
        <v>0</v>
      </c>
      <c r="M119" s="28">
        <f t="shared" ca="1" si="72"/>
        <v>0</v>
      </c>
      <c r="N119" s="28">
        <f t="shared" ca="1" si="72"/>
        <v>0</v>
      </c>
      <c r="O119" s="28">
        <f t="shared" ca="1" si="72"/>
        <v>0</v>
      </c>
      <c r="P119" s="28">
        <f t="shared" ca="1" si="72"/>
        <v>0</v>
      </c>
      <c r="Q119" s="28">
        <f t="shared" ca="1" si="72"/>
        <v>0</v>
      </c>
      <c r="R119" s="28">
        <f t="shared" ca="1" si="72"/>
        <v>0</v>
      </c>
      <c r="S119" s="28">
        <f t="shared" ca="1" si="72"/>
        <v>0</v>
      </c>
      <c r="T119" s="28">
        <f t="shared" ca="1" si="72"/>
        <v>0</v>
      </c>
      <c r="U119" s="28">
        <f t="shared" ca="1" si="72"/>
        <v>0</v>
      </c>
      <c r="V119" s="28">
        <f t="shared" ca="1" si="72"/>
        <v>0</v>
      </c>
      <c r="W119" s="28">
        <f t="shared" ca="1" si="72"/>
        <v>0</v>
      </c>
      <c r="X119" s="28">
        <f t="shared" ca="1" si="72"/>
        <v>-8.7498232543780483E-31</v>
      </c>
      <c r="Y119" s="28">
        <f t="shared" ca="1" si="72"/>
        <v>-1.0248912302009179E-23</v>
      </c>
      <c r="Z119" s="28">
        <f t="shared" ca="1" si="72"/>
        <v>-5.740727254150078E-17</v>
      </c>
      <c r="AA119" s="28">
        <f t="shared" ca="1" si="72"/>
        <v>-9.7158105183933796E-11</v>
      </c>
      <c r="AB119" s="28">
        <f t="shared" ca="1" si="72"/>
        <v>-1.2886811976545888E-5</v>
      </c>
      <c r="AC119" s="28">
        <f t="shared" ca="1" si="72"/>
        <v>-0.37227352571302685</v>
      </c>
      <c r="AD119" s="28">
        <f t="shared" ca="1" si="72"/>
        <v>-8.7719693703715986</v>
      </c>
      <c r="AE119" s="28">
        <f t="shared" ca="1" si="72"/>
        <v>-13.316717888614431</v>
      </c>
      <c r="AF119" s="28">
        <f t="shared" ca="1" si="72"/>
        <v>-16.195995582074115</v>
      </c>
      <c r="AG119" s="28">
        <f t="shared" ca="1" si="72"/>
        <v>-22.920084478673754</v>
      </c>
      <c r="AH119" s="28">
        <f t="shared" ca="1" si="72"/>
        <v>0</v>
      </c>
      <c r="AI119" s="28">
        <f t="shared" ca="1" si="72"/>
        <v>0</v>
      </c>
      <c r="AJ119" s="28">
        <f t="shared" ca="1" si="72"/>
        <v>0</v>
      </c>
      <c r="AK119" s="28">
        <f t="shared" ca="1" si="72"/>
        <v>0</v>
      </c>
      <c r="AL119" s="28">
        <f t="shared" ca="1" si="72"/>
        <v>0</v>
      </c>
    </row>
    <row r="120" spans="1:38" ht="21" customHeight="1" outlineLevel="1" thickBot="1" x14ac:dyDescent="0.4">
      <c r="E120" s="31" t="s">
        <v>80</v>
      </c>
      <c r="F120" s="28">
        <v>0</v>
      </c>
      <c r="G120" s="28">
        <v>1</v>
      </c>
      <c r="H120" s="28">
        <v>2</v>
      </c>
      <c r="I120" s="28">
        <v>3</v>
      </c>
      <c r="J120" s="28">
        <v>4</v>
      </c>
      <c r="K120" s="28">
        <v>5</v>
      </c>
      <c r="L120" s="28">
        <v>6</v>
      </c>
      <c r="M120" s="28">
        <v>7</v>
      </c>
      <c r="N120" s="28">
        <v>8</v>
      </c>
      <c r="O120" s="28">
        <v>9</v>
      </c>
      <c r="P120" s="28">
        <v>10</v>
      </c>
      <c r="Q120" s="28">
        <v>11</v>
      </c>
      <c r="R120" s="28">
        <v>12</v>
      </c>
      <c r="S120" s="28">
        <v>13</v>
      </c>
      <c r="T120" s="28">
        <v>14</v>
      </c>
      <c r="U120" s="28">
        <v>15</v>
      </c>
      <c r="V120" s="28">
        <v>16</v>
      </c>
      <c r="W120" s="28">
        <v>17</v>
      </c>
      <c r="X120" s="28">
        <v>18</v>
      </c>
      <c r="Y120" s="28">
        <v>19</v>
      </c>
      <c r="Z120" s="28">
        <v>20</v>
      </c>
      <c r="AA120" s="28">
        <v>21</v>
      </c>
      <c r="AB120" s="28">
        <v>22</v>
      </c>
      <c r="AC120" s="28">
        <v>23</v>
      </c>
      <c r="AD120" s="28">
        <v>24</v>
      </c>
      <c r="AE120" s="28">
        <v>25</v>
      </c>
      <c r="AF120" s="28">
        <v>26</v>
      </c>
      <c r="AG120" s="28">
        <v>27</v>
      </c>
      <c r="AH120" s="28">
        <v>28</v>
      </c>
      <c r="AI120" s="28">
        <v>29</v>
      </c>
      <c r="AJ120" s="28">
        <v>30</v>
      </c>
      <c r="AK120" s="28">
        <v>31</v>
      </c>
      <c r="AL120" s="28">
        <v>32</v>
      </c>
    </row>
    <row r="121" spans="1:38" ht="21" customHeight="1" outlineLevel="1" thickBot="1" x14ac:dyDescent="0.4">
      <c r="E121" s="31" t="s">
        <v>15</v>
      </c>
      <c r="F121" s="28">
        <f ca="1">F$117*$B$2*SUMPRODUCT(F$88:F$90,F$54:F$56)/1000</f>
        <v>-34.953798759971484</v>
      </c>
      <c r="G121" s="28">
        <f t="shared" ref="G121:AL121" ca="1" si="73">G$117*$B$2*SUMPRODUCT(G$88:G$90,G$54:G$56)/1000</f>
        <v>-34.688851177264375</v>
      </c>
      <c r="H121" s="28">
        <f t="shared" ca="1" si="73"/>
        <v>-33.520723597659384</v>
      </c>
      <c r="I121" s="28">
        <f t="shared" ca="1" si="73"/>
        <v>-31.644630815654164</v>
      </c>
      <c r="J121" s="28">
        <f t="shared" ca="1" si="73"/>
        <v>-30.156000317347189</v>
      </c>
      <c r="K121" s="28">
        <f t="shared" ca="1" si="73"/>
        <v>-28.641846235048202</v>
      </c>
      <c r="L121" s="28">
        <f t="shared" ca="1" si="73"/>
        <v>-27.503500883896631</v>
      </c>
      <c r="M121" s="28">
        <f t="shared" ca="1" si="73"/>
        <v>-25.874163235199106</v>
      </c>
      <c r="N121" s="28">
        <f t="shared" ca="1" si="73"/>
        <v>-24.285712723790901</v>
      </c>
      <c r="O121" s="28">
        <f t="shared" ca="1" si="73"/>
        <v>-23.20523978964874</v>
      </c>
      <c r="P121" s="28">
        <f t="shared" ca="1" si="73"/>
        <v>-22.696479897197602</v>
      </c>
      <c r="Q121" s="28">
        <f t="shared" ca="1" si="73"/>
        <v>-22.562457763856504</v>
      </c>
      <c r="R121" s="28">
        <f t="shared" ca="1" si="73"/>
        <v>-22.627099124028003</v>
      </c>
      <c r="S121" s="28">
        <f t="shared" ca="1" si="73"/>
        <v>-22.784877445383355</v>
      </c>
      <c r="T121" s="28">
        <f t="shared" ca="1" si="73"/>
        <v>-22.961214767279706</v>
      </c>
      <c r="U121" s="28">
        <f t="shared" ca="1" si="73"/>
        <v>-23.06751946542866</v>
      </c>
      <c r="V121" s="28">
        <f t="shared" ca="1" si="73"/>
        <v>-22.706017271191872</v>
      </c>
      <c r="W121" s="28">
        <f t="shared" ca="1" si="73"/>
        <v>-20.545957074165006</v>
      </c>
      <c r="X121" s="28">
        <f t="shared" ca="1" si="73"/>
        <v>-0.67562497822971768</v>
      </c>
      <c r="Y121" s="28">
        <f t="shared" ca="1" si="73"/>
        <v>-0.19701694552835669</v>
      </c>
      <c r="Z121" s="28">
        <f t="shared" ca="1" si="73"/>
        <v>-5.8243533663917407E-2</v>
      </c>
      <c r="AA121" s="28">
        <f t="shared" ca="1" si="73"/>
        <v>-1.7519358286429271E-2</v>
      </c>
      <c r="AB121" s="28">
        <f t="shared" ca="1" si="73"/>
        <v>-5.365918384833422E-3</v>
      </c>
      <c r="AC121" s="28">
        <f t="shared" ca="1" si="73"/>
        <v>-1.6671075426690639E-3</v>
      </c>
      <c r="AD121" s="28">
        <f t="shared" ca="1" si="73"/>
        <v>-3.0968978706519344E-4</v>
      </c>
      <c r="AE121" s="28">
        <f t="shared" ca="1" si="73"/>
        <v>-9.2696922850965657E-5</v>
      </c>
      <c r="AF121" s="28">
        <f t="shared" ca="1" si="73"/>
        <v>-5.9560949436893274E-5</v>
      </c>
      <c r="AG121" s="28">
        <f t="shared" ca="1" si="73"/>
        <v>-5.5162144992664493E-5</v>
      </c>
      <c r="AH121" s="28">
        <f t="shared" ca="1" si="73"/>
        <v>0</v>
      </c>
      <c r="AI121" s="28">
        <f t="shared" ca="1" si="73"/>
        <v>0</v>
      </c>
      <c r="AJ121" s="28">
        <f t="shared" ca="1" si="73"/>
        <v>0</v>
      </c>
      <c r="AK121" s="28">
        <f t="shared" ca="1" si="73"/>
        <v>0</v>
      </c>
      <c r="AL121" s="28">
        <f t="shared" ca="1" si="73"/>
        <v>0</v>
      </c>
    </row>
    <row r="122" spans="1:38" ht="21" customHeight="1" outlineLevel="1" thickBot="1" x14ac:dyDescent="0.4">
      <c r="E122" s="31" t="s">
        <v>16</v>
      </c>
      <c r="F122" s="28">
        <f ca="1">F$117*$B$2*SUMPRODUCT(F$88:F$91,F$54:F$57)/1000</f>
        <v>-70.357639563721492</v>
      </c>
      <c r="G122" s="28">
        <f t="shared" ref="G122:AL122" ca="1" si="74">G$117*$B$2*SUMPRODUCT(G$88:G$91,G$54:G$57)/1000</f>
        <v>-72.691035589764383</v>
      </c>
      <c r="H122" s="28">
        <f t="shared" ca="1" si="74"/>
        <v>-74.14017403515939</v>
      </c>
      <c r="I122" s="28">
        <f t="shared" ca="1" si="74"/>
        <v>-74.88134727815418</v>
      </c>
      <c r="J122" s="28">
        <f t="shared" ca="1" si="74"/>
        <v>-76.059024497347195</v>
      </c>
      <c r="K122" s="28">
        <f t="shared" ca="1" si="74"/>
        <v>-85.356443413798203</v>
      </c>
      <c r="L122" s="28">
        <f t="shared" ca="1" si="74"/>
        <v>-86.979634520146647</v>
      </c>
      <c r="M122" s="28">
        <f t="shared" ca="1" si="74"/>
        <v>-88.090111697699115</v>
      </c>
      <c r="N122" s="28">
        <f t="shared" ca="1" si="74"/>
        <v>-89.271068703790917</v>
      </c>
      <c r="O122" s="28">
        <f t="shared" ca="1" si="74"/>
        <v>-90.984295484648754</v>
      </c>
      <c r="P122" s="28">
        <f t="shared" ca="1" si="74"/>
        <v>-93.280432167197617</v>
      </c>
      <c r="Q122" s="28">
        <f t="shared" ca="1" si="74"/>
        <v>-95.962503468856497</v>
      </c>
      <c r="R122" s="28">
        <f t="shared" ca="1" si="74"/>
        <v>-98.854435124028029</v>
      </c>
      <c r="S122" s="28">
        <f t="shared" ca="1" si="74"/>
        <v>-101.85070060038338</v>
      </c>
      <c r="T122" s="28">
        <f t="shared" ca="1" si="74"/>
        <v>-104.87672193727973</v>
      </c>
      <c r="U122" s="28">
        <f t="shared" ca="1" si="74"/>
        <v>-107.88801593292868</v>
      </c>
      <c r="V122" s="28">
        <f t="shared" ca="1" si="74"/>
        <v>-110.39999108119189</v>
      </c>
      <c r="W122" s="28">
        <f t="shared" ca="1" si="74"/>
        <v>-111.07769744916503</v>
      </c>
      <c r="X122" s="28">
        <f t="shared" ca="1" si="74"/>
        <v>-102.68145156947976</v>
      </c>
      <c r="Y122" s="28">
        <f t="shared" ca="1" si="74"/>
        <v>-105.13787589427838</v>
      </c>
      <c r="Z122" s="28">
        <f t="shared" ca="1" si="74"/>
        <v>-107.94533169991395</v>
      </c>
      <c r="AA122" s="28">
        <f t="shared" ca="1" si="74"/>
        <v>-110.86203360203648</v>
      </c>
      <c r="AB122" s="28">
        <f t="shared" ca="1" si="74"/>
        <v>-113.81850309963487</v>
      </c>
      <c r="AC122" s="28">
        <f t="shared" ca="1" si="74"/>
        <v>-116.73512691004274</v>
      </c>
      <c r="AD122" s="28">
        <f t="shared" ca="1" si="74"/>
        <v>-119.72338654228709</v>
      </c>
      <c r="AE122" s="28">
        <f t="shared" ca="1" si="74"/>
        <v>-122.71033382192287</v>
      </c>
      <c r="AF122" s="28">
        <f t="shared" ca="1" si="74"/>
        <v>-125.72228374094946</v>
      </c>
      <c r="AG122" s="28">
        <f t="shared" ca="1" si="74"/>
        <v>-137.74360516214506</v>
      </c>
      <c r="AH122" s="28">
        <f t="shared" ca="1" si="74"/>
        <v>0</v>
      </c>
      <c r="AI122" s="28">
        <f t="shared" ca="1" si="74"/>
        <v>0</v>
      </c>
      <c r="AJ122" s="28">
        <f t="shared" ca="1" si="74"/>
        <v>0</v>
      </c>
      <c r="AK122" s="28">
        <f t="shared" ca="1" si="74"/>
        <v>0</v>
      </c>
      <c r="AL122" s="28">
        <f t="shared" ca="1" si="74"/>
        <v>0</v>
      </c>
    </row>
    <row r="123" spans="1:38" ht="21" customHeight="1" outlineLevel="1" thickBot="1" x14ac:dyDescent="0.4">
      <c r="E123" s="31" t="s">
        <v>43</v>
      </c>
      <c r="F123" s="28">
        <f ca="1">F121+F118</f>
        <v>-196.1659210545553</v>
      </c>
      <c r="G123" s="28">
        <f t="shared" ref="G123:AL123" ca="1" si="75">G121+G118</f>
        <v>-198.88101501276299</v>
      </c>
      <c r="H123" s="28">
        <f t="shared" ca="1" si="75"/>
        <v>-201.9853899135166</v>
      </c>
      <c r="I123" s="28">
        <f t="shared" ca="1" si="75"/>
        <v>-205.55665353998589</v>
      </c>
      <c r="J123" s="28">
        <f t="shared" ca="1" si="75"/>
        <v>-209.69170393917545</v>
      </c>
      <c r="K123" s="28">
        <f t="shared" ca="1" si="75"/>
        <v>-229.81890172563465</v>
      </c>
      <c r="L123" s="28">
        <f t="shared" ca="1" si="75"/>
        <v>-235.85863392202458</v>
      </c>
      <c r="M123" s="28">
        <f t="shared" ca="1" si="75"/>
        <v>-242.63108357326098</v>
      </c>
      <c r="N123" s="28">
        <f t="shared" ca="1" si="75"/>
        <v>-250.35228886769136</v>
      </c>
      <c r="O123" s="28">
        <f t="shared" ca="1" si="75"/>
        <v>-258.93536522020207</v>
      </c>
      <c r="P123" s="28">
        <f t="shared" ca="1" si="75"/>
        <v>-268.28417683961038</v>
      </c>
      <c r="Q123" s="28">
        <f t="shared" ca="1" si="75"/>
        <v>-278.02525190316169</v>
      </c>
      <c r="R123" s="28">
        <f t="shared" ca="1" si="75"/>
        <v>-288.11320485592859</v>
      </c>
      <c r="S123" s="28">
        <f t="shared" ca="1" si="75"/>
        <v>-298.40966273333487</v>
      </c>
      <c r="T123" s="28">
        <f t="shared" ca="1" si="75"/>
        <v>-308.78620196187597</v>
      </c>
      <c r="U123" s="28">
        <f t="shared" ca="1" si="75"/>
        <v>-319.4711351761681</v>
      </c>
      <c r="V123" s="28">
        <f t="shared" ca="1" si="75"/>
        <v>-330.27941563091372</v>
      </c>
      <c r="W123" s="28">
        <f t="shared" ca="1" si="75"/>
        <v>-341.29088376058297</v>
      </c>
      <c r="X123" s="28">
        <f t="shared" ca="1" si="75"/>
        <v>-390.3516959164009</v>
      </c>
      <c r="Y123" s="28">
        <f t="shared" ca="1" si="75"/>
        <v>-403.42438895020598</v>
      </c>
      <c r="Z123" s="28">
        <f t="shared" ca="1" si="75"/>
        <v>-416.84815705320551</v>
      </c>
      <c r="AA123" s="28">
        <f t="shared" ca="1" si="75"/>
        <v>-430.36608417162864</v>
      </c>
      <c r="AB123" s="28">
        <f t="shared" ca="1" si="75"/>
        <v>-444.10577908265759</v>
      </c>
      <c r="AC123" s="28">
        <f t="shared" ca="1" si="75"/>
        <v>-457.57411945241699</v>
      </c>
      <c r="AD123" s="28">
        <f t="shared" ca="1" si="75"/>
        <v>-463.48769258885937</v>
      </c>
      <c r="AE123" s="28">
        <f t="shared" ca="1" si="75"/>
        <v>-473.65371762946614</v>
      </c>
      <c r="AF123" s="28">
        <f t="shared" ca="1" si="75"/>
        <v>-485.86669867956266</v>
      </c>
      <c r="AG123" s="28">
        <f t="shared" ca="1" si="75"/>
        <v>-541.07674738422531</v>
      </c>
      <c r="AH123" s="28">
        <f t="shared" ca="1" si="75"/>
        <v>0</v>
      </c>
      <c r="AI123" s="28">
        <f t="shared" ca="1" si="75"/>
        <v>0</v>
      </c>
      <c r="AJ123" s="28">
        <f t="shared" ca="1" si="75"/>
        <v>0</v>
      </c>
      <c r="AK123" s="28">
        <f t="shared" ca="1" si="75"/>
        <v>0</v>
      </c>
      <c r="AL123" s="28">
        <f t="shared" ca="1" si="75"/>
        <v>0</v>
      </c>
    </row>
    <row r="124" spans="1:38" ht="21" customHeight="1" outlineLevel="1" thickBot="1" x14ac:dyDescent="0.4">
      <c r="E124" s="31" t="s">
        <v>81</v>
      </c>
      <c r="F124" s="28">
        <f ca="1">F121+F119</f>
        <v>-34.953798759971484</v>
      </c>
      <c r="G124" s="28">
        <f t="shared" ref="G124:AL124" ca="1" si="76">G121+G119</f>
        <v>-34.688851177264375</v>
      </c>
      <c r="H124" s="28">
        <f t="shared" ca="1" si="76"/>
        <v>-33.520723597659384</v>
      </c>
      <c r="I124" s="28">
        <f t="shared" ca="1" si="76"/>
        <v>-31.644630815654164</v>
      </c>
      <c r="J124" s="28">
        <f t="shared" ca="1" si="76"/>
        <v>-30.156000317347189</v>
      </c>
      <c r="K124" s="28">
        <f t="shared" ca="1" si="76"/>
        <v>-28.641846235048202</v>
      </c>
      <c r="L124" s="28">
        <f t="shared" ca="1" si="76"/>
        <v>-27.503500883896631</v>
      </c>
      <c r="M124" s="28">
        <f t="shared" ca="1" si="76"/>
        <v>-25.874163235199106</v>
      </c>
      <c r="N124" s="28">
        <f t="shared" ca="1" si="76"/>
        <v>-24.285712723790901</v>
      </c>
      <c r="O124" s="28">
        <f t="shared" ca="1" si="76"/>
        <v>-23.20523978964874</v>
      </c>
      <c r="P124" s="28">
        <f t="shared" ca="1" si="76"/>
        <v>-22.696479897197602</v>
      </c>
      <c r="Q124" s="28">
        <f t="shared" ca="1" si="76"/>
        <v>-22.562457763856504</v>
      </c>
      <c r="R124" s="28">
        <f t="shared" ca="1" si="76"/>
        <v>-22.627099124028003</v>
      </c>
      <c r="S124" s="28">
        <f t="shared" ca="1" si="76"/>
        <v>-22.784877445383355</v>
      </c>
      <c r="T124" s="28">
        <f t="shared" ca="1" si="76"/>
        <v>-22.961214767279706</v>
      </c>
      <c r="U124" s="28">
        <f t="shared" ca="1" si="76"/>
        <v>-23.06751946542866</v>
      </c>
      <c r="V124" s="28">
        <f t="shared" ca="1" si="76"/>
        <v>-22.706017271191872</v>
      </c>
      <c r="W124" s="28">
        <f t="shared" ca="1" si="76"/>
        <v>-20.545957074165006</v>
      </c>
      <c r="X124" s="28">
        <f t="shared" ca="1" si="76"/>
        <v>-0.67562497822971768</v>
      </c>
      <c r="Y124" s="28">
        <f t="shared" ca="1" si="76"/>
        <v>-0.19701694552835669</v>
      </c>
      <c r="Z124" s="28">
        <f t="shared" ca="1" si="76"/>
        <v>-5.8243533663917463E-2</v>
      </c>
      <c r="AA124" s="28">
        <f t="shared" ca="1" si="76"/>
        <v>-1.7519358383587376E-2</v>
      </c>
      <c r="AB124" s="28">
        <f t="shared" ca="1" si="76"/>
        <v>-5.378805196809968E-3</v>
      </c>
      <c r="AC124" s="28">
        <f t="shared" ca="1" si="76"/>
        <v>-0.37394063325569593</v>
      </c>
      <c r="AD124" s="28">
        <f t="shared" ca="1" si="76"/>
        <v>-8.7722790601586631</v>
      </c>
      <c r="AE124" s="28">
        <f t="shared" ca="1" si="76"/>
        <v>-13.316810585537281</v>
      </c>
      <c r="AF124" s="28">
        <f t="shared" ca="1" si="76"/>
        <v>-16.196055143023553</v>
      </c>
      <c r="AG124" s="28">
        <f t="shared" ca="1" si="76"/>
        <v>-22.920139640818746</v>
      </c>
      <c r="AH124" s="28">
        <f t="shared" ca="1" si="76"/>
        <v>0</v>
      </c>
      <c r="AI124" s="28">
        <f t="shared" ca="1" si="76"/>
        <v>0</v>
      </c>
      <c r="AJ124" s="28">
        <f t="shared" ca="1" si="76"/>
        <v>0</v>
      </c>
      <c r="AK124" s="28">
        <f t="shared" ca="1" si="76"/>
        <v>0</v>
      </c>
      <c r="AL124" s="28">
        <f t="shared" ca="1" si="76"/>
        <v>0</v>
      </c>
    </row>
    <row r="125" spans="1:38" ht="21" customHeight="1" outlineLevel="1" thickBot="1" x14ac:dyDescent="0.4">
      <c r="E125" s="32"/>
      <c r="L125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42">
        <f ca="1"/>
        <v>616.4</v>
      </c>
      <c r="U126" s="105">
        <f ca="1"/>
        <v>636.6</v>
      </c>
      <c r="V126" s="106">
        <f ca="1"/>
        <v>656.8</v>
      </c>
      <c r="W126" s="117">
        <f ca="1"/>
        <v>677</v>
      </c>
      <c r="X126" s="91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858.7</v>
      </c>
      <c r="AD126" s="9">
        <f ca="1"/>
        <v>878.9</v>
      </c>
      <c r="AE126" s="9">
        <f ca="1"/>
        <v>899</v>
      </c>
      <c r="AF126" s="9">
        <f ca="1"/>
        <v>919.2</v>
      </c>
      <c r="AG126" s="9">
        <f ca="1"/>
        <v>1000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1(тв): </v>
      </c>
      <c r="F127">
        <f ca="1"/>
        <v>-161.21212229458382</v>
      </c>
      <c r="G127">
        <f ca="1"/>
        <v>-164.1921638354986</v>
      </c>
      <c r="H127">
        <f ca="1"/>
        <v>-168.46466631585722</v>
      </c>
      <c r="I127">
        <f ca="1"/>
        <v>-173.91202272433173</v>
      </c>
      <c r="J127">
        <f ca="1"/>
        <v>-179.53570362182828</v>
      </c>
      <c r="K127">
        <f ca="1"/>
        <v>-201.17705549058644</v>
      </c>
      <c r="L127">
        <f ca="1"/>
        <v>-208.35513303812795</v>
      </c>
      <c r="M127">
        <f ca="1"/>
        <v>-216.75692033806186</v>
      </c>
      <c r="N127">
        <f ca="1"/>
        <v>-226.06657614390045</v>
      </c>
      <c r="O127">
        <f ca="1"/>
        <v>-235.73012543055336</v>
      </c>
      <c r="P127">
        <f ca="1"/>
        <v>-245.58769694241278</v>
      </c>
      <c r="Q127">
        <f ca="1"/>
        <v>-255.46279413930517</v>
      </c>
      <c r="R127">
        <f ca="1"/>
        <v>-265.48610573190058</v>
      </c>
      <c r="S127">
        <f ca="1"/>
        <v>-275.62478528795151</v>
      </c>
      <c r="T127">
        <f ca="1"/>
        <v>-285.82498719459625</v>
      </c>
      <c r="U127" s="52">
        <f ca="1"/>
        <v>-296.40361571073947</v>
      </c>
      <c r="V127" s="53">
        <f ca="1"/>
        <v>-307.57339835972186</v>
      </c>
      <c r="W127" s="110">
        <f ca="1"/>
        <v>-320.74492668641795</v>
      </c>
      <c r="X127">
        <f ca="1"/>
        <v>-389.67607093817116</v>
      </c>
      <c r="Y127">
        <f ca="1"/>
        <v>-403.22737200467765</v>
      </c>
      <c r="Z127">
        <f ca="1"/>
        <v>-416.78991351954159</v>
      </c>
      <c r="AA127">
        <f ca="1"/>
        <v>-430.34856481334219</v>
      </c>
      <c r="AB127">
        <f ca="1"/>
        <v>-444.10041316427277</v>
      </c>
      <c r="AC127">
        <f ca="1"/>
        <v>-457.57245234487431</v>
      </c>
      <c r="AD127">
        <f ca="1"/>
        <v>-463.48738289907232</v>
      </c>
      <c r="AE127">
        <f ca="1"/>
        <v>-473.65362493254327</v>
      </c>
      <c r="AF127">
        <f ca="1"/>
        <v>-485.86663911861325</v>
      </c>
      <c r="AG127">
        <f ca="1"/>
        <v>-541.07669222208028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3 (жид): 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 s="52">
        <f ca="1"/>
        <v>0</v>
      </c>
      <c r="V128" s="53">
        <f ca="1"/>
        <v>0</v>
      </c>
      <c r="W128" s="110">
        <f ca="1"/>
        <v>0</v>
      </c>
      <c r="X128">
        <f ca="1"/>
        <v>-8.7498232543780483E-31</v>
      </c>
      <c r="Y128">
        <f ca="1"/>
        <v>-1.0248912302009179E-23</v>
      </c>
      <c r="Z128">
        <f ca="1"/>
        <v>-5.740727254150078E-17</v>
      </c>
      <c r="AA128">
        <f ca="1"/>
        <v>-9.7158105183933796E-11</v>
      </c>
      <c r="AB128">
        <f ca="1"/>
        <v>-1.2886811976545888E-5</v>
      </c>
      <c r="AC128">
        <f ca="1"/>
        <v>-0.37227352571302685</v>
      </c>
      <c r="AD128">
        <f ca="1"/>
        <v>-8.7719693703715986</v>
      </c>
      <c r="AE128">
        <f ca="1"/>
        <v>-13.316717888614431</v>
      </c>
      <c r="AF128">
        <f ca="1"/>
        <v>-16.195995582074115</v>
      </c>
      <c r="AG128">
        <f ca="1"/>
        <v>-22.920084478673754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str">
        <f ca="1"/>
        <v>Расвтор 2</v>
      </c>
      <c r="F129">
        <f ca="1"/>
        <v>0</v>
      </c>
      <c r="G129">
        <f ca="1"/>
        <v>1</v>
      </c>
      <c r="H129">
        <f ca="1"/>
        <v>2</v>
      </c>
      <c r="I129">
        <f ca="1"/>
        <v>3</v>
      </c>
      <c r="J129">
        <f ca="1"/>
        <v>4</v>
      </c>
      <c r="K129">
        <f ca="1"/>
        <v>5</v>
      </c>
      <c r="L129">
        <f ca="1"/>
        <v>6</v>
      </c>
      <c r="M129">
        <f ca="1"/>
        <v>7</v>
      </c>
      <c r="N129">
        <f ca="1"/>
        <v>8</v>
      </c>
      <c r="O129">
        <f ca="1"/>
        <v>9</v>
      </c>
      <c r="P129">
        <f ca="1"/>
        <v>10</v>
      </c>
      <c r="Q129">
        <f ca="1"/>
        <v>11</v>
      </c>
      <c r="R129">
        <f ca="1"/>
        <v>12</v>
      </c>
      <c r="S129">
        <f ca="1"/>
        <v>13</v>
      </c>
      <c r="T129">
        <f ca="1"/>
        <v>14</v>
      </c>
      <c r="U129" s="52">
        <f ca="1"/>
        <v>15</v>
      </c>
      <c r="V129" s="53">
        <f ca="1"/>
        <v>16</v>
      </c>
      <c r="W129" s="110">
        <f ca="1"/>
        <v>17</v>
      </c>
      <c r="X129">
        <f ca="1"/>
        <v>18</v>
      </c>
      <c r="Y129">
        <f ca="1"/>
        <v>19</v>
      </c>
      <c r="Z129">
        <f ca="1"/>
        <v>20</v>
      </c>
      <c r="AA129">
        <f ca="1"/>
        <v>21</v>
      </c>
      <c r="AB129">
        <f ca="1"/>
        <v>22</v>
      </c>
      <c r="AC129">
        <f ca="1"/>
        <v>23</v>
      </c>
      <c r="AD129">
        <f ca="1"/>
        <v>24</v>
      </c>
      <c r="AE129">
        <f ca="1"/>
        <v>25</v>
      </c>
      <c r="AF129">
        <f ca="1"/>
        <v>26</v>
      </c>
      <c r="AG129">
        <f ca="1"/>
        <v>27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str">
        <f ca="1"/>
        <v xml:space="preserve">Газовая без Ar: </v>
      </c>
      <c r="F130">
        <f ca="1"/>
        <v>-34.953798759971484</v>
      </c>
      <c r="G130">
        <f ca="1"/>
        <v>-34.688851177264375</v>
      </c>
      <c r="H130">
        <f ca="1"/>
        <v>-33.520723597659384</v>
      </c>
      <c r="I130">
        <f ca="1"/>
        <v>-31.644630815654164</v>
      </c>
      <c r="J130">
        <f ca="1"/>
        <v>-30.156000317347189</v>
      </c>
      <c r="K130">
        <f ca="1"/>
        <v>-28.641846235048202</v>
      </c>
      <c r="L130">
        <f ca="1"/>
        <v>-27.503500883896631</v>
      </c>
      <c r="M130">
        <f ca="1"/>
        <v>-25.874163235199106</v>
      </c>
      <c r="N130">
        <f ca="1"/>
        <v>-24.285712723790901</v>
      </c>
      <c r="O130">
        <f ca="1"/>
        <v>-23.20523978964874</v>
      </c>
      <c r="P130">
        <f ca="1"/>
        <v>-22.696479897197602</v>
      </c>
      <c r="Q130">
        <f ca="1"/>
        <v>-22.562457763856504</v>
      </c>
      <c r="R130">
        <f ca="1"/>
        <v>-22.627099124028003</v>
      </c>
      <c r="S130">
        <f ca="1"/>
        <v>-22.784877445383355</v>
      </c>
      <c r="T130">
        <f ca="1"/>
        <v>-22.961214767279706</v>
      </c>
      <c r="U130" s="52">
        <f ca="1"/>
        <v>-23.06751946542866</v>
      </c>
      <c r="V130" s="53">
        <f ca="1"/>
        <v>-22.706017271191872</v>
      </c>
      <c r="W130" s="110">
        <f ca="1"/>
        <v>-20.545957074165006</v>
      </c>
      <c r="X130">
        <f ca="1"/>
        <v>-0.67562497822971768</v>
      </c>
      <c r="Y130">
        <f ca="1"/>
        <v>-0.19701694552835669</v>
      </c>
      <c r="Z130">
        <f ca="1"/>
        <v>-5.8243533663917407E-2</v>
      </c>
      <c r="AA130">
        <f ca="1"/>
        <v>-1.7519358286429271E-2</v>
      </c>
      <c r="AB130">
        <f ca="1"/>
        <v>-5.365918384833422E-3</v>
      </c>
      <c r="AC130">
        <f ca="1"/>
        <v>-1.6671075426690639E-3</v>
      </c>
      <c r="AD130">
        <f ca="1"/>
        <v>-3.0968978706519344E-4</v>
      </c>
      <c r="AE130">
        <f ca="1"/>
        <v>-9.2696922850965657E-5</v>
      </c>
      <c r="AF130">
        <f ca="1"/>
        <v>-5.9560949436893274E-5</v>
      </c>
      <c r="AG130">
        <f ca="1"/>
        <v>-5.5162144992664493E-5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str">
        <f ca="1"/>
        <v xml:space="preserve">Газовая: </v>
      </c>
      <c r="F131">
        <f ca="1"/>
        <v>-70.357639563721492</v>
      </c>
      <c r="G131">
        <f ca="1"/>
        <v>-72.691035589764383</v>
      </c>
      <c r="H131">
        <f ca="1"/>
        <v>-74.14017403515939</v>
      </c>
      <c r="I131">
        <f ca="1"/>
        <v>-74.88134727815418</v>
      </c>
      <c r="J131">
        <f ca="1"/>
        <v>-76.059024497347195</v>
      </c>
      <c r="K131">
        <f ca="1"/>
        <v>-85.356443413798203</v>
      </c>
      <c r="L131">
        <f ca="1"/>
        <v>-86.979634520146647</v>
      </c>
      <c r="M131">
        <f ca="1"/>
        <v>-88.090111697699115</v>
      </c>
      <c r="N131">
        <f ca="1"/>
        <v>-89.271068703790917</v>
      </c>
      <c r="O131">
        <f ca="1"/>
        <v>-90.984295484648754</v>
      </c>
      <c r="P131">
        <f ca="1"/>
        <v>-93.280432167197617</v>
      </c>
      <c r="Q131">
        <f ca="1"/>
        <v>-95.962503468856497</v>
      </c>
      <c r="R131">
        <f ca="1"/>
        <v>-98.854435124028029</v>
      </c>
      <c r="S131">
        <f ca="1"/>
        <v>-101.85070060038338</v>
      </c>
      <c r="T131">
        <f ca="1"/>
        <v>-104.87672193727973</v>
      </c>
      <c r="U131" s="52">
        <f ca="1"/>
        <v>-107.88801593292868</v>
      </c>
      <c r="V131" s="53">
        <f ca="1"/>
        <v>-110.39999108119189</v>
      </c>
      <c r="W131" s="110">
        <f ca="1"/>
        <v>-111.07769744916503</v>
      </c>
      <c r="X131">
        <f ca="1"/>
        <v>-102.68145156947976</v>
      </c>
      <c r="Y131">
        <f ca="1"/>
        <v>-105.13787589427838</v>
      </c>
      <c r="Z131">
        <f ca="1"/>
        <v>-107.94533169991395</v>
      </c>
      <c r="AA131">
        <f ca="1"/>
        <v>-110.86203360203648</v>
      </c>
      <c r="AB131">
        <f ca="1"/>
        <v>-113.81850309963487</v>
      </c>
      <c r="AC131">
        <f ca="1"/>
        <v>-116.73512691004274</v>
      </c>
      <c r="AD131">
        <f ca="1"/>
        <v>-119.72338654228709</v>
      </c>
      <c r="AE131">
        <f ca="1"/>
        <v>-122.71033382192287</v>
      </c>
      <c r="AF131">
        <f ca="1"/>
        <v>-125.72228374094946</v>
      </c>
      <c r="AG131">
        <f ca="1"/>
        <v>-137.74360516214506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str">
        <f ca="1"/>
        <v xml:space="preserve">Раствор 1 + газовая без Ar: </v>
      </c>
      <c r="F132">
        <f ca="1"/>
        <v>-196.1659210545553</v>
      </c>
      <c r="G132">
        <f ca="1"/>
        <v>-198.88101501276299</v>
      </c>
      <c r="H132">
        <f ca="1"/>
        <v>-201.9853899135166</v>
      </c>
      <c r="I132">
        <f ca="1"/>
        <v>-205.55665353998589</v>
      </c>
      <c r="J132">
        <f ca="1"/>
        <v>-209.69170393917545</v>
      </c>
      <c r="K132">
        <f ca="1"/>
        <v>-229.81890172563465</v>
      </c>
      <c r="L132">
        <f ca="1"/>
        <v>-235.85863392202458</v>
      </c>
      <c r="M132">
        <f ca="1"/>
        <v>-242.63108357326098</v>
      </c>
      <c r="N132">
        <f ca="1"/>
        <v>-250.35228886769136</v>
      </c>
      <c r="O132">
        <f ca="1"/>
        <v>-258.93536522020207</v>
      </c>
      <c r="P132">
        <f ca="1"/>
        <v>-268.28417683961038</v>
      </c>
      <c r="Q132">
        <f ca="1"/>
        <v>-278.02525190316169</v>
      </c>
      <c r="R132">
        <f ca="1"/>
        <v>-288.11320485592859</v>
      </c>
      <c r="S132">
        <f ca="1"/>
        <v>-298.40966273333487</v>
      </c>
      <c r="T132">
        <f ca="1"/>
        <v>-308.78620196187597</v>
      </c>
      <c r="U132" s="52">
        <f ca="1"/>
        <v>-319.4711351761681</v>
      </c>
      <c r="V132" s="53">
        <f ca="1"/>
        <v>-330.27941563091372</v>
      </c>
      <c r="W132" s="110">
        <f ca="1"/>
        <v>-341.29088376058297</v>
      </c>
      <c r="X132">
        <f ca="1"/>
        <v>-390.3516959164009</v>
      </c>
      <c r="Y132">
        <f ca="1"/>
        <v>-403.42438895020598</v>
      </c>
      <c r="Z132">
        <f ca="1"/>
        <v>-416.84815705320551</v>
      </c>
      <c r="AA132">
        <f ca="1"/>
        <v>-430.36608417162864</v>
      </c>
      <c r="AB132">
        <f ca="1"/>
        <v>-444.10577908265759</v>
      </c>
      <c r="AC132">
        <f ca="1"/>
        <v>-457.57411945241699</v>
      </c>
      <c r="AD132">
        <f ca="1"/>
        <v>-463.48769258885937</v>
      </c>
      <c r="AE132">
        <f ca="1"/>
        <v>-473.65371762946614</v>
      </c>
      <c r="AF132">
        <f ca="1"/>
        <v>-485.86669867956266</v>
      </c>
      <c r="AG132">
        <f ca="1"/>
        <v>-541.07674738422531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str">
        <f ca="1"/>
        <v xml:space="preserve">Раствор 3 + газовая без Ar: </v>
      </c>
      <c r="F133">
        <f ca="1"/>
        <v>-34.953798759971484</v>
      </c>
      <c r="G133">
        <f ca="1"/>
        <v>-34.688851177264375</v>
      </c>
      <c r="H133">
        <f ca="1"/>
        <v>-33.520723597659384</v>
      </c>
      <c r="I133">
        <f ca="1"/>
        <v>-31.644630815654164</v>
      </c>
      <c r="J133">
        <f ca="1"/>
        <v>-30.156000317347189</v>
      </c>
      <c r="K133">
        <f ca="1"/>
        <v>-28.641846235048202</v>
      </c>
      <c r="L133">
        <f ca="1"/>
        <v>-27.503500883896631</v>
      </c>
      <c r="M133">
        <f ca="1"/>
        <v>-25.874163235199106</v>
      </c>
      <c r="N133">
        <f ca="1"/>
        <v>-24.285712723790901</v>
      </c>
      <c r="O133">
        <f ca="1"/>
        <v>-23.20523978964874</v>
      </c>
      <c r="P133">
        <f ca="1"/>
        <v>-22.696479897197602</v>
      </c>
      <c r="Q133">
        <f ca="1"/>
        <v>-22.562457763856504</v>
      </c>
      <c r="R133">
        <f ca="1"/>
        <v>-22.627099124028003</v>
      </c>
      <c r="S133">
        <f ca="1"/>
        <v>-22.784877445383355</v>
      </c>
      <c r="T133">
        <f ca="1"/>
        <v>-22.961214767279706</v>
      </c>
      <c r="U133" s="52">
        <f ca="1"/>
        <v>-23.06751946542866</v>
      </c>
      <c r="V133" s="53">
        <f ca="1"/>
        <v>-22.706017271191872</v>
      </c>
      <c r="W133" s="110">
        <f ca="1"/>
        <v>-20.545957074165006</v>
      </c>
      <c r="X133">
        <f ca="1"/>
        <v>-0.67562497822971768</v>
      </c>
      <c r="Y133">
        <f ca="1"/>
        <v>-0.19701694552835669</v>
      </c>
      <c r="Z133">
        <f ca="1"/>
        <v>-5.8243533663917463E-2</v>
      </c>
      <c r="AA133">
        <f ca="1"/>
        <v>-1.7519358383587376E-2</v>
      </c>
      <c r="AB133">
        <f ca="1"/>
        <v>-5.378805196809968E-3</v>
      </c>
      <c r="AC133">
        <f ca="1"/>
        <v>-0.37394063325569593</v>
      </c>
      <c r="AD133">
        <f ca="1"/>
        <v>-8.7722790601586631</v>
      </c>
      <c r="AE133">
        <f ca="1"/>
        <v>-13.316810585537281</v>
      </c>
      <c r="AF133">
        <f ca="1"/>
        <v>-16.196055143023553</v>
      </c>
      <c r="AG133">
        <f ca="1"/>
        <v>-22.920139640818746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2" t="e">
        <f ca="1"/>
        <v>#N/A</v>
      </c>
      <c r="V134" s="53" t="e">
        <f ca="1"/>
        <v>#N/A</v>
      </c>
      <c r="W134" s="110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2" t="e">
        <f ca="1"/>
        <v>#N/A</v>
      </c>
      <c r="V135" s="53" t="e">
        <f ca="1"/>
        <v>#N/A</v>
      </c>
      <c r="W135" s="110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2" t="e">
        <f ca="1"/>
        <v>#N/A</v>
      </c>
      <c r="V136" s="53" t="e">
        <f ca="1"/>
        <v>#N/A</v>
      </c>
      <c r="W136" s="110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2" t="e">
        <f ca="1"/>
        <v>#N/A</v>
      </c>
      <c r="V137" s="53" t="e">
        <f ca="1"/>
        <v>#N/A</v>
      </c>
      <c r="W137" s="110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2" t="e">
        <f ca="1"/>
        <v>#N/A</v>
      </c>
      <c r="V138" s="53" t="e">
        <f ca="1"/>
        <v>#N/A</v>
      </c>
      <c r="W138" s="110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2" t="e">
        <f ca="1"/>
        <v>#N/A</v>
      </c>
      <c r="V139" s="53" t="e">
        <f ca="1"/>
        <v>#N/A</v>
      </c>
      <c r="W139" s="110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107"/>
      <c r="V142" s="108"/>
      <c r="W142" s="118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>
        <v>298.14999999999998</v>
      </c>
    </row>
    <row r="144" spans="1:38" ht="21" hidden="1" customHeight="1" outlineLevel="1" x14ac:dyDescent="0.35">
      <c r="A144">
        <v>8</v>
      </c>
      <c r="B144" s="37" t="s">
        <v>22</v>
      </c>
      <c r="C144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77">E144-$C$144</f>
        <v>-5</v>
      </c>
      <c r="F145" s="39">
        <f t="shared" si="7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78">D145+$A$144</f>
        <v>3</v>
      </c>
      <c r="E146" s="39">
        <f t="shared" si="78"/>
        <v>3</v>
      </c>
      <c r="F146" s="39">
        <f t="shared" si="7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1">
    <mergeCell ref="A117:B117"/>
  </mergeCells>
  <conditionalFormatting sqref="A4:D33">
    <cfRule type="cellIs" dxfId="11" priority="65" operator="equal">
      <formula>0</formula>
    </cfRule>
  </conditionalFormatting>
  <conditionalFormatting sqref="A50:D80">
    <cfRule type="cellIs" dxfId="10" priority="64" operator="equal">
      <formula>0</formula>
    </cfRule>
  </conditionalFormatting>
  <conditionalFormatting sqref="A84:D113">
    <cfRule type="cellIs" dxfId="9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zoomScaleNormal="100" zoomScaleSheetLayoutView="25" workbookViewId="0">
      <selection activeCell="AV82" sqref="AV82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7" width="8.6328125" style="63" hidden="1" customWidth="1"/>
    <col min="38" max="38" width="8.6328125" style="63" customWidth="1"/>
    <col min="39" max="16384" width="8.7265625" style="63"/>
  </cols>
  <sheetData>
    <row r="1" spans="1:54" ht="26.25" customHeight="1" thickBot="1" x14ac:dyDescent="0.4">
      <c r="A1" s="169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0</v>
      </c>
      <c r="D4" s="70">
        <f t="shared" si="0"/>
        <v>0</v>
      </c>
      <c r="E4" s="11" t="s">
        <v>60</v>
      </c>
      <c r="F4" s="77">
        <v>2.2434000000000001E-8</v>
      </c>
      <c r="G4" s="77">
        <v>2.2944E-8</v>
      </c>
      <c r="H4" s="77">
        <v>1.9741999999999999E-8</v>
      </c>
      <c r="I4" s="77">
        <v>2.0131E-8</v>
      </c>
      <c r="J4" s="77">
        <v>2.2853E-8</v>
      </c>
      <c r="K4" s="77">
        <v>3.2886000000000001E-8</v>
      </c>
      <c r="L4" s="77">
        <v>3.1802000000000002E-8</v>
      </c>
      <c r="M4" s="77">
        <v>2.9719E-8</v>
      </c>
      <c r="N4" s="77">
        <v>2.0085999999999999E-8</v>
      </c>
      <c r="O4" s="77">
        <v>1.5793999999999999E-8</v>
      </c>
      <c r="P4" s="77"/>
      <c r="Q4" s="77"/>
      <c r="R4" s="77"/>
      <c r="S4" s="77"/>
      <c r="T4" s="77"/>
      <c r="U4" s="77"/>
      <c r="V4" s="77"/>
      <c r="W4" s="77"/>
      <c r="X4" s="77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3</v>
      </c>
      <c r="C5" s="70">
        <f t="shared" si="0"/>
        <v>0</v>
      </c>
      <c r="D5" s="70">
        <f t="shared" si="0"/>
        <v>0</v>
      </c>
      <c r="E5" s="11" t="s">
        <v>71</v>
      </c>
      <c r="F5" s="77">
        <v>2.7272000000000002E-25</v>
      </c>
      <c r="G5" s="77">
        <v>4.5515999999999997E-18</v>
      </c>
      <c r="H5" s="77">
        <v>1.1457000000000001E-13</v>
      </c>
      <c r="I5" s="77">
        <v>9.9512000000000005E-11</v>
      </c>
      <c r="J5" s="77">
        <v>1.2369E-8</v>
      </c>
      <c r="K5" s="77">
        <v>4.6673E-7</v>
      </c>
      <c r="L5" s="77">
        <v>7.8967000000000001E-6</v>
      </c>
      <c r="M5" s="77">
        <v>7.2719999999999995E-5</v>
      </c>
      <c r="N5" s="77">
        <v>4.1031999999999999E-4</v>
      </c>
      <c r="O5" s="77">
        <v>1.4090000000000001E-3</v>
      </c>
      <c r="P5" s="77"/>
      <c r="Q5" s="77"/>
      <c r="R5" s="77"/>
      <c r="S5" s="77"/>
      <c r="T5" s="77"/>
      <c r="U5" s="77"/>
      <c r="V5" s="77"/>
      <c r="W5" s="77"/>
      <c r="X5" s="77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4</v>
      </c>
      <c r="C6" s="70">
        <f t="shared" si="0"/>
        <v>0</v>
      </c>
      <c r="D6" s="70">
        <f t="shared" si="0"/>
        <v>0</v>
      </c>
      <c r="E6" s="11" t="s">
        <v>72</v>
      </c>
      <c r="F6" s="77">
        <v>2.8659000000000002E-23</v>
      </c>
      <c r="G6" s="77">
        <v>9.2949999999999999E-17</v>
      </c>
      <c r="H6" s="77">
        <v>7.6946999999999995E-13</v>
      </c>
      <c r="I6" s="77">
        <v>2.9715999999999999E-10</v>
      </c>
      <c r="J6" s="77">
        <v>1.9913999999999999E-8</v>
      </c>
      <c r="K6" s="77">
        <v>4.6399000000000001E-7</v>
      </c>
      <c r="L6" s="77">
        <v>5.3253999999999999E-6</v>
      </c>
      <c r="M6" s="77">
        <v>3.5135000000000002E-5</v>
      </c>
      <c r="N6" s="77">
        <v>1.4407999999999999E-4</v>
      </c>
      <c r="O6" s="77">
        <v>3.4330999999999999E-4</v>
      </c>
      <c r="P6" s="77"/>
      <c r="Q6" s="77"/>
      <c r="R6" s="77"/>
      <c r="S6" s="77"/>
      <c r="T6" s="77"/>
      <c r="U6" s="77"/>
      <c r="V6" s="77"/>
      <c r="W6" s="77"/>
      <c r="X6" s="77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5</v>
      </c>
      <c r="C7" s="70">
        <f t="shared" si="0"/>
        <v>0</v>
      </c>
      <c r="D7" s="70">
        <f t="shared" si="0"/>
        <v>0</v>
      </c>
      <c r="E7" s="11" t="s">
        <v>73</v>
      </c>
      <c r="F7" s="77">
        <v>8.2633999999999998E-20</v>
      </c>
      <c r="G7" s="77">
        <v>7.1755000000000006E-14</v>
      </c>
      <c r="H7" s="77">
        <v>2.4208999999999999E-10</v>
      </c>
      <c r="I7" s="77">
        <v>4.8461E-8</v>
      </c>
      <c r="J7" s="77">
        <v>1.9645999999999998E-6</v>
      </c>
      <c r="K7" s="77">
        <v>3.0911999999999998E-5</v>
      </c>
      <c r="L7" s="77">
        <v>2.5855000000000002E-4</v>
      </c>
      <c r="M7" s="77">
        <v>1.2959E-3</v>
      </c>
      <c r="N7" s="77">
        <v>4.0553999999999998E-3</v>
      </c>
      <c r="O7" s="77">
        <v>6.9873000000000001E-3</v>
      </c>
      <c r="P7" s="77"/>
      <c r="Q7" s="77"/>
      <c r="R7" s="77"/>
      <c r="S7" s="77"/>
      <c r="T7" s="77"/>
      <c r="U7" s="77"/>
      <c r="V7" s="77"/>
      <c r="W7" s="77"/>
      <c r="X7" s="77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6</v>
      </c>
      <c r="C8" s="70">
        <f t="shared" si="0"/>
        <v>0</v>
      </c>
      <c r="D8" s="70">
        <f t="shared" si="0"/>
        <v>0</v>
      </c>
      <c r="E8" s="11" t="s">
        <v>74</v>
      </c>
      <c r="F8" s="77">
        <v>3.1684999999999997E-17</v>
      </c>
      <c r="G8" s="77">
        <v>2.8145000000000002E-12</v>
      </c>
      <c r="H8" s="77">
        <v>2.1021E-9</v>
      </c>
      <c r="I8" s="77">
        <v>1.4306000000000001E-7</v>
      </c>
      <c r="J8" s="77">
        <v>2.576E-6</v>
      </c>
      <c r="K8" s="77">
        <v>2.1617E-5</v>
      </c>
      <c r="L8" s="77">
        <v>1.0938E-4</v>
      </c>
      <c r="M8" s="77">
        <v>3.5818999999999998E-4</v>
      </c>
      <c r="N8" s="77">
        <v>7.5535000000000001E-4</v>
      </c>
      <c r="O8" s="77">
        <v>8.4774000000000004E-4</v>
      </c>
      <c r="P8" s="77"/>
      <c r="Q8" s="77"/>
      <c r="R8" s="77"/>
      <c r="S8" s="77"/>
      <c r="T8" s="77"/>
      <c r="U8" s="77"/>
      <c r="V8" s="77"/>
      <c r="W8" s="77"/>
      <c r="X8" s="77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7</v>
      </c>
      <c r="C9" s="70">
        <f t="shared" si="0"/>
        <v>0</v>
      </c>
      <c r="D9" s="70">
        <f t="shared" si="0"/>
        <v>0</v>
      </c>
      <c r="E9" s="11" t="s">
        <v>77</v>
      </c>
      <c r="F9" s="77">
        <v>2.7152E-18</v>
      </c>
      <c r="G9" s="77">
        <v>4.5969000000000003E-13</v>
      </c>
      <c r="H9" s="77">
        <v>4.7612000000000001E-10</v>
      </c>
      <c r="I9" s="77">
        <v>3.8772999999999999E-8</v>
      </c>
      <c r="J9" s="77">
        <v>7.7553000000000001E-7</v>
      </c>
      <c r="K9" s="77">
        <v>6.9723000000000001E-6</v>
      </c>
      <c r="L9" s="77">
        <v>3.6933E-5</v>
      </c>
      <c r="M9" s="77">
        <v>1.2303999999999999E-4</v>
      </c>
      <c r="N9" s="77">
        <v>2.5179E-4</v>
      </c>
      <c r="O9" s="77">
        <v>2.4991E-4</v>
      </c>
      <c r="P9" s="77"/>
      <c r="Q9" s="77"/>
      <c r="R9" s="77"/>
      <c r="S9" s="77"/>
      <c r="T9" s="77"/>
      <c r="U9" s="77"/>
      <c r="V9" s="77"/>
      <c r="W9" s="77"/>
      <c r="X9" s="77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8</v>
      </c>
      <c r="C10" s="70">
        <f t="shared" si="0"/>
        <v>0</v>
      </c>
      <c r="D10" s="70">
        <f t="shared" si="0"/>
        <v>0</v>
      </c>
      <c r="E10" s="11" t="s">
        <v>75</v>
      </c>
      <c r="F10" s="77">
        <v>4.8741E-20</v>
      </c>
      <c r="G10" s="77">
        <v>1.3799E-14</v>
      </c>
      <c r="H10" s="77">
        <v>1.8275E-11</v>
      </c>
      <c r="I10" s="77">
        <v>1.6851999999999999E-9</v>
      </c>
      <c r="J10" s="77">
        <v>3.5975000000000003E-8</v>
      </c>
      <c r="K10" s="77">
        <v>3.3615E-7</v>
      </c>
      <c r="L10" s="77">
        <v>1.8204E-6</v>
      </c>
      <c r="M10" s="77">
        <v>6.0522999999999996E-6</v>
      </c>
      <c r="N10" s="77">
        <v>1.1833E-5</v>
      </c>
      <c r="O10" s="77">
        <v>1.025E-5</v>
      </c>
      <c r="P10" s="77"/>
      <c r="Q10" s="77"/>
      <c r="R10" s="77"/>
      <c r="S10" s="77"/>
      <c r="T10" s="77"/>
      <c r="U10" s="77"/>
      <c r="V10" s="77"/>
      <c r="W10" s="77"/>
      <c r="X10" s="77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2</v>
      </c>
      <c r="C11" s="70">
        <f t="shared" si="0"/>
        <v>0</v>
      </c>
      <c r="D11" s="70">
        <f t="shared" si="0"/>
        <v>0</v>
      </c>
      <c r="E11" s="11" t="s">
        <v>76</v>
      </c>
      <c r="F11" s="77">
        <v>3.8015999999999999E-20</v>
      </c>
      <c r="G11" s="77">
        <v>3.2498000000000001E-14</v>
      </c>
      <c r="H11" s="77">
        <v>1.4395E-10</v>
      </c>
      <c r="I11" s="77">
        <v>4.0954999999999998E-8</v>
      </c>
      <c r="J11" s="77">
        <v>2.3640000000000002E-6</v>
      </c>
      <c r="K11" s="77">
        <v>5.1038000000000002E-5</v>
      </c>
      <c r="L11" s="77">
        <v>5.6714000000000005E-4</v>
      </c>
      <c r="M11" s="77">
        <v>3.8249999999999998E-3</v>
      </c>
      <c r="N11" s="77">
        <v>1.7559000000000002E-2</v>
      </c>
      <c r="O11" s="77">
        <v>5.6219999999999999E-2</v>
      </c>
      <c r="P11" s="77"/>
      <c r="Q11" s="77"/>
      <c r="R11" s="77"/>
      <c r="S11" s="77"/>
      <c r="T11" s="77"/>
      <c r="U11" s="77"/>
      <c r="V11" s="77"/>
      <c r="W11" s="77"/>
      <c r="X11" s="77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0</v>
      </c>
      <c r="E12" s="11" t="s">
        <v>2</v>
      </c>
      <c r="F12" s="77">
        <v>0</v>
      </c>
      <c r="G12" s="77">
        <v>1.7529999999999999E-29</v>
      </c>
      <c r="H12" s="77">
        <v>4.0370000000000001E-23</v>
      </c>
      <c r="I12" s="77">
        <v>8.9280999999999991E-19</v>
      </c>
      <c r="J12" s="77">
        <v>1.2809E-15</v>
      </c>
      <c r="K12" s="77">
        <v>3.2693E-13</v>
      </c>
      <c r="L12" s="77">
        <v>2.5864999999999999E-11</v>
      </c>
      <c r="M12" s="77">
        <v>8.7663E-10</v>
      </c>
      <c r="N12" s="77">
        <v>1.6053999999999999E-8</v>
      </c>
      <c r="O12" s="77">
        <v>1.822E-7</v>
      </c>
      <c r="P12" s="77"/>
      <c r="Q12" s="77"/>
      <c r="R12" s="77"/>
      <c r="S12" s="77"/>
      <c r="T12" s="77"/>
      <c r="U12" s="77"/>
      <c r="V12" s="77"/>
      <c r="W12" s="77"/>
      <c r="X12" s="77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0</v>
      </c>
      <c r="D13" s="70">
        <f t="shared" si="0"/>
        <v>2</v>
      </c>
      <c r="E13" s="11" t="s">
        <v>70</v>
      </c>
      <c r="F13" s="77">
        <v>2.0007000000000001E-11</v>
      </c>
      <c r="G13" s="77">
        <v>6.6300000000000005E-8</v>
      </c>
      <c r="H13" s="77">
        <v>8.8271000000000006E-6</v>
      </c>
      <c r="I13" s="77">
        <v>2.2261000000000001E-4</v>
      </c>
      <c r="J13" s="77">
        <v>2.0268999999999999E-3</v>
      </c>
      <c r="K13" s="77">
        <v>8.2603999999999993E-3</v>
      </c>
      <c r="L13" s="77">
        <v>1.7273E-2</v>
      </c>
      <c r="M13" s="77">
        <v>2.4695000000000002E-2</v>
      </c>
      <c r="N13" s="77">
        <v>2.9939E-2</v>
      </c>
      <c r="O13" s="77">
        <v>3.3692E-2</v>
      </c>
      <c r="P13" s="77"/>
      <c r="Q13" s="77"/>
      <c r="R13" s="77"/>
      <c r="S13" s="77"/>
      <c r="T13" s="77"/>
      <c r="U13" s="77"/>
      <c r="V13" s="77"/>
      <c r="W13" s="77"/>
      <c r="X13" s="77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1</v>
      </c>
      <c r="B14" s="70">
        <f t="shared" si="0"/>
        <v>0</v>
      </c>
      <c r="C14" s="70">
        <f t="shared" si="0"/>
        <v>0</v>
      </c>
      <c r="D14" s="70">
        <f t="shared" si="0"/>
        <v>0</v>
      </c>
      <c r="E14" s="11" t="s">
        <v>1</v>
      </c>
      <c r="F14" s="77">
        <v>0.2</v>
      </c>
      <c r="G14" s="77">
        <v>0.2</v>
      </c>
      <c r="H14" s="77">
        <v>0.2</v>
      </c>
      <c r="I14" s="77">
        <v>0.2</v>
      </c>
      <c r="J14" s="77">
        <v>0.2</v>
      </c>
      <c r="K14" s="77">
        <v>0.2</v>
      </c>
      <c r="L14" s="77">
        <v>0.2</v>
      </c>
      <c r="M14" s="77">
        <v>0.2</v>
      </c>
      <c r="N14" s="77">
        <v>0.2</v>
      </c>
      <c r="O14" s="77">
        <v>0.2</v>
      </c>
      <c r="P14" s="77"/>
      <c r="Q14" s="77"/>
      <c r="R14" s="77"/>
      <c r="S14" s="77"/>
      <c r="T14" s="77"/>
      <c r="U14" s="77"/>
      <c r="V14" s="77"/>
      <c r="W14" s="77"/>
      <c r="X14" s="77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0</v>
      </c>
      <c r="D15" s="70">
        <f t="shared" si="0"/>
        <v>1</v>
      </c>
      <c r="E15" s="11" t="s">
        <v>47</v>
      </c>
      <c r="F15" s="77">
        <v>0.08</v>
      </c>
      <c r="G15" s="77">
        <v>0.08</v>
      </c>
      <c r="H15" s="77">
        <v>7.9981999999999998E-2</v>
      </c>
      <c r="I15" s="77">
        <v>7.9555000000000001E-2</v>
      </c>
      <c r="J15" s="77">
        <v>7.5946E-2</v>
      </c>
      <c r="K15" s="77">
        <v>6.3478999999999994E-2</v>
      </c>
      <c r="L15" s="77">
        <v>4.5453E-2</v>
      </c>
      <c r="M15" s="77">
        <v>3.0609000000000001E-2</v>
      </c>
      <c r="N15" s="77">
        <v>2.0122000000000001E-2</v>
      </c>
      <c r="O15" s="77">
        <v>1.2617E-2</v>
      </c>
      <c r="P15" s="77"/>
      <c r="Q15" s="77"/>
      <c r="R15" s="77"/>
      <c r="S15" s="77"/>
      <c r="T15" s="77"/>
      <c r="U15" s="77"/>
      <c r="V15" s="77"/>
      <c r="W15" s="77"/>
      <c r="X15" s="77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11" t="s">
        <v>46</v>
      </c>
      <c r="F16" s="77">
        <v>0.24</v>
      </c>
      <c r="G16" s="77">
        <v>0.24</v>
      </c>
      <c r="H16" s="77">
        <v>0.24</v>
      </c>
      <c r="I16" s="77">
        <v>0.24</v>
      </c>
      <c r="J16" s="77">
        <v>0.24</v>
      </c>
      <c r="K16" s="77">
        <v>0.24</v>
      </c>
      <c r="L16" s="77">
        <v>0.24</v>
      </c>
      <c r="M16" s="77">
        <v>0.24</v>
      </c>
      <c r="N16" s="77">
        <v>0.24</v>
      </c>
      <c r="O16" s="77">
        <v>0.24</v>
      </c>
      <c r="P16" s="77"/>
      <c r="Q16" s="77"/>
      <c r="R16" s="77"/>
      <c r="S16" s="77"/>
      <c r="T16" s="77"/>
      <c r="U16" s="77"/>
      <c r="V16" s="77"/>
      <c r="W16" s="77"/>
      <c r="X16" s="77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1</v>
      </c>
      <c r="C17" s="70">
        <f t="shared" si="0"/>
        <v>0</v>
      </c>
      <c r="D17" s="70">
        <f t="shared" si="0"/>
        <v>0</v>
      </c>
      <c r="E17" s="11" t="s">
        <v>78</v>
      </c>
      <c r="F17" s="77">
        <v>0.48</v>
      </c>
      <c r="G17" s="77">
        <v>0.48</v>
      </c>
      <c r="H17" s="77">
        <v>0.47999000000000003</v>
      </c>
      <c r="I17" s="77">
        <v>0.47977999999999998</v>
      </c>
      <c r="J17" s="77">
        <v>0.47793999999999998</v>
      </c>
      <c r="K17" s="77">
        <v>0.4713</v>
      </c>
      <c r="L17" s="77">
        <v>0.45933000000000002</v>
      </c>
      <c r="M17" s="77">
        <v>0.43775999999999998</v>
      </c>
      <c r="N17" s="77">
        <v>0.38646999999999998</v>
      </c>
      <c r="O17" s="77">
        <v>0.28641</v>
      </c>
      <c r="P17" s="77"/>
      <c r="Q17" s="77"/>
      <c r="R17" s="77"/>
      <c r="S17" s="77"/>
      <c r="T17" s="77"/>
      <c r="U17" s="77"/>
      <c r="V17" s="77"/>
      <c r="W17" s="77"/>
      <c r="X17" s="77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1</v>
      </c>
      <c r="B18" s="70">
        <f t="shared" si="0"/>
        <v>0</v>
      </c>
      <c r="C18" s="70">
        <f t="shared" si="0"/>
        <v>0</v>
      </c>
      <c r="D18" s="70">
        <f t="shared" si="0"/>
        <v>0</v>
      </c>
      <c r="E18" s="11" t="s">
        <v>36</v>
      </c>
      <c r="F18" s="77">
        <v>-18.62</v>
      </c>
      <c r="G18" s="77">
        <v>-18.649999999999999</v>
      </c>
      <c r="H18" s="77">
        <v>-18.77</v>
      </c>
      <c r="I18" s="77">
        <v>-18.93</v>
      </c>
      <c r="J18" s="77">
        <v>-19.100000000000001</v>
      </c>
      <c r="K18" s="77">
        <v>-19.3</v>
      </c>
      <c r="L18" s="77">
        <v>-19.510000000000002</v>
      </c>
      <c r="M18" s="77">
        <v>-19.73</v>
      </c>
      <c r="N18" s="77">
        <v>-19.97</v>
      </c>
      <c r="O18" s="77">
        <v>-20.29</v>
      </c>
      <c r="P18" s="77"/>
      <c r="Q18" s="77"/>
      <c r="R18" s="77"/>
      <c r="S18" s="77"/>
      <c r="T18" s="77"/>
      <c r="U18" s="77"/>
      <c r="V18" s="77"/>
      <c r="W18" s="77"/>
      <c r="X18" s="77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0</v>
      </c>
      <c r="C19" s="70">
        <f t="shared" si="0"/>
        <v>0</v>
      </c>
      <c r="D19" s="70">
        <f t="shared" si="0"/>
        <v>1</v>
      </c>
      <c r="E19" s="11" t="s">
        <v>5</v>
      </c>
      <c r="F19" s="77">
        <v>-6.97</v>
      </c>
      <c r="G19" s="77">
        <v>-7.5640000000000001</v>
      </c>
      <c r="H19" s="77">
        <v>-8.0820000000000007</v>
      </c>
      <c r="I19" s="77">
        <v>-8.5380000000000003</v>
      </c>
      <c r="J19" s="77">
        <v>-8.9749999999999996</v>
      </c>
      <c r="K19" s="77">
        <v>-9.4849999999999994</v>
      </c>
      <c r="L19" s="77">
        <v>-10.1</v>
      </c>
      <c r="M19" s="77">
        <v>-10.74</v>
      </c>
      <c r="N19" s="77">
        <v>-11.33</v>
      </c>
      <c r="O19" s="77">
        <v>-11.86</v>
      </c>
      <c r="P19" s="77"/>
      <c r="Q19" s="77"/>
      <c r="R19" s="77"/>
      <c r="S19" s="77"/>
      <c r="T19" s="77"/>
      <c r="U19" s="77"/>
      <c r="V19" s="77"/>
      <c r="W19" s="77"/>
      <c r="X19" s="77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1</v>
      </c>
      <c r="D20" s="70">
        <f t="shared" si="1"/>
        <v>0</v>
      </c>
      <c r="E20" s="11" t="s">
        <v>6</v>
      </c>
      <c r="F20" s="77">
        <v>7.3579999999999997</v>
      </c>
      <c r="G20" s="77">
        <v>3.758</v>
      </c>
      <c r="H20" s="77">
        <v>1.355</v>
      </c>
      <c r="I20" s="77">
        <v>-0.39240000000000003</v>
      </c>
      <c r="J20" s="77">
        <v>-1.7310000000000001</v>
      </c>
      <c r="K20" s="77">
        <v>-2.7839999999999998</v>
      </c>
      <c r="L20" s="77">
        <v>-3.6349999999999998</v>
      </c>
      <c r="M20" s="77">
        <v>-4.3380000000000001</v>
      </c>
      <c r="N20" s="77">
        <v>-4.8959999999999999</v>
      </c>
      <c r="O20" s="77">
        <v>-5.2809999999999997</v>
      </c>
      <c r="P20" s="77"/>
      <c r="Q20" s="77"/>
      <c r="R20" s="77"/>
      <c r="S20" s="77"/>
      <c r="T20" s="77"/>
      <c r="U20" s="77"/>
      <c r="V20" s="77"/>
      <c r="W20" s="77"/>
      <c r="X20" s="77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67" t="s">
        <v>7</v>
      </c>
      <c r="F21" s="12">
        <v>-4.7</v>
      </c>
      <c r="G21" s="12">
        <v>-5.1369999999999996</v>
      </c>
      <c r="H21" s="12">
        <v>-5.6130000000000004</v>
      </c>
      <c r="I21" s="12">
        <v>-6.07</v>
      </c>
      <c r="J21" s="12">
        <v>-6.4909999999999997</v>
      </c>
      <c r="K21" s="12">
        <v>-6.8710000000000004</v>
      </c>
      <c r="L21" s="12">
        <v>-7.2160000000000002</v>
      </c>
      <c r="M21" s="12">
        <v>-7.5439999999999996</v>
      </c>
      <c r="N21" s="12">
        <v>-7.8849999999999998</v>
      </c>
      <c r="O21" s="12">
        <v>-8.2889999999999997</v>
      </c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 t="shared" ref="D34:D37" si="3">MATCH(C34,$E$4:$E$33)</f>
        <v>15</v>
      </c>
      <c r="E34" s="24" t="str">
        <f ca="1">OFFSET($E$3:$AL$3,$D34,0)</f>
        <v>H (Ar)</v>
      </c>
      <c r="F34" s="28">
        <f t="shared" ref="F34:AL37" ca="1" si="4">OFFSET($E$3:$AL$3,$D34,0)</f>
        <v>-18.62</v>
      </c>
      <c r="G34" s="28">
        <f t="shared" ca="1" si="4"/>
        <v>-18.649999999999999</v>
      </c>
      <c r="H34" s="28">
        <f t="shared" ca="1" si="4"/>
        <v>-18.77</v>
      </c>
      <c r="I34" s="28">
        <f t="shared" ca="1" si="4"/>
        <v>-18.93</v>
      </c>
      <c r="J34" s="28">
        <f t="shared" ca="1" si="4"/>
        <v>-19.100000000000001</v>
      </c>
      <c r="K34" s="28">
        <f t="shared" ca="1" si="4"/>
        <v>-19.3</v>
      </c>
      <c r="L34" s="28">
        <f t="shared" ca="1" si="4"/>
        <v>-19.510000000000002</v>
      </c>
      <c r="M34" s="28">
        <f t="shared" ca="1" si="4"/>
        <v>-19.73</v>
      </c>
      <c r="N34" s="28">
        <f t="shared" ca="1" si="4"/>
        <v>-19.97</v>
      </c>
      <c r="O34" s="28">
        <f t="shared" ca="1" si="4"/>
        <v>-20.29</v>
      </c>
      <c r="P34" s="28">
        <f t="shared" ca="1" si="4"/>
        <v>0</v>
      </c>
      <c r="Q34" s="28">
        <f t="shared" ca="1" si="4"/>
        <v>0</v>
      </c>
      <c r="R34" s="28">
        <f t="shared" ca="1" si="4"/>
        <v>0</v>
      </c>
      <c r="S34" s="28">
        <f t="shared" ca="1" si="4"/>
        <v>0</v>
      </c>
      <c r="T34" s="28">
        <f t="shared" ca="1" si="4"/>
        <v>0</v>
      </c>
      <c r="U34" s="28">
        <f t="shared" ca="1" si="4"/>
        <v>0</v>
      </c>
      <c r="V34" s="28">
        <f t="shared" ca="1" si="4"/>
        <v>0</v>
      </c>
      <c r="W34" s="28">
        <f t="shared" ca="1" si="4"/>
        <v>0</v>
      </c>
      <c r="X34" s="28">
        <f t="shared" ca="1" si="4"/>
        <v>0</v>
      </c>
      <c r="Y34" s="28">
        <f t="shared" ca="1" si="4"/>
        <v>0</v>
      </c>
      <c r="Z34" s="28">
        <f t="shared" ca="1" si="4"/>
        <v>0</v>
      </c>
      <c r="AA34" s="28">
        <f t="shared" ca="1" si="4"/>
        <v>0</v>
      </c>
      <c r="AB34" s="28">
        <f t="shared" ca="1" si="4"/>
        <v>0</v>
      </c>
      <c r="AC34" s="28">
        <f t="shared" ca="1" si="4"/>
        <v>0</v>
      </c>
      <c r="AD34" s="28">
        <f t="shared" ca="1" si="4"/>
        <v>0</v>
      </c>
      <c r="AE34" s="28">
        <f t="shared" ca="1" si="4"/>
        <v>0</v>
      </c>
      <c r="AF34" s="28">
        <f t="shared" ca="1" si="4"/>
        <v>0</v>
      </c>
      <c r="AG34" s="28">
        <f t="shared" ca="1" si="4"/>
        <v>0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si="3"/>
        <v>16</v>
      </c>
      <c r="E35" s="24" t="str">
        <f t="shared" ref="E35:E37" ca="1" si="5">OFFSET($E$3:$AL$3,$D35,0)</f>
        <v>H (Ga)</v>
      </c>
      <c r="F35" s="28">
        <f t="shared" ca="1" si="4"/>
        <v>-6.97</v>
      </c>
      <c r="G35" s="28">
        <f t="shared" ca="1" si="4"/>
        <v>-7.5640000000000001</v>
      </c>
      <c r="H35" s="28">
        <f t="shared" ca="1" si="4"/>
        <v>-8.0820000000000007</v>
      </c>
      <c r="I35" s="28">
        <f t="shared" ca="1" si="4"/>
        <v>-8.5380000000000003</v>
      </c>
      <c r="J35" s="28">
        <f t="shared" ca="1" si="4"/>
        <v>-8.9749999999999996</v>
      </c>
      <c r="K35" s="28">
        <f t="shared" ca="1" si="4"/>
        <v>-9.4849999999999994</v>
      </c>
      <c r="L35" s="28">
        <f t="shared" ca="1" si="4"/>
        <v>-10.1</v>
      </c>
      <c r="M35" s="28">
        <f t="shared" ca="1" si="4"/>
        <v>-10.74</v>
      </c>
      <c r="N35" s="28">
        <f t="shared" ca="1" si="4"/>
        <v>-11.33</v>
      </c>
      <c r="O35" s="28">
        <f t="shared" ca="1" si="4"/>
        <v>-11.86</v>
      </c>
      <c r="P35" s="28">
        <f t="shared" ca="1" si="4"/>
        <v>0</v>
      </c>
      <c r="Q35" s="28">
        <f t="shared" ca="1" si="4"/>
        <v>0</v>
      </c>
      <c r="R35" s="28">
        <f t="shared" ca="1" si="4"/>
        <v>0</v>
      </c>
      <c r="S35" s="28">
        <f t="shared" ca="1" si="4"/>
        <v>0</v>
      </c>
      <c r="T35" s="28">
        <f t="shared" ca="1" si="4"/>
        <v>0</v>
      </c>
      <c r="U35" s="28">
        <f t="shared" ca="1" si="4"/>
        <v>0</v>
      </c>
      <c r="V35" s="28">
        <f t="shared" ca="1" si="4"/>
        <v>0</v>
      </c>
      <c r="W35" s="28">
        <f t="shared" ca="1" si="4"/>
        <v>0</v>
      </c>
      <c r="X35" s="28">
        <f t="shared" ca="1" si="4"/>
        <v>0</v>
      </c>
      <c r="Y35" s="28">
        <f t="shared" ca="1" si="4"/>
        <v>0</v>
      </c>
      <c r="Z35" s="28">
        <f t="shared" ca="1" si="4"/>
        <v>0</v>
      </c>
      <c r="AA35" s="28">
        <f t="shared" ca="1" si="4"/>
        <v>0</v>
      </c>
      <c r="AB35" s="28">
        <f t="shared" ca="1" si="4"/>
        <v>0</v>
      </c>
      <c r="AC35" s="28">
        <f t="shared" ca="1" si="4"/>
        <v>0</v>
      </c>
      <c r="AD35" s="28">
        <f t="shared" ca="1" si="4"/>
        <v>0</v>
      </c>
      <c r="AE35" s="28">
        <f t="shared" ca="1" si="4"/>
        <v>0</v>
      </c>
      <c r="AF35" s="28">
        <f t="shared" ca="1" si="4"/>
        <v>0</v>
      </c>
      <c r="AG35" s="28">
        <f t="shared" ca="1" si="4"/>
        <v>0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3"/>
        <v>17</v>
      </c>
      <c r="E36" s="24" t="str">
        <f t="shared" ca="1" si="5"/>
        <v>H (Ge)</v>
      </c>
      <c r="F36" s="28">
        <f t="shared" ca="1" si="4"/>
        <v>7.3579999999999997</v>
      </c>
      <c r="G36" s="28">
        <f t="shared" ca="1" si="4"/>
        <v>3.758</v>
      </c>
      <c r="H36" s="28">
        <f t="shared" ca="1" si="4"/>
        <v>1.355</v>
      </c>
      <c r="I36" s="28">
        <f t="shared" ca="1" si="4"/>
        <v>-0.39240000000000003</v>
      </c>
      <c r="J36" s="28">
        <f t="shared" ca="1" si="4"/>
        <v>-1.7310000000000001</v>
      </c>
      <c r="K36" s="28">
        <f t="shared" ca="1" si="4"/>
        <v>-2.7839999999999998</v>
      </c>
      <c r="L36" s="28">
        <f t="shared" ca="1" si="4"/>
        <v>-3.6349999999999998</v>
      </c>
      <c r="M36" s="28">
        <f t="shared" ca="1" si="4"/>
        <v>-4.3380000000000001</v>
      </c>
      <c r="N36" s="28">
        <f t="shared" ca="1" si="4"/>
        <v>-4.8959999999999999</v>
      </c>
      <c r="O36" s="28">
        <f t="shared" ca="1" si="4"/>
        <v>-5.2809999999999997</v>
      </c>
      <c r="P36" s="28">
        <f t="shared" ca="1" si="4"/>
        <v>0</v>
      </c>
      <c r="Q36" s="28">
        <f t="shared" ca="1" si="4"/>
        <v>0</v>
      </c>
      <c r="R36" s="28">
        <f t="shared" ca="1" si="4"/>
        <v>0</v>
      </c>
      <c r="S36" s="28">
        <f t="shared" ca="1" si="4"/>
        <v>0</v>
      </c>
      <c r="T36" s="28">
        <f t="shared" ca="1" si="4"/>
        <v>0</v>
      </c>
      <c r="U36" s="28">
        <f t="shared" ca="1" si="4"/>
        <v>0</v>
      </c>
      <c r="V36" s="28">
        <f t="shared" ca="1" si="4"/>
        <v>0</v>
      </c>
      <c r="W36" s="28">
        <f t="shared" ca="1" si="4"/>
        <v>0</v>
      </c>
      <c r="X36" s="28">
        <f t="shared" ca="1" si="4"/>
        <v>0</v>
      </c>
      <c r="Y36" s="28">
        <f t="shared" ca="1" si="4"/>
        <v>0</v>
      </c>
      <c r="Z36" s="28">
        <f t="shared" ca="1" si="4"/>
        <v>0</v>
      </c>
      <c r="AA36" s="28">
        <f t="shared" ca="1" si="4"/>
        <v>0</v>
      </c>
      <c r="AB36" s="28">
        <f t="shared" ca="1" si="4"/>
        <v>0</v>
      </c>
      <c r="AC36" s="28">
        <f t="shared" ca="1" si="4"/>
        <v>0</v>
      </c>
      <c r="AD36" s="28">
        <f t="shared" ca="1" si="4"/>
        <v>0</v>
      </c>
      <c r="AE36" s="28">
        <f t="shared" ca="1" si="4"/>
        <v>0</v>
      </c>
      <c r="AF36" s="28">
        <f t="shared" ca="1" si="4"/>
        <v>0</v>
      </c>
      <c r="AG36" s="28">
        <f t="shared" ca="1" si="4"/>
        <v>0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3"/>
        <v>18</v>
      </c>
      <c r="E37" s="24" t="str">
        <f t="shared" ca="1" si="5"/>
        <v>H (Se)</v>
      </c>
      <c r="F37" s="28">
        <f t="shared" ca="1" si="4"/>
        <v>-4.7</v>
      </c>
      <c r="G37" s="28">
        <f t="shared" ca="1" si="4"/>
        <v>-5.1369999999999996</v>
      </c>
      <c r="H37" s="28">
        <f t="shared" ca="1" si="4"/>
        <v>-5.6130000000000004</v>
      </c>
      <c r="I37" s="28">
        <f t="shared" ca="1" si="4"/>
        <v>-6.07</v>
      </c>
      <c r="J37" s="28">
        <f t="shared" ca="1" si="4"/>
        <v>-6.4909999999999997</v>
      </c>
      <c r="K37" s="28">
        <f t="shared" ca="1" si="4"/>
        <v>-6.8710000000000004</v>
      </c>
      <c r="L37" s="28">
        <f t="shared" ca="1" si="4"/>
        <v>-7.2160000000000002</v>
      </c>
      <c r="M37" s="28">
        <f t="shared" ca="1" si="4"/>
        <v>-7.5439999999999996</v>
      </c>
      <c r="N37" s="28">
        <f t="shared" ca="1" si="4"/>
        <v>-7.8849999999999998</v>
      </c>
      <c r="O37" s="28">
        <f t="shared" ca="1" si="4"/>
        <v>-8.2889999999999997</v>
      </c>
      <c r="P37" s="28">
        <f t="shared" ca="1" si="4"/>
        <v>0</v>
      </c>
      <c r="Q37" s="28">
        <f t="shared" ca="1" si="4"/>
        <v>0</v>
      </c>
      <c r="R37" s="28">
        <f t="shared" ca="1" si="4"/>
        <v>0</v>
      </c>
      <c r="S37" s="28">
        <f t="shared" ca="1" si="4"/>
        <v>0</v>
      </c>
      <c r="T37" s="28">
        <f t="shared" ca="1" si="4"/>
        <v>0</v>
      </c>
      <c r="U37" s="28">
        <f t="shared" ca="1" si="4"/>
        <v>0</v>
      </c>
      <c r="V37" s="28">
        <f t="shared" ca="1" si="4"/>
        <v>0</v>
      </c>
      <c r="W37" s="28">
        <f t="shared" ca="1" si="4"/>
        <v>0</v>
      </c>
      <c r="X37" s="28">
        <f t="shared" ca="1" si="4"/>
        <v>0</v>
      </c>
      <c r="Y37" s="28">
        <f t="shared" ca="1" si="4"/>
        <v>0</v>
      </c>
      <c r="Z37" s="28">
        <f t="shared" ca="1" si="4"/>
        <v>0</v>
      </c>
      <c r="AA37" s="28">
        <f t="shared" ca="1" si="4"/>
        <v>0</v>
      </c>
      <c r="AB37" s="28">
        <f t="shared" ca="1" si="4"/>
        <v>0</v>
      </c>
      <c r="AC37" s="28">
        <f t="shared" ca="1" si="4"/>
        <v>0</v>
      </c>
      <c r="AD37" s="28">
        <f t="shared" ca="1" si="4"/>
        <v>0</v>
      </c>
      <c r="AE37" s="28">
        <f t="shared" ca="1" si="4"/>
        <v>0</v>
      </c>
      <c r="AF37" s="28">
        <f t="shared" ca="1" si="4"/>
        <v>0</v>
      </c>
      <c r="AG37" s="28">
        <f t="shared" ca="1" si="4"/>
        <v>0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7">($B$41*H.Ge+$C$41*H.Ga+$D$41*H.Se)*F$40*$B$2/1000</f>
        <v>-9.9123185284000037</v>
      </c>
      <c r="G41" s="21">
        <f t="shared" ca="1" si="7"/>
        <v>-26.592367341199999</v>
      </c>
      <c r="H41" s="21">
        <f t="shared" ca="1" si="7"/>
        <v>-45.413844729750004</v>
      </c>
      <c r="I41" s="21">
        <f t="shared" ca="1" si="7"/>
        <v>-65.900954484720003</v>
      </c>
      <c r="J41" s="21">
        <f t="shared" ca="1" si="7"/>
        <v>-87.763889886200005</v>
      </c>
      <c r="K41" s="21">
        <f t="shared" ca="1" si="7"/>
        <v>-110.82023174650001</v>
      </c>
      <c r="L41" s="21">
        <f t="shared" ca="1" si="7"/>
        <v>-135.02988483055003</v>
      </c>
      <c r="M41" s="21">
        <f t="shared" ca="1" si="7"/>
        <v>-160.39111999949998</v>
      </c>
      <c r="N41" s="21">
        <f t="shared" ca="1" si="7"/>
        <v>-186.80768499840005</v>
      </c>
      <c r="O41" s="21">
        <f t="shared" ca="1" si="7"/>
        <v>-214.6166455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8">E3</f>
        <v>0</v>
      </c>
      <c r="F49" s="8">
        <f t="shared" si="8"/>
        <v>273.10000000000002</v>
      </c>
      <c r="G49" s="8">
        <f t="shared" si="8"/>
        <v>353.9</v>
      </c>
      <c r="H49" s="8">
        <f t="shared" si="8"/>
        <v>434.7</v>
      </c>
      <c r="I49" s="8">
        <f t="shared" si="8"/>
        <v>515.4</v>
      </c>
      <c r="J49" s="8">
        <f t="shared" si="8"/>
        <v>596.20000000000005</v>
      </c>
      <c r="K49" s="8">
        <f t="shared" si="8"/>
        <v>677</v>
      </c>
      <c r="L49" s="8">
        <f t="shared" si="8"/>
        <v>757.7</v>
      </c>
      <c r="M49" s="8">
        <f t="shared" si="8"/>
        <v>838.5</v>
      </c>
      <c r="N49" s="8">
        <f t="shared" si="8"/>
        <v>919.2</v>
      </c>
      <c r="O49" s="8">
        <f t="shared" si="8"/>
        <v>1000</v>
      </c>
      <c r="P49" s="8">
        <f t="shared" si="8"/>
        <v>0</v>
      </c>
      <c r="Q49" s="8">
        <f t="shared" si="8"/>
        <v>0</v>
      </c>
      <c r="R49" s="8">
        <f t="shared" si="8"/>
        <v>0</v>
      </c>
      <c r="S49" s="8">
        <f t="shared" si="8"/>
        <v>0</v>
      </c>
      <c r="T49" s="8">
        <f t="shared" si="8"/>
        <v>0</v>
      </c>
      <c r="U49" s="8">
        <f t="shared" si="8"/>
        <v>0</v>
      </c>
      <c r="V49" s="8">
        <f t="shared" si="8"/>
        <v>0</v>
      </c>
      <c r="W49" s="8">
        <f t="shared" si="8"/>
        <v>0</v>
      </c>
      <c r="X49" s="8">
        <f t="shared" si="8"/>
        <v>0</v>
      </c>
      <c r="Y49" s="8">
        <f t="shared" si="8"/>
        <v>0</v>
      </c>
      <c r="Z49" s="8">
        <f t="shared" si="8"/>
        <v>0</v>
      </c>
      <c r="AA49" s="8">
        <f t="shared" si="8"/>
        <v>0</v>
      </c>
      <c r="AB49" s="8">
        <f t="shared" si="8"/>
        <v>0</v>
      </c>
      <c r="AC49" s="8">
        <f t="shared" si="8"/>
        <v>0</v>
      </c>
      <c r="AD49" s="8">
        <f t="shared" si="8"/>
        <v>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1</v>
      </c>
      <c r="C50" s="10">
        <f t="shared" si="9"/>
        <v>0</v>
      </c>
      <c r="D50" s="10">
        <f t="shared" si="9"/>
        <v>0</v>
      </c>
      <c r="E50" s="11" t="str">
        <f t="shared" si="9"/>
        <v>*Se[l]</v>
      </c>
      <c r="F50" s="28">
        <f t="shared" ref="F50:O59" ca="1" si="10">$A50*H.Ar + $B50*H.Se + $C50*H.Ge + $D50*H.Ga</f>
        <v>-4.7</v>
      </c>
      <c r="G50" s="28">
        <f t="shared" ca="1" si="10"/>
        <v>-5.1369999999999996</v>
      </c>
      <c r="H50" s="28">
        <f t="shared" ca="1" si="10"/>
        <v>-5.6130000000000004</v>
      </c>
      <c r="I50" s="28">
        <f t="shared" ca="1" si="10"/>
        <v>-6.07</v>
      </c>
      <c r="J50" s="28">
        <f t="shared" ca="1" si="10"/>
        <v>-6.4909999999999997</v>
      </c>
      <c r="K50" s="28">
        <f t="shared" ca="1" si="10"/>
        <v>-6.8710000000000004</v>
      </c>
      <c r="L50" s="28">
        <f t="shared" ca="1" si="10"/>
        <v>-7.2160000000000002</v>
      </c>
      <c r="M50" s="28">
        <f t="shared" ca="1" si="10"/>
        <v>-7.5439999999999996</v>
      </c>
      <c r="N50" s="28">
        <f t="shared" ca="1" si="10"/>
        <v>-7.8849999999999998</v>
      </c>
      <c r="O50" s="28">
        <f t="shared" ca="1" si="10"/>
        <v>-8.2889999999999997</v>
      </c>
      <c r="P50" s="28">
        <f t="shared" ref="P50:AE59" ca="1" si="11">$A50*H.Ar + $B50*H.Se + $C50*H.Ge + $D50*H.Ga</f>
        <v>0</v>
      </c>
      <c r="Q50" s="28">
        <f t="shared" ca="1" si="11"/>
        <v>0</v>
      </c>
      <c r="R50" s="28">
        <f t="shared" ca="1" si="11"/>
        <v>0</v>
      </c>
      <c r="S50" s="28">
        <f t="shared" ca="1" si="11"/>
        <v>0</v>
      </c>
      <c r="T50" s="28">
        <f t="shared" ca="1" si="11"/>
        <v>0</v>
      </c>
      <c r="U50" s="28">
        <f t="shared" ca="1" si="11"/>
        <v>0</v>
      </c>
      <c r="V50" s="28">
        <f t="shared" ca="1" si="11"/>
        <v>0</v>
      </c>
      <c r="W50" s="28">
        <f t="shared" ca="1" si="11"/>
        <v>0</v>
      </c>
      <c r="X50" s="28">
        <f t="shared" ca="1" si="11"/>
        <v>0</v>
      </c>
      <c r="Y50" s="28">
        <f t="shared" ca="1" si="11"/>
        <v>0</v>
      </c>
      <c r="Z50" s="28">
        <f t="shared" ca="1" si="11"/>
        <v>0</v>
      </c>
      <c r="AA50" s="28">
        <f t="shared" ca="1" si="11"/>
        <v>0</v>
      </c>
      <c r="AB50" s="28">
        <f t="shared" ca="1" si="11"/>
        <v>0</v>
      </c>
      <c r="AC50" s="28">
        <f t="shared" ca="1" si="11"/>
        <v>0</v>
      </c>
      <c r="AD50" s="28">
        <f t="shared" ca="1" si="11"/>
        <v>0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3</v>
      </c>
      <c r="C51" s="10">
        <f t="shared" si="9"/>
        <v>0</v>
      </c>
      <c r="D51" s="10">
        <f t="shared" si="9"/>
        <v>0</v>
      </c>
      <c r="E51" s="11" t="str">
        <f t="shared" si="9"/>
        <v>Se3</v>
      </c>
      <c r="F51" s="28">
        <f t="shared" ca="1" si="10"/>
        <v>-14.100000000000001</v>
      </c>
      <c r="G51" s="28">
        <f t="shared" ca="1" si="10"/>
        <v>-15.410999999999998</v>
      </c>
      <c r="H51" s="28">
        <f t="shared" ca="1" si="10"/>
        <v>-16.839000000000002</v>
      </c>
      <c r="I51" s="28">
        <f t="shared" ca="1" si="10"/>
        <v>-18.21</v>
      </c>
      <c r="J51" s="28">
        <f t="shared" ca="1" si="10"/>
        <v>-19.472999999999999</v>
      </c>
      <c r="K51" s="28">
        <f t="shared" ca="1" si="10"/>
        <v>-20.613</v>
      </c>
      <c r="L51" s="28">
        <f t="shared" ca="1" si="10"/>
        <v>-21.648</v>
      </c>
      <c r="M51" s="28">
        <f t="shared" ca="1" si="10"/>
        <v>-22.631999999999998</v>
      </c>
      <c r="N51" s="28">
        <f t="shared" ca="1" si="10"/>
        <v>-23.655000000000001</v>
      </c>
      <c r="O51" s="28">
        <f t="shared" ca="1" si="10"/>
        <v>-24.866999999999997</v>
      </c>
      <c r="P51" s="28">
        <f t="shared" ca="1" si="11"/>
        <v>0</v>
      </c>
      <c r="Q51" s="28">
        <f t="shared" ca="1" si="11"/>
        <v>0</v>
      </c>
      <c r="R51" s="28">
        <f t="shared" ca="1" si="11"/>
        <v>0</v>
      </c>
      <c r="S51" s="28">
        <f t="shared" ca="1" si="11"/>
        <v>0</v>
      </c>
      <c r="T51" s="28">
        <f t="shared" ca="1" si="11"/>
        <v>0</v>
      </c>
      <c r="U51" s="28">
        <f t="shared" ca="1" si="11"/>
        <v>0</v>
      </c>
      <c r="V51" s="28">
        <f t="shared" ca="1" si="11"/>
        <v>0</v>
      </c>
      <c r="W51" s="28">
        <f t="shared" ca="1" si="11"/>
        <v>0</v>
      </c>
      <c r="X51" s="28">
        <f t="shared" ca="1" si="11"/>
        <v>0</v>
      </c>
      <c r="Y51" s="28">
        <f t="shared" ref="Y51:AL65" ca="1" si="13">$A51*H.Ar + $B51*H.Se + $C51*H.Ge + $D51*H.Ga</f>
        <v>0</v>
      </c>
      <c r="Z51" s="28">
        <f t="shared" ca="1" si="13"/>
        <v>0</v>
      </c>
      <c r="AA51" s="28">
        <f t="shared" ca="1" si="13"/>
        <v>0</v>
      </c>
      <c r="AB51" s="28">
        <f t="shared" ca="1" si="13"/>
        <v>0</v>
      </c>
      <c r="AC51" s="28">
        <f t="shared" ca="1" si="13"/>
        <v>0</v>
      </c>
      <c r="AD51" s="28">
        <f t="shared" ca="1" si="13"/>
        <v>0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4</v>
      </c>
      <c r="C52" s="10">
        <f t="shared" si="9"/>
        <v>0</v>
      </c>
      <c r="D52" s="10">
        <f t="shared" si="9"/>
        <v>0</v>
      </c>
      <c r="E52" s="11" t="str">
        <f t="shared" si="9"/>
        <v>Se4</v>
      </c>
      <c r="F52" s="28">
        <f t="shared" ca="1" si="10"/>
        <v>-18.8</v>
      </c>
      <c r="G52" s="28">
        <f t="shared" ca="1" si="10"/>
        <v>-20.547999999999998</v>
      </c>
      <c r="H52" s="28">
        <f t="shared" ca="1" si="10"/>
        <v>-22.452000000000002</v>
      </c>
      <c r="I52" s="28">
        <f t="shared" ca="1" si="10"/>
        <v>-24.28</v>
      </c>
      <c r="J52" s="28">
        <f t="shared" ca="1" si="10"/>
        <v>-25.963999999999999</v>
      </c>
      <c r="K52" s="28">
        <f t="shared" ca="1" si="10"/>
        <v>-27.484000000000002</v>
      </c>
      <c r="L52" s="28">
        <f t="shared" ca="1" si="10"/>
        <v>-28.864000000000001</v>
      </c>
      <c r="M52" s="28">
        <f t="shared" ca="1" si="10"/>
        <v>-30.175999999999998</v>
      </c>
      <c r="N52" s="28">
        <f t="shared" ca="1" si="10"/>
        <v>-31.54</v>
      </c>
      <c r="O52" s="28">
        <f t="shared" ca="1" si="10"/>
        <v>-33.155999999999999</v>
      </c>
      <c r="P52" s="28">
        <f t="shared" ca="1" si="11"/>
        <v>0</v>
      </c>
      <c r="Q52" s="28">
        <f t="shared" ca="1" si="11"/>
        <v>0</v>
      </c>
      <c r="R52" s="28">
        <f t="shared" ca="1" si="11"/>
        <v>0</v>
      </c>
      <c r="S52" s="28">
        <f t="shared" ca="1" si="11"/>
        <v>0</v>
      </c>
      <c r="T52" s="28">
        <f t="shared" ca="1" si="11"/>
        <v>0</v>
      </c>
      <c r="U52" s="28">
        <f t="shared" ca="1" si="11"/>
        <v>0</v>
      </c>
      <c r="V52" s="28">
        <f t="shared" ca="1" si="11"/>
        <v>0</v>
      </c>
      <c r="W52" s="28">
        <f t="shared" ca="1" si="11"/>
        <v>0</v>
      </c>
      <c r="X52" s="28">
        <f t="shared" ca="1" si="11"/>
        <v>0</v>
      </c>
      <c r="Y52" s="28">
        <f t="shared" ca="1" si="13"/>
        <v>0</v>
      </c>
      <c r="Z52" s="28">
        <f t="shared" ca="1" si="13"/>
        <v>0</v>
      </c>
      <c r="AA52" s="28">
        <f t="shared" ca="1" si="13"/>
        <v>0</v>
      </c>
      <c r="AB52" s="28">
        <f t="shared" ca="1" si="13"/>
        <v>0</v>
      </c>
      <c r="AC52" s="28">
        <f t="shared" ca="1" si="13"/>
        <v>0</v>
      </c>
      <c r="AD52" s="28">
        <f t="shared" ca="1" si="13"/>
        <v>0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5</v>
      </c>
      <c r="C53" s="10">
        <f t="shared" si="9"/>
        <v>0</v>
      </c>
      <c r="D53" s="10">
        <f t="shared" si="9"/>
        <v>0</v>
      </c>
      <c r="E53" s="11" t="str">
        <f t="shared" si="9"/>
        <v>Se5</v>
      </c>
      <c r="F53" s="28">
        <f t="shared" ca="1" si="10"/>
        <v>-23.5</v>
      </c>
      <c r="G53" s="28">
        <f t="shared" ca="1" si="10"/>
        <v>-25.684999999999999</v>
      </c>
      <c r="H53" s="28">
        <f t="shared" ca="1" si="10"/>
        <v>-28.065000000000001</v>
      </c>
      <c r="I53" s="28">
        <f t="shared" ca="1" si="10"/>
        <v>-30.35</v>
      </c>
      <c r="J53" s="28">
        <f t="shared" ca="1" si="10"/>
        <v>-32.454999999999998</v>
      </c>
      <c r="K53" s="28">
        <f t="shared" ca="1" si="10"/>
        <v>-34.355000000000004</v>
      </c>
      <c r="L53" s="28">
        <f t="shared" ca="1" si="10"/>
        <v>-36.08</v>
      </c>
      <c r="M53" s="28">
        <f t="shared" ca="1" si="10"/>
        <v>-37.72</v>
      </c>
      <c r="N53" s="28">
        <f t="shared" ca="1" si="10"/>
        <v>-39.424999999999997</v>
      </c>
      <c r="O53" s="28">
        <f t="shared" ca="1" si="10"/>
        <v>-41.445</v>
      </c>
      <c r="P53" s="28">
        <f t="shared" ca="1" si="11"/>
        <v>0</v>
      </c>
      <c r="Q53" s="28">
        <f t="shared" ca="1" si="11"/>
        <v>0</v>
      </c>
      <c r="R53" s="28">
        <f t="shared" ca="1" si="11"/>
        <v>0</v>
      </c>
      <c r="S53" s="28">
        <f t="shared" ca="1" si="11"/>
        <v>0</v>
      </c>
      <c r="T53" s="28">
        <f t="shared" ca="1" si="11"/>
        <v>0</v>
      </c>
      <c r="U53" s="28">
        <f t="shared" ca="1" si="11"/>
        <v>0</v>
      </c>
      <c r="V53" s="28">
        <f t="shared" ca="1" si="11"/>
        <v>0</v>
      </c>
      <c r="W53" s="28">
        <f t="shared" ca="1" si="11"/>
        <v>0</v>
      </c>
      <c r="X53" s="28">
        <f t="shared" ca="1" si="11"/>
        <v>0</v>
      </c>
      <c r="Y53" s="28">
        <f t="shared" ca="1" si="13"/>
        <v>0</v>
      </c>
      <c r="Z53" s="28">
        <f t="shared" ca="1" si="13"/>
        <v>0</v>
      </c>
      <c r="AA53" s="28">
        <f t="shared" ca="1" si="13"/>
        <v>0</v>
      </c>
      <c r="AB53" s="28">
        <f t="shared" ca="1" si="13"/>
        <v>0</v>
      </c>
      <c r="AC53" s="28">
        <f t="shared" ca="1" si="13"/>
        <v>0</v>
      </c>
      <c r="AD53" s="28">
        <f t="shared" ca="1" si="13"/>
        <v>0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6</v>
      </c>
      <c r="C54" s="10">
        <f t="shared" si="9"/>
        <v>0</v>
      </c>
      <c r="D54" s="10">
        <f t="shared" si="9"/>
        <v>0</v>
      </c>
      <c r="E54" s="11" t="str">
        <f t="shared" si="9"/>
        <v>Se6</v>
      </c>
      <c r="F54" s="28">
        <f t="shared" ca="1" si="10"/>
        <v>-28.200000000000003</v>
      </c>
      <c r="G54" s="28">
        <f t="shared" ca="1" si="10"/>
        <v>-30.821999999999996</v>
      </c>
      <c r="H54" s="28">
        <f t="shared" ca="1" si="10"/>
        <v>-33.678000000000004</v>
      </c>
      <c r="I54" s="28">
        <f t="shared" ca="1" si="10"/>
        <v>-36.42</v>
      </c>
      <c r="J54" s="28">
        <f t="shared" ca="1" si="10"/>
        <v>-38.945999999999998</v>
      </c>
      <c r="K54" s="28">
        <f t="shared" ca="1" si="10"/>
        <v>-41.225999999999999</v>
      </c>
      <c r="L54" s="28">
        <f t="shared" ca="1" si="10"/>
        <v>-43.295999999999999</v>
      </c>
      <c r="M54" s="28">
        <f t="shared" ca="1" si="10"/>
        <v>-45.263999999999996</v>
      </c>
      <c r="N54" s="28">
        <f t="shared" ca="1" si="10"/>
        <v>-47.31</v>
      </c>
      <c r="O54" s="28">
        <f t="shared" ca="1" si="10"/>
        <v>-49.733999999999995</v>
      </c>
      <c r="P54" s="28">
        <f t="shared" ca="1" si="11"/>
        <v>0</v>
      </c>
      <c r="Q54" s="28">
        <f t="shared" ca="1" si="11"/>
        <v>0</v>
      </c>
      <c r="R54" s="28">
        <f t="shared" ca="1" si="11"/>
        <v>0</v>
      </c>
      <c r="S54" s="28">
        <f t="shared" ca="1" si="11"/>
        <v>0</v>
      </c>
      <c r="T54" s="28">
        <f t="shared" ca="1" si="11"/>
        <v>0</v>
      </c>
      <c r="U54" s="28">
        <f t="shared" ca="1" si="11"/>
        <v>0</v>
      </c>
      <c r="V54" s="28">
        <f t="shared" ca="1" si="11"/>
        <v>0</v>
      </c>
      <c r="W54" s="28">
        <f t="shared" ca="1" si="11"/>
        <v>0</v>
      </c>
      <c r="X54" s="28">
        <f t="shared" ca="1" si="11"/>
        <v>0</v>
      </c>
      <c r="Y54" s="28">
        <f t="shared" ca="1" si="13"/>
        <v>0</v>
      </c>
      <c r="Z54" s="28">
        <f t="shared" ca="1" si="13"/>
        <v>0</v>
      </c>
      <c r="AA54" s="28">
        <f t="shared" ca="1" si="13"/>
        <v>0</v>
      </c>
      <c r="AB54" s="28">
        <f t="shared" ca="1" si="13"/>
        <v>0</v>
      </c>
      <c r="AC54" s="28">
        <f t="shared" ca="1" si="13"/>
        <v>0</v>
      </c>
      <c r="AD54" s="28">
        <f t="shared" ca="1" si="13"/>
        <v>0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7</v>
      </c>
      <c r="C55" s="10">
        <f t="shared" si="9"/>
        <v>0</v>
      </c>
      <c r="D55" s="10">
        <f t="shared" si="9"/>
        <v>0</v>
      </c>
      <c r="E55" s="11" t="str">
        <f t="shared" si="9"/>
        <v>Se7</v>
      </c>
      <c r="F55" s="28">
        <f t="shared" ca="1" si="10"/>
        <v>-32.9</v>
      </c>
      <c r="G55" s="28">
        <f t="shared" ca="1" si="10"/>
        <v>-35.958999999999996</v>
      </c>
      <c r="H55" s="28">
        <f t="shared" ca="1" si="10"/>
        <v>-39.291000000000004</v>
      </c>
      <c r="I55" s="28">
        <f t="shared" ca="1" si="10"/>
        <v>-42.49</v>
      </c>
      <c r="J55" s="28">
        <f t="shared" ca="1" si="10"/>
        <v>-45.436999999999998</v>
      </c>
      <c r="K55" s="28">
        <f t="shared" ca="1" si="10"/>
        <v>-48.097000000000001</v>
      </c>
      <c r="L55" s="28">
        <f t="shared" ca="1" si="10"/>
        <v>-50.512</v>
      </c>
      <c r="M55" s="28">
        <f t="shared" ca="1" si="10"/>
        <v>-52.808</v>
      </c>
      <c r="N55" s="28">
        <f t="shared" ca="1" si="10"/>
        <v>-55.195</v>
      </c>
      <c r="O55" s="28">
        <f t="shared" ca="1" si="10"/>
        <v>-58.022999999999996</v>
      </c>
      <c r="P55" s="28">
        <f t="shared" ca="1" si="11"/>
        <v>0</v>
      </c>
      <c r="Q55" s="28">
        <f t="shared" ca="1" si="11"/>
        <v>0</v>
      </c>
      <c r="R55" s="28">
        <f t="shared" ca="1" si="11"/>
        <v>0</v>
      </c>
      <c r="S55" s="28">
        <f t="shared" ca="1" si="11"/>
        <v>0</v>
      </c>
      <c r="T55" s="28">
        <f t="shared" ca="1" si="11"/>
        <v>0</v>
      </c>
      <c r="U55" s="28">
        <f t="shared" ca="1" si="11"/>
        <v>0</v>
      </c>
      <c r="V55" s="28">
        <f t="shared" ca="1" si="11"/>
        <v>0</v>
      </c>
      <c r="W55" s="28">
        <f t="shared" ca="1" si="11"/>
        <v>0</v>
      </c>
      <c r="X55" s="28">
        <f t="shared" ca="1" si="11"/>
        <v>0</v>
      </c>
      <c r="Y55" s="28">
        <f t="shared" ca="1" si="13"/>
        <v>0</v>
      </c>
      <c r="Z55" s="28">
        <f t="shared" ca="1" si="13"/>
        <v>0</v>
      </c>
      <c r="AA55" s="28">
        <f t="shared" ca="1" si="13"/>
        <v>0</v>
      </c>
      <c r="AB55" s="28">
        <f t="shared" ca="1" si="13"/>
        <v>0</v>
      </c>
      <c r="AC55" s="28">
        <f t="shared" ca="1" si="13"/>
        <v>0</v>
      </c>
      <c r="AD55" s="28">
        <f t="shared" ca="1" si="13"/>
        <v>0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8</v>
      </c>
      <c r="C56" s="10">
        <f t="shared" si="9"/>
        <v>0</v>
      </c>
      <c r="D56" s="10">
        <f t="shared" si="9"/>
        <v>0</v>
      </c>
      <c r="E56" s="11" t="str">
        <f t="shared" si="9"/>
        <v>Se8</v>
      </c>
      <c r="F56" s="28">
        <f t="shared" ca="1" si="10"/>
        <v>-37.6</v>
      </c>
      <c r="G56" s="28">
        <f t="shared" ca="1" si="10"/>
        <v>-41.095999999999997</v>
      </c>
      <c r="H56" s="28">
        <f t="shared" ca="1" si="10"/>
        <v>-44.904000000000003</v>
      </c>
      <c r="I56" s="28">
        <f t="shared" ca="1" si="10"/>
        <v>-48.56</v>
      </c>
      <c r="J56" s="28">
        <f t="shared" ca="1" si="10"/>
        <v>-51.927999999999997</v>
      </c>
      <c r="K56" s="28">
        <f t="shared" ca="1" si="10"/>
        <v>-54.968000000000004</v>
      </c>
      <c r="L56" s="28">
        <f t="shared" ca="1" si="10"/>
        <v>-57.728000000000002</v>
      </c>
      <c r="M56" s="28">
        <f t="shared" ca="1" si="10"/>
        <v>-60.351999999999997</v>
      </c>
      <c r="N56" s="28">
        <f t="shared" ca="1" si="10"/>
        <v>-63.08</v>
      </c>
      <c r="O56" s="28">
        <f t="shared" ca="1" si="10"/>
        <v>-66.311999999999998</v>
      </c>
      <c r="P56" s="28">
        <f t="shared" ca="1" si="11"/>
        <v>0</v>
      </c>
      <c r="Q56" s="28">
        <f t="shared" ca="1" si="11"/>
        <v>0</v>
      </c>
      <c r="R56" s="28">
        <f t="shared" ca="1" si="11"/>
        <v>0</v>
      </c>
      <c r="S56" s="28">
        <f t="shared" ca="1" si="11"/>
        <v>0</v>
      </c>
      <c r="T56" s="28">
        <f t="shared" ca="1" si="11"/>
        <v>0</v>
      </c>
      <c r="U56" s="28">
        <f t="shared" ca="1" si="11"/>
        <v>0</v>
      </c>
      <c r="V56" s="28">
        <f t="shared" ca="1" si="11"/>
        <v>0</v>
      </c>
      <c r="W56" s="28">
        <f t="shared" ca="1" si="11"/>
        <v>0</v>
      </c>
      <c r="X56" s="28">
        <f t="shared" ca="1" si="11"/>
        <v>0</v>
      </c>
      <c r="Y56" s="28">
        <f t="shared" ca="1" si="13"/>
        <v>0</v>
      </c>
      <c r="Z56" s="28">
        <f t="shared" ca="1" si="13"/>
        <v>0</v>
      </c>
      <c r="AA56" s="28">
        <f t="shared" ca="1" si="13"/>
        <v>0</v>
      </c>
      <c r="AB56" s="28">
        <f t="shared" ca="1" si="13"/>
        <v>0</v>
      </c>
      <c r="AC56" s="28">
        <f t="shared" ca="1" si="13"/>
        <v>0</v>
      </c>
      <c r="AD56" s="28">
        <f t="shared" ca="1" si="13"/>
        <v>0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2</v>
      </c>
      <c r="C57" s="10">
        <f t="shared" si="9"/>
        <v>0</v>
      </c>
      <c r="D57" s="10">
        <f t="shared" si="9"/>
        <v>0</v>
      </c>
      <c r="E57" s="11" t="str">
        <f t="shared" si="9"/>
        <v>Se2</v>
      </c>
      <c r="F57" s="28">
        <f t="shared" ca="1" si="10"/>
        <v>-9.4</v>
      </c>
      <c r="G57" s="28">
        <f t="shared" ca="1" si="10"/>
        <v>-10.273999999999999</v>
      </c>
      <c r="H57" s="28">
        <f t="shared" ca="1" si="10"/>
        <v>-11.226000000000001</v>
      </c>
      <c r="I57" s="28">
        <f t="shared" ca="1" si="10"/>
        <v>-12.14</v>
      </c>
      <c r="J57" s="28">
        <f t="shared" ca="1" si="10"/>
        <v>-12.981999999999999</v>
      </c>
      <c r="K57" s="28">
        <f t="shared" ca="1" si="10"/>
        <v>-13.742000000000001</v>
      </c>
      <c r="L57" s="28">
        <f t="shared" ca="1" si="10"/>
        <v>-14.432</v>
      </c>
      <c r="M57" s="28">
        <f t="shared" ca="1" si="10"/>
        <v>-15.087999999999999</v>
      </c>
      <c r="N57" s="28">
        <f t="shared" ca="1" si="10"/>
        <v>-15.77</v>
      </c>
      <c r="O57" s="28">
        <f t="shared" ca="1" si="10"/>
        <v>-16.577999999999999</v>
      </c>
      <c r="P57" s="28">
        <f t="shared" ca="1" si="11"/>
        <v>0</v>
      </c>
      <c r="Q57" s="28">
        <f t="shared" ca="1" si="11"/>
        <v>0</v>
      </c>
      <c r="R57" s="28">
        <f t="shared" ca="1" si="11"/>
        <v>0</v>
      </c>
      <c r="S57" s="28">
        <f t="shared" ca="1" si="11"/>
        <v>0</v>
      </c>
      <c r="T57" s="28">
        <f t="shared" ca="1" si="11"/>
        <v>0</v>
      </c>
      <c r="U57" s="28">
        <f t="shared" ca="1" si="11"/>
        <v>0</v>
      </c>
      <c r="V57" s="28">
        <f t="shared" ca="1" si="11"/>
        <v>0</v>
      </c>
      <c r="W57" s="28">
        <f t="shared" ca="1" si="11"/>
        <v>0</v>
      </c>
      <c r="X57" s="28">
        <f t="shared" ca="1" si="11"/>
        <v>0</v>
      </c>
      <c r="Y57" s="28">
        <f t="shared" ca="1" si="13"/>
        <v>0</v>
      </c>
      <c r="Z57" s="28">
        <f t="shared" ca="1" si="13"/>
        <v>0</v>
      </c>
      <c r="AA57" s="28">
        <f t="shared" ca="1" si="13"/>
        <v>0</v>
      </c>
      <c r="AB57" s="28">
        <f t="shared" ca="1" si="13"/>
        <v>0</v>
      </c>
      <c r="AC57" s="28">
        <f t="shared" ca="1" si="13"/>
        <v>0</v>
      </c>
      <c r="AD57" s="28">
        <f t="shared" ca="1" si="13"/>
        <v>0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0</v>
      </c>
      <c r="E58" s="11" t="str">
        <f t="shared" si="9"/>
        <v>Se</v>
      </c>
      <c r="F58" s="28">
        <f t="shared" ca="1" si="10"/>
        <v>-4.7</v>
      </c>
      <c r="G58" s="28">
        <f t="shared" ca="1" si="10"/>
        <v>-5.1369999999999996</v>
      </c>
      <c r="H58" s="28">
        <f t="shared" ca="1" si="10"/>
        <v>-5.6130000000000004</v>
      </c>
      <c r="I58" s="28">
        <f t="shared" ca="1" si="10"/>
        <v>-6.07</v>
      </c>
      <c r="J58" s="28">
        <f t="shared" ca="1" si="10"/>
        <v>-6.4909999999999997</v>
      </c>
      <c r="K58" s="28">
        <f t="shared" ca="1" si="10"/>
        <v>-6.8710000000000004</v>
      </c>
      <c r="L58" s="28">
        <f t="shared" ca="1" si="10"/>
        <v>-7.2160000000000002</v>
      </c>
      <c r="M58" s="28">
        <f t="shared" ca="1" si="10"/>
        <v>-7.5439999999999996</v>
      </c>
      <c r="N58" s="28">
        <f t="shared" ca="1" si="10"/>
        <v>-7.8849999999999998</v>
      </c>
      <c r="O58" s="28">
        <f t="shared" ca="1" si="10"/>
        <v>-8.2889999999999997</v>
      </c>
      <c r="P58" s="28">
        <f t="shared" ca="1" si="11"/>
        <v>0</v>
      </c>
      <c r="Q58" s="28">
        <f t="shared" ca="1" si="11"/>
        <v>0</v>
      </c>
      <c r="R58" s="28">
        <f t="shared" ca="1" si="11"/>
        <v>0</v>
      </c>
      <c r="S58" s="28">
        <f t="shared" ca="1" si="11"/>
        <v>0</v>
      </c>
      <c r="T58" s="28">
        <f t="shared" ca="1" si="11"/>
        <v>0</v>
      </c>
      <c r="U58" s="28">
        <f t="shared" ca="1" si="11"/>
        <v>0</v>
      </c>
      <c r="V58" s="28">
        <f t="shared" ca="1" si="11"/>
        <v>0</v>
      </c>
      <c r="W58" s="28">
        <f t="shared" ca="1" si="11"/>
        <v>0</v>
      </c>
      <c r="X58" s="28">
        <f t="shared" ca="1" si="11"/>
        <v>0</v>
      </c>
      <c r="Y58" s="28">
        <f t="shared" ca="1" si="13"/>
        <v>0</v>
      </c>
      <c r="Z58" s="28">
        <f t="shared" ca="1" si="13"/>
        <v>0</v>
      </c>
      <c r="AA58" s="28">
        <f t="shared" ca="1" si="13"/>
        <v>0</v>
      </c>
      <c r="AB58" s="28">
        <f t="shared" ca="1" si="13"/>
        <v>0</v>
      </c>
      <c r="AC58" s="28">
        <f t="shared" ca="1" si="13"/>
        <v>0</v>
      </c>
      <c r="AD58" s="28">
        <f t="shared" ca="1" si="13"/>
        <v>0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0</v>
      </c>
      <c r="B59" s="10">
        <f t="shared" si="9"/>
        <v>1</v>
      </c>
      <c r="C59" s="10">
        <f t="shared" si="9"/>
        <v>0</v>
      </c>
      <c r="D59" s="10">
        <f t="shared" si="9"/>
        <v>2</v>
      </c>
      <c r="E59" s="11" t="str">
        <f t="shared" si="9"/>
        <v>Ga2Se</v>
      </c>
      <c r="F59" s="28">
        <f t="shared" ca="1" si="10"/>
        <v>-18.64</v>
      </c>
      <c r="G59" s="28">
        <f t="shared" ca="1" si="10"/>
        <v>-20.265000000000001</v>
      </c>
      <c r="H59" s="28">
        <f t="shared" ca="1" si="10"/>
        <v>-21.777000000000001</v>
      </c>
      <c r="I59" s="28">
        <f t="shared" ca="1" si="10"/>
        <v>-23.146000000000001</v>
      </c>
      <c r="J59" s="28">
        <f t="shared" ca="1" si="10"/>
        <v>-24.440999999999999</v>
      </c>
      <c r="K59" s="28">
        <f t="shared" ca="1" si="10"/>
        <v>-25.841000000000001</v>
      </c>
      <c r="L59" s="28">
        <f t="shared" ca="1" si="10"/>
        <v>-27.416</v>
      </c>
      <c r="M59" s="28">
        <f t="shared" ca="1" si="10"/>
        <v>-29.024000000000001</v>
      </c>
      <c r="N59" s="28">
        <f t="shared" ca="1" si="10"/>
        <v>-30.545000000000002</v>
      </c>
      <c r="O59" s="28">
        <f t="shared" ca="1" si="10"/>
        <v>-32.009</v>
      </c>
      <c r="P59" s="28">
        <f t="shared" ca="1" si="11"/>
        <v>0</v>
      </c>
      <c r="Q59" s="28">
        <f t="shared" ca="1" si="11"/>
        <v>0</v>
      </c>
      <c r="R59" s="28">
        <f t="shared" ca="1" si="11"/>
        <v>0</v>
      </c>
      <c r="S59" s="28">
        <f t="shared" ca="1" si="11"/>
        <v>0</v>
      </c>
      <c r="T59" s="28">
        <f t="shared" ca="1" si="11"/>
        <v>0</v>
      </c>
      <c r="U59" s="28">
        <f t="shared" ca="1" si="11"/>
        <v>0</v>
      </c>
      <c r="V59" s="28">
        <f t="shared" ca="1" si="11"/>
        <v>0</v>
      </c>
      <c r="W59" s="28">
        <f t="shared" ca="1" si="11"/>
        <v>0</v>
      </c>
      <c r="X59" s="28">
        <f t="shared" ca="1" si="11"/>
        <v>0</v>
      </c>
      <c r="Y59" s="28">
        <f t="shared" ca="1" si="13"/>
        <v>0</v>
      </c>
      <c r="Z59" s="28">
        <f t="shared" ca="1" si="13"/>
        <v>0</v>
      </c>
      <c r="AA59" s="28">
        <f t="shared" ca="1" si="13"/>
        <v>0</v>
      </c>
      <c r="AB59" s="28">
        <f t="shared" ca="1" si="13"/>
        <v>0</v>
      </c>
      <c r="AC59" s="28">
        <f t="shared" ca="1" si="13"/>
        <v>0</v>
      </c>
      <c r="AD59" s="28">
        <f t="shared" ca="1" si="13"/>
        <v>0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1</v>
      </c>
      <c r="B60" s="10">
        <f t="shared" si="9"/>
        <v>0</v>
      </c>
      <c r="C60" s="10">
        <f t="shared" si="9"/>
        <v>0</v>
      </c>
      <c r="D60" s="10">
        <f t="shared" si="9"/>
        <v>0</v>
      </c>
      <c r="E60" s="11" t="str">
        <f t="shared" si="9"/>
        <v>Ar</v>
      </c>
      <c r="F60" s="28">
        <f t="shared" ref="F60:O69" ca="1" si="14">$A60*H.Ar + $B60*H.Se + $C60*H.Ge + $D60*H.Ga</f>
        <v>-18.62</v>
      </c>
      <c r="G60" s="28">
        <f t="shared" ca="1" si="14"/>
        <v>-18.649999999999999</v>
      </c>
      <c r="H60" s="28">
        <f t="shared" ca="1" si="14"/>
        <v>-18.77</v>
      </c>
      <c r="I60" s="28">
        <f t="shared" ca="1" si="14"/>
        <v>-18.93</v>
      </c>
      <c r="J60" s="28">
        <f t="shared" ca="1" si="14"/>
        <v>-19.100000000000001</v>
      </c>
      <c r="K60" s="28">
        <f t="shared" ca="1" si="14"/>
        <v>-19.3</v>
      </c>
      <c r="L60" s="28">
        <f t="shared" ca="1" si="14"/>
        <v>-19.510000000000002</v>
      </c>
      <c r="M60" s="28">
        <f t="shared" ca="1" si="14"/>
        <v>-19.73</v>
      </c>
      <c r="N60" s="28">
        <f t="shared" ca="1" si="14"/>
        <v>-19.97</v>
      </c>
      <c r="O60" s="28">
        <f t="shared" ca="1" si="14"/>
        <v>-20.29</v>
      </c>
      <c r="P60" s="28">
        <f t="shared" ref="P60:AE69" ca="1" si="15">$A60*H.Ar + $B60*H.Se + $C60*H.Ge + $D60*H.Ga</f>
        <v>0</v>
      </c>
      <c r="Q60" s="28">
        <f t="shared" ca="1" si="15"/>
        <v>0</v>
      </c>
      <c r="R60" s="28">
        <f t="shared" ca="1" si="15"/>
        <v>0</v>
      </c>
      <c r="S60" s="28">
        <f t="shared" ca="1" si="15"/>
        <v>0</v>
      </c>
      <c r="T60" s="28">
        <f t="shared" ca="1" si="15"/>
        <v>0</v>
      </c>
      <c r="U60" s="28">
        <f t="shared" ca="1" si="15"/>
        <v>0</v>
      </c>
      <c r="V60" s="28">
        <f t="shared" ca="1" si="15"/>
        <v>0</v>
      </c>
      <c r="W60" s="28">
        <f t="shared" ca="1" si="15"/>
        <v>0</v>
      </c>
      <c r="X60" s="28">
        <f t="shared" ca="1" si="15"/>
        <v>0</v>
      </c>
      <c r="Y60" s="28">
        <f t="shared" ca="1" si="15"/>
        <v>0</v>
      </c>
      <c r="Z60" s="28">
        <f t="shared" ca="1" si="15"/>
        <v>0</v>
      </c>
      <c r="AA60" s="28">
        <f t="shared" ca="1" si="15"/>
        <v>0</v>
      </c>
      <c r="AB60" s="28">
        <f t="shared" ca="1" si="15"/>
        <v>0</v>
      </c>
      <c r="AC60" s="28">
        <f t="shared" ca="1" si="15"/>
        <v>0</v>
      </c>
      <c r="AD60" s="28">
        <f t="shared" ca="1" si="15"/>
        <v>0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0</v>
      </c>
      <c r="D61" s="10">
        <f t="shared" si="9"/>
        <v>1</v>
      </c>
      <c r="E61" s="11" t="str">
        <f t="shared" si="9"/>
        <v>(l)Ga[l]</v>
      </c>
      <c r="F61" s="28">
        <f t="shared" ca="1" si="14"/>
        <v>-6.97</v>
      </c>
      <c r="G61" s="28">
        <f t="shared" ca="1" si="14"/>
        <v>-7.5640000000000001</v>
      </c>
      <c r="H61" s="28">
        <f t="shared" ca="1" si="14"/>
        <v>-8.0820000000000007</v>
      </c>
      <c r="I61" s="28">
        <f t="shared" ca="1" si="14"/>
        <v>-8.5380000000000003</v>
      </c>
      <c r="J61" s="28">
        <f t="shared" ca="1" si="14"/>
        <v>-8.9749999999999996</v>
      </c>
      <c r="K61" s="28">
        <f t="shared" ca="1" si="14"/>
        <v>-9.4849999999999994</v>
      </c>
      <c r="L61" s="28">
        <f t="shared" ca="1" si="14"/>
        <v>-10.1</v>
      </c>
      <c r="M61" s="28">
        <f t="shared" ca="1" si="14"/>
        <v>-10.74</v>
      </c>
      <c r="N61" s="28">
        <f t="shared" ca="1" si="14"/>
        <v>-11.33</v>
      </c>
      <c r="O61" s="28">
        <f t="shared" ca="1" si="14"/>
        <v>-11.86</v>
      </c>
      <c r="P61" s="28">
        <f t="shared" ca="1" si="15"/>
        <v>0</v>
      </c>
      <c r="Q61" s="28">
        <f t="shared" ca="1" si="15"/>
        <v>0</v>
      </c>
      <c r="R61" s="28">
        <f t="shared" ca="1" si="15"/>
        <v>0</v>
      </c>
      <c r="S61" s="28">
        <f t="shared" ca="1" si="15"/>
        <v>0</v>
      </c>
      <c r="T61" s="28">
        <f t="shared" ca="1" si="15"/>
        <v>0</v>
      </c>
      <c r="U61" s="28">
        <f t="shared" ca="1" si="15"/>
        <v>0</v>
      </c>
      <c r="V61" s="28">
        <f t="shared" ca="1" si="15"/>
        <v>0</v>
      </c>
      <c r="W61" s="28">
        <f t="shared" ca="1" si="15"/>
        <v>0</v>
      </c>
      <c r="X61" s="28">
        <f t="shared" ca="1" si="15"/>
        <v>0</v>
      </c>
      <c r="Y61" s="28">
        <f t="shared" ca="1" si="13"/>
        <v>0</v>
      </c>
      <c r="Z61" s="28">
        <f t="shared" ca="1" si="13"/>
        <v>0</v>
      </c>
      <c r="AA61" s="28">
        <f t="shared" ca="1" si="13"/>
        <v>0</v>
      </c>
      <c r="AB61" s="28">
        <f t="shared" ca="1" si="13"/>
        <v>0</v>
      </c>
      <c r="AC61" s="28">
        <f t="shared" ca="1" si="13"/>
        <v>0</v>
      </c>
      <c r="AD61" s="28">
        <f t="shared" ca="1" si="13"/>
        <v>0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0</v>
      </c>
      <c r="B62" s="10">
        <f t="shared" si="9"/>
        <v>0</v>
      </c>
      <c r="C62" s="10">
        <f t="shared" si="9"/>
        <v>1</v>
      </c>
      <c r="D62" s="10">
        <f t="shared" si="9"/>
        <v>0</v>
      </c>
      <c r="E62" s="11" t="str">
        <f t="shared" si="9"/>
        <v>(l)Ge[l]</v>
      </c>
      <c r="F62" s="28">
        <f t="shared" ca="1" si="14"/>
        <v>7.3579999999999997</v>
      </c>
      <c r="G62" s="28">
        <f t="shared" ca="1" si="14"/>
        <v>3.758</v>
      </c>
      <c r="H62" s="28">
        <f t="shared" ca="1" si="14"/>
        <v>1.355</v>
      </c>
      <c r="I62" s="28">
        <f t="shared" ca="1" si="14"/>
        <v>-0.39240000000000003</v>
      </c>
      <c r="J62" s="28">
        <f t="shared" ca="1" si="14"/>
        <v>-1.7310000000000001</v>
      </c>
      <c r="K62" s="28">
        <f t="shared" ca="1" si="14"/>
        <v>-2.7839999999999998</v>
      </c>
      <c r="L62" s="28">
        <f t="shared" ca="1" si="14"/>
        <v>-3.6349999999999998</v>
      </c>
      <c r="M62" s="28">
        <f t="shared" ca="1" si="14"/>
        <v>-4.3380000000000001</v>
      </c>
      <c r="N62" s="28">
        <f t="shared" ca="1" si="14"/>
        <v>-4.8959999999999999</v>
      </c>
      <c r="O62" s="28">
        <f t="shared" ca="1" si="14"/>
        <v>-5.2809999999999997</v>
      </c>
      <c r="P62" s="28">
        <f t="shared" ca="1" si="15"/>
        <v>0</v>
      </c>
      <c r="Q62" s="28">
        <f t="shared" ca="1" si="15"/>
        <v>0</v>
      </c>
      <c r="R62" s="28">
        <f t="shared" ca="1" si="15"/>
        <v>0</v>
      </c>
      <c r="S62" s="28">
        <f t="shared" ca="1" si="15"/>
        <v>0</v>
      </c>
      <c r="T62" s="28">
        <f t="shared" ca="1" si="15"/>
        <v>0</v>
      </c>
      <c r="U62" s="28">
        <f t="shared" ca="1" si="15"/>
        <v>0</v>
      </c>
      <c r="V62" s="28">
        <f t="shared" ca="1" si="15"/>
        <v>0</v>
      </c>
      <c r="W62" s="28">
        <f t="shared" ca="1" si="15"/>
        <v>0</v>
      </c>
      <c r="X62" s="28">
        <f t="shared" ca="1" si="15"/>
        <v>0</v>
      </c>
      <c r="Y62" s="28">
        <f t="shared" ca="1" si="13"/>
        <v>0</v>
      </c>
      <c r="Z62" s="28">
        <f t="shared" ca="1" si="13"/>
        <v>0</v>
      </c>
      <c r="AA62" s="28">
        <f t="shared" ca="1" si="13"/>
        <v>0</v>
      </c>
      <c r="AB62" s="28">
        <f t="shared" ca="1" si="13"/>
        <v>0</v>
      </c>
      <c r="AC62" s="28">
        <f t="shared" ca="1" si="13"/>
        <v>0</v>
      </c>
      <c r="AD62" s="28">
        <f t="shared" ca="1" si="13"/>
        <v>0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1</v>
      </c>
      <c r="C63" s="10">
        <f t="shared" si="9"/>
        <v>0</v>
      </c>
      <c r="D63" s="10">
        <f t="shared" si="9"/>
        <v>0</v>
      </c>
      <c r="E63" s="11" t="str">
        <f t="shared" si="9"/>
        <v>(l)Se[l]</v>
      </c>
      <c r="F63" s="28">
        <f t="shared" ca="1" si="14"/>
        <v>-4.7</v>
      </c>
      <c r="G63" s="28">
        <f t="shared" ca="1" si="14"/>
        <v>-5.1369999999999996</v>
      </c>
      <c r="H63" s="28">
        <f t="shared" ca="1" si="14"/>
        <v>-5.6130000000000004</v>
      </c>
      <c r="I63" s="28">
        <f t="shared" ca="1" si="14"/>
        <v>-6.07</v>
      </c>
      <c r="J63" s="28">
        <f t="shared" ca="1" si="14"/>
        <v>-6.4909999999999997</v>
      </c>
      <c r="K63" s="28">
        <f t="shared" ca="1" si="14"/>
        <v>-6.8710000000000004</v>
      </c>
      <c r="L63" s="28">
        <f t="shared" ca="1" si="14"/>
        <v>-7.2160000000000002</v>
      </c>
      <c r="M63" s="28">
        <f t="shared" ca="1" si="14"/>
        <v>-7.5439999999999996</v>
      </c>
      <c r="N63" s="28">
        <f t="shared" ca="1" si="14"/>
        <v>-7.8849999999999998</v>
      </c>
      <c r="O63" s="28">
        <f t="shared" ca="1" si="14"/>
        <v>-8.2889999999999997</v>
      </c>
      <c r="P63" s="28">
        <f t="shared" ca="1" si="15"/>
        <v>0</v>
      </c>
      <c r="Q63" s="28">
        <f t="shared" ca="1" si="15"/>
        <v>0</v>
      </c>
      <c r="R63" s="28">
        <f t="shared" ca="1" si="15"/>
        <v>0</v>
      </c>
      <c r="S63" s="28">
        <f t="shared" ca="1" si="15"/>
        <v>0</v>
      </c>
      <c r="T63" s="28">
        <f t="shared" ca="1" si="15"/>
        <v>0</v>
      </c>
      <c r="U63" s="28">
        <f t="shared" ca="1" si="15"/>
        <v>0</v>
      </c>
      <c r="V63" s="28">
        <f t="shared" ca="1" si="15"/>
        <v>0</v>
      </c>
      <c r="W63" s="28">
        <f t="shared" ca="1" si="15"/>
        <v>0</v>
      </c>
      <c r="X63" s="28">
        <f t="shared" ca="1" si="15"/>
        <v>0</v>
      </c>
      <c r="Y63" s="28">
        <f t="shared" ca="1" si="13"/>
        <v>0</v>
      </c>
      <c r="Z63" s="28">
        <f t="shared" ca="1" si="13"/>
        <v>0</v>
      </c>
      <c r="AA63" s="28">
        <f t="shared" ca="1" si="13"/>
        <v>0</v>
      </c>
      <c r="AB63" s="28">
        <f t="shared" ca="1" si="13"/>
        <v>0</v>
      </c>
      <c r="AC63" s="28">
        <f t="shared" ca="1" si="13"/>
        <v>0</v>
      </c>
      <c r="AD63" s="28">
        <f t="shared" ca="1" si="13"/>
        <v>0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1</v>
      </c>
      <c r="B64" s="10">
        <f t="shared" si="9"/>
        <v>0</v>
      </c>
      <c r="C64" s="10">
        <f t="shared" si="9"/>
        <v>0</v>
      </c>
      <c r="D64" s="10">
        <f t="shared" si="9"/>
        <v>0</v>
      </c>
      <c r="E64" s="11" t="str">
        <f t="shared" si="9"/>
        <v>H (Ar)</v>
      </c>
      <c r="F64" s="28">
        <f t="shared" ca="1" si="14"/>
        <v>-18.62</v>
      </c>
      <c r="G64" s="28">
        <f t="shared" ca="1" si="14"/>
        <v>-18.649999999999999</v>
      </c>
      <c r="H64" s="28">
        <f t="shared" ca="1" si="14"/>
        <v>-18.77</v>
      </c>
      <c r="I64" s="28">
        <f t="shared" ca="1" si="14"/>
        <v>-18.93</v>
      </c>
      <c r="J64" s="28">
        <f t="shared" ca="1" si="14"/>
        <v>-19.100000000000001</v>
      </c>
      <c r="K64" s="28">
        <f t="shared" ca="1" si="14"/>
        <v>-19.3</v>
      </c>
      <c r="L64" s="28">
        <f t="shared" ca="1" si="14"/>
        <v>-19.510000000000002</v>
      </c>
      <c r="M64" s="28">
        <f t="shared" ca="1" si="14"/>
        <v>-19.73</v>
      </c>
      <c r="N64" s="28">
        <f t="shared" ca="1" si="14"/>
        <v>-19.97</v>
      </c>
      <c r="O64" s="28">
        <f t="shared" ca="1" si="14"/>
        <v>-20.29</v>
      </c>
      <c r="P64" s="28">
        <f t="shared" ca="1" si="15"/>
        <v>0</v>
      </c>
      <c r="Q64" s="28">
        <f t="shared" ca="1" si="15"/>
        <v>0</v>
      </c>
      <c r="R64" s="28">
        <f t="shared" ca="1" si="15"/>
        <v>0</v>
      </c>
      <c r="S64" s="28">
        <f t="shared" ca="1" si="15"/>
        <v>0</v>
      </c>
      <c r="T64" s="28">
        <f t="shared" ca="1" si="15"/>
        <v>0</v>
      </c>
      <c r="U64" s="28">
        <f t="shared" ca="1" si="15"/>
        <v>0</v>
      </c>
      <c r="V64" s="28">
        <f t="shared" ca="1" si="15"/>
        <v>0</v>
      </c>
      <c r="W64" s="28">
        <f t="shared" ca="1" si="15"/>
        <v>0</v>
      </c>
      <c r="X64" s="28">
        <f t="shared" ca="1" si="15"/>
        <v>0</v>
      </c>
      <c r="Y64" s="28">
        <f t="shared" ca="1" si="13"/>
        <v>0</v>
      </c>
      <c r="Z64" s="28">
        <f t="shared" ca="1" si="13"/>
        <v>0</v>
      </c>
      <c r="AA64" s="28">
        <f t="shared" ca="1" si="13"/>
        <v>0</v>
      </c>
      <c r="AB64" s="28">
        <f t="shared" ca="1" si="13"/>
        <v>0</v>
      </c>
      <c r="AC64" s="28">
        <f t="shared" ca="1" si="13"/>
        <v>0</v>
      </c>
      <c r="AD64" s="28">
        <f t="shared" ca="1" si="13"/>
        <v>0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0</v>
      </c>
      <c r="C65" s="10">
        <f t="shared" si="9"/>
        <v>0</v>
      </c>
      <c r="D65" s="10">
        <f t="shared" si="9"/>
        <v>1</v>
      </c>
      <c r="E65" s="11" t="str">
        <f t="shared" si="9"/>
        <v>H (Ga)</v>
      </c>
      <c r="F65" s="28">
        <f t="shared" ca="1" si="14"/>
        <v>-6.97</v>
      </c>
      <c r="G65" s="28">
        <f t="shared" ca="1" si="14"/>
        <v>-7.5640000000000001</v>
      </c>
      <c r="H65" s="28">
        <f t="shared" ca="1" si="14"/>
        <v>-8.0820000000000007</v>
      </c>
      <c r="I65" s="28">
        <f t="shared" ca="1" si="14"/>
        <v>-8.5380000000000003</v>
      </c>
      <c r="J65" s="28">
        <f t="shared" ca="1" si="14"/>
        <v>-8.9749999999999996</v>
      </c>
      <c r="K65" s="28">
        <f t="shared" ca="1" si="14"/>
        <v>-9.4849999999999994</v>
      </c>
      <c r="L65" s="28">
        <f t="shared" ca="1" si="14"/>
        <v>-10.1</v>
      </c>
      <c r="M65" s="28">
        <f t="shared" ca="1" si="14"/>
        <v>-10.74</v>
      </c>
      <c r="N65" s="28">
        <f t="shared" ca="1" si="14"/>
        <v>-11.33</v>
      </c>
      <c r="O65" s="28">
        <f t="shared" ca="1" si="14"/>
        <v>-11.86</v>
      </c>
      <c r="P65" s="28">
        <f t="shared" ca="1" si="15"/>
        <v>0</v>
      </c>
      <c r="Q65" s="28">
        <f t="shared" ca="1" si="15"/>
        <v>0</v>
      </c>
      <c r="R65" s="28">
        <f t="shared" ca="1" si="15"/>
        <v>0</v>
      </c>
      <c r="S65" s="28">
        <f t="shared" ca="1" si="15"/>
        <v>0</v>
      </c>
      <c r="T65" s="28">
        <f t="shared" ca="1" si="15"/>
        <v>0</v>
      </c>
      <c r="U65" s="28">
        <f t="shared" ca="1" si="15"/>
        <v>0</v>
      </c>
      <c r="V65" s="28">
        <f t="shared" ca="1" si="15"/>
        <v>0</v>
      </c>
      <c r="W65" s="28">
        <f t="shared" ca="1" si="15"/>
        <v>0</v>
      </c>
      <c r="X65" s="28">
        <f t="shared" ca="1" si="15"/>
        <v>0</v>
      </c>
      <c r="Y65" s="28">
        <f t="shared" ca="1" si="13"/>
        <v>0</v>
      </c>
      <c r="Z65" s="28">
        <f t="shared" ca="1" si="13"/>
        <v>0</v>
      </c>
      <c r="AA65" s="28">
        <f t="shared" ca="1" si="13"/>
        <v>0</v>
      </c>
      <c r="AB65" s="28">
        <f t="shared" ca="1" si="13"/>
        <v>0</v>
      </c>
      <c r="AC65" s="28">
        <f t="shared" ca="1" si="13"/>
        <v>0</v>
      </c>
      <c r="AD65" s="28">
        <f t="shared" ca="1" si="13"/>
        <v>0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1</v>
      </c>
      <c r="D66" s="10">
        <f t="shared" si="16"/>
        <v>0</v>
      </c>
      <c r="E66" s="11" t="str">
        <f t="shared" si="16"/>
        <v>H (Ge)</v>
      </c>
      <c r="F66" s="28">
        <f t="shared" ca="1" si="14"/>
        <v>7.3579999999999997</v>
      </c>
      <c r="G66" s="28">
        <f t="shared" ca="1" si="14"/>
        <v>3.758</v>
      </c>
      <c r="H66" s="28">
        <f t="shared" ca="1" si="14"/>
        <v>1.355</v>
      </c>
      <c r="I66" s="28">
        <f t="shared" ca="1" si="14"/>
        <v>-0.39240000000000003</v>
      </c>
      <c r="J66" s="28">
        <f t="shared" ca="1" si="14"/>
        <v>-1.7310000000000001</v>
      </c>
      <c r="K66" s="28">
        <f t="shared" ca="1" si="14"/>
        <v>-2.7839999999999998</v>
      </c>
      <c r="L66" s="28">
        <f t="shared" ca="1" si="14"/>
        <v>-3.6349999999999998</v>
      </c>
      <c r="M66" s="28">
        <f t="shared" ca="1" si="14"/>
        <v>-4.3380000000000001</v>
      </c>
      <c r="N66" s="28">
        <f t="shared" ca="1" si="14"/>
        <v>-4.8959999999999999</v>
      </c>
      <c r="O66" s="28">
        <f t="shared" ca="1" si="14"/>
        <v>-5.2809999999999997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1</v>
      </c>
      <c r="C67" s="10">
        <f t="shared" si="16"/>
        <v>0</v>
      </c>
      <c r="D67" s="10">
        <f t="shared" si="16"/>
        <v>0</v>
      </c>
      <c r="E67" s="11" t="str">
        <f t="shared" si="16"/>
        <v>H (Se)</v>
      </c>
      <c r="F67" s="28">
        <f t="shared" ca="1" si="14"/>
        <v>-4.7</v>
      </c>
      <c r="G67" s="28">
        <f t="shared" ca="1" si="14"/>
        <v>-5.1369999999999996</v>
      </c>
      <c r="H67" s="28">
        <f t="shared" ca="1" si="14"/>
        <v>-5.6130000000000004</v>
      </c>
      <c r="I67" s="28">
        <f t="shared" ca="1" si="14"/>
        <v>-6.07</v>
      </c>
      <c r="J67" s="28">
        <f t="shared" ca="1" si="14"/>
        <v>-6.4909999999999997</v>
      </c>
      <c r="K67" s="28">
        <f t="shared" ca="1" si="14"/>
        <v>-6.8710000000000004</v>
      </c>
      <c r="L67" s="28">
        <f t="shared" ca="1" si="14"/>
        <v>-7.2160000000000002</v>
      </c>
      <c r="M67" s="28">
        <f t="shared" ca="1" si="14"/>
        <v>-7.5439999999999996</v>
      </c>
      <c r="N67" s="28">
        <f t="shared" ca="1" si="14"/>
        <v>-7.8849999999999998</v>
      </c>
      <c r="O67" s="28">
        <f t="shared" ca="1" si="14"/>
        <v>-8.2889999999999997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0">E49</f>
        <v>0</v>
      </c>
      <c r="F83" s="8">
        <f t="shared" ref="F83:AL83" si="21">F3</f>
        <v>273.10000000000002</v>
      </c>
      <c r="G83" s="8">
        <f t="shared" si="21"/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20"/>
        <v>*Se[l]</v>
      </c>
      <c r="F84" s="28">
        <f t="shared" ref="F84:AL91" si="23">F4*$C$82</f>
        <v>9.3475000000000008E-8</v>
      </c>
      <c r="G84" s="28">
        <f t="shared" si="23"/>
        <v>9.5600000000000009E-8</v>
      </c>
      <c r="H84" s="28">
        <f t="shared" si="23"/>
        <v>8.2258333333333337E-8</v>
      </c>
      <c r="I84" s="28">
        <f t="shared" si="23"/>
        <v>8.3879166666666677E-8</v>
      </c>
      <c r="J84" s="28">
        <f t="shared" si="23"/>
        <v>9.5220833333333345E-8</v>
      </c>
      <c r="K84" s="28">
        <f t="shared" si="23"/>
        <v>1.3702500000000002E-7</v>
      </c>
      <c r="L84" s="28">
        <f t="shared" si="23"/>
        <v>1.3250833333333335E-7</v>
      </c>
      <c r="M84" s="28">
        <f t="shared" si="23"/>
        <v>1.2382916666666666E-7</v>
      </c>
      <c r="N84" s="28">
        <f t="shared" si="23"/>
        <v>8.3691666666666663E-8</v>
      </c>
      <c r="O84" s="28">
        <f t="shared" si="23"/>
        <v>6.5808333333333332E-8</v>
      </c>
      <c r="P84" s="28">
        <f t="shared" si="23"/>
        <v>0</v>
      </c>
      <c r="Q84" s="28">
        <f t="shared" si="23"/>
        <v>0</v>
      </c>
      <c r="R84" s="28">
        <f t="shared" si="23"/>
        <v>0</v>
      </c>
      <c r="S84" s="28">
        <f t="shared" si="23"/>
        <v>0</v>
      </c>
      <c r="T84" s="28">
        <f t="shared" si="23"/>
        <v>0</v>
      </c>
      <c r="U84" s="28">
        <f t="shared" si="23"/>
        <v>0</v>
      </c>
      <c r="V84" s="28">
        <f t="shared" si="23"/>
        <v>0</v>
      </c>
      <c r="W84" s="28">
        <f t="shared" si="23"/>
        <v>0</v>
      </c>
      <c r="X84" s="28">
        <f t="shared" si="23"/>
        <v>0</v>
      </c>
      <c r="Y84" s="28">
        <f t="shared" si="23"/>
        <v>0</v>
      </c>
      <c r="Z84" s="28">
        <f t="shared" si="23"/>
        <v>0</v>
      </c>
      <c r="AA84" s="28">
        <f t="shared" si="23"/>
        <v>0</v>
      </c>
      <c r="AB84" s="28">
        <f t="shared" si="23"/>
        <v>0</v>
      </c>
      <c r="AC84" s="28">
        <f t="shared" si="23"/>
        <v>0</v>
      </c>
      <c r="AD84" s="28">
        <f t="shared" si="23"/>
        <v>0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3</v>
      </c>
      <c r="C85" s="10">
        <f t="shared" si="24"/>
        <v>0</v>
      </c>
      <c r="D85" s="10">
        <f t="shared" si="24"/>
        <v>0</v>
      </c>
      <c r="E85" s="11" t="str">
        <f t="shared" si="20"/>
        <v>Se3</v>
      </c>
      <c r="F85" s="28">
        <f t="shared" si="23"/>
        <v>1.1363333333333334E-24</v>
      </c>
      <c r="G85" s="28">
        <f t="shared" si="23"/>
        <v>1.8965E-17</v>
      </c>
      <c r="H85" s="28">
        <f t="shared" si="23"/>
        <v>4.7737500000000007E-13</v>
      </c>
      <c r="I85" s="28">
        <f t="shared" si="23"/>
        <v>4.1463333333333339E-10</v>
      </c>
      <c r="J85" s="28">
        <f t="shared" si="23"/>
        <v>5.1537500000000001E-8</v>
      </c>
      <c r="K85" s="28">
        <f t="shared" si="23"/>
        <v>1.9447083333333336E-6</v>
      </c>
      <c r="L85" s="28">
        <f t="shared" si="23"/>
        <v>3.290291666666667E-5</v>
      </c>
      <c r="M85" s="28">
        <f t="shared" si="23"/>
        <v>3.0299999999999999E-4</v>
      </c>
      <c r="N85" s="28">
        <f t="shared" si="23"/>
        <v>1.7096666666666668E-3</v>
      </c>
      <c r="O85" s="28">
        <f t="shared" si="23"/>
        <v>5.8708333333333338E-3</v>
      </c>
      <c r="P85" s="28">
        <f t="shared" si="23"/>
        <v>0</v>
      </c>
      <c r="Q85" s="28">
        <f t="shared" si="23"/>
        <v>0</v>
      </c>
      <c r="R85" s="28">
        <f t="shared" si="23"/>
        <v>0</v>
      </c>
      <c r="S85" s="28">
        <f t="shared" si="23"/>
        <v>0</v>
      </c>
      <c r="T85" s="28">
        <f t="shared" si="23"/>
        <v>0</v>
      </c>
      <c r="U85" s="28">
        <f t="shared" si="23"/>
        <v>0</v>
      </c>
      <c r="V85" s="28">
        <f t="shared" si="23"/>
        <v>0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4</v>
      </c>
      <c r="C86" s="10">
        <f t="shared" si="24"/>
        <v>0</v>
      </c>
      <c r="D86" s="10">
        <f t="shared" si="24"/>
        <v>0</v>
      </c>
      <c r="E86" s="11" t="str">
        <f t="shared" si="20"/>
        <v>Se4</v>
      </c>
      <c r="F86" s="28">
        <f t="shared" si="23"/>
        <v>1.1941250000000001E-22</v>
      </c>
      <c r="G86" s="28">
        <f t="shared" si="23"/>
        <v>3.8729166666666669E-16</v>
      </c>
      <c r="H86" s="28">
        <f t="shared" si="23"/>
        <v>3.2061250000000001E-12</v>
      </c>
      <c r="I86" s="28">
        <f t="shared" si="23"/>
        <v>1.2381666666666668E-9</v>
      </c>
      <c r="J86" s="28">
        <f t="shared" si="23"/>
        <v>8.2975E-8</v>
      </c>
      <c r="K86" s="28">
        <f t="shared" si="23"/>
        <v>1.9332916666666668E-6</v>
      </c>
      <c r="L86" s="28">
        <f t="shared" si="23"/>
        <v>2.2189166666666668E-5</v>
      </c>
      <c r="M86" s="28">
        <f t="shared" si="23"/>
        <v>1.4639583333333334E-4</v>
      </c>
      <c r="N86" s="28">
        <f t="shared" si="23"/>
        <v>6.0033333333333336E-4</v>
      </c>
      <c r="O86" s="28">
        <f t="shared" si="23"/>
        <v>1.4304583333333335E-3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0</v>
      </c>
      <c r="U86" s="28">
        <f t="shared" si="23"/>
        <v>0</v>
      </c>
      <c r="V86" s="28">
        <f t="shared" si="23"/>
        <v>0</v>
      </c>
      <c r="W86" s="28">
        <f t="shared" si="23"/>
        <v>0</v>
      </c>
      <c r="X86" s="28">
        <f t="shared" si="23"/>
        <v>0</v>
      </c>
      <c r="Y86" s="28">
        <f t="shared" si="23"/>
        <v>0</v>
      </c>
      <c r="Z86" s="28">
        <f t="shared" si="23"/>
        <v>0</v>
      </c>
      <c r="AA86" s="28">
        <f t="shared" si="23"/>
        <v>0</v>
      </c>
      <c r="AB86" s="28">
        <f t="shared" si="23"/>
        <v>0</v>
      </c>
      <c r="AC86" s="28">
        <f t="shared" si="23"/>
        <v>0</v>
      </c>
      <c r="AD86" s="28">
        <f t="shared" si="23"/>
        <v>0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5</v>
      </c>
      <c r="C87" s="10">
        <f t="shared" si="24"/>
        <v>0</v>
      </c>
      <c r="D87" s="10">
        <f t="shared" si="24"/>
        <v>0</v>
      </c>
      <c r="E87" s="11" t="str">
        <f t="shared" si="20"/>
        <v>Se5</v>
      </c>
      <c r="F87" s="28">
        <f t="shared" si="23"/>
        <v>3.4430833333333334E-19</v>
      </c>
      <c r="G87" s="28">
        <f t="shared" si="23"/>
        <v>2.9897916666666669E-13</v>
      </c>
      <c r="H87" s="28">
        <f t="shared" si="23"/>
        <v>1.0087083333333333E-9</v>
      </c>
      <c r="I87" s="28">
        <f t="shared" si="23"/>
        <v>2.0192083333333335E-7</v>
      </c>
      <c r="J87" s="28">
        <f t="shared" si="23"/>
        <v>8.1858333333333339E-6</v>
      </c>
      <c r="K87" s="28">
        <f t="shared" si="23"/>
        <v>1.2880000000000001E-4</v>
      </c>
      <c r="L87" s="28">
        <f t="shared" si="23"/>
        <v>1.0772916666666669E-3</v>
      </c>
      <c r="M87" s="28">
        <f t="shared" si="23"/>
        <v>5.3995833333333335E-3</v>
      </c>
      <c r="N87" s="28">
        <f t="shared" si="23"/>
        <v>1.6897499999999999E-2</v>
      </c>
      <c r="O87" s="28">
        <f t="shared" si="23"/>
        <v>2.9113750000000004E-2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0</v>
      </c>
      <c r="U87" s="28">
        <f t="shared" si="23"/>
        <v>0</v>
      </c>
      <c r="V87" s="28">
        <f t="shared" si="23"/>
        <v>0</v>
      </c>
      <c r="W87" s="28">
        <f t="shared" si="23"/>
        <v>0</v>
      </c>
      <c r="X87" s="28">
        <f t="shared" si="23"/>
        <v>0</v>
      </c>
      <c r="Y87" s="28">
        <f t="shared" si="23"/>
        <v>0</v>
      </c>
      <c r="Z87" s="28">
        <f t="shared" si="23"/>
        <v>0</v>
      </c>
      <c r="AA87" s="28">
        <f t="shared" si="23"/>
        <v>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6</v>
      </c>
      <c r="C88" s="10">
        <f t="shared" si="24"/>
        <v>0</v>
      </c>
      <c r="D88" s="10">
        <f t="shared" si="24"/>
        <v>0</v>
      </c>
      <c r="E88" s="11" t="str">
        <f t="shared" si="20"/>
        <v>Se6</v>
      </c>
      <c r="F88" s="28">
        <f t="shared" si="23"/>
        <v>1.3202083333333333E-16</v>
      </c>
      <c r="G88" s="28">
        <f t="shared" si="23"/>
        <v>1.1727083333333334E-11</v>
      </c>
      <c r="H88" s="28">
        <f t="shared" si="23"/>
        <v>8.7587500000000006E-9</v>
      </c>
      <c r="I88" s="28">
        <f t="shared" si="23"/>
        <v>5.960833333333334E-7</v>
      </c>
      <c r="J88" s="28">
        <f t="shared" si="23"/>
        <v>1.0733333333333334E-5</v>
      </c>
      <c r="K88" s="28">
        <f t="shared" si="23"/>
        <v>9.0070833333333338E-5</v>
      </c>
      <c r="L88" s="28">
        <f t="shared" si="23"/>
        <v>4.5575000000000005E-4</v>
      </c>
      <c r="M88" s="28">
        <f t="shared" si="23"/>
        <v>1.4924583333333333E-3</v>
      </c>
      <c r="N88" s="28">
        <f t="shared" si="23"/>
        <v>3.1472916666666667E-3</v>
      </c>
      <c r="O88" s="28">
        <f t="shared" si="23"/>
        <v>3.5322500000000002E-3</v>
      </c>
      <c r="P88" s="28">
        <f t="shared" si="23"/>
        <v>0</v>
      </c>
      <c r="Q88" s="28">
        <f t="shared" si="23"/>
        <v>0</v>
      </c>
      <c r="R88" s="28">
        <f t="shared" si="23"/>
        <v>0</v>
      </c>
      <c r="S88" s="28">
        <f t="shared" si="23"/>
        <v>0</v>
      </c>
      <c r="T88" s="28">
        <f t="shared" si="23"/>
        <v>0</v>
      </c>
      <c r="U88" s="28">
        <f t="shared" si="23"/>
        <v>0</v>
      </c>
      <c r="V88" s="28">
        <f t="shared" si="23"/>
        <v>0</v>
      </c>
      <c r="W88" s="28">
        <f t="shared" si="23"/>
        <v>0</v>
      </c>
      <c r="X88" s="28">
        <f t="shared" si="23"/>
        <v>0</v>
      </c>
      <c r="Y88" s="28">
        <f t="shared" si="23"/>
        <v>0</v>
      </c>
      <c r="Z88" s="28">
        <f t="shared" si="23"/>
        <v>0</v>
      </c>
      <c r="AA88" s="28">
        <f t="shared" si="23"/>
        <v>0</v>
      </c>
      <c r="AB88" s="28">
        <f t="shared" si="23"/>
        <v>0</v>
      </c>
      <c r="AC88" s="28">
        <f t="shared" si="23"/>
        <v>0</v>
      </c>
      <c r="AD88" s="28">
        <f t="shared" si="23"/>
        <v>0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7</v>
      </c>
      <c r="C89" s="10">
        <f t="shared" si="24"/>
        <v>0</v>
      </c>
      <c r="D89" s="10">
        <f t="shared" si="24"/>
        <v>0</v>
      </c>
      <c r="E89" s="11" t="str">
        <f t="shared" si="20"/>
        <v>Se7</v>
      </c>
      <c r="F89" s="28">
        <f t="shared" si="23"/>
        <v>1.1313333333333335E-17</v>
      </c>
      <c r="G89" s="28">
        <f t="shared" si="23"/>
        <v>1.9153750000000002E-12</v>
      </c>
      <c r="H89" s="28">
        <f t="shared" si="23"/>
        <v>1.9838333333333335E-9</v>
      </c>
      <c r="I89" s="28">
        <f t="shared" si="23"/>
        <v>1.6155416666666666E-7</v>
      </c>
      <c r="J89" s="28">
        <f t="shared" si="23"/>
        <v>3.2313750000000005E-6</v>
      </c>
      <c r="K89" s="28">
        <f t="shared" si="23"/>
        <v>2.9051250000000004E-5</v>
      </c>
      <c r="L89" s="28">
        <f t="shared" si="23"/>
        <v>1.5388750000000002E-4</v>
      </c>
      <c r="M89" s="28">
        <f t="shared" si="23"/>
        <v>5.126666666666667E-4</v>
      </c>
      <c r="N89" s="28">
        <f t="shared" si="23"/>
        <v>1.0491250000000001E-3</v>
      </c>
      <c r="O89" s="28">
        <f t="shared" si="23"/>
        <v>1.0412916666666667E-3</v>
      </c>
      <c r="P89" s="28">
        <f t="shared" si="23"/>
        <v>0</v>
      </c>
      <c r="Q89" s="28">
        <f t="shared" si="23"/>
        <v>0</v>
      </c>
      <c r="R89" s="28">
        <f t="shared" si="23"/>
        <v>0</v>
      </c>
      <c r="S89" s="28">
        <f t="shared" si="23"/>
        <v>0</v>
      </c>
      <c r="T89" s="28">
        <f t="shared" si="23"/>
        <v>0</v>
      </c>
      <c r="U89" s="28">
        <f t="shared" si="23"/>
        <v>0</v>
      </c>
      <c r="V89" s="28">
        <f t="shared" si="23"/>
        <v>0</v>
      </c>
      <c r="W89" s="28">
        <f t="shared" si="23"/>
        <v>0</v>
      </c>
      <c r="X89" s="28">
        <f t="shared" si="23"/>
        <v>0</v>
      </c>
      <c r="Y89" s="28">
        <f t="shared" si="23"/>
        <v>0</v>
      </c>
      <c r="Z89" s="28">
        <f t="shared" si="23"/>
        <v>0</v>
      </c>
      <c r="AA89" s="28">
        <f t="shared" si="23"/>
        <v>0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8</v>
      </c>
      <c r="C90" s="10">
        <f t="shared" si="24"/>
        <v>0</v>
      </c>
      <c r="D90" s="10">
        <f t="shared" si="24"/>
        <v>0</v>
      </c>
      <c r="E90" s="11" t="str">
        <f t="shared" si="20"/>
        <v>Se8</v>
      </c>
      <c r="F90" s="28">
        <f t="shared" si="23"/>
        <v>2.0308750000000001E-19</v>
      </c>
      <c r="G90" s="28">
        <f t="shared" si="23"/>
        <v>5.7495833333333334E-14</v>
      </c>
      <c r="H90" s="28">
        <f t="shared" si="23"/>
        <v>7.6145833333333335E-11</v>
      </c>
      <c r="I90" s="28">
        <f t="shared" si="23"/>
        <v>7.0216666666666665E-9</v>
      </c>
      <c r="J90" s="28">
        <f t="shared" si="23"/>
        <v>1.4989583333333336E-7</v>
      </c>
      <c r="K90" s="28">
        <f t="shared" si="23"/>
        <v>1.400625E-6</v>
      </c>
      <c r="L90" s="28">
        <f t="shared" si="23"/>
        <v>7.5850000000000002E-6</v>
      </c>
      <c r="M90" s="28">
        <f t="shared" si="23"/>
        <v>2.5217916666666668E-5</v>
      </c>
      <c r="N90" s="28">
        <f t="shared" si="23"/>
        <v>4.9304166666666668E-5</v>
      </c>
      <c r="O90" s="28">
        <f t="shared" si="23"/>
        <v>4.2708333333333339E-5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2</v>
      </c>
      <c r="C91" s="10">
        <f t="shared" si="24"/>
        <v>0</v>
      </c>
      <c r="D91" s="10">
        <f t="shared" si="24"/>
        <v>0</v>
      </c>
      <c r="E91" s="11" t="str">
        <f t="shared" si="20"/>
        <v>Se2</v>
      </c>
      <c r="F91" s="28">
        <f t="shared" si="23"/>
        <v>1.5840000000000001E-19</v>
      </c>
      <c r="G91" s="28">
        <f t="shared" si="23"/>
        <v>1.3540833333333336E-13</v>
      </c>
      <c r="H91" s="28">
        <f t="shared" si="23"/>
        <v>5.997916666666667E-10</v>
      </c>
      <c r="I91" s="28">
        <f t="shared" si="23"/>
        <v>1.7064583333333333E-7</v>
      </c>
      <c r="J91" s="28">
        <f t="shared" si="23"/>
        <v>9.8500000000000006E-6</v>
      </c>
      <c r="K91" s="28">
        <f t="shared" si="23"/>
        <v>2.1265833333333336E-4</v>
      </c>
      <c r="L91" s="28">
        <f t="shared" si="23"/>
        <v>2.3630833333333338E-3</v>
      </c>
      <c r="M91" s="28">
        <f t="shared" si="23"/>
        <v>1.59375E-2</v>
      </c>
      <c r="N91" s="28">
        <f t="shared" si="23"/>
        <v>7.3162500000000005E-2</v>
      </c>
      <c r="O91" s="28">
        <f t="shared" si="23"/>
        <v>0.23425000000000001</v>
      </c>
      <c r="P91" s="28">
        <f t="shared" si="23"/>
        <v>0</v>
      </c>
      <c r="Q91" s="28">
        <f t="shared" si="23"/>
        <v>0</v>
      </c>
      <c r="R91" s="28">
        <f t="shared" si="23"/>
        <v>0</v>
      </c>
      <c r="S91" s="28">
        <f t="shared" si="23"/>
        <v>0</v>
      </c>
      <c r="T91" s="28">
        <f t="shared" si="23"/>
        <v>0</v>
      </c>
      <c r="U91" s="28">
        <f t="shared" si="23"/>
        <v>0</v>
      </c>
      <c r="V91" s="28">
        <f t="shared" si="23"/>
        <v>0</v>
      </c>
      <c r="W91" s="28">
        <f t="shared" si="23"/>
        <v>0</v>
      </c>
      <c r="X91" s="28">
        <f t="shared" si="23"/>
        <v>0</v>
      </c>
      <c r="Y91" s="28">
        <f t="shared" si="23"/>
        <v>0</v>
      </c>
      <c r="Z91" s="28">
        <f t="shared" si="23"/>
        <v>0</v>
      </c>
      <c r="AA91" s="28">
        <f t="shared" si="23"/>
        <v>0</v>
      </c>
      <c r="AB91" s="28">
        <f t="shared" si="23"/>
        <v>0</v>
      </c>
      <c r="AC91" s="28">
        <f t="shared" si="23"/>
        <v>0</v>
      </c>
      <c r="AD91" s="28">
        <f t="shared" ref="AD91:AL91" si="25">AD11*$C$82</f>
        <v>0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0</v>
      </c>
      <c r="E92" s="11" t="str">
        <f t="shared" si="20"/>
        <v>Se</v>
      </c>
      <c r="F92" s="28">
        <f t="shared" ref="F92:AL99" si="26">F12*$C$82</f>
        <v>0</v>
      </c>
      <c r="G92" s="28">
        <f t="shared" si="26"/>
        <v>7.304166666666667E-29</v>
      </c>
      <c r="H92" s="28">
        <f t="shared" si="26"/>
        <v>1.6820833333333335E-22</v>
      </c>
      <c r="I92" s="28">
        <f t="shared" si="26"/>
        <v>3.7200416666666663E-18</v>
      </c>
      <c r="J92" s="28">
        <f t="shared" si="26"/>
        <v>5.3370833333333339E-15</v>
      </c>
      <c r="K92" s="28">
        <f t="shared" si="26"/>
        <v>1.3622083333333335E-12</v>
      </c>
      <c r="L92" s="28">
        <f t="shared" si="26"/>
        <v>1.0777083333333334E-10</v>
      </c>
      <c r="M92" s="28">
        <f t="shared" si="26"/>
        <v>3.6526250000000001E-9</v>
      </c>
      <c r="N92" s="28">
        <f t="shared" si="26"/>
        <v>6.6891666666666672E-8</v>
      </c>
      <c r="O92" s="28">
        <f t="shared" si="26"/>
        <v>7.5916666666666677E-7</v>
      </c>
      <c r="P92" s="28">
        <f t="shared" si="26"/>
        <v>0</v>
      </c>
      <c r="Q92" s="28">
        <f t="shared" si="26"/>
        <v>0</v>
      </c>
      <c r="R92" s="28">
        <f t="shared" si="26"/>
        <v>0</v>
      </c>
      <c r="S92" s="28">
        <f t="shared" si="26"/>
        <v>0</v>
      </c>
      <c r="T92" s="28">
        <f t="shared" si="26"/>
        <v>0</v>
      </c>
      <c r="U92" s="28">
        <f t="shared" si="26"/>
        <v>0</v>
      </c>
      <c r="V92" s="28">
        <f t="shared" si="26"/>
        <v>0</v>
      </c>
      <c r="W92" s="28">
        <f t="shared" si="26"/>
        <v>0</v>
      </c>
      <c r="X92" s="28">
        <f t="shared" si="26"/>
        <v>0</v>
      </c>
      <c r="Y92" s="28">
        <f t="shared" si="26"/>
        <v>0</v>
      </c>
      <c r="Z92" s="28">
        <f t="shared" si="26"/>
        <v>0</v>
      </c>
      <c r="AA92" s="28">
        <f t="shared" si="26"/>
        <v>0</v>
      </c>
      <c r="AB92" s="28">
        <f t="shared" si="26"/>
        <v>0</v>
      </c>
      <c r="AC92" s="28">
        <f t="shared" si="26"/>
        <v>0</v>
      </c>
      <c r="AD92" s="28">
        <f t="shared" si="26"/>
        <v>0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0</v>
      </c>
      <c r="B93" s="10">
        <f t="shared" si="24"/>
        <v>1</v>
      </c>
      <c r="C93" s="10">
        <f t="shared" si="24"/>
        <v>0</v>
      </c>
      <c r="D93" s="10">
        <f t="shared" si="24"/>
        <v>2</v>
      </c>
      <c r="E93" s="11" t="str">
        <f t="shared" si="20"/>
        <v>Ga2Se</v>
      </c>
      <c r="F93" s="28">
        <f t="shared" si="26"/>
        <v>8.3362500000000006E-11</v>
      </c>
      <c r="G93" s="28">
        <f t="shared" si="26"/>
        <v>2.7625000000000005E-7</v>
      </c>
      <c r="H93" s="28">
        <f t="shared" si="26"/>
        <v>3.6779583333333339E-5</v>
      </c>
      <c r="I93" s="28">
        <f t="shared" si="26"/>
        <v>9.2754166666666679E-4</v>
      </c>
      <c r="J93" s="28">
        <f t="shared" si="26"/>
        <v>8.445416666666667E-3</v>
      </c>
      <c r="K93" s="28">
        <f t="shared" si="26"/>
        <v>3.4418333333333335E-2</v>
      </c>
      <c r="L93" s="28">
        <f t="shared" si="26"/>
        <v>7.1970833333333345E-2</v>
      </c>
      <c r="M93" s="28">
        <f t="shared" si="26"/>
        <v>0.10289583333333335</v>
      </c>
      <c r="N93" s="28">
        <f t="shared" si="26"/>
        <v>0.12474583333333335</v>
      </c>
      <c r="O93" s="28">
        <f t="shared" si="26"/>
        <v>0.14038333333333333</v>
      </c>
      <c r="P93" s="28">
        <f t="shared" si="26"/>
        <v>0</v>
      </c>
      <c r="Q93" s="28">
        <f t="shared" si="26"/>
        <v>0</v>
      </c>
      <c r="R93" s="28">
        <f t="shared" si="26"/>
        <v>0</v>
      </c>
      <c r="S93" s="28">
        <f t="shared" si="26"/>
        <v>0</v>
      </c>
      <c r="T93" s="28">
        <f t="shared" si="26"/>
        <v>0</v>
      </c>
      <c r="U93" s="28">
        <f t="shared" si="26"/>
        <v>0</v>
      </c>
      <c r="V93" s="28">
        <f t="shared" si="26"/>
        <v>0</v>
      </c>
      <c r="W93" s="28">
        <f t="shared" si="26"/>
        <v>0</v>
      </c>
      <c r="X93" s="28">
        <f t="shared" si="26"/>
        <v>0</v>
      </c>
      <c r="Y93" s="28">
        <f t="shared" si="26"/>
        <v>0</v>
      </c>
      <c r="Z93" s="28">
        <f t="shared" si="26"/>
        <v>0</v>
      </c>
      <c r="AA93" s="28">
        <f t="shared" si="26"/>
        <v>0</v>
      </c>
      <c r="AB93" s="28">
        <f t="shared" si="26"/>
        <v>0</v>
      </c>
      <c r="AC93" s="28">
        <f t="shared" si="26"/>
        <v>0</v>
      </c>
      <c r="AD93" s="28">
        <f t="shared" si="26"/>
        <v>0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20"/>
        <v>Ar</v>
      </c>
      <c r="F94" s="28">
        <f t="shared" si="26"/>
        <v>0.83333333333333348</v>
      </c>
      <c r="G94" s="28">
        <f t="shared" si="26"/>
        <v>0.83333333333333348</v>
      </c>
      <c r="H94" s="28">
        <f t="shared" si="26"/>
        <v>0.83333333333333348</v>
      </c>
      <c r="I94" s="28">
        <f t="shared" si="26"/>
        <v>0.83333333333333348</v>
      </c>
      <c r="J94" s="28">
        <f t="shared" si="26"/>
        <v>0.83333333333333348</v>
      </c>
      <c r="K94" s="28">
        <f t="shared" si="26"/>
        <v>0.83333333333333348</v>
      </c>
      <c r="L94" s="28">
        <f t="shared" si="26"/>
        <v>0.83333333333333348</v>
      </c>
      <c r="M94" s="28">
        <f t="shared" si="26"/>
        <v>0.83333333333333348</v>
      </c>
      <c r="N94" s="28">
        <f t="shared" si="26"/>
        <v>0.83333333333333348</v>
      </c>
      <c r="O94" s="28">
        <f t="shared" si="26"/>
        <v>0.83333333333333348</v>
      </c>
      <c r="P94" s="28">
        <f t="shared" si="26"/>
        <v>0</v>
      </c>
      <c r="Q94" s="28">
        <f t="shared" si="26"/>
        <v>0</v>
      </c>
      <c r="R94" s="28">
        <f t="shared" si="26"/>
        <v>0</v>
      </c>
      <c r="S94" s="28">
        <f t="shared" si="26"/>
        <v>0</v>
      </c>
      <c r="T94" s="28">
        <f t="shared" si="26"/>
        <v>0</v>
      </c>
      <c r="U94" s="28">
        <f t="shared" si="26"/>
        <v>0</v>
      </c>
      <c r="V94" s="28">
        <f t="shared" si="26"/>
        <v>0</v>
      </c>
      <c r="W94" s="28">
        <f t="shared" si="26"/>
        <v>0</v>
      </c>
      <c r="X94" s="28">
        <f t="shared" si="26"/>
        <v>0</v>
      </c>
      <c r="Y94" s="28">
        <f t="shared" si="26"/>
        <v>0</v>
      </c>
      <c r="Z94" s="28">
        <f t="shared" si="26"/>
        <v>0</v>
      </c>
      <c r="AA94" s="28">
        <f t="shared" si="26"/>
        <v>0</v>
      </c>
      <c r="AB94" s="28">
        <f t="shared" si="26"/>
        <v>0</v>
      </c>
      <c r="AC94" s="28">
        <f t="shared" si="26"/>
        <v>0</v>
      </c>
      <c r="AD94" s="28">
        <f t="shared" si="26"/>
        <v>0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20"/>
        <v>(l)Ga[l]</v>
      </c>
      <c r="F95" s="28">
        <f t="shared" si="26"/>
        <v>0.33333333333333337</v>
      </c>
      <c r="G95" s="28">
        <f t="shared" si="26"/>
        <v>0.33333333333333337</v>
      </c>
      <c r="H95" s="28">
        <f t="shared" si="26"/>
        <v>0.33325833333333332</v>
      </c>
      <c r="I95" s="28">
        <f t="shared" si="26"/>
        <v>0.33147916666666671</v>
      </c>
      <c r="J95" s="28">
        <f t="shared" si="26"/>
        <v>0.31644166666666668</v>
      </c>
      <c r="K95" s="28">
        <f t="shared" si="26"/>
        <v>0.26449583333333332</v>
      </c>
      <c r="L95" s="28">
        <f t="shared" si="26"/>
        <v>0.18938750000000001</v>
      </c>
      <c r="M95" s="28">
        <f t="shared" si="26"/>
        <v>0.12753750000000003</v>
      </c>
      <c r="N95" s="28">
        <f t="shared" si="26"/>
        <v>8.3841666666666675E-2</v>
      </c>
      <c r="O95" s="28">
        <f t="shared" si="26"/>
        <v>5.2570833333333337E-2</v>
      </c>
      <c r="P95" s="28">
        <f t="shared" si="26"/>
        <v>0</v>
      </c>
      <c r="Q95" s="28">
        <f t="shared" si="26"/>
        <v>0</v>
      </c>
      <c r="R95" s="28">
        <f t="shared" si="26"/>
        <v>0</v>
      </c>
      <c r="S95" s="28">
        <f t="shared" si="26"/>
        <v>0</v>
      </c>
      <c r="T95" s="28">
        <f t="shared" si="26"/>
        <v>0</v>
      </c>
      <c r="U95" s="28">
        <f t="shared" si="26"/>
        <v>0</v>
      </c>
      <c r="V95" s="28">
        <f t="shared" si="26"/>
        <v>0</v>
      </c>
      <c r="W95" s="28">
        <f t="shared" si="26"/>
        <v>0</v>
      </c>
      <c r="X95" s="28">
        <f t="shared" si="26"/>
        <v>0</v>
      </c>
      <c r="Y95" s="28">
        <f t="shared" si="26"/>
        <v>0</v>
      </c>
      <c r="Z95" s="28">
        <f t="shared" si="26"/>
        <v>0</v>
      </c>
      <c r="AA95" s="28">
        <f t="shared" si="26"/>
        <v>0</v>
      </c>
      <c r="AB95" s="28">
        <f t="shared" si="26"/>
        <v>0</v>
      </c>
      <c r="AC95" s="28">
        <f t="shared" si="26"/>
        <v>0</v>
      </c>
      <c r="AD95" s="28">
        <f t="shared" si="26"/>
        <v>0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20"/>
        <v>(l)Ge[l]</v>
      </c>
      <c r="F96" s="28">
        <f t="shared" si="26"/>
        <v>1</v>
      </c>
      <c r="G96" s="28">
        <f t="shared" si="26"/>
        <v>1</v>
      </c>
      <c r="H96" s="28">
        <f t="shared" si="26"/>
        <v>1</v>
      </c>
      <c r="I96" s="28">
        <f t="shared" si="26"/>
        <v>1</v>
      </c>
      <c r="J96" s="28">
        <f t="shared" si="26"/>
        <v>1</v>
      </c>
      <c r="K96" s="28">
        <f t="shared" si="26"/>
        <v>1</v>
      </c>
      <c r="L96" s="28">
        <f t="shared" si="26"/>
        <v>1</v>
      </c>
      <c r="M96" s="28">
        <f t="shared" si="26"/>
        <v>1</v>
      </c>
      <c r="N96" s="28">
        <f t="shared" si="26"/>
        <v>1</v>
      </c>
      <c r="O96" s="28">
        <f t="shared" si="26"/>
        <v>1</v>
      </c>
      <c r="P96" s="28">
        <f t="shared" si="26"/>
        <v>0</v>
      </c>
      <c r="Q96" s="28">
        <f t="shared" si="26"/>
        <v>0</v>
      </c>
      <c r="R96" s="28">
        <f t="shared" si="26"/>
        <v>0</v>
      </c>
      <c r="S96" s="28">
        <f t="shared" si="26"/>
        <v>0</v>
      </c>
      <c r="T96" s="28">
        <f t="shared" si="26"/>
        <v>0</v>
      </c>
      <c r="U96" s="28">
        <f t="shared" si="26"/>
        <v>0</v>
      </c>
      <c r="V96" s="28">
        <f t="shared" si="26"/>
        <v>0</v>
      </c>
      <c r="W96" s="28">
        <f t="shared" si="26"/>
        <v>0</v>
      </c>
      <c r="X96" s="28">
        <f t="shared" si="26"/>
        <v>0</v>
      </c>
      <c r="Y96" s="28">
        <f t="shared" si="26"/>
        <v>0</v>
      </c>
      <c r="Z96" s="28">
        <f t="shared" si="26"/>
        <v>0</v>
      </c>
      <c r="AA96" s="28">
        <f t="shared" si="26"/>
        <v>0</v>
      </c>
      <c r="AB96" s="28">
        <f t="shared" si="26"/>
        <v>0</v>
      </c>
      <c r="AC96" s="28">
        <f t="shared" si="26"/>
        <v>0</v>
      </c>
      <c r="AD96" s="28">
        <f t="shared" si="26"/>
        <v>0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20"/>
        <v>(l)Se[l]</v>
      </c>
      <c r="F97" s="28">
        <f t="shared" si="26"/>
        <v>2</v>
      </c>
      <c r="G97" s="28">
        <f t="shared" si="26"/>
        <v>2</v>
      </c>
      <c r="H97" s="28">
        <f t="shared" si="26"/>
        <v>1.9999583333333335</v>
      </c>
      <c r="I97" s="28">
        <f t="shared" si="26"/>
        <v>1.9990833333333333</v>
      </c>
      <c r="J97" s="28">
        <f t="shared" si="26"/>
        <v>1.9914166666666666</v>
      </c>
      <c r="K97" s="28">
        <f t="shared" si="26"/>
        <v>1.9637500000000001</v>
      </c>
      <c r="L97" s="28">
        <f t="shared" si="26"/>
        <v>1.9138750000000002</v>
      </c>
      <c r="M97" s="28">
        <f t="shared" si="26"/>
        <v>1.8240000000000001</v>
      </c>
      <c r="N97" s="28">
        <f t="shared" si="26"/>
        <v>1.6102916666666667</v>
      </c>
      <c r="O97" s="28">
        <f t="shared" si="26"/>
        <v>1.1933750000000001</v>
      </c>
      <c r="P97" s="28">
        <f t="shared" si="26"/>
        <v>0</v>
      </c>
      <c r="Q97" s="28">
        <f t="shared" si="26"/>
        <v>0</v>
      </c>
      <c r="R97" s="28">
        <f t="shared" si="26"/>
        <v>0</v>
      </c>
      <c r="S97" s="28">
        <f t="shared" si="26"/>
        <v>0</v>
      </c>
      <c r="T97" s="28">
        <f t="shared" si="26"/>
        <v>0</v>
      </c>
      <c r="U97" s="28">
        <f t="shared" si="26"/>
        <v>0</v>
      </c>
      <c r="V97" s="28">
        <f t="shared" si="26"/>
        <v>0</v>
      </c>
      <c r="W97" s="28">
        <f t="shared" si="26"/>
        <v>0</v>
      </c>
      <c r="X97" s="28">
        <f t="shared" si="26"/>
        <v>0</v>
      </c>
      <c r="Y97" s="28">
        <f t="shared" si="26"/>
        <v>0</v>
      </c>
      <c r="Z97" s="28">
        <f t="shared" si="26"/>
        <v>0</v>
      </c>
      <c r="AA97" s="28">
        <f t="shared" si="26"/>
        <v>0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1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 t="str">
        <f t="shared" si="20"/>
        <v>H (Ar)</v>
      </c>
      <c r="F98" s="28">
        <f t="shared" si="26"/>
        <v>-77.583333333333343</v>
      </c>
      <c r="G98" s="28">
        <f t="shared" si="26"/>
        <v>-77.708333333333329</v>
      </c>
      <c r="H98" s="28">
        <f t="shared" si="26"/>
        <v>-78.208333333333343</v>
      </c>
      <c r="I98" s="28">
        <f t="shared" si="26"/>
        <v>-78.875</v>
      </c>
      <c r="J98" s="28">
        <f t="shared" si="26"/>
        <v>-79.583333333333343</v>
      </c>
      <c r="K98" s="28">
        <f t="shared" si="26"/>
        <v>-80.416666666666671</v>
      </c>
      <c r="L98" s="28">
        <f t="shared" si="26"/>
        <v>-81.291666666666686</v>
      </c>
      <c r="M98" s="28">
        <f t="shared" si="26"/>
        <v>-82.208333333333343</v>
      </c>
      <c r="N98" s="28">
        <f t="shared" si="26"/>
        <v>-83.208333333333329</v>
      </c>
      <c r="O98" s="28">
        <f t="shared" si="26"/>
        <v>-84.541666666666671</v>
      </c>
      <c r="P98" s="28">
        <f t="shared" si="26"/>
        <v>0</v>
      </c>
      <c r="Q98" s="28">
        <f t="shared" si="26"/>
        <v>0</v>
      </c>
      <c r="R98" s="28">
        <f t="shared" si="26"/>
        <v>0</v>
      </c>
      <c r="S98" s="28">
        <f t="shared" si="26"/>
        <v>0</v>
      </c>
      <c r="T98" s="28">
        <f t="shared" si="26"/>
        <v>0</v>
      </c>
      <c r="U98" s="28">
        <f t="shared" si="26"/>
        <v>0</v>
      </c>
      <c r="V98" s="28">
        <f t="shared" si="26"/>
        <v>0</v>
      </c>
      <c r="W98" s="28">
        <f t="shared" si="26"/>
        <v>0</v>
      </c>
      <c r="X98" s="28">
        <f t="shared" si="26"/>
        <v>0</v>
      </c>
      <c r="Y98" s="28">
        <f t="shared" si="26"/>
        <v>0</v>
      </c>
      <c r="Z98" s="28">
        <f t="shared" si="26"/>
        <v>0</v>
      </c>
      <c r="AA98" s="28">
        <f t="shared" si="26"/>
        <v>0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1</v>
      </c>
      <c r="E99" s="11" t="str">
        <f t="shared" si="20"/>
        <v>H (Ga)</v>
      </c>
      <c r="F99" s="28">
        <f t="shared" si="26"/>
        <v>-29.041666666666668</v>
      </c>
      <c r="G99" s="28">
        <f t="shared" si="26"/>
        <v>-31.516666666666669</v>
      </c>
      <c r="H99" s="28">
        <f t="shared" si="26"/>
        <v>-33.675000000000004</v>
      </c>
      <c r="I99" s="28">
        <f t="shared" si="26"/>
        <v>-35.575000000000003</v>
      </c>
      <c r="J99" s="28">
        <f t="shared" si="26"/>
        <v>-37.395833333333336</v>
      </c>
      <c r="K99" s="28">
        <f t="shared" si="26"/>
        <v>-39.520833333333336</v>
      </c>
      <c r="L99" s="28">
        <f t="shared" si="26"/>
        <v>-42.083333333333336</v>
      </c>
      <c r="M99" s="28">
        <f t="shared" si="26"/>
        <v>-44.750000000000007</v>
      </c>
      <c r="N99" s="28">
        <f t="shared" si="26"/>
        <v>-47.208333333333336</v>
      </c>
      <c r="O99" s="28">
        <f t="shared" si="26"/>
        <v>-49.416666666666664</v>
      </c>
      <c r="P99" s="28">
        <f t="shared" si="26"/>
        <v>0</v>
      </c>
      <c r="Q99" s="28">
        <f t="shared" si="26"/>
        <v>0</v>
      </c>
      <c r="R99" s="28">
        <f t="shared" si="26"/>
        <v>0</v>
      </c>
      <c r="S99" s="28">
        <f t="shared" si="26"/>
        <v>0</v>
      </c>
      <c r="T99" s="28">
        <f t="shared" si="26"/>
        <v>0</v>
      </c>
      <c r="U99" s="28">
        <f t="shared" si="26"/>
        <v>0</v>
      </c>
      <c r="V99" s="28">
        <f t="shared" si="26"/>
        <v>0</v>
      </c>
      <c r="W99" s="28">
        <f t="shared" si="26"/>
        <v>0</v>
      </c>
      <c r="X99" s="28">
        <f t="shared" si="26"/>
        <v>0</v>
      </c>
      <c r="Y99" s="28">
        <f t="shared" si="26"/>
        <v>0</v>
      </c>
      <c r="Z99" s="28">
        <f t="shared" si="26"/>
        <v>0</v>
      </c>
      <c r="AA99" s="28">
        <f t="shared" si="26"/>
        <v>0</v>
      </c>
      <c r="AB99" s="28">
        <f t="shared" si="26"/>
        <v>0</v>
      </c>
      <c r="AC99" s="28">
        <f t="shared" si="26"/>
        <v>0</v>
      </c>
      <c r="AD99" s="28">
        <f t="shared" ref="AD99:AL99" si="27">AD19*$C$82</f>
        <v>0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1</v>
      </c>
      <c r="D100" s="10">
        <f t="shared" si="24"/>
        <v>0</v>
      </c>
      <c r="E100" s="11" t="str">
        <f t="shared" si="20"/>
        <v>H (Ge)</v>
      </c>
      <c r="F100" s="28">
        <f t="shared" ref="F100:AL107" si="28">F20*$C$82</f>
        <v>30.658333333333335</v>
      </c>
      <c r="G100" s="28">
        <f t="shared" si="28"/>
        <v>15.658333333333335</v>
      </c>
      <c r="H100" s="28">
        <f t="shared" si="28"/>
        <v>5.6458333333333339</v>
      </c>
      <c r="I100" s="28">
        <f t="shared" si="28"/>
        <v>-1.6350000000000002</v>
      </c>
      <c r="J100" s="28">
        <f t="shared" si="28"/>
        <v>-7.2125000000000012</v>
      </c>
      <c r="K100" s="28">
        <f t="shared" si="28"/>
        <v>-11.6</v>
      </c>
      <c r="L100" s="28">
        <f t="shared" si="28"/>
        <v>-15.145833333333334</v>
      </c>
      <c r="M100" s="28">
        <f t="shared" si="28"/>
        <v>-18.075000000000003</v>
      </c>
      <c r="N100" s="28">
        <f t="shared" si="28"/>
        <v>-20.400000000000002</v>
      </c>
      <c r="O100" s="28">
        <f t="shared" si="28"/>
        <v>-22.004166666666666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1</v>
      </c>
      <c r="C101" s="10">
        <f t="shared" si="29"/>
        <v>0</v>
      </c>
      <c r="D101" s="10">
        <f t="shared" si="29"/>
        <v>0</v>
      </c>
      <c r="E101" s="11" t="str">
        <f t="shared" si="20"/>
        <v>H (Se)</v>
      </c>
      <c r="F101" s="28">
        <f t="shared" si="28"/>
        <v>-19.583333333333336</v>
      </c>
      <c r="G101" s="28">
        <f t="shared" si="28"/>
        <v>-21.404166666666665</v>
      </c>
      <c r="H101" s="28">
        <f t="shared" si="28"/>
        <v>-23.387500000000003</v>
      </c>
      <c r="I101" s="28">
        <f t="shared" si="28"/>
        <v>-25.291666666666671</v>
      </c>
      <c r="J101" s="28">
        <f t="shared" si="28"/>
        <v>-27.045833333333334</v>
      </c>
      <c r="K101" s="28">
        <f t="shared" si="28"/>
        <v>-28.62916666666667</v>
      </c>
      <c r="L101" s="28">
        <f t="shared" si="28"/>
        <v>-30.06666666666667</v>
      </c>
      <c r="M101" s="28">
        <f t="shared" si="28"/>
        <v>-31.433333333333334</v>
      </c>
      <c r="N101" s="28">
        <f t="shared" si="28"/>
        <v>-32.854166666666671</v>
      </c>
      <c r="O101" s="28">
        <f t="shared" si="28"/>
        <v>-34.537500000000001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353.9</v>
      </c>
      <c r="H117" s="9">
        <f t="shared" si="32"/>
        <v>434.7</v>
      </c>
      <c r="I117" s="9">
        <f t="shared" si="32"/>
        <v>515.4</v>
      </c>
      <c r="J117" s="9">
        <f t="shared" si="32"/>
        <v>596.20000000000005</v>
      </c>
      <c r="K117" s="9">
        <f t="shared" si="32"/>
        <v>677</v>
      </c>
      <c r="L117" s="9">
        <f t="shared" si="32"/>
        <v>757.7</v>
      </c>
      <c r="M117" s="9">
        <f t="shared" si="32"/>
        <v>838.5</v>
      </c>
      <c r="N117" s="9">
        <f t="shared" si="32"/>
        <v>919.2</v>
      </c>
      <c r="O117" s="9">
        <f t="shared" si="32"/>
        <v>1000</v>
      </c>
      <c r="P117" s="9">
        <f t="shared" si="32"/>
        <v>0</v>
      </c>
      <c r="Q117" s="9">
        <f t="shared" si="32"/>
        <v>0</v>
      </c>
      <c r="R117" s="9">
        <f t="shared" si="32"/>
        <v>0</v>
      </c>
      <c r="S117" s="9">
        <f t="shared" si="32"/>
        <v>0</v>
      </c>
      <c r="T117" s="9">
        <f t="shared" si="32"/>
        <v>0</v>
      </c>
      <c r="U117" s="9">
        <f t="shared" si="32"/>
        <v>0</v>
      </c>
      <c r="V117" s="9">
        <f t="shared" si="32"/>
        <v>0</v>
      </c>
      <c r="W117" s="9">
        <f t="shared" si="32"/>
        <v>0</v>
      </c>
      <c r="X117" s="9">
        <f t="shared" si="32"/>
        <v>0</v>
      </c>
      <c r="Y117" s="9">
        <f t="shared" si="32"/>
        <v>0</v>
      </c>
      <c r="Z117" s="9">
        <f t="shared" si="32"/>
        <v>0</v>
      </c>
      <c r="AA117" s="9">
        <f t="shared" si="32"/>
        <v>0</v>
      </c>
      <c r="AB117" s="9">
        <f t="shared" si="32"/>
        <v>0</v>
      </c>
      <c r="AC117" s="9">
        <f t="shared" si="32"/>
        <v>0</v>
      </c>
      <c r="AD117" s="9">
        <f t="shared" si="32"/>
        <v>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-214.6166455</v>
      </c>
      <c r="C118" s="47">
        <f>COUNTA(E118:E125)+1</f>
        <v>6</v>
      </c>
      <c r="E118" s="31" t="s">
        <v>14</v>
      </c>
      <c r="F118" s="28">
        <f ca="1">F$117*$B$2*SUMPRODUCT(F$95:F$97,F$61:F$63)/1000</f>
        <v>-9.9123185284000037</v>
      </c>
      <c r="G118" s="28">
        <f t="shared" ref="G118:AL118" ca="1" si="33">G$117*$B$2*SUMPRODUCT(G$95:G$97,G$61:G$63)/1000</f>
        <v>-26.592367341199999</v>
      </c>
      <c r="H118" s="28">
        <f t="shared" ca="1" si="33"/>
        <v>-45.410808616346188</v>
      </c>
      <c r="I118" s="28">
        <f t="shared" ca="1" si="33"/>
        <v>-65.809270456012612</v>
      </c>
      <c r="J118" s="28">
        <f t="shared" ca="1" si="33"/>
        <v>-86.736197150008607</v>
      </c>
      <c r="K118" s="28">
        <f t="shared" ca="1" si="33"/>
        <v>-105.74296348759854</v>
      </c>
      <c r="L118" s="28">
        <f t="shared" ca="1" si="33"/>
        <v>-121.95551454100026</v>
      </c>
      <c r="M118" s="28">
        <f t="shared" ca="1" si="33"/>
        <v>-135.72527721344724</v>
      </c>
      <c r="N118" s="28">
        <f t="shared" ca="1" si="33"/>
        <v>-141.71895089018238</v>
      </c>
      <c r="O118" s="28">
        <f t="shared" ca="1" si="33"/>
        <v>-131.33896374831249</v>
      </c>
      <c r="P118" s="28">
        <f t="shared" ca="1" si="33"/>
        <v>0</v>
      </c>
      <c r="Q118" s="28">
        <f t="shared" ca="1" si="33"/>
        <v>0</v>
      </c>
      <c r="R118" s="28">
        <f t="shared" ca="1" si="33"/>
        <v>0</v>
      </c>
      <c r="S118" s="28">
        <f t="shared" ca="1" si="33"/>
        <v>0</v>
      </c>
      <c r="T118" s="28">
        <f t="shared" ca="1" si="33"/>
        <v>0</v>
      </c>
      <c r="U118" s="28">
        <f t="shared" ca="1" si="33"/>
        <v>0</v>
      </c>
      <c r="V118" s="28">
        <f t="shared" ca="1" si="33"/>
        <v>0</v>
      </c>
      <c r="W118" s="28">
        <f t="shared" ca="1" si="33"/>
        <v>0</v>
      </c>
      <c r="X118" s="28">
        <f t="shared" ca="1" si="33"/>
        <v>0</v>
      </c>
      <c r="Y118" s="28">
        <f t="shared" ca="1" si="33"/>
        <v>0</v>
      </c>
      <c r="Z118" s="28">
        <f t="shared" ca="1" si="33"/>
        <v>0</v>
      </c>
      <c r="AA118" s="28">
        <f t="shared" ca="1" si="33"/>
        <v>0</v>
      </c>
      <c r="AB118" s="28">
        <f t="shared" ca="1" si="33"/>
        <v>0</v>
      </c>
      <c r="AC118" s="28">
        <f t="shared" ca="1" si="33"/>
        <v>0</v>
      </c>
      <c r="AD118" s="28">
        <f t="shared" ca="1" si="33"/>
        <v>0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10</v>
      </c>
      <c r="E119" s="31" t="s">
        <v>15</v>
      </c>
      <c r="F119" s="28">
        <f ca="1">F$117*$B$2*SUMPRODUCT(F$85:F$93,F$51:F$59)/1000</f>
        <v>-3.5283822254549341E-9</v>
      </c>
      <c r="G119" s="28">
        <f t="shared" ref="G119:AL119" ca="1" si="34">G$117*$B$2*SUMPRODUCT(G$85:G$93,G$51:G$59)/1000</f>
        <v>-1.6474030472918424E-5</v>
      </c>
      <c r="H119" s="28">
        <f t="shared" ca="1" si="34"/>
        <v>-2.8963676201447059E-3</v>
      </c>
      <c r="I119" s="28">
        <f t="shared" ca="1" si="34"/>
        <v>-9.215965368734029E-2</v>
      </c>
      <c r="J119" s="28">
        <f t="shared" ca="1" si="34"/>
        <v>-1.0280230469289584</v>
      </c>
      <c r="K119" s="28">
        <f t="shared" ca="1" si="34"/>
        <v>-5.0774637936978921</v>
      </c>
      <c r="L119" s="28">
        <f t="shared" ca="1" si="34"/>
        <v>-13.07493783151657</v>
      </c>
      <c r="M119" s="28">
        <f t="shared" ca="1" si="34"/>
        <v>-24.665977697406237</v>
      </c>
      <c r="N119" s="28">
        <f t="shared" ca="1" si="34"/>
        <v>-45.088882267330241</v>
      </c>
      <c r="O119" s="28">
        <f t="shared" ca="1" si="34"/>
        <v>-83.277154238435941</v>
      </c>
      <c r="P119" s="28">
        <f t="shared" ca="1" si="34"/>
        <v>0</v>
      </c>
      <c r="Q119" s="28">
        <f t="shared" ca="1" si="34"/>
        <v>0</v>
      </c>
      <c r="R119" s="28">
        <f t="shared" ca="1" si="34"/>
        <v>0</v>
      </c>
      <c r="S119" s="28">
        <f t="shared" ca="1" si="34"/>
        <v>0</v>
      </c>
      <c r="T119" s="28">
        <f t="shared" ca="1" si="34"/>
        <v>0</v>
      </c>
      <c r="U119" s="28">
        <f t="shared" ca="1" si="34"/>
        <v>0</v>
      </c>
      <c r="V119" s="28">
        <f t="shared" ca="1" si="34"/>
        <v>0</v>
      </c>
      <c r="W119" s="28">
        <f t="shared" ca="1" si="34"/>
        <v>0</v>
      </c>
      <c r="X119" s="28">
        <f t="shared" ca="1" si="34"/>
        <v>0</v>
      </c>
      <c r="Y119" s="28">
        <f t="shared" ca="1" si="34"/>
        <v>0</v>
      </c>
      <c r="Z119" s="28">
        <f t="shared" ca="1" si="34"/>
        <v>0</v>
      </c>
      <c r="AA119" s="28">
        <f t="shared" ca="1" si="34"/>
        <v>0</v>
      </c>
      <c r="AB119" s="28">
        <f t="shared" ca="1" si="34"/>
        <v>0</v>
      </c>
      <c r="AC119" s="28">
        <f t="shared" ca="1" si="34"/>
        <v>0</v>
      </c>
      <c r="AD119" s="28">
        <f t="shared" ca="1" si="34"/>
        <v>0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F119+F94*F60</f>
        <v>-15.516666670195054</v>
      </c>
      <c r="G120" s="28">
        <f t="shared" ref="G120:AL120" ca="1" si="35">G119+G94*G60</f>
        <v>-15.54168314069714</v>
      </c>
      <c r="H120" s="28">
        <f t="shared" ca="1" si="35"/>
        <v>-15.644563034286813</v>
      </c>
      <c r="I120" s="28">
        <f t="shared" ca="1" si="35"/>
        <v>-15.867159653687342</v>
      </c>
      <c r="J120" s="28">
        <f t="shared" ca="1" si="35"/>
        <v>-16.944689713595629</v>
      </c>
      <c r="K120" s="28">
        <f t="shared" ca="1" si="35"/>
        <v>-21.160797127031227</v>
      </c>
      <c r="L120" s="28">
        <f t="shared" ca="1" si="35"/>
        <v>-29.333271164849904</v>
      </c>
      <c r="M120" s="28">
        <f t="shared" ca="1" si="35"/>
        <v>-41.107644364072911</v>
      </c>
      <c r="N120" s="28">
        <f t="shared" ca="1" si="35"/>
        <v>-61.730548933996914</v>
      </c>
      <c r="O120" s="28">
        <f t="shared" ca="1" si="35"/>
        <v>-100.18548757176927</v>
      </c>
      <c r="P120" s="28">
        <f t="shared" ca="1" si="35"/>
        <v>0</v>
      </c>
      <c r="Q120" s="28">
        <f t="shared" ca="1" si="35"/>
        <v>0</v>
      </c>
      <c r="R120" s="28">
        <f t="shared" ca="1" si="35"/>
        <v>0</v>
      </c>
      <c r="S120" s="28">
        <f t="shared" ca="1" si="35"/>
        <v>0</v>
      </c>
      <c r="T120" s="28">
        <f t="shared" ca="1" si="35"/>
        <v>0</v>
      </c>
      <c r="U120" s="28">
        <f t="shared" ca="1" si="35"/>
        <v>0</v>
      </c>
      <c r="V120" s="28">
        <f t="shared" ca="1" si="35"/>
        <v>0</v>
      </c>
      <c r="W120" s="28">
        <f t="shared" ca="1" si="35"/>
        <v>0</v>
      </c>
      <c r="X120" s="28">
        <f t="shared" ca="1" si="35"/>
        <v>0</v>
      </c>
      <c r="Y120" s="28">
        <f t="shared" ca="1" si="35"/>
        <v>0</v>
      </c>
      <c r="Z120" s="28">
        <f t="shared" ca="1" si="35"/>
        <v>0</v>
      </c>
      <c r="AA120" s="28">
        <f t="shared" ca="1" si="35"/>
        <v>0</v>
      </c>
      <c r="AB120" s="28">
        <f t="shared" ca="1" si="35"/>
        <v>0</v>
      </c>
      <c r="AC120" s="28">
        <f t="shared" ca="1" si="35"/>
        <v>0</v>
      </c>
      <c r="AD120" s="28">
        <f t="shared" ca="1" si="35"/>
        <v>0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17</v>
      </c>
      <c r="F121" s="28">
        <f ca="1">F119+F118</f>
        <v>-9.9123185319283866</v>
      </c>
      <c r="G121" s="28">
        <f t="shared" ref="G121:AL121" ca="1" si="36">G119+G118</f>
        <v>-26.592383815230473</v>
      </c>
      <c r="H121" s="28">
        <f t="shared" ca="1" si="36"/>
        <v>-45.413704983966333</v>
      </c>
      <c r="I121" s="28">
        <f t="shared" ca="1" si="36"/>
        <v>-65.901430109699959</v>
      </c>
      <c r="J121" s="28">
        <f t="shared" ca="1" si="36"/>
        <v>-87.764220196937572</v>
      </c>
      <c r="K121" s="28">
        <f t="shared" ca="1" si="36"/>
        <v>-110.82042728129643</v>
      </c>
      <c r="L121" s="28">
        <f t="shared" ca="1" si="36"/>
        <v>-135.03045237251683</v>
      </c>
      <c r="M121" s="28">
        <f t="shared" ca="1" si="36"/>
        <v>-160.39125491085349</v>
      </c>
      <c r="N121" s="28">
        <f t="shared" ca="1" si="36"/>
        <v>-186.80783315751262</v>
      </c>
      <c r="O121" s="28">
        <f t="shared" ca="1" si="36"/>
        <v>-214.61611798674843</v>
      </c>
      <c r="P121" s="28">
        <f t="shared" ca="1" si="36"/>
        <v>0</v>
      </c>
      <c r="Q121" s="28">
        <f t="shared" ca="1" si="36"/>
        <v>0</v>
      </c>
      <c r="R121" s="28">
        <f t="shared" ca="1" si="36"/>
        <v>0</v>
      </c>
      <c r="S121" s="28">
        <f t="shared" ca="1" si="36"/>
        <v>0</v>
      </c>
      <c r="T121" s="28">
        <f t="shared" ca="1" si="36"/>
        <v>0</v>
      </c>
      <c r="U121" s="28">
        <f t="shared" ca="1" si="36"/>
        <v>0</v>
      </c>
      <c r="V121" s="28">
        <f t="shared" ca="1" si="36"/>
        <v>0</v>
      </c>
      <c r="W121" s="28">
        <f t="shared" ca="1" si="36"/>
        <v>0</v>
      </c>
      <c r="X121" s="28">
        <f t="shared" ca="1" si="36"/>
        <v>0</v>
      </c>
      <c r="Y121" s="28">
        <f t="shared" ca="1" si="36"/>
        <v>0</v>
      </c>
      <c r="Z121" s="28">
        <f t="shared" ca="1" si="36"/>
        <v>0</v>
      </c>
      <c r="AA121" s="28">
        <f t="shared" ca="1" si="36"/>
        <v>0</v>
      </c>
      <c r="AB121" s="28">
        <f t="shared" ca="1" si="36"/>
        <v>0</v>
      </c>
      <c r="AC121" s="28">
        <f t="shared" ca="1" si="36"/>
        <v>0</v>
      </c>
      <c r="AD121" s="28">
        <f t="shared" ca="1" si="36"/>
        <v>0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1" t="s">
        <v>18</v>
      </c>
      <c r="F122" s="28">
        <f ca="1">F120+F118</f>
        <v>-25.428985198595058</v>
      </c>
      <c r="G122" s="28">
        <f t="shared" ref="G122:AL122" ca="1" si="37">G120+G118</f>
        <v>-42.134050481897141</v>
      </c>
      <c r="H122" s="28">
        <f t="shared" ca="1" si="37"/>
        <v>-61.055371650632999</v>
      </c>
      <c r="I122" s="28">
        <f t="shared" ca="1" si="37"/>
        <v>-81.67643010969995</v>
      </c>
      <c r="J122" s="28">
        <f t="shared" ca="1" si="37"/>
        <v>-103.68088686360423</v>
      </c>
      <c r="K122" s="28">
        <f t="shared" ca="1" si="37"/>
        <v>-126.90376061462977</v>
      </c>
      <c r="L122" s="28">
        <f t="shared" ca="1" si="37"/>
        <v>-151.28878570585016</v>
      </c>
      <c r="M122" s="28">
        <f t="shared" ca="1" si="37"/>
        <v>-176.83292157752015</v>
      </c>
      <c r="N122" s="28">
        <f t="shared" ca="1" si="37"/>
        <v>-203.4494998241793</v>
      </c>
      <c r="O122" s="28">
        <f t="shared" ca="1" si="37"/>
        <v>-231.52445132008177</v>
      </c>
      <c r="P122" s="28">
        <f t="shared" ca="1" si="37"/>
        <v>0</v>
      </c>
      <c r="Q122" s="28">
        <f t="shared" ca="1" si="37"/>
        <v>0</v>
      </c>
      <c r="R122" s="28">
        <f t="shared" ca="1" si="37"/>
        <v>0</v>
      </c>
      <c r="S122" s="28">
        <f t="shared" ca="1" si="37"/>
        <v>0</v>
      </c>
      <c r="T122" s="28">
        <f t="shared" ca="1" si="37"/>
        <v>0</v>
      </c>
      <c r="U122" s="28">
        <f t="shared" ca="1" si="37"/>
        <v>0</v>
      </c>
      <c r="V122" s="28">
        <f t="shared" ca="1" si="37"/>
        <v>0</v>
      </c>
      <c r="W122" s="28">
        <f t="shared" ca="1" si="37"/>
        <v>0</v>
      </c>
      <c r="X122" s="28">
        <f t="shared" ca="1" si="37"/>
        <v>0</v>
      </c>
      <c r="Y122" s="28">
        <f t="shared" ca="1" si="37"/>
        <v>0</v>
      </c>
      <c r="Z122" s="28">
        <f t="shared" ca="1" si="37"/>
        <v>0</v>
      </c>
      <c r="AA122" s="28">
        <f t="shared" ca="1" si="37"/>
        <v>0</v>
      </c>
      <c r="AB122" s="28">
        <f t="shared" ca="1" si="37"/>
        <v>0</v>
      </c>
      <c r="AC122" s="28">
        <f t="shared" ca="1" si="37"/>
        <v>0</v>
      </c>
      <c r="AD122" s="28">
        <f t="shared" ca="1" si="37"/>
        <v>0</v>
      </c>
      <c r="AE122" s="28">
        <f t="shared" ca="1" si="37"/>
        <v>0</v>
      </c>
      <c r="AF122" s="28">
        <f t="shared" ca="1" si="37"/>
        <v>0</v>
      </c>
      <c r="AG122" s="28">
        <f t="shared" ca="1" si="37"/>
        <v>0</v>
      </c>
      <c r="AH122" s="28">
        <f t="shared" ca="1" si="37"/>
        <v>0</v>
      </c>
      <c r="AI122" s="28">
        <f t="shared" ca="1" si="37"/>
        <v>0</v>
      </c>
      <c r="AJ122" s="28">
        <f t="shared" ca="1" si="37"/>
        <v>0</v>
      </c>
      <c r="AK122" s="28">
        <f t="shared" ca="1" si="37"/>
        <v>0</v>
      </c>
      <c r="AL122" s="28">
        <f t="shared" ca="1" si="37"/>
        <v>0</v>
      </c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(жид): </v>
      </c>
      <c r="F127" s="63">
        <f ca="1"/>
        <v>-9.9123185284000037</v>
      </c>
      <c r="G127" s="63">
        <f ca="1"/>
        <v>-26.592367341199999</v>
      </c>
      <c r="H127" s="63">
        <f ca="1"/>
        <v>-45.410808616346188</v>
      </c>
      <c r="I127" s="63">
        <f ca="1"/>
        <v>-65.809270456012612</v>
      </c>
      <c r="J127" s="63">
        <f ca="1"/>
        <v>-86.736197150008607</v>
      </c>
      <c r="K127" s="63">
        <f ca="1"/>
        <v>-105.74296348759854</v>
      </c>
      <c r="L127" s="63">
        <f ca="1"/>
        <v>-121.95551454100026</v>
      </c>
      <c r="M127" s="63">
        <f ca="1"/>
        <v>-135.72527721344724</v>
      </c>
      <c r="N127" s="63">
        <f ca="1"/>
        <v>-141.71895089018238</v>
      </c>
      <c r="O127" s="63">
        <f ca="1"/>
        <v>-131.33896374831249</v>
      </c>
      <c r="P127" s="63" t="e">
        <f ca="1"/>
        <v>#N/A</v>
      </c>
      <c r="Q127" s="63" t="e">
        <f ca="1"/>
        <v>#N/A</v>
      </c>
      <c r="R127" s="63" t="e">
        <f ca="1"/>
        <v>#N/A</v>
      </c>
      <c r="S127" s="63" t="e">
        <f ca="1"/>
        <v>#N/A</v>
      </c>
      <c r="T127" s="63" t="e">
        <f ca="1"/>
        <v>#N/A</v>
      </c>
      <c r="U127" s="63" t="e">
        <f ca="1"/>
        <v>#N/A</v>
      </c>
      <c r="V127" s="63" t="e">
        <f ca="1"/>
        <v>#N/A</v>
      </c>
      <c r="W127" s="63" t="e">
        <f ca="1"/>
        <v>#N/A</v>
      </c>
      <c r="X127" s="63" t="e">
        <f ca="1"/>
        <v>#N/A</v>
      </c>
      <c r="Y127" s="63" t="e">
        <f ca="1"/>
        <v>#N/A</v>
      </c>
      <c r="Z127" s="63" t="e">
        <f ca="1"/>
        <v>#N/A</v>
      </c>
      <c r="AA127" s="63" t="e">
        <f ca="1"/>
        <v>#N/A</v>
      </c>
      <c r="AB127" s="63" t="e">
        <f ca="1"/>
        <v>#N/A</v>
      </c>
      <c r="AC127" s="63" t="e">
        <f ca="1"/>
        <v>#N/A</v>
      </c>
      <c r="AD127" s="63" t="e">
        <f ca="1"/>
        <v>#N/A</v>
      </c>
      <c r="AE127" s="63" t="e">
        <f ca="1"/>
        <v>#N/A</v>
      </c>
      <c r="AF127" s="63" t="e">
        <f ca="1"/>
        <v>#N/A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-3.5283822254549341E-9</v>
      </c>
      <c r="G128" s="63">
        <f ca="1"/>
        <v>-1.6474030472918424E-5</v>
      </c>
      <c r="H128" s="63">
        <f ca="1"/>
        <v>-2.8963676201447059E-3</v>
      </c>
      <c r="I128" s="63">
        <f ca="1"/>
        <v>-9.215965368734029E-2</v>
      </c>
      <c r="J128" s="63">
        <f ca="1"/>
        <v>-1.0280230469289584</v>
      </c>
      <c r="K128" s="63">
        <f ca="1"/>
        <v>-5.0774637936978921</v>
      </c>
      <c r="L128" s="63">
        <f ca="1"/>
        <v>-13.07493783151657</v>
      </c>
      <c r="M128" s="63">
        <f ca="1"/>
        <v>-24.665977697406237</v>
      </c>
      <c r="N128" s="63">
        <f ca="1"/>
        <v>-45.088882267330241</v>
      </c>
      <c r="O128" s="63">
        <f ca="1"/>
        <v>-83.277154238435941</v>
      </c>
      <c r="P128" s="63" t="e">
        <f ca="1"/>
        <v>#N/A</v>
      </c>
      <c r="Q128" s="63" t="e">
        <f ca="1"/>
        <v>#N/A</v>
      </c>
      <c r="R128" s="63" t="e">
        <f ca="1"/>
        <v>#N/A</v>
      </c>
      <c r="S128" s="63" t="e">
        <f ca="1"/>
        <v>#N/A</v>
      </c>
      <c r="T128" s="63" t="e">
        <f ca="1"/>
        <v>#N/A</v>
      </c>
      <c r="U128" s="63" t="e">
        <f ca="1"/>
        <v>#N/A</v>
      </c>
      <c r="V128" s="63" t="e">
        <f ca="1"/>
        <v>#N/A</v>
      </c>
      <c r="W128" s="63" t="e">
        <f ca="1"/>
        <v>#N/A</v>
      </c>
      <c r="X128" s="63" t="e">
        <f ca="1"/>
        <v>#N/A</v>
      </c>
      <c r="Y128" s="63" t="e">
        <f ca="1"/>
        <v>#N/A</v>
      </c>
      <c r="Z128" s="63" t="e">
        <f ca="1"/>
        <v>#N/A</v>
      </c>
      <c r="AA128" s="63" t="e">
        <f ca="1"/>
        <v>#N/A</v>
      </c>
      <c r="AB128" s="63" t="e">
        <f ca="1"/>
        <v>#N/A</v>
      </c>
      <c r="AC128" s="63" t="e">
        <f ca="1"/>
        <v>#N/A</v>
      </c>
      <c r="AD128" s="63" t="e">
        <f ca="1"/>
        <v>#N/A</v>
      </c>
      <c r="AE128" s="63" t="e">
        <f ca="1"/>
        <v>#N/A</v>
      </c>
      <c r="AF128" s="63" t="e">
        <f ca="1"/>
        <v>#N/A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-15.516666670195054</v>
      </c>
      <c r="G129" s="63">
        <f ca="1"/>
        <v>-15.54168314069714</v>
      </c>
      <c r="H129" s="63">
        <f ca="1"/>
        <v>-15.644563034286813</v>
      </c>
      <c r="I129" s="63">
        <f ca="1"/>
        <v>-15.867159653687342</v>
      </c>
      <c r="J129" s="63">
        <f ca="1"/>
        <v>-16.944689713595629</v>
      </c>
      <c r="K129" s="63">
        <f ca="1"/>
        <v>-21.160797127031227</v>
      </c>
      <c r="L129" s="63">
        <f ca="1"/>
        <v>-29.333271164849904</v>
      </c>
      <c r="M129" s="63">
        <f ca="1"/>
        <v>-41.107644364072911</v>
      </c>
      <c r="N129" s="63">
        <f ca="1"/>
        <v>-61.730548933996914</v>
      </c>
      <c r="O129" s="63">
        <f ca="1"/>
        <v>-100.18548757176927</v>
      </c>
      <c r="P129" s="63" t="e">
        <f ca="1"/>
        <v>#N/A</v>
      </c>
      <c r="Q129" s="63" t="e">
        <f ca="1"/>
        <v>#N/A</v>
      </c>
      <c r="R129" s="63" t="e">
        <f ca="1"/>
        <v>#N/A</v>
      </c>
      <c r="S129" s="63" t="e">
        <f ca="1"/>
        <v>#N/A</v>
      </c>
      <c r="T129" s="63" t="e">
        <f ca="1"/>
        <v>#N/A</v>
      </c>
      <c r="U129" s="63" t="e">
        <f ca="1"/>
        <v>#N/A</v>
      </c>
      <c r="V129" s="63" t="e">
        <f ca="1"/>
        <v>#N/A</v>
      </c>
      <c r="W129" s="63" t="e">
        <f ca="1"/>
        <v>#N/A</v>
      </c>
      <c r="X129" s="63" t="e">
        <f ca="1"/>
        <v>#N/A</v>
      </c>
      <c r="Y129" s="63" t="e">
        <f ca="1"/>
        <v>#N/A</v>
      </c>
      <c r="Z129" s="63" t="e">
        <f ca="1"/>
        <v>#N/A</v>
      </c>
      <c r="AA129" s="63" t="e">
        <f ca="1"/>
        <v>#N/A</v>
      </c>
      <c r="AB129" s="63" t="e">
        <f ca="1"/>
        <v>#N/A</v>
      </c>
      <c r="AC129" s="63" t="e">
        <f ca="1"/>
        <v>#N/A</v>
      </c>
      <c r="AD129" s="63" t="e">
        <f ca="1"/>
        <v>#N/A</v>
      </c>
      <c r="AE129" s="63" t="e">
        <f ca="1"/>
        <v>#N/A</v>
      </c>
      <c r="AF129" s="63" t="e">
        <f ca="1"/>
        <v>#N/A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 xml:space="preserve">Раствор + газовая без Ar: </v>
      </c>
      <c r="F130" s="63">
        <f ca="1"/>
        <v>-9.9123185319283866</v>
      </c>
      <c r="G130" s="63">
        <f ca="1"/>
        <v>-26.592383815230473</v>
      </c>
      <c r="H130" s="63">
        <f ca="1"/>
        <v>-45.413704983966333</v>
      </c>
      <c r="I130" s="63">
        <f ca="1"/>
        <v>-65.901430109699959</v>
      </c>
      <c r="J130" s="63">
        <f ca="1"/>
        <v>-87.764220196937572</v>
      </c>
      <c r="K130" s="63">
        <f ca="1"/>
        <v>-110.82042728129643</v>
      </c>
      <c r="L130" s="63">
        <f ca="1"/>
        <v>-135.03045237251683</v>
      </c>
      <c r="M130" s="63">
        <f ca="1"/>
        <v>-160.39125491085349</v>
      </c>
      <c r="N130" s="63">
        <f ca="1"/>
        <v>-186.80783315751262</v>
      </c>
      <c r="O130" s="63">
        <f ca="1"/>
        <v>-214.61611798674843</v>
      </c>
      <c r="P130" s="63" t="e">
        <f ca="1"/>
        <v>#N/A</v>
      </c>
      <c r="Q130" s="63" t="e">
        <f ca="1"/>
        <v>#N/A</v>
      </c>
      <c r="R130" s="63" t="e">
        <f ca="1"/>
        <v>#N/A</v>
      </c>
      <c r="S130" s="63" t="e">
        <f ca="1"/>
        <v>#N/A</v>
      </c>
      <c r="T130" s="63" t="e">
        <f ca="1"/>
        <v>#N/A</v>
      </c>
      <c r="U130" s="63" t="e">
        <f ca="1"/>
        <v>#N/A</v>
      </c>
      <c r="V130" s="63" t="e">
        <f ca="1"/>
        <v>#N/A</v>
      </c>
      <c r="W130" s="63" t="e">
        <f ca="1"/>
        <v>#N/A</v>
      </c>
      <c r="X130" s="63" t="e">
        <f ca="1"/>
        <v>#N/A</v>
      </c>
      <c r="Y130" s="63" t="e">
        <f ca="1"/>
        <v>#N/A</v>
      </c>
      <c r="Z130" s="63" t="e">
        <f ca="1"/>
        <v>#N/A</v>
      </c>
      <c r="AA130" s="63" t="e">
        <f ca="1"/>
        <v>#N/A</v>
      </c>
      <c r="AB130" s="63" t="e">
        <f ca="1"/>
        <v>#N/A</v>
      </c>
      <c r="AC130" s="63" t="e">
        <f ca="1"/>
        <v>#N/A</v>
      </c>
      <c r="AD130" s="63" t="e">
        <f ca="1"/>
        <v>#N/A</v>
      </c>
      <c r="AE130" s="63" t="e">
        <f ca="1"/>
        <v>#N/A</v>
      </c>
      <c r="AF130" s="63" t="e">
        <f ca="1"/>
        <v>#N/A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str">
        <f ca="1"/>
        <v xml:space="preserve">Раствор + газовая: </v>
      </c>
      <c r="F131" s="63">
        <f ca="1"/>
        <v>-25.428985198595058</v>
      </c>
      <c r="G131" s="63">
        <f ca="1"/>
        <v>-42.134050481897141</v>
      </c>
      <c r="H131" s="63">
        <f ca="1"/>
        <v>-61.055371650632999</v>
      </c>
      <c r="I131" s="63">
        <f ca="1"/>
        <v>-81.67643010969995</v>
      </c>
      <c r="J131" s="63">
        <f ca="1"/>
        <v>-103.68088686360423</v>
      </c>
      <c r="K131" s="63">
        <f ca="1"/>
        <v>-126.90376061462977</v>
      </c>
      <c r="L131" s="63">
        <f ca="1"/>
        <v>-151.28878570585016</v>
      </c>
      <c r="M131" s="63">
        <f ca="1"/>
        <v>-176.83292157752015</v>
      </c>
      <c r="N131" s="63">
        <f ca="1"/>
        <v>-203.4494998241793</v>
      </c>
      <c r="O131" s="63">
        <f ca="1"/>
        <v>-231.52445132008177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8">E144-$C$144</f>
        <v>-5</v>
      </c>
      <c r="F145" s="39">
        <f t="shared" si="38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9">D145+$A$144</f>
        <v>3</v>
      </c>
      <c r="E146" s="39">
        <f t="shared" si="39"/>
        <v>3</v>
      </c>
      <c r="F146" s="39">
        <f t="shared" si="39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8" priority="3" operator="equal">
      <formula>0</formula>
    </cfRule>
  </conditionalFormatting>
  <conditionalFormatting sqref="A50:D79">
    <cfRule type="cellIs" dxfId="7" priority="2" operator="equal">
      <formula>0</formula>
    </cfRule>
  </conditionalFormatting>
  <conditionalFormatting sqref="A84:D11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8"/>
  <sheetViews>
    <sheetView topLeftCell="AG10" zoomScale="85" zoomScaleNormal="85" zoomScaleSheetLayoutView="25" workbookViewId="0">
      <selection activeCell="AZ25" sqref="AZ25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8" width="8.6328125" style="63" customWidth="1"/>
    <col min="39" max="16384" width="8.7265625" style="63"/>
  </cols>
  <sheetData>
    <row r="1" spans="1:54" ht="21.75" customHeight="1" thickBot="1" x14ac:dyDescent="0.4">
      <c r="A1" s="170" t="s">
        <v>34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 t="s">
        <v>95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1000</v>
      </c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0</v>
      </c>
      <c r="C4" s="70">
        <f t="shared" si="0"/>
        <v>1</v>
      </c>
      <c r="D4" s="70">
        <f t="shared" si="0"/>
        <v>0</v>
      </c>
      <c r="E4" s="11" t="s">
        <v>56</v>
      </c>
      <c r="F4" s="77">
        <v>0</v>
      </c>
      <c r="G4" s="77">
        <v>0</v>
      </c>
      <c r="H4" s="77">
        <v>0</v>
      </c>
      <c r="I4" s="77">
        <v>0</v>
      </c>
      <c r="J4" s="77">
        <v>0</v>
      </c>
      <c r="K4" s="77">
        <v>3.8258999999999998E-18</v>
      </c>
      <c r="L4" s="77">
        <v>1.6139000000000001E-13</v>
      </c>
      <c r="M4" s="77">
        <v>8.4388000000000001E-11</v>
      </c>
      <c r="N4" s="77">
        <v>1.4055E-9</v>
      </c>
      <c r="O4" s="77">
        <v>6.719E-2</v>
      </c>
      <c r="P4" s="77">
        <v>0.12</v>
      </c>
      <c r="Q4" s="77">
        <v>0.12</v>
      </c>
      <c r="R4" s="77">
        <v>0.12</v>
      </c>
      <c r="S4" s="77">
        <v>0.12</v>
      </c>
      <c r="T4" s="77">
        <v>0.12</v>
      </c>
      <c r="U4" s="77">
        <v>0.12</v>
      </c>
      <c r="V4" s="77">
        <v>0.12</v>
      </c>
      <c r="W4" s="77">
        <v>0.12</v>
      </c>
      <c r="X4" s="77">
        <v>0.12</v>
      </c>
      <c r="Y4" s="63">
        <v>0.12</v>
      </c>
      <c r="Z4" s="63">
        <v>0.11315</v>
      </c>
      <c r="AA4" s="63">
        <v>0.11173</v>
      </c>
      <c r="AB4" s="63">
        <v>0.11027000000000001</v>
      </c>
      <c r="AC4" s="63">
        <v>0.10192</v>
      </c>
      <c r="AD4" s="63">
        <v>8.5938000000000001E-2</v>
      </c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1</v>
      </c>
      <c r="C5" s="70">
        <f t="shared" si="0"/>
        <v>1</v>
      </c>
      <c r="D5" s="70">
        <f t="shared" si="0"/>
        <v>0</v>
      </c>
      <c r="E5" s="11" t="s">
        <v>55</v>
      </c>
      <c r="F5" s="77">
        <v>0.12</v>
      </c>
      <c r="G5" s="77">
        <v>0.12</v>
      </c>
      <c r="H5" s="77">
        <v>0.12</v>
      </c>
      <c r="I5" s="77">
        <v>0.12</v>
      </c>
      <c r="J5" s="77">
        <v>0.24</v>
      </c>
      <c r="K5" s="77">
        <v>0.24</v>
      </c>
      <c r="L5" s="77">
        <v>0.24</v>
      </c>
      <c r="M5" s="77">
        <v>0.24</v>
      </c>
      <c r="N5" s="77">
        <v>0.24</v>
      </c>
      <c r="O5" s="77">
        <v>0.10562000000000001</v>
      </c>
      <c r="P5" s="77">
        <v>5.8947000000000003E-9</v>
      </c>
      <c r="Q5" s="77">
        <v>2.9583999999999998E-10</v>
      </c>
      <c r="R5" s="77">
        <v>5.7976000000000003E-12</v>
      </c>
      <c r="S5" s="77">
        <v>3.5656000000000001E-12</v>
      </c>
      <c r="T5" s="77">
        <v>6.6780000000000004E-22</v>
      </c>
      <c r="U5" s="77">
        <v>5.9907000000000002E-27</v>
      </c>
      <c r="V5" s="77">
        <v>2.7018000000000001E-32</v>
      </c>
      <c r="W5" s="77">
        <v>0</v>
      </c>
      <c r="X5" s="77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0</v>
      </c>
      <c r="C6" s="70">
        <f t="shared" si="0"/>
        <v>0</v>
      </c>
      <c r="D6" s="70">
        <f t="shared" si="0"/>
        <v>1</v>
      </c>
      <c r="E6" s="11" t="s">
        <v>54</v>
      </c>
      <c r="F6" s="77">
        <v>0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77">
        <v>0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2.1572000000000002E-31</v>
      </c>
      <c r="U6" s="77">
        <v>1.5057E-27</v>
      </c>
      <c r="V6" s="77">
        <v>6.8638000000000005E-23</v>
      </c>
      <c r="W6" s="77">
        <v>7.9580000000000003E-23</v>
      </c>
      <c r="X6" s="77">
        <v>6.1874000000000002E-17</v>
      </c>
      <c r="Y6" s="63">
        <v>5.1635999999999997E-16</v>
      </c>
      <c r="Z6" s="63">
        <v>3.1504999999999998E-9</v>
      </c>
      <c r="AA6" s="63">
        <v>3.9756000000000002E-7</v>
      </c>
      <c r="AB6" s="63">
        <v>2.9050000000000001E-7</v>
      </c>
      <c r="AC6" s="63">
        <v>6.5820000000000003E-8</v>
      </c>
      <c r="AD6" s="63">
        <v>1.1147E-8</v>
      </c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1</v>
      </c>
      <c r="C7" s="70">
        <f t="shared" si="0"/>
        <v>0</v>
      </c>
      <c r="D7" s="70">
        <f t="shared" si="0"/>
        <v>2</v>
      </c>
      <c r="E7" s="11" t="s">
        <v>69</v>
      </c>
      <c r="F7" s="77">
        <v>0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0</v>
      </c>
      <c r="N7" s="77">
        <v>0</v>
      </c>
      <c r="O7" s="77">
        <v>0</v>
      </c>
      <c r="P7" s="77">
        <v>0</v>
      </c>
      <c r="Q7" s="77">
        <v>0</v>
      </c>
      <c r="R7" s="77">
        <v>0</v>
      </c>
      <c r="S7" s="77">
        <v>0</v>
      </c>
      <c r="T7" s="77">
        <v>2.482E-22</v>
      </c>
      <c r="U7" s="77">
        <v>4.1234E-18</v>
      </c>
      <c r="V7" s="77">
        <v>4.5319000000000001E-13</v>
      </c>
      <c r="W7" s="77">
        <v>2.2366E-8</v>
      </c>
      <c r="X7" s="77">
        <v>2.4235E-2</v>
      </c>
      <c r="Y7" s="63">
        <v>3.5584999999999999E-2</v>
      </c>
      <c r="Z7" s="63">
        <v>2.9937000000000001E-7</v>
      </c>
      <c r="AA7" s="63">
        <v>2.7884000000000001E-21</v>
      </c>
      <c r="AB7" s="63">
        <v>0</v>
      </c>
      <c r="AC7" s="63">
        <v>0</v>
      </c>
      <c r="AD7" s="63">
        <v>0</v>
      </c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0</v>
      </c>
      <c r="C8" s="70">
        <f t="shared" si="0"/>
        <v>1</v>
      </c>
      <c r="D8" s="70">
        <f t="shared" si="0"/>
        <v>0</v>
      </c>
      <c r="E8" s="11" t="s">
        <v>52</v>
      </c>
      <c r="F8" s="77">
        <v>0</v>
      </c>
      <c r="G8" s="77">
        <v>0</v>
      </c>
      <c r="H8" s="77">
        <v>0</v>
      </c>
      <c r="I8" s="77">
        <v>0</v>
      </c>
      <c r="J8" s="77">
        <v>0</v>
      </c>
      <c r="K8" s="77">
        <v>3.8258999999999998E-18</v>
      </c>
      <c r="L8" s="77">
        <v>1.6139000000000001E-13</v>
      </c>
      <c r="M8" s="77">
        <v>8.4388000000000001E-11</v>
      </c>
      <c r="N8" s="77">
        <v>1.4055E-9</v>
      </c>
      <c r="O8" s="77">
        <v>6.719E-2</v>
      </c>
      <c r="P8" s="77">
        <v>0.12</v>
      </c>
      <c r="Q8" s="77">
        <v>0.12</v>
      </c>
      <c r="R8" s="77">
        <v>0.12</v>
      </c>
      <c r="S8" s="77">
        <v>0.12</v>
      </c>
      <c r="T8" s="77">
        <v>0.12</v>
      </c>
      <c r="U8" s="77">
        <v>0.12</v>
      </c>
      <c r="V8" s="77">
        <v>0.12</v>
      </c>
      <c r="W8" s="77">
        <v>0.12</v>
      </c>
      <c r="X8" s="77">
        <v>0.12</v>
      </c>
      <c r="Y8" s="63">
        <v>0.12</v>
      </c>
      <c r="Z8" s="63">
        <v>0.11315</v>
      </c>
      <c r="AA8" s="63">
        <v>0.11173</v>
      </c>
      <c r="AB8" s="63">
        <v>0.11027000000000001</v>
      </c>
      <c r="AC8" s="63">
        <v>0.10192</v>
      </c>
      <c r="AD8" s="63">
        <v>8.5938000000000001E-2</v>
      </c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0</v>
      </c>
      <c r="E9" s="11" t="s">
        <v>51</v>
      </c>
      <c r="F9" s="77">
        <v>4.6744E-24</v>
      </c>
      <c r="G9" s="77">
        <v>8.8713000000000006E-17</v>
      </c>
      <c r="H9" s="77">
        <v>7.5023000000000003E-11</v>
      </c>
      <c r="I9" s="77">
        <v>2.4996999999999999E-8</v>
      </c>
      <c r="J9" s="77">
        <v>0.12</v>
      </c>
      <c r="K9" s="77">
        <v>0.12</v>
      </c>
      <c r="L9" s="77">
        <v>0.12</v>
      </c>
      <c r="M9" s="77">
        <v>0.12</v>
      </c>
      <c r="N9" s="77">
        <v>0.12</v>
      </c>
      <c r="O9" s="77">
        <v>0.25438</v>
      </c>
      <c r="P9" s="77">
        <v>0.36</v>
      </c>
      <c r="Q9" s="77">
        <v>0.36</v>
      </c>
      <c r="R9" s="77">
        <v>0.36</v>
      </c>
      <c r="S9" s="77">
        <v>0.36</v>
      </c>
      <c r="T9" s="77">
        <v>0.36</v>
      </c>
      <c r="U9" s="77">
        <v>0.36</v>
      </c>
      <c r="V9" s="77">
        <v>0.36</v>
      </c>
      <c r="W9" s="77">
        <v>0.36</v>
      </c>
      <c r="X9" s="77">
        <v>0.40847</v>
      </c>
      <c r="Y9" s="63">
        <v>0.43117</v>
      </c>
      <c r="Z9" s="63">
        <v>0.47654000000000002</v>
      </c>
      <c r="AA9" s="63">
        <v>0.47964000000000001</v>
      </c>
      <c r="AB9" s="63">
        <v>0.47996</v>
      </c>
      <c r="AC9" s="63">
        <v>0.48</v>
      </c>
      <c r="AD9" s="63">
        <v>0.48</v>
      </c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2</v>
      </c>
      <c r="C10" s="70">
        <f t="shared" si="0"/>
        <v>1</v>
      </c>
      <c r="D10" s="70">
        <f t="shared" si="0"/>
        <v>0</v>
      </c>
      <c r="E10" s="11" t="s">
        <v>63</v>
      </c>
      <c r="F10" s="77">
        <v>0.12</v>
      </c>
      <c r="G10" s="77">
        <v>0.12</v>
      </c>
      <c r="H10" s="77">
        <v>0.12</v>
      </c>
      <c r="I10" s="77">
        <v>0.12</v>
      </c>
      <c r="J10" s="77">
        <v>6.8576999999999996E-9</v>
      </c>
      <c r="K10" s="77">
        <v>3.5479000000000002E-18</v>
      </c>
      <c r="L10" s="77">
        <v>3.3890000000000001E-21</v>
      </c>
      <c r="M10" s="77">
        <v>2.8891000000000001E-29</v>
      </c>
      <c r="N10" s="77">
        <v>0</v>
      </c>
      <c r="O10" s="77">
        <v>0</v>
      </c>
      <c r="P10" s="77">
        <v>0</v>
      </c>
      <c r="Q10" s="77">
        <v>0</v>
      </c>
      <c r="R10" s="77">
        <v>0</v>
      </c>
      <c r="S10" s="77">
        <v>0</v>
      </c>
      <c r="T10" s="77">
        <v>0</v>
      </c>
      <c r="U10" s="77">
        <v>0</v>
      </c>
      <c r="V10" s="77">
        <v>0</v>
      </c>
      <c r="W10" s="77">
        <v>0</v>
      </c>
      <c r="X10" s="77">
        <v>0</v>
      </c>
      <c r="Y10" s="63">
        <v>0</v>
      </c>
      <c r="Z10" s="63">
        <v>0</v>
      </c>
      <c r="AA10" s="63">
        <v>0</v>
      </c>
      <c r="AB10" s="63">
        <v>0</v>
      </c>
      <c r="AC10" s="63">
        <v>0</v>
      </c>
      <c r="AD10" s="63">
        <v>0</v>
      </c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3</v>
      </c>
      <c r="C11" s="70">
        <f t="shared" si="0"/>
        <v>0</v>
      </c>
      <c r="D11" s="70">
        <f t="shared" si="0"/>
        <v>2</v>
      </c>
      <c r="E11" s="11" t="s">
        <v>62</v>
      </c>
      <c r="F11" s="77">
        <v>0.04</v>
      </c>
      <c r="G11" s="77">
        <v>0.04</v>
      </c>
      <c r="H11" s="77">
        <v>0.04</v>
      </c>
      <c r="I11" s="77">
        <v>0.04</v>
      </c>
      <c r="J11" s="77">
        <v>0.04</v>
      </c>
      <c r="K11" s="77">
        <v>0.04</v>
      </c>
      <c r="L11" s="77">
        <v>0.04</v>
      </c>
      <c r="M11" s="77">
        <v>0.04</v>
      </c>
      <c r="N11" s="77">
        <v>0.04</v>
      </c>
      <c r="O11" s="77">
        <v>0.04</v>
      </c>
      <c r="P11" s="77">
        <v>0.04</v>
      </c>
      <c r="Q11" s="77">
        <v>0.04</v>
      </c>
      <c r="R11" s="77">
        <v>0.04</v>
      </c>
      <c r="S11" s="77">
        <v>0.04</v>
      </c>
      <c r="T11" s="77">
        <v>0.04</v>
      </c>
      <c r="U11" s="77">
        <v>0.04</v>
      </c>
      <c r="V11" s="77">
        <v>0.04</v>
      </c>
      <c r="W11" s="77">
        <v>0.04</v>
      </c>
      <c r="X11" s="77">
        <v>1.5765000000000001E-2</v>
      </c>
      <c r="Y11" s="63">
        <v>4.4145E-3</v>
      </c>
      <c r="Z11" s="63">
        <v>1.1531E-3</v>
      </c>
      <c r="AA11" s="63">
        <v>1.1998999999999999E-4</v>
      </c>
      <c r="AB11" s="63">
        <v>1.3539E-5</v>
      </c>
      <c r="AC11" s="63">
        <v>4.1901999999999999E-9</v>
      </c>
      <c r="AD11" s="63">
        <v>2.8184000000000002E-12</v>
      </c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2</v>
      </c>
      <c r="E12" s="11" t="s">
        <v>70</v>
      </c>
      <c r="F12" s="77">
        <v>0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8.2863999999999999E-35</v>
      </c>
      <c r="M12" s="77">
        <v>3.9535999999999999E-32</v>
      </c>
      <c r="N12" s="77">
        <v>1.1802E-29</v>
      </c>
      <c r="O12" s="77">
        <v>2.318E-27</v>
      </c>
      <c r="P12" s="77">
        <v>3.1711999999999998E-25</v>
      </c>
      <c r="Q12" s="77">
        <v>3.1093000000000001E-23</v>
      </c>
      <c r="R12" s="77">
        <v>2.2684999999999999E-21</v>
      </c>
      <c r="S12" s="77">
        <v>1.2683999999999999E-19</v>
      </c>
      <c r="T12" s="77">
        <v>1.3808E-13</v>
      </c>
      <c r="U12" s="77">
        <v>2.8290000000000002E-12</v>
      </c>
      <c r="V12" s="77">
        <v>4.9786000000000001E-11</v>
      </c>
      <c r="W12" s="77">
        <v>7.6181999999999996E-10</v>
      </c>
      <c r="X12" s="77">
        <v>4.0387000000000001E-9</v>
      </c>
      <c r="Y12" s="63">
        <v>1.3505000000000001E-8</v>
      </c>
      <c r="Z12" s="63">
        <v>3.7726999999999998E-8</v>
      </c>
      <c r="AA12" s="63">
        <v>3.7906000000000002E-8</v>
      </c>
      <c r="AB12" s="63">
        <v>3.7554E-8</v>
      </c>
      <c r="AC12" s="63">
        <v>3.0196000000000001E-8</v>
      </c>
      <c r="AD12" s="63">
        <v>1.7782E-8</v>
      </c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1</v>
      </c>
      <c r="B13" s="70">
        <f t="shared" si="0"/>
        <v>0</v>
      </c>
      <c r="C13" s="70">
        <f t="shared" si="0"/>
        <v>0</v>
      </c>
      <c r="D13" s="70">
        <f t="shared" si="0"/>
        <v>0</v>
      </c>
      <c r="E13" s="11" t="s">
        <v>1</v>
      </c>
      <c r="F13" s="77">
        <v>0.2</v>
      </c>
      <c r="G13" s="77">
        <v>0.2</v>
      </c>
      <c r="H13" s="77">
        <v>0.2</v>
      </c>
      <c r="I13" s="77">
        <v>0.2</v>
      </c>
      <c r="J13" s="77">
        <v>0.2</v>
      </c>
      <c r="K13" s="77">
        <v>0.2</v>
      </c>
      <c r="L13" s="77">
        <v>0.2</v>
      </c>
      <c r="M13" s="77">
        <v>0.2</v>
      </c>
      <c r="N13" s="77">
        <v>0.2</v>
      </c>
      <c r="O13" s="77">
        <v>0.2</v>
      </c>
      <c r="P13" s="77">
        <v>0.2</v>
      </c>
      <c r="Q13" s="77">
        <v>0.2</v>
      </c>
      <c r="R13" s="77">
        <v>0.2</v>
      </c>
      <c r="S13" s="77">
        <v>0.2</v>
      </c>
      <c r="T13" s="77">
        <v>0.2</v>
      </c>
      <c r="U13" s="77">
        <v>0.2</v>
      </c>
      <c r="V13" s="77">
        <v>0.2</v>
      </c>
      <c r="W13" s="77">
        <v>0.2</v>
      </c>
      <c r="X13" s="77">
        <v>0.2</v>
      </c>
      <c r="Y13" s="63">
        <v>0.2</v>
      </c>
      <c r="Z13" s="63">
        <v>0.2</v>
      </c>
      <c r="AA13" s="63">
        <v>0.2</v>
      </c>
      <c r="AB13" s="63">
        <v>0.2</v>
      </c>
      <c r="AC13" s="63">
        <v>0.2</v>
      </c>
      <c r="AD13" s="63">
        <v>0.2</v>
      </c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0</v>
      </c>
      <c r="C14" s="70">
        <f t="shared" si="0"/>
        <v>0</v>
      </c>
      <c r="D14" s="70">
        <f t="shared" si="0"/>
        <v>1</v>
      </c>
      <c r="E14" s="11" t="s">
        <v>100</v>
      </c>
      <c r="F14" s="77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0</v>
      </c>
      <c r="M14" s="77">
        <v>0</v>
      </c>
      <c r="N14" s="77">
        <v>0</v>
      </c>
      <c r="O14" s="77">
        <v>0</v>
      </c>
      <c r="P14" s="77">
        <v>0</v>
      </c>
      <c r="Q14" s="77">
        <v>1.5435999999999999E-32</v>
      </c>
      <c r="R14" s="77">
        <v>2.2441000000000001E-26</v>
      </c>
      <c r="S14" s="77">
        <v>2.012E-20</v>
      </c>
      <c r="T14" s="77">
        <v>3.7214000000000002E-13</v>
      </c>
      <c r="U14" s="77">
        <v>8.3488999999999999E-13</v>
      </c>
      <c r="V14" s="77">
        <v>1.2235E-11</v>
      </c>
      <c r="W14" s="77">
        <v>5.7031000000000002E-13</v>
      </c>
      <c r="X14" s="77">
        <v>4.5874000000000001E-9</v>
      </c>
      <c r="Y14" s="63">
        <v>3.9656000000000001E-8</v>
      </c>
      <c r="Z14" s="63">
        <v>7.7692999999999998E-2</v>
      </c>
      <c r="AA14" s="63">
        <v>7.9759999999999998E-2</v>
      </c>
      <c r="AB14" s="63">
        <v>7.9973000000000002E-2</v>
      </c>
      <c r="AC14" s="63">
        <v>0.08</v>
      </c>
      <c r="AD14" s="63">
        <v>0.08</v>
      </c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1</v>
      </c>
      <c r="D15" s="70">
        <f t="shared" si="0"/>
        <v>0</v>
      </c>
      <c r="E15" s="11" t="s">
        <v>101</v>
      </c>
      <c r="F15" s="77">
        <v>0</v>
      </c>
      <c r="G15" s="77">
        <v>0</v>
      </c>
      <c r="H15" s="77">
        <v>0</v>
      </c>
      <c r="I15" s="77">
        <v>0</v>
      </c>
      <c r="J15" s="77">
        <v>0</v>
      </c>
      <c r="K15" s="77">
        <v>0</v>
      </c>
      <c r="L15" s="77">
        <v>0</v>
      </c>
      <c r="M15" s="77">
        <v>0</v>
      </c>
      <c r="N15" s="77">
        <v>0</v>
      </c>
      <c r="O15" s="77">
        <v>0</v>
      </c>
      <c r="P15" s="77">
        <v>0</v>
      </c>
      <c r="Q15" s="77">
        <v>2.9877999999999998E-27</v>
      </c>
      <c r="R15" s="77">
        <v>7.9918999999999997E-22</v>
      </c>
      <c r="S15" s="77">
        <v>1.449E-16</v>
      </c>
      <c r="T15" s="77">
        <v>9.8116000000000007E-12</v>
      </c>
      <c r="U15" s="77">
        <v>6.3760999999999999E-12</v>
      </c>
      <c r="V15" s="77">
        <v>2.8513E-11</v>
      </c>
      <c r="W15" s="77">
        <v>4.2784000000000002E-13</v>
      </c>
      <c r="X15" s="77">
        <v>1.7531999999999999E-9</v>
      </c>
      <c r="Y15" s="63">
        <v>9.8190000000000001E-9</v>
      </c>
      <c r="Z15" s="63">
        <v>1.3691E-2</v>
      </c>
      <c r="AA15" s="63">
        <v>1.6542000000000001E-2</v>
      </c>
      <c r="AB15" s="63">
        <v>1.9453999999999999E-2</v>
      </c>
      <c r="AC15" s="63">
        <v>3.6164000000000002E-2</v>
      </c>
      <c r="AD15" s="63">
        <v>6.8124000000000004E-2</v>
      </c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1</v>
      </c>
      <c r="B16" s="70">
        <f t="shared" si="0"/>
        <v>0</v>
      </c>
      <c r="C16" s="70">
        <f t="shared" si="0"/>
        <v>0</v>
      </c>
      <c r="D16" s="70">
        <f t="shared" si="0"/>
        <v>0</v>
      </c>
      <c r="E16" s="11" t="s">
        <v>36</v>
      </c>
      <c r="F16" s="77">
        <v>-18.8</v>
      </c>
      <c r="G16" s="77">
        <v>-18.79</v>
      </c>
      <c r="H16" s="77">
        <v>-18.8</v>
      </c>
      <c r="I16" s="77">
        <v>-18.809999999999999</v>
      </c>
      <c r="J16" s="77">
        <v>-18.829999999999998</v>
      </c>
      <c r="K16" s="77">
        <v>-18.95</v>
      </c>
      <c r="L16" s="77">
        <v>-18.989999999999998</v>
      </c>
      <c r="M16" s="77">
        <v>-19.03</v>
      </c>
      <c r="N16" s="77">
        <v>-19.07</v>
      </c>
      <c r="O16" s="77">
        <v>-19.11</v>
      </c>
      <c r="P16" s="77">
        <v>-19.149999999999999</v>
      </c>
      <c r="Q16" s="77">
        <v>-19.190000000000001</v>
      </c>
      <c r="R16" s="77">
        <v>-19.23</v>
      </c>
      <c r="S16" s="77">
        <v>-19.28</v>
      </c>
      <c r="T16" s="77">
        <v>-19.440000000000001</v>
      </c>
      <c r="U16" s="77">
        <v>-19.489999999999998</v>
      </c>
      <c r="V16" s="77">
        <v>-19.53</v>
      </c>
      <c r="W16" s="77">
        <v>-19.57</v>
      </c>
      <c r="X16" s="77">
        <v>-19.5</v>
      </c>
      <c r="Y16" s="63">
        <v>-19.489999999999998</v>
      </c>
      <c r="Z16" s="63">
        <v>-19.510000000000002</v>
      </c>
      <c r="AA16" s="63">
        <v>-19.55</v>
      </c>
      <c r="AB16" s="63">
        <v>-19.59</v>
      </c>
      <c r="AC16" s="63">
        <v>-19.739999999999998</v>
      </c>
      <c r="AD16" s="63">
        <v>-19.88</v>
      </c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11" t="s">
        <v>5</v>
      </c>
      <c r="F17" s="77">
        <v>-66.459999999999994</v>
      </c>
      <c r="G17" s="77">
        <v>-62.25</v>
      </c>
      <c r="H17" s="77">
        <v>-58.6</v>
      </c>
      <c r="I17" s="77">
        <v>-55.41</v>
      </c>
      <c r="J17" s="77">
        <v>-51.62</v>
      </c>
      <c r="K17" s="77">
        <v>-37.26</v>
      </c>
      <c r="L17" s="77">
        <v>-34.4</v>
      </c>
      <c r="M17" s="77">
        <v>-31.76</v>
      </c>
      <c r="N17" s="77">
        <v>-29.31</v>
      </c>
      <c r="O17" s="77">
        <v>-27.03</v>
      </c>
      <c r="P17" s="77">
        <v>-24.9</v>
      </c>
      <c r="Q17" s="77">
        <v>-22.91</v>
      </c>
      <c r="R17" s="77">
        <v>-21.04</v>
      </c>
      <c r="S17" s="77">
        <v>-19.28</v>
      </c>
      <c r="T17" s="77">
        <v>-13.14</v>
      </c>
      <c r="U17" s="77">
        <v>-11.8</v>
      </c>
      <c r="V17" s="77">
        <v>-10.52</v>
      </c>
      <c r="W17" s="77">
        <v>-9.2940000000000005</v>
      </c>
      <c r="X17" s="77">
        <v>-8.5370000000000008</v>
      </c>
      <c r="Y17" s="63">
        <v>-8.0269999999999992</v>
      </c>
      <c r="Z17" s="63">
        <v>-7.617</v>
      </c>
      <c r="AA17" s="63">
        <v>-7.7149999999999999</v>
      </c>
      <c r="AB17" s="63">
        <v>-7.8150000000000004</v>
      </c>
      <c r="AC17" s="63">
        <v>-8.2360000000000007</v>
      </c>
      <c r="AD17" s="63">
        <v>-8.7249999999999996</v>
      </c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0</v>
      </c>
      <c r="C18" s="70">
        <f t="shared" si="0"/>
        <v>1</v>
      </c>
      <c r="D18" s="70">
        <f t="shared" si="0"/>
        <v>0</v>
      </c>
      <c r="E18" s="11" t="s">
        <v>6</v>
      </c>
      <c r="F18" s="77">
        <v>-16.29</v>
      </c>
      <c r="G18" s="77">
        <v>-15.52</v>
      </c>
      <c r="H18" s="77">
        <v>-14.86</v>
      </c>
      <c r="I18" s="77">
        <v>-14.3</v>
      </c>
      <c r="J18" s="77">
        <v>-13.17</v>
      </c>
      <c r="K18" s="77">
        <v>-7.9130000000000003</v>
      </c>
      <c r="L18" s="77">
        <v>-6.851</v>
      </c>
      <c r="M18" s="77">
        <v>-5.867</v>
      </c>
      <c r="N18" s="77">
        <v>-4.9489999999999998</v>
      </c>
      <c r="O18" s="77">
        <v>-4.0979999999999999</v>
      </c>
      <c r="P18" s="77">
        <v>-4.1500000000000004</v>
      </c>
      <c r="Q18" s="77">
        <v>-4.2</v>
      </c>
      <c r="R18" s="77">
        <v>-4.2489999999999997</v>
      </c>
      <c r="S18" s="77">
        <v>-4.2990000000000004</v>
      </c>
      <c r="T18" s="77">
        <v>-4.4989999999999997</v>
      </c>
      <c r="U18" s="77">
        <v>-4.5490000000000004</v>
      </c>
      <c r="V18" s="77">
        <v>-4.5979999999999999</v>
      </c>
      <c r="W18" s="77">
        <v>-4.6470000000000002</v>
      </c>
      <c r="X18" s="77">
        <v>-4.6959999999999997</v>
      </c>
      <c r="Y18" s="63">
        <v>-4.7439999999999998</v>
      </c>
      <c r="Z18" s="63">
        <v>-4.7919999999999998</v>
      </c>
      <c r="AA18" s="63">
        <v>-4.84</v>
      </c>
      <c r="AB18" s="63">
        <v>-4.8869999999999996</v>
      </c>
      <c r="AC18" s="63">
        <v>-5.0709999999999997</v>
      </c>
      <c r="AD18" s="63">
        <v>-5.2489999999999997</v>
      </c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11" t="s">
        <v>7</v>
      </c>
      <c r="F19" s="77">
        <v>-23.52</v>
      </c>
      <c r="G19" s="77">
        <v>-22.18</v>
      </c>
      <c r="H19" s="77">
        <v>-21.02</v>
      </c>
      <c r="I19" s="77">
        <v>-20.010000000000002</v>
      </c>
      <c r="J19" s="77">
        <v>-19.77</v>
      </c>
      <c r="K19" s="77">
        <v>-20.97</v>
      </c>
      <c r="L19" s="77">
        <v>-21.27</v>
      </c>
      <c r="M19" s="77">
        <v>-21.58</v>
      </c>
      <c r="N19" s="77">
        <v>-21.88</v>
      </c>
      <c r="O19" s="77">
        <v>-22.18</v>
      </c>
      <c r="P19" s="77">
        <v>-22.49</v>
      </c>
      <c r="Q19" s="77">
        <v>-22.79</v>
      </c>
      <c r="R19" s="77">
        <v>-23.08</v>
      </c>
      <c r="S19" s="77">
        <v>-23.37</v>
      </c>
      <c r="T19" s="77">
        <v>-24.51</v>
      </c>
      <c r="U19" s="77">
        <v>-24.79</v>
      </c>
      <c r="V19" s="77">
        <v>-25.06</v>
      </c>
      <c r="W19" s="77">
        <v>-25.33</v>
      </c>
      <c r="X19" s="77">
        <v>-25.6</v>
      </c>
      <c r="Y19" s="63">
        <v>-25.87</v>
      </c>
      <c r="Z19" s="63">
        <v>-26.13</v>
      </c>
      <c r="AA19" s="63">
        <v>-26.39</v>
      </c>
      <c r="AB19" s="63">
        <v>-26.65</v>
      </c>
      <c r="AC19" s="63">
        <v>-27.65</v>
      </c>
      <c r="AD19" s="63">
        <v>-28.62</v>
      </c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0</v>
      </c>
      <c r="D20" s="70">
        <f t="shared" si="1"/>
        <v>0</v>
      </c>
      <c r="E20" s="67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0</v>
      </c>
      <c r="C21" s="70">
        <f t="shared" si="1"/>
        <v>0</v>
      </c>
      <c r="D21" s="70">
        <f t="shared" si="1"/>
        <v>0</v>
      </c>
      <c r="E21" s="67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78">
        <v>0</v>
      </c>
      <c r="C34" s="24" t="s">
        <v>36</v>
      </c>
      <c r="D34" s="75">
        <f>MATCH(C34,$E$4:$E$33)</f>
        <v>13</v>
      </c>
      <c r="E34" s="24" t="str">
        <f ca="1">OFFSET($E$3:$AL$3,$D34,0)</f>
        <v>H (Ar)</v>
      </c>
      <c r="F34" s="28">
        <f t="shared" ref="F34:AL37" ca="1" si="3">OFFSET($E$3:$AL$3,$D34,0)</f>
        <v>-18.8</v>
      </c>
      <c r="G34" s="28">
        <f t="shared" ca="1" si="3"/>
        <v>-18.79</v>
      </c>
      <c r="H34" s="28">
        <f t="shared" ca="1" si="3"/>
        <v>-18.8</v>
      </c>
      <c r="I34" s="28">
        <f t="shared" ca="1" si="3"/>
        <v>-18.809999999999999</v>
      </c>
      <c r="J34" s="28">
        <f t="shared" ca="1" si="3"/>
        <v>-18.829999999999998</v>
      </c>
      <c r="K34" s="28">
        <f t="shared" ca="1" si="3"/>
        <v>-18.95</v>
      </c>
      <c r="L34" s="28">
        <f t="shared" ca="1" si="3"/>
        <v>-18.989999999999998</v>
      </c>
      <c r="M34" s="28">
        <f t="shared" ca="1" si="3"/>
        <v>-19.03</v>
      </c>
      <c r="N34" s="28">
        <f t="shared" ca="1" si="3"/>
        <v>-19.07</v>
      </c>
      <c r="O34" s="28">
        <f t="shared" ca="1" si="3"/>
        <v>-19.11</v>
      </c>
      <c r="P34" s="28">
        <f t="shared" ca="1" si="3"/>
        <v>-19.149999999999999</v>
      </c>
      <c r="Q34" s="28">
        <f t="shared" ca="1" si="3"/>
        <v>-19.190000000000001</v>
      </c>
      <c r="R34" s="28">
        <f t="shared" ca="1" si="3"/>
        <v>-19.23</v>
      </c>
      <c r="S34" s="28">
        <f t="shared" ca="1" si="3"/>
        <v>-19.28</v>
      </c>
      <c r="T34" s="28">
        <f t="shared" ca="1" si="3"/>
        <v>-19.440000000000001</v>
      </c>
      <c r="U34" s="28">
        <f t="shared" ca="1" si="3"/>
        <v>-19.489999999999998</v>
      </c>
      <c r="V34" s="28">
        <f t="shared" ca="1" si="3"/>
        <v>-19.53</v>
      </c>
      <c r="W34" s="28">
        <f t="shared" ca="1" si="3"/>
        <v>-19.57</v>
      </c>
      <c r="X34" s="28">
        <f t="shared" ca="1" si="3"/>
        <v>-19.5</v>
      </c>
      <c r="Y34" s="28">
        <f t="shared" ca="1" si="3"/>
        <v>-19.489999999999998</v>
      </c>
      <c r="Z34" s="28">
        <f t="shared" ca="1" si="3"/>
        <v>-19.510000000000002</v>
      </c>
      <c r="AA34" s="28">
        <f t="shared" ca="1" si="3"/>
        <v>-19.55</v>
      </c>
      <c r="AB34" s="28">
        <f t="shared" ca="1" si="3"/>
        <v>-19.59</v>
      </c>
      <c r="AC34" s="28">
        <f t="shared" ca="1" si="3"/>
        <v>-19.739999999999998</v>
      </c>
      <c r="AD34" s="28">
        <f t="shared" ca="1" si="3"/>
        <v>-19.88</v>
      </c>
      <c r="AE34" s="28">
        <f t="shared" ca="1" si="3"/>
        <v>0</v>
      </c>
      <c r="AF34" s="28">
        <f t="shared" ca="1" si="3"/>
        <v>0</v>
      </c>
      <c r="AG34" s="28">
        <f t="shared" ca="1" si="3"/>
        <v>0</v>
      </c>
      <c r="AH34" s="28">
        <f t="shared" ca="1" si="3"/>
        <v>0</v>
      </c>
      <c r="AI34" s="28">
        <f t="shared" ca="1" si="3"/>
        <v>0</v>
      </c>
      <c r="AJ34" s="28">
        <f t="shared" ca="1" si="3"/>
        <v>0</v>
      </c>
      <c r="AK34" s="28">
        <f t="shared" ca="1" si="3"/>
        <v>0</v>
      </c>
      <c r="AL34" s="28">
        <f t="shared" ca="1" si="3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79">
        <v>1</v>
      </c>
      <c r="C35" s="24" t="s">
        <v>5</v>
      </c>
      <c r="D35" s="75">
        <f t="shared" ref="D35:D37" si="4">MATCH(C35,$E$4:$E$33)</f>
        <v>14</v>
      </c>
      <c r="E35" s="24" t="str">
        <f t="shared" ref="E35:E37" ca="1" si="5">OFFSET($E$3:$AL$3,$D35,0)</f>
        <v>H (Ga)</v>
      </c>
      <c r="F35" s="28">
        <f t="shared" ca="1" si="3"/>
        <v>-66.459999999999994</v>
      </c>
      <c r="G35" s="28">
        <f t="shared" ca="1" si="3"/>
        <v>-62.25</v>
      </c>
      <c r="H35" s="28">
        <f t="shared" ca="1" si="3"/>
        <v>-58.6</v>
      </c>
      <c r="I35" s="28">
        <f t="shared" ca="1" si="3"/>
        <v>-55.41</v>
      </c>
      <c r="J35" s="28">
        <f t="shared" ca="1" si="3"/>
        <v>-51.62</v>
      </c>
      <c r="K35" s="28">
        <f t="shared" ca="1" si="3"/>
        <v>-37.26</v>
      </c>
      <c r="L35" s="28">
        <f t="shared" ca="1" si="3"/>
        <v>-34.4</v>
      </c>
      <c r="M35" s="28">
        <f t="shared" ca="1" si="3"/>
        <v>-31.76</v>
      </c>
      <c r="N35" s="28">
        <f t="shared" ca="1" si="3"/>
        <v>-29.31</v>
      </c>
      <c r="O35" s="28">
        <f t="shared" ca="1" si="3"/>
        <v>-27.03</v>
      </c>
      <c r="P35" s="28">
        <f t="shared" ca="1" si="3"/>
        <v>-24.9</v>
      </c>
      <c r="Q35" s="28">
        <f t="shared" ca="1" si="3"/>
        <v>-22.91</v>
      </c>
      <c r="R35" s="28">
        <f t="shared" ca="1" si="3"/>
        <v>-21.04</v>
      </c>
      <c r="S35" s="28">
        <f t="shared" ca="1" si="3"/>
        <v>-19.28</v>
      </c>
      <c r="T35" s="28">
        <f t="shared" ca="1" si="3"/>
        <v>-13.14</v>
      </c>
      <c r="U35" s="28">
        <f t="shared" ca="1" si="3"/>
        <v>-11.8</v>
      </c>
      <c r="V35" s="28">
        <f t="shared" ca="1" si="3"/>
        <v>-10.52</v>
      </c>
      <c r="W35" s="28">
        <f t="shared" ca="1" si="3"/>
        <v>-9.2940000000000005</v>
      </c>
      <c r="X35" s="28">
        <f t="shared" ca="1" si="3"/>
        <v>-8.5370000000000008</v>
      </c>
      <c r="Y35" s="28">
        <f t="shared" ca="1" si="3"/>
        <v>-8.0269999999999992</v>
      </c>
      <c r="Z35" s="28">
        <f t="shared" ca="1" si="3"/>
        <v>-7.617</v>
      </c>
      <c r="AA35" s="28">
        <f t="shared" ca="1" si="3"/>
        <v>-7.7149999999999999</v>
      </c>
      <c r="AB35" s="28">
        <f t="shared" ca="1" si="3"/>
        <v>-7.8150000000000004</v>
      </c>
      <c r="AC35" s="28">
        <f t="shared" ca="1" si="3"/>
        <v>-8.2360000000000007</v>
      </c>
      <c r="AD35" s="28">
        <f t="shared" ca="1" si="3"/>
        <v>-8.7249999999999996</v>
      </c>
      <c r="AE35" s="28">
        <f t="shared" ca="1" si="3"/>
        <v>0</v>
      </c>
      <c r="AF35" s="28">
        <f t="shared" ca="1" si="3"/>
        <v>0</v>
      </c>
      <c r="AG35" s="28">
        <f t="shared" ca="1" si="3"/>
        <v>0</v>
      </c>
      <c r="AH35" s="28">
        <f t="shared" ca="1" si="3"/>
        <v>0</v>
      </c>
      <c r="AI35" s="28">
        <f t="shared" ca="1" si="3"/>
        <v>0</v>
      </c>
      <c r="AJ35" s="28">
        <f t="shared" ca="1" si="3"/>
        <v>0</v>
      </c>
      <c r="AK35" s="28">
        <f t="shared" ca="1" si="3"/>
        <v>0</v>
      </c>
      <c r="AL35" s="28">
        <f t="shared" ca="1" si="3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4"/>
        <v>15</v>
      </c>
      <c r="E36" s="24" t="str">
        <f t="shared" ca="1" si="5"/>
        <v>H (Ge)</v>
      </c>
      <c r="F36" s="28">
        <f t="shared" ca="1" si="3"/>
        <v>-16.29</v>
      </c>
      <c r="G36" s="28">
        <f t="shared" ca="1" si="3"/>
        <v>-15.52</v>
      </c>
      <c r="H36" s="28">
        <f t="shared" ca="1" si="3"/>
        <v>-14.86</v>
      </c>
      <c r="I36" s="28">
        <f t="shared" ca="1" si="3"/>
        <v>-14.3</v>
      </c>
      <c r="J36" s="28">
        <f t="shared" ca="1" si="3"/>
        <v>-13.17</v>
      </c>
      <c r="K36" s="28">
        <f t="shared" ca="1" si="3"/>
        <v>-7.9130000000000003</v>
      </c>
      <c r="L36" s="28">
        <f t="shared" ca="1" si="3"/>
        <v>-6.851</v>
      </c>
      <c r="M36" s="28">
        <f t="shared" ca="1" si="3"/>
        <v>-5.867</v>
      </c>
      <c r="N36" s="28">
        <f t="shared" ca="1" si="3"/>
        <v>-4.9489999999999998</v>
      </c>
      <c r="O36" s="28">
        <f t="shared" ca="1" si="3"/>
        <v>-4.0979999999999999</v>
      </c>
      <c r="P36" s="28">
        <f t="shared" ca="1" si="3"/>
        <v>-4.1500000000000004</v>
      </c>
      <c r="Q36" s="28">
        <f t="shared" ca="1" si="3"/>
        <v>-4.2</v>
      </c>
      <c r="R36" s="28">
        <f t="shared" ca="1" si="3"/>
        <v>-4.2489999999999997</v>
      </c>
      <c r="S36" s="28">
        <f t="shared" ca="1" si="3"/>
        <v>-4.2990000000000004</v>
      </c>
      <c r="T36" s="28">
        <f t="shared" ca="1" si="3"/>
        <v>-4.4989999999999997</v>
      </c>
      <c r="U36" s="28">
        <f t="shared" ca="1" si="3"/>
        <v>-4.5490000000000004</v>
      </c>
      <c r="V36" s="28">
        <f t="shared" ca="1" si="3"/>
        <v>-4.5979999999999999</v>
      </c>
      <c r="W36" s="28">
        <f t="shared" ca="1" si="3"/>
        <v>-4.6470000000000002</v>
      </c>
      <c r="X36" s="28">
        <f t="shared" ca="1" si="3"/>
        <v>-4.6959999999999997</v>
      </c>
      <c r="Y36" s="28">
        <f t="shared" ca="1" si="3"/>
        <v>-4.7439999999999998</v>
      </c>
      <c r="Z36" s="28">
        <f t="shared" ca="1" si="3"/>
        <v>-4.7919999999999998</v>
      </c>
      <c r="AA36" s="28">
        <f t="shared" ca="1" si="3"/>
        <v>-4.84</v>
      </c>
      <c r="AB36" s="28">
        <f t="shared" ca="1" si="3"/>
        <v>-4.8869999999999996</v>
      </c>
      <c r="AC36" s="28">
        <f t="shared" ca="1" si="3"/>
        <v>-5.0709999999999997</v>
      </c>
      <c r="AD36" s="28">
        <f t="shared" ca="1" si="3"/>
        <v>-5.2489999999999997</v>
      </c>
      <c r="AE36" s="28">
        <f t="shared" ca="1" si="3"/>
        <v>0</v>
      </c>
      <c r="AF36" s="28">
        <f t="shared" ca="1" si="3"/>
        <v>0</v>
      </c>
      <c r="AG36" s="28">
        <f t="shared" ca="1" si="3"/>
        <v>0</v>
      </c>
      <c r="AH36" s="28">
        <f t="shared" ca="1" si="3"/>
        <v>0</v>
      </c>
      <c r="AI36" s="28">
        <f t="shared" ca="1" si="3"/>
        <v>0</v>
      </c>
      <c r="AJ36" s="28">
        <f t="shared" ca="1" si="3"/>
        <v>0</v>
      </c>
      <c r="AK36" s="28">
        <f t="shared" ca="1" si="3"/>
        <v>0</v>
      </c>
      <c r="AL36" s="28">
        <f t="shared" ca="1" si="3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4"/>
        <v>16</v>
      </c>
      <c r="E37" s="24" t="str">
        <f t="shared" ca="1" si="5"/>
        <v>H (Se)</v>
      </c>
      <c r="F37" s="28">
        <f t="shared" ca="1" si="3"/>
        <v>-23.52</v>
      </c>
      <c r="G37" s="28">
        <f t="shared" ca="1" si="3"/>
        <v>-22.18</v>
      </c>
      <c r="H37" s="28">
        <f t="shared" ca="1" si="3"/>
        <v>-21.02</v>
      </c>
      <c r="I37" s="28">
        <f t="shared" ca="1" si="3"/>
        <v>-20.010000000000002</v>
      </c>
      <c r="J37" s="28">
        <f t="shared" ca="1" si="3"/>
        <v>-19.77</v>
      </c>
      <c r="K37" s="28">
        <f t="shared" ca="1" si="3"/>
        <v>-20.97</v>
      </c>
      <c r="L37" s="28">
        <f t="shared" ca="1" si="3"/>
        <v>-21.27</v>
      </c>
      <c r="M37" s="28">
        <f t="shared" ca="1" si="3"/>
        <v>-21.58</v>
      </c>
      <c r="N37" s="28">
        <f t="shared" ca="1" si="3"/>
        <v>-21.88</v>
      </c>
      <c r="O37" s="28">
        <f t="shared" ca="1" si="3"/>
        <v>-22.18</v>
      </c>
      <c r="P37" s="28">
        <f t="shared" ca="1" si="3"/>
        <v>-22.49</v>
      </c>
      <c r="Q37" s="28">
        <f t="shared" ca="1" si="3"/>
        <v>-22.79</v>
      </c>
      <c r="R37" s="28">
        <f t="shared" ca="1" si="3"/>
        <v>-23.08</v>
      </c>
      <c r="S37" s="28">
        <f t="shared" ca="1" si="3"/>
        <v>-23.37</v>
      </c>
      <c r="T37" s="28">
        <f t="shared" ca="1" si="3"/>
        <v>-24.51</v>
      </c>
      <c r="U37" s="28">
        <f t="shared" ca="1" si="3"/>
        <v>-24.79</v>
      </c>
      <c r="V37" s="28">
        <f t="shared" ca="1" si="3"/>
        <v>-25.06</v>
      </c>
      <c r="W37" s="28">
        <f t="shared" ca="1" si="3"/>
        <v>-25.33</v>
      </c>
      <c r="X37" s="28">
        <f t="shared" ca="1" si="3"/>
        <v>-25.6</v>
      </c>
      <c r="Y37" s="28">
        <f t="shared" ca="1" si="3"/>
        <v>-25.87</v>
      </c>
      <c r="Z37" s="28">
        <f t="shared" ca="1" si="3"/>
        <v>-26.13</v>
      </c>
      <c r="AA37" s="28">
        <f t="shared" ca="1" si="3"/>
        <v>-26.39</v>
      </c>
      <c r="AB37" s="28">
        <f t="shared" ca="1" si="3"/>
        <v>-26.65</v>
      </c>
      <c r="AC37" s="28">
        <f t="shared" ca="1" si="3"/>
        <v>-27.65</v>
      </c>
      <c r="AD37" s="28">
        <f t="shared" ca="1" si="3"/>
        <v>-28.62</v>
      </c>
      <c r="AE37" s="28">
        <f t="shared" ca="1" si="3"/>
        <v>0</v>
      </c>
      <c r="AF37" s="28">
        <f t="shared" ca="1" si="3"/>
        <v>0</v>
      </c>
      <c r="AG37" s="28">
        <f t="shared" ca="1" si="3"/>
        <v>0</v>
      </c>
      <c r="AH37" s="28">
        <f t="shared" ca="1" si="3"/>
        <v>0</v>
      </c>
      <c r="AI37" s="28">
        <f t="shared" ca="1" si="3"/>
        <v>0</v>
      </c>
      <c r="AJ37" s="28">
        <f t="shared" ca="1" si="3"/>
        <v>0</v>
      </c>
      <c r="AK37" s="28">
        <f t="shared" ca="1" si="3"/>
        <v>0</v>
      </c>
      <c r="AL37" s="28">
        <f t="shared" ca="1" si="3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1000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ca="1">($B$41*H.Ge+$C$41*H.Ga+$D$41*H.Se)*F$40*$B$2/1000</f>
        <v>-194.1061458925</v>
      </c>
      <c r="G41" s="21">
        <f t="shared" ref="G41:AL41" ca="1" si="7">($B$41*H.Ge+$C$41*H.Ga+$D$41*H.Se)*G$40*$B$2/1000</f>
        <v>-196.62777299550001</v>
      </c>
      <c r="H41" s="21">
        <f t="shared" ca="1" si="7"/>
        <v>-199.23080182500004</v>
      </c>
      <c r="I41" s="21">
        <f t="shared" ca="1" si="7"/>
        <v>-201.95939623349997</v>
      </c>
      <c r="J41" s="21">
        <f t="shared" ca="1" si="7"/>
        <v>-205.72990003749996</v>
      </c>
      <c r="K41" s="21">
        <f t="shared" ca="1" si="7"/>
        <v>-225.07412278995</v>
      </c>
      <c r="L41" s="21">
        <f t="shared" ca="1" si="7"/>
        <v>-230.17988651554998</v>
      </c>
      <c r="M41" s="21">
        <f t="shared" ca="1" si="7"/>
        <v>-235.48703574565002</v>
      </c>
      <c r="N41" s="21">
        <f t="shared" ca="1" si="7"/>
        <v>-240.77794925159998</v>
      </c>
      <c r="O41" s="21">
        <f t="shared" ca="1" si="7"/>
        <v>-246.26723536440002</v>
      </c>
      <c r="P41" s="21">
        <f t="shared" ca="1" si="7"/>
        <v>-255.74992926599998</v>
      </c>
      <c r="Q41" s="21">
        <f t="shared" ca="1" si="7"/>
        <v>-265.33384832500002</v>
      </c>
      <c r="R41" s="21">
        <f t="shared" ca="1" si="7"/>
        <v>-275.00428252800003</v>
      </c>
      <c r="S41" s="21">
        <f t="shared" ca="1" si="7"/>
        <v>-284.86333781510001</v>
      </c>
      <c r="T41" s="21">
        <f t="shared" ca="1" si="7"/>
        <v>-325.90863643350002</v>
      </c>
      <c r="U41" s="21">
        <f t="shared" ca="1" si="7"/>
        <v>-336.53148746555001</v>
      </c>
      <c r="V41" s="21">
        <f t="shared" ca="1" si="7"/>
        <v>-347.25137924430004</v>
      </c>
      <c r="W41" s="21">
        <f t="shared" ca="1" si="7"/>
        <v>-358.13617471874994</v>
      </c>
      <c r="X41" s="21">
        <f t="shared" ca="1" si="7"/>
        <v>-370.06642904875008</v>
      </c>
      <c r="Y41" s="21">
        <f t="shared" ca="1" si="7"/>
        <v>-382.63582342815005</v>
      </c>
      <c r="Z41" s="21">
        <f t="shared" ca="1" si="7"/>
        <v>-395.43410379794994</v>
      </c>
      <c r="AA41" s="21">
        <f t="shared" ca="1" si="7"/>
        <v>-409.52937410875001</v>
      </c>
      <c r="AB41" s="21">
        <f t="shared" ca="1" si="7"/>
        <v>-423.82408793400003</v>
      </c>
      <c r="AC41" s="21">
        <f t="shared" ca="1" si="7"/>
        <v>-482.37846861720004</v>
      </c>
      <c r="AD41" s="21">
        <f t="shared" ca="1" si="7"/>
        <v>-543.746128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AL49" si="8">E3</f>
        <v>Temperature,K</v>
      </c>
      <c r="F49" s="8">
        <f t="shared" si="8"/>
        <v>273.10000000000002</v>
      </c>
      <c r="G49" s="8">
        <f t="shared" si="8"/>
        <v>293.3</v>
      </c>
      <c r="H49" s="8">
        <f t="shared" si="8"/>
        <v>313.5</v>
      </c>
      <c r="I49" s="8">
        <f t="shared" si="8"/>
        <v>333.7</v>
      </c>
      <c r="J49" s="8">
        <f t="shared" si="8"/>
        <v>353.9</v>
      </c>
      <c r="K49" s="8">
        <f t="shared" si="8"/>
        <v>434.7</v>
      </c>
      <c r="L49" s="8">
        <f t="shared" si="8"/>
        <v>454.9</v>
      </c>
      <c r="M49" s="8">
        <f t="shared" si="8"/>
        <v>475.1</v>
      </c>
      <c r="N49" s="8">
        <f t="shared" si="8"/>
        <v>495.2</v>
      </c>
      <c r="O49" s="8">
        <f t="shared" si="8"/>
        <v>515.4</v>
      </c>
      <c r="P49" s="8">
        <f t="shared" si="8"/>
        <v>535.6</v>
      </c>
      <c r="Q49" s="8">
        <f t="shared" si="8"/>
        <v>555.79999999999995</v>
      </c>
      <c r="R49" s="8">
        <f t="shared" si="8"/>
        <v>576</v>
      </c>
      <c r="S49" s="8">
        <f t="shared" si="8"/>
        <v>596.20000000000005</v>
      </c>
      <c r="T49" s="8">
        <f t="shared" si="8"/>
        <v>677</v>
      </c>
      <c r="U49" s="8">
        <f t="shared" si="8"/>
        <v>697.1</v>
      </c>
      <c r="V49" s="8">
        <f t="shared" si="8"/>
        <v>717.3</v>
      </c>
      <c r="W49" s="8">
        <f t="shared" si="8"/>
        <v>737.5</v>
      </c>
      <c r="X49" s="8">
        <f t="shared" si="8"/>
        <v>757.7</v>
      </c>
      <c r="Y49" s="8">
        <f t="shared" si="8"/>
        <v>777.9</v>
      </c>
      <c r="Z49" s="8">
        <f t="shared" si="8"/>
        <v>798.1</v>
      </c>
      <c r="AA49" s="8">
        <f t="shared" si="8"/>
        <v>818.3</v>
      </c>
      <c r="AB49" s="8">
        <f t="shared" si="8"/>
        <v>838.5</v>
      </c>
      <c r="AC49" s="8">
        <f t="shared" si="8"/>
        <v>919.2</v>
      </c>
      <c r="AD49" s="8">
        <f t="shared" si="8"/>
        <v>1000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0</v>
      </c>
      <c r="C50" s="10">
        <f t="shared" si="9"/>
        <v>1</v>
      </c>
      <c r="D50" s="10">
        <f t="shared" si="9"/>
        <v>0</v>
      </c>
      <c r="E50" s="11" t="str">
        <f t="shared" si="9"/>
        <v>*Ge</v>
      </c>
      <c r="F50" s="28">
        <f t="shared" ref="F50:O59" ca="1" si="10">$A50*H.Ar + $B50*H.Se + $C50*H.Ge + $D50*H.Ga</f>
        <v>-16.29</v>
      </c>
      <c r="G50" s="28">
        <f t="shared" ca="1" si="10"/>
        <v>-15.52</v>
      </c>
      <c r="H50" s="28">
        <f t="shared" ca="1" si="10"/>
        <v>-14.86</v>
      </c>
      <c r="I50" s="28">
        <f t="shared" ca="1" si="10"/>
        <v>-14.3</v>
      </c>
      <c r="J50" s="28">
        <f t="shared" ca="1" si="10"/>
        <v>-13.17</v>
      </c>
      <c r="K50" s="28">
        <f t="shared" ca="1" si="10"/>
        <v>-7.9130000000000003</v>
      </c>
      <c r="L50" s="28">
        <f t="shared" ca="1" si="10"/>
        <v>-6.851</v>
      </c>
      <c r="M50" s="28">
        <f t="shared" ca="1" si="10"/>
        <v>-5.867</v>
      </c>
      <c r="N50" s="28">
        <f t="shared" ca="1" si="10"/>
        <v>-4.9489999999999998</v>
      </c>
      <c r="O50" s="28">
        <f t="shared" ca="1" si="10"/>
        <v>-4.0979999999999999</v>
      </c>
      <c r="P50" s="28">
        <f t="shared" ref="P50:AE59" ca="1" si="11">$A50*H.Ar + $B50*H.Se + $C50*H.Ge + $D50*H.Ga</f>
        <v>-4.1500000000000004</v>
      </c>
      <c r="Q50" s="28">
        <f t="shared" ca="1" si="11"/>
        <v>-4.2</v>
      </c>
      <c r="R50" s="28">
        <f t="shared" ca="1" si="11"/>
        <v>-4.2489999999999997</v>
      </c>
      <c r="S50" s="28">
        <f t="shared" ca="1" si="11"/>
        <v>-4.2990000000000004</v>
      </c>
      <c r="T50" s="28">
        <f t="shared" ca="1" si="11"/>
        <v>-4.4989999999999997</v>
      </c>
      <c r="U50" s="28">
        <f t="shared" ca="1" si="11"/>
        <v>-4.5490000000000004</v>
      </c>
      <c r="V50" s="28">
        <f t="shared" ca="1" si="11"/>
        <v>-4.5979999999999999</v>
      </c>
      <c r="W50" s="28">
        <f t="shared" ca="1" si="11"/>
        <v>-4.6470000000000002</v>
      </c>
      <c r="X50" s="28">
        <f t="shared" ca="1" si="11"/>
        <v>-4.6959999999999997</v>
      </c>
      <c r="Y50" s="28">
        <f t="shared" ca="1" si="11"/>
        <v>-4.7439999999999998</v>
      </c>
      <c r="Z50" s="28">
        <f t="shared" ca="1" si="11"/>
        <v>-4.7919999999999998</v>
      </c>
      <c r="AA50" s="28">
        <f t="shared" ca="1" si="11"/>
        <v>-4.84</v>
      </c>
      <c r="AB50" s="28">
        <f t="shared" ca="1" si="11"/>
        <v>-4.8869999999999996</v>
      </c>
      <c r="AC50" s="28">
        <f t="shared" ca="1" si="11"/>
        <v>-5.0709999999999997</v>
      </c>
      <c r="AD50" s="28">
        <f t="shared" ca="1" si="11"/>
        <v>-5.2489999999999997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1</v>
      </c>
      <c r="C51" s="10">
        <f t="shared" si="9"/>
        <v>1</v>
      </c>
      <c r="D51" s="10">
        <f t="shared" si="9"/>
        <v>0</v>
      </c>
      <c r="E51" s="11" t="str">
        <f t="shared" si="9"/>
        <v>*GeSe</v>
      </c>
      <c r="F51" s="28">
        <f t="shared" ca="1" si="10"/>
        <v>-39.81</v>
      </c>
      <c r="G51" s="28">
        <f t="shared" ca="1" si="10"/>
        <v>-37.700000000000003</v>
      </c>
      <c r="H51" s="28">
        <f t="shared" ca="1" si="10"/>
        <v>-35.879999999999995</v>
      </c>
      <c r="I51" s="28">
        <f t="shared" ca="1" si="10"/>
        <v>-34.31</v>
      </c>
      <c r="J51" s="28">
        <f t="shared" ca="1" si="10"/>
        <v>-32.94</v>
      </c>
      <c r="K51" s="28">
        <f t="shared" ca="1" si="10"/>
        <v>-28.882999999999999</v>
      </c>
      <c r="L51" s="28">
        <f t="shared" ca="1" si="10"/>
        <v>-28.120999999999999</v>
      </c>
      <c r="M51" s="28">
        <f t="shared" ca="1" si="10"/>
        <v>-27.446999999999999</v>
      </c>
      <c r="N51" s="28">
        <f t="shared" ca="1" si="10"/>
        <v>-26.829000000000001</v>
      </c>
      <c r="O51" s="28">
        <f t="shared" ca="1" si="10"/>
        <v>-26.277999999999999</v>
      </c>
      <c r="P51" s="28">
        <f t="shared" ca="1" si="11"/>
        <v>-26.64</v>
      </c>
      <c r="Q51" s="28">
        <f t="shared" ca="1" si="11"/>
        <v>-26.99</v>
      </c>
      <c r="R51" s="28">
        <f t="shared" ca="1" si="11"/>
        <v>-27.328999999999997</v>
      </c>
      <c r="S51" s="28">
        <f t="shared" ca="1" si="11"/>
        <v>-27.669</v>
      </c>
      <c r="T51" s="28">
        <f t="shared" ca="1" si="11"/>
        <v>-29.009</v>
      </c>
      <c r="U51" s="28">
        <f t="shared" ca="1" si="11"/>
        <v>-29.338999999999999</v>
      </c>
      <c r="V51" s="28">
        <f t="shared" ca="1" si="11"/>
        <v>-29.657999999999998</v>
      </c>
      <c r="W51" s="28">
        <f t="shared" ca="1" si="11"/>
        <v>-29.976999999999997</v>
      </c>
      <c r="X51" s="28">
        <f t="shared" ca="1" si="11"/>
        <v>-30.295999999999999</v>
      </c>
      <c r="Y51" s="28">
        <f t="shared" ref="Y51:AL65" ca="1" si="13">$A51*H.Ar + $B51*H.Se + $C51*H.Ge + $D51*H.Ga</f>
        <v>-30.614000000000001</v>
      </c>
      <c r="Z51" s="28">
        <f t="shared" ca="1" si="13"/>
        <v>-30.921999999999997</v>
      </c>
      <c r="AA51" s="28">
        <f t="shared" ca="1" si="13"/>
        <v>-31.23</v>
      </c>
      <c r="AB51" s="28">
        <f t="shared" ca="1" si="13"/>
        <v>-31.536999999999999</v>
      </c>
      <c r="AC51" s="28">
        <f t="shared" ca="1" si="13"/>
        <v>-32.720999999999997</v>
      </c>
      <c r="AD51" s="28">
        <f t="shared" ca="1" si="13"/>
        <v>-33.869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0</v>
      </c>
      <c r="C52" s="10">
        <f t="shared" si="9"/>
        <v>0</v>
      </c>
      <c r="D52" s="10">
        <f t="shared" si="9"/>
        <v>1</v>
      </c>
      <c r="E52" s="11" t="str">
        <f t="shared" si="9"/>
        <v>*Ga[l]</v>
      </c>
      <c r="F52" s="28">
        <f t="shared" ca="1" si="10"/>
        <v>-66.459999999999994</v>
      </c>
      <c r="G52" s="28">
        <f t="shared" ca="1" si="10"/>
        <v>-62.25</v>
      </c>
      <c r="H52" s="28">
        <f t="shared" ca="1" si="10"/>
        <v>-58.6</v>
      </c>
      <c r="I52" s="28">
        <f t="shared" ca="1" si="10"/>
        <v>-55.41</v>
      </c>
      <c r="J52" s="28">
        <f t="shared" ca="1" si="10"/>
        <v>-51.62</v>
      </c>
      <c r="K52" s="28">
        <f t="shared" ca="1" si="10"/>
        <v>-37.26</v>
      </c>
      <c r="L52" s="28">
        <f t="shared" ca="1" si="10"/>
        <v>-34.4</v>
      </c>
      <c r="M52" s="28">
        <f t="shared" ca="1" si="10"/>
        <v>-31.76</v>
      </c>
      <c r="N52" s="28">
        <f t="shared" ca="1" si="10"/>
        <v>-29.31</v>
      </c>
      <c r="O52" s="28">
        <f t="shared" ca="1" si="10"/>
        <v>-27.03</v>
      </c>
      <c r="P52" s="28">
        <f t="shared" ca="1" si="11"/>
        <v>-24.9</v>
      </c>
      <c r="Q52" s="28">
        <f t="shared" ca="1" si="11"/>
        <v>-22.91</v>
      </c>
      <c r="R52" s="28">
        <f t="shared" ca="1" si="11"/>
        <v>-21.04</v>
      </c>
      <c r="S52" s="28">
        <f t="shared" ca="1" si="11"/>
        <v>-19.28</v>
      </c>
      <c r="T52" s="28">
        <f t="shared" ca="1" si="11"/>
        <v>-13.14</v>
      </c>
      <c r="U52" s="28">
        <f t="shared" ca="1" si="11"/>
        <v>-11.8</v>
      </c>
      <c r="V52" s="28">
        <f t="shared" ca="1" si="11"/>
        <v>-10.52</v>
      </c>
      <c r="W52" s="28">
        <f t="shared" ca="1" si="11"/>
        <v>-9.2940000000000005</v>
      </c>
      <c r="X52" s="28">
        <f t="shared" ca="1" si="11"/>
        <v>-8.5370000000000008</v>
      </c>
      <c r="Y52" s="28">
        <f t="shared" ca="1" si="13"/>
        <v>-8.0269999999999992</v>
      </c>
      <c r="Z52" s="28">
        <f t="shared" ca="1" si="13"/>
        <v>-7.617</v>
      </c>
      <c r="AA52" s="28">
        <f t="shared" ca="1" si="13"/>
        <v>-7.7149999999999999</v>
      </c>
      <c r="AB52" s="28">
        <f t="shared" ca="1" si="13"/>
        <v>-7.8150000000000004</v>
      </c>
      <c r="AC52" s="28">
        <f t="shared" ca="1" si="13"/>
        <v>-8.2360000000000007</v>
      </c>
      <c r="AD52" s="28">
        <f t="shared" ca="1" si="13"/>
        <v>-8.7249999999999996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1</v>
      </c>
      <c r="C53" s="10">
        <f t="shared" si="9"/>
        <v>0</v>
      </c>
      <c r="D53" s="10">
        <f t="shared" si="9"/>
        <v>2</v>
      </c>
      <c r="E53" s="11" t="str">
        <f t="shared" si="9"/>
        <v>*Ga2Se</v>
      </c>
      <c r="F53" s="28">
        <f t="shared" ca="1" si="10"/>
        <v>-156.44</v>
      </c>
      <c r="G53" s="28">
        <f t="shared" ca="1" si="10"/>
        <v>-146.68</v>
      </c>
      <c r="H53" s="28">
        <f t="shared" ca="1" si="10"/>
        <v>-138.22</v>
      </c>
      <c r="I53" s="28">
        <f t="shared" ca="1" si="10"/>
        <v>-130.82999999999998</v>
      </c>
      <c r="J53" s="28">
        <f t="shared" ca="1" si="10"/>
        <v>-123.00999999999999</v>
      </c>
      <c r="K53" s="28">
        <f t="shared" ca="1" si="10"/>
        <v>-95.49</v>
      </c>
      <c r="L53" s="28">
        <f t="shared" ca="1" si="10"/>
        <v>-90.07</v>
      </c>
      <c r="M53" s="28">
        <f t="shared" ca="1" si="10"/>
        <v>-85.1</v>
      </c>
      <c r="N53" s="28">
        <f t="shared" ca="1" si="10"/>
        <v>-80.5</v>
      </c>
      <c r="O53" s="28">
        <f t="shared" ca="1" si="10"/>
        <v>-76.240000000000009</v>
      </c>
      <c r="P53" s="28">
        <f t="shared" ca="1" si="11"/>
        <v>-72.289999999999992</v>
      </c>
      <c r="Q53" s="28">
        <f t="shared" ca="1" si="11"/>
        <v>-68.61</v>
      </c>
      <c r="R53" s="28">
        <f t="shared" ca="1" si="11"/>
        <v>-65.16</v>
      </c>
      <c r="S53" s="28">
        <f t="shared" ca="1" si="11"/>
        <v>-61.930000000000007</v>
      </c>
      <c r="T53" s="28">
        <f t="shared" ca="1" si="11"/>
        <v>-50.790000000000006</v>
      </c>
      <c r="U53" s="28">
        <f t="shared" ca="1" si="11"/>
        <v>-48.39</v>
      </c>
      <c r="V53" s="28">
        <f t="shared" ca="1" si="11"/>
        <v>-46.099999999999994</v>
      </c>
      <c r="W53" s="28">
        <f t="shared" ca="1" si="11"/>
        <v>-43.917999999999999</v>
      </c>
      <c r="X53" s="28">
        <f t="shared" ca="1" si="11"/>
        <v>-42.674000000000007</v>
      </c>
      <c r="Y53" s="28">
        <f t="shared" ca="1" si="13"/>
        <v>-41.923999999999999</v>
      </c>
      <c r="Z53" s="28">
        <f t="shared" ca="1" si="13"/>
        <v>-41.363999999999997</v>
      </c>
      <c r="AA53" s="28">
        <f t="shared" ca="1" si="13"/>
        <v>-41.82</v>
      </c>
      <c r="AB53" s="28">
        <f t="shared" ca="1" si="13"/>
        <v>-42.28</v>
      </c>
      <c r="AC53" s="28">
        <f t="shared" ca="1" si="13"/>
        <v>-44.122</v>
      </c>
      <c r="AD53" s="28">
        <f t="shared" ca="1" si="13"/>
        <v>-46.07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0</v>
      </c>
      <c r="C54" s="10">
        <f t="shared" si="9"/>
        <v>1</v>
      </c>
      <c r="D54" s="10">
        <f t="shared" si="9"/>
        <v>0</v>
      </c>
      <c r="E54" s="11" t="str">
        <f t="shared" si="9"/>
        <v>*Ge[c]</v>
      </c>
      <c r="F54" s="28">
        <f t="shared" ca="1" si="10"/>
        <v>-16.29</v>
      </c>
      <c r="G54" s="28">
        <f t="shared" ca="1" si="10"/>
        <v>-15.52</v>
      </c>
      <c r="H54" s="28">
        <f t="shared" ca="1" si="10"/>
        <v>-14.86</v>
      </c>
      <c r="I54" s="28">
        <f t="shared" ca="1" si="10"/>
        <v>-14.3</v>
      </c>
      <c r="J54" s="28">
        <f t="shared" ca="1" si="10"/>
        <v>-13.17</v>
      </c>
      <c r="K54" s="28">
        <f t="shared" ca="1" si="10"/>
        <v>-7.9130000000000003</v>
      </c>
      <c r="L54" s="28">
        <f t="shared" ca="1" si="10"/>
        <v>-6.851</v>
      </c>
      <c r="M54" s="28">
        <f t="shared" ca="1" si="10"/>
        <v>-5.867</v>
      </c>
      <c r="N54" s="28">
        <f t="shared" ca="1" si="10"/>
        <v>-4.9489999999999998</v>
      </c>
      <c r="O54" s="28">
        <f t="shared" ca="1" si="10"/>
        <v>-4.0979999999999999</v>
      </c>
      <c r="P54" s="28">
        <f t="shared" ca="1" si="11"/>
        <v>-4.1500000000000004</v>
      </c>
      <c r="Q54" s="28">
        <f t="shared" ca="1" si="11"/>
        <v>-4.2</v>
      </c>
      <c r="R54" s="28">
        <f t="shared" ca="1" si="11"/>
        <v>-4.2489999999999997</v>
      </c>
      <c r="S54" s="28">
        <f t="shared" ca="1" si="11"/>
        <v>-4.2990000000000004</v>
      </c>
      <c r="T54" s="28">
        <f t="shared" ca="1" si="11"/>
        <v>-4.4989999999999997</v>
      </c>
      <c r="U54" s="28">
        <f t="shared" ca="1" si="11"/>
        <v>-4.5490000000000004</v>
      </c>
      <c r="V54" s="28">
        <f t="shared" ca="1" si="11"/>
        <v>-4.5979999999999999</v>
      </c>
      <c r="W54" s="28">
        <f t="shared" ca="1" si="11"/>
        <v>-4.6470000000000002</v>
      </c>
      <c r="X54" s="28">
        <f t="shared" ca="1" si="11"/>
        <v>-4.6959999999999997</v>
      </c>
      <c r="Y54" s="28">
        <f t="shared" ca="1" si="13"/>
        <v>-4.7439999999999998</v>
      </c>
      <c r="Z54" s="28">
        <f t="shared" ca="1" si="13"/>
        <v>-4.7919999999999998</v>
      </c>
      <c r="AA54" s="28">
        <f t="shared" ca="1" si="13"/>
        <v>-4.84</v>
      </c>
      <c r="AB54" s="28">
        <f t="shared" ca="1" si="13"/>
        <v>-4.8869999999999996</v>
      </c>
      <c r="AC54" s="28">
        <f t="shared" ca="1" si="13"/>
        <v>-5.0709999999999997</v>
      </c>
      <c r="AD54" s="28">
        <f t="shared" ca="1" si="13"/>
        <v>-5.2489999999999997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1</v>
      </c>
      <c r="C55" s="10">
        <f t="shared" si="9"/>
        <v>0</v>
      </c>
      <c r="D55" s="10">
        <f t="shared" si="9"/>
        <v>0</v>
      </c>
      <c r="E55" s="11" t="str">
        <f t="shared" si="9"/>
        <v>*Se[m]</v>
      </c>
      <c r="F55" s="28">
        <f t="shared" ca="1" si="10"/>
        <v>-23.52</v>
      </c>
      <c r="G55" s="28">
        <f t="shared" ca="1" si="10"/>
        <v>-22.18</v>
      </c>
      <c r="H55" s="28">
        <f t="shared" ca="1" si="10"/>
        <v>-21.02</v>
      </c>
      <c r="I55" s="28">
        <f t="shared" ca="1" si="10"/>
        <v>-20.010000000000002</v>
      </c>
      <c r="J55" s="28">
        <f t="shared" ca="1" si="10"/>
        <v>-19.77</v>
      </c>
      <c r="K55" s="28">
        <f t="shared" ca="1" si="10"/>
        <v>-20.97</v>
      </c>
      <c r="L55" s="28">
        <f t="shared" ca="1" si="10"/>
        <v>-21.27</v>
      </c>
      <c r="M55" s="28">
        <f t="shared" ca="1" si="10"/>
        <v>-21.58</v>
      </c>
      <c r="N55" s="28">
        <f t="shared" ca="1" si="10"/>
        <v>-21.88</v>
      </c>
      <c r="O55" s="28">
        <f t="shared" ca="1" si="10"/>
        <v>-22.18</v>
      </c>
      <c r="P55" s="28">
        <f t="shared" ca="1" si="11"/>
        <v>-22.49</v>
      </c>
      <c r="Q55" s="28">
        <f t="shared" ca="1" si="11"/>
        <v>-22.79</v>
      </c>
      <c r="R55" s="28">
        <f t="shared" ca="1" si="11"/>
        <v>-23.08</v>
      </c>
      <c r="S55" s="28">
        <f t="shared" ca="1" si="11"/>
        <v>-23.37</v>
      </c>
      <c r="T55" s="28">
        <f t="shared" ca="1" si="11"/>
        <v>-24.51</v>
      </c>
      <c r="U55" s="28">
        <f t="shared" ca="1" si="11"/>
        <v>-24.79</v>
      </c>
      <c r="V55" s="28">
        <f t="shared" ca="1" si="11"/>
        <v>-25.06</v>
      </c>
      <c r="W55" s="28">
        <f t="shared" ca="1" si="11"/>
        <v>-25.33</v>
      </c>
      <c r="X55" s="28">
        <f t="shared" ca="1" si="11"/>
        <v>-25.6</v>
      </c>
      <c r="Y55" s="28">
        <f t="shared" ca="1" si="13"/>
        <v>-25.87</v>
      </c>
      <c r="Z55" s="28">
        <f t="shared" ca="1" si="13"/>
        <v>-26.13</v>
      </c>
      <c r="AA55" s="28">
        <f t="shared" ca="1" si="13"/>
        <v>-26.39</v>
      </c>
      <c r="AB55" s="28">
        <f t="shared" ca="1" si="13"/>
        <v>-26.65</v>
      </c>
      <c r="AC55" s="28">
        <f t="shared" ca="1" si="13"/>
        <v>-27.65</v>
      </c>
      <c r="AD55" s="28">
        <f t="shared" ca="1" si="13"/>
        <v>-28.62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2</v>
      </c>
      <c r="C56" s="10">
        <f t="shared" si="9"/>
        <v>1</v>
      </c>
      <c r="D56" s="10">
        <f t="shared" si="9"/>
        <v>0</v>
      </c>
      <c r="E56" s="11" t="str">
        <f t="shared" si="9"/>
        <v>*GeSe2</v>
      </c>
      <c r="F56" s="28">
        <f t="shared" ca="1" si="10"/>
        <v>-63.33</v>
      </c>
      <c r="G56" s="28">
        <f t="shared" ca="1" si="10"/>
        <v>-59.879999999999995</v>
      </c>
      <c r="H56" s="28">
        <f t="shared" ca="1" si="10"/>
        <v>-56.9</v>
      </c>
      <c r="I56" s="28">
        <f t="shared" ca="1" si="10"/>
        <v>-54.320000000000007</v>
      </c>
      <c r="J56" s="28">
        <f t="shared" ca="1" si="10"/>
        <v>-52.71</v>
      </c>
      <c r="K56" s="28">
        <f t="shared" ca="1" si="10"/>
        <v>-49.852999999999994</v>
      </c>
      <c r="L56" s="28">
        <f t="shared" ca="1" si="10"/>
        <v>-49.390999999999998</v>
      </c>
      <c r="M56" s="28">
        <f t="shared" ca="1" si="10"/>
        <v>-49.026999999999994</v>
      </c>
      <c r="N56" s="28">
        <f t="shared" ca="1" si="10"/>
        <v>-48.708999999999996</v>
      </c>
      <c r="O56" s="28">
        <f t="shared" ca="1" si="10"/>
        <v>-48.457999999999998</v>
      </c>
      <c r="P56" s="28">
        <f t="shared" ca="1" si="11"/>
        <v>-49.129999999999995</v>
      </c>
      <c r="Q56" s="28">
        <f t="shared" ca="1" si="11"/>
        <v>-49.78</v>
      </c>
      <c r="R56" s="28">
        <f t="shared" ca="1" si="11"/>
        <v>-50.408999999999999</v>
      </c>
      <c r="S56" s="28">
        <f t="shared" ca="1" si="11"/>
        <v>-51.039000000000001</v>
      </c>
      <c r="T56" s="28">
        <f t="shared" ca="1" si="11"/>
        <v>-53.519000000000005</v>
      </c>
      <c r="U56" s="28">
        <f t="shared" ca="1" si="11"/>
        <v>-54.128999999999998</v>
      </c>
      <c r="V56" s="28">
        <f t="shared" ca="1" si="11"/>
        <v>-54.717999999999996</v>
      </c>
      <c r="W56" s="28">
        <f t="shared" ca="1" si="11"/>
        <v>-55.306999999999995</v>
      </c>
      <c r="X56" s="28">
        <f t="shared" ca="1" si="11"/>
        <v>-55.896000000000001</v>
      </c>
      <c r="Y56" s="28">
        <f t="shared" ca="1" si="13"/>
        <v>-56.484000000000002</v>
      </c>
      <c r="Z56" s="28">
        <f t="shared" ca="1" si="13"/>
        <v>-57.052</v>
      </c>
      <c r="AA56" s="28">
        <f t="shared" ca="1" si="13"/>
        <v>-57.620000000000005</v>
      </c>
      <c r="AB56" s="28">
        <f t="shared" ca="1" si="13"/>
        <v>-58.186999999999998</v>
      </c>
      <c r="AC56" s="28">
        <f t="shared" ca="1" si="13"/>
        <v>-60.370999999999995</v>
      </c>
      <c r="AD56" s="28">
        <f t="shared" ca="1" si="13"/>
        <v>-62.489000000000004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3</v>
      </c>
      <c r="C57" s="10">
        <f t="shared" si="9"/>
        <v>0</v>
      </c>
      <c r="D57" s="10">
        <f t="shared" si="9"/>
        <v>2</v>
      </c>
      <c r="E57" s="11" t="str">
        <f t="shared" si="9"/>
        <v>Ga2Se3</v>
      </c>
      <c r="F57" s="28">
        <f t="shared" ca="1" si="10"/>
        <v>-203.48</v>
      </c>
      <c r="G57" s="28">
        <f t="shared" ca="1" si="10"/>
        <v>-191.04</v>
      </c>
      <c r="H57" s="28">
        <f t="shared" ca="1" si="10"/>
        <v>-180.26</v>
      </c>
      <c r="I57" s="28">
        <f t="shared" ca="1" si="10"/>
        <v>-170.85</v>
      </c>
      <c r="J57" s="28">
        <f t="shared" ca="1" si="10"/>
        <v>-162.55000000000001</v>
      </c>
      <c r="K57" s="28">
        <f t="shared" ca="1" si="10"/>
        <v>-137.43</v>
      </c>
      <c r="L57" s="28">
        <f t="shared" ca="1" si="10"/>
        <v>-132.61000000000001</v>
      </c>
      <c r="M57" s="28">
        <f t="shared" ca="1" si="10"/>
        <v>-128.26</v>
      </c>
      <c r="N57" s="28">
        <f t="shared" ca="1" si="10"/>
        <v>-124.25999999999999</v>
      </c>
      <c r="O57" s="28">
        <f t="shared" ca="1" si="10"/>
        <v>-120.6</v>
      </c>
      <c r="P57" s="28">
        <f t="shared" ca="1" si="11"/>
        <v>-117.27</v>
      </c>
      <c r="Q57" s="28">
        <f t="shared" ca="1" si="11"/>
        <v>-114.19</v>
      </c>
      <c r="R57" s="28">
        <f t="shared" ca="1" si="11"/>
        <v>-111.32</v>
      </c>
      <c r="S57" s="28">
        <f t="shared" ca="1" si="11"/>
        <v>-108.67</v>
      </c>
      <c r="T57" s="28">
        <f t="shared" ca="1" si="11"/>
        <v>-99.81</v>
      </c>
      <c r="U57" s="28">
        <f t="shared" ca="1" si="11"/>
        <v>-97.97</v>
      </c>
      <c r="V57" s="28">
        <f t="shared" ca="1" si="11"/>
        <v>-96.22</v>
      </c>
      <c r="W57" s="28">
        <f t="shared" ca="1" si="11"/>
        <v>-94.578000000000003</v>
      </c>
      <c r="X57" s="28">
        <f t="shared" ca="1" si="11"/>
        <v>-93.874000000000009</v>
      </c>
      <c r="Y57" s="28">
        <f t="shared" ca="1" si="13"/>
        <v>-93.664000000000001</v>
      </c>
      <c r="Z57" s="28">
        <f t="shared" ca="1" si="13"/>
        <v>-93.623999999999995</v>
      </c>
      <c r="AA57" s="28">
        <f t="shared" ca="1" si="13"/>
        <v>-94.6</v>
      </c>
      <c r="AB57" s="28">
        <f t="shared" ca="1" si="13"/>
        <v>-95.579999999999984</v>
      </c>
      <c r="AC57" s="28">
        <f t="shared" ca="1" si="13"/>
        <v>-99.421999999999997</v>
      </c>
      <c r="AD57" s="28">
        <f t="shared" ca="1" si="13"/>
        <v>-103.31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2</v>
      </c>
      <c r="E58" s="11" t="str">
        <f t="shared" si="9"/>
        <v>Ga2Se</v>
      </c>
      <c r="F58" s="28">
        <f t="shared" ca="1" si="10"/>
        <v>-156.44</v>
      </c>
      <c r="G58" s="28">
        <f t="shared" ca="1" si="10"/>
        <v>-146.68</v>
      </c>
      <c r="H58" s="28">
        <f t="shared" ca="1" si="10"/>
        <v>-138.22</v>
      </c>
      <c r="I58" s="28">
        <f t="shared" ca="1" si="10"/>
        <v>-130.82999999999998</v>
      </c>
      <c r="J58" s="28">
        <f t="shared" ca="1" si="10"/>
        <v>-123.00999999999999</v>
      </c>
      <c r="K58" s="28">
        <f t="shared" ca="1" si="10"/>
        <v>-95.49</v>
      </c>
      <c r="L58" s="28">
        <f t="shared" ca="1" si="10"/>
        <v>-90.07</v>
      </c>
      <c r="M58" s="28">
        <f t="shared" ca="1" si="10"/>
        <v>-85.1</v>
      </c>
      <c r="N58" s="28">
        <f t="shared" ca="1" si="10"/>
        <v>-80.5</v>
      </c>
      <c r="O58" s="28">
        <f t="shared" ca="1" si="10"/>
        <v>-76.240000000000009</v>
      </c>
      <c r="P58" s="28">
        <f t="shared" ca="1" si="11"/>
        <v>-72.289999999999992</v>
      </c>
      <c r="Q58" s="28">
        <f t="shared" ca="1" si="11"/>
        <v>-68.61</v>
      </c>
      <c r="R58" s="28">
        <f t="shared" ca="1" si="11"/>
        <v>-65.16</v>
      </c>
      <c r="S58" s="28">
        <f t="shared" ca="1" si="11"/>
        <v>-61.930000000000007</v>
      </c>
      <c r="T58" s="28">
        <f t="shared" ca="1" si="11"/>
        <v>-50.790000000000006</v>
      </c>
      <c r="U58" s="28">
        <f t="shared" ca="1" si="11"/>
        <v>-48.39</v>
      </c>
      <c r="V58" s="28">
        <f t="shared" ca="1" si="11"/>
        <v>-46.099999999999994</v>
      </c>
      <c r="W58" s="28">
        <f t="shared" ca="1" si="11"/>
        <v>-43.917999999999999</v>
      </c>
      <c r="X58" s="28">
        <f t="shared" ca="1" si="11"/>
        <v>-42.674000000000007</v>
      </c>
      <c r="Y58" s="28">
        <f t="shared" ca="1" si="13"/>
        <v>-41.923999999999999</v>
      </c>
      <c r="Z58" s="28">
        <f t="shared" ca="1" si="13"/>
        <v>-41.363999999999997</v>
      </c>
      <c r="AA58" s="28">
        <f t="shared" ca="1" si="13"/>
        <v>-41.82</v>
      </c>
      <c r="AB58" s="28">
        <f t="shared" ca="1" si="13"/>
        <v>-42.28</v>
      </c>
      <c r="AC58" s="28">
        <f t="shared" ca="1" si="13"/>
        <v>-44.122</v>
      </c>
      <c r="AD58" s="28">
        <f t="shared" ca="1" si="13"/>
        <v>-46.07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1</v>
      </c>
      <c r="B59" s="10">
        <f t="shared" si="9"/>
        <v>0</v>
      </c>
      <c r="C59" s="10">
        <f t="shared" si="9"/>
        <v>0</v>
      </c>
      <c r="D59" s="10">
        <f t="shared" si="9"/>
        <v>0</v>
      </c>
      <c r="E59" s="11" t="str">
        <f t="shared" si="9"/>
        <v>Ar</v>
      </c>
      <c r="F59" s="28">
        <f t="shared" ca="1" si="10"/>
        <v>-18.8</v>
      </c>
      <c r="G59" s="28">
        <f t="shared" ca="1" si="10"/>
        <v>-18.79</v>
      </c>
      <c r="H59" s="28">
        <f t="shared" ca="1" si="10"/>
        <v>-18.8</v>
      </c>
      <c r="I59" s="28">
        <f t="shared" ca="1" si="10"/>
        <v>-18.809999999999999</v>
      </c>
      <c r="J59" s="28">
        <f t="shared" ca="1" si="10"/>
        <v>-18.829999999999998</v>
      </c>
      <c r="K59" s="28">
        <f t="shared" ca="1" si="10"/>
        <v>-18.95</v>
      </c>
      <c r="L59" s="28">
        <f t="shared" ca="1" si="10"/>
        <v>-18.989999999999998</v>
      </c>
      <c r="M59" s="28">
        <f t="shared" ca="1" si="10"/>
        <v>-19.03</v>
      </c>
      <c r="N59" s="28">
        <f t="shared" ca="1" si="10"/>
        <v>-19.07</v>
      </c>
      <c r="O59" s="28">
        <f t="shared" ca="1" si="10"/>
        <v>-19.11</v>
      </c>
      <c r="P59" s="28">
        <f t="shared" ca="1" si="11"/>
        <v>-19.149999999999999</v>
      </c>
      <c r="Q59" s="28">
        <f t="shared" ca="1" si="11"/>
        <v>-19.190000000000001</v>
      </c>
      <c r="R59" s="28">
        <f t="shared" ca="1" si="11"/>
        <v>-19.23</v>
      </c>
      <c r="S59" s="28">
        <f t="shared" ca="1" si="11"/>
        <v>-19.28</v>
      </c>
      <c r="T59" s="28">
        <f t="shared" ca="1" si="11"/>
        <v>-19.440000000000001</v>
      </c>
      <c r="U59" s="28">
        <f t="shared" ca="1" si="11"/>
        <v>-19.489999999999998</v>
      </c>
      <c r="V59" s="28">
        <f t="shared" ca="1" si="11"/>
        <v>-19.53</v>
      </c>
      <c r="W59" s="28">
        <f t="shared" ca="1" si="11"/>
        <v>-19.57</v>
      </c>
      <c r="X59" s="28">
        <f t="shared" ca="1" si="11"/>
        <v>-19.5</v>
      </c>
      <c r="Y59" s="28">
        <f t="shared" ca="1" si="13"/>
        <v>-19.489999999999998</v>
      </c>
      <c r="Z59" s="28">
        <f t="shared" ca="1" si="13"/>
        <v>-19.510000000000002</v>
      </c>
      <c r="AA59" s="28">
        <f t="shared" ca="1" si="13"/>
        <v>-19.55</v>
      </c>
      <c r="AB59" s="28">
        <f t="shared" ca="1" si="13"/>
        <v>-19.59</v>
      </c>
      <c r="AC59" s="28">
        <f t="shared" ca="1" si="13"/>
        <v>-19.739999999999998</v>
      </c>
      <c r="AD59" s="28">
        <f t="shared" ca="1" si="13"/>
        <v>-19.88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0</v>
      </c>
      <c r="B60" s="10">
        <f t="shared" si="9"/>
        <v>0</v>
      </c>
      <c r="C60" s="10">
        <f t="shared" si="9"/>
        <v>0</v>
      </c>
      <c r="D60" s="10">
        <f t="shared" si="9"/>
        <v>1</v>
      </c>
      <c r="E60" s="11" t="str">
        <f t="shared" si="9"/>
        <v>(1)Ga[l]</v>
      </c>
      <c r="F60" s="28">
        <f t="shared" ref="F60:O69" ca="1" si="14">$A60*H.Ar + $B60*H.Se + $C60*H.Ge + $D60*H.Ga</f>
        <v>-66.459999999999994</v>
      </c>
      <c r="G60" s="28">
        <f t="shared" ca="1" si="14"/>
        <v>-62.25</v>
      </c>
      <c r="H60" s="28">
        <f t="shared" ca="1" si="14"/>
        <v>-58.6</v>
      </c>
      <c r="I60" s="28">
        <f t="shared" ca="1" si="14"/>
        <v>-55.41</v>
      </c>
      <c r="J60" s="28">
        <f t="shared" ca="1" si="14"/>
        <v>-51.62</v>
      </c>
      <c r="K60" s="28">
        <f t="shared" ca="1" si="14"/>
        <v>-37.26</v>
      </c>
      <c r="L60" s="28">
        <f t="shared" ca="1" si="14"/>
        <v>-34.4</v>
      </c>
      <c r="M60" s="28">
        <f t="shared" ca="1" si="14"/>
        <v>-31.76</v>
      </c>
      <c r="N60" s="28">
        <f t="shared" ca="1" si="14"/>
        <v>-29.31</v>
      </c>
      <c r="O60" s="28">
        <f t="shared" ca="1" si="14"/>
        <v>-27.03</v>
      </c>
      <c r="P60" s="28">
        <f t="shared" ref="P60:AE69" ca="1" si="15">$A60*H.Ar + $B60*H.Se + $C60*H.Ge + $D60*H.Ga</f>
        <v>-24.9</v>
      </c>
      <c r="Q60" s="28">
        <f t="shared" ca="1" si="15"/>
        <v>-22.91</v>
      </c>
      <c r="R60" s="28">
        <f t="shared" ca="1" si="15"/>
        <v>-21.04</v>
      </c>
      <c r="S60" s="28">
        <f t="shared" ca="1" si="15"/>
        <v>-19.28</v>
      </c>
      <c r="T60" s="28">
        <f t="shared" ca="1" si="15"/>
        <v>-13.14</v>
      </c>
      <c r="U60" s="28">
        <f t="shared" ca="1" si="15"/>
        <v>-11.8</v>
      </c>
      <c r="V60" s="28">
        <f t="shared" ca="1" si="15"/>
        <v>-10.52</v>
      </c>
      <c r="W60" s="28">
        <f t="shared" ca="1" si="15"/>
        <v>-9.2940000000000005</v>
      </c>
      <c r="X60" s="28">
        <f t="shared" ca="1" si="15"/>
        <v>-8.5370000000000008</v>
      </c>
      <c r="Y60" s="28">
        <f t="shared" ca="1" si="15"/>
        <v>-8.0269999999999992</v>
      </c>
      <c r="Z60" s="28">
        <f t="shared" ca="1" si="15"/>
        <v>-7.617</v>
      </c>
      <c r="AA60" s="28">
        <f t="shared" ca="1" si="15"/>
        <v>-7.7149999999999999</v>
      </c>
      <c r="AB60" s="28">
        <f t="shared" ca="1" si="15"/>
        <v>-7.8150000000000004</v>
      </c>
      <c r="AC60" s="28">
        <f t="shared" ca="1" si="15"/>
        <v>-8.2360000000000007</v>
      </c>
      <c r="AD60" s="28">
        <f t="shared" ca="1" si="15"/>
        <v>-8.7249999999999996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1</v>
      </c>
      <c r="D61" s="10">
        <f t="shared" si="9"/>
        <v>0</v>
      </c>
      <c r="E61" s="11" t="str">
        <f t="shared" si="9"/>
        <v>(1)Ge[l]</v>
      </c>
      <c r="F61" s="28">
        <f t="shared" ca="1" si="14"/>
        <v>-16.29</v>
      </c>
      <c r="G61" s="28">
        <f t="shared" ca="1" si="14"/>
        <v>-15.52</v>
      </c>
      <c r="H61" s="28">
        <f t="shared" ca="1" si="14"/>
        <v>-14.86</v>
      </c>
      <c r="I61" s="28">
        <f t="shared" ca="1" si="14"/>
        <v>-14.3</v>
      </c>
      <c r="J61" s="28">
        <f t="shared" ca="1" si="14"/>
        <v>-13.17</v>
      </c>
      <c r="K61" s="28">
        <f t="shared" ca="1" si="14"/>
        <v>-7.9130000000000003</v>
      </c>
      <c r="L61" s="28">
        <f t="shared" ca="1" si="14"/>
        <v>-6.851</v>
      </c>
      <c r="M61" s="28">
        <f t="shared" ca="1" si="14"/>
        <v>-5.867</v>
      </c>
      <c r="N61" s="28">
        <f t="shared" ca="1" si="14"/>
        <v>-4.9489999999999998</v>
      </c>
      <c r="O61" s="28">
        <f t="shared" ca="1" si="14"/>
        <v>-4.0979999999999999</v>
      </c>
      <c r="P61" s="28">
        <f t="shared" ca="1" si="15"/>
        <v>-4.1500000000000004</v>
      </c>
      <c r="Q61" s="28">
        <f t="shared" ca="1" si="15"/>
        <v>-4.2</v>
      </c>
      <c r="R61" s="28">
        <f t="shared" ca="1" si="15"/>
        <v>-4.2489999999999997</v>
      </c>
      <c r="S61" s="28">
        <f t="shared" ca="1" si="15"/>
        <v>-4.2990000000000004</v>
      </c>
      <c r="T61" s="28">
        <f t="shared" ca="1" si="15"/>
        <v>-4.4989999999999997</v>
      </c>
      <c r="U61" s="28">
        <f t="shared" ca="1" si="15"/>
        <v>-4.5490000000000004</v>
      </c>
      <c r="V61" s="28">
        <f t="shared" ca="1" si="15"/>
        <v>-4.5979999999999999</v>
      </c>
      <c r="W61" s="28">
        <f t="shared" ca="1" si="15"/>
        <v>-4.6470000000000002</v>
      </c>
      <c r="X61" s="28">
        <f t="shared" ca="1" si="15"/>
        <v>-4.6959999999999997</v>
      </c>
      <c r="Y61" s="28">
        <f t="shared" ca="1" si="13"/>
        <v>-4.7439999999999998</v>
      </c>
      <c r="Z61" s="28">
        <f t="shared" ca="1" si="13"/>
        <v>-4.7919999999999998</v>
      </c>
      <c r="AA61" s="28">
        <f t="shared" ca="1" si="13"/>
        <v>-4.84</v>
      </c>
      <c r="AB61" s="28">
        <f t="shared" ca="1" si="13"/>
        <v>-4.8869999999999996</v>
      </c>
      <c r="AC61" s="28">
        <f t="shared" ca="1" si="13"/>
        <v>-5.0709999999999997</v>
      </c>
      <c r="AD61" s="28">
        <f t="shared" ca="1" si="13"/>
        <v>-5.2489999999999997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1</v>
      </c>
      <c r="B62" s="10">
        <f t="shared" si="9"/>
        <v>0</v>
      </c>
      <c r="C62" s="10">
        <f t="shared" si="9"/>
        <v>0</v>
      </c>
      <c r="D62" s="10">
        <f t="shared" si="9"/>
        <v>0</v>
      </c>
      <c r="E62" s="11" t="str">
        <f t="shared" si="9"/>
        <v>H (Ar)</v>
      </c>
      <c r="F62" s="28">
        <f t="shared" ca="1" si="14"/>
        <v>-18.8</v>
      </c>
      <c r="G62" s="28">
        <f t="shared" ca="1" si="14"/>
        <v>-18.79</v>
      </c>
      <c r="H62" s="28">
        <f t="shared" ca="1" si="14"/>
        <v>-18.8</v>
      </c>
      <c r="I62" s="28">
        <f t="shared" ca="1" si="14"/>
        <v>-18.809999999999999</v>
      </c>
      <c r="J62" s="28">
        <f t="shared" ca="1" si="14"/>
        <v>-18.829999999999998</v>
      </c>
      <c r="K62" s="28">
        <f t="shared" ca="1" si="14"/>
        <v>-18.95</v>
      </c>
      <c r="L62" s="28">
        <f t="shared" ca="1" si="14"/>
        <v>-18.989999999999998</v>
      </c>
      <c r="M62" s="28">
        <f t="shared" ca="1" si="14"/>
        <v>-19.03</v>
      </c>
      <c r="N62" s="28">
        <f t="shared" ca="1" si="14"/>
        <v>-19.07</v>
      </c>
      <c r="O62" s="28">
        <f t="shared" ca="1" si="14"/>
        <v>-19.11</v>
      </c>
      <c r="P62" s="28">
        <f t="shared" ca="1" si="15"/>
        <v>-19.149999999999999</v>
      </c>
      <c r="Q62" s="28">
        <f t="shared" ca="1" si="15"/>
        <v>-19.190000000000001</v>
      </c>
      <c r="R62" s="28">
        <f t="shared" ca="1" si="15"/>
        <v>-19.23</v>
      </c>
      <c r="S62" s="28">
        <f t="shared" ca="1" si="15"/>
        <v>-19.28</v>
      </c>
      <c r="T62" s="28">
        <f t="shared" ca="1" si="15"/>
        <v>-19.440000000000001</v>
      </c>
      <c r="U62" s="28">
        <f t="shared" ca="1" si="15"/>
        <v>-19.489999999999998</v>
      </c>
      <c r="V62" s="28">
        <f t="shared" ca="1" si="15"/>
        <v>-19.53</v>
      </c>
      <c r="W62" s="28">
        <f t="shared" ca="1" si="15"/>
        <v>-19.57</v>
      </c>
      <c r="X62" s="28">
        <f t="shared" ca="1" si="15"/>
        <v>-19.5</v>
      </c>
      <c r="Y62" s="28">
        <f t="shared" ca="1" si="13"/>
        <v>-19.489999999999998</v>
      </c>
      <c r="Z62" s="28">
        <f t="shared" ca="1" si="13"/>
        <v>-19.510000000000002</v>
      </c>
      <c r="AA62" s="28">
        <f t="shared" ca="1" si="13"/>
        <v>-19.55</v>
      </c>
      <c r="AB62" s="28">
        <f t="shared" ca="1" si="13"/>
        <v>-19.59</v>
      </c>
      <c r="AC62" s="28">
        <f t="shared" ca="1" si="13"/>
        <v>-19.739999999999998</v>
      </c>
      <c r="AD62" s="28">
        <f t="shared" ca="1" si="13"/>
        <v>-19.88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0</v>
      </c>
      <c r="C63" s="10">
        <f t="shared" si="9"/>
        <v>0</v>
      </c>
      <c r="D63" s="10">
        <f t="shared" si="9"/>
        <v>1</v>
      </c>
      <c r="E63" s="11" t="str">
        <f t="shared" si="9"/>
        <v>H (Ga)</v>
      </c>
      <c r="F63" s="28">
        <f t="shared" ca="1" si="14"/>
        <v>-66.459999999999994</v>
      </c>
      <c r="G63" s="28">
        <f t="shared" ca="1" si="14"/>
        <v>-62.25</v>
      </c>
      <c r="H63" s="28">
        <f t="shared" ca="1" si="14"/>
        <v>-58.6</v>
      </c>
      <c r="I63" s="28">
        <f t="shared" ca="1" si="14"/>
        <v>-55.41</v>
      </c>
      <c r="J63" s="28">
        <f t="shared" ca="1" si="14"/>
        <v>-51.62</v>
      </c>
      <c r="K63" s="28">
        <f t="shared" ca="1" si="14"/>
        <v>-37.26</v>
      </c>
      <c r="L63" s="28">
        <f t="shared" ca="1" si="14"/>
        <v>-34.4</v>
      </c>
      <c r="M63" s="28">
        <f t="shared" ca="1" si="14"/>
        <v>-31.76</v>
      </c>
      <c r="N63" s="28">
        <f t="shared" ca="1" si="14"/>
        <v>-29.31</v>
      </c>
      <c r="O63" s="28">
        <f t="shared" ca="1" si="14"/>
        <v>-27.03</v>
      </c>
      <c r="P63" s="28">
        <f t="shared" ca="1" si="15"/>
        <v>-24.9</v>
      </c>
      <c r="Q63" s="28">
        <f t="shared" ca="1" si="15"/>
        <v>-22.91</v>
      </c>
      <c r="R63" s="28">
        <f t="shared" ca="1" si="15"/>
        <v>-21.04</v>
      </c>
      <c r="S63" s="28">
        <f t="shared" ca="1" si="15"/>
        <v>-19.28</v>
      </c>
      <c r="T63" s="28">
        <f t="shared" ca="1" si="15"/>
        <v>-13.14</v>
      </c>
      <c r="U63" s="28">
        <f t="shared" ca="1" si="15"/>
        <v>-11.8</v>
      </c>
      <c r="V63" s="28">
        <f t="shared" ca="1" si="15"/>
        <v>-10.52</v>
      </c>
      <c r="W63" s="28">
        <f t="shared" ca="1" si="15"/>
        <v>-9.2940000000000005</v>
      </c>
      <c r="X63" s="28">
        <f t="shared" ca="1" si="15"/>
        <v>-8.5370000000000008</v>
      </c>
      <c r="Y63" s="28">
        <f t="shared" ca="1" si="13"/>
        <v>-8.0269999999999992</v>
      </c>
      <c r="Z63" s="28">
        <f t="shared" ca="1" si="13"/>
        <v>-7.617</v>
      </c>
      <c r="AA63" s="28">
        <f t="shared" ca="1" si="13"/>
        <v>-7.7149999999999999</v>
      </c>
      <c r="AB63" s="28">
        <f t="shared" ca="1" si="13"/>
        <v>-7.8150000000000004</v>
      </c>
      <c r="AC63" s="28">
        <f t="shared" ca="1" si="13"/>
        <v>-8.2360000000000007</v>
      </c>
      <c r="AD63" s="28">
        <f t="shared" ca="1" si="13"/>
        <v>-8.7249999999999996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0</v>
      </c>
      <c r="B64" s="10">
        <f t="shared" si="9"/>
        <v>0</v>
      </c>
      <c r="C64" s="10">
        <f t="shared" si="9"/>
        <v>1</v>
      </c>
      <c r="D64" s="10">
        <f t="shared" si="9"/>
        <v>0</v>
      </c>
      <c r="E64" s="11" t="str">
        <f t="shared" si="9"/>
        <v>H (Ge)</v>
      </c>
      <c r="F64" s="28">
        <f t="shared" ca="1" si="14"/>
        <v>-16.29</v>
      </c>
      <c r="G64" s="28">
        <f t="shared" ca="1" si="14"/>
        <v>-15.52</v>
      </c>
      <c r="H64" s="28">
        <f t="shared" ca="1" si="14"/>
        <v>-14.86</v>
      </c>
      <c r="I64" s="28">
        <f t="shared" ca="1" si="14"/>
        <v>-14.3</v>
      </c>
      <c r="J64" s="28">
        <f t="shared" ca="1" si="14"/>
        <v>-13.17</v>
      </c>
      <c r="K64" s="28">
        <f t="shared" ca="1" si="14"/>
        <v>-7.9130000000000003</v>
      </c>
      <c r="L64" s="28">
        <f t="shared" ca="1" si="14"/>
        <v>-6.851</v>
      </c>
      <c r="M64" s="28">
        <f t="shared" ca="1" si="14"/>
        <v>-5.867</v>
      </c>
      <c r="N64" s="28">
        <f t="shared" ca="1" si="14"/>
        <v>-4.9489999999999998</v>
      </c>
      <c r="O64" s="28">
        <f t="shared" ca="1" si="14"/>
        <v>-4.0979999999999999</v>
      </c>
      <c r="P64" s="28">
        <f t="shared" ca="1" si="15"/>
        <v>-4.1500000000000004</v>
      </c>
      <c r="Q64" s="28">
        <f t="shared" ca="1" si="15"/>
        <v>-4.2</v>
      </c>
      <c r="R64" s="28">
        <f t="shared" ca="1" si="15"/>
        <v>-4.2489999999999997</v>
      </c>
      <c r="S64" s="28">
        <f t="shared" ca="1" si="15"/>
        <v>-4.2990000000000004</v>
      </c>
      <c r="T64" s="28">
        <f t="shared" ca="1" si="15"/>
        <v>-4.4989999999999997</v>
      </c>
      <c r="U64" s="28">
        <f t="shared" ca="1" si="15"/>
        <v>-4.5490000000000004</v>
      </c>
      <c r="V64" s="28">
        <f t="shared" ca="1" si="15"/>
        <v>-4.5979999999999999</v>
      </c>
      <c r="W64" s="28">
        <f t="shared" ca="1" si="15"/>
        <v>-4.6470000000000002</v>
      </c>
      <c r="X64" s="28">
        <f t="shared" ca="1" si="15"/>
        <v>-4.6959999999999997</v>
      </c>
      <c r="Y64" s="28">
        <f t="shared" ca="1" si="13"/>
        <v>-4.7439999999999998</v>
      </c>
      <c r="Z64" s="28">
        <f t="shared" ca="1" si="13"/>
        <v>-4.7919999999999998</v>
      </c>
      <c r="AA64" s="28">
        <f t="shared" ca="1" si="13"/>
        <v>-4.84</v>
      </c>
      <c r="AB64" s="28">
        <f t="shared" ca="1" si="13"/>
        <v>-4.8869999999999996</v>
      </c>
      <c r="AC64" s="28">
        <f t="shared" ca="1" si="13"/>
        <v>-5.0709999999999997</v>
      </c>
      <c r="AD64" s="28">
        <f t="shared" ca="1" si="13"/>
        <v>-5.2489999999999997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1</v>
      </c>
      <c r="C65" s="10">
        <f t="shared" si="9"/>
        <v>0</v>
      </c>
      <c r="D65" s="10">
        <f t="shared" si="9"/>
        <v>0</v>
      </c>
      <c r="E65" s="11" t="str">
        <f t="shared" si="9"/>
        <v>H (Se)</v>
      </c>
      <c r="F65" s="28">
        <f t="shared" ca="1" si="14"/>
        <v>-23.52</v>
      </c>
      <c r="G65" s="28">
        <f t="shared" ca="1" si="14"/>
        <v>-22.18</v>
      </c>
      <c r="H65" s="28">
        <f t="shared" ca="1" si="14"/>
        <v>-21.02</v>
      </c>
      <c r="I65" s="28">
        <f t="shared" ca="1" si="14"/>
        <v>-20.010000000000002</v>
      </c>
      <c r="J65" s="28">
        <f t="shared" ca="1" si="14"/>
        <v>-19.77</v>
      </c>
      <c r="K65" s="28">
        <f t="shared" ca="1" si="14"/>
        <v>-20.97</v>
      </c>
      <c r="L65" s="28">
        <f t="shared" ca="1" si="14"/>
        <v>-21.27</v>
      </c>
      <c r="M65" s="28">
        <f t="shared" ca="1" si="14"/>
        <v>-21.58</v>
      </c>
      <c r="N65" s="28">
        <f t="shared" ca="1" si="14"/>
        <v>-21.88</v>
      </c>
      <c r="O65" s="28">
        <f t="shared" ca="1" si="14"/>
        <v>-22.18</v>
      </c>
      <c r="P65" s="28">
        <f t="shared" ca="1" si="15"/>
        <v>-22.49</v>
      </c>
      <c r="Q65" s="28">
        <f t="shared" ca="1" si="15"/>
        <v>-22.79</v>
      </c>
      <c r="R65" s="28">
        <f t="shared" ca="1" si="15"/>
        <v>-23.08</v>
      </c>
      <c r="S65" s="28">
        <f t="shared" ca="1" si="15"/>
        <v>-23.37</v>
      </c>
      <c r="T65" s="28">
        <f t="shared" ca="1" si="15"/>
        <v>-24.51</v>
      </c>
      <c r="U65" s="28">
        <f t="shared" ca="1" si="15"/>
        <v>-24.79</v>
      </c>
      <c r="V65" s="28">
        <f t="shared" ca="1" si="15"/>
        <v>-25.06</v>
      </c>
      <c r="W65" s="28">
        <f t="shared" ca="1" si="15"/>
        <v>-25.33</v>
      </c>
      <c r="X65" s="28">
        <f t="shared" ca="1" si="15"/>
        <v>-25.6</v>
      </c>
      <c r="Y65" s="28">
        <f t="shared" ca="1" si="13"/>
        <v>-25.87</v>
      </c>
      <c r="Z65" s="28">
        <f t="shared" ca="1" si="13"/>
        <v>-26.13</v>
      </c>
      <c r="AA65" s="28">
        <f t="shared" ca="1" si="13"/>
        <v>-26.39</v>
      </c>
      <c r="AB65" s="28">
        <f t="shared" ca="1" si="13"/>
        <v>-26.65</v>
      </c>
      <c r="AC65" s="28">
        <f t="shared" ca="1" si="13"/>
        <v>-27.65</v>
      </c>
      <c r="AD65" s="28">
        <f t="shared" ca="1" si="13"/>
        <v>-28.62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0</v>
      </c>
      <c r="D66" s="10">
        <f t="shared" si="16"/>
        <v>0</v>
      </c>
      <c r="E66" s="11">
        <f t="shared" si="16"/>
        <v>0</v>
      </c>
      <c r="F66" s="28">
        <f t="shared" ca="1" si="14"/>
        <v>0</v>
      </c>
      <c r="G66" s="28">
        <f t="shared" ca="1" si="14"/>
        <v>0</v>
      </c>
      <c r="H66" s="28">
        <f t="shared" ca="1" si="14"/>
        <v>0</v>
      </c>
      <c r="I66" s="28">
        <f t="shared" ca="1" si="14"/>
        <v>0</v>
      </c>
      <c r="J66" s="28">
        <f t="shared" ca="1" si="14"/>
        <v>0</v>
      </c>
      <c r="K66" s="28">
        <f t="shared" ca="1" si="14"/>
        <v>0</v>
      </c>
      <c r="L66" s="28">
        <f t="shared" ca="1" si="14"/>
        <v>0</v>
      </c>
      <c r="M66" s="28">
        <f t="shared" ca="1" si="14"/>
        <v>0</v>
      </c>
      <c r="N66" s="28">
        <f t="shared" ca="1" si="14"/>
        <v>0</v>
      </c>
      <c r="O66" s="28">
        <f t="shared" ca="1" si="14"/>
        <v>0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0</v>
      </c>
      <c r="C67" s="10">
        <f t="shared" si="16"/>
        <v>0</v>
      </c>
      <c r="D67" s="10">
        <f t="shared" si="16"/>
        <v>0</v>
      </c>
      <c r="E67" s="11">
        <f t="shared" si="16"/>
        <v>0</v>
      </c>
      <c r="F67" s="28">
        <f t="shared" ca="1" si="14"/>
        <v>0</v>
      </c>
      <c r="G67" s="28">
        <f t="shared" ca="1" si="14"/>
        <v>0</v>
      </c>
      <c r="H67" s="28">
        <f t="shared" ca="1" si="14"/>
        <v>0</v>
      </c>
      <c r="I67" s="28">
        <f t="shared" ca="1" si="14"/>
        <v>0</v>
      </c>
      <c r="J67" s="28">
        <f t="shared" ca="1" si="14"/>
        <v>0</v>
      </c>
      <c r="K67" s="28">
        <f t="shared" ca="1" si="14"/>
        <v>0</v>
      </c>
      <c r="L67" s="28">
        <f t="shared" ca="1" si="14"/>
        <v>0</v>
      </c>
      <c r="M67" s="28">
        <f t="shared" ca="1" si="14"/>
        <v>0</v>
      </c>
      <c r="N67" s="28">
        <f t="shared" ca="1" si="14"/>
        <v>0</v>
      </c>
      <c r="O67" s="28">
        <f t="shared" ca="1" si="14"/>
        <v>0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0">E49</f>
        <v>Temperature,K</v>
      </c>
      <c r="F83" s="8">
        <f t="shared" ref="F83:AL83" si="21">F3</f>
        <v>273.10000000000002</v>
      </c>
      <c r="G83" s="8">
        <f t="shared" si="21"/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1000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20"/>
        <v>*Ge</v>
      </c>
      <c r="F84" s="28">
        <f t="shared" ref="F84:AL91" si="23">F4*$C$82</f>
        <v>0</v>
      </c>
      <c r="G84" s="28">
        <f t="shared" si="23"/>
        <v>0</v>
      </c>
      <c r="H84" s="28">
        <f t="shared" si="23"/>
        <v>0</v>
      </c>
      <c r="I84" s="28">
        <f t="shared" si="23"/>
        <v>0</v>
      </c>
      <c r="J84" s="28">
        <f t="shared" si="23"/>
        <v>0</v>
      </c>
      <c r="K84" s="28">
        <f t="shared" si="23"/>
        <v>1.594125E-17</v>
      </c>
      <c r="L84" s="28">
        <f t="shared" si="23"/>
        <v>6.7245833333333343E-13</v>
      </c>
      <c r="M84" s="28">
        <f t="shared" si="23"/>
        <v>3.5161666666666668E-10</v>
      </c>
      <c r="N84" s="28">
        <f t="shared" si="23"/>
        <v>5.8562499999999999E-9</v>
      </c>
      <c r="O84" s="28">
        <f t="shared" si="23"/>
        <v>0.27995833333333336</v>
      </c>
      <c r="P84" s="28">
        <f t="shared" si="23"/>
        <v>0.5</v>
      </c>
      <c r="Q84" s="28">
        <f t="shared" si="23"/>
        <v>0.5</v>
      </c>
      <c r="R84" s="28">
        <f t="shared" si="23"/>
        <v>0.5</v>
      </c>
      <c r="S84" s="28">
        <f t="shared" si="23"/>
        <v>0.5</v>
      </c>
      <c r="T84" s="28">
        <f t="shared" si="23"/>
        <v>0.5</v>
      </c>
      <c r="U84" s="28">
        <f t="shared" si="23"/>
        <v>0.5</v>
      </c>
      <c r="V84" s="28">
        <f t="shared" si="23"/>
        <v>0.5</v>
      </c>
      <c r="W84" s="28">
        <f t="shared" si="23"/>
        <v>0.5</v>
      </c>
      <c r="X84" s="28">
        <f t="shared" si="23"/>
        <v>0.5</v>
      </c>
      <c r="Y84" s="28">
        <f t="shared" si="23"/>
        <v>0.5</v>
      </c>
      <c r="Z84" s="28">
        <f t="shared" si="23"/>
        <v>0.47145833333333337</v>
      </c>
      <c r="AA84" s="28">
        <f t="shared" si="23"/>
        <v>0.46554166666666669</v>
      </c>
      <c r="AB84" s="28">
        <f t="shared" si="23"/>
        <v>0.45945833333333341</v>
      </c>
      <c r="AC84" s="28">
        <f t="shared" si="23"/>
        <v>0.42466666666666669</v>
      </c>
      <c r="AD84" s="28">
        <f t="shared" si="23"/>
        <v>0.35807500000000003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1</v>
      </c>
      <c r="C85" s="10">
        <f t="shared" si="24"/>
        <v>1</v>
      </c>
      <c r="D85" s="10">
        <f t="shared" si="24"/>
        <v>0</v>
      </c>
      <c r="E85" s="11" t="str">
        <f t="shared" si="20"/>
        <v>*GeSe</v>
      </c>
      <c r="F85" s="28">
        <f t="shared" si="23"/>
        <v>0.5</v>
      </c>
      <c r="G85" s="28">
        <f t="shared" si="23"/>
        <v>0.5</v>
      </c>
      <c r="H85" s="28">
        <f t="shared" si="23"/>
        <v>0.5</v>
      </c>
      <c r="I85" s="28">
        <f t="shared" si="23"/>
        <v>0.5</v>
      </c>
      <c r="J85" s="28">
        <f t="shared" si="23"/>
        <v>1</v>
      </c>
      <c r="K85" s="28">
        <f t="shared" si="23"/>
        <v>1</v>
      </c>
      <c r="L85" s="28">
        <f t="shared" si="23"/>
        <v>1</v>
      </c>
      <c r="M85" s="28">
        <f t="shared" si="23"/>
        <v>1</v>
      </c>
      <c r="N85" s="28">
        <f t="shared" si="23"/>
        <v>1</v>
      </c>
      <c r="O85" s="28">
        <f t="shared" si="23"/>
        <v>0.44008333333333338</v>
      </c>
      <c r="P85" s="28">
        <f t="shared" si="23"/>
        <v>2.4561250000000004E-8</v>
      </c>
      <c r="Q85" s="28">
        <f t="shared" si="23"/>
        <v>1.2326666666666668E-9</v>
      </c>
      <c r="R85" s="28">
        <f t="shared" si="23"/>
        <v>2.4156666666666669E-11</v>
      </c>
      <c r="S85" s="28">
        <f t="shared" si="23"/>
        <v>1.4856666666666669E-11</v>
      </c>
      <c r="T85" s="28">
        <f t="shared" si="23"/>
        <v>2.7825000000000004E-21</v>
      </c>
      <c r="U85" s="28">
        <f t="shared" si="23"/>
        <v>2.4961250000000003E-26</v>
      </c>
      <c r="V85" s="28">
        <f t="shared" si="23"/>
        <v>1.12575E-31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0</v>
      </c>
      <c r="C86" s="10">
        <f t="shared" si="24"/>
        <v>0</v>
      </c>
      <c r="D86" s="10">
        <f t="shared" si="24"/>
        <v>1</v>
      </c>
      <c r="E86" s="11" t="str">
        <f t="shared" si="20"/>
        <v>*Ga[l]</v>
      </c>
      <c r="F86" s="28">
        <f t="shared" si="23"/>
        <v>0</v>
      </c>
      <c r="G86" s="28">
        <f t="shared" si="23"/>
        <v>0</v>
      </c>
      <c r="H86" s="28">
        <f t="shared" si="23"/>
        <v>0</v>
      </c>
      <c r="I86" s="28">
        <f t="shared" si="23"/>
        <v>0</v>
      </c>
      <c r="J86" s="28">
        <f t="shared" si="23"/>
        <v>0</v>
      </c>
      <c r="K86" s="28">
        <f t="shared" si="23"/>
        <v>0</v>
      </c>
      <c r="L86" s="28">
        <f t="shared" si="23"/>
        <v>0</v>
      </c>
      <c r="M86" s="28">
        <f t="shared" si="23"/>
        <v>0</v>
      </c>
      <c r="N86" s="28">
        <f t="shared" si="23"/>
        <v>0</v>
      </c>
      <c r="O86" s="28">
        <f t="shared" si="23"/>
        <v>0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8.9883333333333338E-31</v>
      </c>
      <c r="U86" s="28">
        <f t="shared" si="23"/>
        <v>6.2737500000000003E-27</v>
      </c>
      <c r="V86" s="28">
        <f t="shared" si="23"/>
        <v>2.8599166666666671E-22</v>
      </c>
      <c r="W86" s="28">
        <f t="shared" si="23"/>
        <v>3.3158333333333335E-22</v>
      </c>
      <c r="X86" s="28">
        <f t="shared" si="23"/>
        <v>2.5780833333333338E-16</v>
      </c>
      <c r="Y86" s="28">
        <f t="shared" si="23"/>
        <v>2.1515E-15</v>
      </c>
      <c r="Z86" s="28">
        <f t="shared" si="23"/>
        <v>1.3127083333333333E-8</v>
      </c>
      <c r="AA86" s="28">
        <f t="shared" si="23"/>
        <v>1.6565000000000001E-6</v>
      </c>
      <c r="AB86" s="28">
        <f t="shared" si="23"/>
        <v>1.2104166666666668E-6</v>
      </c>
      <c r="AC86" s="28">
        <f t="shared" si="23"/>
        <v>2.7425000000000001E-7</v>
      </c>
      <c r="AD86" s="28">
        <f t="shared" si="23"/>
        <v>4.644583333333334E-8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1</v>
      </c>
      <c r="C87" s="10">
        <f t="shared" si="24"/>
        <v>0</v>
      </c>
      <c r="D87" s="10">
        <f t="shared" si="24"/>
        <v>2</v>
      </c>
      <c r="E87" s="11" t="str">
        <f t="shared" si="20"/>
        <v>*Ga2Se</v>
      </c>
      <c r="F87" s="28">
        <f t="shared" si="23"/>
        <v>0</v>
      </c>
      <c r="G87" s="28">
        <f t="shared" si="23"/>
        <v>0</v>
      </c>
      <c r="H87" s="28">
        <f t="shared" si="23"/>
        <v>0</v>
      </c>
      <c r="I87" s="28">
        <f t="shared" si="23"/>
        <v>0</v>
      </c>
      <c r="J87" s="28">
        <f t="shared" si="23"/>
        <v>0</v>
      </c>
      <c r="K87" s="28">
        <f t="shared" si="23"/>
        <v>0</v>
      </c>
      <c r="L87" s="28">
        <f t="shared" si="23"/>
        <v>0</v>
      </c>
      <c r="M87" s="28">
        <f t="shared" si="23"/>
        <v>0</v>
      </c>
      <c r="N87" s="28">
        <f t="shared" si="23"/>
        <v>0</v>
      </c>
      <c r="O87" s="28">
        <f t="shared" si="23"/>
        <v>0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1.0341666666666667E-21</v>
      </c>
      <c r="U87" s="28">
        <f t="shared" si="23"/>
        <v>1.7180833333333334E-17</v>
      </c>
      <c r="V87" s="28">
        <f t="shared" si="23"/>
        <v>1.8882916666666666E-12</v>
      </c>
      <c r="W87" s="28">
        <f t="shared" si="23"/>
        <v>9.3191666666666676E-8</v>
      </c>
      <c r="X87" s="28">
        <f t="shared" si="23"/>
        <v>0.10097916666666668</v>
      </c>
      <c r="Y87" s="28">
        <f t="shared" si="23"/>
        <v>0.14827083333333335</v>
      </c>
      <c r="Z87" s="28">
        <f t="shared" si="23"/>
        <v>1.2473750000000001E-6</v>
      </c>
      <c r="AA87" s="28">
        <f t="shared" si="23"/>
        <v>1.1618333333333335E-20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20"/>
        <v>*Ge[c]</v>
      </c>
      <c r="F88" s="28">
        <f t="shared" si="23"/>
        <v>0</v>
      </c>
      <c r="G88" s="28">
        <f t="shared" si="23"/>
        <v>0</v>
      </c>
      <c r="H88" s="28">
        <f t="shared" si="23"/>
        <v>0</v>
      </c>
      <c r="I88" s="28">
        <f t="shared" si="23"/>
        <v>0</v>
      </c>
      <c r="J88" s="28">
        <f t="shared" si="23"/>
        <v>0</v>
      </c>
      <c r="K88" s="28">
        <f t="shared" si="23"/>
        <v>1.594125E-17</v>
      </c>
      <c r="L88" s="28">
        <f t="shared" si="23"/>
        <v>6.7245833333333343E-13</v>
      </c>
      <c r="M88" s="28">
        <f t="shared" si="23"/>
        <v>3.5161666666666668E-10</v>
      </c>
      <c r="N88" s="28">
        <f t="shared" si="23"/>
        <v>5.8562499999999999E-9</v>
      </c>
      <c r="O88" s="28">
        <f t="shared" si="23"/>
        <v>0.27995833333333336</v>
      </c>
      <c r="P88" s="28">
        <f t="shared" si="23"/>
        <v>0.5</v>
      </c>
      <c r="Q88" s="28">
        <f t="shared" si="23"/>
        <v>0.5</v>
      </c>
      <c r="R88" s="28">
        <f t="shared" si="23"/>
        <v>0.5</v>
      </c>
      <c r="S88" s="28">
        <f t="shared" si="23"/>
        <v>0.5</v>
      </c>
      <c r="T88" s="28">
        <f t="shared" si="23"/>
        <v>0.5</v>
      </c>
      <c r="U88" s="28">
        <f t="shared" si="23"/>
        <v>0.5</v>
      </c>
      <c r="V88" s="28">
        <f t="shared" si="23"/>
        <v>0.5</v>
      </c>
      <c r="W88" s="28">
        <f t="shared" si="23"/>
        <v>0.5</v>
      </c>
      <c r="X88" s="28">
        <f t="shared" si="23"/>
        <v>0.5</v>
      </c>
      <c r="Y88" s="28">
        <f t="shared" si="23"/>
        <v>0.5</v>
      </c>
      <c r="Z88" s="28">
        <f t="shared" si="23"/>
        <v>0.47145833333333337</v>
      </c>
      <c r="AA88" s="28">
        <f t="shared" si="23"/>
        <v>0.46554166666666669</v>
      </c>
      <c r="AB88" s="28">
        <f t="shared" si="23"/>
        <v>0.45945833333333341</v>
      </c>
      <c r="AC88" s="28">
        <f t="shared" si="23"/>
        <v>0.42466666666666669</v>
      </c>
      <c r="AD88" s="28">
        <f t="shared" si="23"/>
        <v>0.35807500000000003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20"/>
        <v>*Se[m]</v>
      </c>
      <c r="F89" s="28">
        <f t="shared" si="23"/>
        <v>1.9476666666666669E-23</v>
      </c>
      <c r="G89" s="28">
        <f t="shared" si="23"/>
        <v>3.6963750000000003E-16</v>
      </c>
      <c r="H89" s="28">
        <f t="shared" si="23"/>
        <v>3.1259583333333337E-10</v>
      </c>
      <c r="I89" s="28">
        <f t="shared" si="23"/>
        <v>1.0415416666666667E-7</v>
      </c>
      <c r="J89" s="28">
        <f t="shared" si="23"/>
        <v>0.5</v>
      </c>
      <c r="K89" s="28">
        <f t="shared" si="23"/>
        <v>0.5</v>
      </c>
      <c r="L89" s="28">
        <f t="shared" si="23"/>
        <v>0.5</v>
      </c>
      <c r="M89" s="28">
        <f t="shared" si="23"/>
        <v>0.5</v>
      </c>
      <c r="N89" s="28">
        <f t="shared" si="23"/>
        <v>0.5</v>
      </c>
      <c r="O89" s="28">
        <f t="shared" si="23"/>
        <v>1.0599166666666666</v>
      </c>
      <c r="P89" s="28">
        <f t="shared" si="23"/>
        <v>1.5</v>
      </c>
      <c r="Q89" s="28">
        <f t="shared" si="23"/>
        <v>1.5</v>
      </c>
      <c r="R89" s="28">
        <f t="shared" si="23"/>
        <v>1.5</v>
      </c>
      <c r="S89" s="28">
        <f t="shared" si="23"/>
        <v>1.5</v>
      </c>
      <c r="T89" s="28">
        <f t="shared" si="23"/>
        <v>1.5</v>
      </c>
      <c r="U89" s="28">
        <f t="shared" si="23"/>
        <v>1.5</v>
      </c>
      <c r="V89" s="28">
        <f t="shared" si="23"/>
        <v>1.5</v>
      </c>
      <c r="W89" s="28">
        <f t="shared" si="23"/>
        <v>1.5</v>
      </c>
      <c r="X89" s="28">
        <f t="shared" si="23"/>
        <v>1.7019583333333335</v>
      </c>
      <c r="Y89" s="28">
        <f t="shared" si="23"/>
        <v>1.7965416666666667</v>
      </c>
      <c r="Z89" s="28">
        <f t="shared" si="23"/>
        <v>1.9855833333333335</v>
      </c>
      <c r="AA89" s="28">
        <f t="shared" si="23"/>
        <v>1.9985000000000002</v>
      </c>
      <c r="AB89" s="28">
        <f t="shared" si="23"/>
        <v>1.9998333333333336</v>
      </c>
      <c r="AC89" s="28">
        <f t="shared" si="23"/>
        <v>2</v>
      </c>
      <c r="AD89" s="28">
        <f t="shared" si="23"/>
        <v>2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20"/>
        <v>*GeSe2</v>
      </c>
      <c r="F90" s="28">
        <f t="shared" si="23"/>
        <v>0.5</v>
      </c>
      <c r="G90" s="28">
        <f t="shared" si="23"/>
        <v>0.5</v>
      </c>
      <c r="H90" s="28">
        <f t="shared" si="23"/>
        <v>0.5</v>
      </c>
      <c r="I90" s="28">
        <f t="shared" si="23"/>
        <v>0.5</v>
      </c>
      <c r="J90" s="28">
        <f t="shared" si="23"/>
        <v>2.8573750000000001E-8</v>
      </c>
      <c r="K90" s="28">
        <f t="shared" si="23"/>
        <v>1.4782916666666668E-17</v>
      </c>
      <c r="L90" s="28">
        <f t="shared" si="23"/>
        <v>1.4120833333333334E-20</v>
      </c>
      <c r="M90" s="28">
        <f t="shared" si="23"/>
        <v>1.2037916666666668E-28</v>
      </c>
      <c r="N90" s="28">
        <f t="shared" si="23"/>
        <v>0</v>
      </c>
      <c r="O90" s="28">
        <f t="shared" si="23"/>
        <v>0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20"/>
        <v>Ga2Se3</v>
      </c>
      <c r="F91" s="28">
        <f t="shared" si="23"/>
        <v>0.16666666666666669</v>
      </c>
      <c r="G91" s="28">
        <f t="shared" si="23"/>
        <v>0.16666666666666669</v>
      </c>
      <c r="H91" s="28">
        <f t="shared" si="23"/>
        <v>0.16666666666666669</v>
      </c>
      <c r="I91" s="28">
        <f t="shared" si="23"/>
        <v>0.16666666666666669</v>
      </c>
      <c r="J91" s="28">
        <f t="shared" si="23"/>
        <v>0.16666666666666669</v>
      </c>
      <c r="K91" s="28">
        <f t="shared" si="23"/>
        <v>0.16666666666666669</v>
      </c>
      <c r="L91" s="28">
        <f t="shared" si="23"/>
        <v>0.16666666666666669</v>
      </c>
      <c r="M91" s="28">
        <f t="shared" si="23"/>
        <v>0.16666666666666669</v>
      </c>
      <c r="N91" s="28">
        <f t="shared" si="23"/>
        <v>0.16666666666666669</v>
      </c>
      <c r="O91" s="28">
        <f t="shared" si="23"/>
        <v>0.16666666666666669</v>
      </c>
      <c r="P91" s="28">
        <f t="shared" si="23"/>
        <v>0.16666666666666669</v>
      </c>
      <c r="Q91" s="28">
        <f t="shared" si="23"/>
        <v>0.16666666666666669</v>
      </c>
      <c r="R91" s="28">
        <f t="shared" si="23"/>
        <v>0.16666666666666669</v>
      </c>
      <c r="S91" s="28">
        <f t="shared" si="23"/>
        <v>0.16666666666666669</v>
      </c>
      <c r="T91" s="28">
        <f t="shared" si="23"/>
        <v>0.16666666666666669</v>
      </c>
      <c r="U91" s="28">
        <f t="shared" si="23"/>
        <v>0.16666666666666669</v>
      </c>
      <c r="V91" s="28">
        <f t="shared" si="23"/>
        <v>0.16666666666666669</v>
      </c>
      <c r="W91" s="28">
        <f t="shared" si="23"/>
        <v>0.16666666666666669</v>
      </c>
      <c r="X91" s="28">
        <f t="shared" si="23"/>
        <v>6.568750000000001E-2</v>
      </c>
      <c r="Y91" s="28">
        <f t="shared" si="23"/>
        <v>1.839375E-2</v>
      </c>
      <c r="Z91" s="28">
        <f t="shared" si="23"/>
        <v>4.8045833333333334E-3</v>
      </c>
      <c r="AA91" s="28">
        <f t="shared" si="23"/>
        <v>4.9995833333333337E-4</v>
      </c>
      <c r="AB91" s="28">
        <f t="shared" si="23"/>
        <v>5.6412500000000002E-5</v>
      </c>
      <c r="AC91" s="28">
        <f t="shared" si="23"/>
        <v>1.7459166666666669E-8</v>
      </c>
      <c r="AD91" s="28">
        <f t="shared" ref="AD91:AL91" si="25">AD11*$C$82</f>
        <v>1.1743333333333335E-11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2</v>
      </c>
      <c r="E92" s="11" t="str">
        <f t="shared" si="20"/>
        <v>Ga2Se</v>
      </c>
      <c r="F92" s="28">
        <f t="shared" ref="F92:AL99" si="26">F12*$C$82</f>
        <v>0</v>
      </c>
      <c r="G92" s="28">
        <f t="shared" si="26"/>
        <v>0</v>
      </c>
      <c r="H92" s="28">
        <f t="shared" si="26"/>
        <v>0</v>
      </c>
      <c r="I92" s="28">
        <f t="shared" si="26"/>
        <v>0</v>
      </c>
      <c r="J92" s="28">
        <f t="shared" si="26"/>
        <v>0</v>
      </c>
      <c r="K92" s="28">
        <f t="shared" si="26"/>
        <v>0</v>
      </c>
      <c r="L92" s="28">
        <f t="shared" si="26"/>
        <v>3.4526666666666668E-34</v>
      </c>
      <c r="M92" s="28">
        <f t="shared" si="26"/>
        <v>1.6473333333333335E-31</v>
      </c>
      <c r="N92" s="28">
        <f t="shared" si="26"/>
        <v>4.9174999999999999E-29</v>
      </c>
      <c r="O92" s="28">
        <f t="shared" si="26"/>
        <v>9.6583333333333333E-27</v>
      </c>
      <c r="P92" s="28">
        <f t="shared" si="26"/>
        <v>1.3213333333333334E-24</v>
      </c>
      <c r="Q92" s="28">
        <f t="shared" si="26"/>
        <v>1.2955416666666668E-22</v>
      </c>
      <c r="R92" s="28">
        <f t="shared" si="26"/>
        <v>9.4520833333333337E-21</v>
      </c>
      <c r="S92" s="28">
        <f t="shared" si="26"/>
        <v>5.2850000000000002E-19</v>
      </c>
      <c r="T92" s="28">
        <f t="shared" si="26"/>
        <v>5.7533333333333337E-13</v>
      </c>
      <c r="U92" s="28">
        <f t="shared" si="26"/>
        <v>1.1787500000000002E-11</v>
      </c>
      <c r="V92" s="28">
        <f t="shared" si="26"/>
        <v>2.0744166666666668E-10</v>
      </c>
      <c r="W92" s="28">
        <f t="shared" si="26"/>
        <v>3.1742499999999999E-9</v>
      </c>
      <c r="X92" s="28">
        <f t="shared" si="26"/>
        <v>1.6827916666666668E-8</v>
      </c>
      <c r="Y92" s="28">
        <f t="shared" si="26"/>
        <v>5.6270833333333343E-8</v>
      </c>
      <c r="Z92" s="28">
        <f t="shared" si="26"/>
        <v>1.5719583333333333E-7</v>
      </c>
      <c r="AA92" s="28">
        <f t="shared" si="26"/>
        <v>1.5794166666666668E-7</v>
      </c>
      <c r="AB92" s="28">
        <f t="shared" si="26"/>
        <v>1.56475E-7</v>
      </c>
      <c r="AC92" s="28">
        <f t="shared" si="26"/>
        <v>1.2581666666666668E-7</v>
      </c>
      <c r="AD92" s="28">
        <f t="shared" si="26"/>
        <v>7.409166666666667E-8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1</v>
      </c>
      <c r="B93" s="10">
        <f t="shared" si="24"/>
        <v>0</v>
      </c>
      <c r="C93" s="10">
        <f t="shared" si="24"/>
        <v>0</v>
      </c>
      <c r="D93" s="10">
        <f t="shared" si="24"/>
        <v>0</v>
      </c>
      <c r="E93" s="11" t="str">
        <f t="shared" si="20"/>
        <v>Ar</v>
      </c>
      <c r="F93" s="28">
        <f t="shared" si="26"/>
        <v>0.83333333333333348</v>
      </c>
      <c r="G93" s="28">
        <f t="shared" si="26"/>
        <v>0.83333333333333348</v>
      </c>
      <c r="H93" s="28">
        <f t="shared" si="26"/>
        <v>0.83333333333333348</v>
      </c>
      <c r="I93" s="28">
        <f t="shared" si="26"/>
        <v>0.83333333333333348</v>
      </c>
      <c r="J93" s="28">
        <f t="shared" si="26"/>
        <v>0.83333333333333348</v>
      </c>
      <c r="K93" s="28">
        <f t="shared" si="26"/>
        <v>0.83333333333333348</v>
      </c>
      <c r="L93" s="28">
        <f t="shared" si="26"/>
        <v>0.83333333333333348</v>
      </c>
      <c r="M93" s="28">
        <f t="shared" si="26"/>
        <v>0.83333333333333348</v>
      </c>
      <c r="N93" s="28">
        <f t="shared" si="26"/>
        <v>0.83333333333333348</v>
      </c>
      <c r="O93" s="28">
        <f t="shared" si="26"/>
        <v>0.83333333333333348</v>
      </c>
      <c r="P93" s="28">
        <f t="shared" si="26"/>
        <v>0.83333333333333348</v>
      </c>
      <c r="Q93" s="28">
        <f t="shared" si="26"/>
        <v>0.83333333333333348</v>
      </c>
      <c r="R93" s="28">
        <f t="shared" si="26"/>
        <v>0.83333333333333348</v>
      </c>
      <c r="S93" s="28">
        <f t="shared" si="26"/>
        <v>0.83333333333333348</v>
      </c>
      <c r="T93" s="28">
        <f t="shared" si="26"/>
        <v>0.83333333333333348</v>
      </c>
      <c r="U93" s="28">
        <f t="shared" si="26"/>
        <v>0.83333333333333348</v>
      </c>
      <c r="V93" s="28">
        <f t="shared" si="26"/>
        <v>0.83333333333333348</v>
      </c>
      <c r="W93" s="28">
        <f t="shared" si="26"/>
        <v>0.83333333333333348</v>
      </c>
      <c r="X93" s="28">
        <f t="shared" si="26"/>
        <v>0.83333333333333348</v>
      </c>
      <c r="Y93" s="28">
        <f t="shared" si="26"/>
        <v>0.83333333333333348</v>
      </c>
      <c r="Z93" s="28">
        <f t="shared" si="26"/>
        <v>0.83333333333333348</v>
      </c>
      <c r="AA93" s="28">
        <f t="shared" si="26"/>
        <v>0.83333333333333348</v>
      </c>
      <c r="AB93" s="28">
        <f t="shared" si="26"/>
        <v>0.83333333333333348</v>
      </c>
      <c r="AC93" s="28">
        <f t="shared" si="26"/>
        <v>0.83333333333333348</v>
      </c>
      <c r="AD93" s="28">
        <f t="shared" si="26"/>
        <v>0.83333333333333348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0</v>
      </c>
      <c r="B94" s="10">
        <f t="shared" si="24"/>
        <v>0</v>
      </c>
      <c r="C94" s="10">
        <f t="shared" si="24"/>
        <v>0</v>
      </c>
      <c r="D94" s="10">
        <f t="shared" si="24"/>
        <v>1</v>
      </c>
      <c r="E94" s="11" t="str">
        <f t="shared" si="20"/>
        <v>(1)Ga[l]</v>
      </c>
      <c r="F94" s="28">
        <f t="shared" si="26"/>
        <v>0</v>
      </c>
      <c r="G94" s="28">
        <f t="shared" si="26"/>
        <v>0</v>
      </c>
      <c r="H94" s="28">
        <f t="shared" si="26"/>
        <v>0</v>
      </c>
      <c r="I94" s="28">
        <f t="shared" si="26"/>
        <v>0</v>
      </c>
      <c r="J94" s="28">
        <f t="shared" si="26"/>
        <v>0</v>
      </c>
      <c r="K94" s="28">
        <f t="shared" si="26"/>
        <v>0</v>
      </c>
      <c r="L94" s="28">
        <f t="shared" si="26"/>
        <v>0</v>
      </c>
      <c r="M94" s="28">
        <f t="shared" si="26"/>
        <v>0</v>
      </c>
      <c r="N94" s="28">
        <f t="shared" si="26"/>
        <v>0</v>
      </c>
      <c r="O94" s="28">
        <f t="shared" si="26"/>
        <v>0</v>
      </c>
      <c r="P94" s="28">
        <f t="shared" si="26"/>
        <v>0</v>
      </c>
      <c r="Q94" s="28">
        <f t="shared" si="26"/>
        <v>6.4316666666666673E-32</v>
      </c>
      <c r="R94" s="28">
        <f t="shared" si="26"/>
        <v>9.3504166666666677E-26</v>
      </c>
      <c r="S94" s="28">
        <f t="shared" si="26"/>
        <v>8.383333333333334E-20</v>
      </c>
      <c r="T94" s="28">
        <f t="shared" si="26"/>
        <v>1.5505833333333335E-12</v>
      </c>
      <c r="U94" s="28">
        <f t="shared" si="26"/>
        <v>3.4787083333333334E-12</v>
      </c>
      <c r="V94" s="28">
        <f t="shared" si="26"/>
        <v>5.0979166666666672E-11</v>
      </c>
      <c r="W94" s="28">
        <f t="shared" si="26"/>
        <v>2.376291666666667E-12</v>
      </c>
      <c r="X94" s="28">
        <f t="shared" si="26"/>
        <v>1.911416666666667E-8</v>
      </c>
      <c r="Y94" s="28">
        <f t="shared" si="26"/>
        <v>1.6523333333333335E-7</v>
      </c>
      <c r="Z94" s="28">
        <f t="shared" si="26"/>
        <v>0.32372083333333335</v>
      </c>
      <c r="AA94" s="28">
        <f t="shared" si="26"/>
        <v>0.33233333333333337</v>
      </c>
      <c r="AB94" s="28">
        <f t="shared" si="26"/>
        <v>0.33322083333333335</v>
      </c>
      <c r="AC94" s="28">
        <f t="shared" si="26"/>
        <v>0.33333333333333337</v>
      </c>
      <c r="AD94" s="28">
        <f t="shared" si="26"/>
        <v>0.33333333333333337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1</v>
      </c>
      <c r="D95" s="10">
        <f t="shared" si="24"/>
        <v>0</v>
      </c>
      <c r="E95" s="11" t="str">
        <f t="shared" si="20"/>
        <v>(1)Ge[l]</v>
      </c>
      <c r="F95" s="28">
        <f t="shared" si="26"/>
        <v>0</v>
      </c>
      <c r="G95" s="28">
        <f t="shared" si="26"/>
        <v>0</v>
      </c>
      <c r="H95" s="28">
        <f t="shared" si="26"/>
        <v>0</v>
      </c>
      <c r="I95" s="28">
        <f t="shared" si="26"/>
        <v>0</v>
      </c>
      <c r="J95" s="28">
        <f t="shared" si="26"/>
        <v>0</v>
      </c>
      <c r="K95" s="28">
        <f t="shared" si="26"/>
        <v>0</v>
      </c>
      <c r="L95" s="28">
        <f t="shared" si="26"/>
        <v>0</v>
      </c>
      <c r="M95" s="28">
        <f t="shared" si="26"/>
        <v>0</v>
      </c>
      <c r="N95" s="28">
        <f t="shared" si="26"/>
        <v>0</v>
      </c>
      <c r="O95" s="28">
        <f t="shared" si="26"/>
        <v>0</v>
      </c>
      <c r="P95" s="28">
        <f t="shared" si="26"/>
        <v>0</v>
      </c>
      <c r="Q95" s="28">
        <f t="shared" si="26"/>
        <v>1.2449166666666666E-26</v>
      </c>
      <c r="R95" s="28">
        <f t="shared" si="26"/>
        <v>3.3299583333333333E-21</v>
      </c>
      <c r="S95" s="28">
        <f t="shared" si="26"/>
        <v>6.0375E-16</v>
      </c>
      <c r="T95" s="28">
        <f t="shared" si="26"/>
        <v>4.0881666666666671E-11</v>
      </c>
      <c r="U95" s="28">
        <f t="shared" si="26"/>
        <v>2.6567083333333335E-11</v>
      </c>
      <c r="V95" s="28">
        <f t="shared" si="26"/>
        <v>1.1880416666666669E-10</v>
      </c>
      <c r="W95" s="28">
        <f t="shared" si="26"/>
        <v>1.7826666666666669E-12</v>
      </c>
      <c r="X95" s="28">
        <f t="shared" si="26"/>
        <v>7.3049999999999999E-9</v>
      </c>
      <c r="Y95" s="28">
        <f t="shared" si="26"/>
        <v>4.0912500000000003E-8</v>
      </c>
      <c r="Z95" s="28">
        <f t="shared" si="26"/>
        <v>5.7045833333333337E-2</v>
      </c>
      <c r="AA95" s="28">
        <f t="shared" si="26"/>
        <v>6.8925000000000014E-2</v>
      </c>
      <c r="AB95" s="28">
        <f t="shared" si="26"/>
        <v>8.1058333333333329E-2</v>
      </c>
      <c r="AC95" s="28">
        <f t="shared" si="26"/>
        <v>0.15068333333333336</v>
      </c>
      <c r="AD95" s="28">
        <f t="shared" si="26"/>
        <v>0.28385000000000005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1</v>
      </c>
      <c r="B96" s="10">
        <f t="shared" si="24"/>
        <v>0</v>
      </c>
      <c r="C96" s="10">
        <f t="shared" si="24"/>
        <v>0</v>
      </c>
      <c r="D96" s="10">
        <f t="shared" si="24"/>
        <v>0</v>
      </c>
      <c r="E96" s="11" t="str">
        <f t="shared" si="20"/>
        <v>H (Ar)</v>
      </c>
      <c r="F96" s="28">
        <f t="shared" si="26"/>
        <v>-78.333333333333343</v>
      </c>
      <c r="G96" s="28">
        <f t="shared" si="26"/>
        <v>-78.291666666666671</v>
      </c>
      <c r="H96" s="28">
        <f t="shared" si="26"/>
        <v>-78.333333333333343</v>
      </c>
      <c r="I96" s="28">
        <f t="shared" si="26"/>
        <v>-78.375</v>
      </c>
      <c r="J96" s="28">
        <f t="shared" si="26"/>
        <v>-78.458333333333329</v>
      </c>
      <c r="K96" s="28">
        <f t="shared" si="26"/>
        <v>-78.958333333333343</v>
      </c>
      <c r="L96" s="28">
        <f t="shared" si="26"/>
        <v>-79.125</v>
      </c>
      <c r="M96" s="28">
        <f t="shared" si="26"/>
        <v>-79.291666666666671</v>
      </c>
      <c r="N96" s="28">
        <f t="shared" si="26"/>
        <v>-79.458333333333343</v>
      </c>
      <c r="O96" s="28">
        <f t="shared" si="26"/>
        <v>-79.625</v>
      </c>
      <c r="P96" s="28">
        <f t="shared" si="26"/>
        <v>-79.791666666666671</v>
      </c>
      <c r="Q96" s="28">
        <f t="shared" si="26"/>
        <v>-79.958333333333343</v>
      </c>
      <c r="R96" s="28">
        <f t="shared" si="26"/>
        <v>-80.125000000000014</v>
      </c>
      <c r="S96" s="28">
        <f t="shared" si="26"/>
        <v>-80.333333333333343</v>
      </c>
      <c r="T96" s="28">
        <f t="shared" si="26"/>
        <v>-81.000000000000014</v>
      </c>
      <c r="U96" s="28">
        <f t="shared" si="26"/>
        <v>-81.208333333333329</v>
      </c>
      <c r="V96" s="28">
        <f t="shared" si="26"/>
        <v>-81.375000000000014</v>
      </c>
      <c r="W96" s="28">
        <f t="shared" si="26"/>
        <v>-81.541666666666671</v>
      </c>
      <c r="X96" s="28">
        <f t="shared" si="26"/>
        <v>-81.25</v>
      </c>
      <c r="Y96" s="28">
        <f t="shared" si="26"/>
        <v>-81.208333333333329</v>
      </c>
      <c r="Z96" s="28">
        <f t="shared" si="26"/>
        <v>-81.291666666666686</v>
      </c>
      <c r="AA96" s="28">
        <f t="shared" si="26"/>
        <v>-81.458333333333343</v>
      </c>
      <c r="AB96" s="28">
        <f t="shared" si="26"/>
        <v>-81.625</v>
      </c>
      <c r="AC96" s="28">
        <f t="shared" si="26"/>
        <v>-82.25</v>
      </c>
      <c r="AD96" s="28">
        <f t="shared" si="26"/>
        <v>-82.833333333333329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0</v>
      </c>
      <c r="C97" s="10">
        <f t="shared" si="24"/>
        <v>0</v>
      </c>
      <c r="D97" s="10">
        <f t="shared" si="24"/>
        <v>1</v>
      </c>
      <c r="E97" s="11" t="str">
        <f t="shared" si="20"/>
        <v>H (Ga)</v>
      </c>
      <c r="F97" s="28">
        <f t="shared" si="26"/>
        <v>-276.91666666666669</v>
      </c>
      <c r="G97" s="28">
        <f t="shared" si="26"/>
        <v>-259.375</v>
      </c>
      <c r="H97" s="28">
        <f t="shared" si="26"/>
        <v>-244.16666666666669</v>
      </c>
      <c r="I97" s="28">
        <f t="shared" si="26"/>
        <v>-230.875</v>
      </c>
      <c r="J97" s="28">
        <f t="shared" si="26"/>
        <v>-215.08333333333334</v>
      </c>
      <c r="K97" s="28">
        <f t="shared" si="26"/>
        <v>-155.25</v>
      </c>
      <c r="L97" s="28">
        <f t="shared" si="26"/>
        <v>-143.33333333333334</v>
      </c>
      <c r="M97" s="28">
        <f t="shared" si="26"/>
        <v>-132.33333333333334</v>
      </c>
      <c r="N97" s="28">
        <f t="shared" si="26"/>
        <v>-122.125</v>
      </c>
      <c r="O97" s="28">
        <f t="shared" si="26"/>
        <v>-112.62500000000001</v>
      </c>
      <c r="P97" s="28">
        <f t="shared" si="26"/>
        <v>-103.75</v>
      </c>
      <c r="Q97" s="28">
        <f t="shared" si="26"/>
        <v>-95.458333333333343</v>
      </c>
      <c r="R97" s="28">
        <f t="shared" si="26"/>
        <v>-87.666666666666671</v>
      </c>
      <c r="S97" s="28">
        <f t="shared" si="26"/>
        <v>-80.333333333333343</v>
      </c>
      <c r="T97" s="28">
        <f t="shared" si="26"/>
        <v>-54.750000000000007</v>
      </c>
      <c r="U97" s="28">
        <f t="shared" si="26"/>
        <v>-49.166666666666671</v>
      </c>
      <c r="V97" s="28">
        <f t="shared" si="26"/>
        <v>-43.833333333333336</v>
      </c>
      <c r="W97" s="28">
        <f t="shared" si="26"/>
        <v>-38.725000000000001</v>
      </c>
      <c r="X97" s="28">
        <f t="shared" si="26"/>
        <v>-35.57083333333334</v>
      </c>
      <c r="Y97" s="28">
        <f t="shared" si="26"/>
        <v>-33.445833333333333</v>
      </c>
      <c r="Z97" s="28">
        <f t="shared" si="26"/>
        <v>-31.737500000000001</v>
      </c>
      <c r="AA97" s="28">
        <f t="shared" si="26"/>
        <v>-32.145833333333336</v>
      </c>
      <c r="AB97" s="28">
        <f t="shared" si="26"/>
        <v>-32.562500000000007</v>
      </c>
      <c r="AC97" s="28">
        <f t="shared" si="26"/>
        <v>-34.31666666666667</v>
      </c>
      <c r="AD97" s="28">
        <f t="shared" si="26"/>
        <v>-36.354166666666664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1</v>
      </c>
      <c r="D98" s="10">
        <f t="shared" si="24"/>
        <v>0</v>
      </c>
      <c r="E98" s="11" t="str">
        <f t="shared" si="20"/>
        <v>H (Ge)</v>
      </c>
      <c r="F98" s="28">
        <f t="shared" si="26"/>
        <v>-67.875</v>
      </c>
      <c r="G98" s="28">
        <f t="shared" si="26"/>
        <v>-64.666666666666671</v>
      </c>
      <c r="H98" s="28">
        <f t="shared" si="26"/>
        <v>-61.916666666666671</v>
      </c>
      <c r="I98" s="28">
        <f t="shared" si="26"/>
        <v>-59.583333333333343</v>
      </c>
      <c r="J98" s="28">
        <f t="shared" si="26"/>
        <v>-54.875000000000007</v>
      </c>
      <c r="K98" s="28">
        <f t="shared" si="26"/>
        <v>-32.970833333333339</v>
      </c>
      <c r="L98" s="28">
        <f t="shared" si="26"/>
        <v>-28.545833333333334</v>
      </c>
      <c r="M98" s="28">
        <f t="shared" si="26"/>
        <v>-24.445833333333336</v>
      </c>
      <c r="N98" s="28">
        <f t="shared" si="26"/>
        <v>-20.620833333333334</v>
      </c>
      <c r="O98" s="28">
        <f t="shared" si="26"/>
        <v>-17.074999999999999</v>
      </c>
      <c r="P98" s="28">
        <f t="shared" si="26"/>
        <v>-17.291666666666668</v>
      </c>
      <c r="Q98" s="28">
        <f t="shared" si="26"/>
        <v>-17.500000000000004</v>
      </c>
      <c r="R98" s="28">
        <f t="shared" si="26"/>
        <v>-17.704166666666666</v>
      </c>
      <c r="S98" s="28">
        <f t="shared" si="26"/>
        <v>-17.912500000000001</v>
      </c>
      <c r="T98" s="28">
        <f t="shared" si="26"/>
        <v>-18.745833333333334</v>
      </c>
      <c r="U98" s="28">
        <f t="shared" si="26"/>
        <v>-18.954166666666669</v>
      </c>
      <c r="V98" s="28">
        <f t="shared" si="26"/>
        <v>-19.158333333333335</v>
      </c>
      <c r="W98" s="28">
        <f t="shared" si="26"/>
        <v>-19.362500000000001</v>
      </c>
      <c r="X98" s="28">
        <f t="shared" si="26"/>
        <v>-19.566666666666666</v>
      </c>
      <c r="Y98" s="28">
        <f t="shared" si="26"/>
        <v>-19.766666666666666</v>
      </c>
      <c r="Z98" s="28">
        <f t="shared" si="26"/>
        <v>-19.966666666666669</v>
      </c>
      <c r="AA98" s="28">
        <f t="shared" si="26"/>
        <v>-20.166666666666668</v>
      </c>
      <c r="AB98" s="28">
        <f t="shared" si="26"/>
        <v>-20.362500000000001</v>
      </c>
      <c r="AC98" s="28">
        <f t="shared" si="26"/>
        <v>-21.129166666666666</v>
      </c>
      <c r="AD98" s="28">
        <f t="shared" si="26"/>
        <v>-21.870833333333334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1</v>
      </c>
      <c r="C99" s="10">
        <f t="shared" si="24"/>
        <v>0</v>
      </c>
      <c r="D99" s="10">
        <f t="shared" si="24"/>
        <v>0</v>
      </c>
      <c r="E99" s="11" t="str">
        <f t="shared" si="20"/>
        <v>H (Se)</v>
      </c>
      <c r="F99" s="28">
        <f t="shared" si="26"/>
        <v>-98</v>
      </c>
      <c r="G99" s="28">
        <f t="shared" si="26"/>
        <v>-92.416666666666671</v>
      </c>
      <c r="H99" s="28">
        <f t="shared" si="26"/>
        <v>-87.583333333333343</v>
      </c>
      <c r="I99" s="28">
        <f t="shared" si="26"/>
        <v>-83.375000000000014</v>
      </c>
      <c r="J99" s="28">
        <f t="shared" si="26"/>
        <v>-82.375</v>
      </c>
      <c r="K99" s="28">
        <f t="shared" si="26"/>
        <v>-87.375</v>
      </c>
      <c r="L99" s="28">
        <f t="shared" si="26"/>
        <v>-88.625</v>
      </c>
      <c r="M99" s="28">
        <f t="shared" si="26"/>
        <v>-89.916666666666671</v>
      </c>
      <c r="N99" s="28">
        <f t="shared" si="26"/>
        <v>-91.166666666666671</v>
      </c>
      <c r="O99" s="28">
        <f t="shared" si="26"/>
        <v>-92.416666666666671</v>
      </c>
      <c r="P99" s="28">
        <f t="shared" si="26"/>
        <v>-93.708333333333329</v>
      </c>
      <c r="Q99" s="28">
        <f t="shared" si="26"/>
        <v>-94.958333333333343</v>
      </c>
      <c r="R99" s="28">
        <f t="shared" si="26"/>
        <v>-96.166666666666671</v>
      </c>
      <c r="S99" s="28">
        <f t="shared" si="26"/>
        <v>-97.375000000000014</v>
      </c>
      <c r="T99" s="28">
        <f t="shared" si="26"/>
        <v>-102.12500000000001</v>
      </c>
      <c r="U99" s="28">
        <f t="shared" si="26"/>
        <v>-103.29166666666667</v>
      </c>
      <c r="V99" s="28">
        <f t="shared" si="26"/>
        <v>-104.41666666666667</v>
      </c>
      <c r="W99" s="28">
        <f t="shared" si="26"/>
        <v>-105.54166666666667</v>
      </c>
      <c r="X99" s="28">
        <f t="shared" si="26"/>
        <v>-106.66666666666669</v>
      </c>
      <c r="Y99" s="28">
        <f t="shared" si="26"/>
        <v>-107.79166666666667</v>
      </c>
      <c r="Z99" s="28">
        <f t="shared" si="26"/>
        <v>-108.875</v>
      </c>
      <c r="AA99" s="28">
        <f t="shared" si="26"/>
        <v>-109.95833333333334</v>
      </c>
      <c r="AB99" s="28">
        <f t="shared" si="26"/>
        <v>-111.04166666666667</v>
      </c>
      <c r="AC99" s="28">
        <f t="shared" si="26"/>
        <v>-115.20833333333333</v>
      </c>
      <c r="AD99" s="28">
        <f t="shared" ref="AD99:AL99" si="27">AD19*$C$82</f>
        <v>-119.25000000000001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0</v>
      </c>
      <c r="D100" s="10">
        <f t="shared" si="24"/>
        <v>0</v>
      </c>
      <c r="E100" s="11">
        <f t="shared" si="20"/>
        <v>0</v>
      </c>
      <c r="F100" s="28">
        <f t="shared" ref="F100:AL107" si="28">F20*$C$82</f>
        <v>0</v>
      </c>
      <c r="G100" s="28">
        <f t="shared" si="28"/>
        <v>0</v>
      </c>
      <c r="H100" s="28">
        <f t="shared" si="28"/>
        <v>0</v>
      </c>
      <c r="I100" s="28">
        <f t="shared" si="28"/>
        <v>0</v>
      </c>
      <c r="J100" s="28">
        <f t="shared" si="28"/>
        <v>0</v>
      </c>
      <c r="K100" s="28">
        <f t="shared" si="28"/>
        <v>0</v>
      </c>
      <c r="L100" s="28">
        <f t="shared" si="28"/>
        <v>0</v>
      </c>
      <c r="M100" s="28">
        <f t="shared" si="28"/>
        <v>0</v>
      </c>
      <c r="N100" s="28">
        <f t="shared" si="28"/>
        <v>0</v>
      </c>
      <c r="O100" s="28">
        <f t="shared" si="28"/>
        <v>0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0</v>
      </c>
      <c r="C101" s="10">
        <f t="shared" si="29"/>
        <v>0</v>
      </c>
      <c r="D101" s="10">
        <f t="shared" si="29"/>
        <v>0</v>
      </c>
      <c r="E101" s="11">
        <f t="shared" si="20"/>
        <v>0</v>
      </c>
      <c r="F101" s="28">
        <f t="shared" si="28"/>
        <v>0</v>
      </c>
      <c r="G101" s="28">
        <f t="shared" si="28"/>
        <v>0</v>
      </c>
      <c r="H101" s="28">
        <f t="shared" si="28"/>
        <v>0</v>
      </c>
      <c r="I101" s="28">
        <f t="shared" si="28"/>
        <v>0</v>
      </c>
      <c r="J101" s="28">
        <f t="shared" si="28"/>
        <v>0</v>
      </c>
      <c r="K101" s="28">
        <f t="shared" si="28"/>
        <v>0</v>
      </c>
      <c r="L101" s="28">
        <f t="shared" si="28"/>
        <v>0</v>
      </c>
      <c r="M101" s="28">
        <f t="shared" si="28"/>
        <v>0</v>
      </c>
      <c r="N101" s="28">
        <f t="shared" si="28"/>
        <v>0</v>
      </c>
      <c r="O101" s="28">
        <f t="shared" si="28"/>
        <v>0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293.3</v>
      </c>
      <c r="H117" s="9">
        <f t="shared" si="32"/>
        <v>313.5</v>
      </c>
      <c r="I117" s="9">
        <f t="shared" si="32"/>
        <v>333.7</v>
      </c>
      <c r="J117" s="9">
        <f t="shared" si="32"/>
        <v>353.9</v>
      </c>
      <c r="K117" s="9">
        <f t="shared" si="32"/>
        <v>434.7</v>
      </c>
      <c r="L117" s="9">
        <f t="shared" si="32"/>
        <v>454.9</v>
      </c>
      <c r="M117" s="9">
        <f t="shared" si="32"/>
        <v>475.1</v>
      </c>
      <c r="N117" s="9">
        <f t="shared" si="32"/>
        <v>495.2</v>
      </c>
      <c r="O117" s="9">
        <f t="shared" si="32"/>
        <v>515.4</v>
      </c>
      <c r="P117" s="9">
        <f t="shared" si="32"/>
        <v>535.6</v>
      </c>
      <c r="Q117" s="9">
        <f t="shared" si="32"/>
        <v>555.79999999999995</v>
      </c>
      <c r="R117" s="9">
        <f t="shared" si="32"/>
        <v>576</v>
      </c>
      <c r="S117" s="9">
        <f t="shared" si="32"/>
        <v>596.20000000000005</v>
      </c>
      <c r="T117" s="9">
        <f t="shared" si="32"/>
        <v>677</v>
      </c>
      <c r="U117" s="9">
        <f t="shared" si="32"/>
        <v>697.1</v>
      </c>
      <c r="V117" s="9">
        <f t="shared" si="32"/>
        <v>717.3</v>
      </c>
      <c r="W117" s="9">
        <f t="shared" si="32"/>
        <v>737.5</v>
      </c>
      <c r="X117" s="9">
        <f t="shared" si="32"/>
        <v>757.7</v>
      </c>
      <c r="Y117" s="9">
        <f t="shared" si="32"/>
        <v>777.9</v>
      </c>
      <c r="Z117" s="9">
        <f t="shared" si="32"/>
        <v>798.1</v>
      </c>
      <c r="AA117" s="9">
        <f t="shared" si="32"/>
        <v>818.3</v>
      </c>
      <c r="AB117" s="9">
        <f t="shared" si="32"/>
        <v>838.5</v>
      </c>
      <c r="AC117" s="9">
        <f t="shared" si="32"/>
        <v>919.2</v>
      </c>
      <c r="AD117" s="9">
        <f t="shared" si="32"/>
        <v>1000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-543.746128</v>
      </c>
      <c r="C118" s="47">
        <f>COUNTA(E118:E125)+1</f>
        <v>5</v>
      </c>
      <c r="E118" s="31" t="s">
        <v>40</v>
      </c>
      <c r="F118" s="28">
        <f ca="1">F$117*$B$2*SUMPRODUCT(F$94:F$95,F$60:F$61)/1000</f>
        <v>0</v>
      </c>
      <c r="G118" s="28">
        <f t="shared" ref="G118:AL118" ca="1" si="33">G$117*$B$2*SUMPRODUCT(G$94:G$95,G$60:G$61)/1000</f>
        <v>0</v>
      </c>
      <c r="H118" s="28">
        <f t="shared" ca="1" si="33"/>
        <v>0</v>
      </c>
      <c r="I118" s="28">
        <f t="shared" ca="1" si="33"/>
        <v>0</v>
      </c>
      <c r="J118" s="28">
        <f t="shared" ca="1" si="33"/>
        <v>0</v>
      </c>
      <c r="K118" s="28">
        <f t="shared" ca="1" si="33"/>
        <v>0</v>
      </c>
      <c r="L118" s="28">
        <f t="shared" ca="1" si="33"/>
        <v>0</v>
      </c>
      <c r="M118" s="28">
        <f t="shared" ca="1" si="33"/>
        <v>0</v>
      </c>
      <c r="N118" s="28">
        <f t="shared" ca="1" si="33"/>
        <v>0</v>
      </c>
      <c r="O118" s="28">
        <f t="shared" ca="1" si="33"/>
        <v>0</v>
      </c>
      <c r="P118" s="28">
        <f t="shared" ca="1" si="33"/>
        <v>0</v>
      </c>
      <c r="Q118" s="28">
        <f t="shared" ca="1" si="33"/>
        <v>-2.416331360551476E-25</v>
      </c>
      <c r="R118" s="28">
        <f t="shared" ca="1" si="33"/>
        <v>-6.7771099755617479E-20</v>
      </c>
      <c r="S118" s="28">
        <f t="shared" ca="1" si="33"/>
        <v>-1.2874283308126365E-14</v>
      </c>
      <c r="T118" s="28">
        <f t="shared" ca="1" si="33"/>
        <v>-1.149994864726175E-9</v>
      </c>
      <c r="U118" s="28">
        <f t="shared" ca="1" si="33"/>
        <v>-9.3839257293185501E-10</v>
      </c>
      <c r="V118" s="28">
        <f t="shared" ca="1" si="33"/>
        <v>-6.4563921984541171E-9</v>
      </c>
      <c r="W118" s="28">
        <f t="shared" ca="1" si="33"/>
        <v>-1.8622288071749536E-10</v>
      </c>
      <c r="X118" s="28">
        <f t="shared" ca="1" si="33"/>
        <v>-1.2441156914934824E-6</v>
      </c>
      <c r="Y118" s="28">
        <f t="shared" ca="1" si="33"/>
        <v>-9.8338275468824105E-6</v>
      </c>
      <c r="Z118" s="28">
        <f t="shared" ca="1" si="33"/>
        <v>-18.176426567311626</v>
      </c>
      <c r="AA118" s="28">
        <f t="shared" ca="1" si="33"/>
        <v>-19.714212242718705</v>
      </c>
      <c r="AB118" s="28">
        <f t="shared" ca="1" si="33"/>
        <v>-20.916887807870076</v>
      </c>
      <c r="AC118" s="28">
        <f t="shared" ca="1" si="33"/>
        <v>-26.821621468725546</v>
      </c>
      <c r="AD118" s="28">
        <f t="shared" ca="1" si="33"/>
        <v>-36.569349260425007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25</v>
      </c>
      <c r="E119" s="31" t="s">
        <v>15</v>
      </c>
      <c r="F119" s="28">
        <f ca="1">F$117*$B$2*SUMPRODUCT(F$91:F$92,F$57:F$58)/1000</f>
        <v>-77.006665171000009</v>
      </c>
      <c r="G119" s="28">
        <f t="shared" ref="G119:AL119" ca="1" si="34">G$117*$B$2*SUMPRODUCT(G$91:G$92,G$57:G$58)/1000</f>
        <v>-77.646388344000016</v>
      </c>
      <c r="H119" s="28">
        <f t="shared" ca="1" si="34"/>
        <v>-78.310824982500023</v>
      </c>
      <c r="I119" s="28">
        <f t="shared" ca="1" si="34"/>
        <v>-79.005272808750021</v>
      </c>
      <c r="J119" s="28">
        <f t="shared" ca="1" si="34"/>
        <v>-79.717271158750009</v>
      </c>
      <c r="K119" s="28">
        <f t="shared" ca="1" si="34"/>
        <v>-82.785842700750024</v>
      </c>
      <c r="L119" s="28">
        <f t="shared" ca="1" si="34"/>
        <v>-83.594383481750015</v>
      </c>
      <c r="M119" s="28">
        <f t="shared" ca="1" si="34"/>
        <v>-84.442513754500013</v>
      </c>
      <c r="N119" s="28">
        <f t="shared" ca="1" si="34"/>
        <v>-85.270119684000008</v>
      </c>
      <c r="O119" s="28">
        <f t="shared" ca="1" si="34"/>
        <v>-86.134395330000018</v>
      </c>
      <c r="P119" s="28">
        <f t="shared" ca="1" si="34"/>
        <v>-87.038696979000008</v>
      </c>
      <c r="Q119" s="28">
        <f t="shared" ca="1" si="34"/>
        <v>-87.949120871500014</v>
      </c>
      <c r="R119" s="28">
        <f t="shared" ca="1" si="34"/>
        <v>-88.854733440000004</v>
      </c>
      <c r="S119" s="28">
        <f t="shared" ca="1" si="34"/>
        <v>-89.781431580500026</v>
      </c>
      <c r="T119" s="28">
        <f t="shared" ca="1" si="34"/>
        <v>-93.637025977664493</v>
      </c>
      <c r="U119" s="28">
        <f t="shared" ca="1" si="34"/>
        <v>-94.639639663556082</v>
      </c>
      <c r="V119" s="28">
        <f t="shared" ca="1" si="34"/>
        <v>-95.642533321534017</v>
      </c>
      <c r="W119" s="28">
        <f t="shared" ca="1" si="34"/>
        <v>-96.657830186084126</v>
      </c>
      <c r="X119" s="28">
        <f t="shared" ca="1" si="34"/>
        <v>-38.847361994442693</v>
      </c>
      <c r="Y119" s="28">
        <f t="shared" ca="1" si="34"/>
        <v>-11.143034727789143</v>
      </c>
      <c r="Z119" s="28">
        <f t="shared" ca="1" si="34"/>
        <v>-2.984988406003755</v>
      </c>
      <c r="AA119" s="28">
        <f t="shared" ca="1" si="34"/>
        <v>-0.32183574954326805</v>
      </c>
      <c r="AB119" s="28">
        <f t="shared" ca="1" si="34"/>
        <v>-3.7636923941692838E-2</v>
      </c>
      <c r="AC119" s="28">
        <f t="shared" ca="1" si="34"/>
        <v>-5.5693097577178986E-5</v>
      </c>
      <c r="AD119" s="28">
        <f t="shared" ca="1" si="34"/>
        <v>-2.8390827119092951E-5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F$117*$B$2*SUMPRODUCT(F$91:F$93,F$57:F$59)/1000</f>
        <v>-112.58080772100003</v>
      </c>
      <c r="G120" s="28">
        <f t="shared" ref="G120:AL120" ca="1" si="35">G$117*$B$2*SUMPRODUCT(G$91:G$93,G$57:G$59)/1000</f>
        <v>-115.83147097025001</v>
      </c>
      <c r="H120" s="28">
        <f t="shared" ca="1" si="35"/>
        <v>-119.14749173250004</v>
      </c>
      <c r="I120" s="28">
        <f t="shared" ca="1" si="35"/>
        <v>-122.49632289750002</v>
      </c>
      <c r="J120" s="28">
        <f t="shared" ca="1" si="35"/>
        <v>-125.89002464750001</v>
      </c>
      <c r="K120" s="28">
        <f t="shared" ca="1" si="35"/>
        <v>-139.86187119450003</v>
      </c>
      <c r="L120" s="28">
        <f t="shared" ca="1" si="35"/>
        <v>-143.44874372300004</v>
      </c>
      <c r="M120" s="28">
        <f t="shared" ca="1" si="35"/>
        <v>-147.08640260325006</v>
      </c>
      <c r="N120" s="28">
        <f t="shared" ca="1" si="35"/>
        <v>-150.70152087400004</v>
      </c>
      <c r="O120" s="28">
        <f t="shared" ca="1" si="35"/>
        <v>-154.37769113250005</v>
      </c>
      <c r="P120" s="28">
        <f t="shared" ca="1" si="35"/>
        <v>-158.10508425400005</v>
      </c>
      <c r="Q120" s="28">
        <f t="shared" ca="1" si="35"/>
        <v>-161.84979647900005</v>
      </c>
      <c r="R120" s="28">
        <f t="shared" ca="1" si="35"/>
        <v>-165.60089424</v>
      </c>
      <c r="S120" s="28">
        <f t="shared" ca="1" si="35"/>
        <v>-169.42558364050009</v>
      </c>
      <c r="T120" s="28">
        <f t="shared" ca="1" si="35"/>
        <v>-184.82547327766451</v>
      </c>
      <c r="U120" s="28">
        <f t="shared" ca="1" si="35"/>
        <v>-188.77695603480609</v>
      </c>
      <c r="V120" s="28">
        <f t="shared" ca="1" si="35"/>
        <v>-192.70648440528404</v>
      </c>
      <c r="W120" s="28">
        <f t="shared" ca="1" si="35"/>
        <v>-196.65961284233418</v>
      </c>
      <c r="X120" s="28">
        <f t="shared" ca="1" si="35"/>
        <v>-141.22068255694271</v>
      </c>
      <c r="Y120" s="28">
        <f t="shared" ca="1" si="35"/>
        <v>-116.19169116903915</v>
      </c>
      <c r="Z120" s="28">
        <f t="shared" ca="1" si="35"/>
        <v>-110.87207657225379</v>
      </c>
      <c r="AA120" s="28">
        <f t="shared" ca="1" si="35"/>
        <v>-111.16634999329332</v>
      </c>
      <c r="AB120" s="28">
        <f t="shared" ca="1" si="35"/>
        <v>-113.85077410519173</v>
      </c>
      <c r="AC120" s="28">
        <f t="shared" ca="1" si="35"/>
        <v>-125.72227987309762</v>
      </c>
      <c r="AD120" s="28">
        <f t="shared" ca="1" si="35"/>
        <v>-137.74357839082714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41</v>
      </c>
      <c r="F121" s="28">
        <f ca="1">F119+F118</f>
        <v>-77.006665171000009</v>
      </c>
      <c r="G121" s="28">
        <f t="shared" ref="G121:AL121" ca="1" si="36">G119+G118</f>
        <v>-77.646388344000016</v>
      </c>
      <c r="H121" s="28">
        <f t="shared" ca="1" si="36"/>
        <v>-78.310824982500023</v>
      </c>
      <c r="I121" s="28">
        <f t="shared" ca="1" si="36"/>
        <v>-79.005272808750021</v>
      </c>
      <c r="J121" s="28">
        <f t="shared" ca="1" si="36"/>
        <v>-79.717271158750009</v>
      </c>
      <c r="K121" s="28">
        <f t="shared" ca="1" si="36"/>
        <v>-82.785842700750024</v>
      </c>
      <c r="L121" s="28">
        <f t="shared" ca="1" si="36"/>
        <v>-83.594383481750015</v>
      </c>
      <c r="M121" s="28">
        <f t="shared" ca="1" si="36"/>
        <v>-84.442513754500013</v>
      </c>
      <c r="N121" s="28">
        <f t="shared" ca="1" si="36"/>
        <v>-85.270119684000008</v>
      </c>
      <c r="O121" s="28">
        <f t="shared" ca="1" si="36"/>
        <v>-86.134395330000018</v>
      </c>
      <c r="P121" s="28">
        <f t="shared" ca="1" si="36"/>
        <v>-87.038696979000008</v>
      </c>
      <c r="Q121" s="28">
        <f t="shared" ca="1" si="36"/>
        <v>-87.949120871500014</v>
      </c>
      <c r="R121" s="28">
        <f t="shared" ca="1" si="36"/>
        <v>-88.854733440000004</v>
      </c>
      <c r="S121" s="28">
        <f t="shared" ca="1" si="36"/>
        <v>-89.78143158050004</v>
      </c>
      <c r="T121" s="28">
        <f t="shared" ca="1" si="36"/>
        <v>-93.637025978814492</v>
      </c>
      <c r="U121" s="28">
        <f t="shared" ca="1" si="36"/>
        <v>-94.639639664494482</v>
      </c>
      <c r="V121" s="28">
        <f t="shared" ca="1" si="36"/>
        <v>-95.642533327990407</v>
      </c>
      <c r="W121" s="28">
        <f t="shared" ca="1" si="36"/>
        <v>-96.657830186270346</v>
      </c>
      <c r="X121" s="28">
        <f t="shared" ca="1" si="36"/>
        <v>-38.847363238558387</v>
      </c>
      <c r="Y121" s="28">
        <f t="shared" ca="1" si="36"/>
        <v>-11.143044561616689</v>
      </c>
      <c r="Z121" s="28">
        <f t="shared" ca="1" si="36"/>
        <v>-21.161414973315381</v>
      </c>
      <c r="AA121" s="28">
        <f t="shared" ca="1" si="36"/>
        <v>-20.036047992261974</v>
      </c>
      <c r="AB121" s="28">
        <f t="shared" ca="1" si="36"/>
        <v>-20.95452473181177</v>
      </c>
      <c r="AC121" s="28">
        <f t="shared" ca="1" si="36"/>
        <v>-26.821677161823121</v>
      </c>
      <c r="AD121" s="28">
        <f t="shared" ca="1" si="36"/>
        <v>-36.569377651252125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2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1000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Расвор: </v>
      </c>
      <c r="F127" s="63">
        <f ca="1"/>
        <v>0</v>
      </c>
      <c r="G127" s="63">
        <f ca="1"/>
        <v>0</v>
      </c>
      <c r="H127" s="63">
        <f ca="1"/>
        <v>0</v>
      </c>
      <c r="I127" s="63">
        <f ca="1"/>
        <v>0</v>
      </c>
      <c r="J127" s="63">
        <f ca="1"/>
        <v>0</v>
      </c>
      <c r="K127" s="63">
        <f ca="1"/>
        <v>0</v>
      </c>
      <c r="L127" s="63">
        <f ca="1"/>
        <v>0</v>
      </c>
      <c r="M127" s="63">
        <f ca="1"/>
        <v>0</v>
      </c>
      <c r="N127" s="63">
        <f ca="1"/>
        <v>0</v>
      </c>
      <c r="O127" s="63">
        <f ca="1"/>
        <v>0</v>
      </c>
      <c r="P127" s="63">
        <f ca="1"/>
        <v>0</v>
      </c>
      <c r="Q127" s="63">
        <f ca="1"/>
        <v>-2.416331360551476E-25</v>
      </c>
      <c r="R127" s="63">
        <f ca="1"/>
        <v>-6.7771099755617479E-20</v>
      </c>
      <c r="S127" s="63">
        <f ca="1"/>
        <v>-1.2874283308126365E-14</v>
      </c>
      <c r="T127" s="63">
        <f ca="1"/>
        <v>-1.149994864726175E-9</v>
      </c>
      <c r="U127" s="63">
        <f ca="1"/>
        <v>-9.3839257293185501E-10</v>
      </c>
      <c r="V127" s="63">
        <f ca="1"/>
        <v>-6.4563921984541171E-9</v>
      </c>
      <c r="W127" s="63">
        <f ca="1"/>
        <v>-1.8622288071749536E-10</v>
      </c>
      <c r="X127" s="63">
        <f ca="1"/>
        <v>-1.2441156914934824E-6</v>
      </c>
      <c r="Y127" s="63">
        <f ca="1"/>
        <v>-9.8338275468824105E-6</v>
      </c>
      <c r="Z127" s="63">
        <f ca="1"/>
        <v>-18.176426567311626</v>
      </c>
      <c r="AA127" s="63">
        <f ca="1"/>
        <v>-19.714212242718705</v>
      </c>
      <c r="AB127" s="63">
        <f ca="1"/>
        <v>-20.916887807870076</v>
      </c>
      <c r="AC127" s="63">
        <f ca="1"/>
        <v>-26.821621468725546</v>
      </c>
      <c r="AD127" s="63">
        <f ca="1"/>
        <v>-36.569349260425007</v>
      </c>
      <c r="AE127" s="63" t="e">
        <f ca="1"/>
        <v>#N/A</v>
      </c>
      <c r="AF127" s="63" t="e">
        <f ca="1"/>
        <v>#N/A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-77.006665171000009</v>
      </c>
      <c r="G128" s="63">
        <f ca="1"/>
        <v>-77.646388344000016</v>
      </c>
      <c r="H128" s="63">
        <f ca="1"/>
        <v>-78.310824982500023</v>
      </c>
      <c r="I128" s="63">
        <f ca="1"/>
        <v>-79.005272808750021</v>
      </c>
      <c r="J128" s="63">
        <f ca="1"/>
        <v>-79.717271158750009</v>
      </c>
      <c r="K128" s="63">
        <f ca="1"/>
        <v>-82.785842700750024</v>
      </c>
      <c r="L128" s="63">
        <f ca="1"/>
        <v>-83.594383481750015</v>
      </c>
      <c r="M128" s="63">
        <f ca="1"/>
        <v>-84.442513754500013</v>
      </c>
      <c r="N128" s="63">
        <f ca="1"/>
        <v>-85.270119684000008</v>
      </c>
      <c r="O128" s="63">
        <f ca="1"/>
        <v>-86.134395330000018</v>
      </c>
      <c r="P128" s="63">
        <f ca="1"/>
        <v>-87.038696979000008</v>
      </c>
      <c r="Q128" s="63">
        <f ca="1"/>
        <v>-87.949120871500014</v>
      </c>
      <c r="R128" s="63">
        <f ca="1"/>
        <v>-88.854733440000004</v>
      </c>
      <c r="S128" s="63">
        <f ca="1"/>
        <v>-89.781431580500026</v>
      </c>
      <c r="T128" s="63">
        <f ca="1"/>
        <v>-93.637025977664493</v>
      </c>
      <c r="U128" s="63">
        <f ca="1"/>
        <v>-94.639639663556082</v>
      </c>
      <c r="V128" s="63">
        <f ca="1"/>
        <v>-95.642533321534017</v>
      </c>
      <c r="W128" s="63">
        <f ca="1"/>
        <v>-96.657830186084126</v>
      </c>
      <c r="X128" s="63">
        <f ca="1"/>
        <v>-38.847361994442693</v>
      </c>
      <c r="Y128" s="63">
        <f ca="1"/>
        <v>-11.143034727789143</v>
      </c>
      <c r="Z128" s="63">
        <f ca="1"/>
        <v>-2.984988406003755</v>
      </c>
      <c r="AA128" s="63">
        <f ca="1"/>
        <v>-0.32183574954326805</v>
      </c>
      <c r="AB128" s="63">
        <f ca="1"/>
        <v>-3.7636923941692838E-2</v>
      </c>
      <c r="AC128" s="63">
        <f ca="1"/>
        <v>-5.5693097577178986E-5</v>
      </c>
      <c r="AD128" s="63">
        <f ca="1"/>
        <v>-2.8390827119092951E-5</v>
      </c>
      <c r="AE128" s="63" t="e">
        <f ca="1"/>
        <v>#N/A</v>
      </c>
      <c r="AF128" s="63" t="e">
        <f ca="1"/>
        <v>#N/A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-112.58080772100003</v>
      </c>
      <c r="G129" s="63">
        <f ca="1"/>
        <v>-115.83147097025001</v>
      </c>
      <c r="H129" s="63">
        <f ca="1"/>
        <v>-119.14749173250004</v>
      </c>
      <c r="I129" s="63">
        <f ca="1"/>
        <v>-122.49632289750002</v>
      </c>
      <c r="J129" s="63">
        <f ca="1"/>
        <v>-125.89002464750001</v>
      </c>
      <c r="K129" s="63">
        <f ca="1"/>
        <v>-139.86187119450003</v>
      </c>
      <c r="L129" s="63">
        <f ca="1"/>
        <v>-143.44874372300004</v>
      </c>
      <c r="M129" s="63">
        <f ca="1"/>
        <v>-147.08640260325006</v>
      </c>
      <c r="N129" s="63">
        <f ca="1"/>
        <v>-150.70152087400004</v>
      </c>
      <c r="O129" s="63">
        <f ca="1"/>
        <v>-154.37769113250005</v>
      </c>
      <c r="P129" s="63">
        <f ca="1"/>
        <v>-158.10508425400005</v>
      </c>
      <c r="Q129" s="63">
        <f ca="1"/>
        <v>-161.84979647900005</v>
      </c>
      <c r="R129" s="63">
        <f ca="1"/>
        <v>-165.60089424</v>
      </c>
      <c r="S129" s="63">
        <f ca="1"/>
        <v>-169.42558364050009</v>
      </c>
      <c r="T129" s="63">
        <f ca="1"/>
        <v>-184.82547327766451</v>
      </c>
      <c r="U129" s="63">
        <f ca="1"/>
        <v>-188.77695603480609</v>
      </c>
      <c r="V129" s="63">
        <f ca="1"/>
        <v>-192.70648440528404</v>
      </c>
      <c r="W129" s="63">
        <f ca="1"/>
        <v>-196.65961284233418</v>
      </c>
      <c r="X129" s="63">
        <f ca="1"/>
        <v>-141.22068255694271</v>
      </c>
      <c r="Y129" s="63">
        <f ca="1"/>
        <v>-116.19169116903915</v>
      </c>
      <c r="Z129" s="63">
        <f ca="1"/>
        <v>-110.87207657225379</v>
      </c>
      <c r="AA129" s="63">
        <f ca="1"/>
        <v>-111.16634999329332</v>
      </c>
      <c r="AB129" s="63">
        <f ca="1"/>
        <v>-113.85077410519173</v>
      </c>
      <c r="AC129" s="63">
        <f ca="1"/>
        <v>-125.72227987309762</v>
      </c>
      <c r="AD129" s="63">
        <f ca="1"/>
        <v>-137.74357839082714</v>
      </c>
      <c r="AE129" s="63" t="e">
        <f ca="1"/>
        <v>#N/A</v>
      </c>
      <c r="AF129" s="63" t="e">
        <f ca="1"/>
        <v>#N/A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>Раствор + газовая без Ar</v>
      </c>
      <c r="F130" s="63">
        <f ca="1"/>
        <v>-77.006665171000009</v>
      </c>
      <c r="G130" s="63">
        <f ca="1"/>
        <v>-77.646388344000016</v>
      </c>
      <c r="H130" s="63">
        <f ca="1"/>
        <v>-78.310824982500023</v>
      </c>
      <c r="I130" s="63">
        <f ca="1"/>
        <v>-79.005272808750021</v>
      </c>
      <c r="J130" s="63">
        <f ca="1"/>
        <v>-79.717271158750009</v>
      </c>
      <c r="K130" s="63">
        <f ca="1"/>
        <v>-82.785842700750024</v>
      </c>
      <c r="L130" s="63">
        <f ca="1"/>
        <v>-83.594383481750015</v>
      </c>
      <c r="M130" s="63">
        <f ca="1"/>
        <v>-84.442513754500013</v>
      </c>
      <c r="N130" s="63">
        <f ca="1"/>
        <v>-85.270119684000008</v>
      </c>
      <c r="O130" s="63">
        <f ca="1"/>
        <v>-86.134395330000018</v>
      </c>
      <c r="P130" s="63">
        <f ca="1"/>
        <v>-87.038696979000008</v>
      </c>
      <c r="Q130" s="63">
        <f ca="1"/>
        <v>-87.949120871500014</v>
      </c>
      <c r="R130" s="63">
        <f ca="1"/>
        <v>-88.854733440000004</v>
      </c>
      <c r="S130" s="63">
        <f ca="1"/>
        <v>-89.78143158050004</v>
      </c>
      <c r="T130" s="63">
        <f ca="1"/>
        <v>-93.637025978814492</v>
      </c>
      <c r="U130" s="63">
        <f ca="1"/>
        <v>-94.639639664494482</v>
      </c>
      <c r="V130" s="63">
        <f ca="1"/>
        <v>-95.642533327990407</v>
      </c>
      <c r="W130" s="63">
        <f ca="1"/>
        <v>-96.657830186270346</v>
      </c>
      <c r="X130" s="63">
        <f ca="1"/>
        <v>-38.847363238558387</v>
      </c>
      <c r="Y130" s="63">
        <f ca="1"/>
        <v>-11.143044561616689</v>
      </c>
      <c r="Z130" s="63">
        <f ca="1"/>
        <v>-21.161414973315381</v>
      </c>
      <c r="AA130" s="63">
        <f ca="1"/>
        <v>-20.036047992261974</v>
      </c>
      <c r="AB130" s="63">
        <f ca="1"/>
        <v>-20.95452473181177</v>
      </c>
      <c r="AC130" s="63">
        <f ca="1"/>
        <v>-26.821677161823121</v>
      </c>
      <c r="AD130" s="63">
        <f ca="1"/>
        <v>-36.569377651252125</v>
      </c>
      <c r="AE130" s="63" t="e">
        <f ca="1"/>
        <v>#N/A</v>
      </c>
      <c r="AF130" s="63" t="e">
        <f ca="1"/>
        <v>#N/A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s="63" t="e">
        <f ca="1"/>
        <v>#N/A</v>
      </c>
      <c r="G131" s="63" t="e">
        <f ca="1"/>
        <v>#N/A</v>
      </c>
      <c r="H131" s="63" t="e">
        <f ca="1"/>
        <v>#N/A</v>
      </c>
      <c r="I131" s="63" t="e">
        <f ca="1"/>
        <v>#N/A</v>
      </c>
      <c r="J131" s="63" t="e">
        <f ca="1"/>
        <v>#N/A</v>
      </c>
      <c r="K131" s="63" t="e">
        <f ca="1"/>
        <v>#N/A</v>
      </c>
      <c r="L131" s="63" t="e">
        <f ca="1"/>
        <v>#N/A</v>
      </c>
      <c r="M131" s="63" t="e">
        <f ca="1"/>
        <v>#N/A</v>
      </c>
      <c r="N131" s="63" t="e">
        <f ca="1"/>
        <v>#N/A</v>
      </c>
      <c r="O131" s="63" t="e">
        <f ca="1"/>
        <v>#N/A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7">E144-$C$144</f>
        <v>-5</v>
      </c>
      <c r="F145" s="39">
        <f t="shared" si="3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8">D145+$A$144</f>
        <v>3</v>
      </c>
      <c r="E146" s="39">
        <f t="shared" si="38"/>
        <v>3</v>
      </c>
      <c r="F146" s="39">
        <f t="shared" si="3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5" priority="3" operator="equal">
      <formula>0</formula>
    </cfRule>
  </conditionalFormatting>
  <conditionalFormatting sqref="A50:D80">
    <cfRule type="cellIs" dxfId="4" priority="2" operator="equal">
      <formula>0</formula>
    </cfRule>
  </conditionalFormatting>
  <conditionalFormatting sqref="A84:D113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BX161"/>
  <sheetViews>
    <sheetView tabSelected="1" zoomScale="70" zoomScaleNormal="70" workbookViewId="0">
      <pane ySplit="1" topLeftCell="A2" activePane="bottomLeft" state="frozen"/>
      <selection pane="bottomLeft" activeCell="BY36" sqref="BY36:BZ36"/>
    </sheetView>
  </sheetViews>
  <sheetFormatPr defaultRowHeight="21" outlineLevelRow="1" x14ac:dyDescent="0.35"/>
  <cols>
    <col min="1" max="1" width="13.81640625" bestFit="1" customWidth="1"/>
    <col min="2" max="3" width="4.26953125" style="64" customWidth="1"/>
    <col min="4" max="5" width="4.26953125" customWidth="1"/>
    <col min="6" max="71" width="4.26953125" hidden="1" customWidth="1"/>
    <col min="72" max="72" width="4.26953125" customWidth="1"/>
    <col min="73" max="16384" width="8.7265625" style="63"/>
  </cols>
  <sheetData>
    <row r="1" spans="1:76" ht="37.5" customHeight="1" thickBot="1" x14ac:dyDescent="0.4">
      <c r="A1" s="58" t="s">
        <v>26</v>
      </c>
      <c r="B1" s="65">
        <v>300</v>
      </c>
      <c r="C1" s="119">
        <v>1000</v>
      </c>
      <c r="D1" s="59" t="s">
        <v>27</v>
      </c>
      <c r="E1" s="60">
        <v>70</v>
      </c>
      <c r="F1" s="63"/>
      <c r="G1" s="63"/>
      <c r="H1" s="63"/>
      <c r="I1" s="63"/>
      <c r="J1" s="63"/>
      <c r="BW1" s="171" t="s">
        <v>102</v>
      </c>
      <c r="BX1" s="171"/>
    </row>
    <row r="2" spans="1:76" ht="23.25" customHeight="1" thickTop="1" thickBot="1" x14ac:dyDescent="0.4">
      <c r="A2" s="9" t="s">
        <v>37</v>
      </c>
      <c r="B2" s="9">
        <f>FLUID!F49</f>
        <v>273.10000000000002</v>
      </c>
      <c r="C2" s="9">
        <f>FLUID!G49</f>
        <v>353.9</v>
      </c>
      <c r="D2" s="9">
        <f>FLUID!H49</f>
        <v>434.7</v>
      </c>
      <c r="E2" s="9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76" ht="22.5" hidden="1" outlineLevel="1" thickTop="1" thickBot="1" x14ac:dyDescent="0.4">
      <c r="A3" s="76" t="str">
        <f>FLUID!E50</f>
        <v>*Se[l]</v>
      </c>
      <c r="B3" s="28">
        <f ca="1">FLUID!F50</f>
        <v>-4.7</v>
      </c>
      <c r="C3" s="28">
        <f ca="1">FLUID!G50</f>
        <v>-5.1369999999999996</v>
      </c>
      <c r="D3" s="28">
        <f ca="1">FLUID!H50</f>
        <v>-5.6130000000000004</v>
      </c>
      <c r="E3" s="28">
        <f ca="1">FLUID!I50</f>
        <v>-6.07</v>
      </c>
      <c r="F3" s="28">
        <f ca="1">FLUID!J50</f>
        <v>-6.4909999999999997</v>
      </c>
      <c r="G3" s="28">
        <f ca="1">FLUID!K50</f>
        <v>-6.8710000000000004</v>
      </c>
      <c r="H3" s="28">
        <f ca="1">FLUID!L50</f>
        <v>-7.2160000000000002</v>
      </c>
      <c r="I3" s="28">
        <f ca="1">FLUID!M50</f>
        <v>-7.5439999999999996</v>
      </c>
      <c r="J3" s="28">
        <f ca="1">FLUID!N50</f>
        <v>-7.8849999999999998</v>
      </c>
      <c r="K3" s="28">
        <f ca="1">FLUID!O50</f>
        <v>-8.2889999999999997</v>
      </c>
      <c r="L3" s="28">
        <f ca="1">FLUID!P50</f>
        <v>0</v>
      </c>
      <c r="M3" s="28">
        <f ca="1">FLUID!Q50</f>
        <v>0</v>
      </c>
      <c r="N3" s="28">
        <f ca="1">FLUID!R50</f>
        <v>0</v>
      </c>
      <c r="O3" s="28">
        <f ca="1">FLUID!S50</f>
        <v>0</v>
      </c>
      <c r="P3" s="28">
        <f ca="1">FLUID!T50</f>
        <v>0</v>
      </c>
      <c r="Q3" s="28">
        <f ca="1">FLUID!U50</f>
        <v>0</v>
      </c>
      <c r="R3" s="28">
        <f ca="1">FLUID!V50</f>
        <v>0</v>
      </c>
      <c r="S3" s="28">
        <f ca="1">FLUID!W50</f>
        <v>0</v>
      </c>
      <c r="T3" s="28">
        <f ca="1">FLUID!X50</f>
        <v>0</v>
      </c>
      <c r="U3" s="28">
        <f ca="1">FLUID!Y50</f>
        <v>0</v>
      </c>
      <c r="V3" s="28">
        <f ca="1">FLUID!Z50</f>
        <v>0</v>
      </c>
      <c r="W3" s="28">
        <f ca="1">FLUID!AA50</f>
        <v>0</v>
      </c>
      <c r="X3" s="28">
        <f ca="1">FLUID!AB50</f>
        <v>0</v>
      </c>
      <c r="Y3" s="28">
        <f ca="1">FLUID!AC50</f>
        <v>0</v>
      </c>
      <c r="Z3" s="28">
        <f ca="1">FLUID!AD50</f>
        <v>0</v>
      </c>
      <c r="AA3" s="28">
        <f ca="1">FLUID!AE50</f>
        <v>0</v>
      </c>
      <c r="AB3" s="28">
        <f ca="1">FLUID!AF50</f>
        <v>0</v>
      </c>
      <c r="AC3" s="28">
        <f ca="1">FLUID!AG50</f>
        <v>0</v>
      </c>
      <c r="AD3" s="28">
        <f ca="1">FLUID!AH50</f>
        <v>0</v>
      </c>
      <c r="AE3" s="28">
        <f ca="1">FLUID!AI50</f>
        <v>0</v>
      </c>
      <c r="AF3" s="28">
        <f ca="1">FLUID!AJ50</f>
        <v>0</v>
      </c>
      <c r="AG3" s="28">
        <f ca="1">FLUID!AK50</f>
        <v>0</v>
      </c>
      <c r="AH3" s="28">
        <f ca="1">FLUID!AL50</f>
        <v>0</v>
      </c>
      <c r="AI3" s="28">
        <f>FLUID!AM50</f>
        <v>0</v>
      </c>
    </row>
    <row r="4" spans="1:76" ht="22.5" hidden="1" outlineLevel="1" thickTop="1" thickBot="1" x14ac:dyDescent="0.4">
      <c r="A4" s="62" t="str">
        <f>FLUID!E51</f>
        <v>Se3</v>
      </c>
      <c r="B4" s="28">
        <f ca="1">FLUID!F51</f>
        <v>-14.100000000000001</v>
      </c>
      <c r="C4" s="28">
        <f ca="1">FLUID!G51</f>
        <v>-15.410999999999998</v>
      </c>
      <c r="D4" s="28">
        <f ca="1">FLUID!H51</f>
        <v>-16.839000000000002</v>
      </c>
      <c r="E4" s="28">
        <f ca="1">FLUID!I51</f>
        <v>-18.21</v>
      </c>
      <c r="F4" s="28">
        <f ca="1">FLUID!J51</f>
        <v>-19.472999999999999</v>
      </c>
      <c r="G4" s="28">
        <f ca="1">FLUID!K51</f>
        <v>-20.613</v>
      </c>
      <c r="H4" s="28">
        <f ca="1">FLUID!L51</f>
        <v>-21.648</v>
      </c>
      <c r="I4" s="28">
        <f ca="1">FLUID!M51</f>
        <v>-22.631999999999998</v>
      </c>
      <c r="J4" s="28">
        <f ca="1">FLUID!N51</f>
        <v>-23.655000000000001</v>
      </c>
      <c r="K4" s="28">
        <f ca="1">FLUID!O51</f>
        <v>-24.866999999999997</v>
      </c>
      <c r="L4" s="28">
        <f ca="1">FLUID!P51</f>
        <v>0</v>
      </c>
      <c r="M4" s="28">
        <f ca="1">FLUID!Q51</f>
        <v>0</v>
      </c>
      <c r="N4" s="28">
        <f ca="1">FLUID!R51</f>
        <v>0</v>
      </c>
      <c r="O4" s="28">
        <f ca="1">FLUID!S51</f>
        <v>0</v>
      </c>
      <c r="P4" s="28">
        <f ca="1">FLUID!T51</f>
        <v>0</v>
      </c>
      <c r="Q4" s="28">
        <f ca="1">FLUID!U51</f>
        <v>0</v>
      </c>
      <c r="R4" s="28">
        <f ca="1">FLUID!V51</f>
        <v>0</v>
      </c>
      <c r="S4" s="28">
        <f ca="1">FLUID!W51</f>
        <v>0</v>
      </c>
      <c r="T4" s="28">
        <f ca="1">FLUID!X51</f>
        <v>0</v>
      </c>
      <c r="U4" s="28">
        <f ca="1">FLUID!Y51</f>
        <v>0</v>
      </c>
      <c r="V4" s="28">
        <f ca="1">FLUID!Z51</f>
        <v>0</v>
      </c>
      <c r="W4" s="28">
        <f ca="1">FLUID!AA51</f>
        <v>0</v>
      </c>
      <c r="X4" s="28">
        <f ca="1">FLUID!AB51</f>
        <v>0</v>
      </c>
      <c r="Y4" s="28">
        <f ca="1">FLUID!AC51</f>
        <v>0</v>
      </c>
      <c r="Z4" s="28">
        <f ca="1">FLUID!AD51</f>
        <v>0</v>
      </c>
      <c r="AA4" s="28">
        <f ca="1">FLUID!AE51</f>
        <v>0</v>
      </c>
      <c r="AB4" s="28">
        <f ca="1">FLUID!AF51</f>
        <v>0</v>
      </c>
      <c r="AC4" s="28">
        <f ca="1">FLUID!AG51</f>
        <v>0</v>
      </c>
      <c r="AD4" s="28">
        <f ca="1">FLUID!AH51</f>
        <v>0</v>
      </c>
      <c r="AE4" s="28">
        <f ca="1">FLUID!AI51</f>
        <v>0</v>
      </c>
      <c r="AF4" s="28">
        <f ca="1">FLUID!AJ51</f>
        <v>0</v>
      </c>
      <c r="AG4" s="28">
        <f ca="1">FLUID!AK51</f>
        <v>0</v>
      </c>
      <c r="AH4" s="28">
        <f ca="1">FLUID!AL51</f>
        <v>0</v>
      </c>
      <c r="AI4" s="28">
        <f>FLUID!AM51</f>
        <v>0</v>
      </c>
    </row>
    <row r="5" spans="1:76" ht="22.5" hidden="1" outlineLevel="1" thickTop="1" thickBot="1" x14ac:dyDescent="0.4">
      <c r="A5" s="62" t="str">
        <f>FLUID!E52</f>
        <v>Se4</v>
      </c>
      <c r="B5" s="28">
        <f ca="1">FLUID!F52</f>
        <v>-18.8</v>
      </c>
      <c r="C5" s="28">
        <f ca="1">FLUID!G52</f>
        <v>-20.547999999999998</v>
      </c>
      <c r="D5" s="28">
        <f ca="1">FLUID!H52</f>
        <v>-22.452000000000002</v>
      </c>
      <c r="E5" s="28">
        <f ca="1">FLUID!I52</f>
        <v>-24.28</v>
      </c>
      <c r="F5" s="28">
        <f ca="1">FLUID!J52</f>
        <v>-25.963999999999999</v>
      </c>
      <c r="G5" s="28">
        <f ca="1">FLUID!K52</f>
        <v>-27.484000000000002</v>
      </c>
      <c r="H5" s="28">
        <f ca="1">FLUID!L52</f>
        <v>-28.864000000000001</v>
      </c>
      <c r="I5" s="28">
        <f ca="1">FLUID!M52</f>
        <v>-30.175999999999998</v>
      </c>
      <c r="J5" s="28">
        <f ca="1">FLUID!N52</f>
        <v>-31.54</v>
      </c>
      <c r="K5" s="28">
        <f ca="1">FLUID!O52</f>
        <v>-33.155999999999999</v>
      </c>
      <c r="L5" s="28">
        <f ca="1">FLUID!P52</f>
        <v>0</v>
      </c>
      <c r="M5" s="28">
        <f ca="1">FLUID!Q52</f>
        <v>0</v>
      </c>
      <c r="N5" s="28">
        <f ca="1">FLUID!R52</f>
        <v>0</v>
      </c>
      <c r="O5" s="28">
        <f ca="1">FLUID!S52</f>
        <v>0</v>
      </c>
      <c r="P5" s="28">
        <f ca="1">FLUID!T52</f>
        <v>0</v>
      </c>
      <c r="Q5" s="28">
        <f ca="1">FLUID!U52</f>
        <v>0</v>
      </c>
      <c r="R5" s="28">
        <f ca="1">FLUID!V52</f>
        <v>0</v>
      </c>
      <c r="S5" s="28">
        <f ca="1">FLUID!W52</f>
        <v>0</v>
      </c>
      <c r="T5" s="28">
        <f ca="1">FLUID!X52</f>
        <v>0</v>
      </c>
      <c r="U5" s="28">
        <f ca="1">FLUID!Y52</f>
        <v>0</v>
      </c>
      <c r="V5" s="28">
        <f ca="1">FLUID!Z52</f>
        <v>0</v>
      </c>
      <c r="W5" s="28">
        <f ca="1">FLUID!AA52</f>
        <v>0</v>
      </c>
      <c r="X5" s="28">
        <f ca="1">FLUID!AB52</f>
        <v>0</v>
      </c>
      <c r="Y5" s="28">
        <f ca="1">FLUID!AC52</f>
        <v>0</v>
      </c>
      <c r="Z5" s="28">
        <f ca="1">FLUID!AD52</f>
        <v>0</v>
      </c>
      <c r="AA5" s="28">
        <f ca="1">FLUID!AE52</f>
        <v>0</v>
      </c>
      <c r="AB5" s="28">
        <f ca="1">FLUID!AF52</f>
        <v>0</v>
      </c>
      <c r="AC5" s="28">
        <f ca="1">FLUID!AG52</f>
        <v>0</v>
      </c>
      <c r="AD5" s="28">
        <f ca="1">FLUID!AH52</f>
        <v>0</v>
      </c>
      <c r="AE5" s="28">
        <f ca="1">FLUID!AI52</f>
        <v>0</v>
      </c>
      <c r="AF5" s="28">
        <f ca="1">FLUID!AJ52</f>
        <v>0</v>
      </c>
      <c r="AG5" s="28">
        <f ca="1">FLUID!AK52</f>
        <v>0</v>
      </c>
      <c r="AH5" s="28">
        <f ca="1">FLUID!AL52</f>
        <v>0</v>
      </c>
      <c r="AI5" s="28">
        <f>FLUID!AM52</f>
        <v>0</v>
      </c>
    </row>
    <row r="6" spans="1:76" ht="22.5" hidden="1" outlineLevel="1" thickTop="1" thickBot="1" x14ac:dyDescent="0.4">
      <c r="A6" s="62" t="str">
        <f>FLUID!E53</f>
        <v>Se5</v>
      </c>
      <c r="B6" s="28">
        <f ca="1">FLUID!F53</f>
        <v>-23.5</v>
      </c>
      <c r="C6" s="28">
        <f ca="1">FLUID!G53</f>
        <v>-25.684999999999999</v>
      </c>
      <c r="D6" s="28">
        <f ca="1">FLUID!H53</f>
        <v>-28.065000000000001</v>
      </c>
      <c r="E6" s="28">
        <f ca="1">FLUID!I53</f>
        <v>-30.35</v>
      </c>
      <c r="F6" s="28">
        <f ca="1">FLUID!J53</f>
        <v>-32.454999999999998</v>
      </c>
      <c r="G6" s="28">
        <f ca="1">FLUID!K53</f>
        <v>-34.355000000000004</v>
      </c>
      <c r="H6" s="28">
        <f ca="1">FLUID!L53</f>
        <v>-36.08</v>
      </c>
      <c r="I6" s="28">
        <f ca="1">FLUID!M53</f>
        <v>-37.72</v>
      </c>
      <c r="J6" s="28">
        <f ca="1">FLUID!N53</f>
        <v>-39.424999999999997</v>
      </c>
      <c r="K6" s="28">
        <f ca="1">FLUID!O53</f>
        <v>-41.445</v>
      </c>
      <c r="L6" s="28">
        <f ca="1">FLUID!P53</f>
        <v>0</v>
      </c>
      <c r="M6" s="28">
        <f ca="1">FLUID!Q53</f>
        <v>0</v>
      </c>
      <c r="N6" s="28">
        <f ca="1">FLUID!R53</f>
        <v>0</v>
      </c>
      <c r="O6" s="28">
        <f ca="1">FLUID!S53</f>
        <v>0</v>
      </c>
      <c r="P6" s="28">
        <f ca="1">FLUID!T53</f>
        <v>0</v>
      </c>
      <c r="Q6" s="28">
        <f ca="1">FLUID!U53</f>
        <v>0</v>
      </c>
      <c r="R6" s="28">
        <f ca="1">FLUID!V53</f>
        <v>0</v>
      </c>
      <c r="S6" s="28">
        <f ca="1">FLUID!W53</f>
        <v>0</v>
      </c>
      <c r="T6" s="28">
        <f ca="1">FLUID!X53</f>
        <v>0</v>
      </c>
      <c r="U6" s="28">
        <f ca="1">FLUID!Y53</f>
        <v>0</v>
      </c>
      <c r="V6" s="28">
        <f ca="1">FLUID!Z53</f>
        <v>0</v>
      </c>
      <c r="W6" s="28">
        <f ca="1">FLUID!AA53</f>
        <v>0</v>
      </c>
      <c r="X6" s="28">
        <f ca="1">FLUID!AB53</f>
        <v>0</v>
      </c>
      <c r="Y6" s="28">
        <f ca="1">FLUID!AC53</f>
        <v>0</v>
      </c>
      <c r="Z6" s="28">
        <f ca="1">FLUID!AD53</f>
        <v>0</v>
      </c>
      <c r="AA6" s="28">
        <f ca="1">FLUID!AE53</f>
        <v>0</v>
      </c>
      <c r="AB6" s="28">
        <f ca="1">FLUID!AF53</f>
        <v>0</v>
      </c>
      <c r="AC6" s="28">
        <f ca="1">FLUID!AG53</f>
        <v>0</v>
      </c>
      <c r="AD6" s="28">
        <f ca="1">FLUID!AH53</f>
        <v>0</v>
      </c>
      <c r="AE6" s="28">
        <f ca="1">FLUID!AI53</f>
        <v>0</v>
      </c>
      <c r="AF6" s="28">
        <f ca="1">FLUID!AJ53</f>
        <v>0</v>
      </c>
      <c r="AG6" s="28">
        <f ca="1">FLUID!AK53</f>
        <v>0</v>
      </c>
      <c r="AH6" s="28">
        <f ca="1">FLUID!AL53</f>
        <v>0</v>
      </c>
      <c r="AI6" s="28">
        <f>FLUID!AM53</f>
        <v>0</v>
      </c>
    </row>
    <row r="7" spans="1:76" ht="22.5" hidden="1" outlineLevel="1" thickTop="1" thickBot="1" x14ac:dyDescent="0.4">
      <c r="A7" s="62" t="str">
        <f>FLUID!E54</f>
        <v>Se6</v>
      </c>
      <c r="B7" s="28">
        <f ca="1">FLUID!F54</f>
        <v>-28.200000000000003</v>
      </c>
      <c r="C7" s="28">
        <f ca="1">FLUID!G54</f>
        <v>-30.821999999999996</v>
      </c>
      <c r="D7" s="28">
        <f ca="1">FLUID!H54</f>
        <v>-33.678000000000004</v>
      </c>
      <c r="E7" s="28">
        <f ca="1">FLUID!I54</f>
        <v>-36.42</v>
      </c>
      <c r="F7" s="28">
        <f ca="1">FLUID!J54</f>
        <v>-38.945999999999998</v>
      </c>
      <c r="G7" s="28">
        <f ca="1">FLUID!K54</f>
        <v>-41.225999999999999</v>
      </c>
      <c r="H7" s="28">
        <f ca="1">FLUID!L54</f>
        <v>-43.295999999999999</v>
      </c>
      <c r="I7" s="28">
        <f ca="1">FLUID!M54</f>
        <v>-45.263999999999996</v>
      </c>
      <c r="J7" s="28">
        <f ca="1">FLUID!N54</f>
        <v>-47.31</v>
      </c>
      <c r="K7" s="28">
        <f ca="1">FLUID!O54</f>
        <v>-49.733999999999995</v>
      </c>
      <c r="L7" s="28">
        <f ca="1">FLUID!P54</f>
        <v>0</v>
      </c>
      <c r="M7" s="28">
        <f ca="1">FLUID!Q54</f>
        <v>0</v>
      </c>
      <c r="N7" s="28">
        <f ca="1">FLUID!R54</f>
        <v>0</v>
      </c>
      <c r="O7" s="28">
        <f ca="1">FLUID!S54</f>
        <v>0</v>
      </c>
      <c r="P7" s="28">
        <f ca="1">FLUID!T54</f>
        <v>0</v>
      </c>
      <c r="Q7" s="28">
        <f ca="1">FLUID!U54</f>
        <v>0</v>
      </c>
      <c r="R7" s="28">
        <f ca="1">FLUID!V54</f>
        <v>0</v>
      </c>
      <c r="S7" s="28">
        <f ca="1">FLUID!W54</f>
        <v>0</v>
      </c>
      <c r="T7" s="28">
        <f ca="1">FLUID!X54</f>
        <v>0</v>
      </c>
      <c r="U7" s="28">
        <f ca="1">FLUID!Y54</f>
        <v>0</v>
      </c>
      <c r="V7" s="28">
        <f ca="1">FLUID!Z54</f>
        <v>0</v>
      </c>
      <c r="W7" s="28">
        <f ca="1">FLUID!AA54</f>
        <v>0</v>
      </c>
      <c r="X7" s="28">
        <f ca="1">FLUID!AB54</f>
        <v>0</v>
      </c>
      <c r="Y7" s="28">
        <f ca="1">FLUID!AC54</f>
        <v>0</v>
      </c>
      <c r="Z7" s="28">
        <f ca="1">FLUID!AD54</f>
        <v>0</v>
      </c>
      <c r="AA7" s="28">
        <f ca="1">FLUID!AE54</f>
        <v>0</v>
      </c>
      <c r="AB7" s="28">
        <f ca="1">FLUID!AF54</f>
        <v>0</v>
      </c>
      <c r="AC7" s="28">
        <f ca="1">FLUID!AG54</f>
        <v>0</v>
      </c>
      <c r="AD7" s="28">
        <f ca="1">FLUID!AH54</f>
        <v>0</v>
      </c>
      <c r="AE7" s="28">
        <f ca="1">FLUID!AI54</f>
        <v>0</v>
      </c>
      <c r="AF7" s="28">
        <f ca="1">FLUID!AJ54</f>
        <v>0</v>
      </c>
      <c r="AG7" s="28">
        <f ca="1">FLUID!AK54</f>
        <v>0</v>
      </c>
      <c r="AH7" s="28">
        <f ca="1">FLUID!AL54</f>
        <v>0</v>
      </c>
      <c r="AI7" s="28">
        <f>FLUID!AM54</f>
        <v>0</v>
      </c>
    </row>
    <row r="8" spans="1:76" ht="22.5" hidden="1" outlineLevel="1" thickTop="1" thickBot="1" x14ac:dyDescent="0.4">
      <c r="A8" s="62" t="str">
        <f>FLUID!E55</f>
        <v>Se7</v>
      </c>
      <c r="B8" s="28">
        <f ca="1">FLUID!F55</f>
        <v>-32.9</v>
      </c>
      <c r="C8" s="28">
        <f ca="1">FLUID!G55</f>
        <v>-35.958999999999996</v>
      </c>
      <c r="D8" s="28">
        <f ca="1">FLUID!H55</f>
        <v>-39.291000000000004</v>
      </c>
      <c r="E8" s="28">
        <f ca="1">FLUID!I55</f>
        <v>-42.49</v>
      </c>
      <c r="F8" s="28">
        <f ca="1">FLUID!J55</f>
        <v>-45.436999999999998</v>
      </c>
      <c r="G8" s="28">
        <f ca="1">FLUID!K55</f>
        <v>-48.097000000000001</v>
      </c>
      <c r="H8" s="28">
        <f ca="1">FLUID!L55</f>
        <v>-50.512</v>
      </c>
      <c r="I8" s="28">
        <f ca="1">FLUID!M55</f>
        <v>-52.808</v>
      </c>
      <c r="J8" s="28">
        <f ca="1">FLUID!N55</f>
        <v>-55.195</v>
      </c>
      <c r="K8" s="28">
        <f ca="1">FLUID!O55</f>
        <v>-58.022999999999996</v>
      </c>
      <c r="L8" s="28">
        <f ca="1">FLUID!P55</f>
        <v>0</v>
      </c>
      <c r="M8" s="28">
        <f ca="1">FLUID!Q55</f>
        <v>0</v>
      </c>
      <c r="N8" s="28">
        <f ca="1">FLUID!R55</f>
        <v>0</v>
      </c>
      <c r="O8" s="28">
        <f ca="1">FLUID!S55</f>
        <v>0</v>
      </c>
      <c r="P8" s="28">
        <f ca="1">FLUID!T55</f>
        <v>0</v>
      </c>
      <c r="Q8" s="28">
        <f ca="1">FLUID!U55</f>
        <v>0</v>
      </c>
      <c r="R8" s="28">
        <f ca="1">FLUID!V55</f>
        <v>0</v>
      </c>
      <c r="S8" s="28">
        <f ca="1">FLUID!W55</f>
        <v>0</v>
      </c>
      <c r="T8" s="28">
        <f ca="1">FLUID!X55</f>
        <v>0</v>
      </c>
      <c r="U8" s="28">
        <f ca="1">FLUID!Y55</f>
        <v>0</v>
      </c>
      <c r="V8" s="28">
        <f ca="1">FLUID!Z55</f>
        <v>0</v>
      </c>
      <c r="W8" s="28">
        <f ca="1">FLUID!AA55</f>
        <v>0</v>
      </c>
      <c r="X8" s="28">
        <f ca="1">FLUID!AB55</f>
        <v>0</v>
      </c>
      <c r="Y8" s="28">
        <f ca="1">FLUID!AC55</f>
        <v>0</v>
      </c>
      <c r="Z8" s="28">
        <f ca="1">FLUID!AD55</f>
        <v>0</v>
      </c>
      <c r="AA8" s="28">
        <f ca="1">FLUID!AE55</f>
        <v>0</v>
      </c>
      <c r="AB8" s="28">
        <f ca="1">FLUID!AF55</f>
        <v>0</v>
      </c>
      <c r="AC8" s="28">
        <f ca="1">FLUID!AG55</f>
        <v>0</v>
      </c>
      <c r="AD8" s="28">
        <f ca="1">FLUID!AH55</f>
        <v>0</v>
      </c>
      <c r="AE8" s="28">
        <f ca="1">FLUID!AI55</f>
        <v>0</v>
      </c>
      <c r="AF8" s="28">
        <f ca="1">FLUID!AJ55</f>
        <v>0</v>
      </c>
      <c r="AG8" s="28">
        <f ca="1">FLUID!AK55</f>
        <v>0</v>
      </c>
      <c r="AH8" s="28">
        <f ca="1">FLUID!AL55</f>
        <v>0</v>
      </c>
      <c r="AI8" s="28">
        <f>FLUID!AM55</f>
        <v>0</v>
      </c>
    </row>
    <row r="9" spans="1:76" ht="22.5" hidden="1" outlineLevel="1" thickTop="1" thickBot="1" x14ac:dyDescent="0.4">
      <c r="A9" s="62" t="str">
        <f>FLUID!E56</f>
        <v>Se8</v>
      </c>
      <c r="B9" s="28">
        <f ca="1">FLUID!F56</f>
        <v>-37.6</v>
      </c>
      <c r="C9" s="28">
        <f ca="1">FLUID!G56</f>
        <v>-41.095999999999997</v>
      </c>
      <c r="D9" s="28">
        <f ca="1">FLUID!H56</f>
        <v>-44.904000000000003</v>
      </c>
      <c r="E9" s="28">
        <f ca="1">FLUID!I56</f>
        <v>-48.56</v>
      </c>
      <c r="F9" s="28">
        <f ca="1">FLUID!J56</f>
        <v>-51.927999999999997</v>
      </c>
      <c r="G9" s="28">
        <f ca="1">FLUID!K56</f>
        <v>-54.968000000000004</v>
      </c>
      <c r="H9" s="28">
        <f ca="1">FLUID!L56</f>
        <v>-57.728000000000002</v>
      </c>
      <c r="I9" s="28">
        <f ca="1">FLUID!M56</f>
        <v>-60.351999999999997</v>
      </c>
      <c r="J9" s="28">
        <f ca="1">FLUID!N56</f>
        <v>-63.08</v>
      </c>
      <c r="K9" s="28">
        <f ca="1">FLUID!O56</f>
        <v>-66.311999999999998</v>
      </c>
      <c r="L9" s="28">
        <f ca="1">FLUID!P56</f>
        <v>0</v>
      </c>
      <c r="M9" s="28">
        <f ca="1">FLUID!Q56</f>
        <v>0</v>
      </c>
      <c r="N9" s="28">
        <f ca="1">FLUID!R56</f>
        <v>0</v>
      </c>
      <c r="O9" s="28">
        <f ca="1">FLUID!S56</f>
        <v>0</v>
      </c>
      <c r="P9" s="28">
        <f ca="1">FLUID!T56</f>
        <v>0</v>
      </c>
      <c r="Q9" s="28">
        <f ca="1">FLUID!U56</f>
        <v>0</v>
      </c>
      <c r="R9" s="28">
        <f ca="1">FLUID!V56</f>
        <v>0</v>
      </c>
      <c r="S9" s="28">
        <f ca="1">FLUID!W56</f>
        <v>0</v>
      </c>
      <c r="T9" s="28">
        <f ca="1">FLUID!X56</f>
        <v>0</v>
      </c>
      <c r="U9" s="28">
        <f ca="1">FLUID!Y56</f>
        <v>0</v>
      </c>
      <c r="V9" s="28">
        <f ca="1">FLUID!Z56</f>
        <v>0</v>
      </c>
      <c r="W9" s="28">
        <f ca="1">FLUID!AA56</f>
        <v>0</v>
      </c>
      <c r="X9" s="28">
        <f ca="1">FLUID!AB56</f>
        <v>0</v>
      </c>
      <c r="Y9" s="28">
        <f ca="1">FLUID!AC56</f>
        <v>0</v>
      </c>
      <c r="Z9" s="28">
        <f ca="1">FLUID!AD56</f>
        <v>0</v>
      </c>
      <c r="AA9" s="28">
        <f ca="1">FLUID!AE56</f>
        <v>0</v>
      </c>
      <c r="AB9" s="28">
        <f ca="1">FLUID!AF56</f>
        <v>0</v>
      </c>
      <c r="AC9" s="28">
        <f ca="1">FLUID!AG56</f>
        <v>0</v>
      </c>
      <c r="AD9" s="28">
        <f ca="1">FLUID!AH56</f>
        <v>0</v>
      </c>
      <c r="AE9" s="28">
        <f ca="1">FLUID!AI56</f>
        <v>0</v>
      </c>
      <c r="AF9" s="28">
        <f ca="1">FLUID!AJ56</f>
        <v>0</v>
      </c>
      <c r="AG9" s="28">
        <f ca="1">FLUID!AK56</f>
        <v>0</v>
      </c>
      <c r="AH9" s="28">
        <f ca="1">FLUID!AL56</f>
        <v>0</v>
      </c>
      <c r="AI9" s="28">
        <f>FLUID!AM56</f>
        <v>0</v>
      </c>
    </row>
    <row r="10" spans="1:76" ht="22.5" hidden="1" outlineLevel="1" thickTop="1" thickBot="1" x14ac:dyDescent="0.4">
      <c r="A10" s="62" t="str">
        <f>FLUID!E57</f>
        <v>Se2</v>
      </c>
      <c r="B10" s="28">
        <f ca="1">FLUID!F57</f>
        <v>-9.4</v>
      </c>
      <c r="C10" s="28">
        <f ca="1">FLUID!G57</f>
        <v>-10.273999999999999</v>
      </c>
      <c r="D10" s="28">
        <f ca="1">FLUID!H57</f>
        <v>-11.226000000000001</v>
      </c>
      <c r="E10" s="28">
        <f ca="1">FLUID!I57</f>
        <v>-12.14</v>
      </c>
      <c r="F10" s="28">
        <f ca="1">FLUID!J57</f>
        <v>-12.981999999999999</v>
      </c>
      <c r="G10" s="28">
        <f ca="1">FLUID!K57</f>
        <v>-13.742000000000001</v>
      </c>
      <c r="H10" s="28">
        <f ca="1">FLUID!L57</f>
        <v>-14.432</v>
      </c>
      <c r="I10" s="28">
        <f ca="1">FLUID!M57</f>
        <v>-15.087999999999999</v>
      </c>
      <c r="J10" s="28">
        <f ca="1">FLUID!N57</f>
        <v>-15.77</v>
      </c>
      <c r="K10" s="28">
        <f ca="1">FLUID!O57</f>
        <v>-16.577999999999999</v>
      </c>
      <c r="L10" s="28">
        <f ca="1">FLUID!P57</f>
        <v>0</v>
      </c>
      <c r="M10" s="28">
        <f ca="1">FLUID!Q57</f>
        <v>0</v>
      </c>
      <c r="N10" s="28">
        <f ca="1">FLUID!R57</f>
        <v>0</v>
      </c>
      <c r="O10" s="28">
        <f ca="1">FLUID!S57</f>
        <v>0</v>
      </c>
      <c r="P10" s="28">
        <f ca="1">FLUID!T57</f>
        <v>0</v>
      </c>
      <c r="Q10" s="28">
        <f ca="1">FLUID!U57</f>
        <v>0</v>
      </c>
      <c r="R10" s="28">
        <f ca="1">FLUID!V57</f>
        <v>0</v>
      </c>
      <c r="S10" s="28">
        <f ca="1">FLUID!W57</f>
        <v>0</v>
      </c>
      <c r="T10" s="28">
        <f ca="1">FLUID!X57</f>
        <v>0</v>
      </c>
      <c r="U10" s="28">
        <f ca="1">FLUID!Y57</f>
        <v>0</v>
      </c>
      <c r="V10" s="28">
        <f ca="1">FLUID!Z57</f>
        <v>0</v>
      </c>
      <c r="W10" s="28">
        <f ca="1">FLUID!AA57</f>
        <v>0</v>
      </c>
      <c r="X10" s="28">
        <f ca="1">FLUID!AB57</f>
        <v>0</v>
      </c>
      <c r="Y10" s="28">
        <f ca="1">FLUID!AC57</f>
        <v>0</v>
      </c>
      <c r="Z10" s="28">
        <f ca="1">FLUID!AD57</f>
        <v>0</v>
      </c>
      <c r="AA10" s="28">
        <f ca="1">FLUID!AE57</f>
        <v>0</v>
      </c>
      <c r="AB10" s="28">
        <f ca="1">FLUID!AF57</f>
        <v>0</v>
      </c>
      <c r="AC10" s="28">
        <f ca="1">FLUID!AG57</f>
        <v>0</v>
      </c>
      <c r="AD10" s="28">
        <f ca="1">FLUID!AH57</f>
        <v>0</v>
      </c>
      <c r="AE10" s="28">
        <f ca="1">FLUID!AI57</f>
        <v>0</v>
      </c>
      <c r="AF10" s="28">
        <f ca="1">FLUID!AJ57</f>
        <v>0</v>
      </c>
      <c r="AG10" s="28">
        <f ca="1">FLUID!AK57</f>
        <v>0</v>
      </c>
      <c r="AH10" s="28">
        <f ca="1">FLUID!AL57</f>
        <v>0</v>
      </c>
      <c r="AI10" s="28">
        <f>FLUID!AM57</f>
        <v>0</v>
      </c>
    </row>
    <row r="11" spans="1:76" ht="22.5" hidden="1" outlineLevel="1" thickTop="1" thickBot="1" x14ac:dyDescent="0.4">
      <c r="A11" s="62" t="str">
        <f>FLUID!E58</f>
        <v>Se</v>
      </c>
      <c r="B11" s="28">
        <f ca="1">FLUID!F58</f>
        <v>-4.7</v>
      </c>
      <c r="C11" s="28">
        <f ca="1">FLUID!G58</f>
        <v>-5.1369999999999996</v>
      </c>
      <c r="D11" s="28">
        <f ca="1">FLUID!H58</f>
        <v>-5.6130000000000004</v>
      </c>
      <c r="E11" s="28">
        <f ca="1">FLUID!I58</f>
        <v>-6.07</v>
      </c>
      <c r="F11" s="28">
        <f ca="1">FLUID!J58</f>
        <v>-6.4909999999999997</v>
      </c>
      <c r="G11" s="28">
        <f ca="1">FLUID!K58</f>
        <v>-6.8710000000000004</v>
      </c>
      <c r="H11" s="28">
        <f ca="1">FLUID!L58</f>
        <v>-7.2160000000000002</v>
      </c>
      <c r="I11" s="28">
        <f ca="1">FLUID!M58</f>
        <v>-7.5439999999999996</v>
      </c>
      <c r="J11" s="28">
        <f ca="1">FLUID!N58</f>
        <v>-7.8849999999999998</v>
      </c>
      <c r="K11" s="28">
        <f ca="1">FLUID!O58</f>
        <v>-8.2889999999999997</v>
      </c>
      <c r="L11" s="28">
        <f ca="1">FLUID!P58</f>
        <v>0</v>
      </c>
      <c r="M11" s="28">
        <f ca="1">FLUID!Q58</f>
        <v>0</v>
      </c>
      <c r="N11" s="28">
        <f ca="1">FLUID!R58</f>
        <v>0</v>
      </c>
      <c r="O11" s="28">
        <f ca="1">FLUID!S58</f>
        <v>0</v>
      </c>
      <c r="P11" s="28">
        <f ca="1">FLUID!T58</f>
        <v>0</v>
      </c>
      <c r="Q11" s="28">
        <f ca="1">FLUID!U58</f>
        <v>0</v>
      </c>
      <c r="R11" s="28">
        <f ca="1">FLUID!V58</f>
        <v>0</v>
      </c>
      <c r="S11" s="28">
        <f ca="1">FLUID!W58</f>
        <v>0</v>
      </c>
      <c r="T11" s="28">
        <f ca="1">FLUID!X58</f>
        <v>0</v>
      </c>
      <c r="U11" s="28">
        <f ca="1">FLUID!Y58</f>
        <v>0</v>
      </c>
      <c r="V11" s="28">
        <f ca="1">FLUID!Z58</f>
        <v>0</v>
      </c>
      <c r="W11" s="28">
        <f ca="1">FLUID!AA58</f>
        <v>0</v>
      </c>
      <c r="X11" s="28">
        <f ca="1">FLUID!AB58</f>
        <v>0</v>
      </c>
      <c r="Y11" s="28">
        <f ca="1">FLUID!AC58</f>
        <v>0</v>
      </c>
      <c r="Z11" s="28">
        <f ca="1">FLUID!AD58</f>
        <v>0</v>
      </c>
      <c r="AA11" s="28">
        <f ca="1">FLUID!AE58</f>
        <v>0</v>
      </c>
      <c r="AB11" s="28">
        <f ca="1">FLUID!AF58</f>
        <v>0</v>
      </c>
      <c r="AC11" s="28">
        <f ca="1">FLUID!AG58</f>
        <v>0</v>
      </c>
      <c r="AD11" s="28">
        <f ca="1">FLUID!AH58</f>
        <v>0</v>
      </c>
      <c r="AE11" s="28">
        <f ca="1">FLUID!AI58</f>
        <v>0</v>
      </c>
      <c r="AF11" s="28">
        <f ca="1">FLUID!AJ58</f>
        <v>0</v>
      </c>
      <c r="AG11" s="28">
        <f ca="1">FLUID!AK58</f>
        <v>0</v>
      </c>
      <c r="AH11" s="28">
        <f ca="1">FLUID!AL58</f>
        <v>0</v>
      </c>
      <c r="AI11" s="28">
        <f>FLUID!AM58</f>
        <v>0</v>
      </c>
    </row>
    <row r="12" spans="1:76" ht="22.5" hidden="1" outlineLevel="1" thickTop="1" thickBot="1" x14ac:dyDescent="0.4">
      <c r="A12" s="62" t="str">
        <f>FLUID!E59</f>
        <v>Ga2Se</v>
      </c>
      <c r="B12" s="28">
        <f ca="1">FLUID!F59</f>
        <v>-18.64</v>
      </c>
      <c r="C12" s="28">
        <f ca="1">FLUID!G59</f>
        <v>-20.265000000000001</v>
      </c>
      <c r="D12" s="28">
        <f ca="1">FLUID!H59</f>
        <v>-21.777000000000001</v>
      </c>
      <c r="E12" s="28">
        <f ca="1">FLUID!I59</f>
        <v>-23.146000000000001</v>
      </c>
      <c r="F12" s="28">
        <f ca="1">FLUID!J59</f>
        <v>-24.440999999999999</v>
      </c>
      <c r="G12" s="28">
        <f ca="1">FLUID!K59</f>
        <v>-25.841000000000001</v>
      </c>
      <c r="H12" s="28">
        <f ca="1">FLUID!L59</f>
        <v>-27.416</v>
      </c>
      <c r="I12" s="28">
        <f ca="1">FLUID!M59</f>
        <v>-29.024000000000001</v>
      </c>
      <c r="J12" s="28">
        <f ca="1">FLUID!N59</f>
        <v>-30.545000000000002</v>
      </c>
      <c r="K12" s="28">
        <f ca="1">FLUID!O59</f>
        <v>-32.009</v>
      </c>
      <c r="L12" s="28">
        <f ca="1">FLUID!P59</f>
        <v>0</v>
      </c>
      <c r="M12" s="28">
        <f ca="1">FLUID!Q59</f>
        <v>0</v>
      </c>
      <c r="N12" s="28">
        <f ca="1">FLUID!R59</f>
        <v>0</v>
      </c>
      <c r="O12" s="28">
        <f ca="1">FLUID!S59</f>
        <v>0</v>
      </c>
      <c r="P12" s="28">
        <f ca="1">FLUID!T59</f>
        <v>0</v>
      </c>
      <c r="Q12" s="28">
        <f ca="1">FLUID!U59</f>
        <v>0</v>
      </c>
      <c r="R12" s="28">
        <f ca="1">FLUID!V59</f>
        <v>0</v>
      </c>
      <c r="S12" s="28">
        <f ca="1">FLUID!W59</f>
        <v>0</v>
      </c>
      <c r="T12" s="28">
        <f ca="1">FLUID!X59</f>
        <v>0</v>
      </c>
      <c r="U12" s="28">
        <f ca="1">FLUID!Y59</f>
        <v>0</v>
      </c>
      <c r="V12" s="28">
        <f ca="1">FLUID!Z59</f>
        <v>0</v>
      </c>
      <c r="W12" s="28">
        <f ca="1">FLUID!AA59</f>
        <v>0</v>
      </c>
      <c r="X12" s="28">
        <f ca="1">FLUID!AB59</f>
        <v>0</v>
      </c>
      <c r="Y12" s="28">
        <f ca="1">FLUID!AC59</f>
        <v>0</v>
      </c>
      <c r="Z12" s="28">
        <f ca="1">FLUID!AD59</f>
        <v>0</v>
      </c>
      <c r="AA12" s="28">
        <f ca="1">FLUID!AE59</f>
        <v>0</v>
      </c>
      <c r="AB12" s="28">
        <f ca="1">FLUID!AF59</f>
        <v>0</v>
      </c>
      <c r="AC12" s="28">
        <f ca="1">FLUID!AG59</f>
        <v>0</v>
      </c>
      <c r="AD12" s="28">
        <f ca="1">FLUID!AH59</f>
        <v>0</v>
      </c>
      <c r="AE12" s="28">
        <f ca="1">FLUID!AI59</f>
        <v>0</v>
      </c>
      <c r="AF12" s="28">
        <f ca="1">FLUID!AJ59</f>
        <v>0</v>
      </c>
      <c r="AG12" s="28">
        <f ca="1">FLUID!AK59</f>
        <v>0</v>
      </c>
      <c r="AH12" s="28">
        <f ca="1">FLUID!AL59</f>
        <v>0</v>
      </c>
      <c r="AI12" s="28">
        <f>FLUID!AM59</f>
        <v>0</v>
      </c>
    </row>
    <row r="13" spans="1:76" ht="22.5" hidden="1" outlineLevel="1" thickTop="1" thickBot="1" x14ac:dyDescent="0.4">
      <c r="A13" s="62" t="str">
        <f>FLUID!E60</f>
        <v>Ar</v>
      </c>
      <c r="B13" s="28">
        <f ca="1">FLUID!F60</f>
        <v>-18.62</v>
      </c>
      <c r="C13" s="28">
        <f ca="1">FLUID!G60</f>
        <v>-18.649999999999999</v>
      </c>
      <c r="D13" s="28">
        <f ca="1">FLUID!H60</f>
        <v>-18.77</v>
      </c>
      <c r="E13" s="28">
        <f ca="1">FLUID!I60</f>
        <v>-18.93</v>
      </c>
      <c r="F13" s="28">
        <f ca="1">FLUID!J60</f>
        <v>-19.100000000000001</v>
      </c>
      <c r="G13" s="28">
        <f ca="1">FLUID!K60</f>
        <v>-19.3</v>
      </c>
      <c r="H13" s="28">
        <f ca="1">FLUID!L60</f>
        <v>-19.510000000000002</v>
      </c>
      <c r="I13" s="28">
        <f ca="1">FLUID!M60</f>
        <v>-19.73</v>
      </c>
      <c r="J13" s="28">
        <f ca="1">FLUID!N60</f>
        <v>-19.97</v>
      </c>
      <c r="K13" s="28">
        <f ca="1">FLUID!O60</f>
        <v>-20.29</v>
      </c>
      <c r="L13" s="28">
        <f ca="1">FLUID!P60</f>
        <v>0</v>
      </c>
      <c r="M13" s="28">
        <f ca="1">FLUID!Q60</f>
        <v>0</v>
      </c>
      <c r="N13" s="28">
        <f ca="1">FLUID!R60</f>
        <v>0</v>
      </c>
      <c r="O13" s="28">
        <f ca="1">FLUID!S60</f>
        <v>0</v>
      </c>
      <c r="P13" s="28">
        <f ca="1">FLUID!T60</f>
        <v>0</v>
      </c>
      <c r="Q13" s="28">
        <f ca="1">FLUID!U60</f>
        <v>0</v>
      </c>
      <c r="R13" s="28">
        <f ca="1">FLUID!V60</f>
        <v>0</v>
      </c>
      <c r="S13" s="28">
        <f ca="1">FLUID!W60</f>
        <v>0</v>
      </c>
      <c r="T13" s="28">
        <f ca="1">FLUID!X60</f>
        <v>0</v>
      </c>
      <c r="U13" s="28">
        <f ca="1">FLUID!Y60</f>
        <v>0</v>
      </c>
      <c r="V13" s="28">
        <f ca="1">FLUID!Z60</f>
        <v>0</v>
      </c>
      <c r="W13" s="28">
        <f ca="1">FLUID!AA60</f>
        <v>0</v>
      </c>
      <c r="X13" s="28">
        <f ca="1">FLUID!AB60</f>
        <v>0</v>
      </c>
      <c r="Y13" s="28">
        <f ca="1">FLUID!AC60</f>
        <v>0</v>
      </c>
      <c r="Z13" s="28">
        <f ca="1">FLUID!AD60</f>
        <v>0</v>
      </c>
      <c r="AA13" s="28">
        <f ca="1">FLUID!AE60</f>
        <v>0</v>
      </c>
      <c r="AB13" s="28">
        <f ca="1">FLUID!AF60</f>
        <v>0</v>
      </c>
      <c r="AC13" s="28">
        <f ca="1">FLUID!AG60</f>
        <v>0</v>
      </c>
      <c r="AD13" s="28">
        <f ca="1">FLUID!AH60</f>
        <v>0</v>
      </c>
      <c r="AE13" s="28">
        <f ca="1">FLUID!AI60</f>
        <v>0</v>
      </c>
      <c r="AF13" s="28">
        <f ca="1">FLUID!AJ60</f>
        <v>0</v>
      </c>
      <c r="AG13" s="28">
        <f ca="1">FLUID!AK60</f>
        <v>0</v>
      </c>
      <c r="AH13" s="28">
        <f ca="1">FLUID!AL60</f>
        <v>0</v>
      </c>
      <c r="AI13" s="28">
        <f>FLUID!AM60</f>
        <v>0</v>
      </c>
    </row>
    <row r="14" spans="1:76" ht="22.5" hidden="1" outlineLevel="1" thickTop="1" thickBot="1" x14ac:dyDescent="0.4">
      <c r="A14" s="62" t="str">
        <f>FLUID!E61</f>
        <v>(l)Ga[l]</v>
      </c>
      <c r="B14" s="28">
        <f ca="1">FLUID!F61</f>
        <v>-6.97</v>
      </c>
      <c r="C14" s="28">
        <f ca="1">FLUID!G61</f>
        <v>-7.5640000000000001</v>
      </c>
      <c r="D14" s="28">
        <f ca="1">FLUID!H61</f>
        <v>-8.0820000000000007</v>
      </c>
      <c r="E14" s="28">
        <f ca="1">FLUID!I61</f>
        <v>-8.5380000000000003</v>
      </c>
      <c r="F14" s="28">
        <f ca="1">FLUID!J61</f>
        <v>-8.9749999999999996</v>
      </c>
      <c r="G14" s="28">
        <f ca="1">FLUID!K61</f>
        <v>-9.4849999999999994</v>
      </c>
      <c r="H14" s="28">
        <f ca="1">FLUID!L61</f>
        <v>-10.1</v>
      </c>
      <c r="I14" s="28">
        <f ca="1">FLUID!M61</f>
        <v>-10.74</v>
      </c>
      <c r="J14" s="28">
        <f ca="1">FLUID!N61</f>
        <v>-11.33</v>
      </c>
      <c r="K14" s="28">
        <f ca="1">FLUID!O61</f>
        <v>-11.86</v>
      </c>
      <c r="L14" s="28">
        <f ca="1">FLUID!P61</f>
        <v>0</v>
      </c>
      <c r="M14" s="28">
        <f ca="1">FLUID!Q61</f>
        <v>0</v>
      </c>
      <c r="N14" s="28">
        <f ca="1">FLUID!R61</f>
        <v>0</v>
      </c>
      <c r="O14" s="28">
        <f ca="1">FLUID!S61</f>
        <v>0</v>
      </c>
      <c r="P14" s="28">
        <f ca="1">FLUID!T61</f>
        <v>0</v>
      </c>
      <c r="Q14" s="28">
        <f ca="1">FLUID!U61</f>
        <v>0</v>
      </c>
      <c r="R14" s="28">
        <f ca="1">FLUID!V61</f>
        <v>0</v>
      </c>
      <c r="S14" s="28">
        <f ca="1">FLUID!W61</f>
        <v>0</v>
      </c>
      <c r="T14" s="28">
        <f ca="1">FLUID!X61</f>
        <v>0</v>
      </c>
      <c r="U14" s="28">
        <f ca="1">FLUID!Y61</f>
        <v>0</v>
      </c>
      <c r="V14" s="28">
        <f ca="1">FLUID!Z61</f>
        <v>0</v>
      </c>
      <c r="W14" s="28">
        <f ca="1">FLUID!AA61</f>
        <v>0</v>
      </c>
      <c r="X14" s="28">
        <f ca="1">FLUID!AB61</f>
        <v>0</v>
      </c>
      <c r="Y14" s="28">
        <f ca="1">FLUID!AC61</f>
        <v>0</v>
      </c>
      <c r="Z14" s="28">
        <f ca="1">FLUID!AD61</f>
        <v>0</v>
      </c>
      <c r="AA14" s="28">
        <f ca="1">FLUID!AE61</f>
        <v>0</v>
      </c>
      <c r="AB14" s="28">
        <f ca="1">FLUID!AF61</f>
        <v>0</v>
      </c>
      <c r="AC14" s="28">
        <f ca="1">FLUID!AG61</f>
        <v>0</v>
      </c>
      <c r="AD14" s="28">
        <f ca="1">FLUID!AH61</f>
        <v>0</v>
      </c>
      <c r="AE14" s="28">
        <f ca="1">FLUID!AI61</f>
        <v>0</v>
      </c>
      <c r="AF14" s="28">
        <f ca="1">FLUID!AJ61</f>
        <v>0</v>
      </c>
      <c r="AG14" s="28">
        <f ca="1">FLUID!AK61</f>
        <v>0</v>
      </c>
      <c r="AH14" s="28">
        <f ca="1">FLUID!AL61</f>
        <v>0</v>
      </c>
      <c r="AI14" s="28">
        <f>FLUID!AM61</f>
        <v>0</v>
      </c>
    </row>
    <row r="15" spans="1:76" ht="22.5" hidden="1" outlineLevel="1" thickTop="1" thickBot="1" x14ac:dyDescent="0.4">
      <c r="A15" s="62" t="str">
        <f>FLUID!E62</f>
        <v>(l)Ge[l]</v>
      </c>
      <c r="B15" s="28">
        <f ca="1">FLUID!F62</f>
        <v>7.3579999999999997</v>
      </c>
      <c r="C15" s="28">
        <f ca="1">FLUID!G62</f>
        <v>3.758</v>
      </c>
      <c r="D15" s="28">
        <f ca="1">FLUID!H62</f>
        <v>1.355</v>
      </c>
      <c r="E15" s="28">
        <f ca="1">FLUID!I62</f>
        <v>-0.39240000000000003</v>
      </c>
      <c r="F15" s="28">
        <f ca="1">FLUID!J62</f>
        <v>-1.7310000000000001</v>
      </c>
      <c r="G15" s="28">
        <f ca="1">FLUID!K62</f>
        <v>-2.7839999999999998</v>
      </c>
      <c r="H15" s="28">
        <f ca="1">FLUID!L62</f>
        <v>-3.6349999999999998</v>
      </c>
      <c r="I15" s="28">
        <f ca="1">FLUID!M62</f>
        <v>-4.3380000000000001</v>
      </c>
      <c r="J15" s="28">
        <f ca="1">FLUID!N62</f>
        <v>-4.8959999999999999</v>
      </c>
      <c r="K15" s="28">
        <f ca="1">FLUID!O62</f>
        <v>-5.2809999999999997</v>
      </c>
      <c r="L15" s="28">
        <f ca="1">FLUID!P62</f>
        <v>0</v>
      </c>
      <c r="M15" s="28">
        <f ca="1">FLUID!Q62</f>
        <v>0</v>
      </c>
      <c r="N15" s="28">
        <f ca="1">FLUID!R62</f>
        <v>0</v>
      </c>
      <c r="O15" s="28">
        <f ca="1">FLUID!S62</f>
        <v>0</v>
      </c>
      <c r="P15" s="28">
        <f ca="1">FLUID!T62</f>
        <v>0</v>
      </c>
      <c r="Q15" s="28">
        <f ca="1">FLUID!U62</f>
        <v>0</v>
      </c>
      <c r="R15" s="28">
        <f ca="1">FLUID!V62</f>
        <v>0</v>
      </c>
      <c r="S15" s="28">
        <f ca="1">FLUID!W62</f>
        <v>0</v>
      </c>
      <c r="T15" s="28">
        <f ca="1">FLUID!X62</f>
        <v>0</v>
      </c>
      <c r="U15" s="28">
        <f ca="1">FLUID!Y62</f>
        <v>0</v>
      </c>
      <c r="V15" s="28">
        <f ca="1">FLUID!Z62</f>
        <v>0</v>
      </c>
      <c r="W15" s="28">
        <f ca="1">FLUID!AA62</f>
        <v>0</v>
      </c>
      <c r="X15" s="28">
        <f ca="1">FLUID!AB62</f>
        <v>0</v>
      </c>
      <c r="Y15" s="28">
        <f ca="1">FLUID!AC62</f>
        <v>0</v>
      </c>
      <c r="Z15" s="28">
        <f ca="1">FLUID!AD62</f>
        <v>0</v>
      </c>
      <c r="AA15" s="28">
        <f ca="1">FLUID!AE62</f>
        <v>0</v>
      </c>
      <c r="AB15" s="28">
        <f ca="1">FLUID!AF62</f>
        <v>0</v>
      </c>
      <c r="AC15" s="28">
        <f ca="1">FLUID!AG62</f>
        <v>0</v>
      </c>
      <c r="AD15" s="28">
        <f ca="1">FLUID!AH62</f>
        <v>0</v>
      </c>
      <c r="AE15" s="28">
        <f ca="1">FLUID!AI62</f>
        <v>0</v>
      </c>
      <c r="AF15" s="28">
        <f ca="1">FLUID!AJ62</f>
        <v>0</v>
      </c>
      <c r="AG15" s="28">
        <f ca="1">FLUID!AK62</f>
        <v>0</v>
      </c>
      <c r="AH15" s="28">
        <f ca="1">FLUID!AL62</f>
        <v>0</v>
      </c>
      <c r="AI15" s="28">
        <f>FLUID!AM62</f>
        <v>0</v>
      </c>
    </row>
    <row r="16" spans="1:76" ht="22.5" hidden="1" outlineLevel="1" thickTop="1" thickBot="1" x14ac:dyDescent="0.4">
      <c r="A16" s="62" t="str">
        <f>FLUID!E63</f>
        <v>(l)Se[l]</v>
      </c>
      <c r="B16" s="28">
        <f ca="1">FLUID!F63</f>
        <v>-4.7</v>
      </c>
      <c r="C16" s="28">
        <f ca="1">FLUID!G63</f>
        <v>-5.1369999999999996</v>
      </c>
      <c r="D16" s="28">
        <f ca="1">FLUID!H63</f>
        <v>-5.6130000000000004</v>
      </c>
      <c r="E16" s="28">
        <f ca="1">FLUID!I63</f>
        <v>-6.07</v>
      </c>
      <c r="F16" s="28">
        <f ca="1">FLUID!J63</f>
        <v>-6.4909999999999997</v>
      </c>
      <c r="G16" s="28">
        <f ca="1">FLUID!K63</f>
        <v>-6.8710000000000004</v>
      </c>
      <c r="H16" s="28">
        <f ca="1">FLUID!L63</f>
        <v>-7.2160000000000002</v>
      </c>
      <c r="I16" s="28">
        <f ca="1">FLUID!M63</f>
        <v>-7.5439999999999996</v>
      </c>
      <c r="J16" s="28">
        <f ca="1">FLUID!N63</f>
        <v>-7.8849999999999998</v>
      </c>
      <c r="K16" s="28">
        <f ca="1">FLUID!O63</f>
        <v>-8.2889999999999997</v>
      </c>
      <c r="L16" s="28">
        <f ca="1">FLUID!P63</f>
        <v>0</v>
      </c>
      <c r="M16" s="28">
        <f ca="1">FLUID!Q63</f>
        <v>0</v>
      </c>
      <c r="N16" s="28">
        <f ca="1">FLUID!R63</f>
        <v>0</v>
      </c>
      <c r="O16" s="28">
        <f ca="1">FLUID!S63</f>
        <v>0</v>
      </c>
      <c r="P16" s="28">
        <f ca="1">FLUID!T63</f>
        <v>0</v>
      </c>
      <c r="Q16" s="28">
        <f ca="1">FLUID!U63</f>
        <v>0</v>
      </c>
      <c r="R16" s="28">
        <f ca="1">FLUID!V63</f>
        <v>0</v>
      </c>
      <c r="S16" s="28">
        <f ca="1">FLUID!W63</f>
        <v>0</v>
      </c>
      <c r="T16" s="28">
        <f ca="1">FLUID!X63</f>
        <v>0</v>
      </c>
      <c r="U16" s="28">
        <f ca="1">FLUID!Y63</f>
        <v>0</v>
      </c>
      <c r="V16" s="28">
        <f ca="1">FLUID!Z63</f>
        <v>0</v>
      </c>
      <c r="W16" s="28">
        <f ca="1">FLUID!AA63</f>
        <v>0</v>
      </c>
      <c r="X16" s="28">
        <f ca="1">FLUID!AB63</f>
        <v>0</v>
      </c>
      <c r="Y16" s="28">
        <f ca="1">FLUID!AC63</f>
        <v>0</v>
      </c>
      <c r="Z16" s="28">
        <f ca="1">FLUID!AD63</f>
        <v>0</v>
      </c>
      <c r="AA16" s="28">
        <f ca="1">FLUID!AE63</f>
        <v>0</v>
      </c>
      <c r="AB16" s="28">
        <f ca="1">FLUID!AF63</f>
        <v>0</v>
      </c>
      <c r="AC16" s="28">
        <f ca="1">FLUID!AG63</f>
        <v>0</v>
      </c>
      <c r="AD16" s="28">
        <f ca="1">FLUID!AH63</f>
        <v>0</v>
      </c>
      <c r="AE16" s="28">
        <f ca="1">FLUID!AI63</f>
        <v>0</v>
      </c>
      <c r="AF16" s="28">
        <f ca="1">FLUID!AJ63</f>
        <v>0</v>
      </c>
      <c r="AG16" s="28">
        <f ca="1">FLUID!AK63</f>
        <v>0</v>
      </c>
      <c r="AH16" s="28">
        <f ca="1">FLUID!AL63</f>
        <v>0</v>
      </c>
      <c r="AI16" s="28">
        <f>FLUID!AM63</f>
        <v>0</v>
      </c>
    </row>
    <row r="17" spans="1:35" ht="22.5" hidden="1" outlineLevel="1" thickTop="1" thickBot="1" x14ac:dyDescent="0.4">
      <c r="A17" s="62" t="str">
        <f>FLUID!E64</f>
        <v>H (Ar)</v>
      </c>
      <c r="B17" s="28">
        <f ca="1">FLUID!F64</f>
        <v>-18.62</v>
      </c>
      <c r="C17" s="28">
        <f ca="1">FLUID!G64</f>
        <v>-18.649999999999999</v>
      </c>
      <c r="D17" s="28">
        <f ca="1">FLUID!H64</f>
        <v>-18.77</v>
      </c>
      <c r="E17" s="28">
        <f ca="1">FLUID!I64</f>
        <v>-18.93</v>
      </c>
      <c r="F17" s="28">
        <f ca="1">FLUID!J64</f>
        <v>-19.100000000000001</v>
      </c>
      <c r="G17" s="28">
        <f ca="1">FLUID!K64</f>
        <v>-19.3</v>
      </c>
      <c r="H17" s="28">
        <f ca="1">FLUID!L64</f>
        <v>-19.510000000000002</v>
      </c>
      <c r="I17" s="28">
        <f ca="1">FLUID!M64</f>
        <v>-19.73</v>
      </c>
      <c r="J17" s="28">
        <f ca="1">FLUID!N64</f>
        <v>-19.97</v>
      </c>
      <c r="K17" s="28">
        <f ca="1">FLUID!O64</f>
        <v>-20.29</v>
      </c>
      <c r="L17" s="28">
        <f ca="1">FLUID!P64</f>
        <v>0</v>
      </c>
      <c r="M17" s="28">
        <f ca="1">FLUID!Q64</f>
        <v>0</v>
      </c>
      <c r="N17" s="28">
        <f ca="1">FLUID!R64</f>
        <v>0</v>
      </c>
      <c r="O17" s="28">
        <f ca="1">FLUID!S64</f>
        <v>0</v>
      </c>
      <c r="P17" s="28">
        <f ca="1">FLUID!T64</f>
        <v>0</v>
      </c>
      <c r="Q17" s="28">
        <f ca="1">FLUID!U64</f>
        <v>0</v>
      </c>
      <c r="R17" s="28">
        <f ca="1">FLUID!V64</f>
        <v>0</v>
      </c>
      <c r="S17" s="28">
        <f ca="1">FLUID!W64</f>
        <v>0</v>
      </c>
      <c r="T17" s="28">
        <f ca="1">FLUID!X64</f>
        <v>0</v>
      </c>
      <c r="U17" s="28">
        <f ca="1">FLUID!Y64</f>
        <v>0</v>
      </c>
      <c r="V17" s="28">
        <f ca="1">FLUID!Z64</f>
        <v>0</v>
      </c>
      <c r="W17" s="28">
        <f ca="1">FLUID!AA64</f>
        <v>0</v>
      </c>
      <c r="X17" s="28">
        <f ca="1">FLUID!AB64</f>
        <v>0</v>
      </c>
      <c r="Y17" s="28">
        <f ca="1">FLUID!AC64</f>
        <v>0</v>
      </c>
      <c r="Z17" s="28">
        <f ca="1">FLUID!AD64</f>
        <v>0</v>
      </c>
      <c r="AA17" s="28">
        <f ca="1">FLUID!AE64</f>
        <v>0</v>
      </c>
      <c r="AB17" s="28">
        <f ca="1">FLUID!AF64</f>
        <v>0</v>
      </c>
      <c r="AC17" s="28">
        <f ca="1">FLUID!AG64</f>
        <v>0</v>
      </c>
      <c r="AD17" s="28">
        <f ca="1">FLUID!AH64</f>
        <v>0</v>
      </c>
      <c r="AE17" s="28">
        <f ca="1">FLUID!AI64</f>
        <v>0</v>
      </c>
      <c r="AF17" s="28">
        <f ca="1">FLUID!AJ64</f>
        <v>0</v>
      </c>
      <c r="AG17" s="28">
        <f ca="1">FLUID!AK64</f>
        <v>0</v>
      </c>
      <c r="AH17" s="28">
        <f ca="1">FLUID!AL64</f>
        <v>0</v>
      </c>
      <c r="AI17" s="28">
        <f>FLUID!AM64</f>
        <v>0</v>
      </c>
    </row>
    <row r="18" spans="1:35" ht="22.5" hidden="1" outlineLevel="1" thickTop="1" thickBot="1" x14ac:dyDescent="0.4">
      <c r="A18" s="62" t="str">
        <f>FLUID!E65</f>
        <v>H (Ga)</v>
      </c>
      <c r="B18" s="28">
        <f ca="1">FLUID!F65</f>
        <v>-6.97</v>
      </c>
      <c r="C18" s="28">
        <f ca="1">FLUID!G65</f>
        <v>-7.5640000000000001</v>
      </c>
      <c r="D18" s="28">
        <f ca="1">FLUID!H65</f>
        <v>-8.0820000000000007</v>
      </c>
      <c r="E18" s="28">
        <f ca="1">FLUID!I65</f>
        <v>-8.5380000000000003</v>
      </c>
      <c r="F18" s="28">
        <f ca="1">FLUID!J65</f>
        <v>-8.9749999999999996</v>
      </c>
      <c r="G18" s="28">
        <f ca="1">FLUID!K65</f>
        <v>-9.4849999999999994</v>
      </c>
      <c r="H18" s="28">
        <f ca="1">FLUID!L65</f>
        <v>-10.1</v>
      </c>
      <c r="I18" s="28">
        <f ca="1">FLUID!M65</f>
        <v>-10.74</v>
      </c>
      <c r="J18" s="28">
        <f ca="1">FLUID!N65</f>
        <v>-11.33</v>
      </c>
      <c r="K18" s="28">
        <f ca="1">FLUID!O65</f>
        <v>-11.86</v>
      </c>
      <c r="L18" s="28">
        <f ca="1">FLUID!P65</f>
        <v>0</v>
      </c>
      <c r="M18" s="28">
        <f ca="1">FLUID!Q65</f>
        <v>0</v>
      </c>
      <c r="N18" s="28">
        <f ca="1">FLUID!R65</f>
        <v>0</v>
      </c>
      <c r="O18" s="28">
        <f ca="1">FLUID!S65</f>
        <v>0</v>
      </c>
      <c r="P18" s="28">
        <f ca="1">FLUID!T65</f>
        <v>0</v>
      </c>
      <c r="Q18" s="28">
        <f ca="1">FLUID!U65</f>
        <v>0</v>
      </c>
      <c r="R18" s="28">
        <f ca="1">FLUID!V65</f>
        <v>0</v>
      </c>
      <c r="S18" s="28">
        <f ca="1">FLUID!W65</f>
        <v>0</v>
      </c>
      <c r="T18" s="28">
        <f ca="1">FLUID!X65</f>
        <v>0</v>
      </c>
      <c r="U18" s="28">
        <f ca="1">FLUID!Y65</f>
        <v>0</v>
      </c>
      <c r="V18" s="28">
        <f ca="1">FLUID!Z65</f>
        <v>0</v>
      </c>
      <c r="W18" s="28">
        <f ca="1">FLUID!AA65</f>
        <v>0</v>
      </c>
      <c r="X18" s="28">
        <f ca="1">FLUID!AB65</f>
        <v>0</v>
      </c>
      <c r="Y18" s="28">
        <f ca="1">FLUID!AC65</f>
        <v>0</v>
      </c>
      <c r="Z18" s="28">
        <f ca="1">FLUID!AD65</f>
        <v>0</v>
      </c>
      <c r="AA18" s="28">
        <f ca="1">FLUID!AE65</f>
        <v>0</v>
      </c>
      <c r="AB18" s="28">
        <f ca="1">FLUID!AF65</f>
        <v>0</v>
      </c>
      <c r="AC18" s="28">
        <f ca="1">FLUID!AG65</f>
        <v>0</v>
      </c>
      <c r="AD18" s="28">
        <f ca="1">FLUID!AH65</f>
        <v>0</v>
      </c>
      <c r="AE18" s="28">
        <f ca="1">FLUID!AI65</f>
        <v>0</v>
      </c>
      <c r="AF18" s="28">
        <f ca="1">FLUID!AJ65</f>
        <v>0</v>
      </c>
      <c r="AG18" s="28">
        <f ca="1">FLUID!AK65</f>
        <v>0</v>
      </c>
      <c r="AH18" s="28">
        <f ca="1">FLUID!AL65</f>
        <v>0</v>
      </c>
      <c r="AI18" s="28">
        <f>FLUID!AM65</f>
        <v>0</v>
      </c>
    </row>
    <row r="19" spans="1:35" ht="22.5" hidden="1" customHeight="1" outlineLevel="1" thickBot="1" x14ac:dyDescent="0.4">
      <c r="A19" s="62" t="str">
        <f>FLUID!E66</f>
        <v>H (Ge)</v>
      </c>
      <c r="B19" s="28">
        <f ca="1">FLUID!F66</f>
        <v>7.3579999999999997</v>
      </c>
      <c r="C19" s="28">
        <f ca="1">FLUID!G66</f>
        <v>3.758</v>
      </c>
      <c r="D19" s="28">
        <f ca="1">FLUID!H66</f>
        <v>1.355</v>
      </c>
      <c r="E19" s="28">
        <f ca="1">FLUID!I66</f>
        <v>-0.39240000000000003</v>
      </c>
      <c r="F19" s="28">
        <f ca="1">FLUID!J66</f>
        <v>-1.7310000000000001</v>
      </c>
      <c r="G19" s="28">
        <f ca="1">FLUID!K66</f>
        <v>-2.7839999999999998</v>
      </c>
      <c r="H19" s="28">
        <f ca="1">FLUID!L66</f>
        <v>-3.6349999999999998</v>
      </c>
      <c r="I19" s="28">
        <f ca="1">FLUID!M66</f>
        <v>-4.3380000000000001</v>
      </c>
      <c r="J19" s="28">
        <f ca="1">FLUID!N66</f>
        <v>-4.8959999999999999</v>
      </c>
      <c r="K19" s="28">
        <f ca="1">FLUID!O66</f>
        <v>-5.2809999999999997</v>
      </c>
      <c r="L19" s="28">
        <f ca="1">FLUID!P66</f>
        <v>0</v>
      </c>
      <c r="M19" s="28">
        <f ca="1">FLUID!Q66</f>
        <v>0</v>
      </c>
      <c r="N19" s="28">
        <f ca="1">FLUID!R66</f>
        <v>0</v>
      </c>
      <c r="O19" s="28">
        <f ca="1">FLUID!S66</f>
        <v>0</v>
      </c>
      <c r="P19" s="28">
        <f ca="1">FLUID!T66</f>
        <v>0</v>
      </c>
      <c r="Q19" s="28">
        <f ca="1">FLUID!U66</f>
        <v>0</v>
      </c>
      <c r="R19" s="28">
        <f ca="1">FLUID!V66</f>
        <v>0</v>
      </c>
      <c r="S19" s="28">
        <f ca="1">FLUID!W66</f>
        <v>0</v>
      </c>
      <c r="T19" s="28">
        <f ca="1">FLUID!X66</f>
        <v>0</v>
      </c>
      <c r="U19" s="28">
        <f ca="1">FLUID!Y66</f>
        <v>0</v>
      </c>
      <c r="V19" s="28">
        <f ca="1">FLUID!Z66</f>
        <v>0</v>
      </c>
      <c r="W19" s="28">
        <f ca="1">FLUID!AA66</f>
        <v>0</v>
      </c>
      <c r="X19" s="28">
        <f ca="1">FLUID!AB66</f>
        <v>0</v>
      </c>
      <c r="Y19" s="28">
        <f ca="1">FLUID!AC66</f>
        <v>0</v>
      </c>
      <c r="Z19" s="28">
        <f ca="1">FLUID!AD66</f>
        <v>0</v>
      </c>
      <c r="AA19" s="28">
        <f ca="1">FLUID!AE66</f>
        <v>0</v>
      </c>
      <c r="AB19" s="28">
        <f ca="1">FLUID!AF66</f>
        <v>0</v>
      </c>
      <c r="AC19" s="28">
        <f ca="1">FLUID!AG66</f>
        <v>0</v>
      </c>
      <c r="AD19" s="28">
        <f ca="1">FLUID!AH66</f>
        <v>0</v>
      </c>
      <c r="AE19" s="28">
        <f ca="1">FLUID!AI66</f>
        <v>0</v>
      </c>
      <c r="AF19" s="28">
        <f ca="1">FLUID!AJ66</f>
        <v>0</v>
      </c>
      <c r="AG19" s="28">
        <f ca="1">FLUID!AK66</f>
        <v>0</v>
      </c>
      <c r="AH19" s="28">
        <f ca="1">FLUID!AL66</f>
        <v>0</v>
      </c>
      <c r="AI19" s="28">
        <f>FLUID!AM66</f>
        <v>0</v>
      </c>
    </row>
    <row r="20" spans="1:35" ht="22.5" hidden="1" customHeight="1" outlineLevel="1" thickBot="1" x14ac:dyDescent="0.4">
      <c r="A20" s="62" t="str">
        <f>FLUID!E67</f>
        <v>H (Se)</v>
      </c>
      <c r="B20" s="28">
        <f ca="1">FLUID!F67</f>
        <v>-4.7</v>
      </c>
      <c r="C20" s="28">
        <f ca="1">FLUID!G67</f>
        <v>-5.1369999999999996</v>
      </c>
      <c r="D20" s="28">
        <f ca="1">FLUID!H67</f>
        <v>-5.6130000000000004</v>
      </c>
      <c r="E20" s="28">
        <f ca="1">FLUID!I67</f>
        <v>-6.07</v>
      </c>
      <c r="F20" s="28">
        <f ca="1">FLUID!J67</f>
        <v>-6.4909999999999997</v>
      </c>
      <c r="G20" s="28">
        <f ca="1">FLUID!K67</f>
        <v>-6.8710000000000004</v>
      </c>
      <c r="H20" s="28">
        <f ca="1">FLUID!L67</f>
        <v>-7.2160000000000002</v>
      </c>
      <c r="I20" s="28">
        <f ca="1">FLUID!M67</f>
        <v>-7.5439999999999996</v>
      </c>
      <c r="J20" s="28">
        <f ca="1">FLUID!N67</f>
        <v>-7.8849999999999998</v>
      </c>
      <c r="K20" s="28">
        <f ca="1">FLUID!O67</f>
        <v>-8.2889999999999997</v>
      </c>
      <c r="L20" s="28">
        <f ca="1">FLUID!P67</f>
        <v>0</v>
      </c>
      <c r="M20" s="28">
        <f ca="1">FLUID!Q67</f>
        <v>0</v>
      </c>
      <c r="N20" s="28">
        <f ca="1">FLUID!R67</f>
        <v>0</v>
      </c>
      <c r="O20" s="28">
        <f ca="1">FLUID!S67</f>
        <v>0</v>
      </c>
      <c r="P20" s="28">
        <f ca="1">FLUID!T67</f>
        <v>0</v>
      </c>
      <c r="Q20" s="28">
        <f ca="1">FLUID!U67</f>
        <v>0</v>
      </c>
      <c r="R20" s="28">
        <f ca="1">FLUID!V67</f>
        <v>0</v>
      </c>
      <c r="S20" s="28">
        <f ca="1">FLUID!W67</f>
        <v>0</v>
      </c>
      <c r="T20" s="28">
        <f ca="1">FLUID!X67</f>
        <v>0</v>
      </c>
      <c r="U20" s="28">
        <f ca="1">FLUID!Y67</f>
        <v>0</v>
      </c>
      <c r="V20" s="28">
        <f ca="1">FLUID!Z67</f>
        <v>0</v>
      </c>
      <c r="W20" s="28">
        <f ca="1">FLUID!AA67</f>
        <v>0</v>
      </c>
      <c r="X20" s="28">
        <f ca="1">FLUID!AB67</f>
        <v>0</v>
      </c>
      <c r="Y20" s="28">
        <f ca="1">FLUID!AC67</f>
        <v>0</v>
      </c>
      <c r="Z20" s="28">
        <f ca="1">FLUID!AD67</f>
        <v>0</v>
      </c>
      <c r="AA20" s="28">
        <f ca="1">FLUID!AE67</f>
        <v>0</v>
      </c>
      <c r="AB20" s="28">
        <f ca="1">FLUID!AF67</f>
        <v>0</v>
      </c>
      <c r="AC20" s="28">
        <f ca="1">FLUID!AG67</f>
        <v>0</v>
      </c>
      <c r="AD20" s="28">
        <f ca="1">FLUID!AH67</f>
        <v>0</v>
      </c>
      <c r="AE20" s="28">
        <f ca="1">FLUID!AI67</f>
        <v>0</v>
      </c>
      <c r="AF20" s="28">
        <f ca="1">FLUID!AJ67</f>
        <v>0</v>
      </c>
      <c r="AG20" s="28">
        <f ca="1">FLUID!AK67</f>
        <v>0</v>
      </c>
      <c r="AH20" s="28">
        <f ca="1">FLUID!AL67</f>
        <v>0</v>
      </c>
      <c r="AI20" s="28">
        <f>FLUID!AM67</f>
        <v>0</v>
      </c>
    </row>
    <row r="21" spans="1:35" ht="22.5" hidden="1" customHeight="1" outlineLevel="1" thickBot="1" x14ac:dyDescent="0.4">
      <c r="A21" s="62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8">
        <f ca="1">FLUID!J68</f>
        <v>0</v>
      </c>
      <c r="G21" s="28">
        <f ca="1">FLUID!K68</f>
        <v>0</v>
      </c>
      <c r="H21" s="28">
        <f ca="1">FLUID!L68</f>
        <v>0</v>
      </c>
      <c r="I21" s="28">
        <f ca="1">FLUID!M68</f>
        <v>0</v>
      </c>
      <c r="J21" s="28">
        <f ca="1">FLUID!N68</f>
        <v>0</v>
      </c>
      <c r="K21" s="28">
        <f ca="1">FLUID!O68</f>
        <v>0</v>
      </c>
      <c r="L21" s="28">
        <f ca="1">FLUID!P68</f>
        <v>0</v>
      </c>
      <c r="M21" s="28">
        <f ca="1">FLUID!Q68</f>
        <v>0</v>
      </c>
      <c r="N21" s="28">
        <f ca="1">FLUID!R68</f>
        <v>0</v>
      </c>
      <c r="O21" s="28">
        <f ca="1">FLUID!S68</f>
        <v>0</v>
      </c>
      <c r="P21" s="28">
        <f ca="1">FLUID!T68</f>
        <v>0</v>
      </c>
      <c r="Q21" s="28">
        <f ca="1">FLUID!U68</f>
        <v>0</v>
      </c>
      <c r="R21" s="28">
        <f ca="1">FLUID!V68</f>
        <v>0</v>
      </c>
      <c r="S21" s="28">
        <f ca="1">FLUID!W68</f>
        <v>0</v>
      </c>
      <c r="T21" s="28">
        <f ca="1">FLUID!X68</f>
        <v>0</v>
      </c>
      <c r="U21" s="28">
        <f ca="1">FLUID!Y68</f>
        <v>0</v>
      </c>
      <c r="V21" s="28">
        <f ca="1">FLUID!Z68</f>
        <v>0</v>
      </c>
      <c r="W21" s="28">
        <f ca="1">FLUID!AA68</f>
        <v>0</v>
      </c>
      <c r="X21" s="28">
        <f ca="1">FLUID!AB68</f>
        <v>0</v>
      </c>
      <c r="Y21" s="28">
        <f ca="1">FLUID!AC68</f>
        <v>0</v>
      </c>
      <c r="Z21" s="28">
        <f ca="1">FLUID!AD68</f>
        <v>0</v>
      </c>
      <c r="AA21" s="28">
        <f ca="1">FLUID!AE68</f>
        <v>0</v>
      </c>
      <c r="AB21" s="28">
        <f ca="1">FLUID!AF68</f>
        <v>0</v>
      </c>
      <c r="AC21" s="28">
        <f ca="1">FLUID!AG68</f>
        <v>0</v>
      </c>
      <c r="AD21" s="28">
        <f ca="1">FLUID!AH68</f>
        <v>0</v>
      </c>
      <c r="AE21" s="28">
        <f ca="1">FLUID!AI68</f>
        <v>0</v>
      </c>
      <c r="AF21" s="28">
        <f ca="1">FLUID!AJ68</f>
        <v>0</v>
      </c>
      <c r="AG21" s="28">
        <f ca="1">FLUID!AK68</f>
        <v>0</v>
      </c>
      <c r="AH21" s="28">
        <f ca="1">FLUID!AL68</f>
        <v>0</v>
      </c>
      <c r="AI21" s="28">
        <f>FLUID!AM68</f>
        <v>0</v>
      </c>
    </row>
    <row r="22" spans="1:35" ht="22.5" hidden="1" customHeight="1" outlineLevel="1" thickBot="1" x14ac:dyDescent="0.4">
      <c r="A22" s="62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8">
        <f ca="1">FLUID!J69</f>
        <v>0</v>
      </c>
      <c r="G22" s="28">
        <f ca="1">FLUID!K69</f>
        <v>0</v>
      </c>
      <c r="H22" s="28">
        <f ca="1">FLUID!L69</f>
        <v>0</v>
      </c>
      <c r="I22" s="28">
        <f ca="1">FLUID!M69</f>
        <v>0</v>
      </c>
      <c r="J22" s="28">
        <f ca="1">FLUID!N69</f>
        <v>0</v>
      </c>
      <c r="K22" s="28">
        <f ca="1">FLUID!O69</f>
        <v>0</v>
      </c>
      <c r="L22" s="28">
        <f ca="1">FLUID!P69</f>
        <v>0</v>
      </c>
      <c r="M22" s="28">
        <f ca="1">FLUID!Q69</f>
        <v>0</v>
      </c>
      <c r="N22" s="28">
        <f ca="1">FLUID!R69</f>
        <v>0</v>
      </c>
      <c r="O22" s="28">
        <f ca="1">FLUID!S69</f>
        <v>0</v>
      </c>
      <c r="P22" s="28">
        <f ca="1">FLUID!T69</f>
        <v>0</v>
      </c>
      <c r="Q22" s="28">
        <f ca="1">FLUID!U69</f>
        <v>0</v>
      </c>
      <c r="R22" s="28">
        <f ca="1">FLUID!V69</f>
        <v>0</v>
      </c>
      <c r="S22" s="28">
        <f ca="1">FLUID!W69</f>
        <v>0</v>
      </c>
      <c r="T22" s="28">
        <f ca="1">FLUID!X69</f>
        <v>0</v>
      </c>
      <c r="U22" s="28">
        <f ca="1">FLUID!Y69</f>
        <v>0</v>
      </c>
      <c r="V22" s="28">
        <f ca="1">FLUID!Z69</f>
        <v>0</v>
      </c>
      <c r="W22" s="28">
        <f ca="1">FLUID!AA69</f>
        <v>0</v>
      </c>
      <c r="X22" s="28">
        <f ca="1">FLUID!AB69</f>
        <v>0</v>
      </c>
      <c r="Y22" s="28">
        <f ca="1">FLUID!AC69</f>
        <v>0</v>
      </c>
      <c r="Z22" s="28">
        <f ca="1">FLUID!AD69</f>
        <v>0</v>
      </c>
      <c r="AA22" s="28">
        <f ca="1">FLUID!AE69</f>
        <v>0</v>
      </c>
      <c r="AB22" s="28">
        <f ca="1">FLUID!AF69</f>
        <v>0</v>
      </c>
      <c r="AC22" s="28">
        <f ca="1">FLUID!AG69</f>
        <v>0</v>
      </c>
      <c r="AD22" s="28">
        <f ca="1">FLUID!AH69</f>
        <v>0</v>
      </c>
      <c r="AE22" s="28">
        <f ca="1">FLUID!AI69</f>
        <v>0</v>
      </c>
      <c r="AF22" s="28">
        <f ca="1">FLUID!AJ69</f>
        <v>0</v>
      </c>
      <c r="AG22" s="28">
        <f ca="1">FLUID!AK69</f>
        <v>0</v>
      </c>
      <c r="AH22" s="28">
        <f ca="1">FLUID!AL69</f>
        <v>0</v>
      </c>
      <c r="AI22" s="28">
        <f>FLUID!AM69</f>
        <v>0</v>
      </c>
    </row>
    <row r="23" spans="1:35" ht="22.5" hidden="1" customHeight="1" outlineLevel="1" thickBot="1" x14ac:dyDescent="0.4">
      <c r="A23" s="62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8">
        <f ca="1">FLUID!J70</f>
        <v>0</v>
      </c>
      <c r="G23" s="28">
        <f ca="1">FLUID!K70</f>
        <v>0</v>
      </c>
      <c r="H23" s="28">
        <f ca="1">FLUID!L70</f>
        <v>0</v>
      </c>
      <c r="I23" s="28">
        <f ca="1">FLUID!M70</f>
        <v>0</v>
      </c>
      <c r="J23" s="28">
        <f ca="1">FLUID!N70</f>
        <v>0</v>
      </c>
      <c r="K23" s="28">
        <f ca="1">FLUID!O70</f>
        <v>0</v>
      </c>
      <c r="L23" s="28">
        <f ca="1">FLUID!P70</f>
        <v>0</v>
      </c>
      <c r="M23" s="28">
        <f ca="1">FLUID!Q70</f>
        <v>0</v>
      </c>
      <c r="N23" s="28">
        <f ca="1">FLUID!R70</f>
        <v>0</v>
      </c>
      <c r="O23" s="28">
        <f ca="1">FLUID!S70</f>
        <v>0</v>
      </c>
      <c r="P23" s="28">
        <f ca="1">FLUID!T70</f>
        <v>0</v>
      </c>
      <c r="Q23" s="28">
        <f ca="1">FLUID!U70</f>
        <v>0</v>
      </c>
      <c r="R23" s="28">
        <f ca="1">FLUID!V70</f>
        <v>0</v>
      </c>
      <c r="S23" s="28">
        <f ca="1">FLUID!W70</f>
        <v>0</v>
      </c>
      <c r="T23" s="28">
        <f ca="1">FLUID!X70</f>
        <v>0</v>
      </c>
      <c r="U23" s="28">
        <f ca="1">FLUID!Y70</f>
        <v>0</v>
      </c>
      <c r="V23" s="28">
        <f ca="1">FLUID!Z70</f>
        <v>0</v>
      </c>
      <c r="W23" s="28">
        <f ca="1">FLUID!AA70</f>
        <v>0</v>
      </c>
      <c r="X23" s="28">
        <f ca="1">FLUID!AB70</f>
        <v>0</v>
      </c>
      <c r="Y23" s="28">
        <f ca="1">FLUID!AC70</f>
        <v>0</v>
      </c>
      <c r="Z23" s="28">
        <f ca="1">FLUID!AD70</f>
        <v>0</v>
      </c>
      <c r="AA23" s="28">
        <f ca="1">FLUID!AE70</f>
        <v>0</v>
      </c>
      <c r="AB23" s="28">
        <f ca="1">FLUID!AF70</f>
        <v>0</v>
      </c>
      <c r="AC23" s="28">
        <f ca="1">FLUID!AG70</f>
        <v>0</v>
      </c>
      <c r="AD23" s="28">
        <f ca="1">FLUID!AH70</f>
        <v>0</v>
      </c>
      <c r="AE23" s="28">
        <f ca="1">FLUID!AI70</f>
        <v>0</v>
      </c>
      <c r="AF23" s="28">
        <f ca="1">FLUID!AJ70</f>
        <v>0</v>
      </c>
      <c r="AG23" s="28">
        <f ca="1">FLUID!AK70</f>
        <v>0</v>
      </c>
      <c r="AH23" s="28">
        <f ca="1">FLUID!AL70</f>
        <v>0</v>
      </c>
      <c r="AI23" s="28">
        <f>FLUID!AM70</f>
        <v>0</v>
      </c>
    </row>
    <row r="24" spans="1:35" ht="22.5" hidden="1" customHeight="1" outlineLevel="1" thickBot="1" x14ac:dyDescent="0.4">
      <c r="A24" s="62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8">
        <f ca="1">FLUID!J71</f>
        <v>0</v>
      </c>
      <c r="G24" s="28">
        <f ca="1">FLUID!K71</f>
        <v>0</v>
      </c>
      <c r="H24" s="28">
        <f ca="1">FLUID!L71</f>
        <v>0</v>
      </c>
      <c r="I24" s="28">
        <f ca="1">FLUID!M71</f>
        <v>0</v>
      </c>
      <c r="J24" s="28">
        <f ca="1">FLUID!N71</f>
        <v>0</v>
      </c>
      <c r="K24" s="28">
        <f ca="1">FLUID!O71</f>
        <v>0</v>
      </c>
      <c r="L24" s="28">
        <f ca="1">FLUID!P71</f>
        <v>0</v>
      </c>
      <c r="M24" s="28">
        <f ca="1">FLUID!Q71</f>
        <v>0</v>
      </c>
      <c r="N24" s="28">
        <f ca="1">FLUID!R71</f>
        <v>0</v>
      </c>
      <c r="O24" s="28">
        <f ca="1">FLUID!S71</f>
        <v>0</v>
      </c>
      <c r="P24" s="28">
        <f ca="1">FLUID!T71</f>
        <v>0</v>
      </c>
      <c r="Q24" s="28">
        <f ca="1">FLUID!U71</f>
        <v>0</v>
      </c>
      <c r="R24" s="28">
        <f ca="1">FLUID!V71</f>
        <v>0</v>
      </c>
      <c r="S24" s="28">
        <f ca="1">FLUID!W71</f>
        <v>0</v>
      </c>
      <c r="T24" s="28">
        <f ca="1">FLUID!X71</f>
        <v>0</v>
      </c>
      <c r="U24" s="28">
        <f ca="1">FLUID!Y71</f>
        <v>0</v>
      </c>
      <c r="V24" s="28">
        <f ca="1">FLUID!Z71</f>
        <v>0</v>
      </c>
      <c r="W24" s="28">
        <f ca="1">FLUID!AA71</f>
        <v>0</v>
      </c>
      <c r="X24" s="28">
        <f ca="1">FLUID!AB71</f>
        <v>0</v>
      </c>
      <c r="Y24" s="28">
        <f ca="1">FLUID!AC71</f>
        <v>0</v>
      </c>
      <c r="Z24" s="28">
        <f ca="1">FLUID!AD71</f>
        <v>0</v>
      </c>
      <c r="AA24" s="28">
        <f ca="1">FLUID!AE71</f>
        <v>0</v>
      </c>
      <c r="AB24" s="28">
        <f ca="1">FLUID!AF71</f>
        <v>0</v>
      </c>
      <c r="AC24" s="28">
        <f ca="1">FLUID!AG71</f>
        <v>0</v>
      </c>
      <c r="AD24" s="28">
        <f ca="1">FLUID!AH71</f>
        <v>0</v>
      </c>
      <c r="AE24" s="28">
        <f ca="1">FLUID!AI71</f>
        <v>0</v>
      </c>
      <c r="AF24" s="28">
        <f ca="1">FLUID!AJ71</f>
        <v>0</v>
      </c>
      <c r="AG24" s="28">
        <f ca="1">FLUID!AK71</f>
        <v>0</v>
      </c>
      <c r="AH24" s="28">
        <f ca="1">FLUID!AL71</f>
        <v>0</v>
      </c>
      <c r="AI24" s="28">
        <f>FLUID!AM71</f>
        <v>0</v>
      </c>
    </row>
    <row r="25" spans="1:35" ht="22.5" hidden="1" customHeight="1" outlineLevel="1" thickBot="1" x14ac:dyDescent="0.4">
      <c r="A25" s="62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8">
        <f ca="1">FLUID!J72</f>
        <v>0</v>
      </c>
      <c r="G25" s="28">
        <f ca="1">FLUID!K72</f>
        <v>0</v>
      </c>
      <c r="H25" s="28">
        <f ca="1">FLUID!L72</f>
        <v>0</v>
      </c>
      <c r="I25" s="28">
        <f ca="1">FLUID!M72</f>
        <v>0</v>
      </c>
      <c r="J25" s="28">
        <f ca="1">FLUID!N72</f>
        <v>0</v>
      </c>
      <c r="K25" s="28">
        <f ca="1">FLUID!O72</f>
        <v>0</v>
      </c>
      <c r="L25" s="28">
        <f ca="1">FLUID!P72</f>
        <v>0</v>
      </c>
      <c r="M25" s="28">
        <f ca="1">FLUID!Q72</f>
        <v>0</v>
      </c>
      <c r="N25" s="28">
        <f ca="1">FLUID!R72</f>
        <v>0</v>
      </c>
      <c r="O25" s="28">
        <f ca="1">FLUID!S72</f>
        <v>0</v>
      </c>
      <c r="P25" s="28">
        <f ca="1">FLUID!T72</f>
        <v>0</v>
      </c>
      <c r="Q25" s="28">
        <f ca="1">FLUID!U72</f>
        <v>0</v>
      </c>
      <c r="R25" s="28">
        <f ca="1">FLUID!V72</f>
        <v>0</v>
      </c>
      <c r="S25" s="28">
        <f ca="1">FLUID!W72</f>
        <v>0</v>
      </c>
      <c r="T25" s="28">
        <f ca="1">FLUID!X72</f>
        <v>0</v>
      </c>
      <c r="U25" s="28">
        <f ca="1">FLUID!Y72</f>
        <v>0</v>
      </c>
      <c r="V25" s="28">
        <f ca="1">FLUID!Z72</f>
        <v>0</v>
      </c>
      <c r="W25" s="28">
        <f ca="1">FLUID!AA72</f>
        <v>0</v>
      </c>
      <c r="X25" s="28">
        <f ca="1">FLUID!AB72</f>
        <v>0</v>
      </c>
      <c r="Y25" s="28">
        <f ca="1">FLUID!AC72</f>
        <v>0</v>
      </c>
      <c r="Z25" s="28">
        <f ca="1">FLUID!AD72</f>
        <v>0</v>
      </c>
      <c r="AA25" s="28">
        <f ca="1">FLUID!AE72</f>
        <v>0</v>
      </c>
      <c r="AB25" s="28">
        <f ca="1">FLUID!AF72</f>
        <v>0</v>
      </c>
      <c r="AC25" s="28">
        <f ca="1">FLUID!AG72</f>
        <v>0</v>
      </c>
      <c r="AD25" s="28">
        <f ca="1">FLUID!AH72</f>
        <v>0</v>
      </c>
      <c r="AE25" s="28">
        <f ca="1">FLUID!AI72</f>
        <v>0</v>
      </c>
      <c r="AF25" s="28">
        <f ca="1">FLUID!AJ72</f>
        <v>0</v>
      </c>
      <c r="AG25" s="28">
        <f ca="1">FLUID!AK72</f>
        <v>0</v>
      </c>
      <c r="AH25" s="28">
        <f ca="1">FLUID!AL72</f>
        <v>0</v>
      </c>
      <c r="AI25" s="28">
        <f>FLUID!AM72</f>
        <v>0</v>
      </c>
    </row>
    <row r="26" spans="1:35" ht="22.5" hidden="1" customHeight="1" outlineLevel="1" thickBot="1" x14ac:dyDescent="0.4">
      <c r="A26" s="62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8">
        <f ca="1">FLUID!J73</f>
        <v>0</v>
      </c>
      <c r="G26" s="28">
        <f ca="1">FLUID!K73</f>
        <v>0</v>
      </c>
      <c r="H26" s="28">
        <f ca="1">FLUID!L73</f>
        <v>0</v>
      </c>
      <c r="I26" s="28">
        <f ca="1">FLUID!M73</f>
        <v>0</v>
      </c>
      <c r="J26" s="28">
        <f ca="1">FLUID!N73</f>
        <v>0</v>
      </c>
      <c r="K26" s="28">
        <f ca="1">FLUID!O73</f>
        <v>0</v>
      </c>
      <c r="L26" s="28">
        <f ca="1">FLUID!P73</f>
        <v>0</v>
      </c>
      <c r="M26" s="28">
        <f ca="1">FLUID!Q73</f>
        <v>0</v>
      </c>
      <c r="N26" s="28">
        <f ca="1">FLUID!R73</f>
        <v>0</v>
      </c>
      <c r="O26" s="28">
        <f ca="1">FLUID!S73</f>
        <v>0</v>
      </c>
      <c r="P26" s="28">
        <f ca="1">FLUID!T73</f>
        <v>0</v>
      </c>
      <c r="Q26" s="28">
        <f ca="1">FLUID!U73</f>
        <v>0</v>
      </c>
      <c r="R26" s="28">
        <f ca="1">FLUID!V73</f>
        <v>0</v>
      </c>
      <c r="S26" s="28">
        <f ca="1">FLUID!W73</f>
        <v>0</v>
      </c>
      <c r="T26" s="28">
        <f ca="1">FLUID!X73</f>
        <v>0</v>
      </c>
      <c r="U26" s="28">
        <f ca="1">FLUID!Y73</f>
        <v>0</v>
      </c>
      <c r="V26" s="28">
        <f ca="1">FLUID!Z73</f>
        <v>0</v>
      </c>
      <c r="W26" s="28">
        <f ca="1">FLUID!AA73</f>
        <v>0</v>
      </c>
      <c r="X26" s="28">
        <f ca="1">FLUID!AB73</f>
        <v>0</v>
      </c>
      <c r="Y26" s="28">
        <f ca="1">FLUID!AC73</f>
        <v>0</v>
      </c>
      <c r="Z26" s="28">
        <f ca="1">FLUID!AD73</f>
        <v>0</v>
      </c>
      <c r="AA26" s="28">
        <f ca="1">FLUID!AE73</f>
        <v>0</v>
      </c>
      <c r="AB26" s="28">
        <f ca="1">FLUID!AF73</f>
        <v>0</v>
      </c>
      <c r="AC26" s="28">
        <f ca="1">FLUID!AG73</f>
        <v>0</v>
      </c>
      <c r="AD26" s="28">
        <f ca="1">FLUID!AH73</f>
        <v>0</v>
      </c>
      <c r="AE26" s="28">
        <f ca="1">FLUID!AI73</f>
        <v>0</v>
      </c>
      <c r="AF26" s="28">
        <f ca="1">FLUID!AJ73</f>
        <v>0</v>
      </c>
      <c r="AG26" s="28">
        <f ca="1">FLUID!AK73</f>
        <v>0</v>
      </c>
      <c r="AH26" s="28">
        <f ca="1">FLUID!AL73</f>
        <v>0</v>
      </c>
      <c r="AI26" s="28">
        <f>FLUID!AM73</f>
        <v>0</v>
      </c>
    </row>
    <row r="27" spans="1:35" ht="22.5" hidden="1" customHeight="1" outlineLevel="1" thickBot="1" x14ac:dyDescent="0.4">
      <c r="A27" s="62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8">
        <f ca="1">FLUID!J74</f>
        <v>0</v>
      </c>
      <c r="G27" s="28">
        <f ca="1">FLUID!K74</f>
        <v>0</v>
      </c>
      <c r="H27" s="28">
        <f ca="1">FLUID!L74</f>
        <v>0</v>
      </c>
      <c r="I27" s="28">
        <f ca="1">FLUID!M74</f>
        <v>0</v>
      </c>
      <c r="J27" s="28">
        <f ca="1">FLUID!N74</f>
        <v>0</v>
      </c>
      <c r="K27" s="28">
        <f ca="1">FLUID!O74</f>
        <v>0</v>
      </c>
      <c r="L27" s="28">
        <f ca="1">FLUID!P74</f>
        <v>0</v>
      </c>
      <c r="M27" s="28">
        <f ca="1">FLUID!Q74</f>
        <v>0</v>
      </c>
      <c r="N27" s="28">
        <f ca="1">FLUID!R74</f>
        <v>0</v>
      </c>
      <c r="O27" s="28">
        <f ca="1">FLUID!S74</f>
        <v>0</v>
      </c>
      <c r="P27" s="28">
        <f ca="1">FLUID!T74</f>
        <v>0</v>
      </c>
      <c r="Q27" s="28">
        <f ca="1">FLUID!U74</f>
        <v>0</v>
      </c>
      <c r="R27" s="28">
        <f ca="1">FLUID!V74</f>
        <v>0</v>
      </c>
      <c r="S27" s="28">
        <f ca="1">FLUID!W74</f>
        <v>0</v>
      </c>
      <c r="T27" s="28">
        <f ca="1">FLUID!X74</f>
        <v>0</v>
      </c>
      <c r="U27" s="28">
        <f ca="1">FLUID!Y74</f>
        <v>0</v>
      </c>
      <c r="V27" s="28">
        <f ca="1">FLUID!Z74</f>
        <v>0</v>
      </c>
      <c r="W27" s="28">
        <f ca="1">FLUID!AA74</f>
        <v>0</v>
      </c>
      <c r="X27" s="28">
        <f ca="1">FLUID!AB74</f>
        <v>0</v>
      </c>
      <c r="Y27" s="28">
        <f ca="1">FLUID!AC74</f>
        <v>0</v>
      </c>
      <c r="Z27" s="28">
        <f ca="1">FLUID!AD74</f>
        <v>0</v>
      </c>
      <c r="AA27" s="28">
        <f ca="1">FLUID!AE74</f>
        <v>0</v>
      </c>
      <c r="AB27" s="28">
        <f ca="1">FLUID!AF74</f>
        <v>0</v>
      </c>
      <c r="AC27" s="28">
        <f ca="1">FLUID!AG74</f>
        <v>0</v>
      </c>
      <c r="AD27" s="28">
        <f ca="1">FLUID!AH74</f>
        <v>0</v>
      </c>
      <c r="AE27" s="28">
        <f ca="1">FLUID!AI74</f>
        <v>0</v>
      </c>
      <c r="AF27" s="28">
        <f ca="1">FLUID!AJ74</f>
        <v>0</v>
      </c>
      <c r="AG27" s="28">
        <f ca="1">FLUID!AK74</f>
        <v>0</v>
      </c>
      <c r="AH27" s="28">
        <f ca="1">FLUID!AL74</f>
        <v>0</v>
      </c>
      <c r="AI27" s="28">
        <f>FLUID!AM74</f>
        <v>0</v>
      </c>
    </row>
    <row r="28" spans="1:35" ht="22.5" hidden="1" customHeight="1" outlineLevel="1" thickBot="1" x14ac:dyDescent="0.4">
      <c r="A28" s="62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8">
        <f ca="1">FLUID!J75</f>
        <v>0</v>
      </c>
      <c r="G28" s="28">
        <f ca="1">FLUID!K75</f>
        <v>0</v>
      </c>
      <c r="H28" s="28">
        <f ca="1">FLUID!L75</f>
        <v>0</v>
      </c>
      <c r="I28" s="28">
        <f ca="1">FLUID!M75</f>
        <v>0</v>
      </c>
      <c r="J28" s="28">
        <f ca="1">FLUID!N75</f>
        <v>0</v>
      </c>
      <c r="K28" s="28">
        <f ca="1">FLUID!O75</f>
        <v>0</v>
      </c>
      <c r="L28" s="28">
        <f ca="1">FLUID!P75</f>
        <v>0</v>
      </c>
      <c r="M28" s="28">
        <f ca="1">FLUID!Q75</f>
        <v>0</v>
      </c>
      <c r="N28" s="28">
        <f ca="1">FLUID!R75</f>
        <v>0</v>
      </c>
      <c r="O28" s="28">
        <f ca="1">FLUID!S75</f>
        <v>0</v>
      </c>
      <c r="P28" s="28">
        <f ca="1">FLUID!T75</f>
        <v>0</v>
      </c>
      <c r="Q28" s="28">
        <f ca="1">FLUID!U75</f>
        <v>0</v>
      </c>
      <c r="R28" s="28">
        <f ca="1">FLUID!V75</f>
        <v>0</v>
      </c>
      <c r="S28" s="28">
        <f ca="1">FLUID!W75</f>
        <v>0</v>
      </c>
      <c r="T28" s="28">
        <f ca="1">FLUID!X75</f>
        <v>0</v>
      </c>
      <c r="U28" s="28">
        <f ca="1">FLUID!Y75</f>
        <v>0</v>
      </c>
      <c r="V28" s="28">
        <f ca="1">FLUID!Z75</f>
        <v>0</v>
      </c>
      <c r="W28" s="28">
        <f ca="1">FLUID!AA75</f>
        <v>0</v>
      </c>
      <c r="X28" s="28">
        <f ca="1">FLUID!AB75</f>
        <v>0</v>
      </c>
      <c r="Y28" s="28">
        <f ca="1">FLUID!AC75</f>
        <v>0</v>
      </c>
      <c r="Z28" s="28">
        <f ca="1">FLUID!AD75</f>
        <v>0</v>
      </c>
      <c r="AA28" s="28">
        <f ca="1">FLUID!AE75</f>
        <v>0</v>
      </c>
      <c r="AB28" s="28">
        <f ca="1">FLUID!AF75</f>
        <v>0</v>
      </c>
      <c r="AC28" s="28">
        <f ca="1">FLUID!AG75</f>
        <v>0</v>
      </c>
      <c r="AD28" s="28">
        <f ca="1">FLUID!AH75</f>
        <v>0</v>
      </c>
      <c r="AE28" s="28">
        <f ca="1">FLUID!AI75</f>
        <v>0</v>
      </c>
      <c r="AF28" s="28">
        <f ca="1">FLUID!AJ75</f>
        <v>0</v>
      </c>
      <c r="AG28" s="28">
        <f ca="1">FLUID!AK75</f>
        <v>0</v>
      </c>
      <c r="AH28" s="28">
        <f ca="1">FLUID!AL75</f>
        <v>0</v>
      </c>
      <c r="AI28" s="28">
        <f>FLUID!AM75</f>
        <v>0</v>
      </c>
    </row>
    <row r="29" spans="1:35" ht="22.5" hidden="1" customHeight="1" outlineLevel="1" thickBot="1" x14ac:dyDescent="0.4">
      <c r="A29" s="62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8">
        <f ca="1">FLUID!J76</f>
        <v>0</v>
      </c>
      <c r="G29" s="28">
        <f ca="1">FLUID!K76</f>
        <v>0</v>
      </c>
      <c r="H29" s="28">
        <f ca="1">FLUID!L76</f>
        <v>0</v>
      </c>
      <c r="I29" s="28">
        <f ca="1">FLUID!M76</f>
        <v>0</v>
      </c>
      <c r="J29" s="28">
        <f ca="1">FLUID!N76</f>
        <v>0</v>
      </c>
      <c r="K29" s="28">
        <f ca="1">FLUID!O76</f>
        <v>0</v>
      </c>
      <c r="L29" s="28">
        <f ca="1">FLUID!P76</f>
        <v>0</v>
      </c>
      <c r="M29" s="28">
        <f ca="1">FLUID!Q76</f>
        <v>0</v>
      </c>
      <c r="N29" s="28">
        <f ca="1">FLUID!R76</f>
        <v>0</v>
      </c>
      <c r="O29" s="28">
        <f ca="1">FLUID!S76</f>
        <v>0</v>
      </c>
      <c r="P29" s="28">
        <f ca="1">FLUID!T76</f>
        <v>0</v>
      </c>
      <c r="Q29" s="28">
        <f ca="1">FLUID!U76</f>
        <v>0</v>
      </c>
      <c r="R29" s="28">
        <f ca="1">FLUID!V76</f>
        <v>0</v>
      </c>
      <c r="S29" s="28">
        <f ca="1">FLUID!W76</f>
        <v>0</v>
      </c>
      <c r="T29" s="28">
        <f ca="1">FLUID!X76</f>
        <v>0</v>
      </c>
      <c r="U29" s="28">
        <f ca="1">FLUID!Y76</f>
        <v>0</v>
      </c>
      <c r="V29" s="28">
        <f ca="1">FLUID!Z76</f>
        <v>0</v>
      </c>
      <c r="W29" s="28">
        <f ca="1">FLUID!AA76</f>
        <v>0</v>
      </c>
      <c r="X29" s="28">
        <f ca="1">FLUID!AB76</f>
        <v>0</v>
      </c>
      <c r="Y29" s="28">
        <f ca="1">FLUID!AC76</f>
        <v>0</v>
      </c>
      <c r="Z29" s="28">
        <f ca="1">FLUID!AD76</f>
        <v>0</v>
      </c>
      <c r="AA29" s="28">
        <f ca="1">FLUID!AE76</f>
        <v>0</v>
      </c>
      <c r="AB29" s="28">
        <f ca="1">FLUID!AF76</f>
        <v>0</v>
      </c>
      <c r="AC29" s="28">
        <f ca="1">FLUID!AG76</f>
        <v>0</v>
      </c>
      <c r="AD29" s="28">
        <f ca="1">FLUID!AH76</f>
        <v>0</v>
      </c>
      <c r="AE29" s="28">
        <f ca="1">FLUID!AI76</f>
        <v>0</v>
      </c>
      <c r="AF29" s="28">
        <f ca="1">FLUID!AJ76</f>
        <v>0</v>
      </c>
      <c r="AG29" s="28">
        <f ca="1">FLUID!AK76</f>
        <v>0</v>
      </c>
      <c r="AH29" s="28">
        <f ca="1">FLUID!AL76</f>
        <v>0</v>
      </c>
      <c r="AI29" s="28">
        <f>FLUID!AM76</f>
        <v>0</v>
      </c>
    </row>
    <row r="30" spans="1:35" ht="22.5" hidden="1" customHeight="1" outlineLevel="1" thickBot="1" x14ac:dyDescent="0.4">
      <c r="A30" s="62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8">
        <f ca="1">FLUID!J77</f>
        <v>0</v>
      </c>
      <c r="G30" s="28">
        <f ca="1">FLUID!K77</f>
        <v>0</v>
      </c>
      <c r="H30" s="28">
        <f ca="1">FLUID!L77</f>
        <v>0</v>
      </c>
      <c r="I30" s="28">
        <f ca="1">FLUID!M77</f>
        <v>0</v>
      </c>
      <c r="J30" s="28">
        <f ca="1">FLUID!N77</f>
        <v>0</v>
      </c>
      <c r="K30" s="28">
        <f ca="1">FLUID!O77</f>
        <v>0</v>
      </c>
      <c r="L30" s="28">
        <f ca="1">FLUID!P77</f>
        <v>0</v>
      </c>
      <c r="M30" s="28">
        <f ca="1">FLUID!Q77</f>
        <v>0</v>
      </c>
      <c r="N30" s="28">
        <f ca="1">FLUID!R77</f>
        <v>0</v>
      </c>
      <c r="O30" s="28">
        <f ca="1">FLUID!S77</f>
        <v>0</v>
      </c>
      <c r="P30" s="28">
        <f ca="1">FLUID!T77</f>
        <v>0</v>
      </c>
      <c r="Q30" s="28">
        <f ca="1">FLUID!U77</f>
        <v>0</v>
      </c>
      <c r="R30" s="28">
        <f ca="1">FLUID!V77</f>
        <v>0</v>
      </c>
      <c r="S30" s="28">
        <f ca="1">FLUID!W77</f>
        <v>0</v>
      </c>
      <c r="T30" s="28">
        <f ca="1">FLUID!X77</f>
        <v>0</v>
      </c>
      <c r="U30" s="28">
        <f ca="1">FLUID!Y77</f>
        <v>0</v>
      </c>
      <c r="V30" s="28">
        <f ca="1">FLUID!Z77</f>
        <v>0</v>
      </c>
      <c r="W30" s="28">
        <f ca="1">FLUID!AA77</f>
        <v>0</v>
      </c>
      <c r="X30" s="28">
        <f ca="1">FLUID!AB77</f>
        <v>0</v>
      </c>
      <c r="Y30" s="28">
        <f ca="1">FLUID!AC77</f>
        <v>0</v>
      </c>
      <c r="Z30" s="28">
        <f ca="1">FLUID!AD77</f>
        <v>0</v>
      </c>
      <c r="AA30" s="28">
        <f ca="1">FLUID!AE77</f>
        <v>0</v>
      </c>
      <c r="AB30" s="28">
        <f ca="1">FLUID!AF77</f>
        <v>0</v>
      </c>
      <c r="AC30" s="28">
        <f ca="1">FLUID!AG77</f>
        <v>0</v>
      </c>
      <c r="AD30" s="28">
        <f ca="1">FLUID!AH77</f>
        <v>0</v>
      </c>
      <c r="AE30" s="28">
        <f ca="1">FLUID!AI77</f>
        <v>0</v>
      </c>
      <c r="AF30" s="28">
        <f ca="1">FLUID!AJ77</f>
        <v>0</v>
      </c>
      <c r="AG30" s="28">
        <f ca="1">FLUID!AK77</f>
        <v>0</v>
      </c>
      <c r="AH30" s="28">
        <f ca="1">FLUID!AL77</f>
        <v>0</v>
      </c>
      <c r="AI30" s="28">
        <f>FLUID!AM77</f>
        <v>0</v>
      </c>
    </row>
    <row r="31" spans="1:35" ht="22.5" hidden="1" customHeight="1" outlineLevel="1" thickBot="1" x14ac:dyDescent="0.4">
      <c r="A31" s="62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8">
        <f ca="1">FLUID!J78</f>
        <v>0</v>
      </c>
      <c r="G31" s="28">
        <f ca="1">FLUID!K78</f>
        <v>0</v>
      </c>
      <c r="H31" s="28">
        <f ca="1">FLUID!L78</f>
        <v>0</v>
      </c>
      <c r="I31" s="28">
        <f ca="1">FLUID!M78</f>
        <v>0</v>
      </c>
      <c r="J31" s="28">
        <f ca="1">FLUID!N78</f>
        <v>0</v>
      </c>
      <c r="K31" s="28">
        <f ca="1">FLUID!O78</f>
        <v>0</v>
      </c>
      <c r="L31" s="28">
        <f ca="1">FLUID!P78</f>
        <v>0</v>
      </c>
      <c r="M31" s="28">
        <f ca="1">FLUID!Q78</f>
        <v>0</v>
      </c>
      <c r="N31" s="28">
        <f ca="1">FLUID!R78</f>
        <v>0</v>
      </c>
      <c r="O31" s="28">
        <f ca="1">FLUID!S78</f>
        <v>0</v>
      </c>
      <c r="P31" s="28">
        <f ca="1">FLUID!T78</f>
        <v>0</v>
      </c>
      <c r="Q31" s="28">
        <f ca="1">FLUID!U78</f>
        <v>0</v>
      </c>
      <c r="R31" s="28">
        <f ca="1">FLUID!V78</f>
        <v>0</v>
      </c>
      <c r="S31" s="28">
        <f ca="1">FLUID!W78</f>
        <v>0</v>
      </c>
      <c r="T31" s="28">
        <f ca="1">FLUID!X78</f>
        <v>0</v>
      </c>
      <c r="U31" s="28">
        <f ca="1">FLUID!Y78</f>
        <v>0</v>
      </c>
      <c r="V31" s="28">
        <f ca="1">FLUID!Z78</f>
        <v>0</v>
      </c>
      <c r="W31" s="28">
        <f ca="1">FLUID!AA78</f>
        <v>0</v>
      </c>
      <c r="X31" s="28">
        <f ca="1">FLUID!AB78</f>
        <v>0</v>
      </c>
      <c r="Y31" s="28">
        <f ca="1">FLUID!AC78</f>
        <v>0</v>
      </c>
      <c r="Z31" s="28">
        <f ca="1">FLUID!AD78</f>
        <v>0</v>
      </c>
      <c r="AA31" s="28">
        <f ca="1">FLUID!AE78</f>
        <v>0</v>
      </c>
      <c r="AB31" s="28">
        <f ca="1">FLUID!AF78</f>
        <v>0</v>
      </c>
      <c r="AC31" s="28">
        <f ca="1">FLUID!AG78</f>
        <v>0</v>
      </c>
      <c r="AD31" s="28">
        <f ca="1">FLUID!AH78</f>
        <v>0</v>
      </c>
      <c r="AE31" s="28">
        <f ca="1">FLUID!AI78</f>
        <v>0</v>
      </c>
      <c r="AF31" s="28">
        <f ca="1">FLUID!AJ78</f>
        <v>0</v>
      </c>
      <c r="AG31" s="28">
        <f ca="1">FLUID!AK78</f>
        <v>0</v>
      </c>
      <c r="AH31" s="28">
        <f ca="1">FLUID!AL78</f>
        <v>0</v>
      </c>
      <c r="AI31" s="28">
        <f>FLUID!AM78</f>
        <v>0</v>
      </c>
    </row>
    <row r="32" spans="1:35" ht="22.5" hidden="1" customHeight="1" outlineLevel="1" thickBot="1" x14ac:dyDescent="0.4">
      <c r="A32" s="62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8">
        <f>FLUID!J79</f>
        <v>0</v>
      </c>
      <c r="G32" s="28">
        <f>FLUID!K79</f>
        <v>0</v>
      </c>
      <c r="H32" s="28">
        <f>FLUID!L79</f>
        <v>0</v>
      </c>
      <c r="I32" s="28">
        <f>FLUID!M79</f>
        <v>0</v>
      </c>
      <c r="J32" s="28">
        <f>FLUID!N79</f>
        <v>0</v>
      </c>
      <c r="K32" s="28">
        <f>FLUID!O79</f>
        <v>0</v>
      </c>
      <c r="L32" s="28">
        <f>FLUID!P79</f>
        <v>0</v>
      </c>
      <c r="M32" s="28">
        <f>FLUID!Q79</f>
        <v>0</v>
      </c>
      <c r="N32" s="28">
        <f>FLUID!R79</f>
        <v>0</v>
      </c>
      <c r="O32" s="28">
        <f>FLUID!S79</f>
        <v>0</v>
      </c>
      <c r="P32" s="28">
        <f>FLUID!T79</f>
        <v>0</v>
      </c>
      <c r="Q32" s="28">
        <f>FLUID!U79</f>
        <v>0</v>
      </c>
      <c r="R32" s="28">
        <f>FLUID!V79</f>
        <v>0</v>
      </c>
      <c r="S32" s="28">
        <f>FLUID!W79</f>
        <v>0</v>
      </c>
      <c r="T32" s="28">
        <f>FLUID!X79</f>
        <v>0</v>
      </c>
      <c r="U32" s="28">
        <f>FLUID!Y79</f>
        <v>0</v>
      </c>
      <c r="V32" s="28">
        <f>FLUID!Z79</f>
        <v>0</v>
      </c>
      <c r="W32" s="28">
        <f>FLUID!AA79</f>
        <v>0</v>
      </c>
      <c r="X32" s="28">
        <f>FLUID!AB79</f>
        <v>0</v>
      </c>
      <c r="Y32" s="28">
        <f>FLUID!AC79</f>
        <v>0</v>
      </c>
      <c r="Z32" s="28">
        <f>FLUID!AD79</f>
        <v>0</v>
      </c>
      <c r="AA32" s="28">
        <f>FLUID!AE79</f>
        <v>0</v>
      </c>
      <c r="AB32" s="28">
        <f>FLUID!AF79</f>
        <v>0</v>
      </c>
      <c r="AC32" s="28">
        <f>FLUID!AG79</f>
        <v>0</v>
      </c>
      <c r="AD32" s="28">
        <f>FLUID!AH79</f>
        <v>0</v>
      </c>
      <c r="AE32" s="28">
        <f>FLUID!AI79</f>
        <v>0</v>
      </c>
      <c r="AF32" s="28">
        <f>FLUID!AJ79</f>
        <v>0</v>
      </c>
      <c r="AG32" s="28">
        <f>FLUID!AK79</f>
        <v>0</v>
      </c>
      <c r="AH32" s="28">
        <f>FLUID!AL79</f>
        <v>0</v>
      </c>
      <c r="AI32" s="28">
        <f>FLUID!AM79</f>
        <v>0</v>
      </c>
    </row>
    <row r="33" spans="1:72" ht="22.5" collapsed="1" thickTop="1" thickBot="1" x14ac:dyDescent="0.4">
      <c r="A33" s="64"/>
    </row>
    <row r="34" spans="1:72" ht="22.5" thickTop="1" thickBot="1" x14ac:dyDescent="0.4">
      <c r="A34" s="9" t="s">
        <v>38</v>
      </c>
      <c r="B34" s="9">
        <f>SOLID!F3</f>
        <v>273.10000000000002</v>
      </c>
      <c r="C34" s="9">
        <f>SOLID!G3</f>
        <v>293.3</v>
      </c>
      <c r="D34" s="9">
        <f>SOLID!H3</f>
        <v>313.5</v>
      </c>
      <c r="E34" s="9">
        <f>SOLID!I3</f>
        <v>333.7</v>
      </c>
      <c r="F34" s="9">
        <f>SOLID!J3</f>
        <v>353.9</v>
      </c>
      <c r="G34" s="9">
        <f>SOLID!K3</f>
        <v>434.7</v>
      </c>
      <c r="H34" s="9">
        <f>SOLID!L3</f>
        <v>454.9</v>
      </c>
      <c r="I34" s="9">
        <f>SOLID!M3</f>
        <v>475.1</v>
      </c>
      <c r="J34" s="9">
        <f>SOLID!N3</f>
        <v>495.2</v>
      </c>
      <c r="K34" s="9">
        <f>SOLID!O3</f>
        <v>515.4</v>
      </c>
      <c r="L34" s="9">
        <f>SOLID!P3</f>
        <v>535.6</v>
      </c>
      <c r="M34" s="9">
        <f>SOLID!Q3</f>
        <v>555.79999999999995</v>
      </c>
      <c r="N34" s="9">
        <f>SOLID!R3</f>
        <v>576</v>
      </c>
      <c r="O34" s="9">
        <f>SOLID!S3</f>
        <v>596.20000000000005</v>
      </c>
      <c r="P34" s="9">
        <f>SOLID!T3</f>
        <v>677</v>
      </c>
      <c r="Q34" s="9">
        <f>SOLID!U3</f>
        <v>697.1</v>
      </c>
      <c r="R34" s="9">
        <f>SOLID!V3</f>
        <v>717.3</v>
      </c>
      <c r="S34" s="9">
        <f>SOLID!W3</f>
        <v>737.5</v>
      </c>
      <c r="T34" s="9">
        <f>SOLID!X3</f>
        <v>757.7</v>
      </c>
      <c r="U34" s="9">
        <f>SOLID!Y3</f>
        <v>777.9</v>
      </c>
      <c r="V34" s="9">
        <f>SOLID!Z3</f>
        <v>798.1</v>
      </c>
      <c r="W34" s="9">
        <f>SOLID!AA3</f>
        <v>818.3</v>
      </c>
      <c r="X34" s="9">
        <f>SOLID!AB3</f>
        <v>838.5</v>
      </c>
      <c r="Y34" s="9">
        <f>SOLID!AC3</f>
        <v>919.2</v>
      </c>
      <c r="Z34" s="9">
        <f>SOLID!AD3</f>
        <v>1000</v>
      </c>
      <c r="AA34" s="9">
        <f>SOLID!AE3</f>
        <v>0</v>
      </c>
      <c r="AB34" s="9">
        <f>SOLID!AF3</f>
        <v>0</v>
      </c>
      <c r="AC34" s="9">
        <f>SOLID!AG3</f>
        <v>0</v>
      </c>
      <c r="AD34" s="9">
        <f>SOLID!AH3</f>
        <v>0</v>
      </c>
      <c r="AE34" s="9">
        <f>SOLID!AI3</f>
        <v>0</v>
      </c>
      <c r="AF34" s="9">
        <f>SOLID!AJ3</f>
        <v>0</v>
      </c>
      <c r="AG34" s="9">
        <f>SOLID!AK3</f>
        <v>0</v>
      </c>
      <c r="AH34" s="9">
        <f>SOLID!AL3</f>
        <v>0</v>
      </c>
      <c r="AI34" s="9">
        <f>SOLID!AM3</f>
        <v>0</v>
      </c>
      <c r="AJ34" s="9">
        <f>SOLID!AN3</f>
        <v>0</v>
      </c>
      <c r="AK34" s="9">
        <f>SOLID!AO3</f>
        <v>0</v>
      </c>
      <c r="AL34" s="9">
        <f>SOLID!AP3</f>
        <v>0</v>
      </c>
      <c r="AM34" s="9">
        <f>SOLID!AQ3</f>
        <v>0</v>
      </c>
      <c r="AN34" s="9">
        <f>SOLID!AR3</f>
        <v>0</v>
      </c>
      <c r="AO34" s="9">
        <f>SOLID!AS3</f>
        <v>0</v>
      </c>
      <c r="AP34" s="9">
        <f>SOLID!AT3</f>
        <v>0</v>
      </c>
      <c r="AQ34" s="9">
        <f>SOLID!AU3</f>
        <v>0</v>
      </c>
      <c r="AR34" s="9">
        <f>SOLID!AV3</f>
        <v>0</v>
      </c>
      <c r="AS34" s="9">
        <f>SOLID!AW3</f>
        <v>0</v>
      </c>
      <c r="AT34" s="9">
        <f>SOLID!AX3</f>
        <v>0</v>
      </c>
      <c r="AU34" s="9">
        <f>SOLID!AY3</f>
        <v>0</v>
      </c>
      <c r="AV34" s="9">
        <f>SOLID!AZ3</f>
        <v>0</v>
      </c>
      <c r="AW34" s="9">
        <f>SOLID!BA3</f>
        <v>0</v>
      </c>
      <c r="AX34" s="9">
        <f>SOLID!BB3</f>
        <v>0</v>
      </c>
      <c r="AY34" s="9">
        <f>SOLID!BC3</f>
        <v>0</v>
      </c>
      <c r="AZ34" s="9">
        <f>SOLID!BD3</f>
        <v>0</v>
      </c>
      <c r="BA34" s="9">
        <f>SOLID!BE3</f>
        <v>0</v>
      </c>
      <c r="BB34" s="9">
        <f>SOLID!BF3</f>
        <v>0</v>
      </c>
      <c r="BC34" s="9">
        <f>SOLID!BG3</f>
        <v>0</v>
      </c>
      <c r="BD34" s="9">
        <f>SOLID!BH3</f>
        <v>0</v>
      </c>
      <c r="BE34" s="9">
        <f>SOLID!BI3</f>
        <v>0</v>
      </c>
      <c r="BF34" s="9">
        <f>SOLID!BJ3</f>
        <v>0</v>
      </c>
      <c r="BG34" s="9">
        <f>SOLID!BK3</f>
        <v>0</v>
      </c>
      <c r="BH34" s="9">
        <f>SOLID!BL3</f>
        <v>0</v>
      </c>
      <c r="BI34" s="9">
        <f>SOLID!BM3</f>
        <v>0</v>
      </c>
      <c r="BJ34" s="9">
        <f>SOLID!BN3</f>
        <v>0</v>
      </c>
      <c r="BK34" s="9">
        <f>SOLID!BO3</f>
        <v>0</v>
      </c>
      <c r="BL34" s="9">
        <f>SOLID!BP3</f>
        <v>0</v>
      </c>
      <c r="BM34" s="9">
        <f>SOLID!BQ3</f>
        <v>0</v>
      </c>
      <c r="BN34" s="9">
        <f>SOLID!BR3</f>
        <v>0</v>
      </c>
      <c r="BO34" s="9">
        <f>SOLID!BS3</f>
        <v>0</v>
      </c>
      <c r="BP34" s="9">
        <f>SOLID!BT3</f>
        <v>0</v>
      </c>
      <c r="BQ34" s="9">
        <f>SOLID!BU3</f>
        <v>0</v>
      </c>
      <c r="BR34" s="9">
        <f>SOLID!BV3</f>
        <v>0</v>
      </c>
      <c r="BS34" s="9">
        <f>SOLID!BW3</f>
        <v>0</v>
      </c>
      <c r="BT34" s="9">
        <f>SOLID!BX3</f>
        <v>0</v>
      </c>
    </row>
    <row r="35" spans="1:72" ht="22.5" outlineLevel="1" thickTop="1" thickBot="1" x14ac:dyDescent="0.4">
      <c r="A35" s="61" t="str">
        <f>SOLID!E4</f>
        <v>*Ge</v>
      </c>
      <c r="B35" s="28">
        <f>SOLID!F4</f>
        <v>0</v>
      </c>
      <c r="C35" s="28">
        <f>SOLID!G4</f>
        <v>0</v>
      </c>
      <c r="D35" s="28">
        <f>SOLID!H4</f>
        <v>0</v>
      </c>
      <c r="E35" s="28">
        <f>SOLID!I4</f>
        <v>0</v>
      </c>
      <c r="F35" s="28">
        <f>SOLID!J4</f>
        <v>0</v>
      </c>
      <c r="G35" s="28">
        <f>SOLID!K4</f>
        <v>3.8258999999999998E-18</v>
      </c>
      <c r="H35" s="28">
        <f>SOLID!L4</f>
        <v>1.6139000000000001E-13</v>
      </c>
      <c r="I35" s="28">
        <f>SOLID!M4</f>
        <v>8.4388000000000001E-11</v>
      </c>
      <c r="J35" s="28">
        <f>SOLID!N4</f>
        <v>1.4055E-9</v>
      </c>
      <c r="K35" s="28">
        <f>SOLID!O4</f>
        <v>6.719E-2</v>
      </c>
      <c r="L35" s="28">
        <f>SOLID!P4</f>
        <v>0.12</v>
      </c>
      <c r="M35" s="28">
        <f>SOLID!Q4</f>
        <v>0.12</v>
      </c>
      <c r="N35" s="28">
        <f>SOLID!R4</f>
        <v>0.12</v>
      </c>
      <c r="O35" s="28">
        <f>SOLID!S4</f>
        <v>0.12</v>
      </c>
      <c r="P35" s="28">
        <f>SOLID!T4</f>
        <v>0.12</v>
      </c>
      <c r="Q35" s="28">
        <f>SOLID!U4</f>
        <v>0.12</v>
      </c>
      <c r="R35" s="28">
        <f>SOLID!V4</f>
        <v>0.12</v>
      </c>
      <c r="S35" s="28">
        <f>SOLID!W4</f>
        <v>0.12</v>
      </c>
      <c r="T35" s="28">
        <f>SOLID!X4</f>
        <v>0.12</v>
      </c>
      <c r="U35" s="28">
        <f>SOLID!Y4</f>
        <v>0.12</v>
      </c>
      <c r="V35" s="28">
        <f>SOLID!Z4</f>
        <v>0.11315</v>
      </c>
      <c r="W35" s="28">
        <f>SOLID!AA4</f>
        <v>0.11173</v>
      </c>
      <c r="X35" s="28">
        <f>SOLID!AB4</f>
        <v>0.11027000000000001</v>
      </c>
      <c r="Y35" s="28">
        <f>SOLID!AC4</f>
        <v>0.10192</v>
      </c>
      <c r="Z35" s="28">
        <f>SOLID!AD4</f>
        <v>8.5938000000000001E-2</v>
      </c>
      <c r="AA35" s="28">
        <f>SOLID!AE4</f>
        <v>0</v>
      </c>
      <c r="AB35" s="28">
        <f>SOLID!AF4</f>
        <v>0</v>
      </c>
      <c r="AC35" s="28">
        <f>SOLID!AG4</f>
        <v>0</v>
      </c>
      <c r="AD35" s="28">
        <f>SOLID!AH4</f>
        <v>0</v>
      </c>
      <c r="AE35" s="28">
        <f>SOLID!AI4</f>
        <v>0</v>
      </c>
      <c r="AF35" s="28">
        <f>SOLID!AJ4</f>
        <v>0</v>
      </c>
      <c r="AG35" s="28">
        <f>SOLID!AK4</f>
        <v>0</v>
      </c>
      <c r="AH35" s="28">
        <f>SOLID!AL4</f>
        <v>0</v>
      </c>
      <c r="AI35" s="28">
        <f>SOLID!AM4</f>
        <v>0</v>
      </c>
      <c r="AJ35">
        <f>SOLID!AN4</f>
        <v>0</v>
      </c>
      <c r="AK35">
        <f>SOLID!AO4</f>
        <v>0</v>
      </c>
      <c r="AL35">
        <f>SOLID!AP4</f>
        <v>0</v>
      </c>
      <c r="AM35">
        <f>SOLID!AQ4</f>
        <v>0</v>
      </c>
      <c r="AN35">
        <f>SOLID!AR4</f>
        <v>0</v>
      </c>
      <c r="AO35">
        <f>SOLID!AS4</f>
        <v>0</v>
      </c>
      <c r="AP35">
        <f>SOLID!AT4</f>
        <v>0</v>
      </c>
      <c r="AQ35">
        <f>SOLID!AU4</f>
        <v>0</v>
      </c>
      <c r="AR35">
        <f>SOLID!AV4</f>
        <v>0</v>
      </c>
      <c r="AS35">
        <f>SOLID!AW4</f>
        <v>0</v>
      </c>
      <c r="AT35">
        <f>SOLID!AX4</f>
        <v>0</v>
      </c>
      <c r="AU35">
        <f>SOLID!AY4</f>
        <v>0</v>
      </c>
      <c r="AV35">
        <f>SOLID!AZ4</f>
        <v>0</v>
      </c>
      <c r="AW35">
        <f>SOLID!BA4</f>
        <v>0</v>
      </c>
      <c r="AX35">
        <f>SOLID!BB4</f>
        <v>0</v>
      </c>
      <c r="AY35">
        <f>SOLID!BC4</f>
        <v>0</v>
      </c>
      <c r="AZ35">
        <f>SOLID!BD4</f>
        <v>0</v>
      </c>
      <c r="BA35">
        <f>SOLID!BE4</f>
        <v>0</v>
      </c>
      <c r="BB35">
        <f>SOLID!BF4</f>
        <v>0</v>
      </c>
      <c r="BC35">
        <f>SOLID!BG4</f>
        <v>0</v>
      </c>
      <c r="BD35">
        <f>SOLID!BH4</f>
        <v>0</v>
      </c>
      <c r="BE35">
        <f>SOLID!BI4</f>
        <v>0</v>
      </c>
      <c r="BF35">
        <f>SOLID!BJ4</f>
        <v>0</v>
      </c>
      <c r="BG35">
        <f>SOLID!BK4</f>
        <v>0</v>
      </c>
      <c r="BH35">
        <f>SOLID!BL4</f>
        <v>0</v>
      </c>
      <c r="BI35">
        <f>SOLID!BM4</f>
        <v>0</v>
      </c>
      <c r="BJ35">
        <f>SOLID!BN4</f>
        <v>0</v>
      </c>
      <c r="BK35">
        <f>SOLID!BO4</f>
        <v>0</v>
      </c>
      <c r="BL35">
        <f>SOLID!BP4</f>
        <v>0</v>
      </c>
      <c r="BM35">
        <f>SOLID!BQ4</f>
        <v>0</v>
      </c>
      <c r="BN35">
        <f>SOLID!BR4</f>
        <v>0</v>
      </c>
      <c r="BO35">
        <f>SOLID!BS4</f>
        <v>0</v>
      </c>
      <c r="BP35">
        <f>SOLID!BT4</f>
        <v>0</v>
      </c>
      <c r="BQ35">
        <f>SOLID!BU4</f>
        <v>0</v>
      </c>
      <c r="BR35">
        <f>SOLID!BV4</f>
        <v>0</v>
      </c>
      <c r="BS35">
        <f>SOLID!BW4</f>
        <v>0</v>
      </c>
      <c r="BT35">
        <f>SOLID!BX4</f>
        <v>0</v>
      </c>
    </row>
    <row r="36" spans="1:72" ht="21.75" outlineLevel="1" thickBot="1" x14ac:dyDescent="0.4">
      <c r="A36" s="61" t="str">
        <f>SOLID!E5</f>
        <v>*GeSe</v>
      </c>
      <c r="B36" s="28">
        <f>SOLID!F5</f>
        <v>0.12</v>
      </c>
      <c r="C36" s="28">
        <f>SOLID!G5</f>
        <v>0.12</v>
      </c>
      <c r="D36" s="28">
        <f>SOLID!H5</f>
        <v>0.12</v>
      </c>
      <c r="E36" s="28">
        <f>SOLID!I5</f>
        <v>0.12</v>
      </c>
      <c r="F36" s="28">
        <f>SOLID!J5</f>
        <v>0.24</v>
      </c>
      <c r="G36" s="28">
        <f>SOLID!K5</f>
        <v>0.24</v>
      </c>
      <c r="H36" s="28">
        <f>SOLID!L5</f>
        <v>0.24</v>
      </c>
      <c r="I36" s="28">
        <f>SOLID!M5</f>
        <v>0.24</v>
      </c>
      <c r="J36" s="28">
        <f>SOLID!N5</f>
        <v>0.24</v>
      </c>
      <c r="K36" s="28">
        <f>SOLID!O5</f>
        <v>0.10562000000000001</v>
      </c>
      <c r="L36" s="28">
        <f>SOLID!P5</f>
        <v>5.8947000000000003E-9</v>
      </c>
      <c r="M36" s="28">
        <f>SOLID!Q5</f>
        <v>2.9583999999999998E-10</v>
      </c>
      <c r="N36" s="28">
        <f>SOLID!R5</f>
        <v>5.7976000000000003E-12</v>
      </c>
      <c r="O36" s="28">
        <f>SOLID!S5</f>
        <v>3.5656000000000001E-12</v>
      </c>
      <c r="P36" s="28">
        <f>SOLID!T5</f>
        <v>6.6780000000000004E-22</v>
      </c>
      <c r="Q36" s="28">
        <f>SOLID!U5</f>
        <v>5.9907000000000002E-27</v>
      </c>
      <c r="R36" s="28">
        <f>SOLID!V5</f>
        <v>2.7018000000000001E-32</v>
      </c>
      <c r="S36" s="28">
        <f>SOLID!W5</f>
        <v>0</v>
      </c>
      <c r="T36" s="28">
        <f>SOLID!X5</f>
        <v>0</v>
      </c>
      <c r="U36" s="28">
        <f>SOLID!Y5</f>
        <v>0</v>
      </c>
      <c r="V36" s="28">
        <f>SOLID!Z5</f>
        <v>0</v>
      </c>
      <c r="W36" s="28">
        <f>SOLID!AA5</f>
        <v>0</v>
      </c>
      <c r="X36" s="28">
        <f>SOLID!AB5</f>
        <v>0</v>
      </c>
      <c r="Y36" s="28">
        <f>SOLID!AC5</f>
        <v>0</v>
      </c>
      <c r="Z36" s="28">
        <f>SOLID!AD5</f>
        <v>0</v>
      </c>
      <c r="AA36" s="28">
        <f>SOLID!AE5</f>
        <v>0</v>
      </c>
      <c r="AB36" s="28">
        <f>SOLID!AF5</f>
        <v>0</v>
      </c>
      <c r="AC36" s="28">
        <f>SOLID!AG5</f>
        <v>0</v>
      </c>
      <c r="AD36" s="28">
        <f>SOLID!AH5</f>
        <v>0</v>
      </c>
      <c r="AE36" s="28">
        <f>SOLID!AI5</f>
        <v>0</v>
      </c>
      <c r="AF36" s="28">
        <f>SOLID!AJ5</f>
        <v>0</v>
      </c>
      <c r="AG36" s="28">
        <f>SOLID!AK5</f>
        <v>0</v>
      </c>
      <c r="AH36" s="28">
        <f>SOLID!AL5</f>
        <v>0</v>
      </c>
      <c r="AI36" s="28">
        <f>SOLID!AM5</f>
        <v>0</v>
      </c>
      <c r="AJ36">
        <f>SOLID!AN5</f>
        <v>0</v>
      </c>
      <c r="AK36">
        <f>SOLID!AO5</f>
        <v>0</v>
      </c>
      <c r="AL36">
        <f>SOLID!AP5</f>
        <v>0</v>
      </c>
      <c r="AM36">
        <f>SOLID!AQ5</f>
        <v>0</v>
      </c>
      <c r="AN36">
        <f>SOLID!AR5</f>
        <v>0</v>
      </c>
      <c r="AO36">
        <f>SOLID!AS5</f>
        <v>0</v>
      </c>
      <c r="AP36">
        <f>SOLID!AT5</f>
        <v>0</v>
      </c>
      <c r="AQ36">
        <f>SOLID!AU5</f>
        <v>0</v>
      </c>
      <c r="AR36">
        <f>SOLID!AV5</f>
        <v>0</v>
      </c>
      <c r="AS36">
        <f>SOLID!AW5</f>
        <v>0</v>
      </c>
      <c r="AT36">
        <f>SOLID!AX5</f>
        <v>0</v>
      </c>
      <c r="AU36">
        <f>SOLID!AY5</f>
        <v>0</v>
      </c>
      <c r="AV36">
        <f>SOLID!AZ5</f>
        <v>0</v>
      </c>
      <c r="AW36">
        <f>SOLID!BA5</f>
        <v>0</v>
      </c>
      <c r="AX36">
        <f>SOLID!BB5</f>
        <v>0</v>
      </c>
      <c r="AY36">
        <f>SOLID!BC5</f>
        <v>0</v>
      </c>
      <c r="AZ36">
        <f>SOLID!BD5</f>
        <v>0</v>
      </c>
      <c r="BA36">
        <f>SOLID!BE5</f>
        <v>0</v>
      </c>
      <c r="BB36">
        <f>SOLID!BF5</f>
        <v>0</v>
      </c>
      <c r="BC36">
        <f>SOLID!BG5</f>
        <v>0</v>
      </c>
      <c r="BD36">
        <f>SOLID!BH5</f>
        <v>0</v>
      </c>
      <c r="BE36">
        <f>SOLID!BI5</f>
        <v>0</v>
      </c>
      <c r="BF36">
        <f>SOLID!BJ5</f>
        <v>0</v>
      </c>
      <c r="BG36">
        <f>SOLID!BK5</f>
        <v>0</v>
      </c>
      <c r="BH36">
        <f>SOLID!BL5</f>
        <v>0</v>
      </c>
      <c r="BI36">
        <f>SOLID!BM5</f>
        <v>0</v>
      </c>
      <c r="BJ36">
        <f>SOLID!BN5</f>
        <v>0</v>
      </c>
      <c r="BK36">
        <f>SOLID!BO5</f>
        <v>0</v>
      </c>
      <c r="BL36">
        <f>SOLID!BP5</f>
        <v>0</v>
      </c>
      <c r="BM36">
        <f>SOLID!BQ5</f>
        <v>0</v>
      </c>
      <c r="BN36">
        <f>SOLID!BR5</f>
        <v>0</v>
      </c>
      <c r="BO36">
        <f>SOLID!BS5</f>
        <v>0</v>
      </c>
      <c r="BP36">
        <f>SOLID!BT5</f>
        <v>0</v>
      </c>
      <c r="BQ36">
        <f>SOLID!BU5</f>
        <v>0</v>
      </c>
      <c r="BR36">
        <f>SOLID!BV5</f>
        <v>0</v>
      </c>
      <c r="BS36">
        <f>SOLID!BW5</f>
        <v>0</v>
      </c>
      <c r="BT36">
        <f>SOLID!BX5</f>
        <v>0</v>
      </c>
    </row>
    <row r="37" spans="1:72" ht="21.75" outlineLevel="1" thickBot="1" x14ac:dyDescent="0.4">
      <c r="A37" s="61" t="str">
        <f>SOLID!E6</f>
        <v>*Ga[l]</v>
      </c>
      <c r="B37" s="28">
        <f>SOLID!F6</f>
        <v>0</v>
      </c>
      <c r="C37" s="28">
        <f>SOLID!G6</f>
        <v>0</v>
      </c>
      <c r="D37" s="28">
        <f>SOLID!H6</f>
        <v>0</v>
      </c>
      <c r="E37" s="28">
        <f>SOLID!I6</f>
        <v>0</v>
      </c>
      <c r="F37" s="28">
        <f>SOLID!J6</f>
        <v>0</v>
      </c>
      <c r="G37" s="28">
        <f>SOLID!K6</f>
        <v>0</v>
      </c>
      <c r="H37" s="28">
        <f>SOLID!L6</f>
        <v>0</v>
      </c>
      <c r="I37" s="28">
        <f>SOLID!M6</f>
        <v>0</v>
      </c>
      <c r="J37" s="28">
        <f>SOLID!N6</f>
        <v>0</v>
      </c>
      <c r="K37" s="28">
        <f>SOLID!O6</f>
        <v>0</v>
      </c>
      <c r="L37" s="28">
        <f>SOLID!P6</f>
        <v>0</v>
      </c>
      <c r="M37" s="28">
        <f>SOLID!Q6</f>
        <v>0</v>
      </c>
      <c r="N37" s="28">
        <f>SOLID!R6</f>
        <v>0</v>
      </c>
      <c r="O37" s="28">
        <f>SOLID!S6</f>
        <v>0</v>
      </c>
      <c r="P37" s="28">
        <f>SOLID!T6</f>
        <v>2.1572000000000002E-31</v>
      </c>
      <c r="Q37" s="28">
        <f>SOLID!U6</f>
        <v>1.5057E-27</v>
      </c>
      <c r="R37" s="28">
        <f>SOLID!V6</f>
        <v>6.8638000000000005E-23</v>
      </c>
      <c r="S37" s="28">
        <f>SOLID!W6</f>
        <v>7.9580000000000003E-23</v>
      </c>
      <c r="T37" s="28">
        <f>SOLID!X6</f>
        <v>6.1874000000000002E-17</v>
      </c>
      <c r="U37" s="28">
        <f>SOLID!Y6</f>
        <v>5.1635999999999997E-16</v>
      </c>
      <c r="V37" s="28">
        <f>SOLID!Z6</f>
        <v>3.1504999999999998E-9</v>
      </c>
      <c r="W37" s="28">
        <f>SOLID!AA6</f>
        <v>3.9756000000000002E-7</v>
      </c>
      <c r="X37" s="28">
        <f>SOLID!AB6</f>
        <v>2.9050000000000001E-7</v>
      </c>
      <c r="Y37" s="28">
        <f>SOLID!AC6</f>
        <v>6.5820000000000003E-8</v>
      </c>
      <c r="Z37" s="28">
        <f>SOLID!AD6</f>
        <v>1.1147E-8</v>
      </c>
      <c r="AA37" s="28">
        <f>SOLID!AE6</f>
        <v>0</v>
      </c>
      <c r="AB37" s="28">
        <f>SOLID!AF6</f>
        <v>0</v>
      </c>
      <c r="AC37" s="28">
        <f>SOLID!AG6</f>
        <v>0</v>
      </c>
      <c r="AD37" s="28">
        <f>SOLID!AH6</f>
        <v>0</v>
      </c>
      <c r="AE37" s="28">
        <f>SOLID!AI6</f>
        <v>0</v>
      </c>
      <c r="AF37" s="28">
        <f>SOLID!AJ6</f>
        <v>0</v>
      </c>
      <c r="AG37" s="28">
        <f>SOLID!AK6</f>
        <v>0</v>
      </c>
      <c r="AH37" s="28">
        <f>SOLID!AL6</f>
        <v>0</v>
      </c>
      <c r="AI37" s="28">
        <f>SOLID!AM6</f>
        <v>0</v>
      </c>
      <c r="AJ37">
        <f>SOLID!AN6</f>
        <v>0</v>
      </c>
      <c r="AK37">
        <f>SOLID!AO6</f>
        <v>0</v>
      </c>
      <c r="AL37">
        <f>SOLID!AP6</f>
        <v>0</v>
      </c>
      <c r="AM37">
        <f>SOLID!AQ6</f>
        <v>0</v>
      </c>
      <c r="AN37">
        <f>SOLID!AR6</f>
        <v>0</v>
      </c>
      <c r="AO37">
        <f>SOLID!AS6</f>
        <v>0</v>
      </c>
      <c r="AP37">
        <f>SOLID!AT6</f>
        <v>0</v>
      </c>
      <c r="AQ37">
        <f>SOLID!AU6</f>
        <v>0</v>
      </c>
      <c r="AR37">
        <f>SOLID!AV6</f>
        <v>0</v>
      </c>
      <c r="AS37">
        <f>SOLID!AW6</f>
        <v>0</v>
      </c>
      <c r="AT37">
        <f>SOLID!AX6</f>
        <v>0</v>
      </c>
      <c r="AU37">
        <f>SOLID!AY6</f>
        <v>0</v>
      </c>
      <c r="AV37">
        <f>SOLID!AZ6</f>
        <v>0</v>
      </c>
      <c r="AW37">
        <f>SOLID!BA6</f>
        <v>0</v>
      </c>
      <c r="AX37">
        <f>SOLID!BB6</f>
        <v>0</v>
      </c>
      <c r="AY37">
        <f>SOLID!BC6</f>
        <v>0</v>
      </c>
      <c r="AZ37">
        <f>SOLID!BD6</f>
        <v>0</v>
      </c>
      <c r="BA37">
        <f>SOLID!BE6</f>
        <v>0</v>
      </c>
      <c r="BB37">
        <f>SOLID!BF6</f>
        <v>0</v>
      </c>
      <c r="BC37">
        <f>SOLID!BG6</f>
        <v>0</v>
      </c>
      <c r="BD37">
        <f>SOLID!BH6</f>
        <v>0</v>
      </c>
      <c r="BE37">
        <f>SOLID!BI6</f>
        <v>0</v>
      </c>
      <c r="BF37">
        <f>SOLID!BJ6</f>
        <v>0</v>
      </c>
      <c r="BG37">
        <f>SOLID!BK6</f>
        <v>0</v>
      </c>
      <c r="BH37">
        <f>SOLID!BL6</f>
        <v>0</v>
      </c>
      <c r="BI37">
        <f>SOLID!BM6</f>
        <v>0</v>
      </c>
      <c r="BJ37">
        <f>SOLID!BN6</f>
        <v>0</v>
      </c>
      <c r="BK37">
        <f>SOLID!BO6</f>
        <v>0</v>
      </c>
      <c r="BL37">
        <f>SOLID!BP6</f>
        <v>0</v>
      </c>
      <c r="BM37">
        <f>SOLID!BQ6</f>
        <v>0</v>
      </c>
      <c r="BN37">
        <f>SOLID!BR6</f>
        <v>0</v>
      </c>
      <c r="BO37">
        <f>SOLID!BS6</f>
        <v>0</v>
      </c>
      <c r="BP37">
        <f>SOLID!BT6</f>
        <v>0</v>
      </c>
      <c r="BQ37">
        <f>SOLID!BU6</f>
        <v>0</v>
      </c>
      <c r="BR37">
        <f>SOLID!BV6</f>
        <v>0</v>
      </c>
      <c r="BS37">
        <f>SOLID!BW6</f>
        <v>0</v>
      </c>
      <c r="BT37">
        <f>SOLID!BX6</f>
        <v>0</v>
      </c>
    </row>
    <row r="38" spans="1:72" ht="21.75" outlineLevel="1" thickBot="1" x14ac:dyDescent="0.4">
      <c r="A38" s="61" t="str">
        <f>SOLID!E7</f>
        <v>*Ga2Se</v>
      </c>
      <c r="B38" s="28">
        <f>SOLID!F7</f>
        <v>0</v>
      </c>
      <c r="C38" s="28">
        <f>SOLID!G7</f>
        <v>0</v>
      </c>
      <c r="D38" s="28">
        <f>SOLID!H7</f>
        <v>0</v>
      </c>
      <c r="E38" s="28">
        <f>SOLID!I7</f>
        <v>0</v>
      </c>
      <c r="F38" s="28">
        <f>SOLID!J7</f>
        <v>0</v>
      </c>
      <c r="G38" s="28">
        <f>SOLID!K7</f>
        <v>0</v>
      </c>
      <c r="H38" s="28">
        <f>SOLID!L7</f>
        <v>0</v>
      </c>
      <c r="I38" s="28">
        <f>SOLID!M7</f>
        <v>0</v>
      </c>
      <c r="J38" s="28">
        <f>SOLID!N7</f>
        <v>0</v>
      </c>
      <c r="K38" s="28">
        <f>SOLID!O7</f>
        <v>0</v>
      </c>
      <c r="L38" s="28">
        <f>SOLID!P7</f>
        <v>0</v>
      </c>
      <c r="M38" s="28">
        <f>SOLID!Q7</f>
        <v>0</v>
      </c>
      <c r="N38" s="28">
        <f>SOLID!R7</f>
        <v>0</v>
      </c>
      <c r="O38" s="28">
        <f>SOLID!S7</f>
        <v>0</v>
      </c>
      <c r="P38" s="28">
        <f>SOLID!T7</f>
        <v>2.482E-22</v>
      </c>
      <c r="Q38" s="28">
        <f>SOLID!U7</f>
        <v>4.1234E-18</v>
      </c>
      <c r="R38" s="28">
        <f>SOLID!V7</f>
        <v>4.5319000000000001E-13</v>
      </c>
      <c r="S38" s="28">
        <f>SOLID!W7</f>
        <v>2.2366E-8</v>
      </c>
      <c r="T38" s="28">
        <f>SOLID!X7</f>
        <v>2.4235E-2</v>
      </c>
      <c r="U38" s="28">
        <f>SOLID!Y7</f>
        <v>3.5584999999999999E-2</v>
      </c>
      <c r="V38" s="28">
        <f>SOLID!Z7</f>
        <v>2.9937000000000001E-7</v>
      </c>
      <c r="W38" s="28">
        <f>SOLID!AA7</f>
        <v>2.7884000000000001E-21</v>
      </c>
      <c r="X38" s="28">
        <f>SOLID!AB7</f>
        <v>0</v>
      </c>
      <c r="Y38" s="28">
        <f>SOLID!AC7</f>
        <v>0</v>
      </c>
      <c r="Z38" s="28">
        <f>SOLID!AD7</f>
        <v>0</v>
      </c>
      <c r="AA38" s="28">
        <f>SOLID!AE7</f>
        <v>0</v>
      </c>
      <c r="AB38" s="28">
        <f>SOLID!AF7</f>
        <v>0</v>
      </c>
      <c r="AC38" s="28">
        <f>SOLID!AG7</f>
        <v>0</v>
      </c>
      <c r="AD38" s="28">
        <f>SOLID!AH7</f>
        <v>0</v>
      </c>
      <c r="AE38" s="28">
        <f>SOLID!AI7</f>
        <v>0</v>
      </c>
      <c r="AF38" s="28">
        <f>SOLID!AJ7</f>
        <v>0</v>
      </c>
      <c r="AG38" s="28">
        <f>SOLID!AK7</f>
        <v>0</v>
      </c>
      <c r="AH38" s="28">
        <f>SOLID!AL7</f>
        <v>0</v>
      </c>
      <c r="AI38" s="28">
        <f>SOLID!AM7</f>
        <v>0</v>
      </c>
      <c r="AJ38">
        <f>SOLID!AN7</f>
        <v>0</v>
      </c>
      <c r="AK38">
        <f>SOLID!AO7</f>
        <v>0</v>
      </c>
      <c r="AL38">
        <f>SOLID!AP7</f>
        <v>0</v>
      </c>
      <c r="AM38">
        <f>SOLID!AQ7</f>
        <v>0</v>
      </c>
      <c r="AN38">
        <f>SOLID!AR7</f>
        <v>0</v>
      </c>
      <c r="AO38">
        <f>SOLID!AS7</f>
        <v>0</v>
      </c>
      <c r="AP38">
        <f>SOLID!AT7</f>
        <v>0</v>
      </c>
      <c r="AQ38">
        <f>SOLID!AU7</f>
        <v>0</v>
      </c>
      <c r="AR38">
        <f>SOLID!AV7</f>
        <v>0</v>
      </c>
      <c r="AS38">
        <f>SOLID!AW7</f>
        <v>0</v>
      </c>
      <c r="AT38">
        <f>SOLID!AX7</f>
        <v>0</v>
      </c>
      <c r="AU38">
        <f>SOLID!AY7</f>
        <v>0</v>
      </c>
      <c r="AV38">
        <f>SOLID!AZ7</f>
        <v>0</v>
      </c>
      <c r="AW38">
        <f>SOLID!BA7</f>
        <v>0</v>
      </c>
      <c r="AX38">
        <f>SOLID!BB7</f>
        <v>0</v>
      </c>
      <c r="AY38">
        <f>SOLID!BC7</f>
        <v>0</v>
      </c>
      <c r="AZ38">
        <f>SOLID!BD7</f>
        <v>0</v>
      </c>
      <c r="BA38">
        <f>SOLID!BE7</f>
        <v>0</v>
      </c>
      <c r="BB38">
        <f>SOLID!BF7</f>
        <v>0</v>
      </c>
      <c r="BC38">
        <f>SOLID!BG7</f>
        <v>0</v>
      </c>
      <c r="BD38">
        <f>SOLID!BH7</f>
        <v>0</v>
      </c>
      <c r="BE38">
        <f>SOLID!BI7</f>
        <v>0</v>
      </c>
      <c r="BF38">
        <f>SOLID!BJ7</f>
        <v>0</v>
      </c>
      <c r="BG38">
        <f>SOLID!BK7</f>
        <v>0</v>
      </c>
      <c r="BH38">
        <f>SOLID!BL7</f>
        <v>0</v>
      </c>
      <c r="BI38">
        <f>SOLID!BM7</f>
        <v>0</v>
      </c>
      <c r="BJ38">
        <f>SOLID!BN7</f>
        <v>0</v>
      </c>
      <c r="BK38">
        <f>SOLID!BO7</f>
        <v>0</v>
      </c>
      <c r="BL38">
        <f>SOLID!BP7</f>
        <v>0</v>
      </c>
      <c r="BM38">
        <f>SOLID!BQ7</f>
        <v>0</v>
      </c>
      <c r="BN38">
        <f>SOLID!BR7</f>
        <v>0</v>
      </c>
      <c r="BO38">
        <f>SOLID!BS7</f>
        <v>0</v>
      </c>
      <c r="BP38">
        <f>SOLID!BT7</f>
        <v>0</v>
      </c>
      <c r="BQ38">
        <f>SOLID!BU7</f>
        <v>0</v>
      </c>
      <c r="BR38">
        <f>SOLID!BV7</f>
        <v>0</v>
      </c>
      <c r="BS38">
        <f>SOLID!BW7</f>
        <v>0</v>
      </c>
      <c r="BT38">
        <f>SOLID!BX7</f>
        <v>0</v>
      </c>
    </row>
    <row r="39" spans="1:72" ht="21.75" outlineLevel="1" thickBot="1" x14ac:dyDescent="0.4">
      <c r="A39" s="61" t="str">
        <f>SOLID!E8</f>
        <v>*Ge[c]</v>
      </c>
      <c r="B39" s="28">
        <f>SOLID!F8</f>
        <v>0</v>
      </c>
      <c r="C39" s="28">
        <f>SOLID!G8</f>
        <v>0</v>
      </c>
      <c r="D39" s="28">
        <f>SOLID!H8</f>
        <v>0</v>
      </c>
      <c r="E39" s="28">
        <f>SOLID!I8</f>
        <v>0</v>
      </c>
      <c r="F39" s="28">
        <f>SOLID!J8</f>
        <v>0</v>
      </c>
      <c r="G39" s="28">
        <f>SOLID!K8</f>
        <v>3.8258999999999998E-18</v>
      </c>
      <c r="H39" s="28">
        <f>SOLID!L8</f>
        <v>1.6139000000000001E-13</v>
      </c>
      <c r="I39" s="28">
        <f>SOLID!M8</f>
        <v>8.4388000000000001E-11</v>
      </c>
      <c r="J39" s="28">
        <f>SOLID!N8</f>
        <v>1.4055E-9</v>
      </c>
      <c r="K39" s="28">
        <f>SOLID!O8</f>
        <v>6.719E-2</v>
      </c>
      <c r="L39" s="28">
        <f>SOLID!P8</f>
        <v>0.12</v>
      </c>
      <c r="M39" s="28">
        <f>SOLID!Q8</f>
        <v>0.12</v>
      </c>
      <c r="N39" s="28">
        <f>SOLID!R8</f>
        <v>0.12</v>
      </c>
      <c r="O39" s="28">
        <f>SOLID!S8</f>
        <v>0.12</v>
      </c>
      <c r="P39" s="28">
        <f>SOLID!T8</f>
        <v>0.12</v>
      </c>
      <c r="Q39" s="28">
        <f>SOLID!U8</f>
        <v>0.12</v>
      </c>
      <c r="R39" s="28">
        <f>SOLID!V8</f>
        <v>0.12</v>
      </c>
      <c r="S39" s="28">
        <f>SOLID!W8</f>
        <v>0.12</v>
      </c>
      <c r="T39" s="28">
        <f>SOLID!X8</f>
        <v>0.12</v>
      </c>
      <c r="U39" s="28">
        <f>SOLID!Y8</f>
        <v>0.12</v>
      </c>
      <c r="V39" s="28">
        <f>SOLID!Z8</f>
        <v>0.11315</v>
      </c>
      <c r="W39" s="28">
        <f>SOLID!AA8</f>
        <v>0.11173</v>
      </c>
      <c r="X39" s="28">
        <f>SOLID!AB8</f>
        <v>0.11027000000000001</v>
      </c>
      <c r="Y39" s="28">
        <f>SOLID!AC8</f>
        <v>0.10192</v>
      </c>
      <c r="Z39" s="28">
        <f>SOLID!AD8</f>
        <v>8.5938000000000001E-2</v>
      </c>
      <c r="AA39" s="28">
        <f>SOLID!AE8</f>
        <v>0</v>
      </c>
      <c r="AB39" s="28">
        <f>SOLID!AF8</f>
        <v>0</v>
      </c>
      <c r="AC39" s="28">
        <f>SOLID!AG8</f>
        <v>0</v>
      </c>
      <c r="AD39" s="28">
        <f>SOLID!AH8</f>
        <v>0</v>
      </c>
      <c r="AE39" s="28">
        <f>SOLID!AI8</f>
        <v>0</v>
      </c>
      <c r="AF39" s="28">
        <f>SOLID!AJ8</f>
        <v>0</v>
      </c>
      <c r="AG39" s="28">
        <f>SOLID!AK8</f>
        <v>0</v>
      </c>
      <c r="AH39" s="28">
        <f>SOLID!AL8</f>
        <v>0</v>
      </c>
      <c r="AI39" s="28">
        <f>SOLID!AM8</f>
        <v>0</v>
      </c>
      <c r="AJ39">
        <f>SOLID!AN8</f>
        <v>0</v>
      </c>
      <c r="AK39">
        <f>SOLID!AO8</f>
        <v>0</v>
      </c>
      <c r="AL39">
        <f>SOLID!AP8</f>
        <v>0</v>
      </c>
      <c r="AM39">
        <f>SOLID!AQ8</f>
        <v>0</v>
      </c>
      <c r="AN39">
        <f>SOLID!AR8</f>
        <v>0</v>
      </c>
      <c r="AO39">
        <f>SOLID!AS8</f>
        <v>0</v>
      </c>
      <c r="AP39">
        <f>SOLID!AT8</f>
        <v>0</v>
      </c>
      <c r="AQ39">
        <f>SOLID!AU8</f>
        <v>0</v>
      </c>
      <c r="AR39">
        <f>SOLID!AV8</f>
        <v>0</v>
      </c>
      <c r="AS39">
        <f>SOLID!AW8</f>
        <v>0</v>
      </c>
      <c r="AT39">
        <f>SOLID!AX8</f>
        <v>0</v>
      </c>
      <c r="AU39">
        <f>SOLID!AY8</f>
        <v>0</v>
      </c>
      <c r="AV39">
        <f>SOLID!AZ8</f>
        <v>0</v>
      </c>
      <c r="AW39">
        <f>SOLID!BA8</f>
        <v>0</v>
      </c>
      <c r="AX39">
        <f>SOLID!BB8</f>
        <v>0</v>
      </c>
      <c r="AY39">
        <f>SOLID!BC8</f>
        <v>0</v>
      </c>
      <c r="AZ39">
        <f>SOLID!BD8</f>
        <v>0</v>
      </c>
      <c r="BA39">
        <f>SOLID!BE8</f>
        <v>0</v>
      </c>
      <c r="BB39">
        <f>SOLID!BF8</f>
        <v>0</v>
      </c>
      <c r="BC39">
        <f>SOLID!BG8</f>
        <v>0</v>
      </c>
      <c r="BD39">
        <f>SOLID!BH8</f>
        <v>0</v>
      </c>
      <c r="BE39">
        <f>SOLID!BI8</f>
        <v>0</v>
      </c>
      <c r="BF39">
        <f>SOLID!BJ8</f>
        <v>0</v>
      </c>
      <c r="BG39">
        <f>SOLID!BK8</f>
        <v>0</v>
      </c>
      <c r="BH39">
        <f>SOLID!BL8</f>
        <v>0</v>
      </c>
      <c r="BI39">
        <f>SOLID!BM8</f>
        <v>0</v>
      </c>
      <c r="BJ39">
        <f>SOLID!BN8</f>
        <v>0</v>
      </c>
      <c r="BK39">
        <f>SOLID!BO8</f>
        <v>0</v>
      </c>
      <c r="BL39">
        <f>SOLID!BP8</f>
        <v>0</v>
      </c>
      <c r="BM39">
        <f>SOLID!BQ8</f>
        <v>0</v>
      </c>
      <c r="BN39">
        <f>SOLID!BR8</f>
        <v>0</v>
      </c>
      <c r="BO39">
        <f>SOLID!BS8</f>
        <v>0</v>
      </c>
      <c r="BP39">
        <f>SOLID!BT8</f>
        <v>0</v>
      </c>
      <c r="BQ39">
        <f>SOLID!BU8</f>
        <v>0</v>
      </c>
      <c r="BR39">
        <f>SOLID!BV8</f>
        <v>0</v>
      </c>
      <c r="BS39">
        <f>SOLID!BW8</f>
        <v>0</v>
      </c>
      <c r="BT39">
        <f>SOLID!BX8</f>
        <v>0</v>
      </c>
    </row>
    <row r="40" spans="1:72" ht="21.75" outlineLevel="1" thickBot="1" x14ac:dyDescent="0.4">
      <c r="A40" s="61" t="str">
        <f>SOLID!E9</f>
        <v>*Se[m]</v>
      </c>
      <c r="B40" s="28">
        <f>SOLID!F9</f>
        <v>4.6744E-24</v>
      </c>
      <c r="C40" s="28">
        <f>SOLID!G9</f>
        <v>8.8713000000000006E-17</v>
      </c>
      <c r="D40" s="28">
        <f>SOLID!H9</f>
        <v>7.5023000000000003E-11</v>
      </c>
      <c r="E40" s="28">
        <f>SOLID!I9</f>
        <v>2.4996999999999999E-8</v>
      </c>
      <c r="F40" s="28">
        <f>SOLID!J9</f>
        <v>0.12</v>
      </c>
      <c r="G40" s="28">
        <f>SOLID!K9</f>
        <v>0.12</v>
      </c>
      <c r="H40" s="28">
        <f>SOLID!L9</f>
        <v>0.12</v>
      </c>
      <c r="I40" s="28">
        <f>SOLID!M9</f>
        <v>0.12</v>
      </c>
      <c r="J40" s="28">
        <f>SOLID!N9</f>
        <v>0.12</v>
      </c>
      <c r="K40" s="28">
        <f>SOLID!O9</f>
        <v>0.25438</v>
      </c>
      <c r="L40" s="28">
        <f>SOLID!P9</f>
        <v>0.36</v>
      </c>
      <c r="M40" s="28">
        <f>SOLID!Q9</f>
        <v>0.36</v>
      </c>
      <c r="N40" s="28">
        <f>SOLID!R9</f>
        <v>0.36</v>
      </c>
      <c r="O40" s="28">
        <f>SOLID!S9</f>
        <v>0.36</v>
      </c>
      <c r="P40" s="28">
        <f>SOLID!T9</f>
        <v>0.36</v>
      </c>
      <c r="Q40" s="28">
        <f>SOLID!U9</f>
        <v>0.36</v>
      </c>
      <c r="R40" s="28">
        <f>SOLID!V9</f>
        <v>0.36</v>
      </c>
      <c r="S40" s="28">
        <f>SOLID!W9</f>
        <v>0.36</v>
      </c>
      <c r="T40" s="28">
        <f>SOLID!X9</f>
        <v>0.40847</v>
      </c>
      <c r="U40" s="28">
        <f>SOLID!Y9</f>
        <v>0.43117</v>
      </c>
      <c r="V40" s="28">
        <f>SOLID!Z9</f>
        <v>0.47654000000000002</v>
      </c>
      <c r="W40" s="28">
        <f>SOLID!AA9</f>
        <v>0.47964000000000001</v>
      </c>
      <c r="X40" s="28">
        <f>SOLID!AB9</f>
        <v>0.47996</v>
      </c>
      <c r="Y40" s="28">
        <f>SOLID!AC9</f>
        <v>0.48</v>
      </c>
      <c r="Z40" s="28">
        <f>SOLID!AD9</f>
        <v>0.48</v>
      </c>
      <c r="AA40" s="28">
        <f>SOLID!AE9</f>
        <v>0</v>
      </c>
      <c r="AB40" s="28">
        <f>SOLID!AF9</f>
        <v>0</v>
      </c>
      <c r="AC40" s="28">
        <f>SOLID!AG9</f>
        <v>0</v>
      </c>
      <c r="AD40" s="28">
        <f>SOLID!AH9</f>
        <v>0</v>
      </c>
      <c r="AE40" s="28">
        <f>SOLID!AI9</f>
        <v>0</v>
      </c>
      <c r="AF40" s="28">
        <f>SOLID!AJ9</f>
        <v>0</v>
      </c>
      <c r="AG40" s="28">
        <f>SOLID!AK9</f>
        <v>0</v>
      </c>
      <c r="AH40" s="28">
        <f>SOLID!AL9</f>
        <v>0</v>
      </c>
      <c r="AI40" s="28">
        <f>SOLID!AM9</f>
        <v>0</v>
      </c>
      <c r="AJ40">
        <f>SOLID!AN9</f>
        <v>0</v>
      </c>
      <c r="AK40">
        <f>SOLID!AO9</f>
        <v>0</v>
      </c>
      <c r="AL40">
        <f>SOLID!AP9</f>
        <v>0</v>
      </c>
      <c r="AM40">
        <f>SOLID!AQ9</f>
        <v>0</v>
      </c>
      <c r="AN40">
        <f>SOLID!AR9</f>
        <v>0</v>
      </c>
      <c r="AO40">
        <f>SOLID!AS9</f>
        <v>0</v>
      </c>
      <c r="AP40">
        <f>SOLID!AT9</f>
        <v>0</v>
      </c>
      <c r="AQ40">
        <f>SOLID!AU9</f>
        <v>0</v>
      </c>
      <c r="AR40">
        <f>SOLID!AV9</f>
        <v>0</v>
      </c>
      <c r="AS40">
        <f>SOLID!AW9</f>
        <v>0</v>
      </c>
      <c r="AT40">
        <f>SOLID!AX9</f>
        <v>0</v>
      </c>
      <c r="AU40">
        <f>SOLID!AY9</f>
        <v>0</v>
      </c>
      <c r="AV40">
        <f>SOLID!AZ9</f>
        <v>0</v>
      </c>
      <c r="AW40">
        <f>SOLID!BA9</f>
        <v>0</v>
      </c>
      <c r="AX40">
        <f>SOLID!BB9</f>
        <v>0</v>
      </c>
      <c r="AY40">
        <f>SOLID!BC9</f>
        <v>0</v>
      </c>
      <c r="AZ40">
        <f>SOLID!BD9</f>
        <v>0</v>
      </c>
      <c r="BA40">
        <f>SOLID!BE9</f>
        <v>0</v>
      </c>
      <c r="BB40">
        <f>SOLID!BF9</f>
        <v>0</v>
      </c>
      <c r="BC40">
        <f>SOLID!BG9</f>
        <v>0</v>
      </c>
      <c r="BD40">
        <f>SOLID!BH9</f>
        <v>0</v>
      </c>
      <c r="BE40">
        <f>SOLID!BI9</f>
        <v>0</v>
      </c>
      <c r="BF40">
        <f>SOLID!BJ9</f>
        <v>0</v>
      </c>
      <c r="BG40">
        <f>SOLID!BK9</f>
        <v>0</v>
      </c>
      <c r="BH40">
        <f>SOLID!BL9</f>
        <v>0</v>
      </c>
      <c r="BI40">
        <f>SOLID!BM9</f>
        <v>0</v>
      </c>
      <c r="BJ40">
        <f>SOLID!BN9</f>
        <v>0</v>
      </c>
      <c r="BK40">
        <f>SOLID!BO9</f>
        <v>0</v>
      </c>
      <c r="BL40">
        <f>SOLID!BP9</f>
        <v>0</v>
      </c>
      <c r="BM40">
        <f>SOLID!BQ9</f>
        <v>0</v>
      </c>
      <c r="BN40">
        <f>SOLID!BR9</f>
        <v>0</v>
      </c>
      <c r="BO40">
        <f>SOLID!BS9</f>
        <v>0</v>
      </c>
      <c r="BP40">
        <f>SOLID!BT9</f>
        <v>0</v>
      </c>
      <c r="BQ40">
        <f>SOLID!BU9</f>
        <v>0</v>
      </c>
      <c r="BR40">
        <f>SOLID!BV9</f>
        <v>0</v>
      </c>
      <c r="BS40">
        <f>SOLID!BW9</f>
        <v>0</v>
      </c>
      <c r="BT40">
        <f>SOLID!BX9</f>
        <v>0</v>
      </c>
    </row>
    <row r="41" spans="1:72" ht="21.75" outlineLevel="1" thickBot="1" x14ac:dyDescent="0.4">
      <c r="A41" s="61" t="str">
        <f>SOLID!E10</f>
        <v>*GeSe2</v>
      </c>
      <c r="B41" s="28">
        <f>SOLID!F10</f>
        <v>0.12</v>
      </c>
      <c r="C41" s="28">
        <f>SOLID!G10</f>
        <v>0.12</v>
      </c>
      <c r="D41" s="28">
        <f>SOLID!H10</f>
        <v>0.12</v>
      </c>
      <c r="E41" s="28">
        <f>SOLID!I10</f>
        <v>0.12</v>
      </c>
      <c r="F41" s="28">
        <f>SOLID!J10</f>
        <v>6.8576999999999996E-9</v>
      </c>
      <c r="G41" s="28">
        <f>SOLID!K10</f>
        <v>3.5479000000000002E-18</v>
      </c>
      <c r="H41" s="28">
        <f>SOLID!L10</f>
        <v>3.3890000000000001E-21</v>
      </c>
      <c r="I41" s="28">
        <f>SOLID!M10</f>
        <v>2.8891000000000001E-29</v>
      </c>
      <c r="J41" s="28">
        <f>SOLID!N10</f>
        <v>0</v>
      </c>
      <c r="K41" s="28">
        <f>SOLID!O10</f>
        <v>0</v>
      </c>
      <c r="L41" s="28">
        <f>SOLID!P10</f>
        <v>0</v>
      </c>
      <c r="M41" s="28">
        <f>SOLID!Q10</f>
        <v>0</v>
      </c>
      <c r="N41" s="28">
        <f>SOLID!R10</f>
        <v>0</v>
      </c>
      <c r="O41" s="28">
        <f>SOLID!S10</f>
        <v>0</v>
      </c>
      <c r="P41" s="28">
        <f>SOLID!T10</f>
        <v>0</v>
      </c>
      <c r="Q41" s="28">
        <f>SOLID!U10</f>
        <v>0</v>
      </c>
      <c r="R41" s="28">
        <f>SOLID!V10</f>
        <v>0</v>
      </c>
      <c r="S41" s="28">
        <f>SOLID!W10</f>
        <v>0</v>
      </c>
      <c r="T41" s="28">
        <f>SOLID!X10</f>
        <v>0</v>
      </c>
      <c r="U41" s="28">
        <f>SOLID!Y10</f>
        <v>0</v>
      </c>
      <c r="V41" s="28">
        <f>SOLID!Z10</f>
        <v>0</v>
      </c>
      <c r="W41" s="28">
        <f>SOLID!AA10</f>
        <v>0</v>
      </c>
      <c r="X41" s="28">
        <f>SOLID!AB10</f>
        <v>0</v>
      </c>
      <c r="Y41" s="28">
        <f>SOLID!AC10</f>
        <v>0</v>
      </c>
      <c r="Z41" s="28">
        <f>SOLID!AD10</f>
        <v>0</v>
      </c>
      <c r="AA41" s="28">
        <f>SOLID!AE10</f>
        <v>0</v>
      </c>
      <c r="AB41" s="28">
        <f>SOLID!AF10</f>
        <v>0</v>
      </c>
      <c r="AC41" s="28">
        <f>SOLID!AG10</f>
        <v>0</v>
      </c>
      <c r="AD41" s="28">
        <f>SOLID!AH10</f>
        <v>0</v>
      </c>
      <c r="AE41" s="28">
        <f>SOLID!AI10</f>
        <v>0</v>
      </c>
      <c r="AF41" s="28">
        <f>SOLID!AJ10</f>
        <v>0</v>
      </c>
      <c r="AG41" s="28">
        <f>SOLID!AK10</f>
        <v>0</v>
      </c>
      <c r="AH41" s="28">
        <f>SOLID!AL10</f>
        <v>0</v>
      </c>
      <c r="AI41" s="28">
        <f>SOLID!AM10</f>
        <v>0</v>
      </c>
      <c r="AJ41">
        <f>SOLID!AN10</f>
        <v>0</v>
      </c>
      <c r="AK41">
        <f>SOLID!AO10</f>
        <v>0</v>
      </c>
      <c r="AL41">
        <f>SOLID!AP10</f>
        <v>0</v>
      </c>
      <c r="AM41">
        <f>SOLID!AQ10</f>
        <v>0</v>
      </c>
      <c r="AN41">
        <f>SOLID!AR10</f>
        <v>0</v>
      </c>
      <c r="AO41">
        <f>SOLID!AS10</f>
        <v>0</v>
      </c>
      <c r="AP41">
        <f>SOLID!AT10</f>
        <v>0</v>
      </c>
      <c r="AQ41">
        <f>SOLID!AU10</f>
        <v>0</v>
      </c>
      <c r="AR41">
        <f>SOLID!AV10</f>
        <v>0</v>
      </c>
      <c r="AS41">
        <f>SOLID!AW10</f>
        <v>0</v>
      </c>
      <c r="AT41">
        <f>SOLID!AX10</f>
        <v>0</v>
      </c>
      <c r="AU41">
        <f>SOLID!AY10</f>
        <v>0</v>
      </c>
      <c r="AV41">
        <f>SOLID!AZ10</f>
        <v>0</v>
      </c>
      <c r="AW41">
        <f>SOLID!BA10</f>
        <v>0</v>
      </c>
      <c r="AX41">
        <f>SOLID!BB10</f>
        <v>0</v>
      </c>
      <c r="AY41">
        <f>SOLID!BC10</f>
        <v>0</v>
      </c>
      <c r="AZ41">
        <f>SOLID!BD10</f>
        <v>0</v>
      </c>
      <c r="BA41">
        <f>SOLID!BE10</f>
        <v>0</v>
      </c>
      <c r="BB41">
        <f>SOLID!BF10</f>
        <v>0</v>
      </c>
      <c r="BC41">
        <f>SOLID!BG10</f>
        <v>0</v>
      </c>
      <c r="BD41">
        <f>SOLID!BH10</f>
        <v>0</v>
      </c>
      <c r="BE41">
        <f>SOLID!BI10</f>
        <v>0</v>
      </c>
      <c r="BF41">
        <f>SOLID!BJ10</f>
        <v>0</v>
      </c>
      <c r="BG41">
        <f>SOLID!BK10</f>
        <v>0</v>
      </c>
      <c r="BH41">
        <f>SOLID!BL10</f>
        <v>0</v>
      </c>
      <c r="BI41">
        <f>SOLID!BM10</f>
        <v>0</v>
      </c>
      <c r="BJ41">
        <f>SOLID!BN10</f>
        <v>0</v>
      </c>
      <c r="BK41">
        <f>SOLID!BO10</f>
        <v>0</v>
      </c>
      <c r="BL41">
        <f>SOLID!BP10</f>
        <v>0</v>
      </c>
      <c r="BM41">
        <f>SOLID!BQ10</f>
        <v>0</v>
      </c>
      <c r="BN41">
        <f>SOLID!BR10</f>
        <v>0</v>
      </c>
      <c r="BO41">
        <f>SOLID!BS10</f>
        <v>0</v>
      </c>
      <c r="BP41">
        <f>SOLID!BT10</f>
        <v>0</v>
      </c>
      <c r="BQ41">
        <f>SOLID!BU10</f>
        <v>0</v>
      </c>
      <c r="BR41">
        <f>SOLID!BV10</f>
        <v>0</v>
      </c>
      <c r="BS41">
        <f>SOLID!BW10</f>
        <v>0</v>
      </c>
      <c r="BT41">
        <f>SOLID!BX10</f>
        <v>0</v>
      </c>
    </row>
    <row r="42" spans="1:72" ht="21.75" outlineLevel="1" thickBot="1" x14ac:dyDescent="0.4">
      <c r="A42" s="61" t="str">
        <f>SOLID!E11</f>
        <v>Ga2Se3</v>
      </c>
      <c r="B42" s="28">
        <f>SOLID!F11</f>
        <v>0.04</v>
      </c>
      <c r="C42" s="28">
        <f>SOLID!G11</f>
        <v>0.04</v>
      </c>
      <c r="D42" s="28">
        <f>SOLID!H11</f>
        <v>0.04</v>
      </c>
      <c r="E42" s="28">
        <f>SOLID!I11</f>
        <v>0.04</v>
      </c>
      <c r="F42" s="28">
        <f>SOLID!J11</f>
        <v>0.04</v>
      </c>
      <c r="G42" s="28">
        <f>SOLID!K11</f>
        <v>0.04</v>
      </c>
      <c r="H42" s="28">
        <f>SOLID!L11</f>
        <v>0.04</v>
      </c>
      <c r="I42" s="28">
        <f>SOLID!M11</f>
        <v>0.04</v>
      </c>
      <c r="J42" s="28">
        <f>SOLID!N11</f>
        <v>0.04</v>
      </c>
      <c r="K42" s="28">
        <f>SOLID!O11</f>
        <v>0.04</v>
      </c>
      <c r="L42" s="28">
        <f>SOLID!P11</f>
        <v>0.04</v>
      </c>
      <c r="M42" s="28">
        <f>SOLID!Q11</f>
        <v>0.04</v>
      </c>
      <c r="N42" s="28">
        <f>SOLID!R11</f>
        <v>0.04</v>
      </c>
      <c r="O42" s="28">
        <f>SOLID!S11</f>
        <v>0.04</v>
      </c>
      <c r="P42" s="28">
        <f>SOLID!T11</f>
        <v>0.04</v>
      </c>
      <c r="Q42" s="28">
        <f>SOLID!U11</f>
        <v>0.04</v>
      </c>
      <c r="R42" s="28">
        <f>SOLID!V11</f>
        <v>0.04</v>
      </c>
      <c r="S42" s="28">
        <f>SOLID!W11</f>
        <v>0.04</v>
      </c>
      <c r="T42" s="28">
        <f>SOLID!X11</f>
        <v>1.5765000000000001E-2</v>
      </c>
      <c r="U42" s="28">
        <f>SOLID!Y11</f>
        <v>4.4145E-3</v>
      </c>
      <c r="V42" s="28">
        <f>SOLID!Z11</f>
        <v>1.1531E-3</v>
      </c>
      <c r="W42" s="28">
        <f>SOLID!AA11</f>
        <v>1.1998999999999999E-4</v>
      </c>
      <c r="X42" s="28">
        <f>SOLID!AB11</f>
        <v>1.3539E-5</v>
      </c>
      <c r="Y42" s="28">
        <f>SOLID!AC11</f>
        <v>4.1901999999999999E-9</v>
      </c>
      <c r="Z42" s="28">
        <f>SOLID!AD11</f>
        <v>2.8184000000000002E-12</v>
      </c>
      <c r="AA42" s="28">
        <f>SOLID!AE11</f>
        <v>0</v>
      </c>
      <c r="AB42" s="28">
        <f>SOLID!AF11</f>
        <v>0</v>
      </c>
      <c r="AC42" s="28">
        <f>SOLID!AG11</f>
        <v>0</v>
      </c>
      <c r="AD42" s="28">
        <f>SOLID!AH11</f>
        <v>0</v>
      </c>
      <c r="AE42" s="28">
        <f>SOLID!AI11</f>
        <v>0</v>
      </c>
      <c r="AF42" s="28">
        <f>SOLID!AJ11</f>
        <v>0</v>
      </c>
      <c r="AG42" s="28">
        <f>SOLID!AK11</f>
        <v>0</v>
      </c>
      <c r="AH42" s="28">
        <f>SOLID!AL11</f>
        <v>0</v>
      </c>
      <c r="AI42" s="28">
        <f>SOLID!AM11</f>
        <v>0</v>
      </c>
      <c r="AJ42">
        <f>SOLID!AN11</f>
        <v>0</v>
      </c>
      <c r="AK42">
        <f>SOLID!AO11</f>
        <v>0</v>
      </c>
      <c r="AL42">
        <f>SOLID!AP11</f>
        <v>0</v>
      </c>
      <c r="AM42">
        <f>SOLID!AQ11</f>
        <v>0</v>
      </c>
      <c r="AN42">
        <f>SOLID!AR11</f>
        <v>0</v>
      </c>
      <c r="AO42">
        <f>SOLID!AS11</f>
        <v>0</v>
      </c>
      <c r="AP42">
        <f>SOLID!AT11</f>
        <v>0</v>
      </c>
      <c r="AQ42">
        <f>SOLID!AU11</f>
        <v>0</v>
      </c>
      <c r="AR42">
        <f>SOLID!AV11</f>
        <v>0</v>
      </c>
      <c r="AS42">
        <f>SOLID!AW11</f>
        <v>0</v>
      </c>
      <c r="AT42">
        <f>SOLID!AX11</f>
        <v>0</v>
      </c>
      <c r="AU42">
        <f>SOLID!AY11</f>
        <v>0</v>
      </c>
      <c r="AV42">
        <f>SOLID!AZ11</f>
        <v>0</v>
      </c>
      <c r="AW42">
        <f>SOLID!BA11</f>
        <v>0</v>
      </c>
      <c r="AX42">
        <f>SOLID!BB11</f>
        <v>0</v>
      </c>
      <c r="AY42">
        <f>SOLID!BC11</f>
        <v>0</v>
      </c>
      <c r="AZ42">
        <f>SOLID!BD11</f>
        <v>0</v>
      </c>
      <c r="BA42">
        <f>SOLID!BE11</f>
        <v>0</v>
      </c>
      <c r="BB42">
        <f>SOLID!BF11</f>
        <v>0</v>
      </c>
      <c r="BC42">
        <f>SOLID!BG11</f>
        <v>0</v>
      </c>
      <c r="BD42">
        <f>SOLID!BH11</f>
        <v>0</v>
      </c>
      <c r="BE42">
        <f>SOLID!BI11</f>
        <v>0</v>
      </c>
      <c r="BF42">
        <f>SOLID!BJ11</f>
        <v>0</v>
      </c>
      <c r="BG42">
        <f>SOLID!BK11</f>
        <v>0</v>
      </c>
      <c r="BH42">
        <f>SOLID!BL11</f>
        <v>0</v>
      </c>
      <c r="BI42">
        <f>SOLID!BM11</f>
        <v>0</v>
      </c>
      <c r="BJ42">
        <f>SOLID!BN11</f>
        <v>0</v>
      </c>
      <c r="BK42">
        <f>SOLID!BO11</f>
        <v>0</v>
      </c>
      <c r="BL42">
        <f>SOLID!BP11</f>
        <v>0</v>
      </c>
      <c r="BM42">
        <f>SOLID!BQ11</f>
        <v>0</v>
      </c>
      <c r="BN42">
        <f>SOLID!BR11</f>
        <v>0</v>
      </c>
      <c r="BO42">
        <f>SOLID!BS11</f>
        <v>0</v>
      </c>
      <c r="BP42">
        <f>SOLID!BT11</f>
        <v>0</v>
      </c>
      <c r="BQ42">
        <f>SOLID!BU11</f>
        <v>0</v>
      </c>
      <c r="BR42">
        <f>SOLID!BV11</f>
        <v>0</v>
      </c>
      <c r="BS42">
        <f>SOLID!BW11</f>
        <v>0</v>
      </c>
      <c r="BT42">
        <f>SOLID!BX11</f>
        <v>0</v>
      </c>
    </row>
    <row r="43" spans="1:72" ht="21.75" outlineLevel="1" thickBot="1" x14ac:dyDescent="0.4">
      <c r="A43" s="61" t="str">
        <f>SOLID!E12</f>
        <v>Ga2Se</v>
      </c>
      <c r="B43" s="28">
        <f>SOLID!F12</f>
        <v>0</v>
      </c>
      <c r="C43" s="28">
        <f>SOLID!G12</f>
        <v>0</v>
      </c>
      <c r="D43" s="28">
        <f>SOLID!H12</f>
        <v>0</v>
      </c>
      <c r="E43" s="28">
        <f>SOLID!I12</f>
        <v>0</v>
      </c>
      <c r="F43" s="28">
        <f>SOLID!J12</f>
        <v>0</v>
      </c>
      <c r="G43" s="28">
        <f>SOLID!K12</f>
        <v>0</v>
      </c>
      <c r="H43" s="28">
        <f>SOLID!L12</f>
        <v>8.2863999999999999E-35</v>
      </c>
      <c r="I43" s="28">
        <f>SOLID!M12</f>
        <v>3.9535999999999999E-32</v>
      </c>
      <c r="J43" s="28">
        <f>SOLID!N12</f>
        <v>1.1802E-29</v>
      </c>
      <c r="K43" s="28">
        <f>SOLID!O12</f>
        <v>2.318E-27</v>
      </c>
      <c r="L43" s="28">
        <f>SOLID!P12</f>
        <v>3.1711999999999998E-25</v>
      </c>
      <c r="M43" s="28">
        <f>SOLID!Q12</f>
        <v>3.1093000000000001E-23</v>
      </c>
      <c r="N43" s="28">
        <f>SOLID!R12</f>
        <v>2.2684999999999999E-21</v>
      </c>
      <c r="O43" s="28">
        <f>SOLID!S12</f>
        <v>1.2683999999999999E-19</v>
      </c>
      <c r="P43" s="28">
        <f>SOLID!T12</f>
        <v>1.3808E-13</v>
      </c>
      <c r="Q43" s="28">
        <f>SOLID!U12</f>
        <v>2.8290000000000002E-12</v>
      </c>
      <c r="R43" s="28">
        <f>SOLID!V12</f>
        <v>4.9786000000000001E-11</v>
      </c>
      <c r="S43" s="28">
        <f>SOLID!W12</f>
        <v>7.6181999999999996E-10</v>
      </c>
      <c r="T43" s="28">
        <f>SOLID!X12</f>
        <v>4.0387000000000001E-9</v>
      </c>
      <c r="U43" s="28">
        <f>SOLID!Y12</f>
        <v>1.3505000000000001E-8</v>
      </c>
      <c r="V43" s="28">
        <f>SOLID!Z12</f>
        <v>3.7726999999999998E-8</v>
      </c>
      <c r="W43" s="28">
        <f>SOLID!AA12</f>
        <v>3.7906000000000002E-8</v>
      </c>
      <c r="X43" s="28">
        <f>SOLID!AB12</f>
        <v>3.7554E-8</v>
      </c>
      <c r="Y43" s="28">
        <f>SOLID!AC12</f>
        <v>3.0196000000000001E-8</v>
      </c>
      <c r="Z43" s="28">
        <f>SOLID!AD12</f>
        <v>1.7782E-8</v>
      </c>
      <c r="AA43" s="28">
        <f>SOLID!AE12</f>
        <v>0</v>
      </c>
      <c r="AB43" s="28">
        <f>SOLID!AF12</f>
        <v>0</v>
      </c>
      <c r="AC43" s="28">
        <f>SOLID!AG12</f>
        <v>0</v>
      </c>
      <c r="AD43" s="28">
        <f>SOLID!AH12</f>
        <v>0</v>
      </c>
      <c r="AE43" s="28">
        <f>SOLID!AI12</f>
        <v>0</v>
      </c>
      <c r="AF43" s="28">
        <f>SOLID!AJ12</f>
        <v>0</v>
      </c>
      <c r="AG43" s="28">
        <f>SOLID!AK12</f>
        <v>0</v>
      </c>
      <c r="AH43" s="28">
        <f>SOLID!AL12</f>
        <v>0</v>
      </c>
      <c r="AI43" s="28">
        <f>SOLID!AM12</f>
        <v>0</v>
      </c>
      <c r="AJ43">
        <f>SOLID!AN12</f>
        <v>0</v>
      </c>
      <c r="AK43">
        <f>SOLID!AO12</f>
        <v>0</v>
      </c>
      <c r="AL43">
        <f>SOLID!AP12</f>
        <v>0</v>
      </c>
      <c r="AM43">
        <f>SOLID!AQ12</f>
        <v>0</v>
      </c>
      <c r="AN43">
        <f>SOLID!AR12</f>
        <v>0</v>
      </c>
      <c r="AO43">
        <f>SOLID!AS12</f>
        <v>0</v>
      </c>
      <c r="AP43">
        <f>SOLID!AT12</f>
        <v>0</v>
      </c>
      <c r="AQ43">
        <f>SOLID!AU12</f>
        <v>0</v>
      </c>
      <c r="AR43">
        <f>SOLID!AV12</f>
        <v>0</v>
      </c>
      <c r="AS43">
        <f>SOLID!AW12</f>
        <v>0</v>
      </c>
      <c r="AT43">
        <f>SOLID!AX12</f>
        <v>0</v>
      </c>
      <c r="AU43">
        <f>SOLID!AY12</f>
        <v>0</v>
      </c>
      <c r="AV43">
        <f>SOLID!AZ12</f>
        <v>0</v>
      </c>
      <c r="AW43">
        <f>SOLID!BA12</f>
        <v>0</v>
      </c>
      <c r="AX43">
        <f>SOLID!BB12</f>
        <v>0</v>
      </c>
      <c r="AY43">
        <f>SOLID!BC12</f>
        <v>0</v>
      </c>
      <c r="AZ43">
        <f>SOLID!BD12</f>
        <v>0</v>
      </c>
      <c r="BA43">
        <f>SOLID!BE12</f>
        <v>0</v>
      </c>
      <c r="BB43">
        <f>SOLID!BF12</f>
        <v>0</v>
      </c>
      <c r="BC43">
        <f>SOLID!BG12</f>
        <v>0</v>
      </c>
      <c r="BD43">
        <f>SOLID!BH12</f>
        <v>0</v>
      </c>
      <c r="BE43">
        <f>SOLID!BI12</f>
        <v>0</v>
      </c>
      <c r="BF43">
        <f>SOLID!BJ12</f>
        <v>0</v>
      </c>
      <c r="BG43">
        <f>SOLID!BK12</f>
        <v>0</v>
      </c>
      <c r="BH43">
        <f>SOLID!BL12</f>
        <v>0</v>
      </c>
      <c r="BI43">
        <f>SOLID!BM12</f>
        <v>0</v>
      </c>
      <c r="BJ43">
        <f>SOLID!BN12</f>
        <v>0</v>
      </c>
      <c r="BK43">
        <f>SOLID!BO12</f>
        <v>0</v>
      </c>
      <c r="BL43">
        <f>SOLID!BP12</f>
        <v>0</v>
      </c>
      <c r="BM43">
        <f>SOLID!BQ12</f>
        <v>0</v>
      </c>
      <c r="BN43">
        <f>SOLID!BR12</f>
        <v>0</v>
      </c>
      <c r="BO43">
        <f>SOLID!BS12</f>
        <v>0</v>
      </c>
      <c r="BP43">
        <f>SOLID!BT12</f>
        <v>0</v>
      </c>
      <c r="BQ43">
        <f>SOLID!BU12</f>
        <v>0</v>
      </c>
      <c r="BR43">
        <f>SOLID!BV12</f>
        <v>0</v>
      </c>
      <c r="BS43">
        <f>SOLID!BW12</f>
        <v>0</v>
      </c>
      <c r="BT43">
        <f>SOLID!BX12</f>
        <v>0</v>
      </c>
    </row>
    <row r="44" spans="1:72" ht="21.75" outlineLevel="1" thickBot="1" x14ac:dyDescent="0.4">
      <c r="A44" s="61" t="str">
        <f>SOLID!E13</f>
        <v>Ar</v>
      </c>
      <c r="B44" s="28">
        <f>SOLID!F13</f>
        <v>0.2</v>
      </c>
      <c r="C44" s="28">
        <f>SOLID!G13</f>
        <v>0.2</v>
      </c>
      <c r="D44" s="28">
        <f>SOLID!H13</f>
        <v>0.2</v>
      </c>
      <c r="E44" s="28">
        <f>SOLID!I13</f>
        <v>0.2</v>
      </c>
      <c r="F44" s="28">
        <f>SOLID!J13</f>
        <v>0.2</v>
      </c>
      <c r="G44" s="28">
        <f>SOLID!K13</f>
        <v>0.2</v>
      </c>
      <c r="H44" s="28">
        <f>SOLID!L13</f>
        <v>0.2</v>
      </c>
      <c r="I44" s="28">
        <f>SOLID!M13</f>
        <v>0.2</v>
      </c>
      <c r="J44" s="28">
        <f>SOLID!N13</f>
        <v>0.2</v>
      </c>
      <c r="K44" s="28">
        <f>SOLID!O13</f>
        <v>0.2</v>
      </c>
      <c r="L44" s="28">
        <f>SOLID!P13</f>
        <v>0.2</v>
      </c>
      <c r="M44" s="28">
        <f>SOLID!Q13</f>
        <v>0.2</v>
      </c>
      <c r="N44" s="28">
        <f>SOLID!R13</f>
        <v>0.2</v>
      </c>
      <c r="O44" s="28">
        <f>SOLID!S13</f>
        <v>0.2</v>
      </c>
      <c r="P44" s="28">
        <f>SOLID!T13</f>
        <v>0.2</v>
      </c>
      <c r="Q44" s="28">
        <f>SOLID!U13</f>
        <v>0.2</v>
      </c>
      <c r="R44" s="28">
        <f>SOLID!V13</f>
        <v>0.2</v>
      </c>
      <c r="S44" s="28">
        <f>SOLID!W13</f>
        <v>0.2</v>
      </c>
      <c r="T44" s="28">
        <f>SOLID!X13</f>
        <v>0.2</v>
      </c>
      <c r="U44" s="28">
        <f>SOLID!Y13</f>
        <v>0.2</v>
      </c>
      <c r="V44" s="28">
        <f>SOLID!Z13</f>
        <v>0.2</v>
      </c>
      <c r="W44" s="28">
        <f>SOLID!AA13</f>
        <v>0.2</v>
      </c>
      <c r="X44" s="28">
        <f>SOLID!AB13</f>
        <v>0.2</v>
      </c>
      <c r="Y44" s="28">
        <f>SOLID!AC13</f>
        <v>0.2</v>
      </c>
      <c r="Z44" s="28">
        <f>SOLID!AD13</f>
        <v>0.2</v>
      </c>
      <c r="AA44" s="28">
        <f>SOLID!AE13</f>
        <v>0</v>
      </c>
      <c r="AB44" s="28">
        <f>SOLID!AF13</f>
        <v>0</v>
      </c>
      <c r="AC44" s="28">
        <f>SOLID!AG13</f>
        <v>0</v>
      </c>
      <c r="AD44" s="28">
        <f>SOLID!AH13</f>
        <v>0</v>
      </c>
      <c r="AE44" s="28">
        <f>SOLID!AI13</f>
        <v>0</v>
      </c>
      <c r="AF44" s="28">
        <f>SOLID!AJ13</f>
        <v>0</v>
      </c>
      <c r="AG44" s="28">
        <f>SOLID!AK13</f>
        <v>0</v>
      </c>
      <c r="AH44" s="28">
        <f>SOLID!AL13</f>
        <v>0</v>
      </c>
      <c r="AI44" s="28">
        <f>SOLID!AM13</f>
        <v>0</v>
      </c>
      <c r="AJ44">
        <f>SOLID!AN13</f>
        <v>0</v>
      </c>
      <c r="AK44">
        <f>SOLID!AO13</f>
        <v>0</v>
      </c>
      <c r="AL44">
        <f>SOLID!AP13</f>
        <v>0</v>
      </c>
      <c r="AM44">
        <f>SOLID!AQ13</f>
        <v>0</v>
      </c>
      <c r="AN44">
        <f>SOLID!AR13</f>
        <v>0</v>
      </c>
      <c r="AO44">
        <f>SOLID!AS13</f>
        <v>0</v>
      </c>
      <c r="AP44">
        <f>SOLID!AT13</f>
        <v>0</v>
      </c>
      <c r="AQ44">
        <f>SOLID!AU13</f>
        <v>0</v>
      </c>
      <c r="AR44">
        <f>SOLID!AV13</f>
        <v>0</v>
      </c>
      <c r="AS44">
        <f>SOLID!AW13</f>
        <v>0</v>
      </c>
      <c r="AT44">
        <f>SOLID!AX13</f>
        <v>0</v>
      </c>
      <c r="AU44">
        <f>SOLID!AY13</f>
        <v>0</v>
      </c>
      <c r="AV44">
        <f>SOLID!AZ13</f>
        <v>0</v>
      </c>
      <c r="AW44">
        <f>SOLID!BA13</f>
        <v>0</v>
      </c>
      <c r="AX44">
        <f>SOLID!BB13</f>
        <v>0</v>
      </c>
      <c r="AY44">
        <f>SOLID!BC13</f>
        <v>0</v>
      </c>
      <c r="AZ44">
        <f>SOLID!BD13</f>
        <v>0</v>
      </c>
      <c r="BA44">
        <f>SOLID!BE13</f>
        <v>0</v>
      </c>
      <c r="BB44">
        <f>SOLID!BF13</f>
        <v>0</v>
      </c>
      <c r="BC44">
        <f>SOLID!BG13</f>
        <v>0</v>
      </c>
      <c r="BD44">
        <f>SOLID!BH13</f>
        <v>0</v>
      </c>
      <c r="BE44">
        <f>SOLID!BI13</f>
        <v>0</v>
      </c>
      <c r="BF44">
        <f>SOLID!BJ13</f>
        <v>0</v>
      </c>
      <c r="BG44">
        <f>SOLID!BK13</f>
        <v>0</v>
      </c>
      <c r="BH44">
        <f>SOLID!BL13</f>
        <v>0</v>
      </c>
      <c r="BI44">
        <f>SOLID!BM13</f>
        <v>0</v>
      </c>
      <c r="BJ44">
        <f>SOLID!BN13</f>
        <v>0</v>
      </c>
      <c r="BK44">
        <f>SOLID!BO13</f>
        <v>0</v>
      </c>
      <c r="BL44">
        <f>SOLID!BP13</f>
        <v>0</v>
      </c>
      <c r="BM44">
        <f>SOLID!BQ13</f>
        <v>0</v>
      </c>
      <c r="BN44">
        <f>SOLID!BR13</f>
        <v>0</v>
      </c>
      <c r="BO44">
        <f>SOLID!BS13</f>
        <v>0</v>
      </c>
      <c r="BP44">
        <f>SOLID!BT13</f>
        <v>0</v>
      </c>
      <c r="BQ44">
        <f>SOLID!BU13</f>
        <v>0</v>
      </c>
      <c r="BR44">
        <f>SOLID!BV13</f>
        <v>0</v>
      </c>
      <c r="BS44">
        <f>SOLID!BW13</f>
        <v>0</v>
      </c>
      <c r="BT44">
        <f>SOLID!BX13</f>
        <v>0</v>
      </c>
    </row>
    <row r="45" spans="1:72" ht="21.75" outlineLevel="1" thickBot="1" x14ac:dyDescent="0.4">
      <c r="A45" s="61" t="str">
        <f>SOLID!E14</f>
        <v>(1)Ga[l]</v>
      </c>
      <c r="B45" s="28">
        <f>SOLID!F14</f>
        <v>0</v>
      </c>
      <c r="C45" s="28">
        <f>SOLID!G14</f>
        <v>0</v>
      </c>
      <c r="D45" s="28">
        <f>SOLID!H14</f>
        <v>0</v>
      </c>
      <c r="E45" s="28">
        <f>SOLID!I14</f>
        <v>0</v>
      </c>
      <c r="F45" s="28">
        <f>SOLID!J14</f>
        <v>0</v>
      </c>
      <c r="G45" s="28">
        <f>SOLID!K14</f>
        <v>0</v>
      </c>
      <c r="H45" s="28">
        <f>SOLID!L14</f>
        <v>0</v>
      </c>
      <c r="I45" s="28">
        <f>SOLID!M14</f>
        <v>0</v>
      </c>
      <c r="J45" s="28">
        <f>SOLID!N14</f>
        <v>0</v>
      </c>
      <c r="K45" s="28">
        <f>SOLID!O14</f>
        <v>0</v>
      </c>
      <c r="L45" s="28">
        <f>SOLID!P14</f>
        <v>0</v>
      </c>
      <c r="M45" s="28">
        <f>SOLID!Q14</f>
        <v>1.5435999999999999E-32</v>
      </c>
      <c r="N45" s="28">
        <f>SOLID!R14</f>
        <v>2.2441000000000001E-26</v>
      </c>
      <c r="O45" s="28">
        <f>SOLID!S14</f>
        <v>2.012E-20</v>
      </c>
      <c r="P45" s="28">
        <f>SOLID!T14</f>
        <v>3.7214000000000002E-13</v>
      </c>
      <c r="Q45" s="28">
        <f>SOLID!U14</f>
        <v>8.3488999999999999E-13</v>
      </c>
      <c r="R45" s="28">
        <f>SOLID!V14</f>
        <v>1.2235E-11</v>
      </c>
      <c r="S45" s="28">
        <f>SOLID!W14</f>
        <v>5.7031000000000002E-13</v>
      </c>
      <c r="T45" s="28">
        <f>SOLID!X14</f>
        <v>4.5874000000000001E-9</v>
      </c>
      <c r="U45" s="28">
        <f>SOLID!Y14</f>
        <v>3.9656000000000001E-8</v>
      </c>
      <c r="V45" s="28">
        <f>SOLID!Z14</f>
        <v>7.7692999999999998E-2</v>
      </c>
      <c r="W45" s="28">
        <f>SOLID!AA14</f>
        <v>7.9759999999999998E-2</v>
      </c>
      <c r="X45" s="28">
        <f>SOLID!AB14</f>
        <v>7.9973000000000002E-2</v>
      </c>
      <c r="Y45" s="28">
        <f>SOLID!AC14</f>
        <v>0.08</v>
      </c>
      <c r="Z45" s="28">
        <f>SOLID!AD14</f>
        <v>0.08</v>
      </c>
      <c r="AA45" s="28">
        <f>SOLID!AE14</f>
        <v>0</v>
      </c>
      <c r="AB45" s="28">
        <f>SOLID!AF14</f>
        <v>0</v>
      </c>
      <c r="AC45" s="28">
        <f>SOLID!AG14</f>
        <v>0</v>
      </c>
      <c r="AD45" s="28">
        <f>SOLID!AH14</f>
        <v>0</v>
      </c>
      <c r="AE45" s="28">
        <f>SOLID!AI14</f>
        <v>0</v>
      </c>
      <c r="AF45" s="28">
        <f>SOLID!AJ14</f>
        <v>0</v>
      </c>
      <c r="AG45" s="28">
        <f>SOLID!AK14</f>
        <v>0</v>
      </c>
      <c r="AH45" s="28">
        <f>SOLID!AL14</f>
        <v>0</v>
      </c>
      <c r="AI45" s="28">
        <f>SOLID!AM14</f>
        <v>0</v>
      </c>
      <c r="AJ45">
        <f>SOLID!AN14</f>
        <v>0</v>
      </c>
      <c r="AK45">
        <f>SOLID!AO14</f>
        <v>0</v>
      </c>
      <c r="AL45">
        <f>SOLID!AP14</f>
        <v>0</v>
      </c>
      <c r="AM45">
        <f>SOLID!AQ14</f>
        <v>0</v>
      </c>
      <c r="AN45">
        <f>SOLID!AR14</f>
        <v>0</v>
      </c>
      <c r="AO45">
        <f>SOLID!AS14</f>
        <v>0</v>
      </c>
      <c r="AP45">
        <f>SOLID!AT14</f>
        <v>0</v>
      </c>
      <c r="AQ45">
        <f>SOLID!AU14</f>
        <v>0</v>
      </c>
      <c r="AR45">
        <f>SOLID!AV14</f>
        <v>0</v>
      </c>
      <c r="AS45">
        <f>SOLID!AW14</f>
        <v>0</v>
      </c>
      <c r="AT45">
        <f>SOLID!AX14</f>
        <v>0</v>
      </c>
      <c r="AU45">
        <f>SOLID!AY14</f>
        <v>0</v>
      </c>
      <c r="AV45">
        <f>SOLID!AZ14</f>
        <v>0</v>
      </c>
      <c r="AW45">
        <f>SOLID!BA14</f>
        <v>0</v>
      </c>
      <c r="AX45">
        <f>SOLID!BB14</f>
        <v>0</v>
      </c>
      <c r="AY45">
        <f>SOLID!BC14</f>
        <v>0</v>
      </c>
      <c r="AZ45">
        <f>SOLID!BD14</f>
        <v>0</v>
      </c>
      <c r="BA45">
        <f>SOLID!BE14</f>
        <v>0</v>
      </c>
      <c r="BB45">
        <f>SOLID!BF14</f>
        <v>0</v>
      </c>
      <c r="BC45">
        <f>SOLID!BG14</f>
        <v>0</v>
      </c>
      <c r="BD45">
        <f>SOLID!BH14</f>
        <v>0</v>
      </c>
      <c r="BE45">
        <f>SOLID!BI14</f>
        <v>0</v>
      </c>
      <c r="BF45">
        <f>SOLID!BJ14</f>
        <v>0</v>
      </c>
      <c r="BG45">
        <f>SOLID!BK14</f>
        <v>0</v>
      </c>
      <c r="BH45">
        <f>SOLID!BL14</f>
        <v>0</v>
      </c>
      <c r="BI45">
        <f>SOLID!BM14</f>
        <v>0</v>
      </c>
      <c r="BJ45">
        <f>SOLID!BN14</f>
        <v>0</v>
      </c>
      <c r="BK45">
        <f>SOLID!BO14</f>
        <v>0</v>
      </c>
      <c r="BL45">
        <f>SOLID!BP14</f>
        <v>0</v>
      </c>
      <c r="BM45">
        <f>SOLID!BQ14</f>
        <v>0</v>
      </c>
      <c r="BN45">
        <f>SOLID!BR14</f>
        <v>0</v>
      </c>
      <c r="BO45">
        <f>SOLID!BS14</f>
        <v>0</v>
      </c>
      <c r="BP45">
        <f>SOLID!BT14</f>
        <v>0</v>
      </c>
      <c r="BQ45">
        <f>SOLID!BU14</f>
        <v>0</v>
      </c>
      <c r="BR45">
        <f>SOLID!BV14</f>
        <v>0</v>
      </c>
      <c r="BS45">
        <f>SOLID!BW14</f>
        <v>0</v>
      </c>
      <c r="BT45">
        <f>SOLID!BX14</f>
        <v>0</v>
      </c>
    </row>
    <row r="46" spans="1:72" ht="21.75" outlineLevel="1" thickBot="1" x14ac:dyDescent="0.4">
      <c r="A46" s="61" t="str">
        <f>SOLID!E15</f>
        <v>(1)Ge[l]</v>
      </c>
      <c r="B46" s="28">
        <f>SOLID!F15</f>
        <v>0</v>
      </c>
      <c r="C46" s="28">
        <f>SOLID!G15</f>
        <v>0</v>
      </c>
      <c r="D46" s="28">
        <f>SOLID!H15</f>
        <v>0</v>
      </c>
      <c r="E46" s="28">
        <f>SOLID!I15</f>
        <v>0</v>
      </c>
      <c r="F46" s="28">
        <f>SOLID!J15</f>
        <v>0</v>
      </c>
      <c r="G46" s="28">
        <f>SOLID!K15</f>
        <v>0</v>
      </c>
      <c r="H46" s="28">
        <f>SOLID!L15</f>
        <v>0</v>
      </c>
      <c r="I46" s="28">
        <f>SOLID!M15</f>
        <v>0</v>
      </c>
      <c r="J46" s="28">
        <f>SOLID!N15</f>
        <v>0</v>
      </c>
      <c r="K46" s="28">
        <f>SOLID!O15</f>
        <v>0</v>
      </c>
      <c r="L46" s="28">
        <f>SOLID!P15</f>
        <v>0</v>
      </c>
      <c r="M46" s="28">
        <f>SOLID!Q15</f>
        <v>2.9877999999999998E-27</v>
      </c>
      <c r="N46" s="28">
        <f>SOLID!R15</f>
        <v>7.9918999999999997E-22</v>
      </c>
      <c r="O46" s="28">
        <f>SOLID!S15</f>
        <v>1.449E-16</v>
      </c>
      <c r="P46" s="28">
        <f>SOLID!T15</f>
        <v>9.8116000000000007E-12</v>
      </c>
      <c r="Q46" s="28">
        <f>SOLID!U15</f>
        <v>6.3760999999999999E-12</v>
      </c>
      <c r="R46" s="28">
        <f>SOLID!V15</f>
        <v>2.8513E-11</v>
      </c>
      <c r="S46" s="28">
        <f>SOLID!W15</f>
        <v>4.2784000000000002E-13</v>
      </c>
      <c r="T46" s="28">
        <f>SOLID!X15</f>
        <v>1.7531999999999999E-9</v>
      </c>
      <c r="U46" s="28">
        <f>SOLID!Y15</f>
        <v>9.8190000000000001E-9</v>
      </c>
      <c r="V46" s="28">
        <f>SOLID!Z15</f>
        <v>1.3691E-2</v>
      </c>
      <c r="W46" s="28">
        <f>SOLID!AA15</f>
        <v>1.6542000000000001E-2</v>
      </c>
      <c r="X46" s="28">
        <f>SOLID!AB15</f>
        <v>1.9453999999999999E-2</v>
      </c>
      <c r="Y46" s="28">
        <f>SOLID!AC15</f>
        <v>3.6164000000000002E-2</v>
      </c>
      <c r="Z46" s="28">
        <f>SOLID!AD15</f>
        <v>6.8124000000000004E-2</v>
      </c>
      <c r="AA46" s="28">
        <f>SOLID!AE15</f>
        <v>0</v>
      </c>
      <c r="AB46" s="28">
        <f>SOLID!AF15</f>
        <v>0</v>
      </c>
      <c r="AC46" s="28">
        <f>SOLID!AG15</f>
        <v>0</v>
      </c>
      <c r="AD46" s="28">
        <f>SOLID!AH15</f>
        <v>0</v>
      </c>
      <c r="AE46" s="28">
        <f>SOLID!AI15</f>
        <v>0</v>
      </c>
      <c r="AF46" s="28">
        <f>SOLID!AJ15</f>
        <v>0</v>
      </c>
      <c r="AG46" s="28">
        <f>SOLID!AK15</f>
        <v>0</v>
      </c>
      <c r="AH46" s="28">
        <f>SOLID!AL15</f>
        <v>0</v>
      </c>
      <c r="AI46" s="28">
        <f>SOLID!AM15</f>
        <v>0</v>
      </c>
      <c r="AJ46">
        <f>SOLID!AN15</f>
        <v>0</v>
      </c>
      <c r="AK46">
        <f>SOLID!AO15</f>
        <v>0</v>
      </c>
      <c r="AL46">
        <f>SOLID!AP15</f>
        <v>0</v>
      </c>
      <c r="AM46">
        <f>SOLID!AQ15</f>
        <v>0</v>
      </c>
      <c r="AN46">
        <f>SOLID!AR15</f>
        <v>0</v>
      </c>
      <c r="AO46">
        <f>SOLID!AS15</f>
        <v>0</v>
      </c>
      <c r="AP46">
        <f>SOLID!AT15</f>
        <v>0</v>
      </c>
      <c r="AQ46">
        <f>SOLID!AU15</f>
        <v>0</v>
      </c>
      <c r="AR46">
        <f>SOLID!AV15</f>
        <v>0</v>
      </c>
      <c r="AS46">
        <f>SOLID!AW15</f>
        <v>0</v>
      </c>
      <c r="AT46">
        <f>SOLID!AX15</f>
        <v>0</v>
      </c>
      <c r="AU46">
        <f>SOLID!AY15</f>
        <v>0</v>
      </c>
      <c r="AV46">
        <f>SOLID!AZ15</f>
        <v>0</v>
      </c>
      <c r="AW46">
        <f>SOLID!BA15</f>
        <v>0</v>
      </c>
      <c r="AX46">
        <f>SOLID!BB15</f>
        <v>0</v>
      </c>
      <c r="AY46">
        <f>SOLID!BC15</f>
        <v>0</v>
      </c>
      <c r="AZ46">
        <f>SOLID!BD15</f>
        <v>0</v>
      </c>
      <c r="BA46">
        <f>SOLID!BE15</f>
        <v>0</v>
      </c>
      <c r="BB46">
        <f>SOLID!BF15</f>
        <v>0</v>
      </c>
      <c r="BC46">
        <f>SOLID!BG15</f>
        <v>0</v>
      </c>
      <c r="BD46">
        <f>SOLID!BH15</f>
        <v>0</v>
      </c>
      <c r="BE46">
        <f>SOLID!BI15</f>
        <v>0</v>
      </c>
      <c r="BF46">
        <f>SOLID!BJ15</f>
        <v>0</v>
      </c>
      <c r="BG46">
        <f>SOLID!BK15</f>
        <v>0</v>
      </c>
      <c r="BH46">
        <f>SOLID!BL15</f>
        <v>0</v>
      </c>
      <c r="BI46">
        <f>SOLID!BM15</f>
        <v>0</v>
      </c>
      <c r="BJ46">
        <f>SOLID!BN15</f>
        <v>0</v>
      </c>
      <c r="BK46">
        <f>SOLID!BO15</f>
        <v>0</v>
      </c>
      <c r="BL46">
        <f>SOLID!BP15</f>
        <v>0</v>
      </c>
      <c r="BM46">
        <f>SOLID!BQ15</f>
        <v>0</v>
      </c>
      <c r="BN46">
        <f>SOLID!BR15</f>
        <v>0</v>
      </c>
      <c r="BO46">
        <f>SOLID!BS15</f>
        <v>0</v>
      </c>
      <c r="BP46">
        <f>SOLID!BT15</f>
        <v>0</v>
      </c>
      <c r="BQ46">
        <f>SOLID!BU15</f>
        <v>0</v>
      </c>
      <c r="BR46">
        <f>SOLID!BV15</f>
        <v>0</v>
      </c>
      <c r="BS46">
        <f>SOLID!BW15</f>
        <v>0</v>
      </c>
      <c r="BT46">
        <f>SOLID!BX15</f>
        <v>0</v>
      </c>
    </row>
    <row r="47" spans="1:72" ht="21.75" outlineLevel="1" thickBot="1" x14ac:dyDescent="0.4">
      <c r="A47" s="61" t="str">
        <f>SOLID!E16</f>
        <v>H (Ar)</v>
      </c>
      <c r="B47" s="28">
        <f>SOLID!F16</f>
        <v>-18.8</v>
      </c>
      <c r="C47" s="28">
        <f>SOLID!G16</f>
        <v>-18.79</v>
      </c>
      <c r="D47" s="28">
        <f>SOLID!H16</f>
        <v>-18.8</v>
      </c>
      <c r="E47" s="28">
        <f>SOLID!I16</f>
        <v>-18.809999999999999</v>
      </c>
      <c r="F47" s="28">
        <f>SOLID!J16</f>
        <v>-18.829999999999998</v>
      </c>
      <c r="G47" s="28">
        <f>SOLID!K16</f>
        <v>-18.95</v>
      </c>
      <c r="H47" s="28">
        <f>SOLID!L16</f>
        <v>-18.989999999999998</v>
      </c>
      <c r="I47" s="28">
        <f>SOLID!M16</f>
        <v>-19.03</v>
      </c>
      <c r="J47" s="28">
        <f>SOLID!N16</f>
        <v>-19.07</v>
      </c>
      <c r="K47" s="28">
        <f>SOLID!O16</f>
        <v>-19.11</v>
      </c>
      <c r="L47" s="28">
        <f>SOLID!P16</f>
        <v>-19.149999999999999</v>
      </c>
      <c r="M47" s="28">
        <f>SOLID!Q16</f>
        <v>-19.190000000000001</v>
      </c>
      <c r="N47" s="28">
        <f>SOLID!R16</f>
        <v>-19.23</v>
      </c>
      <c r="O47" s="28">
        <f>SOLID!S16</f>
        <v>-19.28</v>
      </c>
      <c r="P47" s="28">
        <f>SOLID!T16</f>
        <v>-19.440000000000001</v>
      </c>
      <c r="Q47" s="28">
        <f>SOLID!U16</f>
        <v>-19.489999999999998</v>
      </c>
      <c r="R47" s="28">
        <f>SOLID!V16</f>
        <v>-19.53</v>
      </c>
      <c r="S47" s="28">
        <f>SOLID!W16</f>
        <v>-19.57</v>
      </c>
      <c r="T47" s="28">
        <f>SOLID!X16</f>
        <v>-19.5</v>
      </c>
      <c r="U47" s="28">
        <f>SOLID!Y16</f>
        <v>-19.489999999999998</v>
      </c>
      <c r="V47" s="28">
        <f>SOLID!Z16</f>
        <v>-19.510000000000002</v>
      </c>
      <c r="W47" s="28">
        <f>SOLID!AA16</f>
        <v>-19.55</v>
      </c>
      <c r="X47" s="28">
        <f>SOLID!AB16</f>
        <v>-19.59</v>
      </c>
      <c r="Y47" s="28">
        <f>SOLID!AC16</f>
        <v>-19.739999999999998</v>
      </c>
      <c r="Z47" s="28">
        <f>SOLID!AD16</f>
        <v>-19.88</v>
      </c>
      <c r="AA47" s="28">
        <f>SOLID!AE16</f>
        <v>0</v>
      </c>
      <c r="AB47" s="28">
        <f>SOLID!AF16</f>
        <v>0</v>
      </c>
      <c r="AC47" s="28">
        <f>SOLID!AG16</f>
        <v>0</v>
      </c>
      <c r="AD47" s="28">
        <f>SOLID!AH16</f>
        <v>0</v>
      </c>
      <c r="AE47" s="28">
        <f>SOLID!AI16</f>
        <v>0</v>
      </c>
      <c r="AF47" s="28">
        <f>SOLID!AJ16</f>
        <v>0</v>
      </c>
      <c r="AG47" s="28">
        <f>SOLID!AK16</f>
        <v>0</v>
      </c>
      <c r="AH47" s="28">
        <f>SOLID!AL16</f>
        <v>0</v>
      </c>
      <c r="AI47" s="28">
        <f>SOLID!AM16</f>
        <v>0</v>
      </c>
      <c r="AJ47">
        <f>SOLID!AN16</f>
        <v>0</v>
      </c>
      <c r="AK47">
        <f>SOLID!AO16</f>
        <v>0</v>
      </c>
      <c r="AL47">
        <f>SOLID!AP16</f>
        <v>0</v>
      </c>
      <c r="AM47">
        <f>SOLID!AQ16</f>
        <v>0</v>
      </c>
      <c r="AN47">
        <f>SOLID!AR16</f>
        <v>0</v>
      </c>
      <c r="AO47">
        <f>SOLID!AS16</f>
        <v>0</v>
      </c>
      <c r="AP47">
        <f>SOLID!AT16</f>
        <v>0</v>
      </c>
      <c r="AQ47">
        <f>SOLID!AU16</f>
        <v>0</v>
      </c>
      <c r="AR47">
        <f>SOLID!AV16</f>
        <v>0</v>
      </c>
      <c r="AS47">
        <f>SOLID!AW16</f>
        <v>0</v>
      </c>
      <c r="AT47">
        <f>SOLID!AX16</f>
        <v>0</v>
      </c>
      <c r="AU47">
        <f>SOLID!AY16</f>
        <v>0</v>
      </c>
      <c r="AV47">
        <f>SOLID!AZ16</f>
        <v>0</v>
      </c>
      <c r="AW47">
        <f>SOLID!BA16</f>
        <v>0</v>
      </c>
      <c r="AX47">
        <f>SOLID!BB16</f>
        <v>0</v>
      </c>
      <c r="AY47">
        <f>SOLID!BC16</f>
        <v>0</v>
      </c>
      <c r="AZ47">
        <f>SOLID!BD16</f>
        <v>0</v>
      </c>
      <c r="BA47">
        <f>SOLID!BE16</f>
        <v>0</v>
      </c>
      <c r="BB47">
        <f>SOLID!BF16</f>
        <v>0</v>
      </c>
      <c r="BC47">
        <f>SOLID!BG16</f>
        <v>0</v>
      </c>
      <c r="BD47">
        <f>SOLID!BH16</f>
        <v>0</v>
      </c>
      <c r="BE47">
        <f>SOLID!BI16</f>
        <v>0</v>
      </c>
      <c r="BF47">
        <f>SOLID!BJ16</f>
        <v>0</v>
      </c>
      <c r="BG47">
        <f>SOLID!BK16</f>
        <v>0</v>
      </c>
      <c r="BH47">
        <f>SOLID!BL16</f>
        <v>0</v>
      </c>
      <c r="BI47">
        <f>SOLID!BM16</f>
        <v>0</v>
      </c>
      <c r="BJ47">
        <f>SOLID!BN16</f>
        <v>0</v>
      </c>
      <c r="BK47">
        <f>SOLID!BO16</f>
        <v>0</v>
      </c>
      <c r="BL47">
        <f>SOLID!BP16</f>
        <v>0</v>
      </c>
      <c r="BM47">
        <f>SOLID!BQ16</f>
        <v>0</v>
      </c>
      <c r="BN47">
        <f>SOLID!BR16</f>
        <v>0</v>
      </c>
      <c r="BO47">
        <f>SOLID!BS16</f>
        <v>0</v>
      </c>
      <c r="BP47">
        <f>SOLID!BT16</f>
        <v>0</v>
      </c>
      <c r="BQ47">
        <f>SOLID!BU16</f>
        <v>0</v>
      </c>
      <c r="BR47">
        <f>SOLID!BV16</f>
        <v>0</v>
      </c>
      <c r="BS47">
        <f>SOLID!BW16</f>
        <v>0</v>
      </c>
      <c r="BT47">
        <f>SOLID!BX16</f>
        <v>0</v>
      </c>
    </row>
    <row r="48" spans="1:72" ht="21.75" outlineLevel="1" thickBot="1" x14ac:dyDescent="0.4">
      <c r="A48" s="61" t="str">
        <f>SOLID!E17</f>
        <v>H (Ga)</v>
      </c>
      <c r="B48" s="28">
        <f>SOLID!F17</f>
        <v>-66.459999999999994</v>
      </c>
      <c r="C48" s="28">
        <f>SOLID!G17</f>
        <v>-62.25</v>
      </c>
      <c r="D48" s="28">
        <f>SOLID!H17</f>
        <v>-58.6</v>
      </c>
      <c r="E48" s="28">
        <f>SOLID!I17</f>
        <v>-55.41</v>
      </c>
      <c r="F48" s="28">
        <f>SOLID!J17</f>
        <v>-51.62</v>
      </c>
      <c r="G48" s="28">
        <f>SOLID!K17</f>
        <v>-37.26</v>
      </c>
      <c r="H48" s="28">
        <f>SOLID!L17</f>
        <v>-34.4</v>
      </c>
      <c r="I48" s="28">
        <f>SOLID!M17</f>
        <v>-31.76</v>
      </c>
      <c r="J48" s="28">
        <f>SOLID!N17</f>
        <v>-29.31</v>
      </c>
      <c r="K48" s="28">
        <f>SOLID!O17</f>
        <v>-27.03</v>
      </c>
      <c r="L48" s="28">
        <f>SOLID!P17</f>
        <v>-24.9</v>
      </c>
      <c r="M48" s="28">
        <f>SOLID!Q17</f>
        <v>-22.91</v>
      </c>
      <c r="N48" s="28">
        <f>SOLID!R17</f>
        <v>-21.04</v>
      </c>
      <c r="O48" s="28">
        <f>SOLID!S17</f>
        <v>-19.28</v>
      </c>
      <c r="P48" s="28">
        <f>SOLID!T17</f>
        <v>-13.14</v>
      </c>
      <c r="Q48" s="28">
        <f>SOLID!U17</f>
        <v>-11.8</v>
      </c>
      <c r="R48" s="28">
        <f>SOLID!V17</f>
        <v>-10.52</v>
      </c>
      <c r="S48" s="28">
        <f>SOLID!W17</f>
        <v>-9.2940000000000005</v>
      </c>
      <c r="T48" s="28">
        <f>SOLID!X17</f>
        <v>-8.5370000000000008</v>
      </c>
      <c r="U48" s="28">
        <f>SOLID!Y17</f>
        <v>-8.0269999999999992</v>
      </c>
      <c r="V48" s="28">
        <f>SOLID!Z17</f>
        <v>-7.617</v>
      </c>
      <c r="W48" s="28">
        <f>SOLID!AA17</f>
        <v>-7.7149999999999999</v>
      </c>
      <c r="X48" s="28">
        <f>SOLID!AB17</f>
        <v>-7.8150000000000004</v>
      </c>
      <c r="Y48" s="28">
        <f>SOLID!AC17</f>
        <v>-8.2360000000000007</v>
      </c>
      <c r="Z48" s="28">
        <f>SOLID!AD17</f>
        <v>-8.7249999999999996</v>
      </c>
      <c r="AA48" s="28">
        <f>SOLID!AE17</f>
        <v>0</v>
      </c>
      <c r="AB48" s="28">
        <f>SOLID!AF17</f>
        <v>0</v>
      </c>
      <c r="AC48" s="28">
        <f>SOLID!AG17</f>
        <v>0</v>
      </c>
      <c r="AD48" s="28">
        <f>SOLID!AH17</f>
        <v>0</v>
      </c>
      <c r="AE48" s="28">
        <f>SOLID!AI17</f>
        <v>0</v>
      </c>
      <c r="AF48" s="28">
        <f>SOLID!AJ17</f>
        <v>0</v>
      </c>
      <c r="AG48" s="28">
        <f>SOLID!AK17</f>
        <v>0</v>
      </c>
      <c r="AH48" s="28">
        <f>SOLID!AL17</f>
        <v>0</v>
      </c>
      <c r="AI48" s="28">
        <f>SOLID!AM17</f>
        <v>0</v>
      </c>
      <c r="AJ48">
        <f>SOLID!AN17</f>
        <v>0</v>
      </c>
      <c r="AK48">
        <f>SOLID!AO17</f>
        <v>0</v>
      </c>
      <c r="AL48">
        <f>SOLID!AP17</f>
        <v>0</v>
      </c>
      <c r="AM48">
        <f>SOLID!AQ17</f>
        <v>0</v>
      </c>
      <c r="AN48">
        <f>SOLID!AR17</f>
        <v>0</v>
      </c>
      <c r="AO48">
        <f>SOLID!AS17</f>
        <v>0</v>
      </c>
      <c r="AP48">
        <f>SOLID!AT17</f>
        <v>0</v>
      </c>
      <c r="AQ48">
        <f>SOLID!AU17</f>
        <v>0</v>
      </c>
      <c r="AR48">
        <f>SOLID!AV17</f>
        <v>0</v>
      </c>
      <c r="AS48">
        <f>SOLID!AW17</f>
        <v>0</v>
      </c>
      <c r="AT48">
        <f>SOLID!AX17</f>
        <v>0</v>
      </c>
      <c r="AU48">
        <f>SOLID!AY17</f>
        <v>0</v>
      </c>
      <c r="AV48">
        <f>SOLID!AZ17</f>
        <v>0</v>
      </c>
      <c r="AW48">
        <f>SOLID!BA17</f>
        <v>0</v>
      </c>
      <c r="AX48">
        <f>SOLID!BB17</f>
        <v>0</v>
      </c>
      <c r="AY48">
        <f>SOLID!BC17</f>
        <v>0</v>
      </c>
      <c r="AZ48">
        <f>SOLID!BD17</f>
        <v>0</v>
      </c>
      <c r="BA48">
        <f>SOLID!BE17</f>
        <v>0</v>
      </c>
      <c r="BB48">
        <f>SOLID!BF17</f>
        <v>0</v>
      </c>
      <c r="BC48">
        <f>SOLID!BG17</f>
        <v>0</v>
      </c>
      <c r="BD48">
        <f>SOLID!BH17</f>
        <v>0</v>
      </c>
      <c r="BE48">
        <f>SOLID!BI17</f>
        <v>0</v>
      </c>
      <c r="BF48">
        <f>SOLID!BJ17</f>
        <v>0</v>
      </c>
      <c r="BG48">
        <f>SOLID!BK17</f>
        <v>0</v>
      </c>
      <c r="BH48">
        <f>SOLID!BL17</f>
        <v>0</v>
      </c>
      <c r="BI48">
        <f>SOLID!BM17</f>
        <v>0</v>
      </c>
      <c r="BJ48">
        <f>SOLID!BN17</f>
        <v>0</v>
      </c>
      <c r="BK48">
        <f>SOLID!BO17</f>
        <v>0</v>
      </c>
      <c r="BL48">
        <f>SOLID!BP17</f>
        <v>0</v>
      </c>
      <c r="BM48">
        <f>SOLID!BQ17</f>
        <v>0</v>
      </c>
      <c r="BN48">
        <f>SOLID!BR17</f>
        <v>0</v>
      </c>
      <c r="BO48">
        <f>SOLID!BS17</f>
        <v>0</v>
      </c>
      <c r="BP48">
        <f>SOLID!BT17</f>
        <v>0</v>
      </c>
      <c r="BQ48">
        <f>SOLID!BU17</f>
        <v>0</v>
      </c>
      <c r="BR48">
        <f>SOLID!BV17</f>
        <v>0</v>
      </c>
      <c r="BS48">
        <f>SOLID!BW17</f>
        <v>0</v>
      </c>
      <c r="BT48">
        <f>SOLID!BX17</f>
        <v>0</v>
      </c>
    </row>
    <row r="49" spans="1:72" ht="21.75" outlineLevel="1" thickBot="1" x14ac:dyDescent="0.4">
      <c r="A49" s="61" t="str">
        <f>SOLID!E18</f>
        <v>H (Ge)</v>
      </c>
      <c r="B49" s="28">
        <f>SOLID!F18</f>
        <v>-16.29</v>
      </c>
      <c r="C49" s="28">
        <f>SOLID!G18</f>
        <v>-15.52</v>
      </c>
      <c r="D49" s="28">
        <f>SOLID!H18</f>
        <v>-14.86</v>
      </c>
      <c r="E49" s="28">
        <f>SOLID!I18</f>
        <v>-14.3</v>
      </c>
      <c r="F49" s="28">
        <f>SOLID!J18</f>
        <v>-13.17</v>
      </c>
      <c r="G49" s="28">
        <f>SOLID!K18</f>
        <v>-7.9130000000000003</v>
      </c>
      <c r="H49" s="28">
        <f>SOLID!L18</f>
        <v>-6.851</v>
      </c>
      <c r="I49" s="28">
        <f>SOLID!M18</f>
        <v>-5.867</v>
      </c>
      <c r="J49" s="28">
        <f>SOLID!N18</f>
        <v>-4.9489999999999998</v>
      </c>
      <c r="K49" s="28">
        <f>SOLID!O18</f>
        <v>-4.0979999999999999</v>
      </c>
      <c r="L49" s="28">
        <f>SOLID!P18</f>
        <v>-4.1500000000000004</v>
      </c>
      <c r="M49" s="28">
        <f>SOLID!Q18</f>
        <v>-4.2</v>
      </c>
      <c r="N49" s="28">
        <f>SOLID!R18</f>
        <v>-4.2489999999999997</v>
      </c>
      <c r="O49" s="28">
        <f>SOLID!S18</f>
        <v>-4.2990000000000004</v>
      </c>
      <c r="P49" s="28">
        <f>SOLID!T18</f>
        <v>-4.4989999999999997</v>
      </c>
      <c r="Q49" s="28">
        <f>SOLID!U18</f>
        <v>-4.5490000000000004</v>
      </c>
      <c r="R49" s="28">
        <f>SOLID!V18</f>
        <v>-4.5979999999999999</v>
      </c>
      <c r="S49" s="28">
        <f>SOLID!W18</f>
        <v>-4.6470000000000002</v>
      </c>
      <c r="T49" s="28">
        <f>SOLID!X18</f>
        <v>-4.6959999999999997</v>
      </c>
      <c r="U49" s="28">
        <f>SOLID!Y18</f>
        <v>-4.7439999999999998</v>
      </c>
      <c r="V49" s="28">
        <f>SOLID!Z18</f>
        <v>-4.7919999999999998</v>
      </c>
      <c r="W49" s="28">
        <f>SOLID!AA18</f>
        <v>-4.84</v>
      </c>
      <c r="X49" s="28">
        <f>SOLID!AB18</f>
        <v>-4.8869999999999996</v>
      </c>
      <c r="Y49" s="28">
        <f>SOLID!AC18</f>
        <v>-5.0709999999999997</v>
      </c>
      <c r="Z49" s="28">
        <f>SOLID!AD18</f>
        <v>-5.2489999999999997</v>
      </c>
      <c r="AA49" s="28">
        <f>SOLID!AE18</f>
        <v>0</v>
      </c>
      <c r="AB49" s="28">
        <f>SOLID!AF18</f>
        <v>0</v>
      </c>
      <c r="AC49" s="28">
        <f>SOLID!AG18</f>
        <v>0</v>
      </c>
      <c r="AD49" s="28">
        <f>SOLID!AH18</f>
        <v>0</v>
      </c>
      <c r="AE49" s="28">
        <f>SOLID!AI18</f>
        <v>0</v>
      </c>
      <c r="AF49" s="28">
        <f>SOLID!AJ18</f>
        <v>0</v>
      </c>
      <c r="AG49" s="28">
        <f>SOLID!AK18</f>
        <v>0</v>
      </c>
      <c r="AH49" s="28">
        <f>SOLID!AL18</f>
        <v>0</v>
      </c>
      <c r="AI49" s="28">
        <f>SOLID!AM18</f>
        <v>0</v>
      </c>
      <c r="AJ49">
        <f>SOLID!AN18</f>
        <v>0</v>
      </c>
      <c r="AK49">
        <f>SOLID!AO18</f>
        <v>0</v>
      </c>
      <c r="AL49">
        <f>SOLID!AP18</f>
        <v>0</v>
      </c>
      <c r="AM49">
        <f>SOLID!AQ18</f>
        <v>0</v>
      </c>
      <c r="AN49">
        <f>SOLID!AR18</f>
        <v>0</v>
      </c>
      <c r="AO49">
        <f>SOLID!AS18</f>
        <v>0</v>
      </c>
      <c r="AP49">
        <f>SOLID!AT18</f>
        <v>0</v>
      </c>
      <c r="AQ49">
        <f>SOLID!AU18</f>
        <v>0</v>
      </c>
      <c r="AR49">
        <f>SOLID!AV18</f>
        <v>0</v>
      </c>
      <c r="AS49">
        <f>SOLID!AW18</f>
        <v>0</v>
      </c>
      <c r="AT49">
        <f>SOLID!AX18</f>
        <v>0</v>
      </c>
      <c r="AU49">
        <f>SOLID!AY18</f>
        <v>0</v>
      </c>
      <c r="AV49">
        <f>SOLID!AZ18</f>
        <v>0</v>
      </c>
      <c r="AW49">
        <f>SOLID!BA18</f>
        <v>0</v>
      </c>
      <c r="AX49">
        <f>SOLID!BB18</f>
        <v>0</v>
      </c>
      <c r="AY49">
        <f>SOLID!BC18</f>
        <v>0</v>
      </c>
      <c r="AZ49">
        <f>SOLID!BD18</f>
        <v>0</v>
      </c>
      <c r="BA49">
        <f>SOLID!BE18</f>
        <v>0</v>
      </c>
      <c r="BB49">
        <f>SOLID!BF18</f>
        <v>0</v>
      </c>
      <c r="BC49">
        <f>SOLID!BG18</f>
        <v>0</v>
      </c>
      <c r="BD49">
        <f>SOLID!BH18</f>
        <v>0</v>
      </c>
      <c r="BE49">
        <f>SOLID!BI18</f>
        <v>0</v>
      </c>
      <c r="BF49">
        <f>SOLID!BJ18</f>
        <v>0</v>
      </c>
      <c r="BG49">
        <f>SOLID!BK18</f>
        <v>0</v>
      </c>
      <c r="BH49">
        <f>SOLID!BL18</f>
        <v>0</v>
      </c>
      <c r="BI49">
        <f>SOLID!BM18</f>
        <v>0</v>
      </c>
      <c r="BJ49">
        <f>SOLID!BN18</f>
        <v>0</v>
      </c>
      <c r="BK49">
        <f>SOLID!BO18</f>
        <v>0</v>
      </c>
      <c r="BL49">
        <f>SOLID!BP18</f>
        <v>0</v>
      </c>
      <c r="BM49">
        <f>SOLID!BQ18</f>
        <v>0</v>
      </c>
      <c r="BN49">
        <f>SOLID!BR18</f>
        <v>0</v>
      </c>
      <c r="BO49">
        <f>SOLID!BS18</f>
        <v>0</v>
      </c>
      <c r="BP49">
        <f>SOLID!BT18</f>
        <v>0</v>
      </c>
      <c r="BQ49">
        <f>SOLID!BU18</f>
        <v>0</v>
      </c>
      <c r="BR49">
        <f>SOLID!BV18</f>
        <v>0</v>
      </c>
      <c r="BS49">
        <f>SOLID!BW18</f>
        <v>0</v>
      </c>
      <c r="BT49">
        <f>SOLID!BX18</f>
        <v>0</v>
      </c>
    </row>
    <row r="50" spans="1:72" ht="21.75" outlineLevel="1" thickBot="1" x14ac:dyDescent="0.4">
      <c r="A50" s="61" t="str">
        <f>SOLID!E19</f>
        <v>H (Se)</v>
      </c>
      <c r="B50" s="28">
        <f>SOLID!F19</f>
        <v>-23.52</v>
      </c>
      <c r="C50" s="28">
        <f>SOLID!G19</f>
        <v>-22.18</v>
      </c>
      <c r="D50" s="28">
        <f>SOLID!H19</f>
        <v>-21.02</v>
      </c>
      <c r="E50" s="28">
        <f>SOLID!I19</f>
        <v>-20.010000000000002</v>
      </c>
      <c r="F50" s="28">
        <f>SOLID!J19</f>
        <v>-19.77</v>
      </c>
      <c r="G50" s="28">
        <f>SOLID!K19</f>
        <v>-20.97</v>
      </c>
      <c r="H50" s="28">
        <f>SOLID!L19</f>
        <v>-21.27</v>
      </c>
      <c r="I50" s="28">
        <f>SOLID!M19</f>
        <v>-21.58</v>
      </c>
      <c r="J50" s="28">
        <f>SOLID!N19</f>
        <v>-21.88</v>
      </c>
      <c r="K50" s="28">
        <f>SOLID!O19</f>
        <v>-22.18</v>
      </c>
      <c r="L50" s="28">
        <f>SOLID!P19</f>
        <v>-22.49</v>
      </c>
      <c r="M50" s="28">
        <f>SOLID!Q19</f>
        <v>-22.79</v>
      </c>
      <c r="N50" s="28">
        <f>SOLID!R19</f>
        <v>-23.08</v>
      </c>
      <c r="O50" s="28">
        <f>SOLID!S19</f>
        <v>-23.37</v>
      </c>
      <c r="P50" s="28">
        <f>SOLID!T19</f>
        <v>-24.51</v>
      </c>
      <c r="Q50" s="28">
        <f>SOLID!U19</f>
        <v>-24.79</v>
      </c>
      <c r="R50" s="28">
        <f>SOLID!V19</f>
        <v>-25.06</v>
      </c>
      <c r="S50" s="28">
        <f>SOLID!W19</f>
        <v>-25.33</v>
      </c>
      <c r="T50" s="28">
        <f>SOLID!X19</f>
        <v>-25.6</v>
      </c>
      <c r="U50" s="28">
        <f>SOLID!Y19</f>
        <v>-25.87</v>
      </c>
      <c r="V50" s="28">
        <f>SOLID!Z19</f>
        <v>-26.13</v>
      </c>
      <c r="W50" s="28">
        <f>SOLID!AA19</f>
        <v>-26.39</v>
      </c>
      <c r="X50" s="28">
        <f>SOLID!AB19</f>
        <v>-26.65</v>
      </c>
      <c r="Y50" s="28">
        <f>SOLID!AC19</f>
        <v>-27.65</v>
      </c>
      <c r="Z50" s="28">
        <f>SOLID!AD19</f>
        <v>-28.62</v>
      </c>
      <c r="AA50" s="28">
        <f>SOLID!AE19</f>
        <v>0</v>
      </c>
      <c r="AB50" s="28">
        <f>SOLID!AF19</f>
        <v>0</v>
      </c>
      <c r="AC50" s="28">
        <f>SOLID!AG19</f>
        <v>0</v>
      </c>
      <c r="AD50" s="28">
        <f>SOLID!AH19</f>
        <v>0</v>
      </c>
      <c r="AE50" s="28">
        <f>SOLID!AI19</f>
        <v>0</v>
      </c>
      <c r="AF50" s="28">
        <f>SOLID!AJ19</f>
        <v>0</v>
      </c>
      <c r="AG50" s="28">
        <f>SOLID!AK19</f>
        <v>0</v>
      </c>
      <c r="AH50" s="28">
        <f>SOLID!AL19</f>
        <v>0</v>
      </c>
      <c r="AI50" s="28">
        <f>SOLID!AM19</f>
        <v>0</v>
      </c>
      <c r="AJ50">
        <f>SOLID!AN19</f>
        <v>0</v>
      </c>
      <c r="AK50">
        <f>SOLID!AO19</f>
        <v>0</v>
      </c>
      <c r="AL50">
        <f>SOLID!AP19</f>
        <v>0</v>
      </c>
      <c r="AM50">
        <f>SOLID!AQ19</f>
        <v>0</v>
      </c>
      <c r="AN50">
        <f>SOLID!AR19</f>
        <v>0</v>
      </c>
      <c r="AO50">
        <f>SOLID!AS19</f>
        <v>0</v>
      </c>
      <c r="AP50">
        <f>SOLID!AT19</f>
        <v>0</v>
      </c>
      <c r="AQ50">
        <f>SOLID!AU19</f>
        <v>0</v>
      </c>
      <c r="AR50">
        <f>SOLID!AV19</f>
        <v>0</v>
      </c>
      <c r="AS50">
        <f>SOLID!AW19</f>
        <v>0</v>
      </c>
      <c r="AT50">
        <f>SOLID!AX19</f>
        <v>0</v>
      </c>
      <c r="AU50">
        <f>SOLID!AY19</f>
        <v>0</v>
      </c>
      <c r="AV50">
        <f>SOLID!AZ19</f>
        <v>0</v>
      </c>
      <c r="AW50">
        <f>SOLID!BA19</f>
        <v>0</v>
      </c>
      <c r="AX50">
        <f>SOLID!BB19</f>
        <v>0</v>
      </c>
      <c r="AY50">
        <f>SOLID!BC19</f>
        <v>0</v>
      </c>
      <c r="AZ50">
        <f>SOLID!BD19</f>
        <v>0</v>
      </c>
      <c r="BA50">
        <f>SOLID!BE19</f>
        <v>0</v>
      </c>
      <c r="BB50">
        <f>SOLID!BF19</f>
        <v>0</v>
      </c>
      <c r="BC50">
        <f>SOLID!BG19</f>
        <v>0</v>
      </c>
      <c r="BD50">
        <f>SOLID!BH19</f>
        <v>0</v>
      </c>
      <c r="BE50">
        <f>SOLID!BI19</f>
        <v>0</v>
      </c>
      <c r="BF50">
        <f>SOLID!BJ19</f>
        <v>0</v>
      </c>
      <c r="BG50">
        <f>SOLID!BK19</f>
        <v>0</v>
      </c>
      <c r="BH50">
        <f>SOLID!BL19</f>
        <v>0</v>
      </c>
      <c r="BI50">
        <f>SOLID!BM19</f>
        <v>0</v>
      </c>
      <c r="BJ50">
        <f>SOLID!BN19</f>
        <v>0</v>
      </c>
      <c r="BK50">
        <f>SOLID!BO19</f>
        <v>0</v>
      </c>
      <c r="BL50">
        <f>SOLID!BP19</f>
        <v>0</v>
      </c>
      <c r="BM50">
        <f>SOLID!BQ19</f>
        <v>0</v>
      </c>
      <c r="BN50">
        <f>SOLID!BR19</f>
        <v>0</v>
      </c>
      <c r="BO50">
        <f>SOLID!BS19</f>
        <v>0</v>
      </c>
      <c r="BP50">
        <f>SOLID!BT19</f>
        <v>0</v>
      </c>
      <c r="BQ50">
        <f>SOLID!BU19</f>
        <v>0</v>
      </c>
      <c r="BR50">
        <f>SOLID!BV19</f>
        <v>0</v>
      </c>
      <c r="BS50">
        <f>SOLID!BW19</f>
        <v>0</v>
      </c>
      <c r="BT50">
        <f>SOLID!BX19</f>
        <v>0</v>
      </c>
    </row>
    <row r="51" spans="1:72" ht="21.75" outlineLevel="1" thickBot="1" x14ac:dyDescent="0.4">
      <c r="A51" s="61">
        <f>SOLID!E20</f>
        <v>0</v>
      </c>
      <c r="B51" s="28">
        <f>SOLID!F20</f>
        <v>0</v>
      </c>
      <c r="C51" s="28">
        <f>SOLID!G20</f>
        <v>0</v>
      </c>
      <c r="D51" s="28">
        <f>SOLID!H20</f>
        <v>0</v>
      </c>
      <c r="E51" s="28">
        <f>SOLID!I20</f>
        <v>0</v>
      </c>
      <c r="F51" s="28">
        <f>SOLID!J20</f>
        <v>0</v>
      </c>
      <c r="G51" s="28">
        <f>SOLID!K20</f>
        <v>0</v>
      </c>
      <c r="H51" s="28">
        <f>SOLID!L20</f>
        <v>0</v>
      </c>
      <c r="I51" s="28">
        <f>SOLID!M20</f>
        <v>0</v>
      </c>
      <c r="J51" s="28">
        <f>SOLID!N20</f>
        <v>0</v>
      </c>
      <c r="K51" s="28">
        <f>SOLID!O20</f>
        <v>0</v>
      </c>
      <c r="L51" s="28">
        <f>SOLID!P20</f>
        <v>0</v>
      </c>
      <c r="M51" s="28">
        <f>SOLID!Q20</f>
        <v>0</v>
      </c>
      <c r="N51" s="28">
        <f>SOLID!R20</f>
        <v>0</v>
      </c>
      <c r="O51" s="28">
        <f>SOLID!S20</f>
        <v>0</v>
      </c>
      <c r="P51" s="28">
        <f>SOLID!T20</f>
        <v>0</v>
      </c>
      <c r="Q51" s="28">
        <f>SOLID!U20</f>
        <v>0</v>
      </c>
      <c r="R51" s="28">
        <f>SOLID!V20</f>
        <v>0</v>
      </c>
      <c r="S51" s="28">
        <f>SOLID!W20</f>
        <v>0</v>
      </c>
      <c r="T51" s="28">
        <f>SOLID!X20</f>
        <v>0</v>
      </c>
      <c r="U51" s="28">
        <f>SOLID!Y20</f>
        <v>0</v>
      </c>
      <c r="V51" s="28">
        <f>SOLID!Z20</f>
        <v>0</v>
      </c>
      <c r="W51" s="28">
        <f>SOLID!AA20</f>
        <v>0</v>
      </c>
      <c r="X51" s="28">
        <f>SOLID!AB20</f>
        <v>0</v>
      </c>
      <c r="Y51" s="28">
        <f>SOLID!AC20</f>
        <v>0</v>
      </c>
      <c r="Z51" s="28">
        <f>SOLID!AD20</f>
        <v>0</v>
      </c>
      <c r="AA51" s="28">
        <f>SOLID!AE20</f>
        <v>0</v>
      </c>
      <c r="AB51" s="28">
        <f>SOLID!AF20</f>
        <v>0</v>
      </c>
      <c r="AC51" s="28">
        <f>SOLID!AG20</f>
        <v>0</v>
      </c>
      <c r="AD51" s="28">
        <f>SOLID!AH20</f>
        <v>0</v>
      </c>
      <c r="AE51" s="28">
        <f>SOLID!AI20</f>
        <v>0</v>
      </c>
      <c r="AF51" s="28">
        <f>SOLID!AJ20</f>
        <v>0</v>
      </c>
      <c r="AG51" s="28">
        <f>SOLID!AK20</f>
        <v>0</v>
      </c>
      <c r="AH51" s="28">
        <f>SOLID!AL20</f>
        <v>0</v>
      </c>
      <c r="AI51" s="28">
        <f>SOLID!AM20</f>
        <v>0</v>
      </c>
      <c r="AJ51">
        <f>SOLID!AN20</f>
        <v>0</v>
      </c>
      <c r="AK51">
        <f>SOLID!AO20</f>
        <v>0</v>
      </c>
      <c r="AL51">
        <f>SOLID!AP20</f>
        <v>0</v>
      </c>
      <c r="AM51">
        <f>SOLID!AQ20</f>
        <v>0</v>
      </c>
      <c r="AN51">
        <f>SOLID!AR20</f>
        <v>0</v>
      </c>
      <c r="AO51">
        <f>SOLID!AS20</f>
        <v>0</v>
      </c>
      <c r="AP51">
        <f>SOLID!AT20</f>
        <v>0</v>
      </c>
      <c r="AQ51">
        <f>SOLID!AU20</f>
        <v>0</v>
      </c>
      <c r="AR51">
        <f>SOLID!AV20</f>
        <v>0</v>
      </c>
      <c r="AS51">
        <f>SOLID!AW20</f>
        <v>0</v>
      </c>
      <c r="AT51">
        <f>SOLID!AX20</f>
        <v>0</v>
      </c>
      <c r="AU51">
        <f>SOLID!AY20</f>
        <v>0</v>
      </c>
      <c r="AV51">
        <f>SOLID!AZ20</f>
        <v>0</v>
      </c>
      <c r="AW51">
        <f>SOLID!BA20</f>
        <v>0</v>
      </c>
      <c r="AX51">
        <f>SOLID!BB20</f>
        <v>0</v>
      </c>
      <c r="AY51">
        <f>SOLID!BC20</f>
        <v>0</v>
      </c>
      <c r="AZ51">
        <f>SOLID!BD20</f>
        <v>0</v>
      </c>
      <c r="BA51">
        <f>SOLID!BE20</f>
        <v>0</v>
      </c>
      <c r="BB51">
        <f>SOLID!BF20</f>
        <v>0</v>
      </c>
      <c r="BC51">
        <f>SOLID!BG20</f>
        <v>0</v>
      </c>
      <c r="BD51">
        <f>SOLID!BH20</f>
        <v>0</v>
      </c>
      <c r="BE51">
        <f>SOLID!BI20</f>
        <v>0</v>
      </c>
      <c r="BF51">
        <f>SOLID!BJ20</f>
        <v>0</v>
      </c>
      <c r="BG51">
        <f>SOLID!BK20</f>
        <v>0</v>
      </c>
      <c r="BH51">
        <f>SOLID!BL20</f>
        <v>0</v>
      </c>
      <c r="BI51">
        <f>SOLID!BM20</f>
        <v>0</v>
      </c>
      <c r="BJ51">
        <f>SOLID!BN20</f>
        <v>0</v>
      </c>
      <c r="BK51">
        <f>SOLID!BO20</f>
        <v>0</v>
      </c>
      <c r="BL51">
        <f>SOLID!BP20</f>
        <v>0</v>
      </c>
      <c r="BM51">
        <f>SOLID!BQ20</f>
        <v>0</v>
      </c>
      <c r="BN51">
        <f>SOLID!BR20</f>
        <v>0</v>
      </c>
      <c r="BO51">
        <f>SOLID!BS20</f>
        <v>0</v>
      </c>
      <c r="BP51">
        <f>SOLID!BT20</f>
        <v>0</v>
      </c>
      <c r="BQ51">
        <f>SOLID!BU20</f>
        <v>0</v>
      </c>
      <c r="BR51">
        <f>SOLID!BV20</f>
        <v>0</v>
      </c>
      <c r="BS51">
        <f>SOLID!BW20</f>
        <v>0</v>
      </c>
      <c r="BT51">
        <f>SOLID!BX20</f>
        <v>0</v>
      </c>
    </row>
    <row r="52" spans="1:72" ht="21.75" outlineLevel="1" thickBot="1" x14ac:dyDescent="0.4">
      <c r="A52" s="61">
        <f>SOLID!E21</f>
        <v>0</v>
      </c>
      <c r="B52" s="28">
        <f>SOLID!F21</f>
        <v>0</v>
      </c>
      <c r="C52" s="28">
        <f>SOLID!G21</f>
        <v>0</v>
      </c>
      <c r="D52" s="28">
        <f>SOLID!H21</f>
        <v>0</v>
      </c>
      <c r="E52" s="28">
        <f>SOLID!I21</f>
        <v>0</v>
      </c>
      <c r="F52" s="28">
        <f>SOLID!J21</f>
        <v>0</v>
      </c>
      <c r="G52" s="28">
        <f>SOLID!K21</f>
        <v>0</v>
      </c>
      <c r="H52" s="28">
        <f>SOLID!L21</f>
        <v>0</v>
      </c>
      <c r="I52" s="28">
        <f>SOLID!M21</f>
        <v>0</v>
      </c>
      <c r="J52" s="28">
        <f>SOLID!N21</f>
        <v>0</v>
      </c>
      <c r="K52" s="28">
        <f>SOLID!O21</f>
        <v>0</v>
      </c>
      <c r="L52" s="28">
        <f>SOLID!P21</f>
        <v>0</v>
      </c>
      <c r="M52" s="28">
        <f>SOLID!Q21</f>
        <v>0</v>
      </c>
      <c r="N52" s="28">
        <f>SOLID!R21</f>
        <v>0</v>
      </c>
      <c r="O52" s="28">
        <f>SOLID!S21</f>
        <v>0</v>
      </c>
      <c r="P52" s="28">
        <f>SOLID!T21</f>
        <v>0</v>
      </c>
      <c r="Q52" s="28">
        <f>SOLID!U21</f>
        <v>0</v>
      </c>
      <c r="R52" s="28">
        <f>SOLID!V21</f>
        <v>0</v>
      </c>
      <c r="S52" s="28">
        <f>SOLID!W21</f>
        <v>0</v>
      </c>
      <c r="T52" s="28">
        <f>SOLID!X21</f>
        <v>0</v>
      </c>
      <c r="U52" s="28">
        <f>SOLID!Y21</f>
        <v>0</v>
      </c>
      <c r="V52" s="28">
        <f>SOLID!Z21</f>
        <v>0</v>
      </c>
      <c r="W52" s="28">
        <f>SOLID!AA21</f>
        <v>0</v>
      </c>
      <c r="X52" s="28">
        <f>SOLID!AB21</f>
        <v>0</v>
      </c>
      <c r="Y52" s="28">
        <f>SOLID!AC21</f>
        <v>0</v>
      </c>
      <c r="Z52" s="28">
        <f>SOLID!AD21</f>
        <v>0</v>
      </c>
      <c r="AA52" s="28">
        <f>SOLID!AE21</f>
        <v>0</v>
      </c>
      <c r="AB52" s="28">
        <f>SOLID!AF21</f>
        <v>0</v>
      </c>
      <c r="AC52" s="28">
        <f>SOLID!AG21</f>
        <v>0</v>
      </c>
      <c r="AD52" s="28">
        <f>SOLID!AH21</f>
        <v>0</v>
      </c>
      <c r="AE52" s="28">
        <f>SOLID!AI21</f>
        <v>0</v>
      </c>
      <c r="AF52" s="28">
        <f>SOLID!AJ21</f>
        <v>0</v>
      </c>
      <c r="AG52" s="28">
        <f>SOLID!AK21</f>
        <v>0</v>
      </c>
      <c r="AH52" s="28">
        <f>SOLID!AL21</f>
        <v>0</v>
      </c>
      <c r="AI52" s="28">
        <f>SOLID!AM21</f>
        <v>0</v>
      </c>
      <c r="AJ52">
        <f>SOLID!AN21</f>
        <v>0</v>
      </c>
      <c r="AK52">
        <f>SOLID!AO21</f>
        <v>0</v>
      </c>
      <c r="AL52">
        <f>SOLID!AP21</f>
        <v>0</v>
      </c>
      <c r="AM52">
        <f>SOLID!AQ21</f>
        <v>0</v>
      </c>
      <c r="AN52">
        <f>SOLID!AR21</f>
        <v>0</v>
      </c>
      <c r="AO52">
        <f>SOLID!AS21</f>
        <v>0</v>
      </c>
      <c r="AP52">
        <f>SOLID!AT21</f>
        <v>0</v>
      </c>
      <c r="AQ52">
        <f>SOLID!AU21</f>
        <v>0</v>
      </c>
      <c r="AR52">
        <f>SOLID!AV21</f>
        <v>0</v>
      </c>
      <c r="AS52">
        <f>SOLID!AW21</f>
        <v>0</v>
      </c>
      <c r="AT52">
        <f>SOLID!AX21</f>
        <v>0</v>
      </c>
      <c r="AU52">
        <f>SOLID!AY21</f>
        <v>0</v>
      </c>
      <c r="AV52">
        <f>SOLID!AZ21</f>
        <v>0</v>
      </c>
      <c r="AW52">
        <f>SOLID!BA21</f>
        <v>0</v>
      </c>
      <c r="AX52">
        <f>SOLID!BB21</f>
        <v>0</v>
      </c>
      <c r="AY52">
        <f>SOLID!BC21</f>
        <v>0</v>
      </c>
      <c r="AZ52">
        <f>SOLID!BD21</f>
        <v>0</v>
      </c>
      <c r="BA52">
        <f>SOLID!BE21</f>
        <v>0</v>
      </c>
      <c r="BB52">
        <f>SOLID!BF21</f>
        <v>0</v>
      </c>
      <c r="BC52">
        <f>SOLID!BG21</f>
        <v>0</v>
      </c>
      <c r="BD52">
        <f>SOLID!BH21</f>
        <v>0</v>
      </c>
      <c r="BE52">
        <f>SOLID!BI21</f>
        <v>0</v>
      </c>
      <c r="BF52">
        <f>SOLID!BJ21</f>
        <v>0</v>
      </c>
      <c r="BG52">
        <f>SOLID!BK21</f>
        <v>0</v>
      </c>
      <c r="BH52">
        <f>SOLID!BL21</f>
        <v>0</v>
      </c>
      <c r="BI52">
        <f>SOLID!BM21</f>
        <v>0</v>
      </c>
      <c r="BJ52">
        <f>SOLID!BN21</f>
        <v>0</v>
      </c>
      <c r="BK52">
        <f>SOLID!BO21</f>
        <v>0</v>
      </c>
      <c r="BL52">
        <f>SOLID!BP21</f>
        <v>0</v>
      </c>
      <c r="BM52">
        <f>SOLID!BQ21</f>
        <v>0</v>
      </c>
      <c r="BN52">
        <f>SOLID!BR21</f>
        <v>0</v>
      </c>
      <c r="BO52">
        <f>SOLID!BS21</f>
        <v>0</v>
      </c>
      <c r="BP52">
        <f>SOLID!BT21</f>
        <v>0</v>
      </c>
      <c r="BQ52">
        <f>SOLID!BU21</f>
        <v>0</v>
      </c>
      <c r="BR52">
        <f>SOLID!BV21</f>
        <v>0</v>
      </c>
      <c r="BS52">
        <f>SOLID!BW21</f>
        <v>0</v>
      </c>
      <c r="BT52">
        <f>SOLID!BX21</f>
        <v>0</v>
      </c>
    </row>
    <row r="53" spans="1:72" ht="21.75" outlineLevel="1" thickBot="1" x14ac:dyDescent="0.4">
      <c r="A53" s="61">
        <f>SOLID!E22</f>
        <v>0</v>
      </c>
      <c r="B53" s="28">
        <f>SOLID!F22</f>
        <v>0</v>
      </c>
      <c r="C53" s="28">
        <f>SOLID!G22</f>
        <v>0</v>
      </c>
      <c r="D53" s="28">
        <f>SOLID!H22</f>
        <v>0</v>
      </c>
      <c r="E53" s="28">
        <f>SOLID!I22</f>
        <v>0</v>
      </c>
      <c r="F53" s="28">
        <f>SOLID!J22</f>
        <v>0</v>
      </c>
      <c r="G53" s="28">
        <f>SOLID!K22</f>
        <v>0</v>
      </c>
      <c r="H53" s="28">
        <f>SOLID!L22</f>
        <v>0</v>
      </c>
      <c r="I53" s="28">
        <f>SOLID!M22</f>
        <v>0</v>
      </c>
      <c r="J53" s="28">
        <f>SOLID!N22</f>
        <v>0</v>
      </c>
      <c r="K53" s="28">
        <f>SOLID!O22</f>
        <v>0</v>
      </c>
      <c r="L53" s="28">
        <f>SOLID!P22</f>
        <v>0</v>
      </c>
      <c r="M53" s="28">
        <f>SOLID!Q22</f>
        <v>0</v>
      </c>
      <c r="N53" s="28">
        <f>SOLID!R22</f>
        <v>0</v>
      </c>
      <c r="O53" s="28">
        <f>SOLID!S22</f>
        <v>0</v>
      </c>
      <c r="P53" s="28">
        <f>SOLID!T22</f>
        <v>0</v>
      </c>
      <c r="Q53" s="28">
        <f>SOLID!U22</f>
        <v>0</v>
      </c>
      <c r="R53" s="28">
        <f>SOLID!V22</f>
        <v>0</v>
      </c>
      <c r="S53" s="28">
        <f>SOLID!W22</f>
        <v>0</v>
      </c>
      <c r="T53" s="28">
        <f>SOLID!X22</f>
        <v>0</v>
      </c>
      <c r="U53" s="28">
        <f>SOLID!Y22</f>
        <v>0</v>
      </c>
      <c r="V53" s="28">
        <f>SOLID!Z22</f>
        <v>0</v>
      </c>
      <c r="W53" s="28">
        <f>SOLID!AA22</f>
        <v>0</v>
      </c>
      <c r="X53" s="28">
        <f>SOLID!AB22</f>
        <v>0</v>
      </c>
      <c r="Y53" s="28">
        <f>SOLID!AC22</f>
        <v>0</v>
      </c>
      <c r="Z53" s="28">
        <f>SOLID!AD22</f>
        <v>0</v>
      </c>
      <c r="AA53" s="28">
        <f>SOLID!AE22</f>
        <v>0</v>
      </c>
      <c r="AB53" s="28">
        <f>SOLID!AF22</f>
        <v>0</v>
      </c>
      <c r="AC53" s="28">
        <f>SOLID!AG22</f>
        <v>0</v>
      </c>
      <c r="AD53" s="28">
        <f>SOLID!AH22</f>
        <v>0</v>
      </c>
      <c r="AE53" s="28">
        <f>SOLID!AI22</f>
        <v>0</v>
      </c>
      <c r="AF53" s="28">
        <f>SOLID!AJ22</f>
        <v>0</v>
      </c>
      <c r="AG53" s="28">
        <f>SOLID!AK22</f>
        <v>0</v>
      </c>
      <c r="AH53" s="28">
        <f>SOLID!AL22</f>
        <v>0</v>
      </c>
      <c r="AI53" s="28">
        <f>SOLID!AM22</f>
        <v>0</v>
      </c>
      <c r="AJ53">
        <f>SOLID!AN22</f>
        <v>0</v>
      </c>
      <c r="AK53">
        <f>SOLID!AO22</f>
        <v>0</v>
      </c>
      <c r="AL53">
        <f>SOLID!AP22</f>
        <v>0</v>
      </c>
      <c r="AM53">
        <f>SOLID!AQ22</f>
        <v>0</v>
      </c>
      <c r="AN53">
        <f>SOLID!AR22</f>
        <v>0</v>
      </c>
      <c r="AO53">
        <f>SOLID!AS22</f>
        <v>0</v>
      </c>
      <c r="AP53">
        <f>SOLID!AT22</f>
        <v>0</v>
      </c>
      <c r="AQ53">
        <f>SOLID!AU22</f>
        <v>0</v>
      </c>
      <c r="AR53">
        <f>SOLID!AV22</f>
        <v>0</v>
      </c>
      <c r="AS53">
        <f>SOLID!AW22</f>
        <v>0</v>
      </c>
      <c r="AT53">
        <f>SOLID!AX22</f>
        <v>0</v>
      </c>
      <c r="AU53">
        <f>SOLID!AY22</f>
        <v>0</v>
      </c>
      <c r="AV53">
        <f>SOLID!AZ22</f>
        <v>0</v>
      </c>
      <c r="AW53">
        <f>SOLID!BA22</f>
        <v>0</v>
      </c>
      <c r="AX53">
        <f>SOLID!BB22</f>
        <v>0</v>
      </c>
      <c r="AY53">
        <f>SOLID!BC22</f>
        <v>0</v>
      </c>
      <c r="AZ53">
        <f>SOLID!BD22</f>
        <v>0</v>
      </c>
      <c r="BA53">
        <f>SOLID!BE22</f>
        <v>0</v>
      </c>
      <c r="BB53">
        <f>SOLID!BF22</f>
        <v>0</v>
      </c>
      <c r="BC53">
        <f>SOLID!BG22</f>
        <v>0</v>
      </c>
      <c r="BD53">
        <f>SOLID!BH22</f>
        <v>0</v>
      </c>
      <c r="BE53">
        <f>SOLID!BI22</f>
        <v>0</v>
      </c>
      <c r="BF53">
        <f>SOLID!BJ22</f>
        <v>0</v>
      </c>
      <c r="BG53">
        <f>SOLID!BK22</f>
        <v>0</v>
      </c>
      <c r="BH53">
        <f>SOLID!BL22</f>
        <v>0</v>
      </c>
      <c r="BI53">
        <f>SOLID!BM22</f>
        <v>0</v>
      </c>
      <c r="BJ53">
        <f>SOLID!BN22</f>
        <v>0</v>
      </c>
      <c r="BK53">
        <f>SOLID!BO22</f>
        <v>0</v>
      </c>
      <c r="BL53">
        <f>SOLID!BP22</f>
        <v>0</v>
      </c>
      <c r="BM53">
        <f>SOLID!BQ22</f>
        <v>0</v>
      </c>
      <c r="BN53">
        <f>SOLID!BR22</f>
        <v>0</v>
      </c>
      <c r="BO53">
        <f>SOLID!BS22</f>
        <v>0</v>
      </c>
      <c r="BP53">
        <f>SOLID!BT22</f>
        <v>0</v>
      </c>
      <c r="BQ53">
        <f>SOLID!BU22</f>
        <v>0</v>
      </c>
      <c r="BR53">
        <f>SOLID!BV22</f>
        <v>0</v>
      </c>
      <c r="BS53">
        <f>SOLID!BW22</f>
        <v>0</v>
      </c>
      <c r="BT53">
        <f>SOLID!BX22</f>
        <v>0</v>
      </c>
    </row>
    <row r="54" spans="1:72" ht="21.75" outlineLevel="1" thickBot="1" x14ac:dyDescent="0.4">
      <c r="A54" s="61">
        <f>SOLID!E23</f>
        <v>0</v>
      </c>
      <c r="B54" s="28">
        <f>SOLID!F23</f>
        <v>0</v>
      </c>
      <c r="C54" s="28">
        <f>SOLID!G23</f>
        <v>0</v>
      </c>
      <c r="D54" s="28">
        <f>SOLID!H23</f>
        <v>0</v>
      </c>
      <c r="E54" s="28">
        <f>SOLID!I23</f>
        <v>0</v>
      </c>
      <c r="F54" s="28">
        <f>SOLID!J23</f>
        <v>0</v>
      </c>
      <c r="G54" s="28">
        <f>SOLID!K23</f>
        <v>0</v>
      </c>
      <c r="H54" s="28">
        <f>SOLID!L23</f>
        <v>0</v>
      </c>
      <c r="I54" s="28">
        <f>SOLID!M23</f>
        <v>0</v>
      </c>
      <c r="J54" s="28">
        <f>SOLID!N23</f>
        <v>0</v>
      </c>
      <c r="K54" s="28">
        <f>SOLID!O23</f>
        <v>0</v>
      </c>
      <c r="L54" s="28">
        <f>SOLID!P23</f>
        <v>0</v>
      </c>
      <c r="M54" s="28">
        <f>SOLID!Q23</f>
        <v>0</v>
      </c>
      <c r="N54" s="28">
        <f>SOLID!R23</f>
        <v>0</v>
      </c>
      <c r="O54" s="28">
        <f>SOLID!S23</f>
        <v>0</v>
      </c>
      <c r="P54" s="28">
        <f>SOLID!T23</f>
        <v>0</v>
      </c>
      <c r="Q54" s="28">
        <f>SOLID!U23</f>
        <v>0</v>
      </c>
      <c r="R54" s="28">
        <f>SOLID!V23</f>
        <v>0</v>
      </c>
      <c r="S54" s="28">
        <f>SOLID!W23</f>
        <v>0</v>
      </c>
      <c r="T54" s="28">
        <f>SOLID!X23</f>
        <v>0</v>
      </c>
      <c r="U54" s="28">
        <f>SOLID!Y23</f>
        <v>0</v>
      </c>
      <c r="V54" s="28">
        <f>SOLID!Z23</f>
        <v>0</v>
      </c>
      <c r="W54" s="28">
        <f>SOLID!AA23</f>
        <v>0</v>
      </c>
      <c r="X54" s="28">
        <f>SOLID!AB23</f>
        <v>0</v>
      </c>
      <c r="Y54" s="28">
        <f>SOLID!AC23</f>
        <v>0</v>
      </c>
      <c r="Z54" s="28">
        <f>SOLID!AD23</f>
        <v>0</v>
      </c>
      <c r="AA54" s="28">
        <f>SOLID!AE23</f>
        <v>0</v>
      </c>
      <c r="AB54" s="28">
        <f>SOLID!AF23</f>
        <v>0</v>
      </c>
      <c r="AC54" s="28">
        <f>SOLID!AG23</f>
        <v>0</v>
      </c>
      <c r="AD54" s="28">
        <f>SOLID!AH23</f>
        <v>0</v>
      </c>
      <c r="AE54" s="28">
        <f>SOLID!AI23</f>
        <v>0</v>
      </c>
      <c r="AF54" s="28">
        <f>SOLID!AJ23</f>
        <v>0</v>
      </c>
      <c r="AG54" s="28">
        <f>SOLID!AK23</f>
        <v>0</v>
      </c>
      <c r="AH54" s="28">
        <f>SOLID!AL23</f>
        <v>0</v>
      </c>
      <c r="AI54" s="28">
        <f>SOLID!AM23</f>
        <v>0</v>
      </c>
      <c r="AJ54">
        <f>SOLID!AN23</f>
        <v>0</v>
      </c>
      <c r="AK54">
        <f>SOLID!AO23</f>
        <v>0</v>
      </c>
      <c r="AL54">
        <f>SOLID!AP23</f>
        <v>0</v>
      </c>
      <c r="AM54">
        <f>SOLID!AQ23</f>
        <v>0</v>
      </c>
      <c r="AN54">
        <f>SOLID!AR23</f>
        <v>0</v>
      </c>
      <c r="AO54">
        <f>SOLID!AS23</f>
        <v>0</v>
      </c>
      <c r="AP54">
        <f>SOLID!AT23</f>
        <v>0</v>
      </c>
      <c r="AQ54">
        <f>SOLID!AU23</f>
        <v>0</v>
      </c>
      <c r="AR54">
        <f>SOLID!AV23</f>
        <v>0</v>
      </c>
      <c r="AS54">
        <f>SOLID!AW23</f>
        <v>0</v>
      </c>
      <c r="AT54">
        <f>SOLID!AX23</f>
        <v>0</v>
      </c>
      <c r="AU54">
        <f>SOLID!AY23</f>
        <v>0</v>
      </c>
      <c r="AV54">
        <f>SOLID!AZ23</f>
        <v>0</v>
      </c>
      <c r="AW54">
        <f>SOLID!BA23</f>
        <v>0</v>
      </c>
      <c r="AX54">
        <f>SOLID!BB23</f>
        <v>0</v>
      </c>
      <c r="AY54">
        <f>SOLID!BC23</f>
        <v>0</v>
      </c>
      <c r="AZ54">
        <f>SOLID!BD23</f>
        <v>0</v>
      </c>
      <c r="BA54">
        <f>SOLID!BE23</f>
        <v>0</v>
      </c>
      <c r="BB54">
        <f>SOLID!BF23</f>
        <v>0</v>
      </c>
      <c r="BC54">
        <f>SOLID!BG23</f>
        <v>0</v>
      </c>
      <c r="BD54">
        <f>SOLID!BH23</f>
        <v>0</v>
      </c>
      <c r="BE54">
        <f>SOLID!BI23</f>
        <v>0</v>
      </c>
      <c r="BF54">
        <f>SOLID!BJ23</f>
        <v>0</v>
      </c>
      <c r="BG54">
        <f>SOLID!BK23</f>
        <v>0</v>
      </c>
      <c r="BH54">
        <f>SOLID!BL23</f>
        <v>0</v>
      </c>
      <c r="BI54">
        <f>SOLID!BM23</f>
        <v>0</v>
      </c>
      <c r="BJ54">
        <f>SOLID!BN23</f>
        <v>0</v>
      </c>
      <c r="BK54">
        <f>SOLID!BO23</f>
        <v>0</v>
      </c>
      <c r="BL54">
        <f>SOLID!BP23</f>
        <v>0</v>
      </c>
      <c r="BM54">
        <f>SOLID!BQ23</f>
        <v>0</v>
      </c>
      <c r="BN54">
        <f>SOLID!BR23</f>
        <v>0</v>
      </c>
      <c r="BO54">
        <f>SOLID!BS23</f>
        <v>0</v>
      </c>
      <c r="BP54">
        <f>SOLID!BT23</f>
        <v>0</v>
      </c>
      <c r="BQ54">
        <f>SOLID!BU23</f>
        <v>0</v>
      </c>
      <c r="BR54">
        <f>SOLID!BV23</f>
        <v>0</v>
      </c>
      <c r="BS54">
        <f>SOLID!BW23</f>
        <v>0</v>
      </c>
      <c r="BT54">
        <f>SOLID!BX23</f>
        <v>0</v>
      </c>
    </row>
    <row r="55" spans="1:72" ht="21.75" outlineLevel="1" thickBot="1" x14ac:dyDescent="0.4">
      <c r="A55" s="61">
        <f>SOLID!E24</f>
        <v>0</v>
      </c>
      <c r="B55" s="28">
        <f>SOLID!F24</f>
        <v>0</v>
      </c>
      <c r="C55" s="28">
        <f>SOLID!G24</f>
        <v>0</v>
      </c>
      <c r="D55" s="28">
        <f>SOLID!H24</f>
        <v>0</v>
      </c>
      <c r="E55" s="28">
        <f>SOLID!I24</f>
        <v>0</v>
      </c>
      <c r="F55" s="28">
        <f>SOLID!J24</f>
        <v>0</v>
      </c>
      <c r="G55" s="28">
        <f>SOLID!K24</f>
        <v>0</v>
      </c>
      <c r="H55" s="28">
        <f>SOLID!L24</f>
        <v>0</v>
      </c>
      <c r="I55" s="28">
        <f>SOLID!M24</f>
        <v>0</v>
      </c>
      <c r="J55" s="28">
        <f>SOLID!N24</f>
        <v>0</v>
      </c>
      <c r="K55" s="28">
        <f>SOLID!O24</f>
        <v>0</v>
      </c>
      <c r="L55" s="28">
        <f>SOLID!P24</f>
        <v>0</v>
      </c>
      <c r="M55" s="28">
        <f>SOLID!Q24</f>
        <v>0</v>
      </c>
      <c r="N55" s="28">
        <f>SOLID!R24</f>
        <v>0</v>
      </c>
      <c r="O55" s="28">
        <f>SOLID!S24</f>
        <v>0</v>
      </c>
      <c r="P55" s="28">
        <f>SOLID!T24</f>
        <v>0</v>
      </c>
      <c r="Q55" s="28">
        <f>SOLID!U24</f>
        <v>0</v>
      </c>
      <c r="R55" s="28">
        <f>SOLID!V24</f>
        <v>0</v>
      </c>
      <c r="S55" s="28">
        <f>SOLID!W24</f>
        <v>0</v>
      </c>
      <c r="T55" s="28">
        <f>SOLID!X24</f>
        <v>0</v>
      </c>
      <c r="U55" s="28">
        <f>SOLID!Y24</f>
        <v>0</v>
      </c>
      <c r="V55" s="28">
        <f>SOLID!Z24</f>
        <v>0</v>
      </c>
      <c r="W55" s="28">
        <f>SOLID!AA24</f>
        <v>0</v>
      </c>
      <c r="X55" s="28">
        <f>SOLID!AB24</f>
        <v>0</v>
      </c>
      <c r="Y55" s="28">
        <f>SOLID!AC24</f>
        <v>0</v>
      </c>
      <c r="Z55" s="28">
        <f>SOLID!AD24</f>
        <v>0</v>
      </c>
      <c r="AA55" s="28">
        <f>SOLID!AE24</f>
        <v>0</v>
      </c>
      <c r="AB55" s="28">
        <f>SOLID!AF24</f>
        <v>0</v>
      </c>
      <c r="AC55" s="28">
        <f>SOLID!AG24</f>
        <v>0</v>
      </c>
      <c r="AD55" s="28">
        <f>SOLID!AH24</f>
        <v>0</v>
      </c>
      <c r="AE55" s="28">
        <f>SOLID!AI24</f>
        <v>0</v>
      </c>
      <c r="AF55" s="28">
        <f>SOLID!AJ24</f>
        <v>0</v>
      </c>
      <c r="AG55" s="28">
        <f>SOLID!AK24</f>
        <v>0</v>
      </c>
      <c r="AH55" s="28">
        <f>SOLID!AL24</f>
        <v>0</v>
      </c>
      <c r="AI55" s="28">
        <f>SOLID!AM24</f>
        <v>0</v>
      </c>
      <c r="AJ55">
        <f>SOLID!AN24</f>
        <v>0</v>
      </c>
      <c r="AK55">
        <f>SOLID!AO24</f>
        <v>0</v>
      </c>
      <c r="AL55">
        <f>SOLID!AP24</f>
        <v>0</v>
      </c>
      <c r="AM55">
        <f>SOLID!AQ24</f>
        <v>0</v>
      </c>
      <c r="AN55">
        <f>SOLID!AR24</f>
        <v>0</v>
      </c>
      <c r="AO55">
        <f>SOLID!AS24</f>
        <v>0</v>
      </c>
      <c r="AP55">
        <f>SOLID!AT24</f>
        <v>0</v>
      </c>
      <c r="AQ55">
        <f>SOLID!AU24</f>
        <v>0</v>
      </c>
      <c r="AR55">
        <f>SOLID!AV24</f>
        <v>0</v>
      </c>
      <c r="AS55">
        <f>SOLID!AW24</f>
        <v>0</v>
      </c>
      <c r="AT55">
        <f>SOLID!AX24</f>
        <v>0</v>
      </c>
      <c r="AU55">
        <f>SOLID!AY24</f>
        <v>0</v>
      </c>
      <c r="AV55">
        <f>SOLID!AZ24</f>
        <v>0</v>
      </c>
      <c r="AW55">
        <f>SOLID!BA24</f>
        <v>0</v>
      </c>
      <c r="AX55">
        <f>SOLID!BB24</f>
        <v>0</v>
      </c>
      <c r="AY55">
        <f>SOLID!BC24</f>
        <v>0</v>
      </c>
      <c r="AZ55">
        <f>SOLID!BD24</f>
        <v>0</v>
      </c>
      <c r="BA55">
        <f>SOLID!BE24</f>
        <v>0</v>
      </c>
      <c r="BB55">
        <f>SOLID!BF24</f>
        <v>0</v>
      </c>
      <c r="BC55">
        <f>SOLID!BG24</f>
        <v>0</v>
      </c>
      <c r="BD55">
        <f>SOLID!BH24</f>
        <v>0</v>
      </c>
      <c r="BE55">
        <f>SOLID!BI24</f>
        <v>0</v>
      </c>
      <c r="BF55">
        <f>SOLID!BJ24</f>
        <v>0</v>
      </c>
      <c r="BG55">
        <f>SOLID!BK24</f>
        <v>0</v>
      </c>
      <c r="BH55">
        <f>SOLID!BL24</f>
        <v>0</v>
      </c>
      <c r="BI55">
        <f>SOLID!BM24</f>
        <v>0</v>
      </c>
      <c r="BJ55">
        <f>SOLID!BN24</f>
        <v>0</v>
      </c>
      <c r="BK55">
        <f>SOLID!BO24</f>
        <v>0</v>
      </c>
      <c r="BL55">
        <f>SOLID!BP24</f>
        <v>0</v>
      </c>
      <c r="BM55">
        <f>SOLID!BQ24</f>
        <v>0</v>
      </c>
      <c r="BN55">
        <f>SOLID!BR24</f>
        <v>0</v>
      </c>
      <c r="BO55">
        <f>SOLID!BS24</f>
        <v>0</v>
      </c>
      <c r="BP55">
        <f>SOLID!BT24</f>
        <v>0</v>
      </c>
      <c r="BQ55">
        <f>SOLID!BU24</f>
        <v>0</v>
      </c>
      <c r="BR55">
        <f>SOLID!BV24</f>
        <v>0</v>
      </c>
      <c r="BS55">
        <f>SOLID!BW24</f>
        <v>0</v>
      </c>
      <c r="BT55">
        <f>SOLID!BX24</f>
        <v>0</v>
      </c>
    </row>
    <row r="56" spans="1:72" ht="21.75" outlineLevel="1" thickBot="1" x14ac:dyDescent="0.4">
      <c r="A56" s="61">
        <f>SOLID!E25</f>
        <v>0</v>
      </c>
      <c r="B56" s="28">
        <f>SOLID!F25</f>
        <v>0</v>
      </c>
      <c r="C56" s="28">
        <f>SOLID!G25</f>
        <v>0</v>
      </c>
      <c r="D56" s="28">
        <f>SOLID!H25</f>
        <v>0</v>
      </c>
      <c r="E56" s="28">
        <f>SOLID!I25</f>
        <v>0</v>
      </c>
      <c r="F56" s="28">
        <f>SOLID!J25</f>
        <v>0</v>
      </c>
      <c r="G56" s="28">
        <f>SOLID!K25</f>
        <v>0</v>
      </c>
      <c r="H56" s="28">
        <f>SOLID!L25</f>
        <v>0</v>
      </c>
      <c r="I56" s="28">
        <f>SOLID!M25</f>
        <v>0</v>
      </c>
      <c r="J56" s="28">
        <f>SOLID!N25</f>
        <v>0</v>
      </c>
      <c r="K56" s="28">
        <f>SOLID!O25</f>
        <v>0</v>
      </c>
      <c r="L56" s="28">
        <f>SOLID!P25</f>
        <v>0</v>
      </c>
      <c r="M56" s="28">
        <f>SOLID!Q25</f>
        <v>0</v>
      </c>
      <c r="N56" s="28">
        <f>SOLID!R25</f>
        <v>0</v>
      </c>
      <c r="O56" s="28">
        <f>SOLID!S25</f>
        <v>0</v>
      </c>
      <c r="P56" s="28">
        <f>SOLID!T25</f>
        <v>0</v>
      </c>
      <c r="Q56" s="28">
        <f>SOLID!U25</f>
        <v>0</v>
      </c>
      <c r="R56" s="28">
        <f>SOLID!V25</f>
        <v>0</v>
      </c>
      <c r="S56" s="28">
        <f>SOLID!W25</f>
        <v>0</v>
      </c>
      <c r="T56" s="28">
        <f>SOLID!X25</f>
        <v>0</v>
      </c>
      <c r="U56" s="28">
        <f>SOLID!Y25</f>
        <v>0</v>
      </c>
      <c r="V56" s="28">
        <f>SOLID!Z25</f>
        <v>0</v>
      </c>
      <c r="W56" s="28">
        <f>SOLID!AA25</f>
        <v>0</v>
      </c>
      <c r="X56" s="28">
        <f>SOLID!AB25</f>
        <v>0</v>
      </c>
      <c r="Y56" s="28">
        <f>SOLID!AC25</f>
        <v>0</v>
      </c>
      <c r="Z56" s="28">
        <f>SOLID!AD25</f>
        <v>0</v>
      </c>
      <c r="AA56" s="28">
        <f>SOLID!AE25</f>
        <v>0</v>
      </c>
      <c r="AB56" s="28">
        <f>SOLID!AF25</f>
        <v>0</v>
      </c>
      <c r="AC56" s="28">
        <f>SOLID!AG25</f>
        <v>0</v>
      </c>
      <c r="AD56" s="28">
        <f>SOLID!AH25</f>
        <v>0</v>
      </c>
      <c r="AE56" s="28">
        <f>SOLID!AI25</f>
        <v>0</v>
      </c>
      <c r="AF56" s="28">
        <f>SOLID!AJ25</f>
        <v>0</v>
      </c>
      <c r="AG56" s="28">
        <f>SOLID!AK25</f>
        <v>0</v>
      </c>
      <c r="AH56" s="28">
        <f>SOLID!AL25</f>
        <v>0</v>
      </c>
      <c r="AI56" s="28">
        <f>SOLID!AM25</f>
        <v>0</v>
      </c>
      <c r="AJ56">
        <f>SOLID!AN25</f>
        <v>0</v>
      </c>
      <c r="AK56">
        <f>SOLID!AO25</f>
        <v>0</v>
      </c>
      <c r="AL56">
        <f>SOLID!AP25</f>
        <v>0</v>
      </c>
      <c r="AM56">
        <f>SOLID!AQ25</f>
        <v>0</v>
      </c>
      <c r="AN56">
        <f>SOLID!AR25</f>
        <v>0</v>
      </c>
      <c r="AO56">
        <f>SOLID!AS25</f>
        <v>0</v>
      </c>
      <c r="AP56">
        <f>SOLID!AT25</f>
        <v>0</v>
      </c>
      <c r="AQ56">
        <f>SOLID!AU25</f>
        <v>0</v>
      </c>
      <c r="AR56">
        <f>SOLID!AV25</f>
        <v>0</v>
      </c>
      <c r="AS56">
        <f>SOLID!AW25</f>
        <v>0</v>
      </c>
      <c r="AT56">
        <f>SOLID!AX25</f>
        <v>0</v>
      </c>
      <c r="AU56">
        <f>SOLID!AY25</f>
        <v>0</v>
      </c>
      <c r="AV56">
        <f>SOLID!AZ25</f>
        <v>0</v>
      </c>
      <c r="AW56">
        <f>SOLID!BA25</f>
        <v>0</v>
      </c>
      <c r="AX56">
        <f>SOLID!BB25</f>
        <v>0</v>
      </c>
      <c r="AY56">
        <f>SOLID!BC25</f>
        <v>0</v>
      </c>
      <c r="AZ56">
        <f>SOLID!BD25</f>
        <v>0</v>
      </c>
      <c r="BA56">
        <f>SOLID!BE25</f>
        <v>0</v>
      </c>
      <c r="BB56">
        <f>SOLID!BF25</f>
        <v>0</v>
      </c>
      <c r="BC56">
        <f>SOLID!BG25</f>
        <v>0</v>
      </c>
      <c r="BD56">
        <f>SOLID!BH25</f>
        <v>0</v>
      </c>
      <c r="BE56">
        <f>SOLID!BI25</f>
        <v>0</v>
      </c>
      <c r="BF56">
        <f>SOLID!BJ25</f>
        <v>0</v>
      </c>
      <c r="BG56">
        <f>SOLID!BK25</f>
        <v>0</v>
      </c>
      <c r="BH56">
        <f>SOLID!BL25</f>
        <v>0</v>
      </c>
      <c r="BI56">
        <f>SOLID!BM25</f>
        <v>0</v>
      </c>
      <c r="BJ56">
        <f>SOLID!BN25</f>
        <v>0</v>
      </c>
      <c r="BK56">
        <f>SOLID!BO25</f>
        <v>0</v>
      </c>
      <c r="BL56">
        <f>SOLID!BP25</f>
        <v>0</v>
      </c>
      <c r="BM56">
        <f>SOLID!BQ25</f>
        <v>0</v>
      </c>
      <c r="BN56">
        <f>SOLID!BR25</f>
        <v>0</v>
      </c>
      <c r="BO56">
        <f>SOLID!BS25</f>
        <v>0</v>
      </c>
      <c r="BP56">
        <f>SOLID!BT25</f>
        <v>0</v>
      </c>
      <c r="BQ56">
        <f>SOLID!BU25</f>
        <v>0</v>
      </c>
      <c r="BR56">
        <f>SOLID!BV25</f>
        <v>0</v>
      </c>
      <c r="BS56">
        <f>SOLID!BW25</f>
        <v>0</v>
      </c>
      <c r="BT56">
        <f>SOLID!BX25</f>
        <v>0</v>
      </c>
    </row>
    <row r="57" spans="1:72" ht="21.75" outlineLevel="1" thickBot="1" x14ac:dyDescent="0.4">
      <c r="A57" s="61">
        <f>SOLID!E26</f>
        <v>0</v>
      </c>
      <c r="B57" s="28">
        <f>SOLID!F26</f>
        <v>0</v>
      </c>
      <c r="C57" s="28">
        <f>SOLID!G26</f>
        <v>0</v>
      </c>
      <c r="D57" s="28">
        <f>SOLID!H26</f>
        <v>0</v>
      </c>
      <c r="E57" s="28">
        <f>SOLID!I26</f>
        <v>0</v>
      </c>
      <c r="F57" s="28">
        <f>SOLID!J26</f>
        <v>0</v>
      </c>
      <c r="G57" s="28">
        <f>SOLID!K26</f>
        <v>0</v>
      </c>
      <c r="H57" s="28">
        <f>SOLID!L26</f>
        <v>0</v>
      </c>
      <c r="I57" s="28">
        <f>SOLID!M26</f>
        <v>0</v>
      </c>
      <c r="J57" s="28">
        <f>SOLID!N26</f>
        <v>0</v>
      </c>
      <c r="K57" s="28">
        <f>SOLID!O26</f>
        <v>0</v>
      </c>
      <c r="L57" s="28">
        <f>SOLID!P26</f>
        <v>0</v>
      </c>
      <c r="M57" s="28">
        <f>SOLID!Q26</f>
        <v>0</v>
      </c>
      <c r="N57" s="28">
        <f>SOLID!R26</f>
        <v>0</v>
      </c>
      <c r="O57" s="28">
        <f>SOLID!S26</f>
        <v>0</v>
      </c>
      <c r="P57" s="28">
        <f>SOLID!T26</f>
        <v>0</v>
      </c>
      <c r="Q57" s="28">
        <f>SOLID!U26</f>
        <v>0</v>
      </c>
      <c r="R57" s="28">
        <f>SOLID!V26</f>
        <v>0</v>
      </c>
      <c r="S57" s="28">
        <f>SOLID!W26</f>
        <v>0</v>
      </c>
      <c r="T57" s="28">
        <f>SOLID!X26</f>
        <v>0</v>
      </c>
      <c r="U57" s="28">
        <f>SOLID!Y26</f>
        <v>0</v>
      </c>
      <c r="V57" s="28">
        <f>SOLID!Z26</f>
        <v>0</v>
      </c>
      <c r="W57" s="28">
        <f>SOLID!AA26</f>
        <v>0</v>
      </c>
      <c r="X57" s="28">
        <f>SOLID!AB26</f>
        <v>0</v>
      </c>
      <c r="Y57" s="28">
        <f>SOLID!AC26</f>
        <v>0</v>
      </c>
      <c r="Z57" s="28">
        <f>SOLID!AD26</f>
        <v>0</v>
      </c>
      <c r="AA57" s="28">
        <f>SOLID!AE26</f>
        <v>0</v>
      </c>
      <c r="AB57" s="28">
        <f>SOLID!AF26</f>
        <v>0</v>
      </c>
      <c r="AC57" s="28">
        <f>SOLID!AG26</f>
        <v>0</v>
      </c>
      <c r="AD57" s="28">
        <f>SOLID!AH26</f>
        <v>0</v>
      </c>
      <c r="AE57" s="28">
        <f>SOLID!AI26</f>
        <v>0</v>
      </c>
      <c r="AF57" s="28">
        <f>SOLID!AJ26</f>
        <v>0</v>
      </c>
      <c r="AG57" s="28">
        <f>SOLID!AK26</f>
        <v>0</v>
      </c>
      <c r="AH57" s="28">
        <f>SOLID!AL26</f>
        <v>0</v>
      </c>
      <c r="AI57" s="28">
        <f>SOLID!AM26</f>
        <v>0</v>
      </c>
      <c r="AJ57">
        <f>SOLID!AN26</f>
        <v>0</v>
      </c>
      <c r="AK57">
        <f>SOLID!AO26</f>
        <v>0</v>
      </c>
      <c r="AL57">
        <f>SOLID!AP26</f>
        <v>0</v>
      </c>
      <c r="AM57">
        <f>SOLID!AQ26</f>
        <v>0</v>
      </c>
      <c r="AN57">
        <f>SOLID!AR26</f>
        <v>0</v>
      </c>
      <c r="AO57">
        <f>SOLID!AS26</f>
        <v>0</v>
      </c>
      <c r="AP57">
        <f>SOLID!AT26</f>
        <v>0</v>
      </c>
      <c r="AQ57">
        <f>SOLID!AU26</f>
        <v>0</v>
      </c>
      <c r="AR57">
        <f>SOLID!AV26</f>
        <v>0</v>
      </c>
      <c r="AS57">
        <f>SOLID!AW26</f>
        <v>0</v>
      </c>
      <c r="AT57">
        <f>SOLID!AX26</f>
        <v>0</v>
      </c>
      <c r="AU57">
        <f>SOLID!AY26</f>
        <v>0</v>
      </c>
      <c r="AV57">
        <f>SOLID!AZ26</f>
        <v>0</v>
      </c>
      <c r="AW57">
        <f>SOLID!BA26</f>
        <v>0</v>
      </c>
      <c r="AX57">
        <f>SOLID!BB26</f>
        <v>0</v>
      </c>
      <c r="AY57">
        <f>SOLID!BC26</f>
        <v>0</v>
      </c>
      <c r="AZ57">
        <f>SOLID!BD26</f>
        <v>0</v>
      </c>
      <c r="BA57">
        <f>SOLID!BE26</f>
        <v>0</v>
      </c>
      <c r="BB57">
        <f>SOLID!BF26</f>
        <v>0</v>
      </c>
      <c r="BC57">
        <f>SOLID!BG26</f>
        <v>0</v>
      </c>
      <c r="BD57">
        <f>SOLID!BH26</f>
        <v>0</v>
      </c>
      <c r="BE57">
        <f>SOLID!BI26</f>
        <v>0</v>
      </c>
      <c r="BF57">
        <f>SOLID!BJ26</f>
        <v>0</v>
      </c>
      <c r="BG57">
        <f>SOLID!BK26</f>
        <v>0</v>
      </c>
      <c r="BH57">
        <f>SOLID!BL26</f>
        <v>0</v>
      </c>
      <c r="BI57">
        <f>SOLID!BM26</f>
        <v>0</v>
      </c>
      <c r="BJ57">
        <f>SOLID!BN26</f>
        <v>0</v>
      </c>
      <c r="BK57">
        <f>SOLID!BO26</f>
        <v>0</v>
      </c>
      <c r="BL57">
        <f>SOLID!BP26</f>
        <v>0</v>
      </c>
      <c r="BM57">
        <f>SOLID!BQ26</f>
        <v>0</v>
      </c>
      <c r="BN57">
        <f>SOLID!BR26</f>
        <v>0</v>
      </c>
      <c r="BO57">
        <f>SOLID!BS26</f>
        <v>0</v>
      </c>
      <c r="BP57">
        <f>SOLID!BT26</f>
        <v>0</v>
      </c>
      <c r="BQ57">
        <f>SOLID!BU26</f>
        <v>0</v>
      </c>
      <c r="BR57">
        <f>SOLID!BV26</f>
        <v>0</v>
      </c>
      <c r="BS57">
        <f>SOLID!BW26</f>
        <v>0</v>
      </c>
      <c r="BT57">
        <f>SOLID!BX26</f>
        <v>0</v>
      </c>
    </row>
    <row r="58" spans="1:72" ht="21.75" outlineLevel="1" thickBot="1" x14ac:dyDescent="0.4">
      <c r="A58" s="61">
        <f>SOLID!E27</f>
        <v>0</v>
      </c>
      <c r="B58" s="28">
        <f>SOLID!F27</f>
        <v>0</v>
      </c>
      <c r="C58" s="28">
        <f>SOLID!G27</f>
        <v>0</v>
      </c>
      <c r="D58" s="28">
        <f>SOLID!H27</f>
        <v>0</v>
      </c>
      <c r="E58" s="28">
        <f>SOLID!I27</f>
        <v>0</v>
      </c>
      <c r="F58" s="28">
        <f>SOLID!J27</f>
        <v>0</v>
      </c>
      <c r="G58" s="28">
        <f>SOLID!K27</f>
        <v>0</v>
      </c>
      <c r="H58" s="28">
        <f>SOLID!L27</f>
        <v>0</v>
      </c>
      <c r="I58" s="28">
        <f>SOLID!M27</f>
        <v>0</v>
      </c>
      <c r="J58" s="28">
        <f>SOLID!N27</f>
        <v>0</v>
      </c>
      <c r="K58" s="28">
        <f>SOLID!O27</f>
        <v>0</v>
      </c>
      <c r="L58" s="28">
        <f>SOLID!P27</f>
        <v>0</v>
      </c>
      <c r="M58" s="28">
        <f>SOLID!Q27</f>
        <v>0</v>
      </c>
      <c r="N58" s="28">
        <f>SOLID!R27</f>
        <v>0</v>
      </c>
      <c r="O58" s="28">
        <f>SOLID!S27</f>
        <v>0</v>
      </c>
      <c r="P58" s="28">
        <f>SOLID!T27</f>
        <v>0</v>
      </c>
      <c r="Q58" s="28">
        <f>SOLID!U27</f>
        <v>0</v>
      </c>
      <c r="R58" s="28">
        <f>SOLID!V27</f>
        <v>0</v>
      </c>
      <c r="S58" s="28">
        <f>SOLID!W27</f>
        <v>0</v>
      </c>
      <c r="T58" s="28">
        <f>SOLID!X27</f>
        <v>0</v>
      </c>
      <c r="U58" s="28">
        <f>SOLID!Y27</f>
        <v>0</v>
      </c>
      <c r="V58" s="28">
        <f>SOLID!Z27</f>
        <v>0</v>
      </c>
      <c r="W58" s="28">
        <f>SOLID!AA27</f>
        <v>0</v>
      </c>
      <c r="X58" s="28">
        <f>SOLID!AB27</f>
        <v>0</v>
      </c>
      <c r="Y58" s="28">
        <f>SOLID!AC27</f>
        <v>0</v>
      </c>
      <c r="Z58" s="28">
        <f>SOLID!AD27</f>
        <v>0</v>
      </c>
      <c r="AA58" s="28">
        <f>SOLID!AE27</f>
        <v>0</v>
      </c>
      <c r="AB58" s="28">
        <f>SOLID!AF27</f>
        <v>0</v>
      </c>
      <c r="AC58" s="28">
        <f>SOLID!AG27</f>
        <v>0</v>
      </c>
      <c r="AD58" s="28">
        <f>SOLID!AH27</f>
        <v>0</v>
      </c>
      <c r="AE58" s="28">
        <f>SOLID!AI27</f>
        <v>0</v>
      </c>
      <c r="AF58" s="28">
        <f>SOLID!AJ27</f>
        <v>0</v>
      </c>
      <c r="AG58" s="28">
        <f>SOLID!AK27</f>
        <v>0</v>
      </c>
      <c r="AH58" s="28">
        <f>SOLID!AL27</f>
        <v>0</v>
      </c>
      <c r="AI58" s="28">
        <f>SOLID!AM27</f>
        <v>0</v>
      </c>
      <c r="AJ58">
        <f>SOLID!AN27</f>
        <v>0</v>
      </c>
      <c r="AK58">
        <f>SOLID!AO27</f>
        <v>0</v>
      </c>
      <c r="AL58">
        <f>SOLID!AP27</f>
        <v>0</v>
      </c>
      <c r="AM58">
        <f>SOLID!AQ27</f>
        <v>0</v>
      </c>
      <c r="AN58">
        <f>SOLID!AR27</f>
        <v>0</v>
      </c>
      <c r="AO58">
        <f>SOLID!AS27</f>
        <v>0</v>
      </c>
      <c r="AP58">
        <f>SOLID!AT27</f>
        <v>0</v>
      </c>
      <c r="AQ58">
        <f>SOLID!AU27</f>
        <v>0</v>
      </c>
      <c r="AR58">
        <f>SOLID!AV27</f>
        <v>0</v>
      </c>
      <c r="AS58">
        <f>SOLID!AW27</f>
        <v>0</v>
      </c>
      <c r="AT58">
        <f>SOLID!AX27</f>
        <v>0</v>
      </c>
      <c r="AU58">
        <f>SOLID!AY27</f>
        <v>0</v>
      </c>
      <c r="AV58">
        <f>SOLID!AZ27</f>
        <v>0</v>
      </c>
      <c r="AW58">
        <f>SOLID!BA27</f>
        <v>0</v>
      </c>
      <c r="AX58">
        <f>SOLID!BB27</f>
        <v>0</v>
      </c>
      <c r="AY58">
        <f>SOLID!BC27</f>
        <v>0</v>
      </c>
      <c r="AZ58">
        <f>SOLID!BD27</f>
        <v>0</v>
      </c>
      <c r="BA58">
        <f>SOLID!BE27</f>
        <v>0</v>
      </c>
      <c r="BB58">
        <f>SOLID!BF27</f>
        <v>0</v>
      </c>
      <c r="BC58">
        <f>SOLID!BG27</f>
        <v>0</v>
      </c>
      <c r="BD58">
        <f>SOLID!BH27</f>
        <v>0</v>
      </c>
      <c r="BE58">
        <f>SOLID!BI27</f>
        <v>0</v>
      </c>
      <c r="BF58">
        <f>SOLID!BJ27</f>
        <v>0</v>
      </c>
      <c r="BG58">
        <f>SOLID!BK27</f>
        <v>0</v>
      </c>
      <c r="BH58">
        <f>SOLID!BL27</f>
        <v>0</v>
      </c>
      <c r="BI58">
        <f>SOLID!BM27</f>
        <v>0</v>
      </c>
      <c r="BJ58">
        <f>SOLID!BN27</f>
        <v>0</v>
      </c>
      <c r="BK58">
        <f>SOLID!BO27</f>
        <v>0</v>
      </c>
      <c r="BL58">
        <f>SOLID!BP27</f>
        <v>0</v>
      </c>
      <c r="BM58">
        <f>SOLID!BQ27</f>
        <v>0</v>
      </c>
      <c r="BN58">
        <f>SOLID!BR27</f>
        <v>0</v>
      </c>
      <c r="BO58">
        <f>SOLID!BS27</f>
        <v>0</v>
      </c>
      <c r="BP58">
        <f>SOLID!BT27</f>
        <v>0</v>
      </c>
      <c r="BQ58">
        <f>SOLID!BU27</f>
        <v>0</v>
      </c>
      <c r="BR58">
        <f>SOLID!BV27</f>
        <v>0</v>
      </c>
      <c r="BS58">
        <f>SOLID!BW27</f>
        <v>0</v>
      </c>
      <c r="BT58">
        <f>SOLID!BX27</f>
        <v>0</v>
      </c>
    </row>
    <row r="59" spans="1:72" ht="21.75" outlineLevel="1" thickBot="1" x14ac:dyDescent="0.4">
      <c r="A59" s="61">
        <f>SOLID!E28</f>
        <v>0</v>
      </c>
      <c r="B59" s="28">
        <f>SOLID!F28</f>
        <v>0</v>
      </c>
      <c r="C59" s="28">
        <f>SOLID!G28</f>
        <v>0</v>
      </c>
      <c r="D59" s="28">
        <f>SOLID!H28</f>
        <v>0</v>
      </c>
      <c r="E59" s="28">
        <f>SOLID!I28</f>
        <v>0</v>
      </c>
      <c r="F59" s="28">
        <f>SOLID!J28</f>
        <v>0</v>
      </c>
      <c r="G59" s="28">
        <f>SOLID!K28</f>
        <v>0</v>
      </c>
      <c r="H59" s="28">
        <f>SOLID!L28</f>
        <v>0</v>
      </c>
      <c r="I59" s="28">
        <f>SOLID!M28</f>
        <v>0</v>
      </c>
      <c r="J59" s="28">
        <f>SOLID!N28</f>
        <v>0</v>
      </c>
      <c r="K59" s="28">
        <f>SOLID!O28</f>
        <v>0</v>
      </c>
      <c r="L59" s="28">
        <f>SOLID!P28</f>
        <v>0</v>
      </c>
      <c r="M59" s="28">
        <f>SOLID!Q28</f>
        <v>0</v>
      </c>
      <c r="N59" s="28">
        <f>SOLID!R28</f>
        <v>0</v>
      </c>
      <c r="O59" s="28">
        <f>SOLID!S28</f>
        <v>0</v>
      </c>
      <c r="P59" s="28">
        <f>SOLID!T28</f>
        <v>0</v>
      </c>
      <c r="Q59" s="28">
        <f>SOLID!U28</f>
        <v>0</v>
      </c>
      <c r="R59" s="28">
        <f>SOLID!V28</f>
        <v>0</v>
      </c>
      <c r="S59" s="28">
        <f>SOLID!W28</f>
        <v>0</v>
      </c>
      <c r="T59" s="28">
        <f>SOLID!X28</f>
        <v>0</v>
      </c>
      <c r="U59" s="28">
        <f>SOLID!Y28</f>
        <v>0</v>
      </c>
      <c r="V59" s="28">
        <f>SOLID!Z28</f>
        <v>0</v>
      </c>
      <c r="W59" s="28">
        <f>SOLID!AA28</f>
        <v>0</v>
      </c>
      <c r="X59" s="28">
        <f>SOLID!AB28</f>
        <v>0</v>
      </c>
      <c r="Y59" s="28">
        <f>SOLID!AC28</f>
        <v>0</v>
      </c>
      <c r="Z59" s="28">
        <f>SOLID!AD28</f>
        <v>0</v>
      </c>
      <c r="AA59" s="28">
        <f>SOLID!AE28</f>
        <v>0</v>
      </c>
      <c r="AB59" s="28">
        <f>SOLID!AF28</f>
        <v>0</v>
      </c>
      <c r="AC59" s="28">
        <f>SOLID!AG28</f>
        <v>0</v>
      </c>
      <c r="AD59" s="28">
        <f>SOLID!AH28</f>
        <v>0</v>
      </c>
      <c r="AE59" s="28">
        <f>SOLID!AI28</f>
        <v>0</v>
      </c>
      <c r="AF59" s="28">
        <f>SOLID!AJ28</f>
        <v>0</v>
      </c>
      <c r="AG59" s="28">
        <f>SOLID!AK28</f>
        <v>0</v>
      </c>
      <c r="AH59" s="28">
        <f>SOLID!AL28</f>
        <v>0</v>
      </c>
      <c r="AI59" s="28">
        <f>SOLID!AM28</f>
        <v>0</v>
      </c>
      <c r="AJ59">
        <f>SOLID!AN28</f>
        <v>0</v>
      </c>
      <c r="AK59">
        <f>SOLID!AO28</f>
        <v>0</v>
      </c>
      <c r="AL59">
        <f>SOLID!AP28</f>
        <v>0</v>
      </c>
      <c r="AM59">
        <f>SOLID!AQ28</f>
        <v>0</v>
      </c>
      <c r="AN59">
        <f>SOLID!AR28</f>
        <v>0</v>
      </c>
      <c r="AO59">
        <f>SOLID!AS28</f>
        <v>0</v>
      </c>
      <c r="AP59">
        <f>SOLID!AT28</f>
        <v>0</v>
      </c>
      <c r="AQ59">
        <f>SOLID!AU28</f>
        <v>0</v>
      </c>
      <c r="AR59">
        <f>SOLID!AV28</f>
        <v>0</v>
      </c>
      <c r="AS59">
        <f>SOLID!AW28</f>
        <v>0</v>
      </c>
      <c r="AT59">
        <f>SOLID!AX28</f>
        <v>0</v>
      </c>
      <c r="AU59">
        <f>SOLID!AY28</f>
        <v>0</v>
      </c>
      <c r="AV59">
        <f>SOLID!AZ28</f>
        <v>0</v>
      </c>
      <c r="AW59">
        <f>SOLID!BA28</f>
        <v>0</v>
      </c>
      <c r="AX59">
        <f>SOLID!BB28</f>
        <v>0</v>
      </c>
      <c r="AY59">
        <f>SOLID!BC28</f>
        <v>0</v>
      </c>
      <c r="AZ59">
        <f>SOLID!BD28</f>
        <v>0</v>
      </c>
      <c r="BA59">
        <f>SOLID!BE28</f>
        <v>0</v>
      </c>
      <c r="BB59">
        <f>SOLID!BF28</f>
        <v>0</v>
      </c>
      <c r="BC59">
        <f>SOLID!BG28</f>
        <v>0</v>
      </c>
      <c r="BD59">
        <f>SOLID!BH28</f>
        <v>0</v>
      </c>
      <c r="BE59">
        <f>SOLID!BI28</f>
        <v>0</v>
      </c>
      <c r="BF59">
        <f>SOLID!BJ28</f>
        <v>0</v>
      </c>
      <c r="BG59">
        <f>SOLID!BK28</f>
        <v>0</v>
      </c>
      <c r="BH59">
        <f>SOLID!BL28</f>
        <v>0</v>
      </c>
      <c r="BI59">
        <f>SOLID!BM28</f>
        <v>0</v>
      </c>
      <c r="BJ59">
        <f>SOLID!BN28</f>
        <v>0</v>
      </c>
      <c r="BK59">
        <f>SOLID!BO28</f>
        <v>0</v>
      </c>
      <c r="BL59">
        <f>SOLID!BP28</f>
        <v>0</v>
      </c>
      <c r="BM59">
        <f>SOLID!BQ28</f>
        <v>0</v>
      </c>
      <c r="BN59">
        <f>SOLID!BR28</f>
        <v>0</v>
      </c>
      <c r="BO59">
        <f>SOLID!BS28</f>
        <v>0</v>
      </c>
      <c r="BP59">
        <f>SOLID!BT28</f>
        <v>0</v>
      </c>
      <c r="BQ59">
        <f>SOLID!BU28</f>
        <v>0</v>
      </c>
      <c r="BR59">
        <f>SOLID!BV28</f>
        <v>0</v>
      </c>
      <c r="BS59">
        <f>SOLID!BW28</f>
        <v>0</v>
      </c>
      <c r="BT59">
        <f>SOLID!BX28</f>
        <v>0</v>
      </c>
    </row>
    <row r="60" spans="1:72" ht="21.75" outlineLevel="1" thickBot="1" x14ac:dyDescent="0.4">
      <c r="A60" s="61">
        <f>SOLID!E29</f>
        <v>0</v>
      </c>
      <c r="B60" s="28">
        <f>SOLID!F29</f>
        <v>0</v>
      </c>
      <c r="C60" s="28">
        <f>SOLID!G29</f>
        <v>0</v>
      </c>
      <c r="D60" s="28">
        <f>SOLID!H29</f>
        <v>0</v>
      </c>
      <c r="E60" s="28">
        <f>SOLID!I29</f>
        <v>0</v>
      </c>
      <c r="F60" s="28">
        <f>SOLID!J29</f>
        <v>0</v>
      </c>
      <c r="G60" s="28">
        <f>SOLID!K29</f>
        <v>0</v>
      </c>
      <c r="H60" s="28">
        <f>SOLID!L29</f>
        <v>0</v>
      </c>
      <c r="I60" s="28">
        <f>SOLID!M29</f>
        <v>0</v>
      </c>
      <c r="J60" s="28">
        <f>SOLID!N29</f>
        <v>0</v>
      </c>
      <c r="K60" s="28">
        <f>SOLID!O29</f>
        <v>0</v>
      </c>
      <c r="L60" s="28">
        <f>SOLID!P29</f>
        <v>0</v>
      </c>
      <c r="M60" s="28">
        <f>SOLID!Q29</f>
        <v>0</v>
      </c>
      <c r="N60" s="28">
        <f>SOLID!R29</f>
        <v>0</v>
      </c>
      <c r="O60" s="28">
        <f>SOLID!S29</f>
        <v>0</v>
      </c>
      <c r="P60" s="28">
        <f>SOLID!T29</f>
        <v>0</v>
      </c>
      <c r="Q60" s="28">
        <f>SOLID!U29</f>
        <v>0</v>
      </c>
      <c r="R60" s="28">
        <f>SOLID!V29</f>
        <v>0</v>
      </c>
      <c r="S60" s="28">
        <f>SOLID!W29</f>
        <v>0</v>
      </c>
      <c r="T60" s="28">
        <f>SOLID!X29</f>
        <v>0</v>
      </c>
      <c r="U60" s="28">
        <f>SOLID!Y29</f>
        <v>0</v>
      </c>
      <c r="V60" s="28">
        <f>SOLID!Z29</f>
        <v>0</v>
      </c>
      <c r="W60" s="28">
        <f>SOLID!AA29</f>
        <v>0</v>
      </c>
      <c r="X60" s="28">
        <f>SOLID!AB29</f>
        <v>0</v>
      </c>
      <c r="Y60" s="28">
        <f>SOLID!AC29</f>
        <v>0</v>
      </c>
      <c r="Z60" s="28">
        <f>SOLID!AD29</f>
        <v>0</v>
      </c>
      <c r="AA60" s="28">
        <f>SOLID!AE29</f>
        <v>0</v>
      </c>
      <c r="AB60" s="28">
        <f>SOLID!AF29</f>
        <v>0</v>
      </c>
      <c r="AC60" s="28">
        <f>SOLID!AG29</f>
        <v>0</v>
      </c>
      <c r="AD60" s="28">
        <f>SOLID!AH29</f>
        <v>0</v>
      </c>
      <c r="AE60" s="28">
        <f>SOLID!AI29</f>
        <v>0</v>
      </c>
      <c r="AF60" s="28">
        <f>SOLID!AJ29</f>
        <v>0</v>
      </c>
      <c r="AG60" s="28">
        <f>SOLID!AK29</f>
        <v>0</v>
      </c>
      <c r="AH60" s="28">
        <f>SOLID!AL29</f>
        <v>0</v>
      </c>
      <c r="AI60" s="28">
        <f>SOLID!AM29</f>
        <v>0</v>
      </c>
      <c r="AJ60">
        <f>SOLID!AN29</f>
        <v>0</v>
      </c>
      <c r="AK60">
        <f>SOLID!AO29</f>
        <v>0</v>
      </c>
      <c r="AL60">
        <f>SOLID!AP29</f>
        <v>0</v>
      </c>
      <c r="AM60">
        <f>SOLID!AQ29</f>
        <v>0</v>
      </c>
      <c r="AN60">
        <f>SOLID!AR29</f>
        <v>0</v>
      </c>
      <c r="AO60">
        <f>SOLID!AS29</f>
        <v>0</v>
      </c>
      <c r="AP60">
        <f>SOLID!AT29</f>
        <v>0</v>
      </c>
      <c r="AQ60">
        <f>SOLID!AU29</f>
        <v>0</v>
      </c>
      <c r="AR60">
        <f>SOLID!AV29</f>
        <v>0</v>
      </c>
      <c r="AS60">
        <f>SOLID!AW29</f>
        <v>0</v>
      </c>
      <c r="AT60">
        <f>SOLID!AX29</f>
        <v>0</v>
      </c>
      <c r="AU60">
        <f>SOLID!AY29</f>
        <v>0</v>
      </c>
      <c r="AV60">
        <f>SOLID!AZ29</f>
        <v>0</v>
      </c>
      <c r="AW60">
        <f>SOLID!BA29</f>
        <v>0</v>
      </c>
      <c r="AX60">
        <f>SOLID!BB29</f>
        <v>0</v>
      </c>
      <c r="AY60">
        <f>SOLID!BC29</f>
        <v>0</v>
      </c>
      <c r="AZ60">
        <f>SOLID!BD29</f>
        <v>0</v>
      </c>
      <c r="BA60">
        <f>SOLID!BE29</f>
        <v>0</v>
      </c>
      <c r="BB60">
        <f>SOLID!BF29</f>
        <v>0</v>
      </c>
      <c r="BC60">
        <f>SOLID!BG29</f>
        <v>0</v>
      </c>
      <c r="BD60">
        <f>SOLID!BH29</f>
        <v>0</v>
      </c>
      <c r="BE60">
        <f>SOLID!BI29</f>
        <v>0</v>
      </c>
      <c r="BF60">
        <f>SOLID!BJ29</f>
        <v>0</v>
      </c>
      <c r="BG60">
        <f>SOLID!BK29</f>
        <v>0</v>
      </c>
      <c r="BH60">
        <f>SOLID!BL29</f>
        <v>0</v>
      </c>
      <c r="BI60">
        <f>SOLID!BM29</f>
        <v>0</v>
      </c>
      <c r="BJ60">
        <f>SOLID!BN29</f>
        <v>0</v>
      </c>
      <c r="BK60">
        <f>SOLID!BO29</f>
        <v>0</v>
      </c>
      <c r="BL60">
        <f>SOLID!BP29</f>
        <v>0</v>
      </c>
      <c r="BM60">
        <f>SOLID!BQ29</f>
        <v>0</v>
      </c>
      <c r="BN60">
        <f>SOLID!BR29</f>
        <v>0</v>
      </c>
      <c r="BO60">
        <f>SOLID!BS29</f>
        <v>0</v>
      </c>
      <c r="BP60">
        <f>SOLID!BT29</f>
        <v>0</v>
      </c>
      <c r="BQ60">
        <f>SOLID!BU29</f>
        <v>0</v>
      </c>
      <c r="BR60">
        <f>SOLID!BV29</f>
        <v>0</v>
      </c>
      <c r="BS60">
        <f>SOLID!BW29</f>
        <v>0</v>
      </c>
      <c r="BT60">
        <f>SOLID!BX29</f>
        <v>0</v>
      </c>
    </row>
    <row r="61" spans="1:72" ht="21.75" outlineLevel="1" thickBot="1" x14ac:dyDescent="0.4">
      <c r="A61" s="61">
        <f>SOLID!E30</f>
        <v>0</v>
      </c>
      <c r="B61" s="28">
        <f>SOLID!F30</f>
        <v>0</v>
      </c>
      <c r="C61" s="28">
        <f>SOLID!G30</f>
        <v>0</v>
      </c>
      <c r="D61" s="28">
        <f>SOLID!H30</f>
        <v>0</v>
      </c>
      <c r="E61" s="28">
        <f>SOLID!I30</f>
        <v>0</v>
      </c>
      <c r="F61" s="28">
        <f>SOLID!J30</f>
        <v>0</v>
      </c>
      <c r="G61" s="28">
        <f>SOLID!K30</f>
        <v>0</v>
      </c>
      <c r="H61" s="28">
        <f>SOLID!L30</f>
        <v>0</v>
      </c>
      <c r="I61" s="28">
        <f>SOLID!M30</f>
        <v>0</v>
      </c>
      <c r="J61" s="28">
        <f>SOLID!N30</f>
        <v>0</v>
      </c>
      <c r="K61" s="28">
        <f>SOLID!O30</f>
        <v>0</v>
      </c>
      <c r="L61" s="28">
        <f>SOLID!P30</f>
        <v>0</v>
      </c>
      <c r="M61" s="28">
        <f>SOLID!Q30</f>
        <v>0</v>
      </c>
      <c r="N61" s="28">
        <f>SOLID!R30</f>
        <v>0</v>
      </c>
      <c r="O61" s="28">
        <f>SOLID!S30</f>
        <v>0</v>
      </c>
      <c r="P61" s="28">
        <f>SOLID!T30</f>
        <v>0</v>
      </c>
      <c r="Q61" s="28">
        <f>SOLID!U30</f>
        <v>0</v>
      </c>
      <c r="R61" s="28">
        <f>SOLID!V30</f>
        <v>0</v>
      </c>
      <c r="S61" s="28">
        <f>SOLID!W30</f>
        <v>0</v>
      </c>
      <c r="T61" s="28">
        <f>SOLID!X30</f>
        <v>0</v>
      </c>
      <c r="U61" s="28">
        <f>SOLID!Y30</f>
        <v>0</v>
      </c>
      <c r="V61" s="28">
        <f>SOLID!Z30</f>
        <v>0</v>
      </c>
      <c r="W61" s="28">
        <f>SOLID!AA30</f>
        <v>0</v>
      </c>
      <c r="X61" s="28">
        <f>SOLID!AB30</f>
        <v>0</v>
      </c>
      <c r="Y61" s="28">
        <f>SOLID!AC30</f>
        <v>0</v>
      </c>
      <c r="Z61" s="28">
        <f>SOLID!AD30</f>
        <v>0</v>
      </c>
      <c r="AA61" s="28">
        <f>SOLID!AE30</f>
        <v>0</v>
      </c>
      <c r="AB61" s="28">
        <f>SOLID!AF30</f>
        <v>0</v>
      </c>
      <c r="AC61" s="28">
        <f>SOLID!AG30</f>
        <v>0</v>
      </c>
      <c r="AD61" s="28">
        <f>SOLID!AH30</f>
        <v>0</v>
      </c>
      <c r="AE61" s="28">
        <f>SOLID!AI30</f>
        <v>0</v>
      </c>
      <c r="AF61" s="28">
        <f>SOLID!AJ30</f>
        <v>0</v>
      </c>
      <c r="AG61" s="28">
        <f>SOLID!AK30</f>
        <v>0</v>
      </c>
      <c r="AH61" s="28">
        <f>SOLID!AL30</f>
        <v>0</v>
      </c>
      <c r="AI61" s="28">
        <f>SOLID!AM30</f>
        <v>0</v>
      </c>
      <c r="AJ61">
        <f>SOLID!AN30</f>
        <v>0</v>
      </c>
      <c r="AK61">
        <f>SOLID!AO30</f>
        <v>0</v>
      </c>
      <c r="AL61">
        <f>SOLID!AP30</f>
        <v>0</v>
      </c>
      <c r="AM61">
        <f>SOLID!AQ30</f>
        <v>0</v>
      </c>
      <c r="AN61">
        <f>SOLID!AR30</f>
        <v>0</v>
      </c>
      <c r="AO61">
        <f>SOLID!AS30</f>
        <v>0</v>
      </c>
      <c r="AP61">
        <f>SOLID!AT30</f>
        <v>0</v>
      </c>
      <c r="AQ61">
        <f>SOLID!AU30</f>
        <v>0</v>
      </c>
      <c r="AR61">
        <f>SOLID!AV30</f>
        <v>0</v>
      </c>
      <c r="AS61">
        <f>SOLID!AW30</f>
        <v>0</v>
      </c>
      <c r="AT61">
        <f>SOLID!AX30</f>
        <v>0</v>
      </c>
      <c r="AU61">
        <f>SOLID!AY30</f>
        <v>0</v>
      </c>
      <c r="AV61">
        <f>SOLID!AZ30</f>
        <v>0</v>
      </c>
      <c r="AW61">
        <f>SOLID!BA30</f>
        <v>0</v>
      </c>
      <c r="AX61">
        <f>SOLID!BB30</f>
        <v>0</v>
      </c>
      <c r="AY61">
        <f>SOLID!BC30</f>
        <v>0</v>
      </c>
      <c r="AZ61">
        <f>SOLID!BD30</f>
        <v>0</v>
      </c>
      <c r="BA61">
        <f>SOLID!BE30</f>
        <v>0</v>
      </c>
      <c r="BB61">
        <f>SOLID!BF30</f>
        <v>0</v>
      </c>
      <c r="BC61">
        <f>SOLID!BG30</f>
        <v>0</v>
      </c>
      <c r="BD61">
        <f>SOLID!BH30</f>
        <v>0</v>
      </c>
      <c r="BE61">
        <f>SOLID!BI30</f>
        <v>0</v>
      </c>
      <c r="BF61">
        <f>SOLID!BJ30</f>
        <v>0</v>
      </c>
      <c r="BG61">
        <f>SOLID!BK30</f>
        <v>0</v>
      </c>
      <c r="BH61">
        <f>SOLID!BL30</f>
        <v>0</v>
      </c>
      <c r="BI61">
        <f>SOLID!BM30</f>
        <v>0</v>
      </c>
      <c r="BJ61">
        <f>SOLID!BN30</f>
        <v>0</v>
      </c>
      <c r="BK61">
        <f>SOLID!BO30</f>
        <v>0</v>
      </c>
      <c r="BL61">
        <f>SOLID!BP30</f>
        <v>0</v>
      </c>
      <c r="BM61">
        <f>SOLID!BQ30</f>
        <v>0</v>
      </c>
      <c r="BN61">
        <f>SOLID!BR30</f>
        <v>0</v>
      </c>
      <c r="BO61">
        <f>SOLID!BS30</f>
        <v>0</v>
      </c>
      <c r="BP61">
        <f>SOLID!BT30</f>
        <v>0</v>
      </c>
      <c r="BQ61">
        <f>SOLID!BU30</f>
        <v>0</v>
      </c>
      <c r="BR61">
        <f>SOLID!BV30</f>
        <v>0</v>
      </c>
      <c r="BS61">
        <f>SOLID!BW30</f>
        <v>0</v>
      </c>
      <c r="BT61">
        <f>SOLID!BX30</f>
        <v>0</v>
      </c>
    </row>
    <row r="62" spans="1:72" ht="21.75" outlineLevel="1" thickBot="1" x14ac:dyDescent="0.4">
      <c r="A62" s="61">
        <f>SOLID!E31</f>
        <v>0</v>
      </c>
      <c r="B62" s="28">
        <f>SOLID!F31</f>
        <v>0</v>
      </c>
      <c r="C62" s="28">
        <f>SOLID!G31</f>
        <v>0</v>
      </c>
      <c r="D62" s="28">
        <f>SOLID!H31</f>
        <v>0</v>
      </c>
      <c r="E62" s="28">
        <f>SOLID!I31</f>
        <v>0</v>
      </c>
      <c r="F62" s="28">
        <f>SOLID!J31</f>
        <v>0</v>
      </c>
      <c r="G62" s="28">
        <f>SOLID!K31</f>
        <v>0</v>
      </c>
      <c r="H62" s="28">
        <f>SOLID!L31</f>
        <v>0</v>
      </c>
      <c r="I62" s="28">
        <f>SOLID!M31</f>
        <v>0</v>
      </c>
      <c r="J62" s="28">
        <f>SOLID!N31</f>
        <v>0</v>
      </c>
      <c r="K62" s="28">
        <f>SOLID!O31</f>
        <v>0</v>
      </c>
      <c r="L62" s="28">
        <f>SOLID!P31</f>
        <v>0</v>
      </c>
      <c r="M62" s="28">
        <f>SOLID!Q31</f>
        <v>0</v>
      </c>
      <c r="N62" s="28">
        <f>SOLID!R31</f>
        <v>0</v>
      </c>
      <c r="O62" s="28">
        <f>SOLID!S31</f>
        <v>0</v>
      </c>
      <c r="P62" s="28">
        <f>SOLID!T31</f>
        <v>0</v>
      </c>
      <c r="Q62" s="28">
        <f>SOLID!U31</f>
        <v>0</v>
      </c>
      <c r="R62" s="28">
        <f>SOLID!V31</f>
        <v>0</v>
      </c>
      <c r="S62" s="28">
        <f>SOLID!W31</f>
        <v>0</v>
      </c>
      <c r="T62" s="28">
        <f>SOLID!X31</f>
        <v>0</v>
      </c>
      <c r="U62" s="28">
        <f>SOLID!Y31</f>
        <v>0</v>
      </c>
      <c r="V62" s="28">
        <f>SOLID!Z31</f>
        <v>0</v>
      </c>
      <c r="W62" s="28">
        <f>SOLID!AA31</f>
        <v>0</v>
      </c>
      <c r="X62" s="28">
        <f>SOLID!AB31</f>
        <v>0</v>
      </c>
      <c r="Y62" s="28">
        <f>SOLID!AC31</f>
        <v>0</v>
      </c>
      <c r="Z62" s="28">
        <f>SOLID!AD31</f>
        <v>0</v>
      </c>
      <c r="AA62" s="28">
        <f>SOLID!AE31</f>
        <v>0</v>
      </c>
      <c r="AB62" s="28">
        <f>SOLID!AF31</f>
        <v>0</v>
      </c>
      <c r="AC62" s="28">
        <f>SOLID!AG31</f>
        <v>0</v>
      </c>
      <c r="AD62" s="28">
        <f>SOLID!AH31</f>
        <v>0</v>
      </c>
      <c r="AE62" s="28">
        <f>SOLID!AI31</f>
        <v>0</v>
      </c>
      <c r="AF62" s="28">
        <f>SOLID!AJ31</f>
        <v>0</v>
      </c>
      <c r="AG62" s="28">
        <f>SOLID!AK31</f>
        <v>0</v>
      </c>
      <c r="AH62" s="28">
        <f>SOLID!AL31</f>
        <v>0</v>
      </c>
      <c r="AI62" s="28">
        <f>SOLID!AM31</f>
        <v>0</v>
      </c>
      <c r="AJ62">
        <f>SOLID!AN31</f>
        <v>0</v>
      </c>
      <c r="AK62">
        <f>SOLID!AO31</f>
        <v>0</v>
      </c>
      <c r="AL62">
        <f>SOLID!AP31</f>
        <v>0</v>
      </c>
      <c r="AM62">
        <f>SOLID!AQ31</f>
        <v>0</v>
      </c>
      <c r="AN62">
        <f>SOLID!AR31</f>
        <v>0</v>
      </c>
      <c r="AO62">
        <f>SOLID!AS31</f>
        <v>0</v>
      </c>
      <c r="AP62">
        <f>SOLID!AT31</f>
        <v>0</v>
      </c>
      <c r="AQ62">
        <f>SOLID!AU31</f>
        <v>0</v>
      </c>
      <c r="AR62">
        <f>SOLID!AV31</f>
        <v>0</v>
      </c>
      <c r="AS62">
        <f>SOLID!AW31</f>
        <v>0</v>
      </c>
      <c r="AT62">
        <f>SOLID!AX31</f>
        <v>0</v>
      </c>
      <c r="AU62">
        <f>SOLID!AY31</f>
        <v>0</v>
      </c>
      <c r="AV62">
        <f>SOLID!AZ31</f>
        <v>0</v>
      </c>
      <c r="AW62">
        <f>SOLID!BA31</f>
        <v>0</v>
      </c>
      <c r="AX62">
        <f>SOLID!BB31</f>
        <v>0</v>
      </c>
      <c r="AY62">
        <f>SOLID!BC31</f>
        <v>0</v>
      </c>
      <c r="AZ62">
        <f>SOLID!BD31</f>
        <v>0</v>
      </c>
      <c r="BA62">
        <f>SOLID!BE31</f>
        <v>0</v>
      </c>
      <c r="BB62">
        <f>SOLID!BF31</f>
        <v>0</v>
      </c>
      <c r="BC62">
        <f>SOLID!BG31</f>
        <v>0</v>
      </c>
      <c r="BD62">
        <f>SOLID!BH31</f>
        <v>0</v>
      </c>
      <c r="BE62">
        <f>SOLID!BI31</f>
        <v>0</v>
      </c>
      <c r="BF62">
        <f>SOLID!BJ31</f>
        <v>0</v>
      </c>
      <c r="BG62">
        <f>SOLID!BK31</f>
        <v>0</v>
      </c>
      <c r="BH62">
        <f>SOLID!BL31</f>
        <v>0</v>
      </c>
      <c r="BI62">
        <f>SOLID!BM31</f>
        <v>0</v>
      </c>
      <c r="BJ62">
        <f>SOLID!BN31</f>
        <v>0</v>
      </c>
      <c r="BK62">
        <f>SOLID!BO31</f>
        <v>0</v>
      </c>
      <c r="BL62">
        <f>SOLID!BP31</f>
        <v>0</v>
      </c>
      <c r="BM62">
        <f>SOLID!BQ31</f>
        <v>0</v>
      </c>
      <c r="BN62">
        <f>SOLID!BR31</f>
        <v>0</v>
      </c>
      <c r="BO62">
        <f>SOLID!BS31</f>
        <v>0</v>
      </c>
      <c r="BP62">
        <f>SOLID!BT31</f>
        <v>0</v>
      </c>
      <c r="BQ62">
        <f>SOLID!BU31</f>
        <v>0</v>
      </c>
      <c r="BR62">
        <f>SOLID!BV31</f>
        <v>0</v>
      </c>
      <c r="BS62">
        <f>SOLID!BW31</f>
        <v>0</v>
      </c>
      <c r="BT62">
        <f>SOLID!BX31</f>
        <v>0</v>
      </c>
    </row>
    <row r="63" spans="1:72" ht="21.75" outlineLevel="1" thickBot="1" x14ac:dyDescent="0.4">
      <c r="A63" s="61">
        <f>SOLID!E32</f>
        <v>0</v>
      </c>
      <c r="B63" s="28">
        <f>SOLID!F32</f>
        <v>0</v>
      </c>
      <c r="C63" s="28">
        <f>SOLID!G32</f>
        <v>0</v>
      </c>
      <c r="D63" s="28">
        <f>SOLID!H32</f>
        <v>0</v>
      </c>
      <c r="E63" s="28">
        <f>SOLID!I32</f>
        <v>0</v>
      </c>
      <c r="F63" s="28">
        <f>SOLID!J32</f>
        <v>0</v>
      </c>
      <c r="G63" s="28">
        <f>SOLID!K32</f>
        <v>0</v>
      </c>
      <c r="H63" s="28">
        <f>SOLID!L32</f>
        <v>0</v>
      </c>
      <c r="I63" s="28">
        <f>SOLID!M32</f>
        <v>0</v>
      </c>
      <c r="J63" s="28">
        <f>SOLID!N32</f>
        <v>0</v>
      </c>
      <c r="K63" s="28">
        <f>SOLID!O32</f>
        <v>0</v>
      </c>
      <c r="L63" s="28">
        <f>SOLID!P32</f>
        <v>0</v>
      </c>
      <c r="M63" s="28">
        <f>SOLID!Q32</f>
        <v>0</v>
      </c>
      <c r="N63" s="28">
        <f>SOLID!R32</f>
        <v>0</v>
      </c>
      <c r="O63" s="28">
        <f>SOLID!S32</f>
        <v>0</v>
      </c>
      <c r="P63" s="28">
        <f>SOLID!T32</f>
        <v>0</v>
      </c>
      <c r="Q63" s="28">
        <f>SOLID!U32</f>
        <v>0</v>
      </c>
      <c r="R63" s="28">
        <f>SOLID!V32</f>
        <v>0</v>
      </c>
      <c r="S63" s="28">
        <f>SOLID!W32</f>
        <v>0</v>
      </c>
      <c r="T63" s="28">
        <f>SOLID!X32</f>
        <v>0</v>
      </c>
      <c r="U63" s="28">
        <f>SOLID!Y32</f>
        <v>0</v>
      </c>
      <c r="V63" s="28">
        <f>SOLID!Z32</f>
        <v>0</v>
      </c>
      <c r="W63" s="28">
        <f>SOLID!AA32</f>
        <v>0</v>
      </c>
      <c r="X63" s="28">
        <f>SOLID!AB32</f>
        <v>0</v>
      </c>
      <c r="Y63" s="28">
        <f>SOLID!AC32</f>
        <v>0</v>
      </c>
      <c r="Z63" s="28">
        <f>SOLID!AD32</f>
        <v>0</v>
      </c>
      <c r="AA63" s="28">
        <f>SOLID!AE32</f>
        <v>0</v>
      </c>
      <c r="AB63" s="28">
        <f>SOLID!AF32</f>
        <v>0</v>
      </c>
      <c r="AC63" s="28">
        <f>SOLID!AG32</f>
        <v>0</v>
      </c>
      <c r="AD63" s="28">
        <f>SOLID!AH32</f>
        <v>0</v>
      </c>
      <c r="AE63" s="28">
        <f>SOLID!AI32</f>
        <v>0</v>
      </c>
      <c r="AF63" s="28">
        <f>SOLID!AJ32</f>
        <v>0</v>
      </c>
      <c r="AG63" s="28">
        <f>SOLID!AK32</f>
        <v>0</v>
      </c>
      <c r="AH63" s="28">
        <f>SOLID!AL32</f>
        <v>0</v>
      </c>
      <c r="AI63" s="28">
        <f>SOLID!AM32</f>
        <v>0</v>
      </c>
      <c r="AJ63">
        <f>SOLID!AN32</f>
        <v>0</v>
      </c>
      <c r="AK63">
        <f>SOLID!AO32</f>
        <v>0</v>
      </c>
      <c r="AL63">
        <f>SOLID!AP32</f>
        <v>0</v>
      </c>
      <c r="AM63">
        <f>SOLID!AQ32</f>
        <v>0</v>
      </c>
      <c r="AN63">
        <f>SOLID!AR32</f>
        <v>0</v>
      </c>
      <c r="AO63">
        <f>SOLID!AS32</f>
        <v>0</v>
      </c>
      <c r="AP63">
        <f>SOLID!AT32</f>
        <v>0</v>
      </c>
      <c r="AQ63">
        <f>SOLID!AU32</f>
        <v>0</v>
      </c>
      <c r="AR63">
        <f>SOLID!AV32</f>
        <v>0</v>
      </c>
      <c r="AS63">
        <f>SOLID!AW32</f>
        <v>0</v>
      </c>
      <c r="AT63">
        <f>SOLID!AX32</f>
        <v>0</v>
      </c>
      <c r="AU63">
        <f>SOLID!AY32</f>
        <v>0</v>
      </c>
      <c r="AV63">
        <f>SOLID!AZ32</f>
        <v>0</v>
      </c>
      <c r="AW63">
        <f>SOLID!BA32</f>
        <v>0</v>
      </c>
      <c r="AX63">
        <f>SOLID!BB32</f>
        <v>0</v>
      </c>
      <c r="AY63">
        <f>SOLID!BC32</f>
        <v>0</v>
      </c>
      <c r="AZ63">
        <f>SOLID!BD32</f>
        <v>0</v>
      </c>
      <c r="BA63">
        <f>SOLID!BE32</f>
        <v>0</v>
      </c>
      <c r="BB63">
        <f>SOLID!BF32</f>
        <v>0</v>
      </c>
      <c r="BC63">
        <f>SOLID!BG32</f>
        <v>0</v>
      </c>
      <c r="BD63">
        <f>SOLID!BH32</f>
        <v>0</v>
      </c>
      <c r="BE63">
        <f>SOLID!BI32</f>
        <v>0</v>
      </c>
      <c r="BF63">
        <f>SOLID!BJ32</f>
        <v>0</v>
      </c>
      <c r="BG63">
        <f>SOLID!BK32</f>
        <v>0</v>
      </c>
      <c r="BH63">
        <f>SOLID!BL32</f>
        <v>0</v>
      </c>
      <c r="BI63">
        <f>SOLID!BM32</f>
        <v>0</v>
      </c>
      <c r="BJ63">
        <f>SOLID!BN32</f>
        <v>0</v>
      </c>
      <c r="BK63">
        <f>SOLID!BO32</f>
        <v>0</v>
      </c>
      <c r="BL63">
        <f>SOLID!BP32</f>
        <v>0</v>
      </c>
      <c r="BM63">
        <f>SOLID!BQ32</f>
        <v>0</v>
      </c>
      <c r="BN63">
        <f>SOLID!BR32</f>
        <v>0</v>
      </c>
      <c r="BO63">
        <f>SOLID!BS32</f>
        <v>0</v>
      </c>
      <c r="BP63">
        <f>SOLID!BT32</f>
        <v>0</v>
      </c>
      <c r="BQ63">
        <f>SOLID!BU32</f>
        <v>0</v>
      </c>
      <c r="BR63">
        <f>SOLID!BV32</f>
        <v>0</v>
      </c>
      <c r="BS63">
        <f>SOLID!BW32</f>
        <v>0</v>
      </c>
      <c r="BT63">
        <f>SOLID!BX32</f>
        <v>0</v>
      </c>
    </row>
    <row r="64" spans="1:72" ht="21.75" outlineLevel="1" thickBot="1" x14ac:dyDescent="0.4">
      <c r="A64" s="61">
        <f>SOLID!E33</f>
        <v>1</v>
      </c>
      <c r="B64" s="28">
        <f>SOLID!F33</f>
        <v>0</v>
      </c>
      <c r="C64" s="28">
        <f>SOLID!G33</f>
        <v>0</v>
      </c>
      <c r="D64" s="28">
        <f>SOLID!H33</f>
        <v>0</v>
      </c>
      <c r="E64" s="28">
        <f>SOLID!I33</f>
        <v>0</v>
      </c>
      <c r="F64" s="28">
        <f>SOLID!J33</f>
        <v>0</v>
      </c>
      <c r="G64" s="28">
        <f>SOLID!K33</f>
        <v>0</v>
      </c>
      <c r="H64" s="28">
        <f>SOLID!L33</f>
        <v>0</v>
      </c>
      <c r="I64" s="28">
        <f>SOLID!M33</f>
        <v>0</v>
      </c>
      <c r="J64" s="28">
        <f>SOLID!N33</f>
        <v>0</v>
      </c>
      <c r="K64" s="28">
        <f>SOLID!O33</f>
        <v>0</v>
      </c>
      <c r="L64" s="28">
        <f>SOLID!P33</f>
        <v>0</v>
      </c>
      <c r="M64" s="28">
        <f>SOLID!Q33</f>
        <v>0</v>
      </c>
      <c r="N64" s="28">
        <f>SOLID!R33</f>
        <v>0</v>
      </c>
      <c r="O64" s="28">
        <f>SOLID!S33</f>
        <v>0</v>
      </c>
      <c r="P64" s="28">
        <f>SOLID!T33</f>
        <v>0</v>
      </c>
      <c r="Q64" s="28">
        <f>SOLID!U33</f>
        <v>0</v>
      </c>
      <c r="R64" s="28">
        <f>SOLID!V33</f>
        <v>0</v>
      </c>
      <c r="S64" s="28">
        <f>SOLID!W33</f>
        <v>0</v>
      </c>
      <c r="T64" s="28">
        <f>SOLID!X33</f>
        <v>0</v>
      </c>
      <c r="U64" s="28">
        <f>SOLID!Y33</f>
        <v>0</v>
      </c>
      <c r="V64" s="28">
        <f>SOLID!Z33</f>
        <v>0</v>
      </c>
      <c r="W64" s="28">
        <f>SOLID!AA33</f>
        <v>0</v>
      </c>
      <c r="X64" s="28">
        <f>SOLID!AB33</f>
        <v>0</v>
      </c>
      <c r="Y64" s="28">
        <f>SOLID!AC33</f>
        <v>0</v>
      </c>
      <c r="Z64" s="28">
        <f>SOLID!AD33</f>
        <v>0</v>
      </c>
      <c r="AA64" s="28">
        <f>SOLID!AE33</f>
        <v>0</v>
      </c>
      <c r="AB64" s="28">
        <f>SOLID!AF33</f>
        <v>0</v>
      </c>
      <c r="AC64" s="28">
        <f>SOLID!AG33</f>
        <v>0</v>
      </c>
      <c r="AD64" s="28">
        <f>SOLID!AH33</f>
        <v>0</v>
      </c>
      <c r="AE64" s="28">
        <f>SOLID!AI33</f>
        <v>0</v>
      </c>
      <c r="AF64" s="28">
        <f>SOLID!AJ33</f>
        <v>0</v>
      </c>
      <c r="AG64" s="28">
        <f>SOLID!AK33</f>
        <v>0</v>
      </c>
      <c r="AH64" s="28">
        <f>SOLID!AL33</f>
        <v>0</v>
      </c>
      <c r="AI64" s="28">
        <f>SOLID!AM33</f>
        <v>0</v>
      </c>
      <c r="AJ64">
        <f>SOLID!AN33</f>
        <v>0</v>
      </c>
      <c r="AK64">
        <f>SOLID!AO33</f>
        <v>0</v>
      </c>
      <c r="AL64">
        <f>SOLID!AP33</f>
        <v>0</v>
      </c>
      <c r="AM64">
        <f>SOLID!AQ33</f>
        <v>0</v>
      </c>
      <c r="AN64">
        <f>SOLID!AR33</f>
        <v>0</v>
      </c>
      <c r="AO64">
        <f>SOLID!AS33</f>
        <v>0</v>
      </c>
      <c r="AP64">
        <f>SOLID!AT33</f>
        <v>0</v>
      </c>
      <c r="AQ64">
        <f>SOLID!AU33</f>
        <v>0</v>
      </c>
      <c r="AR64">
        <f>SOLID!AV33</f>
        <v>0</v>
      </c>
      <c r="AS64">
        <f>SOLID!AW33</f>
        <v>0</v>
      </c>
      <c r="AT64">
        <f>SOLID!AX33</f>
        <v>0</v>
      </c>
      <c r="AU64">
        <f>SOLID!AY33</f>
        <v>0</v>
      </c>
      <c r="AV64">
        <f>SOLID!AZ33</f>
        <v>0</v>
      </c>
      <c r="AW64">
        <f>SOLID!BA33</f>
        <v>0</v>
      </c>
      <c r="AX64">
        <f>SOLID!BB33</f>
        <v>0</v>
      </c>
      <c r="AY64">
        <f>SOLID!BC33</f>
        <v>0</v>
      </c>
      <c r="AZ64">
        <f>SOLID!BD33</f>
        <v>0</v>
      </c>
      <c r="BA64">
        <f>SOLID!BE33</f>
        <v>0</v>
      </c>
      <c r="BB64">
        <f>SOLID!BF33</f>
        <v>0</v>
      </c>
      <c r="BC64">
        <f>SOLID!BG33</f>
        <v>0</v>
      </c>
      <c r="BD64">
        <f>SOLID!BH33</f>
        <v>0</v>
      </c>
      <c r="BE64">
        <f>SOLID!BI33</f>
        <v>0</v>
      </c>
      <c r="BF64">
        <f>SOLID!BJ33</f>
        <v>0</v>
      </c>
      <c r="BG64">
        <f>SOLID!BK33</f>
        <v>0</v>
      </c>
      <c r="BH64">
        <f>SOLID!BL33</f>
        <v>0</v>
      </c>
      <c r="BI64">
        <f>SOLID!BM33</f>
        <v>0</v>
      </c>
      <c r="BJ64">
        <f>SOLID!BN33</f>
        <v>0</v>
      </c>
      <c r="BK64">
        <f>SOLID!BO33</f>
        <v>0</v>
      </c>
      <c r="BL64">
        <f>SOLID!BP33</f>
        <v>0</v>
      </c>
      <c r="BM64">
        <f>SOLID!BQ33</f>
        <v>0</v>
      </c>
      <c r="BN64">
        <f>SOLID!BR33</f>
        <v>0</v>
      </c>
      <c r="BO64">
        <f>SOLID!BS33</f>
        <v>0</v>
      </c>
      <c r="BP64">
        <f>SOLID!BT33</f>
        <v>0</v>
      </c>
      <c r="BQ64">
        <f>SOLID!BU33</f>
        <v>0</v>
      </c>
      <c r="BR64">
        <f>SOLID!BV33</f>
        <v>0</v>
      </c>
      <c r="BS64">
        <f>SOLID!BW33</f>
        <v>0</v>
      </c>
      <c r="BT64">
        <f>SOLID!BX33</f>
        <v>0</v>
      </c>
    </row>
    <row r="65" spans="1:72" ht="21.75" thickBot="1" x14ac:dyDescent="0.4">
      <c r="A65" s="64"/>
    </row>
    <row r="66" spans="1:72" ht="22.5" thickTop="1" thickBot="1" x14ac:dyDescent="0.4">
      <c r="A66" s="9" t="str">
        <f>ALL!E3</f>
        <v>Temperature,К</v>
      </c>
      <c r="B66" s="9">
        <f>ALL!F3</f>
        <v>273.10000000000002</v>
      </c>
      <c r="C66" s="9">
        <f>ALL!G3</f>
        <v>293.3</v>
      </c>
      <c r="D66" s="9">
        <f>ALL!H3</f>
        <v>313.5</v>
      </c>
      <c r="E66" s="9">
        <f>ALL!I3</f>
        <v>333.7</v>
      </c>
      <c r="F66" s="9">
        <f>ALL!J3</f>
        <v>353.9</v>
      </c>
      <c r="G66" s="9">
        <f>ALL!K3</f>
        <v>434.7</v>
      </c>
      <c r="H66" s="9">
        <f>ALL!L3</f>
        <v>454.9</v>
      </c>
      <c r="I66" s="9">
        <f>ALL!M3</f>
        <v>475.1</v>
      </c>
      <c r="J66" s="9">
        <f>ALL!N3</f>
        <v>495.2</v>
      </c>
      <c r="K66" s="9">
        <f>ALL!O3</f>
        <v>515.4</v>
      </c>
      <c r="L66" s="9">
        <f>ALL!P3</f>
        <v>535.6</v>
      </c>
      <c r="M66" s="9">
        <f>ALL!Q3</f>
        <v>555.79999999999995</v>
      </c>
      <c r="N66" s="9">
        <f>ALL!R3</f>
        <v>576</v>
      </c>
      <c r="O66" s="9">
        <f>ALL!S3</f>
        <v>596.20000000000005</v>
      </c>
      <c r="P66" s="9">
        <f>ALL!T3</f>
        <v>616.4</v>
      </c>
      <c r="Q66" s="9">
        <f>ALL!U3</f>
        <v>636.6</v>
      </c>
      <c r="R66" s="9">
        <f>ALL!V3</f>
        <v>656.8</v>
      </c>
      <c r="S66" s="9">
        <f>ALL!W3</f>
        <v>677</v>
      </c>
      <c r="T66" s="9">
        <f>ALL!X3</f>
        <v>757.7</v>
      </c>
      <c r="U66" s="9">
        <f>ALL!Y3</f>
        <v>777.9</v>
      </c>
      <c r="V66" s="9">
        <f>ALL!Z3</f>
        <v>798.1</v>
      </c>
      <c r="W66" s="9">
        <f>ALL!AA3</f>
        <v>818.3</v>
      </c>
      <c r="X66" s="9">
        <f>ALL!AB3</f>
        <v>838.5</v>
      </c>
      <c r="Y66" s="9">
        <f>ALL!AC3</f>
        <v>858.7</v>
      </c>
      <c r="Z66" s="9">
        <f>ALL!AD3</f>
        <v>878.9</v>
      </c>
      <c r="AA66" s="9">
        <f>ALL!AE3</f>
        <v>899</v>
      </c>
      <c r="AB66" s="9">
        <f>ALL!AF3</f>
        <v>919.2</v>
      </c>
      <c r="AC66" s="9">
        <f>ALL!AG3</f>
        <v>1000</v>
      </c>
      <c r="AD66" s="9">
        <f>ALL!AH3</f>
        <v>0</v>
      </c>
      <c r="AE66" s="9">
        <f>ALL!AI3</f>
        <v>0</v>
      </c>
      <c r="AF66" s="9">
        <f>ALL!AJ3</f>
        <v>0</v>
      </c>
      <c r="AG66" s="9">
        <f>ALL!AK3</f>
        <v>0</v>
      </c>
      <c r="AH66" s="9">
        <f>ALL!AL3</f>
        <v>0</v>
      </c>
      <c r="AI66" s="9">
        <f>ALL!AM3</f>
        <v>0</v>
      </c>
      <c r="AJ66" s="9">
        <f>ALL!AN3</f>
        <v>0</v>
      </c>
      <c r="AK66" s="9">
        <f>ALL!AO3</f>
        <v>0</v>
      </c>
      <c r="AL66" s="9">
        <f>ALL!AP3</f>
        <v>0</v>
      </c>
      <c r="AM66" s="9">
        <f>ALL!AQ3</f>
        <v>0</v>
      </c>
      <c r="AN66" s="9">
        <f>ALL!AR3</f>
        <v>0</v>
      </c>
      <c r="AO66" s="9">
        <f>ALL!AS3</f>
        <v>0</v>
      </c>
      <c r="AP66" s="9">
        <f>ALL!AT3</f>
        <v>0</v>
      </c>
      <c r="AQ66" s="9">
        <f>ALL!AU3</f>
        <v>0</v>
      </c>
      <c r="AR66" s="9">
        <f>ALL!AV3</f>
        <v>0</v>
      </c>
      <c r="AS66" s="9">
        <f>ALL!AW3</f>
        <v>0</v>
      </c>
      <c r="AT66" s="9">
        <f>ALL!AX3</f>
        <v>0</v>
      </c>
      <c r="AU66" s="9">
        <f>ALL!AY3</f>
        <v>0</v>
      </c>
      <c r="AV66" s="9">
        <f>ALL!AZ3</f>
        <v>0</v>
      </c>
      <c r="AW66" s="9">
        <f>ALL!BA3</f>
        <v>0</v>
      </c>
      <c r="AX66" s="9">
        <f>ALL!BB3</f>
        <v>0</v>
      </c>
      <c r="AY66" s="9">
        <f>ALL!BC3</f>
        <v>0</v>
      </c>
      <c r="AZ66" s="9">
        <f>ALL!BD3</f>
        <v>0</v>
      </c>
      <c r="BA66" s="9">
        <f>ALL!BE3</f>
        <v>0</v>
      </c>
      <c r="BB66" s="9">
        <f>ALL!BF3</f>
        <v>0</v>
      </c>
      <c r="BC66" s="9">
        <f>ALL!BG3</f>
        <v>0</v>
      </c>
      <c r="BD66" s="9">
        <f>ALL!BH3</f>
        <v>0</v>
      </c>
      <c r="BE66" s="9">
        <f>ALL!BI3</f>
        <v>0</v>
      </c>
      <c r="BF66" s="9">
        <f>ALL!BJ3</f>
        <v>0</v>
      </c>
      <c r="BG66" s="9">
        <f>ALL!BK3</f>
        <v>0</v>
      </c>
      <c r="BH66" s="9">
        <f>ALL!BL3</f>
        <v>0</v>
      </c>
      <c r="BI66" s="9">
        <f>ALL!BM3</f>
        <v>0</v>
      </c>
      <c r="BJ66" s="9">
        <f>ALL!BN3</f>
        <v>0</v>
      </c>
      <c r="BK66" s="9">
        <f>ALL!BO3</f>
        <v>0</v>
      </c>
      <c r="BL66" s="9">
        <f>ALL!BP3</f>
        <v>0</v>
      </c>
      <c r="BM66" s="9">
        <f>ALL!BQ3</f>
        <v>0</v>
      </c>
      <c r="BN66" s="9">
        <f>ALL!BR3</f>
        <v>0</v>
      </c>
      <c r="BO66" s="9">
        <f>ALL!BS3</f>
        <v>0</v>
      </c>
      <c r="BP66" s="9">
        <f>ALL!BT3</f>
        <v>0</v>
      </c>
      <c r="BQ66" s="9">
        <f>ALL!BU3</f>
        <v>0</v>
      </c>
      <c r="BR66" s="9">
        <f>ALL!BV3</f>
        <v>0</v>
      </c>
      <c r="BS66" s="9">
        <f>ALL!BW3</f>
        <v>0</v>
      </c>
      <c r="BT66" s="9">
        <f>ALL!BX3</f>
        <v>0</v>
      </c>
    </row>
    <row r="67" spans="1:72" ht="22.5" outlineLevel="1" thickTop="1" thickBot="1" x14ac:dyDescent="0.4">
      <c r="A67" s="62" t="str">
        <f>ALL!E4</f>
        <v>*GeSe</v>
      </c>
      <c r="B67" s="28">
        <f>ALL!F4</f>
        <v>6.1877999999999997E-9</v>
      </c>
      <c r="C67" s="28">
        <f>ALL!G4</f>
        <v>5.5165000000000001E-9</v>
      </c>
      <c r="D67" s="28">
        <f>ALL!H4</f>
        <v>7.4244000000000001E-9</v>
      </c>
      <c r="E67" s="28">
        <f>ALL!I4</f>
        <v>1.3577999999999999E-8</v>
      </c>
      <c r="F67" s="28">
        <f>ALL!J4</f>
        <v>2.9451E-8</v>
      </c>
      <c r="G67" s="28">
        <f>ALL!K4</f>
        <v>1.5819999999999999E-8</v>
      </c>
      <c r="H67" s="28">
        <f>ALL!L4</f>
        <v>2.8747E-9</v>
      </c>
      <c r="I67" s="28">
        <f>ALL!M4</f>
        <v>2.4480999999999999E-13</v>
      </c>
      <c r="J67" s="28">
        <f>ALL!N4</f>
        <v>9.9445000000000001E-21</v>
      </c>
      <c r="K67" s="28">
        <f>ALL!O4</f>
        <v>7.3141000000000006E-30</v>
      </c>
      <c r="L67" s="28">
        <f>ALL!P4</f>
        <v>0</v>
      </c>
      <c r="M67" s="28">
        <f>ALL!Q4</f>
        <v>0</v>
      </c>
      <c r="N67" s="28">
        <f>ALL!R4</f>
        <v>0</v>
      </c>
      <c r="O67" s="28">
        <f>ALL!S4</f>
        <v>0</v>
      </c>
      <c r="P67" s="28">
        <f>ALL!T4</f>
        <v>0</v>
      </c>
      <c r="Q67" s="28">
        <f>ALL!U4</f>
        <v>0</v>
      </c>
      <c r="R67" s="28">
        <f>ALL!V4</f>
        <v>0</v>
      </c>
      <c r="S67" s="28">
        <f>ALL!W4</f>
        <v>0</v>
      </c>
      <c r="T67" s="28">
        <f>ALL!X4</f>
        <v>0</v>
      </c>
      <c r="U67" s="28">
        <f>ALL!Y4</f>
        <v>0</v>
      </c>
      <c r="V67" s="28">
        <f>ALL!Z4</f>
        <v>0</v>
      </c>
      <c r="W67" s="28">
        <f>ALL!AA4</f>
        <v>0</v>
      </c>
      <c r="X67" s="28">
        <f>ALL!AB4</f>
        <v>0</v>
      </c>
      <c r="Y67" s="28">
        <f>ALL!AC4</f>
        <v>0</v>
      </c>
      <c r="Z67" s="28">
        <f>ALL!AD4</f>
        <v>0</v>
      </c>
      <c r="AA67" s="28">
        <f>ALL!AE4</f>
        <v>0</v>
      </c>
      <c r="AB67" s="28">
        <f>ALL!AF4</f>
        <v>0</v>
      </c>
      <c r="AC67" s="28">
        <f>ALL!AG4</f>
        <v>0</v>
      </c>
      <c r="AD67" s="28">
        <f>ALL!AH4</f>
        <v>0</v>
      </c>
      <c r="AE67" s="28">
        <f>ALL!AI4</f>
        <v>0</v>
      </c>
      <c r="AF67" s="28">
        <f>ALL!AJ4</f>
        <v>0</v>
      </c>
      <c r="AG67" s="28">
        <f>ALL!AK4</f>
        <v>0</v>
      </c>
      <c r="AH67" s="28">
        <f>ALL!AL4</f>
        <v>0</v>
      </c>
      <c r="AI67" s="28">
        <f>ALL!AM4</f>
        <v>0</v>
      </c>
      <c r="AJ67" s="28">
        <f>ALL!AN4</f>
        <v>0</v>
      </c>
      <c r="AK67" s="28">
        <f>ALL!AO4</f>
        <v>0</v>
      </c>
      <c r="AL67" s="28">
        <f>ALL!AP4</f>
        <v>0</v>
      </c>
      <c r="AM67" s="28">
        <f>ALL!AQ4</f>
        <v>0</v>
      </c>
      <c r="AN67" s="28">
        <f>ALL!AR4</f>
        <v>0</v>
      </c>
      <c r="AO67" s="28">
        <f>ALL!AS4</f>
        <v>0</v>
      </c>
      <c r="AP67" s="28">
        <f>ALL!AT4</f>
        <v>0</v>
      </c>
      <c r="AQ67" s="28">
        <f>ALL!AU4</f>
        <v>0</v>
      </c>
      <c r="AR67" s="28">
        <f>ALL!AV4</f>
        <v>0</v>
      </c>
      <c r="AS67" s="28">
        <f>ALL!AW4</f>
        <v>0</v>
      </c>
      <c r="AT67" s="28">
        <f>ALL!AX4</f>
        <v>0</v>
      </c>
      <c r="AU67" s="28">
        <f>ALL!AY4</f>
        <v>0</v>
      </c>
      <c r="AV67" s="28">
        <f>ALL!AZ4</f>
        <v>0</v>
      </c>
      <c r="AW67" s="28">
        <f>ALL!BA4</f>
        <v>0</v>
      </c>
      <c r="AX67" s="28">
        <f>ALL!BB4</f>
        <v>0</v>
      </c>
      <c r="AY67" s="28">
        <f>ALL!BC4</f>
        <v>0</v>
      </c>
      <c r="AZ67" s="28">
        <f>ALL!BD4</f>
        <v>0</v>
      </c>
      <c r="BA67" s="28">
        <f>ALL!BE4</f>
        <v>0</v>
      </c>
      <c r="BB67" s="28">
        <f>ALL!BF4</f>
        <v>0</v>
      </c>
      <c r="BC67" s="28">
        <f>ALL!BG4</f>
        <v>0</v>
      </c>
      <c r="BD67" s="28">
        <f>ALL!BH4</f>
        <v>0</v>
      </c>
      <c r="BE67" s="28">
        <f>ALL!BI4</f>
        <v>0</v>
      </c>
      <c r="BF67" s="28">
        <f>ALL!BJ4</f>
        <v>0</v>
      </c>
      <c r="BG67" s="28">
        <f>ALL!BK4</f>
        <v>0</v>
      </c>
      <c r="BH67" s="28">
        <f>ALL!BL4</f>
        <v>0</v>
      </c>
      <c r="BI67" s="28">
        <f>ALL!BM4</f>
        <v>0</v>
      </c>
      <c r="BJ67" s="28">
        <f>ALL!BN4</f>
        <v>0</v>
      </c>
      <c r="BK67" s="28">
        <f>ALL!BO4</f>
        <v>0</v>
      </c>
      <c r="BL67" s="28">
        <f>ALL!BP4</f>
        <v>0</v>
      </c>
      <c r="BM67" s="28">
        <f>ALL!BQ4</f>
        <v>0</v>
      </c>
      <c r="BN67" s="28">
        <f>ALL!BR4</f>
        <v>0</v>
      </c>
      <c r="BO67" s="28">
        <f>ALL!BS4</f>
        <v>0</v>
      </c>
      <c r="BP67" s="28">
        <f>ALL!BT4</f>
        <v>0</v>
      </c>
      <c r="BQ67" s="28">
        <f>ALL!BU4</f>
        <v>0</v>
      </c>
      <c r="BR67" s="28">
        <f>ALL!BV4</f>
        <v>0</v>
      </c>
      <c r="BS67" s="28">
        <f>ALL!BW4</f>
        <v>0</v>
      </c>
      <c r="BT67" s="28">
        <f>ALL!BX4</f>
        <v>0</v>
      </c>
    </row>
    <row r="68" spans="1:72" ht="21.75" outlineLevel="1" thickBot="1" x14ac:dyDescent="0.4">
      <c r="A68" s="62" t="str">
        <f>ALL!E5</f>
        <v>*Ga[l]</v>
      </c>
      <c r="B68" s="28">
        <f>ALL!F5</f>
        <v>0</v>
      </c>
      <c r="C68" s="28">
        <f>ALL!G5</f>
        <v>0</v>
      </c>
      <c r="D68" s="28">
        <f>ALL!H5</f>
        <v>0</v>
      </c>
      <c r="E68" s="28">
        <f>ALL!I5</f>
        <v>0</v>
      </c>
      <c r="F68" s="28">
        <f>ALL!J5</f>
        <v>0</v>
      </c>
      <c r="G68" s="28">
        <f>ALL!K5</f>
        <v>0</v>
      </c>
      <c r="H68" s="28">
        <f>ALL!L5</f>
        <v>0</v>
      </c>
      <c r="I68" s="28">
        <f>ALL!M5</f>
        <v>0</v>
      </c>
      <c r="J68" s="28">
        <f>ALL!N5</f>
        <v>0</v>
      </c>
      <c r="K68" s="28">
        <f>ALL!O5</f>
        <v>0</v>
      </c>
      <c r="L68" s="28">
        <f>ALL!P5</f>
        <v>0</v>
      </c>
      <c r="M68" s="28">
        <f>ALL!Q5</f>
        <v>0</v>
      </c>
      <c r="N68" s="28">
        <f>ALL!R5</f>
        <v>0</v>
      </c>
      <c r="O68" s="28">
        <f>ALL!S5</f>
        <v>0</v>
      </c>
      <c r="P68" s="28">
        <f>ALL!T5</f>
        <v>0</v>
      </c>
      <c r="Q68" s="28">
        <f>ALL!U5</f>
        <v>0</v>
      </c>
      <c r="R68" s="28">
        <f>ALL!V5</f>
        <v>0</v>
      </c>
      <c r="S68" s="28">
        <f>ALL!W5</f>
        <v>0</v>
      </c>
      <c r="T68" s="28">
        <f>ALL!X5</f>
        <v>0</v>
      </c>
      <c r="U68" s="28">
        <f>ALL!Y5</f>
        <v>1.1499999999999999E-31</v>
      </c>
      <c r="V68" s="28">
        <f>ALL!Z5</f>
        <v>9.5558000000000007E-24</v>
      </c>
      <c r="W68" s="28">
        <f>ALL!AA5</f>
        <v>1.4482E-16</v>
      </c>
      <c r="X68" s="28">
        <f>ALL!AB5</f>
        <v>1.0933999999999999E-10</v>
      </c>
      <c r="Y68" s="28">
        <f>ALL!AC5</f>
        <v>3.2417999999999998E-7</v>
      </c>
      <c r="Z68" s="28">
        <f>ALL!AD5</f>
        <v>1.2376E-5</v>
      </c>
      <c r="AA68" s="28">
        <f>ALL!AE5</f>
        <v>2.1126999999999999E-5</v>
      </c>
      <c r="AB68" s="28">
        <f>ALL!AF5</f>
        <v>2.3708000000000001E-5</v>
      </c>
      <c r="AC68" s="28">
        <f>ALL!AG5</f>
        <v>2.8283999999999999E-6</v>
      </c>
      <c r="AD68" s="28">
        <f>ALL!AH5</f>
        <v>0</v>
      </c>
      <c r="AE68" s="28">
        <f>ALL!AI5</f>
        <v>0</v>
      </c>
      <c r="AF68" s="28">
        <f>ALL!AJ5</f>
        <v>0</v>
      </c>
      <c r="AG68" s="28">
        <f>ALL!AK5</f>
        <v>0</v>
      </c>
      <c r="AH68" s="28">
        <f>ALL!AL5</f>
        <v>0</v>
      </c>
      <c r="AI68" s="28">
        <f>ALL!AM5</f>
        <v>0</v>
      </c>
      <c r="AJ68" s="28">
        <f>ALL!AN5</f>
        <v>0</v>
      </c>
      <c r="AK68" s="28">
        <f>ALL!AO5</f>
        <v>0</v>
      </c>
      <c r="AL68" s="28">
        <f>ALL!AP5</f>
        <v>0</v>
      </c>
      <c r="AM68" s="28">
        <f>ALL!AQ5</f>
        <v>0</v>
      </c>
      <c r="AN68" s="28">
        <f>ALL!AR5</f>
        <v>0</v>
      </c>
      <c r="AO68" s="28">
        <f>ALL!AS5</f>
        <v>0</v>
      </c>
      <c r="AP68" s="28">
        <f>ALL!AT5</f>
        <v>0</v>
      </c>
      <c r="AQ68" s="28">
        <f>ALL!AU5</f>
        <v>0</v>
      </c>
      <c r="AR68" s="28">
        <f>ALL!AV5</f>
        <v>0</v>
      </c>
      <c r="AS68" s="28">
        <f>ALL!AW5</f>
        <v>0</v>
      </c>
      <c r="AT68" s="28">
        <f>ALL!AX5</f>
        <v>0</v>
      </c>
      <c r="AU68" s="28">
        <f>ALL!AY5</f>
        <v>0</v>
      </c>
      <c r="AV68" s="28">
        <f>ALL!AZ5</f>
        <v>0</v>
      </c>
      <c r="AW68" s="28">
        <f>ALL!BA5</f>
        <v>0</v>
      </c>
      <c r="AX68" s="28">
        <f>ALL!BB5</f>
        <v>0</v>
      </c>
      <c r="AY68" s="28">
        <f>ALL!BC5</f>
        <v>0</v>
      </c>
      <c r="AZ68" s="28">
        <f>ALL!BD5</f>
        <v>0</v>
      </c>
      <c r="BA68" s="28">
        <f>ALL!BE5</f>
        <v>0</v>
      </c>
      <c r="BB68" s="28">
        <f>ALL!BF5</f>
        <v>0</v>
      </c>
      <c r="BC68" s="28">
        <f>ALL!BG5</f>
        <v>0</v>
      </c>
      <c r="BD68" s="28">
        <f>ALL!BH5</f>
        <v>0</v>
      </c>
      <c r="BE68" s="28">
        <f>ALL!BI5</f>
        <v>0</v>
      </c>
      <c r="BF68" s="28">
        <f>ALL!BJ5</f>
        <v>0</v>
      </c>
      <c r="BG68" s="28">
        <f>ALL!BK5</f>
        <v>0</v>
      </c>
      <c r="BH68" s="28">
        <f>ALL!BL5</f>
        <v>0</v>
      </c>
      <c r="BI68" s="28">
        <f>ALL!BM5</f>
        <v>0</v>
      </c>
      <c r="BJ68" s="28">
        <f>ALL!BN5</f>
        <v>0</v>
      </c>
      <c r="BK68" s="28">
        <f>ALL!BO5</f>
        <v>0</v>
      </c>
      <c r="BL68" s="28">
        <f>ALL!BP5</f>
        <v>0</v>
      </c>
      <c r="BM68" s="28">
        <f>ALL!BQ5</f>
        <v>0</v>
      </c>
      <c r="BN68" s="28">
        <f>ALL!BR5</f>
        <v>0</v>
      </c>
      <c r="BO68" s="28">
        <f>ALL!BS5</f>
        <v>0</v>
      </c>
      <c r="BP68" s="28">
        <f>ALL!BT5</f>
        <v>0</v>
      </c>
      <c r="BQ68" s="28">
        <f>ALL!BU5</f>
        <v>0</v>
      </c>
      <c r="BR68" s="28">
        <f>ALL!BV5</f>
        <v>0</v>
      </c>
      <c r="BS68" s="28">
        <f>ALL!BW5</f>
        <v>0</v>
      </c>
      <c r="BT68" s="28">
        <f>ALL!BX5</f>
        <v>0</v>
      </c>
    </row>
    <row r="69" spans="1:72" ht="21.75" outlineLevel="1" thickBot="1" x14ac:dyDescent="0.4">
      <c r="A69" s="62" t="str">
        <f>ALL!E6</f>
        <v>*Se[m]</v>
      </c>
      <c r="B69" s="28">
        <f>ALL!F6</f>
        <v>0</v>
      </c>
      <c r="C69" s="28">
        <f>ALL!G6</f>
        <v>0</v>
      </c>
      <c r="D69" s="28">
        <f>ALL!H6</f>
        <v>9.5128000000000004E-28</v>
      </c>
      <c r="E69" s="28">
        <f>ALL!I6</f>
        <v>1.5372000000000001E-22</v>
      </c>
      <c r="F69" s="28">
        <f>ALL!J6</f>
        <v>1.1156E-19</v>
      </c>
      <c r="G69" s="28">
        <f>ALL!K6</f>
        <v>1.7943999999999999E-13</v>
      </c>
      <c r="H69" s="28">
        <f>ALL!L6</f>
        <v>4.2096999999999999E-10</v>
      </c>
      <c r="I69" s="28">
        <f>ALL!M6</f>
        <v>4.2095000000000004E-9</v>
      </c>
      <c r="J69" s="28">
        <f>ALL!N6</f>
        <v>7.7497000000000002E-9</v>
      </c>
      <c r="K69" s="28">
        <f>ALL!O6</f>
        <v>1.3306E-8</v>
      </c>
      <c r="L69" s="28">
        <f>ALL!P6</f>
        <v>1.2213999999999999E-8</v>
      </c>
      <c r="M69" s="28">
        <f>ALL!Q6</f>
        <v>2.3015999999999999E-8</v>
      </c>
      <c r="N69" s="28">
        <f>ALL!R6</f>
        <v>1.5737999999999998E-8</v>
      </c>
      <c r="O69" s="28">
        <f>ALL!S6</f>
        <v>1.6776000000000001E-8</v>
      </c>
      <c r="P69" s="28">
        <f>ALL!T6</f>
        <v>1.7397E-8</v>
      </c>
      <c r="Q69" s="28">
        <f>ALL!U6</f>
        <v>1.768E-8</v>
      </c>
      <c r="R69" s="28">
        <f>ALL!V6</f>
        <v>1.8666E-8</v>
      </c>
      <c r="S69" s="28">
        <f>ALL!W6</f>
        <v>2.2871E-8</v>
      </c>
      <c r="T69" s="28">
        <f>ALL!X6</f>
        <v>2.7468000000000002E-8</v>
      </c>
      <c r="U69" s="28">
        <f>ALL!Y6</f>
        <v>2.7864000000000001E-8</v>
      </c>
      <c r="V69" s="28">
        <f>ALL!Z6</f>
        <v>2.7649999999999999E-8</v>
      </c>
      <c r="W69" s="28">
        <f>ALL!AA6</f>
        <v>2.8200000000000001E-8</v>
      </c>
      <c r="X69" s="28">
        <f>ALL!AB6</f>
        <v>6.5486999999999999E-9</v>
      </c>
      <c r="Y69" s="28">
        <f>ALL!AC6</f>
        <v>6.0900999999999995E-32</v>
      </c>
      <c r="Z69" s="28">
        <f>ALL!AD6</f>
        <v>4.7079000000000003E-30</v>
      </c>
      <c r="AA69" s="28">
        <f>ALL!AE6</f>
        <v>8.2700999999999997E-29</v>
      </c>
      <c r="AB69" s="28">
        <f>ALL!AF6</f>
        <v>4.4598999999999997E-28</v>
      </c>
      <c r="AC69" s="28">
        <f>ALL!AG6</f>
        <v>2.2786000000000001E-23</v>
      </c>
      <c r="AD69" s="28">
        <f>ALL!AH6</f>
        <v>0</v>
      </c>
      <c r="AE69" s="28">
        <f>ALL!AI6</f>
        <v>0</v>
      </c>
      <c r="AF69" s="28">
        <f>ALL!AJ6</f>
        <v>0</v>
      </c>
      <c r="AG69" s="28">
        <f>ALL!AK6</f>
        <v>0</v>
      </c>
      <c r="AH69" s="28">
        <f>ALL!AL6</f>
        <v>0</v>
      </c>
      <c r="AI69" s="28">
        <f>ALL!AM6</f>
        <v>0</v>
      </c>
      <c r="AJ69" s="28">
        <f>ALL!AN6</f>
        <v>0</v>
      </c>
      <c r="AK69" s="28">
        <f>ALL!AO6</f>
        <v>0</v>
      </c>
      <c r="AL69" s="28">
        <f>ALL!AP6</f>
        <v>0</v>
      </c>
      <c r="AM69" s="28">
        <f>ALL!AQ6</f>
        <v>0</v>
      </c>
      <c r="AN69" s="28">
        <f>ALL!AR6</f>
        <v>0</v>
      </c>
      <c r="AO69" s="28">
        <f>ALL!AS6</f>
        <v>0</v>
      </c>
      <c r="AP69" s="28">
        <f>ALL!AT6</f>
        <v>0</v>
      </c>
      <c r="AQ69" s="28">
        <f>ALL!AU6</f>
        <v>0</v>
      </c>
      <c r="AR69" s="28">
        <f>ALL!AV6</f>
        <v>0</v>
      </c>
      <c r="AS69" s="28">
        <f>ALL!AW6</f>
        <v>0</v>
      </c>
      <c r="AT69" s="28">
        <f>ALL!AX6</f>
        <v>0</v>
      </c>
      <c r="AU69" s="28">
        <f>ALL!AY6</f>
        <v>0</v>
      </c>
      <c r="AV69" s="28">
        <f>ALL!AZ6</f>
        <v>0</v>
      </c>
      <c r="AW69" s="28">
        <f>ALL!BA6</f>
        <v>0</v>
      </c>
      <c r="AX69" s="28">
        <f>ALL!BB6</f>
        <v>0</v>
      </c>
      <c r="AY69" s="28">
        <f>ALL!BC6</f>
        <v>0</v>
      </c>
      <c r="AZ69" s="28">
        <f>ALL!BD6</f>
        <v>0</v>
      </c>
      <c r="BA69" s="28">
        <f>ALL!BE6</f>
        <v>0</v>
      </c>
      <c r="BB69" s="28">
        <f>ALL!BF6</f>
        <v>0</v>
      </c>
      <c r="BC69" s="28">
        <f>ALL!BG6</f>
        <v>0</v>
      </c>
      <c r="BD69" s="28">
        <f>ALL!BH6</f>
        <v>0</v>
      </c>
      <c r="BE69" s="28">
        <f>ALL!BI6</f>
        <v>0</v>
      </c>
      <c r="BF69" s="28">
        <f>ALL!BJ6</f>
        <v>0</v>
      </c>
      <c r="BG69" s="28">
        <f>ALL!BK6</f>
        <v>0</v>
      </c>
      <c r="BH69" s="28">
        <f>ALL!BL6</f>
        <v>0</v>
      </c>
      <c r="BI69" s="28">
        <f>ALL!BM6</f>
        <v>0</v>
      </c>
      <c r="BJ69" s="28">
        <f>ALL!BN6</f>
        <v>0</v>
      </c>
      <c r="BK69" s="28">
        <f>ALL!BO6</f>
        <v>0</v>
      </c>
      <c r="BL69" s="28">
        <f>ALL!BP6</f>
        <v>0</v>
      </c>
      <c r="BM69" s="28">
        <f>ALL!BQ6</f>
        <v>0</v>
      </c>
      <c r="BN69" s="28">
        <f>ALL!BR6</f>
        <v>0</v>
      </c>
      <c r="BO69" s="28">
        <f>ALL!BS6</f>
        <v>0</v>
      </c>
      <c r="BP69" s="28">
        <f>ALL!BT6</f>
        <v>0</v>
      </c>
      <c r="BQ69" s="28">
        <f>ALL!BU6</f>
        <v>0</v>
      </c>
      <c r="BR69" s="28">
        <f>ALL!BV6</f>
        <v>0</v>
      </c>
      <c r="BS69" s="28">
        <f>ALL!BW6</f>
        <v>0</v>
      </c>
      <c r="BT69" s="28">
        <f>ALL!BX6</f>
        <v>0</v>
      </c>
    </row>
    <row r="70" spans="1:72" ht="21.75" outlineLevel="1" thickBot="1" x14ac:dyDescent="0.4">
      <c r="A70" s="62" t="str">
        <f>ALL!E7</f>
        <v>*GeSe2</v>
      </c>
      <c r="B70" s="28">
        <f>ALL!F7</f>
        <v>1.2300000000000001E-9</v>
      </c>
      <c r="C70" s="28">
        <f>ALL!G7</f>
        <v>4.5156E-11</v>
      </c>
      <c r="D70" s="28">
        <f>ALL!H7</f>
        <v>6.8465000000000003E-15</v>
      </c>
      <c r="E70" s="28">
        <f>ALL!I7</f>
        <v>3.7467999999999999E-23</v>
      </c>
      <c r="F70" s="28">
        <f>ALL!J7</f>
        <v>3.8006E-35</v>
      </c>
      <c r="G70" s="28">
        <f>ALL!K7</f>
        <v>0</v>
      </c>
      <c r="H70" s="28">
        <f>ALL!L7</f>
        <v>0</v>
      </c>
      <c r="I70" s="28">
        <f>ALL!M7</f>
        <v>0</v>
      </c>
      <c r="J70" s="28">
        <f>ALL!N7</f>
        <v>0</v>
      </c>
      <c r="K70" s="28">
        <f>ALL!O7</f>
        <v>0</v>
      </c>
      <c r="L70" s="28">
        <f>ALL!P7</f>
        <v>0</v>
      </c>
      <c r="M70" s="28">
        <f>ALL!Q7</f>
        <v>0</v>
      </c>
      <c r="N70" s="28">
        <f>ALL!R7</f>
        <v>0</v>
      </c>
      <c r="O70" s="28">
        <f>ALL!S7</f>
        <v>0</v>
      </c>
      <c r="P70" s="28">
        <f>ALL!T7</f>
        <v>0</v>
      </c>
      <c r="Q70" s="28">
        <f>ALL!U7</f>
        <v>0</v>
      </c>
      <c r="R70" s="28">
        <f>ALL!V7</f>
        <v>0</v>
      </c>
      <c r="S70" s="28">
        <f>ALL!W7</f>
        <v>0</v>
      </c>
      <c r="T70" s="28">
        <f>ALL!X7</f>
        <v>0</v>
      </c>
      <c r="U70" s="28">
        <f>ALL!Y7</f>
        <v>0</v>
      </c>
      <c r="V70" s="28">
        <f>ALL!Z7</f>
        <v>0</v>
      </c>
      <c r="W70" s="28">
        <f>ALL!AA7</f>
        <v>0</v>
      </c>
      <c r="X70" s="28">
        <f>ALL!AB7</f>
        <v>0</v>
      </c>
      <c r="Y70" s="28">
        <f>ALL!AC7</f>
        <v>0</v>
      </c>
      <c r="Z70" s="28">
        <f>ALL!AD7</f>
        <v>0</v>
      </c>
      <c r="AA70" s="28">
        <f>ALL!AE7</f>
        <v>0</v>
      </c>
      <c r="AB70" s="28">
        <f>ALL!AF7</f>
        <v>0</v>
      </c>
      <c r="AC70" s="28">
        <f>ALL!AG7</f>
        <v>0</v>
      </c>
      <c r="AD70" s="28">
        <f>ALL!AH7</f>
        <v>0</v>
      </c>
      <c r="AE70" s="28">
        <f>ALL!AI7</f>
        <v>0</v>
      </c>
      <c r="AF70" s="28">
        <f>ALL!AJ7</f>
        <v>0</v>
      </c>
      <c r="AG70" s="28">
        <f>ALL!AK7</f>
        <v>0</v>
      </c>
      <c r="AH70" s="28">
        <f>ALL!AL7</f>
        <v>0</v>
      </c>
      <c r="AI70" s="28">
        <f>ALL!AM7</f>
        <v>0</v>
      </c>
      <c r="AJ70" s="28">
        <f>ALL!AN7</f>
        <v>0</v>
      </c>
      <c r="AK70" s="28">
        <f>ALL!AO7</f>
        <v>0</v>
      </c>
      <c r="AL70" s="28">
        <f>ALL!AP7</f>
        <v>0</v>
      </c>
      <c r="AM70" s="28">
        <f>ALL!AQ7</f>
        <v>0</v>
      </c>
      <c r="AN70" s="28">
        <f>ALL!AR7</f>
        <v>0</v>
      </c>
      <c r="AO70" s="28">
        <f>ALL!AS7</f>
        <v>0</v>
      </c>
      <c r="AP70" s="28">
        <f>ALL!AT7</f>
        <v>0</v>
      </c>
      <c r="AQ70" s="28">
        <f>ALL!AU7</f>
        <v>0</v>
      </c>
      <c r="AR70" s="28">
        <f>ALL!AV7</f>
        <v>0</v>
      </c>
      <c r="AS70" s="28">
        <f>ALL!AW7</f>
        <v>0</v>
      </c>
      <c r="AT70" s="28">
        <f>ALL!AX7</f>
        <v>0</v>
      </c>
      <c r="AU70" s="28">
        <f>ALL!AY7</f>
        <v>0</v>
      </c>
      <c r="AV70" s="28">
        <f>ALL!AZ7</f>
        <v>0</v>
      </c>
      <c r="AW70" s="28">
        <f>ALL!BA7</f>
        <v>0</v>
      </c>
      <c r="AX70" s="28">
        <f>ALL!BB7</f>
        <v>0</v>
      </c>
      <c r="AY70" s="28">
        <f>ALL!BC7</f>
        <v>0</v>
      </c>
      <c r="AZ70" s="28">
        <f>ALL!BD7</f>
        <v>0</v>
      </c>
      <c r="BA70" s="28">
        <f>ALL!BE7</f>
        <v>0</v>
      </c>
      <c r="BB70" s="28">
        <f>ALL!BF7</f>
        <v>0</v>
      </c>
      <c r="BC70" s="28">
        <f>ALL!BG7</f>
        <v>0</v>
      </c>
      <c r="BD70" s="28">
        <f>ALL!BH7</f>
        <v>0</v>
      </c>
      <c r="BE70" s="28">
        <f>ALL!BI7</f>
        <v>0</v>
      </c>
      <c r="BF70" s="28">
        <f>ALL!BJ7</f>
        <v>0</v>
      </c>
      <c r="BG70" s="28">
        <f>ALL!BK7</f>
        <v>0</v>
      </c>
      <c r="BH70" s="28">
        <f>ALL!BL7</f>
        <v>0</v>
      </c>
      <c r="BI70" s="28">
        <f>ALL!BM7</f>
        <v>0</v>
      </c>
      <c r="BJ70" s="28">
        <f>ALL!BN7</f>
        <v>0</v>
      </c>
      <c r="BK70" s="28">
        <f>ALL!BO7</f>
        <v>0</v>
      </c>
      <c r="BL70" s="28">
        <f>ALL!BP7</f>
        <v>0</v>
      </c>
      <c r="BM70" s="28">
        <f>ALL!BQ7</f>
        <v>0</v>
      </c>
      <c r="BN70" s="28">
        <f>ALL!BR7</f>
        <v>0</v>
      </c>
      <c r="BO70" s="28">
        <f>ALL!BS7</f>
        <v>0</v>
      </c>
      <c r="BP70" s="28">
        <f>ALL!BT7</f>
        <v>0</v>
      </c>
      <c r="BQ70" s="28">
        <f>ALL!BU7</f>
        <v>0</v>
      </c>
      <c r="BR70" s="28">
        <f>ALL!BV7</f>
        <v>0</v>
      </c>
      <c r="BS70" s="28">
        <f>ALL!BW7</f>
        <v>0</v>
      </c>
      <c r="BT70" s="28">
        <f>ALL!BX7</f>
        <v>0</v>
      </c>
    </row>
    <row r="71" spans="1:72" ht="21.75" outlineLevel="1" thickBot="1" x14ac:dyDescent="0.4">
      <c r="A71" s="62" t="str">
        <f>ALL!E8</f>
        <v>Ga2Se3</v>
      </c>
      <c r="B71" s="28">
        <f>ALL!F8</f>
        <v>1.8093999999999999E-2</v>
      </c>
      <c r="C71" s="28">
        <f>ALL!G8</f>
        <v>1.7804E-2</v>
      </c>
      <c r="D71" s="28">
        <f>ALL!H8</f>
        <v>1.7049999999999999E-2</v>
      </c>
      <c r="E71" s="28">
        <f>ALL!I8</f>
        <v>1.5945000000000001E-2</v>
      </c>
      <c r="F71" s="28">
        <f>ALL!J8</f>
        <v>1.5049999999999999E-2</v>
      </c>
      <c r="G71" s="28">
        <f>ALL!K8</f>
        <v>1.3743999999999999E-2</v>
      </c>
      <c r="H71" s="28">
        <f>ALL!L8</f>
        <v>1.306E-2</v>
      </c>
      <c r="I71" s="28">
        <f>ALL!M8</f>
        <v>1.2156E-2</v>
      </c>
      <c r="J71" s="28">
        <f>ALL!N8</f>
        <v>1.1287E-2</v>
      </c>
      <c r="K71" s="28">
        <f>ALL!O8</f>
        <v>1.0671E-2</v>
      </c>
      <c r="L71" s="28">
        <f>ALL!P8</f>
        <v>1.0324E-2</v>
      </c>
      <c r="M71" s="28">
        <f>ALL!Q8</f>
        <v>1.0154E-2</v>
      </c>
      <c r="N71" s="28">
        <f>ALL!R8</f>
        <v>1.0073E-2</v>
      </c>
      <c r="O71" s="28">
        <f>ALL!S8</f>
        <v>1.0034E-2</v>
      </c>
      <c r="P71" s="28">
        <f>ALL!T8</f>
        <v>1.0005999999999999E-2</v>
      </c>
      <c r="Q71" s="28">
        <f>ALL!U8</f>
        <v>9.9433999999999998E-3</v>
      </c>
      <c r="R71" s="28">
        <f>ALL!V8</f>
        <v>9.6798000000000006E-3</v>
      </c>
      <c r="S71" s="28">
        <f>ALL!W8</f>
        <v>8.6563000000000005E-3</v>
      </c>
      <c r="T71" s="28">
        <f>ALL!X8</f>
        <v>2.6289E-4</v>
      </c>
      <c r="U71" s="28">
        <f>ALL!Y8</f>
        <v>7.4824000000000001E-5</v>
      </c>
      <c r="V71" s="28">
        <f>ALL!Z8</f>
        <v>2.1580999999999999E-5</v>
      </c>
      <c r="W71" s="28">
        <f>ALL!AA8</f>
        <v>6.3327999999999997E-6</v>
      </c>
      <c r="X71" s="28">
        <f>ALL!AB8</f>
        <v>1.8872999999999999E-6</v>
      </c>
      <c r="Y71" s="28">
        <f>ALL!AC8</f>
        <v>5.5927999999999996E-7</v>
      </c>
      <c r="Z71" s="28">
        <f>ALL!AD8</f>
        <v>8.7534999999999996E-8</v>
      </c>
      <c r="AA71" s="28">
        <f>ALL!AE8</f>
        <v>1.3694E-8</v>
      </c>
      <c r="AB71" s="28">
        <f>ALL!AF8</f>
        <v>2.2223000000000001E-9</v>
      </c>
      <c r="AC71" s="28">
        <f>ALL!AG8</f>
        <v>2.4674000000000002E-12</v>
      </c>
      <c r="AD71" s="28">
        <f>ALL!AH8</f>
        <v>0</v>
      </c>
      <c r="AE71" s="28">
        <f>ALL!AI8</f>
        <v>0</v>
      </c>
      <c r="AF71" s="28">
        <f>ALL!AJ8</f>
        <v>0</v>
      </c>
      <c r="AG71" s="28">
        <f>ALL!AK8</f>
        <v>0</v>
      </c>
      <c r="AH71" s="28">
        <f>ALL!AL8</f>
        <v>0</v>
      </c>
      <c r="AI71" s="28">
        <f>ALL!AM8</f>
        <v>0</v>
      </c>
      <c r="AJ71" s="28">
        <f>ALL!AN8</f>
        <v>0</v>
      </c>
      <c r="AK71" s="28">
        <f>ALL!AO8</f>
        <v>0</v>
      </c>
      <c r="AL71" s="28">
        <f>ALL!AP8</f>
        <v>0</v>
      </c>
      <c r="AM71" s="28">
        <f>ALL!AQ8</f>
        <v>0</v>
      </c>
      <c r="AN71" s="28">
        <f>ALL!AR8</f>
        <v>0</v>
      </c>
      <c r="AO71" s="28">
        <f>ALL!AS8</f>
        <v>0</v>
      </c>
      <c r="AP71" s="28">
        <f>ALL!AT8</f>
        <v>0</v>
      </c>
      <c r="AQ71" s="28">
        <f>ALL!AU8</f>
        <v>0</v>
      </c>
      <c r="AR71" s="28">
        <f>ALL!AV8</f>
        <v>0</v>
      </c>
      <c r="AS71" s="28">
        <f>ALL!AW8</f>
        <v>0</v>
      </c>
      <c r="AT71" s="28">
        <f>ALL!AX8</f>
        <v>0</v>
      </c>
      <c r="AU71" s="28">
        <f>ALL!AY8</f>
        <v>0</v>
      </c>
      <c r="AV71" s="28">
        <f>ALL!AZ8</f>
        <v>0</v>
      </c>
      <c r="AW71" s="28">
        <f>ALL!BA8</f>
        <v>0</v>
      </c>
      <c r="AX71" s="28">
        <f>ALL!BB8</f>
        <v>0</v>
      </c>
      <c r="AY71" s="28">
        <f>ALL!BC8</f>
        <v>0</v>
      </c>
      <c r="AZ71" s="28">
        <f>ALL!BD8</f>
        <v>0</v>
      </c>
      <c r="BA71" s="28">
        <f>ALL!BE8</f>
        <v>0</v>
      </c>
      <c r="BB71" s="28">
        <f>ALL!BF8</f>
        <v>0</v>
      </c>
      <c r="BC71" s="28">
        <f>ALL!BG8</f>
        <v>0</v>
      </c>
      <c r="BD71" s="28">
        <f>ALL!BH8</f>
        <v>0</v>
      </c>
      <c r="BE71" s="28">
        <f>ALL!BI8</f>
        <v>0</v>
      </c>
      <c r="BF71" s="28">
        <f>ALL!BJ8</f>
        <v>0</v>
      </c>
      <c r="BG71" s="28">
        <f>ALL!BK8</f>
        <v>0</v>
      </c>
      <c r="BH71" s="28">
        <f>ALL!BL8</f>
        <v>0</v>
      </c>
      <c r="BI71" s="28">
        <f>ALL!BM8</f>
        <v>0</v>
      </c>
      <c r="BJ71" s="28">
        <f>ALL!BN8</f>
        <v>0</v>
      </c>
      <c r="BK71" s="28">
        <f>ALL!BO8</f>
        <v>0</v>
      </c>
      <c r="BL71" s="28">
        <f>ALL!BP8</f>
        <v>0</v>
      </c>
      <c r="BM71" s="28">
        <f>ALL!BQ8</f>
        <v>0</v>
      </c>
      <c r="BN71" s="28">
        <f>ALL!BR8</f>
        <v>0</v>
      </c>
      <c r="BO71" s="28">
        <f>ALL!BS8</f>
        <v>0</v>
      </c>
      <c r="BP71" s="28">
        <f>ALL!BT8</f>
        <v>0</v>
      </c>
      <c r="BQ71" s="28">
        <f>ALL!BU8</f>
        <v>0</v>
      </c>
      <c r="BR71" s="28">
        <f>ALL!BV8</f>
        <v>0</v>
      </c>
      <c r="BS71" s="28">
        <f>ALL!BW8</f>
        <v>0</v>
      </c>
      <c r="BT71" s="28">
        <f>ALL!BX8</f>
        <v>0</v>
      </c>
    </row>
    <row r="72" spans="1:72" ht="21.75" outlineLevel="1" thickBot="1" x14ac:dyDescent="0.4">
      <c r="A72" s="62" t="str">
        <f>ALL!E9</f>
        <v>Ga2Se</v>
      </c>
      <c r="B72" s="28">
        <f>ALL!F9</f>
        <v>0</v>
      </c>
      <c r="C72" s="28">
        <f>ALL!G9</f>
        <v>0</v>
      </c>
      <c r="D72" s="28">
        <f>ALL!H9</f>
        <v>0</v>
      </c>
      <c r="E72" s="28">
        <f>ALL!I9</f>
        <v>0</v>
      </c>
      <c r="F72" s="28">
        <f>ALL!J9</f>
        <v>0</v>
      </c>
      <c r="G72" s="28">
        <f>ALL!K9</f>
        <v>0</v>
      </c>
      <c r="H72" s="28">
        <f>ALL!L9</f>
        <v>1.7552999999999999E-34</v>
      </c>
      <c r="I72" s="28">
        <f>ALL!M9</f>
        <v>5.9637999999999997E-32</v>
      </c>
      <c r="J72" s="28">
        <f>ALL!N9</f>
        <v>1.3317E-29</v>
      </c>
      <c r="K72" s="28">
        <f>ALL!O9</f>
        <v>2.1693E-27</v>
      </c>
      <c r="L72" s="28">
        <f>ALL!P9</f>
        <v>2.6676999999999999E-25</v>
      </c>
      <c r="M72" s="28">
        <f>ALL!Q9</f>
        <v>2.4886000000000001E-23</v>
      </c>
      <c r="N72" s="28">
        <f>ALL!R9</f>
        <v>1.7740000000000002E-21</v>
      </c>
      <c r="O72" s="28">
        <f>ALL!S9</f>
        <v>9.8104000000000004E-20</v>
      </c>
      <c r="P72" s="28">
        <f>ALL!T9</f>
        <v>4.2854000000000003E-18</v>
      </c>
      <c r="Q72" s="28">
        <f>ALL!U9</f>
        <v>1.5015000000000001E-16</v>
      </c>
      <c r="R72" s="28">
        <f>ALL!V9</f>
        <v>4.2180000000000003E-15</v>
      </c>
      <c r="S72" s="28">
        <f>ALL!W9</f>
        <v>8.9942999999999996E-14</v>
      </c>
      <c r="T72" s="28">
        <f>ALL!X9</f>
        <v>1.8166E-10</v>
      </c>
      <c r="U72" s="28">
        <f>ALL!Y9</f>
        <v>6.1698999999999995E-10</v>
      </c>
      <c r="V72" s="28">
        <f>ALL!Z9</f>
        <v>1.9062999999999999E-9</v>
      </c>
      <c r="W72" s="28">
        <f>ALL!AA9</f>
        <v>5.4154999999999998E-9</v>
      </c>
      <c r="X72" s="28">
        <f>ALL!AB9</f>
        <v>1.4215E-8</v>
      </c>
      <c r="Y72" s="28">
        <f>ALL!AC9</f>
        <v>3.3835999999999999E-8</v>
      </c>
      <c r="Z72" s="28">
        <f>ALL!AD9</f>
        <v>3.6131000000000001E-8</v>
      </c>
      <c r="AA72" s="28">
        <f>ALL!AE9</f>
        <v>3.7158000000000001E-8</v>
      </c>
      <c r="AB72" s="28">
        <f>ALL!AF9</f>
        <v>3.7517999999999999E-8</v>
      </c>
      <c r="AC72" s="28">
        <f>ALL!AG9</f>
        <v>3.4862999999999999E-8</v>
      </c>
      <c r="AD72" s="28">
        <f>ALL!AH9</f>
        <v>0</v>
      </c>
      <c r="AE72" s="28">
        <f>ALL!AI9</f>
        <v>0</v>
      </c>
      <c r="AF72" s="28">
        <f>ALL!AJ9</f>
        <v>0</v>
      </c>
      <c r="AG72" s="28">
        <f>ALL!AK9</f>
        <v>0</v>
      </c>
      <c r="AH72" s="28">
        <f>ALL!AL9</f>
        <v>0</v>
      </c>
      <c r="AI72" s="28">
        <f>ALL!AM9</f>
        <v>0</v>
      </c>
      <c r="AJ72" s="28">
        <f>ALL!AN9</f>
        <v>0</v>
      </c>
      <c r="AK72" s="28">
        <f>ALL!AO9</f>
        <v>0</v>
      </c>
      <c r="AL72" s="28">
        <f>ALL!AP9</f>
        <v>0</v>
      </c>
      <c r="AM72" s="28">
        <f>ALL!AQ9</f>
        <v>0</v>
      </c>
      <c r="AN72" s="28">
        <f>ALL!AR9</f>
        <v>0</v>
      </c>
      <c r="AO72" s="28">
        <f>ALL!AS9</f>
        <v>0</v>
      </c>
      <c r="AP72" s="28">
        <f>ALL!AT9</f>
        <v>0</v>
      </c>
      <c r="AQ72" s="28">
        <f>ALL!AU9</f>
        <v>0</v>
      </c>
      <c r="AR72" s="28">
        <f>ALL!AV9</f>
        <v>0</v>
      </c>
      <c r="AS72" s="28">
        <f>ALL!AW9</f>
        <v>0</v>
      </c>
      <c r="AT72" s="28">
        <f>ALL!AX9</f>
        <v>0</v>
      </c>
      <c r="AU72" s="28">
        <f>ALL!AY9</f>
        <v>0</v>
      </c>
      <c r="AV72" s="28">
        <f>ALL!AZ9</f>
        <v>0</v>
      </c>
      <c r="AW72" s="28">
        <f>ALL!BA9</f>
        <v>0</v>
      </c>
      <c r="AX72" s="28">
        <f>ALL!BB9</f>
        <v>0</v>
      </c>
      <c r="AY72" s="28">
        <f>ALL!BC9</f>
        <v>0</v>
      </c>
      <c r="AZ72" s="28">
        <f>ALL!BD9</f>
        <v>0</v>
      </c>
      <c r="BA72" s="28">
        <f>ALL!BE9</f>
        <v>0</v>
      </c>
      <c r="BB72" s="28">
        <f>ALL!BF9</f>
        <v>0</v>
      </c>
      <c r="BC72" s="28">
        <f>ALL!BG9</f>
        <v>0</v>
      </c>
      <c r="BD72" s="28">
        <f>ALL!BH9</f>
        <v>0</v>
      </c>
      <c r="BE72" s="28">
        <f>ALL!BI9</f>
        <v>0</v>
      </c>
      <c r="BF72" s="28">
        <f>ALL!BJ9</f>
        <v>0</v>
      </c>
      <c r="BG72" s="28">
        <f>ALL!BK9</f>
        <v>0</v>
      </c>
      <c r="BH72" s="28">
        <f>ALL!BL9</f>
        <v>0</v>
      </c>
      <c r="BI72" s="28">
        <f>ALL!BM9</f>
        <v>0</v>
      </c>
      <c r="BJ72" s="28">
        <f>ALL!BN9</f>
        <v>0</v>
      </c>
      <c r="BK72" s="28">
        <f>ALL!BO9</f>
        <v>0</v>
      </c>
      <c r="BL72" s="28">
        <f>ALL!BP9</f>
        <v>0</v>
      </c>
      <c r="BM72" s="28">
        <f>ALL!BQ9</f>
        <v>0</v>
      </c>
      <c r="BN72" s="28">
        <f>ALL!BR9</f>
        <v>0</v>
      </c>
      <c r="BO72" s="28">
        <f>ALL!BS9</f>
        <v>0</v>
      </c>
      <c r="BP72" s="28">
        <f>ALL!BT9</f>
        <v>0</v>
      </c>
      <c r="BQ72" s="28">
        <f>ALL!BU9</f>
        <v>0</v>
      </c>
      <c r="BR72" s="28">
        <f>ALL!BV9</f>
        <v>0</v>
      </c>
      <c r="BS72" s="28">
        <f>ALL!BW9</f>
        <v>0</v>
      </c>
      <c r="BT72" s="28">
        <f>ALL!BX9</f>
        <v>0</v>
      </c>
    </row>
    <row r="73" spans="1:72" ht="21.75" outlineLevel="1" thickBot="1" x14ac:dyDescent="0.4">
      <c r="A73" s="62" t="str">
        <f>ALL!E10</f>
        <v>Ga</v>
      </c>
      <c r="B73" s="28">
        <f>ALL!F10</f>
        <v>0</v>
      </c>
      <c r="C73" s="28">
        <f>ALL!G10</f>
        <v>0</v>
      </c>
      <c r="D73" s="28">
        <f>ALL!H10</f>
        <v>0</v>
      </c>
      <c r="E73" s="28">
        <f>ALL!I10</f>
        <v>0</v>
      </c>
      <c r="F73" s="28">
        <f>ALL!J10</f>
        <v>0</v>
      </c>
      <c r="G73" s="28">
        <f>ALL!K10</f>
        <v>0</v>
      </c>
      <c r="H73" s="28">
        <f>ALL!L10</f>
        <v>0</v>
      </c>
      <c r="I73" s="28">
        <f>ALL!M10</f>
        <v>7.4216000000000001E-36</v>
      </c>
      <c r="J73" s="28">
        <f>ALL!N10</f>
        <v>1.2279E-33</v>
      </c>
      <c r="K73" s="28">
        <f>ALL!O10</f>
        <v>1.4772000000000001E-31</v>
      </c>
      <c r="L73" s="28">
        <f>ALL!P10</f>
        <v>1.3357000000000001E-29</v>
      </c>
      <c r="M73" s="28">
        <f>ALL!Q10</f>
        <v>9.1925000000000003E-28</v>
      </c>
      <c r="N73" s="28">
        <f>ALL!R10</f>
        <v>4.8815000000000001E-26</v>
      </c>
      <c r="O73" s="28">
        <f>ALL!S10</f>
        <v>2.0363E-24</v>
      </c>
      <c r="P73" s="28">
        <f>ALL!T10</f>
        <v>6.8009999999999997E-23</v>
      </c>
      <c r="Q73" s="28">
        <f>ALL!U10</f>
        <v>1.8494000000000001E-21</v>
      </c>
      <c r="R73" s="28">
        <f>ALL!V10</f>
        <v>4.1246999999999999E-20</v>
      </c>
      <c r="S73" s="28">
        <f>ALL!W10</f>
        <v>7.3727999999999996E-19</v>
      </c>
      <c r="T73" s="28">
        <f>ALL!X10</f>
        <v>3.723E-15</v>
      </c>
      <c r="U73" s="28">
        <f>ALL!Y10</f>
        <v>1.9612000000000001E-14</v>
      </c>
      <c r="V73" s="28">
        <f>ALL!Z10</f>
        <v>9.3993000000000001E-14</v>
      </c>
      <c r="W73" s="28">
        <f>ALL!AA10</f>
        <v>4.132E-13</v>
      </c>
      <c r="X73" s="28">
        <f>ALL!AB10</f>
        <v>1.6752999999999999E-12</v>
      </c>
      <c r="Y73" s="28">
        <f>ALL!AC10</f>
        <v>6.2173999999999997E-12</v>
      </c>
      <c r="Z73" s="28">
        <f>ALL!AD10</f>
        <v>1.4609999999999999E-11</v>
      </c>
      <c r="AA73" s="28">
        <f>ALL!AE10</f>
        <v>3.2901E-11</v>
      </c>
      <c r="AB73" s="28">
        <f>ALL!AF10</f>
        <v>7.1446000000000001E-11</v>
      </c>
      <c r="AC73" s="28">
        <f>ALL!AG10</f>
        <v>1.1532999999999999E-9</v>
      </c>
      <c r="AD73" s="28">
        <f>ALL!AH10</f>
        <v>0</v>
      </c>
      <c r="AE73" s="28">
        <f>ALL!AI10</f>
        <v>0</v>
      </c>
      <c r="AF73" s="28">
        <f>ALL!AJ10</f>
        <v>0</v>
      </c>
      <c r="AG73" s="28">
        <f>ALL!AK10</f>
        <v>0</v>
      </c>
      <c r="AH73" s="28">
        <f>ALL!AL10</f>
        <v>0</v>
      </c>
      <c r="AI73" s="28">
        <f>ALL!AM10</f>
        <v>0</v>
      </c>
      <c r="AJ73" s="28">
        <f>ALL!AN10</f>
        <v>0</v>
      </c>
      <c r="AK73" s="28">
        <f>ALL!AO10</f>
        <v>0</v>
      </c>
      <c r="AL73" s="28">
        <f>ALL!AP10</f>
        <v>0</v>
      </c>
      <c r="AM73" s="28">
        <f>ALL!AQ10</f>
        <v>0</v>
      </c>
      <c r="AN73" s="28">
        <f>ALL!AR10</f>
        <v>0</v>
      </c>
      <c r="AO73" s="28">
        <f>ALL!AS10</f>
        <v>0</v>
      </c>
      <c r="AP73" s="28">
        <f>ALL!AT10</f>
        <v>0</v>
      </c>
      <c r="AQ73" s="28">
        <f>ALL!AU10</f>
        <v>0</v>
      </c>
      <c r="AR73" s="28">
        <f>ALL!AV10</f>
        <v>0</v>
      </c>
      <c r="AS73" s="28">
        <f>ALL!AW10</f>
        <v>0</v>
      </c>
      <c r="AT73" s="28">
        <f>ALL!AX10</f>
        <v>0</v>
      </c>
      <c r="AU73" s="28">
        <f>ALL!AY10</f>
        <v>0</v>
      </c>
      <c r="AV73" s="28">
        <f>ALL!AZ10</f>
        <v>0</v>
      </c>
      <c r="AW73" s="28">
        <f>ALL!BA10</f>
        <v>0</v>
      </c>
      <c r="AX73" s="28">
        <f>ALL!BB10</f>
        <v>0</v>
      </c>
      <c r="AY73" s="28">
        <f>ALL!BC10</f>
        <v>0</v>
      </c>
      <c r="AZ73" s="28">
        <f>ALL!BD10</f>
        <v>0</v>
      </c>
      <c r="BA73" s="28">
        <f>ALL!BE10</f>
        <v>0</v>
      </c>
      <c r="BB73" s="28">
        <f>ALL!BF10</f>
        <v>0</v>
      </c>
      <c r="BC73" s="28">
        <f>ALL!BG10</f>
        <v>0</v>
      </c>
      <c r="BD73" s="28">
        <f>ALL!BH10</f>
        <v>0</v>
      </c>
      <c r="BE73" s="28">
        <f>ALL!BI10</f>
        <v>0</v>
      </c>
      <c r="BF73" s="28">
        <f>ALL!BJ10</f>
        <v>0</v>
      </c>
      <c r="BG73" s="28">
        <f>ALL!BK10</f>
        <v>0</v>
      </c>
      <c r="BH73" s="28">
        <f>ALL!BL10</f>
        <v>0</v>
      </c>
      <c r="BI73" s="28">
        <f>ALL!BM10</f>
        <v>0</v>
      </c>
      <c r="BJ73" s="28">
        <f>ALL!BN10</f>
        <v>0</v>
      </c>
      <c r="BK73" s="28">
        <f>ALL!BO10</f>
        <v>0</v>
      </c>
      <c r="BL73" s="28">
        <f>ALL!BP10</f>
        <v>0</v>
      </c>
      <c r="BM73" s="28">
        <f>ALL!BQ10</f>
        <v>0</v>
      </c>
      <c r="BN73" s="28">
        <f>ALL!BR10</f>
        <v>0</v>
      </c>
      <c r="BO73" s="28">
        <f>ALL!BS10</f>
        <v>0</v>
      </c>
      <c r="BP73" s="28">
        <f>ALL!BT10</f>
        <v>0</v>
      </c>
      <c r="BQ73" s="28">
        <f>ALL!BU10</f>
        <v>0</v>
      </c>
      <c r="BR73" s="28">
        <f>ALL!BV10</f>
        <v>0</v>
      </c>
      <c r="BS73" s="28">
        <f>ALL!BW10</f>
        <v>0</v>
      </c>
      <c r="BT73" s="28">
        <f>ALL!BX10</f>
        <v>0</v>
      </c>
    </row>
    <row r="74" spans="1:72" ht="21.75" outlineLevel="1" thickBot="1" x14ac:dyDescent="0.4">
      <c r="A74" s="62" t="str">
        <f>ALL!E11</f>
        <v>Ar</v>
      </c>
      <c r="B74" s="28">
        <f>ALL!F11</f>
        <v>0.2</v>
      </c>
      <c r="C74" s="28">
        <f>ALL!G11</f>
        <v>0.2</v>
      </c>
      <c r="D74" s="28">
        <f>ALL!H11</f>
        <v>0.2</v>
      </c>
      <c r="E74" s="28">
        <f>ALL!I11</f>
        <v>0.2</v>
      </c>
      <c r="F74" s="28">
        <f>ALL!J11</f>
        <v>0.2</v>
      </c>
      <c r="G74" s="28">
        <f>ALL!K11</f>
        <v>0.2</v>
      </c>
      <c r="H74" s="28">
        <f>ALL!L11</f>
        <v>0.2</v>
      </c>
      <c r="I74" s="28">
        <f>ALL!M11</f>
        <v>0.2</v>
      </c>
      <c r="J74" s="28">
        <f>ALL!N11</f>
        <v>0.2</v>
      </c>
      <c r="K74" s="28">
        <f>ALL!O11</f>
        <v>0.2</v>
      </c>
      <c r="L74" s="28">
        <f>ALL!P11</f>
        <v>0.2</v>
      </c>
      <c r="M74" s="28">
        <f>ALL!Q11</f>
        <v>0.2</v>
      </c>
      <c r="N74" s="28">
        <f>ALL!R11</f>
        <v>0.2</v>
      </c>
      <c r="O74" s="28">
        <f>ALL!S11</f>
        <v>0.2</v>
      </c>
      <c r="P74" s="28">
        <f>ALL!T11</f>
        <v>0.2</v>
      </c>
      <c r="Q74" s="28">
        <f>ALL!U11</f>
        <v>0.2</v>
      </c>
      <c r="R74" s="28">
        <f>ALL!V11</f>
        <v>0.2</v>
      </c>
      <c r="S74" s="28">
        <f>ALL!W11</f>
        <v>0.2</v>
      </c>
      <c r="T74" s="28">
        <f>ALL!X11</f>
        <v>0.2</v>
      </c>
      <c r="U74" s="28">
        <f>ALL!Y11</f>
        <v>0.2</v>
      </c>
      <c r="V74" s="28">
        <f>ALL!Z11</f>
        <v>0.2</v>
      </c>
      <c r="W74" s="28">
        <f>ALL!AA11</f>
        <v>0.2</v>
      </c>
      <c r="X74" s="28">
        <f>ALL!AB11</f>
        <v>0.2</v>
      </c>
      <c r="Y74" s="28">
        <f>ALL!AC11</f>
        <v>0.2</v>
      </c>
      <c r="Z74" s="28">
        <f>ALL!AD11</f>
        <v>0.2</v>
      </c>
      <c r="AA74" s="28">
        <f>ALL!AE11</f>
        <v>0.2</v>
      </c>
      <c r="AB74" s="28">
        <f>ALL!AF11</f>
        <v>0.2</v>
      </c>
      <c r="AC74" s="28">
        <f>ALL!AG11</f>
        <v>0.2</v>
      </c>
      <c r="AD74" s="28">
        <f>ALL!AH11</f>
        <v>0</v>
      </c>
      <c r="AE74" s="28">
        <f>ALL!AI11</f>
        <v>0</v>
      </c>
      <c r="AF74" s="28">
        <f>ALL!AJ11</f>
        <v>0</v>
      </c>
      <c r="AG74" s="28">
        <f>ALL!AK11</f>
        <v>0</v>
      </c>
      <c r="AH74" s="28">
        <f>ALL!AL11</f>
        <v>0</v>
      </c>
      <c r="AI74" s="28">
        <f>ALL!AM11</f>
        <v>0</v>
      </c>
      <c r="AJ74" s="28">
        <f>ALL!AN11</f>
        <v>0</v>
      </c>
      <c r="AK74" s="28">
        <f>ALL!AO11</f>
        <v>0</v>
      </c>
      <c r="AL74" s="28">
        <f>ALL!AP11</f>
        <v>0</v>
      </c>
      <c r="AM74" s="28">
        <f>ALL!AQ11</f>
        <v>0</v>
      </c>
      <c r="AN74" s="28">
        <f>ALL!AR11</f>
        <v>0</v>
      </c>
      <c r="AO74" s="28">
        <f>ALL!AS11</f>
        <v>0</v>
      </c>
      <c r="AP74" s="28">
        <f>ALL!AT11</f>
        <v>0</v>
      </c>
      <c r="AQ74" s="28">
        <f>ALL!AU11</f>
        <v>0</v>
      </c>
      <c r="AR74" s="28">
        <f>ALL!AV11</f>
        <v>0</v>
      </c>
      <c r="AS74" s="28">
        <f>ALL!AW11</f>
        <v>0</v>
      </c>
      <c r="AT74" s="28">
        <f>ALL!AX11</f>
        <v>0</v>
      </c>
      <c r="AU74" s="28">
        <f>ALL!AY11</f>
        <v>0</v>
      </c>
      <c r="AV74" s="28">
        <f>ALL!AZ11</f>
        <v>0</v>
      </c>
      <c r="AW74" s="28">
        <f>ALL!BA11</f>
        <v>0</v>
      </c>
      <c r="AX74" s="28">
        <f>ALL!BB11</f>
        <v>0</v>
      </c>
      <c r="AY74" s="28">
        <f>ALL!BC11</f>
        <v>0</v>
      </c>
      <c r="AZ74" s="28">
        <f>ALL!BD11</f>
        <v>0</v>
      </c>
      <c r="BA74" s="28">
        <f>ALL!BE11</f>
        <v>0</v>
      </c>
      <c r="BB74" s="28">
        <f>ALL!BF11</f>
        <v>0</v>
      </c>
      <c r="BC74" s="28">
        <f>ALL!BG11</f>
        <v>0</v>
      </c>
      <c r="BD74" s="28">
        <f>ALL!BH11</f>
        <v>0</v>
      </c>
      <c r="BE74" s="28">
        <f>ALL!BI11</f>
        <v>0</v>
      </c>
      <c r="BF74" s="28">
        <f>ALL!BJ11</f>
        <v>0</v>
      </c>
      <c r="BG74" s="28">
        <f>ALL!BK11</f>
        <v>0</v>
      </c>
      <c r="BH74" s="28">
        <f>ALL!BL11</f>
        <v>0</v>
      </c>
      <c r="BI74" s="28">
        <f>ALL!BM11</f>
        <v>0</v>
      </c>
      <c r="BJ74" s="28">
        <f>ALL!BN11</f>
        <v>0</v>
      </c>
      <c r="BK74" s="28">
        <f>ALL!BO11</f>
        <v>0</v>
      </c>
      <c r="BL74" s="28">
        <f>ALL!BP11</f>
        <v>0</v>
      </c>
      <c r="BM74" s="28">
        <f>ALL!BQ11</f>
        <v>0</v>
      </c>
      <c r="BN74" s="28">
        <f>ALL!BR11</f>
        <v>0</v>
      </c>
      <c r="BO74" s="28">
        <f>ALL!BS11</f>
        <v>0</v>
      </c>
      <c r="BP74" s="28">
        <f>ALL!BT11</f>
        <v>0</v>
      </c>
      <c r="BQ74" s="28">
        <f>ALL!BU11</f>
        <v>0</v>
      </c>
      <c r="BR74" s="28">
        <f>ALL!BV11</f>
        <v>0</v>
      </c>
      <c r="BS74" s="28">
        <f>ALL!BW11</f>
        <v>0</v>
      </c>
      <c r="BT74" s="28">
        <f>ALL!BX11</f>
        <v>0</v>
      </c>
    </row>
    <row r="75" spans="1:72" ht="21.75" outlineLevel="1" thickBot="1" x14ac:dyDescent="0.4">
      <c r="A75" s="62" t="str">
        <f>ALL!E12</f>
        <v>(1)GeSe2</v>
      </c>
      <c r="B75" s="28">
        <f>ALL!F12</f>
        <v>0.11787</v>
      </c>
      <c r="C75" s="28">
        <f>ALL!G12</f>
        <v>0.11068</v>
      </c>
      <c r="D75" s="28">
        <f>ALL!H12</f>
        <v>9.0792999999999999E-2</v>
      </c>
      <c r="E75" s="28">
        <f>ALL!I12</f>
        <v>5.8309E-2</v>
      </c>
      <c r="F75" s="28">
        <f>ALL!J12</f>
        <v>2.8580999999999999E-2</v>
      </c>
      <c r="G75" s="28">
        <f>ALL!K12</f>
        <v>8.4281999999999998E-4</v>
      </c>
      <c r="H75" s="28">
        <f>ALL!L12</f>
        <v>3.6653E-4</v>
      </c>
      <c r="I75" s="28">
        <f>ALL!M12</f>
        <v>1.4880000000000001E-4</v>
      </c>
      <c r="J75" s="28">
        <f>ALL!N12</f>
        <v>5.2157000000000002E-5</v>
      </c>
      <c r="K75" s="28">
        <f>ALL!O12</f>
        <v>1.5631999999999999E-5</v>
      </c>
      <c r="L75" s="28">
        <f>ALL!P12</f>
        <v>4.2572999999999999E-6</v>
      </c>
      <c r="M75" s="28">
        <f>ALL!Q12</f>
        <v>1.1320999999999999E-6</v>
      </c>
      <c r="N75" s="28">
        <f>ALL!R12</f>
        <v>3.0759999999999998E-7</v>
      </c>
      <c r="O75" s="28">
        <f>ALL!S12</f>
        <v>8.7147999999999994E-8</v>
      </c>
      <c r="P75" s="28">
        <f>ALL!T12</f>
        <v>2.5918999999999999E-8</v>
      </c>
      <c r="Q75" s="28">
        <f>ALL!U12</f>
        <v>8.1001000000000002E-9</v>
      </c>
      <c r="R75" s="28">
        <f>ALL!V12</f>
        <v>2.6604E-9</v>
      </c>
      <c r="S75" s="28">
        <f>ALL!W12</f>
        <v>9.2248999999999999E-10</v>
      </c>
      <c r="T75" s="28">
        <f>ALL!X12</f>
        <v>2.0673000000000001E-11</v>
      </c>
      <c r="U75" s="28">
        <f>ALL!Y12</f>
        <v>8.4606999999999993E-12</v>
      </c>
      <c r="V75" s="28">
        <f>ALL!Z12</f>
        <v>3.5548000000000002E-12</v>
      </c>
      <c r="W75" s="28">
        <f>ALL!AA12</f>
        <v>1.5325E-12</v>
      </c>
      <c r="X75" s="28">
        <f>ALL!AB12</f>
        <v>6.7700999999999996E-13</v>
      </c>
      <c r="Y75" s="28">
        <f>ALL!AC12</f>
        <v>3.0721000000000001E-13</v>
      </c>
      <c r="Z75" s="28">
        <f>ALL!AD12</f>
        <v>1.5357999999999999E-13</v>
      </c>
      <c r="AA75" s="28">
        <f>ALL!AE12</f>
        <v>7.5448000000000003E-14</v>
      </c>
      <c r="AB75" s="28">
        <f>ALL!AF12</f>
        <v>3.7177999999999999E-14</v>
      </c>
      <c r="AC75" s="28">
        <f>ALL!AG12</f>
        <v>2.4715E-15</v>
      </c>
      <c r="AD75" s="28">
        <f>ALL!AH12</f>
        <v>0</v>
      </c>
      <c r="AE75" s="28">
        <f>ALL!AI12</f>
        <v>0</v>
      </c>
      <c r="AF75" s="28">
        <f>ALL!AJ12</f>
        <v>0</v>
      </c>
      <c r="AG75" s="28">
        <f>ALL!AK12</f>
        <v>0</v>
      </c>
      <c r="AH75" s="28">
        <f>ALL!AL12</f>
        <v>0</v>
      </c>
      <c r="AI75" s="28">
        <f>ALL!AM12</f>
        <v>0</v>
      </c>
      <c r="AJ75" s="28">
        <f>ALL!AN12</f>
        <v>0</v>
      </c>
      <c r="AK75" s="28">
        <f>ALL!AO12</f>
        <v>0</v>
      </c>
      <c r="AL75" s="28">
        <f>ALL!AP12</f>
        <v>0</v>
      </c>
      <c r="AM75" s="28">
        <f>ALL!AQ12</f>
        <v>0</v>
      </c>
      <c r="AN75" s="28">
        <f>ALL!AR12</f>
        <v>0</v>
      </c>
      <c r="AO75" s="28">
        <f>ALL!AS12</f>
        <v>0</v>
      </c>
      <c r="AP75" s="28">
        <f>ALL!AT12</f>
        <v>0</v>
      </c>
      <c r="AQ75" s="28">
        <f>ALL!AU12</f>
        <v>0</v>
      </c>
      <c r="AR75" s="28">
        <f>ALL!AV12</f>
        <v>0</v>
      </c>
      <c r="AS75" s="28">
        <f>ALL!AW12</f>
        <v>0</v>
      </c>
      <c r="AT75" s="28">
        <f>ALL!AX12</f>
        <v>0</v>
      </c>
      <c r="AU75" s="28">
        <f>ALL!AY12</f>
        <v>0</v>
      </c>
      <c r="AV75" s="28">
        <f>ALL!AZ12</f>
        <v>0</v>
      </c>
      <c r="AW75" s="28">
        <f>ALL!BA12</f>
        <v>0</v>
      </c>
      <c r="AX75" s="28">
        <f>ALL!BB12</f>
        <v>0</v>
      </c>
      <c r="AY75" s="28">
        <f>ALL!BC12</f>
        <v>0</v>
      </c>
      <c r="AZ75" s="28">
        <f>ALL!BD12</f>
        <v>0</v>
      </c>
      <c r="BA75" s="28">
        <f>ALL!BE12</f>
        <v>0</v>
      </c>
      <c r="BB75" s="28">
        <f>ALL!BF12</f>
        <v>0</v>
      </c>
      <c r="BC75" s="28">
        <f>ALL!BG12</f>
        <v>0</v>
      </c>
      <c r="BD75" s="28">
        <f>ALL!BH12</f>
        <v>0</v>
      </c>
      <c r="BE75" s="28">
        <f>ALL!BI12</f>
        <v>0</v>
      </c>
      <c r="BF75" s="28">
        <f>ALL!BJ12</f>
        <v>0</v>
      </c>
      <c r="BG75" s="28">
        <f>ALL!BK12</f>
        <v>0</v>
      </c>
      <c r="BH75" s="28">
        <f>ALL!BL12</f>
        <v>0</v>
      </c>
      <c r="BI75" s="28">
        <f>ALL!BM12</f>
        <v>0</v>
      </c>
      <c r="BJ75" s="28">
        <f>ALL!BN12</f>
        <v>0</v>
      </c>
      <c r="BK75" s="28">
        <f>ALL!BO12</f>
        <v>0</v>
      </c>
      <c r="BL75" s="28">
        <f>ALL!BP12</f>
        <v>0</v>
      </c>
      <c r="BM75" s="28">
        <f>ALL!BQ12</f>
        <v>0</v>
      </c>
      <c r="BN75" s="28">
        <f>ALL!BR12</f>
        <v>0</v>
      </c>
      <c r="BO75" s="28">
        <f>ALL!BS12</f>
        <v>0</v>
      </c>
      <c r="BP75" s="28">
        <f>ALL!BT12</f>
        <v>0</v>
      </c>
      <c r="BQ75" s="28">
        <f>ALL!BU12</f>
        <v>0</v>
      </c>
      <c r="BR75" s="28">
        <f>ALL!BV12</f>
        <v>0</v>
      </c>
      <c r="BS75" s="28">
        <f>ALL!BW12</f>
        <v>0</v>
      </c>
      <c r="BT75" s="28">
        <f>ALL!BX12</f>
        <v>0</v>
      </c>
    </row>
    <row r="76" spans="1:72" ht="21.75" outlineLevel="1" thickBot="1" x14ac:dyDescent="0.4">
      <c r="A76" s="62" t="str">
        <f>ALL!E13</f>
        <v>(1)GeSe</v>
      </c>
      <c r="B76" s="28">
        <f>ALL!F13</f>
        <v>0.12213</v>
      </c>
      <c r="C76" s="28">
        <f>ALL!G13</f>
        <v>0.12931999999999999</v>
      </c>
      <c r="D76" s="28">
        <f>ALL!H13</f>
        <v>0.1492</v>
      </c>
      <c r="E76" s="28">
        <f>ALL!I13</f>
        <v>0.18165999999999999</v>
      </c>
      <c r="F76" s="28">
        <f>ALL!J13</f>
        <v>0.21128</v>
      </c>
      <c r="G76" s="28">
        <f>ALL!K13</f>
        <v>0.21623999999999999</v>
      </c>
      <c r="H76" s="28">
        <f>ALL!L13</f>
        <v>0.18673000000000001</v>
      </c>
      <c r="I76" s="28">
        <f>ALL!M13</f>
        <v>0.14158000000000001</v>
      </c>
      <c r="J76" s="28">
        <f>ALL!N13</f>
        <v>9.1116000000000003E-2</v>
      </c>
      <c r="K76" s="28">
        <f>ALL!O13</f>
        <v>5.0257000000000003E-2</v>
      </c>
      <c r="L76" s="28">
        <f>ALL!P13</f>
        <v>2.5132000000000002E-2</v>
      </c>
      <c r="M76" s="28">
        <f>ALL!Q13</f>
        <v>1.2115000000000001E-2</v>
      </c>
      <c r="N76" s="28">
        <f>ALL!R13</f>
        <v>5.8520999999999998E-3</v>
      </c>
      <c r="O76" s="28">
        <f>ALL!S13</f>
        <v>2.8841000000000001E-3</v>
      </c>
      <c r="P76" s="28">
        <f>ALL!T13</f>
        <v>1.4599999999999999E-3</v>
      </c>
      <c r="Q76" s="28">
        <f>ALL!U13</f>
        <v>7.6039E-4</v>
      </c>
      <c r="R76" s="28">
        <f>ALL!V13</f>
        <v>4.0761999999999998E-4</v>
      </c>
      <c r="S76" s="28">
        <f>ALL!W13</f>
        <v>2.2541E-4</v>
      </c>
      <c r="T76" s="28">
        <f>ALL!X13</f>
        <v>2.7175E-5</v>
      </c>
      <c r="U76" s="28">
        <f>ALL!Y13</f>
        <v>1.6592999999999999E-5</v>
      </c>
      <c r="V76" s="28">
        <f>ALL!Z13</f>
        <v>1.0291E-5</v>
      </c>
      <c r="W76" s="28">
        <f>ALL!AA13</f>
        <v>6.4810999999999997E-6</v>
      </c>
      <c r="X76" s="28">
        <f>ALL!AB13</f>
        <v>4.1408000000000002E-6</v>
      </c>
      <c r="Y76" s="28">
        <f>ALL!AC13</f>
        <v>2.6863999999999998E-6</v>
      </c>
      <c r="Z76" s="28">
        <f>ALL!AD13</f>
        <v>1.8275000000000001E-6</v>
      </c>
      <c r="AA76" s="28">
        <f>ALL!AE13</f>
        <v>1.2358000000000001E-6</v>
      </c>
      <c r="AB76" s="28">
        <f>ALL!AF13</f>
        <v>8.3857000000000002E-7</v>
      </c>
      <c r="AC76" s="28">
        <f>ALL!AG13</f>
        <v>1.9167E-7</v>
      </c>
      <c r="AD76" s="28">
        <f>ALL!AH13</f>
        <v>0</v>
      </c>
      <c r="AE76" s="28">
        <f>ALL!AI13</f>
        <v>0</v>
      </c>
      <c r="AF76" s="28">
        <f>ALL!AJ13</f>
        <v>0</v>
      </c>
      <c r="AG76" s="28">
        <f>ALL!AK13</f>
        <v>0</v>
      </c>
      <c r="AH76" s="28">
        <f>ALL!AL13</f>
        <v>0</v>
      </c>
      <c r="AI76" s="28">
        <f>ALL!AM13</f>
        <v>0</v>
      </c>
      <c r="AJ76" s="28">
        <f>ALL!AN13</f>
        <v>0</v>
      </c>
      <c r="AK76" s="28">
        <f>ALL!AO13</f>
        <v>0</v>
      </c>
      <c r="AL76" s="28">
        <f>ALL!AP13</f>
        <v>0</v>
      </c>
      <c r="AM76" s="28">
        <f>ALL!AQ13</f>
        <v>0</v>
      </c>
      <c r="AN76" s="28">
        <f>ALL!AR13</f>
        <v>0</v>
      </c>
      <c r="AO76" s="28">
        <f>ALL!AS13</f>
        <v>0</v>
      </c>
      <c r="AP76" s="28">
        <f>ALL!AT13</f>
        <v>0</v>
      </c>
      <c r="AQ76" s="28">
        <f>ALL!AU13</f>
        <v>0</v>
      </c>
      <c r="AR76" s="28">
        <f>ALL!AV13</f>
        <v>0</v>
      </c>
      <c r="AS76" s="28">
        <f>ALL!AW13</f>
        <v>0</v>
      </c>
      <c r="AT76" s="28">
        <f>ALL!AX13</f>
        <v>0</v>
      </c>
      <c r="AU76" s="28">
        <f>ALL!AY13</f>
        <v>0</v>
      </c>
      <c r="AV76" s="28">
        <f>ALL!AZ13</f>
        <v>0</v>
      </c>
      <c r="AW76" s="28">
        <f>ALL!BA13</f>
        <v>0</v>
      </c>
      <c r="AX76" s="28">
        <f>ALL!BB13</f>
        <v>0</v>
      </c>
      <c r="AY76" s="28">
        <f>ALL!BC13</f>
        <v>0</v>
      </c>
      <c r="AZ76" s="28">
        <f>ALL!BD13</f>
        <v>0</v>
      </c>
      <c r="BA76" s="28">
        <f>ALL!BE13</f>
        <v>0</v>
      </c>
      <c r="BB76" s="28">
        <f>ALL!BF13</f>
        <v>0</v>
      </c>
      <c r="BC76" s="28">
        <f>ALL!BG13</f>
        <v>0</v>
      </c>
      <c r="BD76" s="28">
        <f>ALL!BH13</f>
        <v>0</v>
      </c>
      <c r="BE76" s="28">
        <f>ALL!BI13</f>
        <v>0</v>
      </c>
      <c r="BF76" s="28">
        <f>ALL!BJ13</f>
        <v>0</v>
      </c>
      <c r="BG76" s="28">
        <f>ALL!BK13</f>
        <v>0</v>
      </c>
      <c r="BH76" s="28">
        <f>ALL!BL13</f>
        <v>0</v>
      </c>
      <c r="BI76" s="28">
        <f>ALL!BM13</f>
        <v>0</v>
      </c>
      <c r="BJ76" s="28">
        <f>ALL!BN13</f>
        <v>0</v>
      </c>
      <c r="BK76" s="28">
        <f>ALL!BO13</f>
        <v>0</v>
      </c>
      <c r="BL76" s="28">
        <f>ALL!BP13</f>
        <v>0</v>
      </c>
      <c r="BM76" s="28">
        <f>ALL!BQ13</f>
        <v>0</v>
      </c>
      <c r="BN76" s="28">
        <f>ALL!BR13</f>
        <v>0</v>
      </c>
      <c r="BO76" s="28">
        <f>ALL!BS13</f>
        <v>0</v>
      </c>
      <c r="BP76" s="28">
        <f>ALL!BT13</f>
        <v>0</v>
      </c>
      <c r="BQ76" s="28">
        <f>ALL!BU13</f>
        <v>0</v>
      </c>
      <c r="BR76" s="28">
        <f>ALL!BV13</f>
        <v>0</v>
      </c>
      <c r="BS76" s="28">
        <f>ALL!BW13</f>
        <v>0</v>
      </c>
      <c r="BT76" s="28">
        <f>ALL!BX13</f>
        <v>0</v>
      </c>
    </row>
    <row r="77" spans="1:72" ht="21.75" outlineLevel="1" thickBot="1" x14ac:dyDescent="0.4">
      <c r="A77" s="62" t="str">
        <f>ALL!E14</f>
        <v>(1)Ga2Se3</v>
      </c>
      <c r="B77" s="28">
        <f>ALL!F14</f>
        <v>2.1905999999999998E-2</v>
      </c>
      <c r="C77" s="28">
        <f>ALL!G14</f>
        <v>2.2196E-2</v>
      </c>
      <c r="D77" s="28">
        <f>ALL!H14</f>
        <v>2.2950000000000002E-2</v>
      </c>
      <c r="E77" s="28">
        <f>ALL!I14</f>
        <v>2.4055E-2</v>
      </c>
      <c r="F77" s="28">
        <f>ALL!J14</f>
        <v>2.495E-2</v>
      </c>
      <c r="G77" s="28">
        <f>ALL!K14</f>
        <v>2.6256000000000002E-2</v>
      </c>
      <c r="H77" s="28">
        <f>ALL!L14</f>
        <v>2.6939999999999999E-2</v>
      </c>
      <c r="I77" s="28">
        <f>ALL!M14</f>
        <v>2.7844000000000001E-2</v>
      </c>
      <c r="J77" s="28">
        <f>ALL!N14</f>
        <v>2.8712999999999999E-2</v>
      </c>
      <c r="K77" s="28">
        <f>ALL!O14</f>
        <v>2.9329000000000001E-2</v>
      </c>
      <c r="L77" s="28">
        <f>ALL!P14</f>
        <v>2.9676000000000001E-2</v>
      </c>
      <c r="M77" s="28">
        <f>ALL!Q14</f>
        <v>2.9846000000000001E-2</v>
      </c>
      <c r="N77" s="28">
        <f>ALL!R14</f>
        <v>2.9926000000000001E-2</v>
      </c>
      <c r="O77" s="28">
        <f>ALL!S14</f>
        <v>2.9959E-2</v>
      </c>
      <c r="P77" s="28">
        <f>ALL!T14</f>
        <v>2.9951999999999999E-2</v>
      </c>
      <c r="Q77" s="28">
        <f>ALL!U14</f>
        <v>2.9828E-2</v>
      </c>
      <c r="R77" s="28">
        <f>ALL!V14</f>
        <v>2.9187999999999999E-2</v>
      </c>
      <c r="S77" s="28">
        <f>ALL!W14</f>
        <v>2.6589999999999999E-2</v>
      </c>
      <c r="T77" s="28">
        <f>ALL!X14</f>
        <v>9.5122999999999996E-4</v>
      </c>
      <c r="U77" s="28">
        <f>ALL!Y14</f>
        <v>2.7313000000000001E-4</v>
      </c>
      <c r="V77" s="28">
        <f>ALL!Z14</f>
        <v>7.9382999999999995E-5</v>
      </c>
      <c r="W77" s="28">
        <f>ALL!AA14</f>
        <v>2.3487999999999999E-5</v>
      </c>
      <c r="X77" s="28">
        <f>ALL!AB14</f>
        <v>7.0636999999999998E-6</v>
      </c>
      <c r="Y77" s="28">
        <f>ALL!AC14</f>
        <v>2.1115999999999998E-6</v>
      </c>
      <c r="Z77" s="28">
        <f>ALL!AD14</f>
        <v>3.2650999999999998E-7</v>
      </c>
      <c r="AA77" s="28">
        <f>ALL!AE14</f>
        <v>5.0575000000000001E-8</v>
      </c>
      <c r="AB77" s="28">
        <f>ALL!AF14</f>
        <v>8.1415000000000005E-9</v>
      </c>
      <c r="AC77" s="28">
        <f>ALL!AG14</f>
        <v>8.8611000000000007E-12</v>
      </c>
      <c r="AD77" s="28">
        <f>ALL!AH14</f>
        <v>0</v>
      </c>
      <c r="AE77" s="28">
        <f>ALL!AI14</f>
        <v>0</v>
      </c>
      <c r="AF77" s="28">
        <f>ALL!AJ14</f>
        <v>0</v>
      </c>
      <c r="AG77" s="28">
        <f>ALL!AK14</f>
        <v>0</v>
      </c>
      <c r="AH77" s="28">
        <f>ALL!AL14</f>
        <v>0</v>
      </c>
      <c r="AI77" s="28">
        <f>ALL!AM14</f>
        <v>0</v>
      </c>
      <c r="AJ77" s="28">
        <f>ALL!AN14</f>
        <v>0</v>
      </c>
      <c r="AK77" s="28">
        <f>ALL!AO14</f>
        <v>0</v>
      </c>
      <c r="AL77" s="28">
        <f>ALL!AP14</f>
        <v>0</v>
      </c>
      <c r="AM77" s="28">
        <f>ALL!AQ14</f>
        <v>0</v>
      </c>
      <c r="AN77" s="28">
        <f>ALL!AR14</f>
        <v>0</v>
      </c>
      <c r="AO77" s="28">
        <f>ALL!AS14</f>
        <v>0</v>
      </c>
      <c r="AP77" s="28">
        <f>ALL!AT14</f>
        <v>0</v>
      </c>
      <c r="AQ77" s="28">
        <f>ALL!AU14</f>
        <v>0</v>
      </c>
      <c r="AR77" s="28">
        <f>ALL!AV14</f>
        <v>0</v>
      </c>
      <c r="AS77" s="28">
        <f>ALL!AW14</f>
        <v>0</v>
      </c>
      <c r="AT77" s="28">
        <f>ALL!AX14</f>
        <v>0</v>
      </c>
      <c r="AU77" s="28">
        <f>ALL!AY14</f>
        <v>0</v>
      </c>
      <c r="AV77" s="28">
        <f>ALL!AZ14</f>
        <v>0</v>
      </c>
      <c r="AW77" s="28">
        <f>ALL!BA14</f>
        <v>0</v>
      </c>
      <c r="AX77" s="28">
        <f>ALL!BB14</f>
        <v>0</v>
      </c>
      <c r="AY77" s="28">
        <f>ALL!BC14</f>
        <v>0</v>
      </c>
      <c r="AZ77" s="28">
        <f>ALL!BD14</f>
        <v>0</v>
      </c>
      <c r="BA77" s="28">
        <f>ALL!BE14</f>
        <v>0</v>
      </c>
      <c r="BB77" s="28">
        <f>ALL!BF14</f>
        <v>0</v>
      </c>
      <c r="BC77" s="28">
        <f>ALL!BG14</f>
        <v>0</v>
      </c>
      <c r="BD77" s="28">
        <f>ALL!BH14</f>
        <v>0</v>
      </c>
      <c r="BE77" s="28">
        <f>ALL!BI14</f>
        <v>0</v>
      </c>
      <c r="BF77" s="28">
        <f>ALL!BJ14</f>
        <v>0</v>
      </c>
      <c r="BG77" s="28">
        <f>ALL!BK14</f>
        <v>0</v>
      </c>
      <c r="BH77" s="28">
        <f>ALL!BL14</f>
        <v>0</v>
      </c>
      <c r="BI77" s="28">
        <f>ALL!BM14</f>
        <v>0</v>
      </c>
      <c r="BJ77" s="28">
        <f>ALL!BN14</f>
        <v>0</v>
      </c>
      <c r="BK77" s="28">
        <f>ALL!BO14</f>
        <v>0</v>
      </c>
      <c r="BL77" s="28">
        <f>ALL!BP14</f>
        <v>0</v>
      </c>
      <c r="BM77" s="28">
        <f>ALL!BQ14</f>
        <v>0</v>
      </c>
      <c r="BN77" s="28">
        <f>ALL!BR14</f>
        <v>0</v>
      </c>
      <c r="BO77" s="28">
        <f>ALL!BS14</f>
        <v>0</v>
      </c>
      <c r="BP77" s="28">
        <f>ALL!BT14</f>
        <v>0</v>
      </c>
      <c r="BQ77" s="28">
        <f>ALL!BU14</f>
        <v>0</v>
      </c>
      <c r="BR77" s="28">
        <f>ALL!BV14</f>
        <v>0</v>
      </c>
      <c r="BS77" s="28">
        <f>ALL!BW14</f>
        <v>0</v>
      </c>
      <c r="BT77" s="28">
        <f>ALL!BX14</f>
        <v>0</v>
      </c>
    </row>
    <row r="78" spans="1:72" ht="21.75" outlineLevel="1" thickBot="1" x14ac:dyDescent="0.4">
      <c r="A78" s="62" t="str">
        <f>ALL!E15</f>
        <v>(1)Ga2Se</v>
      </c>
      <c r="B78" s="28">
        <f>ALL!F15</f>
        <v>1.4219000000000001E-28</v>
      </c>
      <c r="C78" s="28">
        <f>ALL!G15</f>
        <v>1.2244E-26</v>
      </c>
      <c r="D78" s="28">
        <f>ALL!H15</f>
        <v>9.3656999999999993E-25</v>
      </c>
      <c r="E78" s="28">
        <f>ALL!I15</f>
        <v>8.2229999999999995E-23</v>
      </c>
      <c r="F78" s="28">
        <f>ALL!J15</f>
        <v>7.5761000000000006E-21</v>
      </c>
      <c r="G78" s="28">
        <f>ALL!K15</f>
        <v>3.6578999999999997E-14</v>
      </c>
      <c r="H78" s="28">
        <f>ALL!L15</f>
        <v>7.0040000000000002E-13</v>
      </c>
      <c r="I78" s="28">
        <f>ALL!M15</f>
        <v>1.0294E-11</v>
      </c>
      <c r="J78" s="28">
        <f>ALL!N15</f>
        <v>1.2805000000000001E-10</v>
      </c>
      <c r="K78" s="28">
        <f>ALL!O15</f>
        <v>1.4134999999999999E-9</v>
      </c>
      <c r="L78" s="28">
        <f>ALL!P15</f>
        <v>1.3907E-8</v>
      </c>
      <c r="M78" s="28">
        <f>ALL!Q15</f>
        <v>1.2118999999999999E-7</v>
      </c>
      <c r="N78" s="28">
        <f>ALL!R15</f>
        <v>9.3500000000000005E-7</v>
      </c>
      <c r="O78" s="28">
        <f>ALL!S15</f>
        <v>6.4214E-6</v>
      </c>
      <c r="P78" s="28">
        <f>ALL!T15</f>
        <v>3.9548999999999997E-5</v>
      </c>
      <c r="Q78" s="28">
        <f>ALL!U15</f>
        <v>2.1958000000000001E-4</v>
      </c>
      <c r="R78" s="28">
        <f>ALL!V15</f>
        <v>1.0908999999999999E-3</v>
      </c>
      <c r="S78" s="28">
        <f>ALL!W15</f>
        <v>4.5948999999999999E-3</v>
      </c>
      <c r="T78" s="28">
        <f>ALL!X15</f>
        <v>3.5118000000000003E-2</v>
      </c>
      <c r="U78" s="28">
        <f>ALL!Y15</f>
        <v>3.4089000000000001E-2</v>
      </c>
      <c r="V78" s="28">
        <f>ALL!Z15</f>
        <v>3.1904000000000002E-2</v>
      </c>
      <c r="W78" s="28">
        <f>ALL!AA15</f>
        <v>2.9024000000000001E-2</v>
      </c>
      <c r="X78" s="28">
        <f>ALL!AB15</f>
        <v>2.5696E-2</v>
      </c>
      <c r="Y78" s="28">
        <f>ALL!AC15</f>
        <v>2.1628000000000001E-2</v>
      </c>
      <c r="Z78" s="28">
        <f>ALL!AD15</f>
        <v>8.3616999999999997E-3</v>
      </c>
      <c r="AA78" s="28">
        <f>ALL!AE15</f>
        <v>3.2523999999999999E-3</v>
      </c>
      <c r="AB78" s="28">
        <f>ALL!AF15</f>
        <v>1.2936E-3</v>
      </c>
      <c r="AC78" s="28">
        <f>ALL!AG15</f>
        <v>4.1288000000000002E-5</v>
      </c>
      <c r="AD78" s="28">
        <f>ALL!AH15</f>
        <v>0</v>
      </c>
      <c r="AE78" s="28">
        <f>ALL!AI15</f>
        <v>0</v>
      </c>
      <c r="AF78" s="28">
        <f>ALL!AJ15</f>
        <v>0</v>
      </c>
      <c r="AG78" s="28">
        <f>ALL!AK15</f>
        <v>0</v>
      </c>
      <c r="AH78" s="28">
        <f>ALL!AL15</f>
        <v>0</v>
      </c>
      <c r="AI78" s="28">
        <f>ALL!AM15</f>
        <v>0</v>
      </c>
      <c r="AJ78" s="28">
        <f>ALL!AN15</f>
        <v>0</v>
      </c>
      <c r="AK78" s="28">
        <f>ALL!AO15</f>
        <v>0</v>
      </c>
      <c r="AL78" s="28">
        <f>ALL!AP15</f>
        <v>0</v>
      </c>
      <c r="AM78" s="28">
        <f>ALL!AQ15</f>
        <v>0</v>
      </c>
      <c r="AN78" s="28">
        <f>ALL!AR15</f>
        <v>0</v>
      </c>
      <c r="AO78" s="28">
        <f>ALL!AS15</f>
        <v>0</v>
      </c>
      <c r="AP78" s="28">
        <f>ALL!AT15</f>
        <v>0</v>
      </c>
      <c r="AQ78" s="28">
        <f>ALL!AU15</f>
        <v>0</v>
      </c>
      <c r="AR78" s="28">
        <f>ALL!AV15</f>
        <v>0</v>
      </c>
      <c r="AS78" s="28">
        <f>ALL!AW15</f>
        <v>0</v>
      </c>
      <c r="AT78" s="28">
        <f>ALL!AX15</f>
        <v>0</v>
      </c>
      <c r="AU78" s="28">
        <f>ALL!AY15</f>
        <v>0</v>
      </c>
      <c r="AV78" s="28">
        <f>ALL!AZ15</f>
        <v>0</v>
      </c>
      <c r="AW78" s="28">
        <f>ALL!BA15</f>
        <v>0</v>
      </c>
      <c r="AX78" s="28">
        <f>ALL!BB15</f>
        <v>0</v>
      </c>
      <c r="AY78" s="28">
        <f>ALL!BC15</f>
        <v>0</v>
      </c>
      <c r="AZ78" s="28">
        <f>ALL!BD15</f>
        <v>0</v>
      </c>
      <c r="BA78" s="28">
        <f>ALL!BE15</f>
        <v>0</v>
      </c>
      <c r="BB78" s="28">
        <f>ALL!BF15</f>
        <v>0</v>
      </c>
      <c r="BC78" s="28">
        <f>ALL!BG15</f>
        <v>0</v>
      </c>
      <c r="BD78" s="28">
        <f>ALL!BH15</f>
        <v>0</v>
      </c>
      <c r="BE78" s="28">
        <f>ALL!BI15</f>
        <v>0</v>
      </c>
      <c r="BF78" s="28">
        <f>ALL!BJ15</f>
        <v>0</v>
      </c>
      <c r="BG78" s="28">
        <f>ALL!BK15</f>
        <v>0</v>
      </c>
      <c r="BH78" s="28">
        <f>ALL!BL15</f>
        <v>0</v>
      </c>
      <c r="BI78" s="28">
        <f>ALL!BM15</f>
        <v>0</v>
      </c>
      <c r="BJ78" s="28">
        <f>ALL!BN15</f>
        <v>0</v>
      </c>
      <c r="BK78" s="28">
        <f>ALL!BO15</f>
        <v>0</v>
      </c>
      <c r="BL78" s="28">
        <f>ALL!BP15</f>
        <v>0</v>
      </c>
      <c r="BM78" s="28">
        <f>ALL!BQ15</f>
        <v>0</v>
      </c>
      <c r="BN78" s="28">
        <f>ALL!BR15</f>
        <v>0</v>
      </c>
      <c r="BO78" s="28">
        <f>ALL!BS15</f>
        <v>0</v>
      </c>
      <c r="BP78" s="28">
        <f>ALL!BT15</f>
        <v>0</v>
      </c>
      <c r="BQ78" s="28">
        <f>ALL!BU15</f>
        <v>0</v>
      </c>
      <c r="BR78" s="28">
        <f>ALL!BV15</f>
        <v>0</v>
      </c>
      <c r="BS78" s="28">
        <f>ALL!BW15</f>
        <v>0</v>
      </c>
      <c r="BT78" s="28">
        <f>ALL!BX15</f>
        <v>0</v>
      </c>
    </row>
    <row r="79" spans="1:72" ht="21.75" outlineLevel="1" thickBot="1" x14ac:dyDescent="0.4">
      <c r="A79" s="62" t="str">
        <f>ALL!E16</f>
        <v>(1)Ge</v>
      </c>
      <c r="B79" s="28">
        <f>ALL!F16</f>
        <v>4.5409000000000001E-7</v>
      </c>
      <c r="C79" s="28">
        <f>ALL!G16</f>
        <v>1.1596000000000001E-6</v>
      </c>
      <c r="D79" s="28">
        <f>ALL!H16</f>
        <v>3.6376000000000001E-6</v>
      </c>
      <c r="E79" s="28">
        <f>ALL!I16</f>
        <v>1.4951E-5</v>
      </c>
      <c r="F79" s="28">
        <f>ALL!J16</f>
        <v>6.8635999999999998E-5</v>
      </c>
      <c r="G79" s="28">
        <f>ALL!K16</f>
        <v>1.1455999999999999E-2</v>
      </c>
      <c r="H79" s="28">
        <f>ALL!L16</f>
        <v>2.6453999999999998E-2</v>
      </c>
      <c r="I79" s="28">
        <f>ALL!M16</f>
        <v>4.9137E-2</v>
      </c>
      <c r="J79" s="28">
        <f>ALL!N16</f>
        <v>7.4415999999999996E-2</v>
      </c>
      <c r="K79" s="28">
        <f>ALL!O16</f>
        <v>9.4864000000000004E-2</v>
      </c>
      <c r="L79" s="28">
        <f>ALL!P16</f>
        <v>0.10743</v>
      </c>
      <c r="M79" s="28">
        <f>ALL!Q16</f>
        <v>0.11394</v>
      </c>
      <c r="N79" s="28">
        <f>ALL!R16</f>
        <v>0.11706999999999999</v>
      </c>
      <c r="O79" s="28">
        <f>ALL!S16</f>
        <v>0.11856</v>
      </c>
      <c r="P79" s="28">
        <f>ALL!T16</f>
        <v>0.11927</v>
      </c>
      <c r="Q79" s="28">
        <f>ALL!U16</f>
        <v>0.11962</v>
      </c>
      <c r="R79" s="28">
        <f>ALL!V16</f>
        <v>0.1198</v>
      </c>
      <c r="S79" s="28">
        <f>ALL!W16</f>
        <v>0.11989</v>
      </c>
      <c r="T79" s="28">
        <f>ALL!X16</f>
        <v>0.11999</v>
      </c>
      <c r="U79" s="28">
        <f>ALL!Y16</f>
        <v>0.11999</v>
      </c>
      <c r="V79" s="28">
        <f>ALL!Z16</f>
        <v>0.11999</v>
      </c>
      <c r="W79" s="28">
        <f>ALL!AA16</f>
        <v>0.12</v>
      </c>
      <c r="X79" s="28">
        <f>ALL!AB16</f>
        <v>0.12</v>
      </c>
      <c r="Y79" s="28">
        <f>ALL!AC16</f>
        <v>0.11996999999999999</v>
      </c>
      <c r="Z79" s="28">
        <f>ALL!AD16</f>
        <v>0.11926</v>
      </c>
      <c r="AA79" s="28">
        <f>ALL!AE16</f>
        <v>0.11877</v>
      </c>
      <c r="AB79" s="28">
        <f>ALL!AF16</f>
        <v>0.11837</v>
      </c>
      <c r="AC79" s="28">
        <f>ALL!AG16</f>
        <v>0.11694</v>
      </c>
      <c r="AD79" s="28">
        <f>ALL!AH16</f>
        <v>0</v>
      </c>
      <c r="AE79" s="28">
        <f>ALL!AI16</f>
        <v>0</v>
      </c>
      <c r="AF79" s="28">
        <f>ALL!AJ16</f>
        <v>0</v>
      </c>
      <c r="AG79" s="28">
        <f>ALL!AK16</f>
        <v>0</v>
      </c>
      <c r="AH79" s="28">
        <f>ALL!AL16</f>
        <v>0</v>
      </c>
      <c r="AI79" s="28">
        <f>ALL!AM16</f>
        <v>0</v>
      </c>
      <c r="AJ79" s="28">
        <f>ALL!AN16</f>
        <v>0</v>
      </c>
      <c r="AK79" s="28">
        <f>ALL!AO16</f>
        <v>0</v>
      </c>
      <c r="AL79" s="28">
        <f>ALL!AP16</f>
        <v>0</v>
      </c>
      <c r="AM79" s="28">
        <f>ALL!AQ16</f>
        <v>0</v>
      </c>
      <c r="AN79" s="28">
        <f>ALL!AR16</f>
        <v>0</v>
      </c>
      <c r="AO79" s="28">
        <f>ALL!AS16</f>
        <v>0</v>
      </c>
      <c r="AP79" s="28">
        <f>ALL!AT16</f>
        <v>0</v>
      </c>
      <c r="AQ79" s="28">
        <f>ALL!AU16</f>
        <v>0</v>
      </c>
      <c r="AR79" s="28">
        <f>ALL!AV16</f>
        <v>0</v>
      </c>
      <c r="AS79" s="28">
        <f>ALL!AW16</f>
        <v>0</v>
      </c>
      <c r="AT79" s="28">
        <f>ALL!AX16</f>
        <v>0</v>
      </c>
      <c r="AU79" s="28">
        <f>ALL!AY16</f>
        <v>0</v>
      </c>
      <c r="AV79" s="28">
        <f>ALL!AZ16</f>
        <v>0</v>
      </c>
      <c r="AW79" s="28">
        <f>ALL!BA16</f>
        <v>0</v>
      </c>
      <c r="AX79" s="28">
        <f>ALL!BB16</f>
        <v>0</v>
      </c>
      <c r="AY79" s="28">
        <f>ALL!BC16</f>
        <v>0</v>
      </c>
      <c r="AZ79" s="28">
        <f>ALL!BD16</f>
        <v>0</v>
      </c>
      <c r="BA79" s="28">
        <f>ALL!BE16</f>
        <v>0</v>
      </c>
      <c r="BB79" s="28">
        <f>ALL!BF16</f>
        <v>0</v>
      </c>
      <c r="BC79" s="28">
        <f>ALL!BG16</f>
        <v>0</v>
      </c>
      <c r="BD79" s="28">
        <f>ALL!BH16</f>
        <v>0</v>
      </c>
      <c r="BE79" s="28">
        <f>ALL!BI16</f>
        <v>0</v>
      </c>
      <c r="BF79" s="28">
        <f>ALL!BJ16</f>
        <v>0</v>
      </c>
      <c r="BG79" s="28">
        <f>ALL!BK16</f>
        <v>0</v>
      </c>
      <c r="BH79" s="28">
        <f>ALL!BL16</f>
        <v>0</v>
      </c>
      <c r="BI79" s="28">
        <f>ALL!BM16</f>
        <v>0</v>
      </c>
      <c r="BJ79" s="28">
        <f>ALL!BN16</f>
        <v>0</v>
      </c>
      <c r="BK79" s="28">
        <f>ALL!BO16</f>
        <v>0</v>
      </c>
      <c r="BL79" s="28">
        <f>ALL!BP16</f>
        <v>0</v>
      </c>
      <c r="BM79" s="28">
        <f>ALL!BQ16</f>
        <v>0</v>
      </c>
      <c r="BN79" s="28">
        <f>ALL!BR16</f>
        <v>0</v>
      </c>
      <c r="BO79" s="28">
        <f>ALL!BS16</f>
        <v>0</v>
      </c>
      <c r="BP79" s="28">
        <f>ALL!BT16</f>
        <v>0</v>
      </c>
      <c r="BQ79" s="28">
        <f>ALL!BU16</f>
        <v>0</v>
      </c>
      <c r="BR79" s="28">
        <f>ALL!BV16</f>
        <v>0</v>
      </c>
      <c r="BS79" s="28">
        <f>ALL!BW16</f>
        <v>0</v>
      </c>
      <c r="BT79" s="28">
        <f>ALL!BX16</f>
        <v>0</v>
      </c>
    </row>
    <row r="80" spans="1:72" ht="21.75" outlineLevel="1" thickBot="1" x14ac:dyDescent="0.4">
      <c r="A80" s="62" t="str">
        <f>ALL!E17</f>
        <v>(1)Ga</v>
      </c>
      <c r="B80" s="28">
        <f>ALL!F17</f>
        <v>3.6374999999999999E-28</v>
      </c>
      <c r="C80" s="28">
        <f>ALL!G17</f>
        <v>2.9487000000000001E-26</v>
      </c>
      <c r="D80" s="28">
        <f>ALL!H17</f>
        <v>2.0040999999999999E-24</v>
      </c>
      <c r="E80" s="28">
        <f>ALL!I17</f>
        <v>1.4044000000000001E-22</v>
      </c>
      <c r="F80" s="28">
        <f>ALL!J17</f>
        <v>9.4172000000000002E-21</v>
      </c>
      <c r="G80" s="28">
        <f>ALL!K17</f>
        <v>1.3252E-14</v>
      </c>
      <c r="H80" s="28">
        <f>ALL!L17</f>
        <v>2.1316999999999999E-13</v>
      </c>
      <c r="I80" s="28">
        <f>ALL!M17</f>
        <v>2.7485999999999998E-12</v>
      </c>
      <c r="J80" s="28">
        <f>ALL!N17</f>
        <v>3.0313999999999999E-11</v>
      </c>
      <c r="K80" s="28">
        <f>ALL!O17</f>
        <v>2.9357999999999998E-10</v>
      </c>
      <c r="L80" s="28">
        <f>ALL!P17</f>
        <v>2.5024E-9</v>
      </c>
      <c r="M80" s="28">
        <f>ALL!Q17</f>
        <v>1.8787000000000001E-8</v>
      </c>
      <c r="N80" s="28">
        <f>ALL!R17</f>
        <v>1.2485999999999999E-7</v>
      </c>
      <c r="O80" s="28">
        <f>ALL!S17</f>
        <v>7.4010999999999997E-7</v>
      </c>
      <c r="P80" s="28">
        <f>ALL!T17</f>
        <v>3.9424999999999999E-6</v>
      </c>
      <c r="Q80" s="28">
        <f>ALL!U17</f>
        <v>1.8986000000000001E-5</v>
      </c>
      <c r="R80" s="28">
        <f>ALL!V17</f>
        <v>8.2616999999999999E-5</v>
      </c>
      <c r="S80" s="28">
        <f>ALL!W17</f>
        <v>3.1750000000000002E-4</v>
      </c>
      <c r="T80" s="28">
        <f>ALL!X17</f>
        <v>7.3359999999999996E-3</v>
      </c>
      <c r="U80" s="28">
        <f>ALL!Y17</f>
        <v>1.1124999999999999E-2</v>
      </c>
      <c r="V80" s="28">
        <f>ALL!Z17</f>
        <v>1.5989E-2</v>
      </c>
      <c r="W80" s="28">
        <f>ALL!AA17</f>
        <v>2.1892999999999999E-2</v>
      </c>
      <c r="X80" s="28">
        <f>ALL!AB17</f>
        <v>2.8590999999999998E-2</v>
      </c>
      <c r="Y80" s="28">
        <f>ALL!AC17</f>
        <v>3.5165000000000002E-2</v>
      </c>
      <c r="Z80" s="28">
        <f>ALL!AD17</f>
        <v>2.7507E-2</v>
      </c>
      <c r="AA80" s="28">
        <f>ALL!AE17</f>
        <v>2.1121999999999998E-2</v>
      </c>
      <c r="AB80" s="28">
        <f>ALL!AF17</f>
        <v>1.5965E-2</v>
      </c>
      <c r="AC80" s="28">
        <f>ALL!AG17</f>
        <v>4.3797999999999997E-3</v>
      </c>
      <c r="AD80" s="28">
        <f>ALL!AH17</f>
        <v>0</v>
      </c>
      <c r="AE80" s="28">
        <f>ALL!AI17</f>
        <v>0</v>
      </c>
      <c r="AF80" s="28">
        <f>ALL!AJ17</f>
        <v>0</v>
      </c>
      <c r="AG80" s="28">
        <f>ALL!AK17</f>
        <v>0</v>
      </c>
      <c r="AH80" s="28">
        <f>ALL!AL17</f>
        <v>0</v>
      </c>
      <c r="AI80" s="28">
        <f>ALL!AM17</f>
        <v>0</v>
      </c>
      <c r="AJ80" s="28">
        <f>ALL!AN17</f>
        <v>0</v>
      </c>
      <c r="AK80" s="28">
        <f>ALL!AO17</f>
        <v>0</v>
      </c>
      <c r="AL80" s="28">
        <f>ALL!AP17</f>
        <v>0</v>
      </c>
      <c r="AM80" s="28">
        <f>ALL!AQ17</f>
        <v>0</v>
      </c>
      <c r="AN80" s="28">
        <f>ALL!AR17</f>
        <v>0</v>
      </c>
      <c r="AO80" s="28">
        <f>ALL!AS17</f>
        <v>0</v>
      </c>
      <c r="AP80" s="28">
        <f>ALL!AT17</f>
        <v>0</v>
      </c>
      <c r="AQ80" s="28">
        <f>ALL!AU17</f>
        <v>0</v>
      </c>
      <c r="AR80" s="28">
        <f>ALL!AV17</f>
        <v>0</v>
      </c>
      <c r="AS80" s="28">
        <f>ALL!AW17</f>
        <v>0</v>
      </c>
      <c r="AT80" s="28">
        <f>ALL!AX17</f>
        <v>0</v>
      </c>
      <c r="AU80" s="28">
        <f>ALL!AY17</f>
        <v>0</v>
      </c>
      <c r="AV80" s="28">
        <f>ALL!AZ17</f>
        <v>0</v>
      </c>
      <c r="AW80" s="28">
        <f>ALL!BA17</f>
        <v>0</v>
      </c>
      <c r="AX80" s="28">
        <f>ALL!BB17</f>
        <v>0</v>
      </c>
      <c r="AY80" s="28">
        <f>ALL!BC17</f>
        <v>0</v>
      </c>
      <c r="AZ80" s="28">
        <f>ALL!BD17</f>
        <v>0</v>
      </c>
      <c r="BA80" s="28">
        <f>ALL!BE17</f>
        <v>0</v>
      </c>
      <c r="BB80" s="28">
        <f>ALL!BF17</f>
        <v>0</v>
      </c>
      <c r="BC80" s="28">
        <f>ALL!BG17</f>
        <v>0</v>
      </c>
      <c r="BD80" s="28">
        <f>ALL!BH17</f>
        <v>0</v>
      </c>
      <c r="BE80" s="28">
        <f>ALL!BI17</f>
        <v>0</v>
      </c>
      <c r="BF80" s="28">
        <f>ALL!BJ17</f>
        <v>0</v>
      </c>
      <c r="BG80" s="28">
        <f>ALL!BK17</f>
        <v>0</v>
      </c>
      <c r="BH80" s="28">
        <f>ALL!BL17</f>
        <v>0</v>
      </c>
      <c r="BI80" s="28">
        <f>ALL!BM17</f>
        <v>0</v>
      </c>
      <c r="BJ80" s="28">
        <f>ALL!BN17</f>
        <v>0</v>
      </c>
      <c r="BK80" s="28">
        <f>ALL!BO17</f>
        <v>0</v>
      </c>
      <c r="BL80" s="28">
        <f>ALL!BP17</f>
        <v>0</v>
      </c>
      <c r="BM80" s="28">
        <f>ALL!BQ17</f>
        <v>0</v>
      </c>
      <c r="BN80" s="28">
        <f>ALL!BR17</f>
        <v>0</v>
      </c>
      <c r="BO80" s="28">
        <f>ALL!BS17</f>
        <v>0</v>
      </c>
      <c r="BP80" s="28">
        <f>ALL!BT17</f>
        <v>0</v>
      </c>
      <c r="BQ80" s="28">
        <f>ALL!BU17</f>
        <v>0</v>
      </c>
      <c r="BR80" s="28">
        <f>ALL!BV17</f>
        <v>0</v>
      </c>
      <c r="BS80" s="28">
        <f>ALL!BW17</f>
        <v>0</v>
      </c>
      <c r="BT80" s="28">
        <f>ALL!BX17</f>
        <v>0</v>
      </c>
    </row>
    <row r="81" spans="1:72" ht="21.75" outlineLevel="1" thickBot="1" x14ac:dyDescent="0.4">
      <c r="A81" s="62" t="str">
        <f>ALL!E18</f>
        <v>(1)Se</v>
      </c>
      <c r="B81" s="28">
        <f>ALL!F18</f>
        <v>2.5337E-9</v>
      </c>
      <c r="C81" s="28">
        <f>ALL!G18</f>
        <v>8.7521E-9</v>
      </c>
      <c r="D81" s="28">
        <f>ALL!H18</f>
        <v>2.1410000000000001E-8</v>
      </c>
      <c r="E81" s="28">
        <f>ALL!I18</f>
        <v>3.5043999999999999E-8</v>
      </c>
      <c r="F81" s="28">
        <f>ALL!J18</f>
        <v>4.0088000000000001E-8</v>
      </c>
      <c r="G81" s="28">
        <f>ALL!K18</f>
        <v>2.18E-8</v>
      </c>
      <c r="H81" s="28">
        <f>ALL!L18</f>
        <v>2.0435000000000001E-8</v>
      </c>
      <c r="I81" s="28">
        <f>ALL!M18</f>
        <v>1.9989999999999999E-8</v>
      </c>
      <c r="J81" s="28">
        <f>ALL!N18</f>
        <v>1.9168E-8</v>
      </c>
      <c r="K81" s="28">
        <f>ALL!O18</f>
        <v>1.8243E-8</v>
      </c>
      <c r="L81" s="28">
        <f>ALL!P18</f>
        <v>1.6292999999999999E-8</v>
      </c>
      <c r="M81" s="28">
        <f>ALL!Q18</f>
        <v>1.3986E-8</v>
      </c>
      <c r="N81" s="28">
        <f>ALL!R18</f>
        <v>1.1771E-8</v>
      </c>
      <c r="O81" s="28">
        <f>ALL!S18</f>
        <v>9.8201E-9</v>
      </c>
      <c r="P81" s="28">
        <f>ALL!T18</f>
        <v>8.1651999999999999E-9</v>
      </c>
      <c r="Q81" s="28">
        <f>ALL!U18</f>
        <v>6.7876E-9</v>
      </c>
      <c r="R81" s="28">
        <f>ALL!V18</f>
        <v>5.6655000000000003E-9</v>
      </c>
      <c r="S81" s="28">
        <f>ALL!W18</f>
        <v>4.8032999999999997E-9</v>
      </c>
      <c r="T81" s="28">
        <f>ALL!X18</f>
        <v>2.7602E-9</v>
      </c>
      <c r="U81" s="28">
        <f>ALL!Y18</f>
        <v>2.3245E-9</v>
      </c>
      <c r="V81" s="28">
        <f>ALL!Z18</f>
        <v>1.9566E-9</v>
      </c>
      <c r="W81" s="28">
        <f>ALL!AA18</f>
        <v>1.6493000000000001E-9</v>
      </c>
      <c r="X81" s="28">
        <f>ALL!AB18</f>
        <v>1.3927E-9</v>
      </c>
      <c r="Y81" s="28">
        <f>ALL!AC18</f>
        <v>1.179E-9</v>
      </c>
      <c r="Z81" s="28">
        <f>ALL!AD18</f>
        <v>1.0190000000000001E-9</v>
      </c>
      <c r="AA81" s="28">
        <f>ALL!AE18</f>
        <v>8.6608999999999995E-10</v>
      </c>
      <c r="AB81" s="28">
        <f>ALL!AF18</f>
        <v>7.3197999999999999E-10</v>
      </c>
      <c r="AC81" s="28">
        <f>ALL!AG18</f>
        <v>3.7200000000000001E-10</v>
      </c>
      <c r="AD81" s="28">
        <f>ALL!AH18</f>
        <v>0</v>
      </c>
      <c r="AE81" s="28">
        <f>ALL!AI18</f>
        <v>0</v>
      </c>
      <c r="AF81" s="28">
        <f>ALL!AJ18</f>
        <v>0</v>
      </c>
      <c r="AG81" s="28">
        <f>ALL!AK18</f>
        <v>0</v>
      </c>
      <c r="AH81" s="28">
        <f>ALL!AL18</f>
        <v>0</v>
      </c>
      <c r="AI81" s="28">
        <f>ALL!AM18</f>
        <v>0</v>
      </c>
      <c r="AJ81" s="28">
        <f>ALL!AN18</f>
        <v>0</v>
      </c>
      <c r="AK81" s="28">
        <f>ALL!AO18</f>
        <v>0</v>
      </c>
      <c r="AL81" s="28">
        <f>ALL!AP18</f>
        <v>0</v>
      </c>
      <c r="AM81" s="28">
        <f>ALL!AQ18</f>
        <v>0</v>
      </c>
      <c r="AN81" s="28">
        <f>ALL!AR18</f>
        <v>0</v>
      </c>
      <c r="AO81" s="28">
        <f>ALL!AS18</f>
        <v>0</v>
      </c>
      <c r="AP81" s="28">
        <f>ALL!AT18</f>
        <v>0</v>
      </c>
      <c r="AQ81" s="28">
        <f>ALL!AU18</f>
        <v>0</v>
      </c>
      <c r="AR81" s="28">
        <f>ALL!AV18</f>
        <v>0</v>
      </c>
      <c r="AS81" s="28">
        <f>ALL!AW18</f>
        <v>0</v>
      </c>
      <c r="AT81" s="28">
        <f>ALL!AX18</f>
        <v>0</v>
      </c>
      <c r="AU81" s="28">
        <f>ALL!AY18</f>
        <v>0</v>
      </c>
      <c r="AV81" s="28">
        <f>ALL!AZ18</f>
        <v>0</v>
      </c>
      <c r="AW81" s="28">
        <f>ALL!BA18</f>
        <v>0</v>
      </c>
      <c r="AX81" s="28">
        <f>ALL!BB18</f>
        <v>0</v>
      </c>
      <c r="AY81" s="28">
        <f>ALL!BC18</f>
        <v>0</v>
      </c>
      <c r="AZ81" s="28">
        <f>ALL!BD18</f>
        <v>0</v>
      </c>
      <c r="BA81" s="28">
        <f>ALL!BE18</f>
        <v>0</v>
      </c>
      <c r="BB81" s="28">
        <f>ALL!BF18</f>
        <v>0</v>
      </c>
      <c r="BC81" s="28">
        <f>ALL!BG18</f>
        <v>0</v>
      </c>
      <c r="BD81" s="28">
        <f>ALL!BH18</f>
        <v>0</v>
      </c>
      <c r="BE81" s="28">
        <f>ALL!BI18</f>
        <v>0</v>
      </c>
      <c r="BF81" s="28">
        <f>ALL!BJ18</f>
        <v>0</v>
      </c>
      <c r="BG81" s="28">
        <f>ALL!BK18</f>
        <v>0</v>
      </c>
      <c r="BH81" s="28">
        <f>ALL!BL18</f>
        <v>0</v>
      </c>
      <c r="BI81" s="28">
        <f>ALL!BM18</f>
        <v>0</v>
      </c>
      <c r="BJ81" s="28">
        <f>ALL!BN18</f>
        <v>0</v>
      </c>
      <c r="BK81" s="28">
        <f>ALL!BO18</f>
        <v>0</v>
      </c>
      <c r="BL81" s="28">
        <f>ALL!BP18</f>
        <v>0</v>
      </c>
      <c r="BM81" s="28">
        <f>ALL!BQ18</f>
        <v>0</v>
      </c>
      <c r="BN81" s="28">
        <f>ALL!BR18</f>
        <v>0</v>
      </c>
      <c r="BO81" s="28">
        <f>ALL!BS18</f>
        <v>0</v>
      </c>
      <c r="BP81" s="28">
        <f>ALL!BT18</f>
        <v>0</v>
      </c>
      <c r="BQ81" s="28">
        <f>ALL!BU18</f>
        <v>0</v>
      </c>
      <c r="BR81" s="28">
        <f>ALL!BV18</f>
        <v>0</v>
      </c>
      <c r="BS81" s="28">
        <f>ALL!BW18</f>
        <v>0</v>
      </c>
      <c r="BT81" s="28">
        <f>ALL!BX18</f>
        <v>0</v>
      </c>
    </row>
    <row r="82" spans="1:72" ht="21.75" outlineLevel="1" thickBot="1" x14ac:dyDescent="0.4">
      <c r="A82" s="62" t="str">
        <f>ALL!E19</f>
        <v>(1)Se[a]</v>
      </c>
      <c r="B82" s="28">
        <f>ALL!F19</f>
        <v>5.8400000000000005E-10</v>
      </c>
      <c r="C82" s="28">
        <f>ALL!G19</f>
        <v>2.3464000000000001E-9</v>
      </c>
      <c r="D82" s="28">
        <f>ALL!H19</f>
        <v>6.5551000000000002E-9</v>
      </c>
      <c r="E82" s="28">
        <f>ALL!I19</f>
        <v>1.2069E-8</v>
      </c>
      <c r="F82" s="28">
        <f>ALL!J19</f>
        <v>1.5332000000000001E-8</v>
      </c>
      <c r="G82" s="28">
        <f>ALL!K19</f>
        <v>1.1541000000000001E-8</v>
      </c>
      <c r="H82" s="28">
        <f>ALL!L19</f>
        <v>1.153E-8</v>
      </c>
      <c r="I82" s="28">
        <f>ALL!M19</f>
        <v>1.1954000000000001E-8</v>
      </c>
      <c r="J82" s="28">
        <f>ALL!N19</f>
        <v>1.2058E-8</v>
      </c>
      <c r="K82" s="28">
        <f>ALL!O19</f>
        <v>1.1358999999999999E-8</v>
      </c>
      <c r="L82" s="28">
        <f>ALL!P19</f>
        <v>1.0034000000000001E-8</v>
      </c>
      <c r="M82" s="28">
        <f>ALL!Q19</f>
        <v>8.5150000000000005E-9</v>
      </c>
      <c r="N82" s="28">
        <f>ALL!R19</f>
        <v>7.0818999999999997E-9</v>
      </c>
      <c r="O82" s="28">
        <f>ALL!S19</f>
        <v>5.8369999999999996E-9</v>
      </c>
      <c r="P82" s="28">
        <f>ALL!T19</f>
        <v>4.7939999999999998E-9</v>
      </c>
      <c r="Q82" s="28">
        <f>ALL!U19</f>
        <v>3.9361000000000001E-9</v>
      </c>
      <c r="R82" s="28">
        <f>ALL!V19</f>
        <v>3.2447999999999998E-9</v>
      </c>
      <c r="S82" s="28">
        <f>ALL!W19</f>
        <v>2.717E-9</v>
      </c>
      <c r="T82" s="28">
        <f>ALL!X19</f>
        <v>1.4865E-9</v>
      </c>
      <c r="U82" s="28">
        <f>ALL!Y19</f>
        <v>1.2368999999999999E-9</v>
      </c>
      <c r="V82" s="28">
        <f>ALL!Z19</f>
        <v>1.0288E-9</v>
      </c>
      <c r="W82" s="28">
        <f>ALL!AA19</f>
        <v>8.5701000000000002E-10</v>
      </c>
      <c r="X82" s="28">
        <f>ALL!AB19</f>
        <v>7.1524999999999999E-10</v>
      </c>
      <c r="Y82" s="28">
        <f>ALL!AC19</f>
        <v>5.9853E-10</v>
      </c>
      <c r="Z82" s="28">
        <f>ALL!AD19</f>
        <v>5.1136999999999996E-10</v>
      </c>
      <c r="AA82" s="28">
        <f>ALL!AE19</f>
        <v>4.2971000000000001E-10</v>
      </c>
      <c r="AB82" s="28">
        <f>ALL!AF19</f>
        <v>3.5909E-10</v>
      </c>
      <c r="AC82" s="28">
        <f>ALL!AG19</f>
        <v>1.7455999999999999E-10</v>
      </c>
      <c r="AD82" s="28">
        <f>ALL!AH19</f>
        <v>0</v>
      </c>
      <c r="AE82" s="28">
        <f>ALL!AI19</f>
        <v>0</v>
      </c>
      <c r="AF82" s="28">
        <f>ALL!AJ19</f>
        <v>0</v>
      </c>
      <c r="AG82" s="28">
        <f>ALL!AK19</f>
        <v>0</v>
      </c>
      <c r="AH82" s="28">
        <f>ALL!AL19</f>
        <v>0</v>
      </c>
      <c r="AI82" s="28">
        <f>ALL!AM19</f>
        <v>0</v>
      </c>
      <c r="AJ82" s="28">
        <f>ALL!AN19</f>
        <v>0</v>
      </c>
      <c r="AK82" s="28">
        <f>ALL!AO19</f>
        <v>0</v>
      </c>
      <c r="AL82" s="28">
        <f>ALL!AP19</f>
        <v>0</v>
      </c>
      <c r="AM82" s="28">
        <f>ALL!AQ19</f>
        <v>0</v>
      </c>
      <c r="AN82" s="28">
        <f>ALL!AR19</f>
        <v>0</v>
      </c>
      <c r="AO82" s="28">
        <f>ALL!AS19</f>
        <v>0</v>
      </c>
      <c r="AP82" s="28">
        <f>ALL!AT19</f>
        <v>0</v>
      </c>
      <c r="AQ82" s="28">
        <f>ALL!AU19</f>
        <v>0</v>
      </c>
      <c r="AR82" s="28">
        <f>ALL!AV19</f>
        <v>0</v>
      </c>
      <c r="AS82" s="28">
        <f>ALL!AW19</f>
        <v>0</v>
      </c>
      <c r="AT82" s="28">
        <f>ALL!AX19</f>
        <v>0</v>
      </c>
      <c r="AU82" s="28">
        <f>ALL!AY19</f>
        <v>0</v>
      </c>
      <c r="AV82" s="28">
        <f>ALL!AZ19</f>
        <v>0</v>
      </c>
      <c r="AW82" s="28">
        <f>ALL!BA19</f>
        <v>0</v>
      </c>
      <c r="AX82" s="28">
        <f>ALL!BB19</f>
        <v>0</v>
      </c>
      <c r="AY82" s="28">
        <f>ALL!BC19</f>
        <v>0</v>
      </c>
      <c r="AZ82" s="28">
        <f>ALL!BD19</f>
        <v>0</v>
      </c>
      <c r="BA82" s="28">
        <f>ALL!BE19</f>
        <v>0</v>
      </c>
      <c r="BB82" s="28">
        <f>ALL!BF19</f>
        <v>0</v>
      </c>
      <c r="BC82" s="28">
        <f>ALL!BG19</f>
        <v>0</v>
      </c>
      <c r="BD82" s="28">
        <f>ALL!BH19</f>
        <v>0</v>
      </c>
      <c r="BE82" s="28">
        <f>ALL!BI19</f>
        <v>0</v>
      </c>
      <c r="BF82" s="28">
        <f>ALL!BJ19</f>
        <v>0</v>
      </c>
      <c r="BG82" s="28">
        <f>ALL!BK19</f>
        <v>0</v>
      </c>
      <c r="BH82" s="28">
        <f>ALL!BL19</f>
        <v>0</v>
      </c>
      <c r="BI82" s="28">
        <f>ALL!BM19</f>
        <v>0</v>
      </c>
      <c r="BJ82" s="28">
        <f>ALL!BN19</f>
        <v>0</v>
      </c>
      <c r="BK82" s="28">
        <f>ALL!BO19</f>
        <v>0</v>
      </c>
      <c r="BL82" s="28">
        <f>ALL!BP19</f>
        <v>0</v>
      </c>
      <c r="BM82" s="28">
        <f>ALL!BQ19</f>
        <v>0</v>
      </c>
      <c r="BN82" s="28">
        <f>ALL!BR19</f>
        <v>0</v>
      </c>
      <c r="BO82" s="28">
        <f>ALL!BS19</f>
        <v>0</v>
      </c>
      <c r="BP82" s="28">
        <f>ALL!BT19</f>
        <v>0</v>
      </c>
      <c r="BQ82" s="28">
        <f>ALL!BU19</f>
        <v>0</v>
      </c>
      <c r="BR82" s="28">
        <f>ALL!BV19</f>
        <v>0</v>
      </c>
      <c r="BS82" s="28">
        <f>ALL!BW19</f>
        <v>0</v>
      </c>
      <c r="BT82" s="28">
        <f>ALL!BX19</f>
        <v>0</v>
      </c>
    </row>
    <row r="83" spans="1:72" ht="21.75" outlineLevel="1" thickBot="1" x14ac:dyDescent="0.4">
      <c r="A83" s="62" t="str">
        <f>ALL!E20</f>
        <v>(1)Se[m]</v>
      </c>
      <c r="B83" s="28">
        <f>ALL!F20</f>
        <v>2.1339000000000002E-3</v>
      </c>
      <c r="C83" s="28">
        <f>ALL!G20</f>
        <v>9.3252000000000005E-3</v>
      </c>
      <c r="D83" s="28">
        <f>ALL!H20</f>
        <v>2.9215000000000001E-2</v>
      </c>
      <c r="E83" s="28">
        <f>ALL!I20</f>
        <v>6.1720999999999998E-2</v>
      </c>
      <c r="F83" s="28">
        <f>ALL!J20</f>
        <v>9.1555999999999998E-2</v>
      </c>
      <c r="G83" s="28">
        <f>ALL!K20</f>
        <v>0.14207</v>
      </c>
      <c r="H83" s="28">
        <f>ALL!L20</f>
        <v>0.17254</v>
      </c>
      <c r="I83" s="28">
        <f>ALL!M20</f>
        <v>0.21812000000000001</v>
      </c>
      <c r="J83" s="28">
        <f>ALL!N20</f>
        <v>0.26878000000000002</v>
      </c>
      <c r="K83" s="28">
        <f>ALL!O20</f>
        <v>0.30970999999999999</v>
      </c>
      <c r="L83" s="28">
        <f>ALL!P20</f>
        <v>0.33485999999999999</v>
      </c>
      <c r="M83" s="28">
        <f>ALL!Q20</f>
        <v>0.34788000000000002</v>
      </c>
      <c r="N83" s="28">
        <f>ALL!R20</f>
        <v>0.35415000000000002</v>
      </c>
      <c r="O83" s="28">
        <f>ALL!S20</f>
        <v>0.35713</v>
      </c>
      <c r="P83" s="28">
        <f>ALL!T20</f>
        <v>0.35861999999999999</v>
      </c>
      <c r="Q83" s="28">
        <f>ALL!U20</f>
        <v>0.35970999999999997</v>
      </c>
      <c r="R83" s="28">
        <f>ALL!V20</f>
        <v>0.3619</v>
      </c>
      <c r="S83" s="28">
        <f>ALL!W20</f>
        <v>0.36943999999999999</v>
      </c>
      <c r="T83" s="28">
        <f>ALL!X20</f>
        <v>0.44120999999999999</v>
      </c>
      <c r="U83" s="28">
        <f>ALL!Y20</f>
        <v>0.44485000000000002</v>
      </c>
      <c r="V83" s="28">
        <f>ALL!Z20</f>
        <v>0.44778000000000001</v>
      </c>
      <c r="W83" s="28">
        <f>ALL!AA20</f>
        <v>0.45088</v>
      </c>
      <c r="X83" s="28">
        <f>ALL!AB20</f>
        <v>0.45427000000000001</v>
      </c>
      <c r="Y83" s="28">
        <f>ALL!AC20</f>
        <v>0.45835999999999999</v>
      </c>
      <c r="Z83" s="28">
        <f>ALL!AD20</f>
        <v>0.47164</v>
      </c>
      <c r="AA83" s="28">
        <f>ALL!AE20</f>
        <v>0.47675000000000001</v>
      </c>
      <c r="AB83" s="28">
        <f>ALL!AF20</f>
        <v>0.47871000000000002</v>
      </c>
      <c r="AC83" s="28">
        <f>ALL!AG20</f>
        <v>0.47996</v>
      </c>
      <c r="AD83" s="28">
        <f>ALL!AH20</f>
        <v>0</v>
      </c>
      <c r="AE83" s="28">
        <f>ALL!AI20</f>
        <v>0</v>
      </c>
      <c r="AF83" s="28">
        <f>ALL!AJ20</f>
        <v>0</v>
      </c>
      <c r="AG83" s="28">
        <f>ALL!AK20</f>
        <v>0</v>
      </c>
      <c r="AH83" s="28">
        <f>ALL!AL20</f>
        <v>0</v>
      </c>
      <c r="AI83" s="28">
        <f>ALL!AM20</f>
        <v>0</v>
      </c>
      <c r="AJ83" s="28">
        <f>ALL!AN20</f>
        <v>0</v>
      </c>
      <c r="AK83" s="28">
        <f>ALL!AO20</f>
        <v>0</v>
      </c>
      <c r="AL83" s="28">
        <f>ALL!AP20</f>
        <v>0</v>
      </c>
      <c r="AM83" s="28">
        <f>ALL!AQ20</f>
        <v>0</v>
      </c>
      <c r="AN83" s="28">
        <f>ALL!AR20</f>
        <v>0</v>
      </c>
      <c r="AO83" s="28">
        <f>ALL!AS20</f>
        <v>0</v>
      </c>
      <c r="AP83" s="28">
        <f>ALL!AT20</f>
        <v>0</v>
      </c>
      <c r="AQ83" s="28">
        <f>ALL!AU20</f>
        <v>0</v>
      </c>
      <c r="AR83" s="28">
        <f>ALL!AV20</f>
        <v>0</v>
      </c>
      <c r="AS83" s="28">
        <f>ALL!AW20</f>
        <v>0</v>
      </c>
      <c r="AT83" s="28">
        <f>ALL!AX20</f>
        <v>0</v>
      </c>
      <c r="AU83" s="28">
        <f>ALL!AY20</f>
        <v>0</v>
      </c>
      <c r="AV83" s="28">
        <f>ALL!AZ20</f>
        <v>0</v>
      </c>
      <c r="AW83" s="28">
        <f>ALL!BA20</f>
        <v>0</v>
      </c>
      <c r="AX83" s="28">
        <f>ALL!BB20</f>
        <v>0</v>
      </c>
      <c r="AY83" s="28">
        <f>ALL!BC20</f>
        <v>0</v>
      </c>
      <c r="AZ83" s="28">
        <f>ALL!BD20</f>
        <v>0</v>
      </c>
      <c r="BA83" s="28">
        <f>ALL!BE20</f>
        <v>0</v>
      </c>
      <c r="BB83" s="28">
        <f>ALL!BF20</f>
        <v>0</v>
      </c>
      <c r="BC83" s="28">
        <f>ALL!BG20</f>
        <v>0</v>
      </c>
      <c r="BD83" s="28">
        <f>ALL!BH20</f>
        <v>0</v>
      </c>
      <c r="BE83" s="28">
        <f>ALL!BI20</f>
        <v>0</v>
      </c>
      <c r="BF83" s="28">
        <f>ALL!BJ20</f>
        <v>0</v>
      </c>
      <c r="BG83" s="28">
        <f>ALL!BK20</f>
        <v>0</v>
      </c>
      <c r="BH83" s="28">
        <f>ALL!BL20</f>
        <v>0</v>
      </c>
      <c r="BI83" s="28">
        <f>ALL!BM20</f>
        <v>0</v>
      </c>
      <c r="BJ83" s="28">
        <f>ALL!BN20</f>
        <v>0</v>
      </c>
      <c r="BK83" s="28">
        <f>ALL!BO20</f>
        <v>0</v>
      </c>
      <c r="BL83" s="28">
        <f>ALL!BP20</f>
        <v>0</v>
      </c>
      <c r="BM83" s="28">
        <f>ALL!BQ20</f>
        <v>0</v>
      </c>
      <c r="BN83" s="28">
        <f>ALL!BR20</f>
        <v>0</v>
      </c>
      <c r="BO83" s="28">
        <f>ALL!BS20</f>
        <v>0</v>
      </c>
      <c r="BP83" s="28">
        <f>ALL!BT20</f>
        <v>0</v>
      </c>
      <c r="BQ83" s="28">
        <f>ALL!BU20</f>
        <v>0</v>
      </c>
      <c r="BR83" s="28">
        <f>ALL!BV20</f>
        <v>0</v>
      </c>
      <c r="BS83" s="28">
        <f>ALL!BW20</f>
        <v>0</v>
      </c>
      <c r="BT83" s="28">
        <f>ALL!BX20</f>
        <v>0</v>
      </c>
    </row>
    <row r="84" spans="1:72" ht="21.75" outlineLevel="1" thickBot="1" x14ac:dyDescent="0.4">
      <c r="A84" s="62" t="str">
        <f>ALL!E21</f>
        <v>(1)Se[r]</v>
      </c>
      <c r="B84" s="28">
        <f>ALL!F21</f>
        <v>6.4788000000000002E-12</v>
      </c>
      <c r="C84" s="28">
        <f>ALL!G21</f>
        <v>3.6438999999999997E-11</v>
      </c>
      <c r="D84" s="28">
        <f>ALL!H21</f>
        <v>1.3745E-10</v>
      </c>
      <c r="E84" s="28">
        <f>ALL!I21</f>
        <v>3.3158000000000001E-10</v>
      </c>
      <c r="F84" s="28">
        <f>ALL!J21</f>
        <v>5.3816000000000003E-10</v>
      </c>
      <c r="G84" s="28">
        <f>ALL!K21</f>
        <v>8.9524999999999998E-10</v>
      </c>
      <c r="H84" s="28">
        <f>ALL!L21</f>
        <v>1.0527000000000001E-9</v>
      </c>
      <c r="I84" s="28">
        <f>ALL!M21</f>
        <v>1.2709E-9</v>
      </c>
      <c r="J84" s="28">
        <f>ALL!N21</f>
        <v>1.4783E-9</v>
      </c>
      <c r="K84" s="28">
        <f>ALL!O21</f>
        <v>1.5923E-9</v>
      </c>
      <c r="L84" s="28">
        <f>ALL!P21</f>
        <v>1.5959E-9</v>
      </c>
      <c r="M84" s="28">
        <f>ALL!Q21</f>
        <v>1.5259000000000001E-9</v>
      </c>
      <c r="N84" s="28">
        <f>ALL!R21</f>
        <v>1.421E-9</v>
      </c>
      <c r="O84" s="28">
        <f>ALL!S21</f>
        <v>1.3038E-9</v>
      </c>
      <c r="P84" s="28">
        <f>ALL!T21</f>
        <v>1.1859E-9</v>
      </c>
      <c r="Q84" s="28">
        <f>ALL!U21</f>
        <v>1.0730999999999999E-9</v>
      </c>
      <c r="R84" s="28">
        <f>ALL!V21</f>
        <v>9.7069999999999997E-10</v>
      </c>
      <c r="S84" s="28">
        <f>ALL!W21</f>
        <v>8.8829000000000004E-10</v>
      </c>
      <c r="T84" s="28">
        <f>ALL!X21</f>
        <v>6.6946999999999996E-10</v>
      </c>
      <c r="U84" s="28">
        <f>ALL!Y21</f>
        <v>5.9896999999999995E-10</v>
      </c>
      <c r="V84" s="28">
        <f>ALL!Z21</f>
        <v>5.3429000000000002E-10</v>
      </c>
      <c r="W84" s="28">
        <f>ALL!AA21</f>
        <v>4.7617000000000002E-10</v>
      </c>
      <c r="X84" s="28">
        <f>ALL!AB21</f>
        <v>4.2419000000000001E-10</v>
      </c>
      <c r="Y84" s="28">
        <f>ALL!AC21</f>
        <v>3.7808E-10</v>
      </c>
      <c r="Z84" s="28">
        <f>ALL!AD21</f>
        <v>3.4335000000000001E-10</v>
      </c>
      <c r="AA84" s="28">
        <f>ALL!AE21</f>
        <v>3.0610000000000001E-10</v>
      </c>
      <c r="AB84" s="28">
        <f>ALL!AF21</f>
        <v>2.7088999999999998E-10</v>
      </c>
      <c r="AC84" s="28">
        <f>ALL!AG21</f>
        <v>1.6297000000000001E-10</v>
      </c>
      <c r="AD84" s="28">
        <f>ALL!AH21</f>
        <v>0</v>
      </c>
      <c r="AE84" s="28">
        <f>ALL!AI21</f>
        <v>0</v>
      </c>
      <c r="AF84" s="28">
        <f>ALL!AJ21</f>
        <v>0</v>
      </c>
      <c r="AG84" s="28">
        <f>ALL!AK21</f>
        <v>0</v>
      </c>
      <c r="AH84" s="28">
        <f>ALL!AL21</f>
        <v>0</v>
      </c>
      <c r="AI84" s="28">
        <f>ALL!AM21</f>
        <v>0</v>
      </c>
      <c r="AJ84" s="28">
        <f>ALL!AN21</f>
        <v>0</v>
      </c>
      <c r="AK84" s="28">
        <f>ALL!AO21</f>
        <v>0</v>
      </c>
      <c r="AL84" s="28">
        <f>ALL!AP21</f>
        <v>0</v>
      </c>
      <c r="AM84" s="28">
        <f>ALL!AQ21</f>
        <v>0</v>
      </c>
      <c r="AN84" s="28">
        <f>ALL!AR21</f>
        <v>0</v>
      </c>
      <c r="AO84" s="28">
        <f>ALL!AS21</f>
        <v>0</v>
      </c>
      <c r="AP84" s="28">
        <f>ALL!AT21</f>
        <v>0</v>
      </c>
      <c r="AQ84" s="28">
        <f>ALL!AU21</f>
        <v>0</v>
      </c>
      <c r="AR84" s="28">
        <f>ALL!AV21</f>
        <v>0</v>
      </c>
      <c r="AS84" s="28">
        <f>ALL!AW21</f>
        <v>0</v>
      </c>
      <c r="AT84" s="28">
        <f>ALL!AX21</f>
        <v>0</v>
      </c>
      <c r="AU84" s="28">
        <f>ALL!AY21</f>
        <v>0</v>
      </c>
      <c r="AV84" s="28">
        <f>ALL!AZ21</f>
        <v>0</v>
      </c>
      <c r="AW84" s="28">
        <f>ALL!BA21</f>
        <v>0</v>
      </c>
      <c r="AX84" s="28">
        <f>ALL!BB21</f>
        <v>0</v>
      </c>
      <c r="AY84" s="28">
        <f>ALL!BC21</f>
        <v>0</v>
      </c>
      <c r="AZ84" s="28">
        <f>ALL!BD21</f>
        <v>0</v>
      </c>
      <c r="BA84" s="28">
        <f>ALL!BE21</f>
        <v>0</v>
      </c>
      <c r="BB84" s="28">
        <f>ALL!BF21</f>
        <v>0</v>
      </c>
      <c r="BC84" s="28">
        <f>ALL!BG21</f>
        <v>0</v>
      </c>
      <c r="BD84" s="28">
        <f>ALL!BH21</f>
        <v>0</v>
      </c>
      <c r="BE84" s="28">
        <f>ALL!BI21</f>
        <v>0</v>
      </c>
      <c r="BF84" s="28">
        <f>ALL!BJ21</f>
        <v>0</v>
      </c>
      <c r="BG84" s="28">
        <f>ALL!BK21</f>
        <v>0</v>
      </c>
      <c r="BH84" s="28">
        <f>ALL!BL21</f>
        <v>0</v>
      </c>
      <c r="BI84" s="28">
        <f>ALL!BM21</f>
        <v>0</v>
      </c>
      <c r="BJ84" s="28">
        <f>ALL!BN21</f>
        <v>0</v>
      </c>
      <c r="BK84" s="28">
        <f>ALL!BO21</f>
        <v>0</v>
      </c>
      <c r="BL84" s="28">
        <f>ALL!BP21</f>
        <v>0</v>
      </c>
      <c r="BM84" s="28">
        <f>ALL!BQ21</f>
        <v>0</v>
      </c>
      <c r="BN84" s="28">
        <f>ALL!BR21</f>
        <v>0</v>
      </c>
      <c r="BO84" s="28">
        <f>ALL!BS21</f>
        <v>0</v>
      </c>
      <c r="BP84" s="28">
        <f>ALL!BT21</f>
        <v>0</v>
      </c>
      <c r="BQ84" s="28">
        <f>ALL!BU21</f>
        <v>0</v>
      </c>
      <c r="BR84" s="28">
        <f>ALL!BV21</f>
        <v>0</v>
      </c>
      <c r="BS84" s="28">
        <f>ALL!BW21</f>
        <v>0</v>
      </c>
      <c r="BT84" s="28">
        <f>ALL!BX21</f>
        <v>0</v>
      </c>
    </row>
    <row r="85" spans="1:72" ht="21.75" outlineLevel="1" thickBot="1" x14ac:dyDescent="0.4">
      <c r="A85" s="62" t="str">
        <f>ALL!E22</f>
        <v>(1)Ge[c]</v>
      </c>
      <c r="B85" s="28">
        <f>ALL!F22</f>
        <v>4.5409000000000001E-7</v>
      </c>
      <c r="C85" s="28">
        <f>ALL!G22</f>
        <v>1.1596000000000001E-6</v>
      </c>
      <c r="D85" s="28">
        <f>ALL!H22</f>
        <v>3.6376000000000001E-6</v>
      </c>
      <c r="E85" s="28">
        <f>ALL!I22</f>
        <v>1.4951E-5</v>
      </c>
      <c r="F85" s="28">
        <f>ALL!J22</f>
        <v>6.8635999999999998E-5</v>
      </c>
      <c r="G85" s="28">
        <f>ALL!K22</f>
        <v>1.1455999999999999E-2</v>
      </c>
      <c r="H85" s="28">
        <f>ALL!L22</f>
        <v>2.6453999999999998E-2</v>
      </c>
      <c r="I85" s="28">
        <f>ALL!M22</f>
        <v>4.9137E-2</v>
      </c>
      <c r="J85" s="28">
        <f>ALL!N22</f>
        <v>7.4415999999999996E-2</v>
      </c>
      <c r="K85" s="28">
        <f>ALL!O22</f>
        <v>9.4864000000000004E-2</v>
      </c>
      <c r="L85" s="28">
        <f>ALL!P22</f>
        <v>0.10743</v>
      </c>
      <c r="M85" s="28">
        <f>ALL!Q22</f>
        <v>0.11394</v>
      </c>
      <c r="N85" s="28">
        <f>ALL!R22</f>
        <v>0.11706999999999999</v>
      </c>
      <c r="O85" s="28">
        <f>ALL!S22</f>
        <v>0.11856</v>
      </c>
      <c r="P85" s="28">
        <f>ALL!T22</f>
        <v>0.11927</v>
      </c>
      <c r="Q85" s="28">
        <f>ALL!U22</f>
        <v>0.11962</v>
      </c>
      <c r="R85" s="28">
        <f>ALL!V22</f>
        <v>0.1198</v>
      </c>
      <c r="S85" s="28">
        <f>ALL!W22</f>
        <v>0.11989</v>
      </c>
      <c r="T85" s="28">
        <f>ALL!X22</f>
        <v>0.11999</v>
      </c>
      <c r="U85" s="28">
        <f>ALL!Y22</f>
        <v>0.11999</v>
      </c>
      <c r="V85" s="28">
        <f>ALL!Z22</f>
        <v>0.11999</v>
      </c>
      <c r="W85" s="28">
        <f>ALL!AA22</f>
        <v>0.12</v>
      </c>
      <c r="X85" s="28">
        <f>ALL!AB22</f>
        <v>0.12</v>
      </c>
      <c r="Y85" s="28">
        <f>ALL!AC22</f>
        <v>0.11996999999999999</v>
      </c>
      <c r="Z85" s="28">
        <f>ALL!AD22</f>
        <v>0.11926</v>
      </c>
      <c r="AA85" s="28">
        <f>ALL!AE22</f>
        <v>0.11877</v>
      </c>
      <c r="AB85" s="28">
        <f>ALL!AF22</f>
        <v>0.11837</v>
      </c>
      <c r="AC85" s="28">
        <f>ALL!AG22</f>
        <v>0.11694</v>
      </c>
      <c r="AD85" s="28">
        <f>ALL!AH22</f>
        <v>0</v>
      </c>
      <c r="AE85" s="28">
        <f>ALL!AI22</f>
        <v>0</v>
      </c>
      <c r="AF85" s="28">
        <f>ALL!AJ22</f>
        <v>0</v>
      </c>
      <c r="AG85" s="28">
        <f>ALL!AK22</f>
        <v>0</v>
      </c>
      <c r="AH85" s="28">
        <f>ALL!AL22</f>
        <v>0</v>
      </c>
      <c r="AI85" s="28">
        <f>ALL!AM22</f>
        <v>0</v>
      </c>
      <c r="AJ85" s="28">
        <f>ALL!AN22</f>
        <v>0</v>
      </c>
      <c r="AK85" s="28">
        <f>ALL!AO22</f>
        <v>0</v>
      </c>
      <c r="AL85" s="28">
        <f>ALL!AP22</f>
        <v>0</v>
      </c>
      <c r="AM85" s="28">
        <f>ALL!AQ22</f>
        <v>0</v>
      </c>
      <c r="AN85" s="28">
        <f>ALL!AR22</f>
        <v>0</v>
      </c>
      <c r="AO85" s="28">
        <f>ALL!AS22</f>
        <v>0</v>
      </c>
      <c r="AP85" s="28">
        <f>ALL!AT22</f>
        <v>0</v>
      </c>
      <c r="AQ85" s="28">
        <f>ALL!AU22</f>
        <v>0</v>
      </c>
      <c r="AR85" s="28">
        <f>ALL!AV22</f>
        <v>0</v>
      </c>
      <c r="AS85" s="28">
        <f>ALL!AW22</f>
        <v>0</v>
      </c>
      <c r="AT85" s="28">
        <f>ALL!AX22</f>
        <v>0</v>
      </c>
      <c r="AU85" s="28">
        <f>ALL!AY22</f>
        <v>0</v>
      </c>
      <c r="AV85" s="28">
        <f>ALL!AZ22</f>
        <v>0</v>
      </c>
      <c r="AW85" s="28">
        <f>ALL!BA22</f>
        <v>0</v>
      </c>
      <c r="AX85" s="28">
        <f>ALL!BB22</f>
        <v>0</v>
      </c>
      <c r="AY85" s="28">
        <f>ALL!BC22</f>
        <v>0</v>
      </c>
      <c r="AZ85" s="28">
        <f>ALL!BD22</f>
        <v>0</v>
      </c>
      <c r="BA85" s="28">
        <f>ALL!BE22</f>
        <v>0</v>
      </c>
      <c r="BB85" s="28">
        <f>ALL!BF22</f>
        <v>0</v>
      </c>
      <c r="BC85" s="28">
        <f>ALL!BG22</f>
        <v>0</v>
      </c>
      <c r="BD85" s="28">
        <f>ALL!BH22</f>
        <v>0</v>
      </c>
      <c r="BE85" s="28">
        <f>ALL!BI22</f>
        <v>0</v>
      </c>
      <c r="BF85" s="28">
        <f>ALL!BJ22</f>
        <v>0</v>
      </c>
      <c r="BG85" s="28">
        <f>ALL!BK22</f>
        <v>0</v>
      </c>
      <c r="BH85" s="28">
        <f>ALL!BL22</f>
        <v>0</v>
      </c>
      <c r="BI85" s="28">
        <f>ALL!BM22</f>
        <v>0</v>
      </c>
      <c r="BJ85" s="28">
        <f>ALL!BN22</f>
        <v>0</v>
      </c>
      <c r="BK85" s="28">
        <f>ALL!BO22</f>
        <v>0</v>
      </c>
      <c r="BL85" s="28">
        <f>ALL!BP22</f>
        <v>0</v>
      </c>
      <c r="BM85" s="28">
        <f>ALL!BQ22</f>
        <v>0</v>
      </c>
      <c r="BN85" s="28">
        <f>ALL!BR22</f>
        <v>0</v>
      </c>
      <c r="BO85" s="28">
        <f>ALL!BS22</f>
        <v>0</v>
      </c>
      <c r="BP85" s="28">
        <f>ALL!BT22</f>
        <v>0</v>
      </c>
      <c r="BQ85" s="28">
        <f>ALL!BU22</f>
        <v>0</v>
      </c>
      <c r="BR85" s="28">
        <f>ALL!BV22</f>
        <v>0</v>
      </c>
      <c r="BS85" s="28">
        <f>ALL!BW22</f>
        <v>0</v>
      </c>
      <c r="BT85" s="28">
        <f>ALL!BX22</f>
        <v>0</v>
      </c>
    </row>
    <row r="86" spans="1:72" ht="21.75" outlineLevel="1" thickBot="1" x14ac:dyDescent="0.4">
      <c r="A86" s="62" t="str">
        <f>ALL!E23</f>
        <v>(3)Ga[l]</v>
      </c>
      <c r="B86" s="28">
        <f>ALL!F23</f>
        <v>0</v>
      </c>
      <c r="C86" s="28">
        <f>ALL!G23</f>
        <v>0</v>
      </c>
      <c r="D86" s="28">
        <f>ALL!H23</f>
        <v>0</v>
      </c>
      <c r="E86" s="28">
        <f>ALL!I23</f>
        <v>0</v>
      </c>
      <c r="F86" s="28">
        <f>ALL!J23</f>
        <v>0</v>
      </c>
      <c r="G86" s="28">
        <f>ALL!K23</f>
        <v>0</v>
      </c>
      <c r="H86" s="28">
        <f>ALL!L23</f>
        <v>0</v>
      </c>
      <c r="I86" s="28">
        <f>ALL!M23</f>
        <v>0</v>
      </c>
      <c r="J86" s="28">
        <f>ALL!N23</f>
        <v>0</v>
      </c>
      <c r="K86" s="28">
        <f>ALL!O23</f>
        <v>0</v>
      </c>
      <c r="L86" s="28">
        <f>ALL!P23</f>
        <v>0</v>
      </c>
      <c r="M86" s="28">
        <f>ALL!Q23</f>
        <v>0</v>
      </c>
      <c r="N86" s="28">
        <f>ALL!R23</f>
        <v>0</v>
      </c>
      <c r="O86" s="28">
        <f>ALL!S23</f>
        <v>0</v>
      </c>
      <c r="P86" s="28">
        <f>ALL!T23</f>
        <v>0</v>
      </c>
      <c r="Q86" s="28">
        <f>ALL!U23</f>
        <v>0</v>
      </c>
      <c r="R86" s="28">
        <f>ALL!V23</f>
        <v>0</v>
      </c>
      <c r="S86" s="28">
        <f>ALL!W23</f>
        <v>0</v>
      </c>
      <c r="T86" s="28">
        <f>ALL!X23</f>
        <v>2.9604E-33</v>
      </c>
      <c r="U86" s="28">
        <f>ALL!Y23</f>
        <v>3.7014000000000003E-26</v>
      </c>
      <c r="V86" s="28">
        <f>ALL!Z23</f>
        <v>2.1821E-19</v>
      </c>
      <c r="W86" s="28">
        <f>ALL!AA23</f>
        <v>3.8508999999999998E-13</v>
      </c>
      <c r="X86" s="28">
        <f>ALL!AB23</f>
        <v>5.2928000000000003E-8</v>
      </c>
      <c r="Y86" s="28">
        <f>ALL!AC23</f>
        <v>1.5735E-3</v>
      </c>
      <c r="Z86" s="28">
        <f>ALL!AD23</f>
        <v>3.5756999999999997E-2</v>
      </c>
      <c r="AA86" s="28">
        <f>ALL!AE23</f>
        <v>5.2352000000000003E-2</v>
      </c>
      <c r="AB86" s="28">
        <f>ALL!AF23</f>
        <v>6.1423999999999999E-2</v>
      </c>
      <c r="AC86" s="28">
        <f>ALL!AG23</f>
        <v>7.5535000000000005E-2</v>
      </c>
      <c r="AD86" s="28">
        <f>ALL!AH23</f>
        <v>0</v>
      </c>
      <c r="AE86" s="28">
        <f>ALL!AI23</f>
        <v>0</v>
      </c>
      <c r="AF86" s="28">
        <f>ALL!AJ23</f>
        <v>0</v>
      </c>
      <c r="AG86" s="28">
        <f>ALL!AK23</f>
        <v>0</v>
      </c>
      <c r="AH86" s="28">
        <f>ALL!AL23</f>
        <v>0</v>
      </c>
      <c r="AI86" s="28">
        <f>ALL!AM23</f>
        <v>0</v>
      </c>
      <c r="AJ86" s="28">
        <f>ALL!AN23</f>
        <v>0</v>
      </c>
      <c r="AK86" s="28">
        <f>ALL!AO23</f>
        <v>0</v>
      </c>
      <c r="AL86" s="28">
        <f>ALL!AP23</f>
        <v>0</v>
      </c>
      <c r="AM86" s="28">
        <f>ALL!AQ23</f>
        <v>0</v>
      </c>
      <c r="AN86" s="28">
        <f>ALL!AR23</f>
        <v>0</v>
      </c>
      <c r="AO86" s="28">
        <f>ALL!AS23</f>
        <v>0</v>
      </c>
      <c r="AP86" s="28">
        <f>ALL!AT23</f>
        <v>0</v>
      </c>
      <c r="AQ86" s="28">
        <f>ALL!AU23</f>
        <v>0</v>
      </c>
      <c r="AR86" s="28">
        <f>ALL!AV23</f>
        <v>0</v>
      </c>
      <c r="AS86" s="28">
        <f>ALL!AW23</f>
        <v>0</v>
      </c>
      <c r="AT86" s="28">
        <f>ALL!AX23</f>
        <v>0</v>
      </c>
      <c r="AU86" s="28">
        <f>ALL!AY23</f>
        <v>0</v>
      </c>
      <c r="AV86" s="28">
        <f>ALL!AZ23</f>
        <v>0</v>
      </c>
      <c r="AW86" s="28">
        <f>ALL!BA23</f>
        <v>0</v>
      </c>
      <c r="AX86" s="28">
        <f>ALL!BB23</f>
        <v>0</v>
      </c>
      <c r="AY86" s="28">
        <f>ALL!BC23</f>
        <v>0</v>
      </c>
      <c r="AZ86" s="28">
        <f>ALL!BD23</f>
        <v>0</v>
      </c>
      <c r="BA86" s="28">
        <f>ALL!BE23</f>
        <v>0</v>
      </c>
      <c r="BB86" s="28">
        <f>ALL!BF23</f>
        <v>0</v>
      </c>
      <c r="BC86" s="28">
        <f>ALL!BG23</f>
        <v>0</v>
      </c>
      <c r="BD86" s="28">
        <f>ALL!BH23</f>
        <v>0</v>
      </c>
      <c r="BE86" s="28">
        <f>ALL!BI23</f>
        <v>0</v>
      </c>
      <c r="BF86" s="28">
        <f>ALL!BJ23</f>
        <v>0</v>
      </c>
      <c r="BG86" s="28">
        <f>ALL!BK23</f>
        <v>0</v>
      </c>
      <c r="BH86" s="28">
        <f>ALL!BL23</f>
        <v>0</v>
      </c>
      <c r="BI86" s="28">
        <f>ALL!BM23</f>
        <v>0</v>
      </c>
      <c r="BJ86" s="28">
        <f>ALL!BN23</f>
        <v>0</v>
      </c>
      <c r="BK86" s="28">
        <f>ALL!BO23</f>
        <v>0</v>
      </c>
      <c r="BL86" s="28">
        <f>ALL!BP23</f>
        <v>0</v>
      </c>
      <c r="BM86" s="28">
        <f>ALL!BQ23</f>
        <v>0</v>
      </c>
      <c r="BN86" s="28">
        <f>ALL!BR23</f>
        <v>0</v>
      </c>
      <c r="BO86" s="28">
        <f>ALL!BS23</f>
        <v>0</v>
      </c>
      <c r="BP86" s="28">
        <f>ALL!BT23</f>
        <v>0</v>
      </c>
      <c r="BQ86" s="28">
        <f>ALL!BU23</f>
        <v>0</v>
      </c>
      <c r="BR86" s="28">
        <f>ALL!BV23</f>
        <v>0</v>
      </c>
      <c r="BS86" s="28">
        <f>ALL!BW23</f>
        <v>0</v>
      </c>
      <c r="BT86" s="28">
        <f>ALL!BX23</f>
        <v>0</v>
      </c>
    </row>
    <row r="87" spans="1:72" ht="21.75" outlineLevel="1" thickBot="1" x14ac:dyDescent="0.4">
      <c r="A87" s="62" t="str">
        <f>ALL!E24</f>
        <v>(3)Ge[l]</v>
      </c>
      <c r="B87" s="28">
        <f>ALL!F24</f>
        <v>0</v>
      </c>
      <c r="C87" s="28">
        <f>ALL!G24</f>
        <v>0</v>
      </c>
      <c r="D87" s="28">
        <f>ALL!H24</f>
        <v>0</v>
      </c>
      <c r="E87" s="28">
        <f>ALL!I24</f>
        <v>0</v>
      </c>
      <c r="F87" s="28">
        <f>ALL!J24</f>
        <v>0</v>
      </c>
      <c r="G87" s="28">
        <f>ALL!K24</f>
        <v>0</v>
      </c>
      <c r="H87" s="28">
        <f>ALL!L24</f>
        <v>0</v>
      </c>
      <c r="I87" s="28">
        <f>ALL!M24</f>
        <v>0</v>
      </c>
      <c r="J87" s="28">
        <f>ALL!N24</f>
        <v>0</v>
      </c>
      <c r="K87" s="28">
        <f>ALL!O24</f>
        <v>0</v>
      </c>
      <c r="L87" s="28">
        <f>ALL!P24</f>
        <v>0</v>
      </c>
      <c r="M87" s="28">
        <f>ALL!Q24</f>
        <v>0</v>
      </c>
      <c r="N87" s="28">
        <f>ALL!R24</f>
        <v>0</v>
      </c>
      <c r="O87" s="28">
        <f>ALL!S24</f>
        <v>0</v>
      </c>
      <c r="P87" s="28">
        <f>ALL!T24</f>
        <v>0</v>
      </c>
      <c r="Q87" s="28">
        <f>ALL!U24</f>
        <v>0</v>
      </c>
      <c r="R87" s="28">
        <f>ALL!V24</f>
        <v>0</v>
      </c>
      <c r="S87" s="28">
        <f>ALL!W24</f>
        <v>0</v>
      </c>
      <c r="T87" s="28">
        <f>ALL!X24</f>
        <v>6.6405999999999999E-34</v>
      </c>
      <c r="U87" s="28">
        <f>ALL!Y24</f>
        <v>5.4394E-27</v>
      </c>
      <c r="V87" s="28">
        <f>ALL!Z24</f>
        <v>2.1702999999999999E-20</v>
      </c>
      <c r="W87" s="28">
        <f>ALL!AA24</f>
        <v>2.6639000000000001E-14</v>
      </c>
      <c r="X87" s="28">
        <f>ALL!AB24</f>
        <v>2.6133000000000001E-9</v>
      </c>
      <c r="Y87" s="28">
        <f>ALL!AC24</f>
        <v>5.7606999999999999E-5</v>
      </c>
      <c r="Z87" s="28">
        <f>ALL!AD24</f>
        <v>1.4848999999999999E-3</v>
      </c>
      <c r="AA87" s="28">
        <f>ALL!AE24</f>
        <v>2.4618999999999999E-3</v>
      </c>
      <c r="AB87" s="28">
        <f>ALL!AF24</f>
        <v>3.2528000000000001E-3</v>
      </c>
      <c r="AC87" s="28">
        <f>ALL!AG24</f>
        <v>6.1139000000000002E-3</v>
      </c>
      <c r="AD87" s="28">
        <f>ALL!AH24</f>
        <v>0</v>
      </c>
      <c r="AE87" s="28">
        <f>ALL!AI24</f>
        <v>0</v>
      </c>
      <c r="AF87" s="28">
        <f>ALL!AJ24</f>
        <v>0</v>
      </c>
      <c r="AG87" s="28">
        <f>ALL!AK24</f>
        <v>0</v>
      </c>
      <c r="AH87" s="28">
        <f>ALL!AL24</f>
        <v>0</v>
      </c>
      <c r="AI87" s="28">
        <f>ALL!AM24</f>
        <v>0</v>
      </c>
      <c r="AJ87" s="28">
        <f>ALL!AN24</f>
        <v>0</v>
      </c>
      <c r="AK87" s="28">
        <f>ALL!AO24</f>
        <v>0</v>
      </c>
      <c r="AL87" s="28">
        <f>ALL!AP24</f>
        <v>0</v>
      </c>
      <c r="AM87" s="28">
        <f>ALL!AQ24</f>
        <v>0</v>
      </c>
      <c r="AN87" s="28">
        <f>ALL!AR24</f>
        <v>0</v>
      </c>
      <c r="AO87" s="28">
        <f>ALL!AS24</f>
        <v>0</v>
      </c>
      <c r="AP87" s="28">
        <f>ALL!AT24</f>
        <v>0</v>
      </c>
      <c r="AQ87" s="28">
        <f>ALL!AU24</f>
        <v>0</v>
      </c>
      <c r="AR87" s="28">
        <f>ALL!AV24</f>
        <v>0</v>
      </c>
      <c r="AS87" s="28">
        <f>ALL!AW24</f>
        <v>0</v>
      </c>
      <c r="AT87" s="28">
        <f>ALL!AX24</f>
        <v>0</v>
      </c>
      <c r="AU87" s="28">
        <f>ALL!AY24</f>
        <v>0</v>
      </c>
      <c r="AV87" s="28">
        <f>ALL!AZ24</f>
        <v>0</v>
      </c>
      <c r="AW87" s="28">
        <f>ALL!BA24</f>
        <v>0</v>
      </c>
      <c r="AX87" s="28">
        <f>ALL!BB24</f>
        <v>0</v>
      </c>
      <c r="AY87" s="28">
        <f>ALL!BC24</f>
        <v>0</v>
      </c>
      <c r="AZ87" s="28">
        <f>ALL!BD24</f>
        <v>0</v>
      </c>
      <c r="BA87" s="28">
        <f>ALL!BE24</f>
        <v>0</v>
      </c>
      <c r="BB87" s="28">
        <f>ALL!BF24</f>
        <v>0</v>
      </c>
      <c r="BC87" s="28">
        <f>ALL!BG24</f>
        <v>0</v>
      </c>
      <c r="BD87" s="28">
        <f>ALL!BH24</f>
        <v>0</v>
      </c>
      <c r="BE87" s="28">
        <f>ALL!BI24</f>
        <v>0</v>
      </c>
      <c r="BF87" s="28">
        <f>ALL!BJ24</f>
        <v>0</v>
      </c>
      <c r="BG87" s="28">
        <f>ALL!BK24</f>
        <v>0</v>
      </c>
      <c r="BH87" s="28">
        <f>ALL!BL24</f>
        <v>0</v>
      </c>
      <c r="BI87" s="28">
        <f>ALL!BM24</f>
        <v>0</v>
      </c>
      <c r="BJ87" s="28">
        <f>ALL!BN24</f>
        <v>0</v>
      </c>
      <c r="BK87" s="28">
        <f>ALL!BO24</f>
        <v>0</v>
      </c>
      <c r="BL87" s="28">
        <f>ALL!BP24</f>
        <v>0</v>
      </c>
      <c r="BM87" s="28">
        <f>ALL!BQ24</f>
        <v>0</v>
      </c>
      <c r="BN87" s="28">
        <f>ALL!BR24</f>
        <v>0</v>
      </c>
      <c r="BO87" s="28">
        <f>ALL!BS24</f>
        <v>0</v>
      </c>
      <c r="BP87" s="28">
        <f>ALL!BT24</f>
        <v>0</v>
      </c>
      <c r="BQ87" s="28">
        <f>ALL!BU24</f>
        <v>0</v>
      </c>
      <c r="BR87" s="28">
        <f>ALL!BV24</f>
        <v>0</v>
      </c>
      <c r="BS87" s="28">
        <f>ALL!BW24</f>
        <v>0</v>
      </c>
      <c r="BT87" s="28">
        <f>ALL!BX24</f>
        <v>0</v>
      </c>
    </row>
    <row r="88" spans="1:72" ht="21.75" outlineLevel="1" thickBot="1" x14ac:dyDescent="0.4">
      <c r="A88" s="62" t="str">
        <f>ALL!E25</f>
        <v>H (Ar)</v>
      </c>
      <c r="B88" s="28">
        <f>ALL!F25</f>
        <v>-18.71</v>
      </c>
      <c r="C88" s="28">
        <f>ALL!G25</f>
        <v>-18.7</v>
      </c>
      <c r="D88" s="28">
        <f>ALL!H25</f>
        <v>-18.7</v>
      </c>
      <c r="E88" s="28">
        <f>ALL!I25</f>
        <v>-18.7</v>
      </c>
      <c r="F88" s="28">
        <f>ALL!J25</f>
        <v>-18.72</v>
      </c>
      <c r="G88" s="28">
        <f>ALL!K25</f>
        <v>-18.829999999999998</v>
      </c>
      <c r="H88" s="28">
        <f>ALL!L25</f>
        <v>-18.87</v>
      </c>
      <c r="I88" s="28">
        <f>ALL!M25</f>
        <v>-18.899999999999999</v>
      </c>
      <c r="J88" s="28">
        <f>ALL!N25</f>
        <v>-18.940000000000001</v>
      </c>
      <c r="K88" s="28">
        <f>ALL!O25</f>
        <v>-18.98</v>
      </c>
      <c r="L88" s="28">
        <f>ALL!P25</f>
        <v>-19.02</v>
      </c>
      <c r="M88" s="28">
        <f>ALL!Q25</f>
        <v>-19.059999999999999</v>
      </c>
      <c r="N88" s="28">
        <f>ALL!R25</f>
        <v>-19.100000000000001</v>
      </c>
      <c r="O88" s="28">
        <f>ALL!S25</f>
        <v>-19.14</v>
      </c>
      <c r="P88" s="28">
        <f>ALL!T25</f>
        <v>-19.18</v>
      </c>
      <c r="Q88" s="28">
        <f>ALL!U25</f>
        <v>-19.23</v>
      </c>
      <c r="R88" s="28">
        <f>ALL!V25</f>
        <v>-19.27</v>
      </c>
      <c r="S88" s="28">
        <f>ALL!W25</f>
        <v>-19.3</v>
      </c>
      <c r="T88" s="28">
        <f>ALL!X25</f>
        <v>-19.43</v>
      </c>
      <c r="U88" s="28">
        <f>ALL!Y25</f>
        <v>-19.47</v>
      </c>
      <c r="V88" s="28">
        <f>ALL!Z25</f>
        <v>-19.510000000000002</v>
      </c>
      <c r="W88" s="28">
        <f>ALL!AA25</f>
        <v>-19.55</v>
      </c>
      <c r="X88" s="28">
        <f>ALL!AB25</f>
        <v>-19.59</v>
      </c>
      <c r="Y88" s="28">
        <f>ALL!AC25</f>
        <v>-19.62</v>
      </c>
      <c r="Z88" s="28">
        <f>ALL!AD25</f>
        <v>-19.66</v>
      </c>
      <c r="AA88" s="28">
        <f>ALL!AE25</f>
        <v>-19.7</v>
      </c>
      <c r="AB88" s="28">
        <f>ALL!AF25</f>
        <v>-19.739999999999998</v>
      </c>
      <c r="AC88" s="28">
        <f>ALL!AG25</f>
        <v>-19.88</v>
      </c>
      <c r="AD88" s="28">
        <f>ALL!AH25</f>
        <v>0</v>
      </c>
      <c r="AE88" s="28">
        <f>ALL!AI25</f>
        <v>0</v>
      </c>
      <c r="AF88" s="28">
        <f>ALL!AJ25</f>
        <v>0</v>
      </c>
      <c r="AG88" s="28">
        <f>ALL!AK25</f>
        <v>0</v>
      </c>
      <c r="AH88" s="28">
        <f>ALL!AL25</f>
        <v>0</v>
      </c>
      <c r="AI88" s="28">
        <f>ALL!AM25</f>
        <v>0</v>
      </c>
      <c r="AJ88" s="28">
        <f>ALL!AN25</f>
        <v>0</v>
      </c>
      <c r="AK88" s="28">
        <f>ALL!AO25</f>
        <v>0</v>
      </c>
      <c r="AL88" s="28">
        <f>ALL!AP25</f>
        <v>0</v>
      </c>
      <c r="AM88" s="28">
        <f>ALL!AQ25</f>
        <v>0</v>
      </c>
      <c r="AN88" s="28">
        <f>ALL!AR25</f>
        <v>0</v>
      </c>
      <c r="AO88" s="28">
        <f>ALL!AS25</f>
        <v>0</v>
      </c>
      <c r="AP88" s="28">
        <f>ALL!AT25</f>
        <v>0</v>
      </c>
      <c r="AQ88" s="28">
        <f>ALL!AU25</f>
        <v>0</v>
      </c>
      <c r="AR88" s="28">
        <f>ALL!AV25</f>
        <v>0</v>
      </c>
      <c r="AS88" s="28">
        <f>ALL!AW25</f>
        <v>0</v>
      </c>
      <c r="AT88" s="28">
        <f>ALL!AX25</f>
        <v>0</v>
      </c>
      <c r="AU88" s="28">
        <f>ALL!AY25</f>
        <v>0</v>
      </c>
      <c r="AV88" s="28">
        <f>ALL!AZ25</f>
        <v>0</v>
      </c>
      <c r="AW88" s="28">
        <f>ALL!BA25</f>
        <v>0</v>
      </c>
      <c r="AX88" s="28">
        <f>ALL!BB25</f>
        <v>0</v>
      </c>
      <c r="AY88" s="28">
        <f>ALL!BC25</f>
        <v>0</v>
      </c>
      <c r="AZ88" s="28">
        <f>ALL!BD25</f>
        <v>0</v>
      </c>
      <c r="BA88" s="28">
        <f>ALL!BE25</f>
        <v>0</v>
      </c>
      <c r="BB88" s="28">
        <f>ALL!BF25</f>
        <v>0</v>
      </c>
      <c r="BC88" s="28">
        <f>ALL!BG25</f>
        <v>0</v>
      </c>
      <c r="BD88" s="28">
        <f>ALL!BH25</f>
        <v>0</v>
      </c>
      <c r="BE88" s="28">
        <f>ALL!BI25</f>
        <v>0</v>
      </c>
      <c r="BF88" s="28">
        <f>ALL!BJ25</f>
        <v>0</v>
      </c>
      <c r="BG88" s="28">
        <f>ALL!BK25</f>
        <v>0</v>
      </c>
      <c r="BH88" s="28">
        <f>ALL!BL25</f>
        <v>0</v>
      </c>
      <c r="BI88" s="28">
        <f>ALL!BM25</f>
        <v>0</v>
      </c>
      <c r="BJ88" s="28">
        <f>ALL!BN25</f>
        <v>0</v>
      </c>
      <c r="BK88" s="28">
        <f>ALL!BO25</f>
        <v>0</v>
      </c>
      <c r="BL88" s="28">
        <f>ALL!BP25</f>
        <v>0</v>
      </c>
      <c r="BM88" s="28">
        <f>ALL!BQ25</f>
        <v>0</v>
      </c>
      <c r="BN88" s="28">
        <f>ALL!BR25</f>
        <v>0</v>
      </c>
      <c r="BO88" s="28">
        <f>ALL!BS25</f>
        <v>0</v>
      </c>
      <c r="BP88" s="28">
        <f>ALL!BT25</f>
        <v>0</v>
      </c>
      <c r="BQ88" s="28">
        <f>ALL!BU25</f>
        <v>0</v>
      </c>
      <c r="BR88" s="28">
        <f>ALL!BV25</f>
        <v>0</v>
      </c>
      <c r="BS88" s="28">
        <f>ALL!BW25</f>
        <v>0</v>
      </c>
      <c r="BT88" s="28">
        <f>ALL!BX25</f>
        <v>0</v>
      </c>
    </row>
    <row r="89" spans="1:72" ht="21.75" outlineLevel="1" thickBot="1" x14ac:dyDescent="0.4">
      <c r="A89" s="62" t="str">
        <f>ALL!E26</f>
        <v>H (Ga)</v>
      </c>
      <c r="B89" s="28">
        <f>ALL!F26</f>
        <v>-66.75</v>
      </c>
      <c r="C89" s="28">
        <f>ALL!G26</f>
        <v>-62.38</v>
      </c>
      <c r="D89" s="28">
        <f>ALL!H26</f>
        <v>-58.23</v>
      </c>
      <c r="E89" s="28">
        <f>ALL!I26</f>
        <v>-54.11</v>
      </c>
      <c r="F89" s="28">
        <f>ALL!J26</f>
        <v>-50.02</v>
      </c>
      <c r="G89" s="28">
        <f>ALL!K26</f>
        <v>-36.159999999999997</v>
      </c>
      <c r="H89" s="28">
        <f>ALL!L26</f>
        <v>-33.5</v>
      </c>
      <c r="I89" s="28">
        <f>ALL!M26</f>
        <v>-31.09</v>
      </c>
      <c r="J89" s="28">
        <f>ALL!N26</f>
        <v>-28.84</v>
      </c>
      <c r="K89" s="28">
        <f>ALL!O26</f>
        <v>-26.68</v>
      </c>
      <c r="L89" s="28">
        <f>ALL!P26</f>
        <v>-24.62</v>
      </c>
      <c r="M89" s="28">
        <f>ALL!Q26</f>
        <v>-22.66</v>
      </c>
      <c r="N89" s="28">
        <f>ALL!R26</f>
        <v>-20.81</v>
      </c>
      <c r="O89" s="28">
        <f>ALL!S26</f>
        <v>-19.059999999999999</v>
      </c>
      <c r="P89" s="28">
        <f>ALL!T26</f>
        <v>-17.399999999999999</v>
      </c>
      <c r="Q89" s="28">
        <f>ALL!U26</f>
        <v>-15.83</v>
      </c>
      <c r="R89" s="28">
        <f>ALL!V26</f>
        <v>-14.36</v>
      </c>
      <c r="S89" s="28">
        <f>ALL!W26</f>
        <v>-13.01</v>
      </c>
      <c r="T89" s="28">
        <f>ALL!X26</f>
        <v>-9.8030000000000008</v>
      </c>
      <c r="U89" s="28">
        <f>ALL!Y26</f>
        <v>-9.3119999999999994</v>
      </c>
      <c r="V89" s="28">
        <f>ALL!Z26</f>
        <v>-8.8580000000000005</v>
      </c>
      <c r="W89" s="28">
        <f>ALL!AA26</f>
        <v>-8.4390000000000001</v>
      </c>
      <c r="X89" s="28">
        <f>ALL!AB26</f>
        <v>-8.0500000000000007</v>
      </c>
      <c r="Y89" s="28">
        <f>ALL!AC26</f>
        <v>-7.7050000000000001</v>
      </c>
      <c r="Z89" s="28">
        <f>ALL!AD26</f>
        <v>-7.774</v>
      </c>
      <c r="AA89" s="28">
        <f>ALL!AE26</f>
        <v>-7.8449999999999998</v>
      </c>
      <c r="AB89" s="28">
        <f>ALL!AF26</f>
        <v>-7.915</v>
      </c>
      <c r="AC89" s="28">
        <f>ALL!AG26</f>
        <v>-8.1869999999999994</v>
      </c>
      <c r="AD89" s="28">
        <f>ALL!AH26</f>
        <v>0</v>
      </c>
      <c r="AE89" s="28">
        <f>ALL!AI26</f>
        <v>0</v>
      </c>
      <c r="AF89" s="28">
        <f>ALL!AJ26</f>
        <v>0</v>
      </c>
      <c r="AG89" s="28">
        <f>ALL!AK26</f>
        <v>0</v>
      </c>
      <c r="AH89" s="28">
        <f>ALL!AL26</f>
        <v>0</v>
      </c>
      <c r="AI89" s="28">
        <f>ALL!AM26</f>
        <v>0</v>
      </c>
      <c r="AJ89" s="28">
        <f>ALL!AN26</f>
        <v>0</v>
      </c>
      <c r="AK89" s="28">
        <f>ALL!AO26</f>
        <v>0</v>
      </c>
      <c r="AL89" s="28">
        <f>ALL!AP26</f>
        <v>0</v>
      </c>
      <c r="AM89" s="28">
        <f>ALL!AQ26</f>
        <v>0</v>
      </c>
      <c r="AN89" s="28">
        <f>ALL!AR26</f>
        <v>0</v>
      </c>
      <c r="AO89" s="28">
        <f>ALL!AS26</f>
        <v>0</v>
      </c>
      <c r="AP89" s="28">
        <f>ALL!AT26</f>
        <v>0</v>
      </c>
      <c r="AQ89" s="28">
        <f>ALL!AU26</f>
        <v>0</v>
      </c>
      <c r="AR89" s="28">
        <f>ALL!AV26</f>
        <v>0</v>
      </c>
      <c r="AS89" s="28">
        <f>ALL!AW26</f>
        <v>0</v>
      </c>
      <c r="AT89" s="28">
        <f>ALL!AX26</f>
        <v>0</v>
      </c>
      <c r="AU89" s="28">
        <f>ALL!AY26</f>
        <v>0</v>
      </c>
      <c r="AV89" s="28">
        <f>ALL!AZ26</f>
        <v>0</v>
      </c>
      <c r="AW89" s="28">
        <f>ALL!BA26</f>
        <v>0</v>
      </c>
      <c r="AX89" s="28">
        <f>ALL!BB26</f>
        <v>0</v>
      </c>
      <c r="AY89" s="28">
        <f>ALL!BC26</f>
        <v>0</v>
      </c>
      <c r="AZ89" s="28">
        <f>ALL!BD26</f>
        <v>0</v>
      </c>
      <c r="BA89" s="28">
        <f>ALL!BE26</f>
        <v>0</v>
      </c>
      <c r="BB89" s="28">
        <f>ALL!BF26</f>
        <v>0</v>
      </c>
      <c r="BC89" s="28">
        <f>ALL!BG26</f>
        <v>0</v>
      </c>
      <c r="BD89" s="28">
        <f>ALL!BH26</f>
        <v>0</v>
      </c>
      <c r="BE89" s="28">
        <f>ALL!BI26</f>
        <v>0</v>
      </c>
      <c r="BF89" s="28">
        <f>ALL!BJ26</f>
        <v>0</v>
      </c>
      <c r="BG89" s="28">
        <f>ALL!BK26</f>
        <v>0</v>
      </c>
      <c r="BH89" s="28">
        <f>ALL!BL26</f>
        <v>0</v>
      </c>
      <c r="BI89" s="28">
        <f>ALL!BM26</f>
        <v>0</v>
      </c>
      <c r="BJ89" s="28">
        <f>ALL!BN26</f>
        <v>0</v>
      </c>
      <c r="BK89" s="28">
        <f>ALL!BO26</f>
        <v>0</v>
      </c>
      <c r="BL89" s="28">
        <f>ALL!BP26</f>
        <v>0</v>
      </c>
      <c r="BM89" s="28">
        <f>ALL!BQ26</f>
        <v>0</v>
      </c>
      <c r="BN89" s="28">
        <f>ALL!BR26</f>
        <v>0</v>
      </c>
      <c r="BO89" s="28">
        <f>ALL!BS26</f>
        <v>0</v>
      </c>
      <c r="BP89" s="28">
        <f>ALL!BT26</f>
        <v>0</v>
      </c>
      <c r="BQ89" s="28">
        <f>ALL!BU26</f>
        <v>0</v>
      </c>
      <c r="BR89" s="28">
        <f>ALL!BV26</f>
        <v>0</v>
      </c>
      <c r="BS89" s="28">
        <f>ALL!BW26</f>
        <v>0</v>
      </c>
      <c r="BT89" s="28">
        <f>ALL!BX26</f>
        <v>0</v>
      </c>
    </row>
    <row r="90" spans="1:72" ht="21.75" outlineLevel="1" thickBot="1" x14ac:dyDescent="0.4">
      <c r="A90" s="62" t="str">
        <f>ALL!E27</f>
        <v>H (Ge)</v>
      </c>
      <c r="B90" s="28">
        <f>ALL!F27</f>
        <v>-17.02</v>
      </c>
      <c r="C90" s="28">
        <f>ALL!G27</f>
        <v>-16.100000000000001</v>
      </c>
      <c r="D90" s="28">
        <f>ALL!H27</f>
        <v>-15.04</v>
      </c>
      <c r="E90" s="28">
        <f>ALL!I27</f>
        <v>-13.75</v>
      </c>
      <c r="F90" s="28">
        <f>ALL!J27</f>
        <v>-12.33</v>
      </c>
      <c r="G90" s="28">
        <f>ALL!K27</f>
        <v>-7.4930000000000003</v>
      </c>
      <c r="H90" s="28">
        <f>ALL!L27</f>
        <v>-6.7720000000000002</v>
      </c>
      <c r="I90" s="28">
        <f>ALL!M27</f>
        <v>-6.2990000000000004</v>
      </c>
      <c r="J90" s="28">
        <f>ALL!N27</f>
        <v>-6.0309999999999997</v>
      </c>
      <c r="K90" s="28">
        <f>ALL!O27</f>
        <v>-5.9109999999999996</v>
      </c>
      <c r="L90" s="28">
        <f>ALL!P27</f>
        <v>-5.8780000000000001</v>
      </c>
      <c r="M90" s="28">
        <f>ALL!Q27</f>
        <v>-5.89</v>
      </c>
      <c r="N90" s="28">
        <f>ALL!R27</f>
        <v>-5.923</v>
      </c>
      <c r="O90" s="28">
        <f>ALL!S27</f>
        <v>-5.9649999999999999</v>
      </c>
      <c r="P90" s="28">
        <f>ALL!T27</f>
        <v>-6.0110000000000001</v>
      </c>
      <c r="Q90" s="28">
        <f>ALL!U27</f>
        <v>-6.06</v>
      </c>
      <c r="R90" s="28">
        <f>ALL!V27</f>
        <v>-6.1130000000000004</v>
      </c>
      <c r="S90" s="28">
        <f>ALL!W27</f>
        <v>-6.1749999999999998</v>
      </c>
      <c r="T90" s="28">
        <f>ALL!X27</f>
        <v>-6.4939999999999998</v>
      </c>
      <c r="U90" s="28">
        <f>ALL!Y27</f>
        <v>-6.55</v>
      </c>
      <c r="V90" s="28">
        <f>ALL!Z27</f>
        <v>-6.6059999999999999</v>
      </c>
      <c r="W90" s="28">
        <f>ALL!AA27</f>
        <v>-6.6609999999999996</v>
      </c>
      <c r="X90" s="28">
        <f>ALL!AB27</f>
        <v>-6.718</v>
      </c>
      <c r="Y90" s="28">
        <f>ALL!AC27</f>
        <v>-6.7729999999999997</v>
      </c>
      <c r="Z90" s="28">
        <f>ALL!AD27</f>
        <v>-6.8140000000000001</v>
      </c>
      <c r="AA90" s="28">
        <f>ALL!AE27</f>
        <v>-6.8540000000000001</v>
      </c>
      <c r="AB90" s="28">
        <f>ALL!AF27</f>
        <v>-6.8940000000000001</v>
      </c>
      <c r="AC90" s="28">
        <f>ALL!AG27</f>
        <v>-7.0640000000000001</v>
      </c>
      <c r="AD90" s="28">
        <f>ALL!AH27</f>
        <v>0</v>
      </c>
      <c r="AE90" s="28">
        <f>ALL!AI27</f>
        <v>0</v>
      </c>
      <c r="AF90" s="28">
        <f>ALL!AJ27</f>
        <v>0</v>
      </c>
      <c r="AG90" s="28">
        <f>ALL!AK27</f>
        <v>0</v>
      </c>
      <c r="AH90" s="28">
        <f>ALL!AL27</f>
        <v>0</v>
      </c>
      <c r="AI90" s="28">
        <f>ALL!AM27</f>
        <v>0</v>
      </c>
      <c r="AJ90" s="28">
        <f>ALL!AN27</f>
        <v>0</v>
      </c>
      <c r="AK90" s="28">
        <f>ALL!AO27</f>
        <v>0</v>
      </c>
      <c r="AL90" s="28">
        <f>ALL!AP27</f>
        <v>0</v>
      </c>
      <c r="AM90" s="28">
        <f>ALL!AQ27</f>
        <v>0</v>
      </c>
      <c r="AN90" s="28">
        <f>ALL!AR27</f>
        <v>0</v>
      </c>
      <c r="AO90" s="28">
        <f>ALL!AS27</f>
        <v>0</v>
      </c>
      <c r="AP90" s="28">
        <f>ALL!AT27</f>
        <v>0</v>
      </c>
      <c r="AQ90" s="28">
        <f>ALL!AU27</f>
        <v>0</v>
      </c>
      <c r="AR90" s="28">
        <f>ALL!AV27</f>
        <v>0</v>
      </c>
      <c r="AS90" s="28">
        <f>ALL!AW27</f>
        <v>0</v>
      </c>
      <c r="AT90" s="28">
        <f>ALL!AX27</f>
        <v>0</v>
      </c>
      <c r="AU90" s="28">
        <f>ALL!AY27</f>
        <v>0</v>
      </c>
      <c r="AV90" s="28">
        <f>ALL!AZ27</f>
        <v>0</v>
      </c>
      <c r="AW90" s="28">
        <f>ALL!BA27</f>
        <v>0</v>
      </c>
      <c r="AX90" s="28">
        <f>ALL!BB27</f>
        <v>0</v>
      </c>
      <c r="AY90" s="28">
        <f>ALL!BC27</f>
        <v>0</v>
      </c>
      <c r="AZ90" s="28">
        <f>ALL!BD27</f>
        <v>0</v>
      </c>
      <c r="BA90" s="28">
        <f>ALL!BE27</f>
        <v>0</v>
      </c>
      <c r="BB90" s="28">
        <f>ALL!BF27</f>
        <v>0</v>
      </c>
      <c r="BC90" s="28">
        <f>ALL!BG27</f>
        <v>0</v>
      </c>
      <c r="BD90" s="28">
        <f>ALL!BH27</f>
        <v>0</v>
      </c>
      <c r="BE90" s="28">
        <f>ALL!BI27</f>
        <v>0</v>
      </c>
      <c r="BF90" s="28">
        <f>ALL!BJ27</f>
        <v>0</v>
      </c>
      <c r="BG90" s="28">
        <f>ALL!BK27</f>
        <v>0</v>
      </c>
      <c r="BH90" s="28">
        <f>ALL!BL27</f>
        <v>0</v>
      </c>
      <c r="BI90" s="28">
        <f>ALL!BM27</f>
        <v>0</v>
      </c>
      <c r="BJ90" s="28">
        <f>ALL!BN27</f>
        <v>0</v>
      </c>
      <c r="BK90" s="28">
        <f>ALL!BO27</f>
        <v>0</v>
      </c>
      <c r="BL90" s="28">
        <f>ALL!BP27</f>
        <v>0</v>
      </c>
      <c r="BM90" s="28">
        <f>ALL!BQ27</f>
        <v>0</v>
      </c>
      <c r="BN90" s="28">
        <f>ALL!BR27</f>
        <v>0</v>
      </c>
      <c r="BO90" s="28">
        <f>ALL!BS27</f>
        <v>0</v>
      </c>
      <c r="BP90" s="28">
        <f>ALL!BT27</f>
        <v>0</v>
      </c>
      <c r="BQ90" s="28">
        <f>ALL!BU27</f>
        <v>0</v>
      </c>
      <c r="BR90" s="28">
        <f>ALL!BV27</f>
        <v>0</v>
      </c>
      <c r="BS90" s="28">
        <f>ALL!BW27</f>
        <v>0</v>
      </c>
      <c r="BT90" s="28">
        <f>ALL!BX27</f>
        <v>0</v>
      </c>
    </row>
    <row r="91" spans="1:72" ht="21.75" outlineLevel="1" thickBot="1" x14ac:dyDescent="0.4">
      <c r="A91" s="62" t="str">
        <f>ALL!E28</f>
        <v>H (Se)</v>
      </c>
      <c r="B91" s="28">
        <f>ALL!F28</f>
        <v>-23.56</v>
      </c>
      <c r="C91" s="28">
        <f>ALL!G28</f>
        <v>-22.33</v>
      </c>
      <c r="D91" s="28">
        <f>ALL!H28</f>
        <v>-21.52</v>
      </c>
      <c r="E91" s="28">
        <f>ALL!I28</f>
        <v>-21.15</v>
      </c>
      <c r="F91" s="28">
        <f>ALL!J28</f>
        <v>-21.13</v>
      </c>
      <c r="G91" s="28">
        <f>ALL!K28</f>
        <v>-22.02</v>
      </c>
      <c r="H91" s="28">
        <f>ALL!L28</f>
        <v>-22.21</v>
      </c>
      <c r="I91" s="28">
        <f>ALL!M28</f>
        <v>-22.38</v>
      </c>
      <c r="J91" s="28">
        <f>ALL!N28</f>
        <v>-22.58</v>
      </c>
      <c r="K91" s="28">
        <f>ALL!O28</f>
        <v>-22.81</v>
      </c>
      <c r="L91" s="28">
        <f>ALL!P28</f>
        <v>-23.08</v>
      </c>
      <c r="M91" s="28">
        <f>ALL!Q28</f>
        <v>-23.36</v>
      </c>
      <c r="N91" s="28">
        <f>ALL!R28</f>
        <v>-23.65</v>
      </c>
      <c r="O91" s="28">
        <f>ALL!S28</f>
        <v>-23.94</v>
      </c>
      <c r="P91" s="28">
        <f>ALL!T28</f>
        <v>-24.22</v>
      </c>
      <c r="Q91" s="28">
        <f>ALL!U28</f>
        <v>-24.51</v>
      </c>
      <c r="R91" s="28">
        <f>ALL!V28</f>
        <v>-24.79</v>
      </c>
      <c r="S91" s="28">
        <f>ALL!W28</f>
        <v>-25.06</v>
      </c>
      <c r="T91" s="28">
        <f>ALL!X28</f>
        <v>-26.1</v>
      </c>
      <c r="U91" s="28">
        <f>ALL!Y28</f>
        <v>-26.36</v>
      </c>
      <c r="V91" s="28">
        <f>ALL!Z28</f>
        <v>-26.63</v>
      </c>
      <c r="W91" s="28">
        <f>ALL!AA28</f>
        <v>-26.89</v>
      </c>
      <c r="X91" s="28">
        <f>ALL!AB28</f>
        <v>-27.15</v>
      </c>
      <c r="Y91" s="28">
        <f>ALL!AC28</f>
        <v>-27.4</v>
      </c>
      <c r="Z91" s="28">
        <f>ALL!AD28</f>
        <v>-27.61</v>
      </c>
      <c r="AA91" s="28">
        <f>ALL!AE28</f>
        <v>-27.84</v>
      </c>
      <c r="AB91" s="28">
        <f>ALL!AF28</f>
        <v>-28.08</v>
      </c>
      <c r="AC91" s="28">
        <f>ALL!AG28</f>
        <v>-29.02</v>
      </c>
      <c r="AD91" s="28">
        <f>ALL!AH28</f>
        <v>0</v>
      </c>
      <c r="AE91" s="28">
        <f>ALL!AI28</f>
        <v>0</v>
      </c>
      <c r="AF91" s="28">
        <f>ALL!AJ28</f>
        <v>0</v>
      </c>
      <c r="AG91" s="28">
        <f>ALL!AK28</f>
        <v>0</v>
      </c>
      <c r="AH91" s="28">
        <f>ALL!AL28</f>
        <v>0</v>
      </c>
      <c r="AI91" s="28">
        <f>ALL!AM28</f>
        <v>0</v>
      </c>
      <c r="AJ91" s="28">
        <f>ALL!AN28</f>
        <v>0</v>
      </c>
      <c r="AK91" s="28">
        <f>ALL!AO28</f>
        <v>0</v>
      </c>
      <c r="AL91" s="28">
        <f>ALL!AP28</f>
        <v>0</v>
      </c>
      <c r="AM91" s="28">
        <f>ALL!AQ28</f>
        <v>0</v>
      </c>
      <c r="AN91" s="28">
        <f>ALL!AR28</f>
        <v>0</v>
      </c>
      <c r="AO91" s="28">
        <f>ALL!AS28</f>
        <v>0</v>
      </c>
      <c r="AP91" s="28">
        <f>ALL!AT28</f>
        <v>0</v>
      </c>
      <c r="AQ91" s="28">
        <f>ALL!AU28</f>
        <v>0</v>
      </c>
      <c r="AR91" s="28">
        <f>ALL!AV28</f>
        <v>0</v>
      </c>
      <c r="AS91" s="28">
        <f>ALL!AW28</f>
        <v>0</v>
      </c>
      <c r="AT91" s="28">
        <f>ALL!AX28</f>
        <v>0</v>
      </c>
      <c r="AU91" s="28">
        <f>ALL!AY28</f>
        <v>0</v>
      </c>
      <c r="AV91" s="28">
        <f>ALL!AZ28</f>
        <v>0</v>
      </c>
      <c r="AW91" s="28">
        <f>ALL!BA28</f>
        <v>0</v>
      </c>
      <c r="AX91" s="28">
        <f>ALL!BB28</f>
        <v>0</v>
      </c>
      <c r="AY91" s="28">
        <f>ALL!BC28</f>
        <v>0</v>
      </c>
      <c r="AZ91" s="28">
        <f>ALL!BD28</f>
        <v>0</v>
      </c>
      <c r="BA91" s="28">
        <f>ALL!BE28</f>
        <v>0</v>
      </c>
      <c r="BB91" s="28">
        <f>ALL!BF28</f>
        <v>0</v>
      </c>
      <c r="BC91" s="28">
        <f>ALL!BG28</f>
        <v>0</v>
      </c>
      <c r="BD91" s="28">
        <f>ALL!BH28</f>
        <v>0</v>
      </c>
      <c r="BE91" s="28">
        <f>ALL!BI28</f>
        <v>0</v>
      </c>
      <c r="BF91" s="28">
        <f>ALL!BJ28</f>
        <v>0</v>
      </c>
      <c r="BG91" s="28">
        <f>ALL!BK28</f>
        <v>0</v>
      </c>
      <c r="BH91" s="28">
        <f>ALL!BL28</f>
        <v>0</v>
      </c>
      <c r="BI91" s="28">
        <f>ALL!BM28</f>
        <v>0</v>
      </c>
      <c r="BJ91" s="28">
        <f>ALL!BN28</f>
        <v>0</v>
      </c>
      <c r="BK91" s="28">
        <f>ALL!BO28</f>
        <v>0</v>
      </c>
      <c r="BL91" s="28">
        <f>ALL!BP28</f>
        <v>0</v>
      </c>
      <c r="BM91" s="28">
        <f>ALL!BQ28</f>
        <v>0</v>
      </c>
      <c r="BN91" s="28">
        <f>ALL!BR28</f>
        <v>0</v>
      </c>
      <c r="BO91" s="28">
        <f>ALL!BS28</f>
        <v>0</v>
      </c>
      <c r="BP91" s="28">
        <f>ALL!BT28</f>
        <v>0</v>
      </c>
      <c r="BQ91" s="28">
        <f>ALL!BU28</f>
        <v>0</v>
      </c>
      <c r="BR91" s="28">
        <f>ALL!BV28</f>
        <v>0</v>
      </c>
      <c r="BS91" s="28">
        <f>ALL!BW28</f>
        <v>0</v>
      </c>
      <c r="BT91" s="28">
        <f>ALL!BX28</f>
        <v>0</v>
      </c>
    </row>
    <row r="92" spans="1:72" ht="21.75" outlineLevel="1" thickBot="1" x14ac:dyDescent="0.4">
      <c r="A92" s="62">
        <f>ALL!E29</f>
        <v>0</v>
      </c>
      <c r="B92" s="28">
        <f>ALL!F29</f>
        <v>0</v>
      </c>
      <c r="C92" s="28">
        <f>ALL!G29</f>
        <v>0</v>
      </c>
      <c r="D92" s="28">
        <f>ALL!H29</f>
        <v>0</v>
      </c>
      <c r="E92" s="28">
        <f>ALL!I29</f>
        <v>0</v>
      </c>
      <c r="F92" s="28">
        <f>ALL!J29</f>
        <v>0</v>
      </c>
      <c r="G92" s="28">
        <f>ALL!K29</f>
        <v>0</v>
      </c>
      <c r="H92" s="28">
        <f>ALL!L29</f>
        <v>0</v>
      </c>
      <c r="I92" s="28">
        <f>ALL!M29</f>
        <v>0</v>
      </c>
      <c r="J92" s="28">
        <f>ALL!N29</f>
        <v>0</v>
      </c>
      <c r="K92" s="28">
        <f>ALL!O29</f>
        <v>0</v>
      </c>
      <c r="L92" s="28">
        <f>ALL!P29</f>
        <v>0</v>
      </c>
      <c r="M92" s="28">
        <f>ALL!Q29</f>
        <v>0</v>
      </c>
      <c r="N92" s="28">
        <f>ALL!R29</f>
        <v>0</v>
      </c>
      <c r="O92" s="28">
        <f>ALL!S29</f>
        <v>0</v>
      </c>
      <c r="P92" s="28">
        <f>ALL!T29</f>
        <v>0</v>
      </c>
      <c r="Q92" s="28">
        <f>ALL!U29</f>
        <v>0</v>
      </c>
      <c r="R92" s="28">
        <f>ALL!V29</f>
        <v>0</v>
      </c>
      <c r="S92" s="28">
        <f>ALL!W29</f>
        <v>0</v>
      </c>
      <c r="T92" s="28">
        <f>ALL!X29</f>
        <v>0</v>
      </c>
      <c r="U92" s="28">
        <f>ALL!Y29</f>
        <v>0</v>
      </c>
      <c r="V92" s="28">
        <f>ALL!Z29</f>
        <v>0</v>
      </c>
      <c r="W92" s="28">
        <f>ALL!AA29</f>
        <v>0</v>
      </c>
      <c r="X92" s="28">
        <f>ALL!AB29</f>
        <v>0</v>
      </c>
      <c r="Y92" s="28">
        <f>ALL!AC29</f>
        <v>0</v>
      </c>
      <c r="Z92" s="28">
        <f>ALL!AD29</f>
        <v>0</v>
      </c>
      <c r="AA92" s="28">
        <f>ALL!AE29</f>
        <v>0</v>
      </c>
      <c r="AB92" s="28">
        <f>ALL!AF29</f>
        <v>0</v>
      </c>
      <c r="AC92" s="28">
        <f>ALL!AG29</f>
        <v>0</v>
      </c>
      <c r="AD92" s="28">
        <f>ALL!AH29</f>
        <v>0</v>
      </c>
      <c r="AE92" s="28">
        <f>ALL!AI29</f>
        <v>0</v>
      </c>
      <c r="AF92" s="28">
        <f>ALL!AJ29</f>
        <v>0</v>
      </c>
      <c r="AG92" s="28">
        <f>ALL!AK29</f>
        <v>0</v>
      </c>
      <c r="AH92" s="28">
        <f>ALL!AL29</f>
        <v>0</v>
      </c>
      <c r="AI92" s="28">
        <f>ALL!AM29</f>
        <v>0</v>
      </c>
      <c r="AJ92" s="28">
        <f>ALL!AN29</f>
        <v>0</v>
      </c>
      <c r="AK92" s="28">
        <f>ALL!AO29</f>
        <v>0</v>
      </c>
      <c r="AL92" s="28">
        <f>ALL!AP29</f>
        <v>0</v>
      </c>
      <c r="AM92" s="28">
        <f>ALL!AQ29</f>
        <v>0</v>
      </c>
      <c r="AN92" s="28">
        <f>ALL!AR29</f>
        <v>0</v>
      </c>
      <c r="AO92" s="28">
        <f>ALL!AS29</f>
        <v>0</v>
      </c>
      <c r="AP92" s="28">
        <f>ALL!AT29</f>
        <v>0</v>
      </c>
      <c r="AQ92" s="28">
        <f>ALL!AU29</f>
        <v>0</v>
      </c>
      <c r="AR92" s="28">
        <f>ALL!AV29</f>
        <v>0</v>
      </c>
      <c r="AS92" s="28">
        <f>ALL!AW29</f>
        <v>0</v>
      </c>
      <c r="AT92" s="28">
        <f>ALL!AX29</f>
        <v>0</v>
      </c>
      <c r="AU92" s="28">
        <f>ALL!AY29</f>
        <v>0</v>
      </c>
      <c r="AV92" s="28">
        <f>ALL!AZ29</f>
        <v>0</v>
      </c>
      <c r="AW92" s="28">
        <f>ALL!BA29</f>
        <v>0</v>
      </c>
      <c r="AX92" s="28">
        <f>ALL!BB29</f>
        <v>0</v>
      </c>
      <c r="AY92" s="28">
        <f>ALL!BC29</f>
        <v>0</v>
      </c>
      <c r="AZ92" s="28">
        <f>ALL!BD29</f>
        <v>0</v>
      </c>
      <c r="BA92" s="28">
        <f>ALL!BE29</f>
        <v>0</v>
      </c>
      <c r="BB92" s="28">
        <f>ALL!BF29</f>
        <v>0</v>
      </c>
      <c r="BC92" s="28">
        <f>ALL!BG29</f>
        <v>0</v>
      </c>
      <c r="BD92" s="28">
        <f>ALL!BH29</f>
        <v>0</v>
      </c>
      <c r="BE92" s="28">
        <f>ALL!BI29</f>
        <v>0</v>
      </c>
      <c r="BF92" s="28">
        <f>ALL!BJ29</f>
        <v>0</v>
      </c>
      <c r="BG92" s="28">
        <f>ALL!BK29</f>
        <v>0</v>
      </c>
      <c r="BH92" s="28">
        <f>ALL!BL29</f>
        <v>0</v>
      </c>
      <c r="BI92" s="28">
        <f>ALL!BM29</f>
        <v>0</v>
      </c>
      <c r="BJ92" s="28">
        <f>ALL!BN29</f>
        <v>0</v>
      </c>
      <c r="BK92" s="28">
        <f>ALL!BO29</f>
        <v>0</v>
      </c>
      <c r="BL92" s="28">
        <f>ALL!BP29</f>
        <v>0</v>
      </c>
      <c r="BM92" s="28">
        <f>ALL!BQ29</f>
        <v>0</v>
      </c>
      <c r="BN92" s="28">
        <f>ALL!BR29</f>
        <v>0</v>
      </c>
      <c r="BO92" s="28">
        <f>ALL!BS29</f>
        <v>0</v>
      </c>
      <c r="BP92" s="28">
        <f>ALL!BT29</f>
        <v>0</v>
      </c>
      <c r="BQ92" s="28">
        <f>ALL!BU29</f>
        <v>0</v>
      </c>
      <c r="BR92" s="28">
        <f>ALL!BV29</f>
        <v>0</v>
      </c>
      <c r="BS92" s="28">
        <f>ALL!BW29</f>
        <v>0</v>
      </c>
      <c r="BT92" s="28">
        <f>ALL!BX29</f>
        <v>0</v>
      </c>
    </row>
    <row r="93" spans="1:72" ht="21.75" outlineLevel="1" thickBot="1" x14ac:dyDescent="0.4">
      <c r="A93" s="62">
        <f>ALL!E30</f>
        <v>0</v>
      </c>
      <c r="B93" s="28">
        <f>ALL!F30</f>
        <v>0</v>
      </c>
      <c r="C93" s="28">
        <f>ALL!G30</f>
        <v>0</v>
      </c>
      <c r="D93" s="28">
        <f>ALL!H30</f>
        <v>0</v>
      </c>
      <c r="E93" s="28">
        <f>ALL!I30</f>
        <v>0</v>
      </c>
      <c r="F93" s="28">
        <f>ALL!J30</f>
        <v>0</v>
      </c>
      <c r="G93" s="28">
        <f>ALL!K30</f>
        <v>0</v>
      </c>
      <c r="H93" s="28">
        <f>ALL!L30</f>
        <v>0</v>
      </c>
      <c r="I93" s="28">
        <f>ALL!M30</f>
        <v>0</v>
      </c>
      <c r="J93" s="28">
        <f>ALL!N30</f>
        <v>0</v>
      </c>
      <c r="K93" s="28">
        <f>ALL!O30</f>
        <v>0</v>
      </c>
      <c r="L93" s="28">
        <f>ALL!P30</f>
        <v>0</v>
      </c>
      <c r="M93" s="28">
        <f>ALL!Q30</f>
        <v>0</v>
      </c>
      <c r="N93" s="28">
        <f>ALL!R30</f>
        <v>0</v>
      </c>
      <c r="O93" s="28">
        <f>ALL!S30</f>
        <v>0</v>
      </c>
      <c r="P93" s="28">
        <f>ALL!T30</f>
        <v>0</v>
      </c>
      <c r="Q93" s="28">
        <f>ALL!U30</f>
        <v>0</v>
      </c>
      <c r="R93" s="28">
        <f>ALL!V30</f>
        <v>0</v>
      </c>
      <c r="S93" s="28">
        <f>ALL!W30</f>
        <v>0</v>
      </c>
      <c r="T93" s="28">
        <f>ALL!X30</f>
        <v>0</v>
      </c>
      <c r="U93" s="28">
        <f>ALL!Y30</f>
        <v>0</v>
      </c>
      <c r="V93" s="28">
        <f>ALL!Z30</f>
        <v>0</v>
      </c>
      <c r="W93" s="28">
        <f>ALL!AA30</f>
        <v>0</v>
      </c>
      <c r="X93" s="28">
        <f>ALL!AB30</f>
        <v>0</v>
      </c>
      <c r="Y93" s="28">
        <f>ALL!AC30</f>
        <v>0</v>
      </c>
      <c r="Z93" s="28">
        <f>ALL!AD30</f>
        <v>0</v>
      </c>
      <c r="AA93" s="28">
        <f>ALL!AE30</f>
        <v>0</v>
      </c>
      <c r="AB93" s="28">
        <f>ALL!AF30</f>
        <v>0</v>
      </c>
      <c r="AC93" s="28">
        <f>ALL!AG30</f>
        <v>0</v>
      </c>
      <c r="AD93" s="28">
        <f>ALL!AH30</f>
        <v>0</v>
      </c>
      <c r="AE93" s="28">
        <f>ALL!AI30</f>
        <v>0</v>
      </c>
      <c r="AF93" s="28">
        <f>ALL!AJ30</f>
        <v>0</v>
      </c>
      <c r="AG93" s="28">
        <f>ALL!AK30</f>
        <v>0</v>
      </c>
      <c r="AH93" s="28">
        <f>ALL!AL30</f>
        <v>0</v>
      </c>
      <c r="AI93" s="28">
        <f>ALL!AM30</f>
        <v>0</v>
      </c>
      <c r="AJ93" s="28">
        <f>ALL!AN30</f>
        <v>0</v>
      </c>
      <c r="AK93" s="28">
        <f>ALL!AO30</f>
        <v>0</v>
      </c>
      <c r="AL93" s="28">
        <f>ALL!AP30</f>
        <v>0</v>
      </c>
      <c r="AM93" s="28">
        <f>ALL!AQ30</f>
        <v>0</v>
      </c>
      <c r="AN93" s="28">
        <f>ALL!AR30</f>
        <v>0</v>
      </c>
      <c r="AO93" s="28">
        <f>ALL!AS30</f>
        <v>0</v>
      </c>
      <c r="AP93" s="28">
        <f>ALL!AT30</f>
        <v>0</v>
      </c>
      <c r="AQ93" s="28">
        <f>ALL!AU30</f>
        <v>0</v>
      </c>
      <c r="AR93" s="28">
        <f>ALL!AV30</f>
        <v>0</v>
      </c>
      <c r="AS93" s="28">
        <f>ALL!AW30</f>
        <v>0</v>
      </c>
      <c r="AT93" s="28">
        <f>ALL!AX30</f>
        <v>0</v>
      </c>
      <c r="AU93" s="28">
        <f>ALL!AY30</f>
        <v>0</v>
      </c>
      <c r="AV93" s="28">
        <f>ALL!AZ30</f>
        <v>0</v>
      </c>
      <c r="AW93" s="28">
        <f>ALL!BA30</f>
        <v>0</v>
      </c>
      <c r="AX93" s="28">
        <f>ALL!BB30</f>
        <v>0</v>
      </c>
      <c r="AY93" s="28">
        <f>ALL!BC30</f>
        <v>0</v>
      </c>
      <c r="AZ93" s="28">
        <f>ALL!BD30</f>
        <v>0</v>
      </c>
      <c r="BA93" s="28">
        <f>ALL!BE30</f>
        <v>0</v>
      </c>
      <c r="BB93" s="28">
        <f>ALL!BF30</f>
        <v>0</v>
      </c>
      <c r="BC93" s="28">
        <f>ALL!BG30</f>
        <v>0</v>
      </c>
      <c r="BD93" s="28">
        <f>ALL!BH30</f>
        <v>0</v>
      </c>
      <c r="BE93" s="28">
        <f>ALL!BI30</f>
        <v>0</v>
      </c>
      <c r="BF93" s="28">
        <f>ALL!BJ30</f>
        <v>0</v>
      </c>
      <c r="BG93" s="28">
        <f>ALL!BK30</f>
        <v>0</v>
      </c>
      <c r="BH93" s="28">
        <f>ALL!BL30</f>
        <v>0</v>
      </c>
      <c r="BI93" s="28">
        <f>ALL!BM30</f>
        <v>0</v>
      </c>
      <c r="BJ93" s="28">
        <f>ALL!BN30</f>
        <v>0</v>
      </c>
      <c r="BK93" s="28">
        <f>ALL!BO30</f>
        <v>0</v>
      </c>
      <c r="BL93" s="28">
        <f>ALL!BP30</f>
        <v>0</v>
      </c>
      <c r="BM93" s="28">
        <f>ALL!BQ30</f>
        <v>0</v>
      </c>
      <c r="BN93" s="28">
        <f>ALL!BR30</f>
        <v>0</v>
      </c>
      <c r="BO93" s="28">
        <f>ALL!BS30</f>
        <v>0</v>
      </c>
      <c r="BP93" s="28">
        <f>ALL!BT30</f>
        <v>0</v>
      </c>
      <c r="BQ93" s="28">
        <f>ALL!BU30</f>
        <v>0</v>
      </c>
      <c r="BR93" s="28">
        <f>ALL!BV30</f>
        <v>0</v>
      </c>
      <c r="BS93" s="28">
        <f>ALL!BW30</f>
        <v>0</v>
      </c>
      <c r="BT93" s="28">
        <f>ALL!BX30</f>
        <v>0</v>
      </c>
    </row>
    <row r="94" spans="1:72" ht="21.75" outlineLevel="1" thickBot="1" x14ac:dyDescent="0.4">
      <c r="A94" s="62">
        <f>ALL!E31</f>
        <v>0</v>
      </c>
      <c r="B94" s="28">
        <f>ALL!F31</f>
        <v>0</v>
      </c>
      <c r="C94" s="28">
        <f>ALL!G31</f>
        <v>0</v>
      </c>
      <c r="D94" s="28">
        <f>ALL!H31</f>
        <v>0</v>
      </c>
      <c r="E94" s="28">
        <f>ALL!I31</f>
        <v>0</v>
      </c>
      <c r="F94" s="28">
        <f>ALL!J31</f>
        <v>0</v>
      </c>
      <c r="G94" s="28">
        <f>ALL!K31</f>
        <v>0</v>
      </c>
      <c r="H94" s="28">
        <f>ALL!L31</f>
        <v>0</v>
      </c>
      <c r="I94" s="28">
        <f>ALL!M31</f>
        <v>0</v>
      </c>
      <c r="J94" s="28">
        <f>ALL!N31</f>
        <v>0</v>
      </c>
      <c r="K94" s="28">
        <f>ALL!O31</f>
        <v>0</v>
      </c>
      <c r="L94" s="28">
        <f>ALL!P31</f>
        <v>0</v>
      </c>
      <c r="M94" s="28">
        <f>ALL!Q31</f>
        <v>0</v>
      </c>
      <c r="N94" s="28">
        <f>ALL!R31</f>
        <v>0</v>
      </c>
      <c r="O94" s="28">
        <f>ALL!S31</f>
        <v>0</v>
      </c>
      <c r="P94" s="28">
        <f>ALL!T31</f>
        <v>0</v>
      </c>
      <c r="Q94" s="28">
        <f>ALL!U31</f>
        <v>0</v>
      </c>
      <c r="R94" s="28">
        <f>ALL!V31</f>
        <v>0</v>
      </c>
      <c r="S94" s="28">
        <f>ALL!W31</f>
        <v>0</v>
      </c>
      <c r="T94" s="28">
        <f>ALL!X31</f>
        <v>0</v>
      </c>
      <c r="U94" s="28">
        <f>ALL!Y31</f>
        <v>0</v>
      </c>
      <c r="V94" s="28">
        <f>ALL!Z31</f>
        <v>0</v>
      </c>
      <c r="W94" s="28">
        <f>ALL!AA31</f>
        <v>0</v>
      </c>
      <c r="X94" s="28">
        <f>ALL!AB31</f>
        <v>0</v>
      </c>
      <c r="Y94" s="28">
        <f>ALL!AC31</f>
        <v>0</v>
      </c>
      <c r="Z94" s="28">
        <f>ALL!AD31</f>
        <v>0</v>
      </c>
      <c r="AA94" s="28">
        <f>ALL!AE31</f>
        <v>0</v>
      </c>
      <c r="AB94" s="28">
        <f>ALL!AF31</f>
        <v>0</v>
      </c>
      <c r="AC94" s="28">
        <f>ALL!AG31</f>
        <v>0</v>
      </c>
      <c r="AD94" s="28">
        <f>ALL!AH31</f>
        <v>0</v>
      </c>
      <c r="AE94" s="28">
        <f>ALL!AI31</f>
        <v>0</v>
      </c>
      <c r="AF94" s="28">
        <f>ALL!AJ31</f>
        <v>0</v>
      </c>
      <c r="AG94" s="28">
        <f>ALL!AK31</f>
        <v>0</v>
      </c>
      <c r="AH94" s="28">
        <f>ALL!AL31</f>
        <v>0</v>
      </c>
      <c r="AI94" s="28">
        <f>ALL!AM31</f>
        <v>0</v>
      </c>
      <c r="AJ94" s="28">
        <f>ALL!AN31</f>
        <v>0</v>
      </c>
      <c r="AK94" s="28">
        <f>ALL!AO31</f>
        <v>0</v>
      </c>
      <c r="AL94" s="28">
        <f>ALL!AP31</f>
        <v>0</v>
      </c>
      <c r="AM94" s="28">
        <f>ALL!AQ31</f>
        <v>0</v>
      </c>
      <c r="AN94" s="28">
        <f>ALL!AR31</f>
        <v>0</v>
      </c>
      <c r="AO94" s="28">
        <f>ALL!AS31</f>
        <v>0</v>
      </c>
      <c r="AP94" s="28">
        <f>ALL!AT31</f>
        <v>0</v>
      </c>
      <c r="AQ94" s="28">
        <f>ALL!AU31</f>
        <v>0</v>
      </c>
      <c r="AR94" s="28">
        <f>ALL!AV31</f>
        <v>0</v>
      </c>
      <c r="AS94" s="28">
        <f>ALL!AW31</f>
        <v>0</v>
      </c>
      <c r="AT94" s="28">
        <f>ALL!AX31</f>
        <v>0</v>
      </c>
      <c r="AU94" s="28">
        <f>ALL!AY31</f>
        <v>0</v>
      </c>
      <c r="AV94" s="28">
        <f>ALL!AZ31</f>
        <v>0</v>
      </c>
      <c r="AW94" s="28">
        <f>ALL!BA31</f>
        <v>0</v>
      </c>
      <c r="AX94" s="28">
        <f>ALL!BB31</f>
        <v>0</v>
      </c>
      <c r="AY94" s="28">
        <f>ALL!BC31</f>
        <v>0</v>
      </c>
      <c r="AZ94" s="28">
        <f>ALL!BD31</f>
        <v>0</v>
      </c>
      <c r="BA94" s="28">
        <f>ALL!BE31</f>
        <v>0</v>
      </c>
      <c r="BB94" s="28">
        <f>ALL!BF31</f>
        <v>0</v>
      </c>
      <c r="BC94" s="28">
        <f>ALL!BG31</f>
        <v>0</v>
      </c>
      <c r="BD94" s="28">
        <f>ALL!BH31</f>
        <v>0</v>
      </c>
      <c r="BE94" s="28">
        <f>ALL!BI31</f>
        <v>0</v>
      </c>
      <c r="BF94" s="28">
        <f>ALL!BJ31</f>
        <v>0</v>
      </c>
      <c r="BG94" s="28">
        <f>ALL!BK31</f>
        <v>0</v>
      </c>
      <c r="BH94" s="28">
        <f>ALL!BL31</f>
        <v>0</v>
      </c>
      <c r="BI94" s="28">
        <f>ALL!BM31</f>
        <v>0</v>
      </c>
      <c r="BJ94" s="28">
        <f>ALL!BN31</f>
        <v>0</v>
      </c>
      <c r="BK94" s="28">
        <f>ALL!BO31</f>
        <v>0</v>
      </c>
      <c r="BL94" s="28">
        <f>ALL!BP31</f>
        <v>0</v>
      </c>
      <c r="BM94" s="28">
        <f>ALL!BQ31</f>
        <v>0</v>
      </c>
      <c r="BN94" s="28">
        <f>ALL!BR31</f>
        <v>0</v>
      </c>
      <c r="BO94" s="28">
        <f>ALL!BS31</f>
        <v>0</v>
      </c>
      <c r="BP94" s="28">
        <f>ALL!BT31</f>
        <v>0</v>
      </c>
      <c r="BQ94" s="28">
        <f>ALL!BU31</f>
        <v>0</v>
      </c>
      <c r="BR94" s="28">
        <f>ALL!BV31</f>
        <v>0</v>
      </c>
      <c r="BS94" s="28">
        <f>ALL!BW31</f>
        <v>0</v>
      </c>
      <c r="BT94" s="28">
        <f>ALL!BX31</f>
        <v>0</v>
      </c>
    </row>
    <row r="95" spans="1:72" ht="21.75" outlineLevel="1" thickBot="1" x14ac:dyDescent="0.4">
      <c r="A95" s="62">
        <f>ALL!E32</f>
        <v>0</v>
      </c>
      <c r="B95" s="28">
        <f>ALL!F32</f>
        <v>0</v>
      </c>
      <c r="C95" s="28">
        <f>ALL!G32</f>
        <v>0</v>
      </c>
      <c r="D95" s="28">
        <f>ALL!H32</f>
        <v>0</v>
      </c>
      <c r="E95" s="28">
        <f>ALL!I32</f>
        <v>0</v>
      </c>
      <c r="F95" s="28">
        <f>ALL!J32</f>
        <v>0</v>
      </c>
      <c r="G95" s="28">
        <f>ALL!K32</f>
        <v>0</v>
      </c>
      <c r="H95" s="28">
        <f>ALL!L32</f>
        <v>0</v>
      </c>
      <c r="I95" s="28">
        <f>ALL!M32</f>
        <v>0</v>
      </c>
      <c r="J95" s="28">
        <f>ALL!N32</f>
        <v>0</v>
      </c>
      <c r="K95" s="28">
        <f>ALL!O32</f>
        <v>0</v>
      </c>
      <c r="L95" s="28">
        <f>ALL!P32</f>
        <v>0</v>
      </c>
      <c r="M95" s="28">
        <f>ALL!Q32</f>
        <v>0</v>
      </c>
      <c r="N95" s="28">
        <f>ALL!R32</f>
        <v>0</v>
      </c>
      <c r="O95" s="28">
        <f>ALL!S32</f>
        <v>0</v>
      </c>
      <c r="P95" s="28">
        <f>ALL!T32</f>
        <v>0</v>
      </c>
      <c r="Q95" s="28">
        <f>ALL!U32</f>
        <v>0</v>
      </c>
      <c r="R95" s="28">
        <f>ALL!V32</f>
        <v>0</v>
      </c>
      <c r="S95" s="28">
        <f>ALL!W32</f>
        <v>0</v>
      </c>
      <c r="T95" s="28">
        <f>ALL!X32</f>
        <v>0</v>
      </c>
      <c r="U95" s="28">
        <f>ALL!Y32</f>
        <v>0</v>
      </c>
      <c r="V95" s="28">
        <f>ALL!Z32</f>
        <v>0</v>
      </c>
      <c r="W95" s="28">
        <f>ALL!AA32</f>
        <v>0</v>
      </c>
      <c r="X95" s="28">
        <f>ALL!AB32</f>
        <v>0</v>
      </c>
      <c r="Y95" s="28">
        <f>ALL!AC32</f>
        <v>0</v>
      </c>
      <c r="Z95" s="28">
        <f>ALL!AD32</f>
        <v>0</v>
      </c>
      <c r="AA95" s="28">
        <f>ALL!AE32</f>
        <v>0</v>
      </c>
      <c r="AB95" s="28">
        <f>ALL!AF32</f>
        <v>0</v>
      </c>
      <c r="AC95" s="28">
        <f>ALL!AG32</f>
        <v>0</v>
      </c>
      <c r="AD95" s="28">
        <f>ALL!AH32</f>
        <v>0</v>
      </c>
      <c r="AE95" s="28">
        <f>ALL!AI32</f>
        <v>0</v>
      </c>
      <c r="AF95" s="28">
        <f>ALL!AJ32</f>
        <v>0</v>
      </c>
      <c r="AG95" s="28">
        <f>ALL!AK32</f>
        <v>0</v>
      </c>
      <c r="AH95" s="28">
        <f>ALL!AL32</f>
        <v>0</v>
      </c>
      <c r="AI95" s="28">
        <f>ALL!AM32</f>
        <v>0</v>
      </c>
      <c r="AJ95" s="28">
        <f>ALL!AN32</f>
        <v>0</v>
      </c>
      <c r="AK95" s="28">
        <f>ALL!AO32</f>
        <v>0</v>
      </c>
      <c r="AL95" s="28">
        <f>ALL!AP32</f>
        <v>0</v>
      </c>
      <c r="AM95" s="28">
        <f>ALL!AQ32</f>
        <v>0</v>
      </c>
      <c r="AN95" s="28">
        <f>ALL!AR32</f>
        <v>0</v>
      </c>
      <c r="AO95" s="28">
        <f>ALL!AS32</f>
        <v>0</v>
      </c>
      <c r="AP95" s="28">
        <f>ALL!AT32</f>
        <v>0</v>
      </c>
      <c r="AQ95" s="28">
        <f>ALL!AU32</f>
        <v>0</v>
      </c>
      <c r="AR95" s="28">
        <f>ALL!AV32</f>
        <v>0</v>
      </c>
      <c r="AS95" s="28">
        <f>ALL!AW32</f>
        <v>0</v>
      </c>
      <c r="AT95" s="28">
        <f>ALL!AX32</f>
        <v>0</v>
      </c>
      <c r="AU95" s="28">
        <f>ALL!AY32</f>
        <v>0</v>
      </c>
      <c r="AV95" s="28">
        <f>ALL!AZ32</f>
        <v>0</v>
      </c>
      <c r="AW95" s="28">
        <f>ALL!BA32</f>
        <v>0</v>
      </c>
      <c r="AX95" s="28">
        <f>ALL!BB32</f>
        <v>0</v>
      </c>
      <c r="AY95" s="28">
        <f>ALL!BC32</f>
        <v>0</v>
      </c>
      <c r="AZ95" s="28">
        <f>ALL!BD32</f>
        <v>0</v>
      </c>
      <c r="BA95" s="28">
        <f>ALL!BE32</f>
        <v>0</v>
      </c>
      <c r="BB95" s="28">
        <f>ALL!BF32</f>
        <v>0</v>
      </c>
      <c r="BC95" s="28">
        <f>ALL!BG32</f>
        <v>0</v>
      </c>
      <c r="BD95" s="28">
        <f>ALL!BH32</f>
        <v>0</v>
      </c>
      <c r="BE95" s="28">
        <f>ALL!BI32</f>
        <v>0</v>
      </c>
      <c r="BF95" s="28">
        <f>ALL!BJ32</f>
        <v>0</v>
      </c>
      <c r="BG95" s="28">
        <f>ALL!BK32</f>
        <v>0</v>
      </c>
      <c r="BH95" s="28">
        <f>ALL!BL32</f>
        <v>0</v>
      </c>
      <c r="BI95" s="28">
        <f>ALL!BM32</f>
        <v>0</v>
      </c>
      <c r="BJ95" s="28">
        <f>ALL!BN32</f>
        <v>0</v>
      </c>
      <c r="BK95" s="28">
        <f>ALL!BO32</f>
        <v>0</v>
      </c>
      <c r="BL95" s="28">
        <f>ALL!BP32</f>
        <v>0</v>
      </c>
      <c r="BM95" s="28">
        <f>ALL!BQ32</f>
        <v>0</v>
      </c>
      <c r="BN95" s="28">
        <f>ALL!BR32</f>
        <v>0</v>
      </c>
      <c r="BO95" s="28">
        <f>ALL!BS32</f>
        <v>0</v>
      </c>
      <c r="BP95" s="28">
        <f>ALL!BT32</f>
        <v>0</v>
      </c>
      <c r="BQ95" s="28">
        <f>ALL!BU32</f>
        <v>0</v>
      </c>
      <c r="BR95" s="28">
        <f>ALL!BV32</f>
        <v>0</v>
      </c>
      <c r="BS95" s="28">
        <f>ALL!BW32</f>
        <v>0</v>
      </c>
      <c r="BT95" s="28">
        <f>ALL!BX32</f>
        <v>0</v>
      </c>
    </row>
    <row r="96" spans="1:72" ht="21.75" outlineLevel="1" thickBot="1" x14ac:dyDescent="0.4">
      <c r="A96" s="62">
        <f>ALL!E33</f>
        <v>1</v>
      </c>
      <c r="B96" s="28">
        <f>ALL!F33</f>
        <v>0</v>
      </c>
      <c r="C96" s="28">
        <f>ALL!G33</f>
        <v>0</v>
      </c>
      <c r="D96" s="28">
        <f>ALL!H33</f>
        <v>0</v>
      </c>
      <c r="E96" s="28">
        <f>ALL!I33</f>
        <v>0</v>
      </c>
      <c r="F96" s="28">
        <f>ALL!J33</f>
        <v>0</v>
      </c>
      <c r="G96" s="28">
        <f>ALL!K33</f>
        <v>0</v>
      </c>
      <c r="H96" s="28">
        <f>ALL!L33</f>
        <v>0</v>
      </c>
      <c r="I96" s="28">
        <f>ALL!M33</f>
        <v>0</v>
      </c>
      <c r="J96" s="28">
        <f>ALL!N33</f>
        <v>0</v>
      </c>
      <c r="K96" s="28">
        <f>ALL!O33</f>
        <v>0</v>
      </c>
      <c r="L96" s="28">
        <f>ALL!P33</f>
        <v>0</v>
      </c>
      <c r="M96" s="28">
        <f>ALL!Q33</f>
        <v>0</v>
      </c>
      <c r="N96" s="28">
        <f>ALL!R33</f>
        <v>0</v>
      </c>
      <c r="O96" s="28">
        <f>ALL!S33</f>
        <v>0</v>
      </c>
      <c r="P96" s="28">
        <f>ALL!T33</f>
        <v>0</v>
      </c>
      <c r="Q96" s="28">
        <f>ALL!U33</f>
        <v>0</v>
      </c>
      <c r="R96" s="28">
        <f>ALL!V33</f>
        <v>0</v>
      </c>
      <c r="S96" s="28">
        <f>ALL!W33</f>
        <v>0</v>
      </c>
      <c r="T96" s="28">
        <f>ALL!X33</f>
        <v>0</v>
      </c>
      <c r="U96" s="28">
        <f>ALL!Y33</f>
        <v>0</v>
      </c>
      <c r="V96" s="28">
        <f>ALL!Z33</f>
        <v>0</v>
      </c>
      <c r="W96" s="28">
        <f>ALL!AA33</f>
        <v>0</v>
      </c>
      <c r="X96" s="28">
        <f>ALL!AB33</f>
        <v>0</v>
      </c>
      <c r="Y96" s="28">
        <f>ALL!AC33</f>
        <v>0</v>
      </c>
      <c r="Z96" s="28">
        <f>ALL!AD33</f>
        <v>0</v>
      </c>
      <c r="AA96" s="28">
        <f>ALL!AE33</f>
        <v>0</v>
      </c>
      <c r="AB96" s="28">
        <f>ALL!AF33</f>
        <v>0</v>
      </c>
      <c r="AC96" s="28">
        <f>ALL!AG33</f>
        <v>0</v>
      </c>
      <c r="AD96" s="28">
        <f>ALL!AH33</f>
        <v>0</v>
      </c>
      <c r="AE96" s="28">
        <f>ALL!AI33</f>
        <v>0</v>
      </c>
      <c r="AF96" s="28">
        <f>ALL!AJ33</f>
        <v>0</v>
      </c>
      <c r="AG96" s="28">
        <f>ALL!AK33</f>
        <v>0</v>
      </c>
      <c r="AH96" s="28">
        <f>ALL!AL33</f>
        <v>0</v>
      </c>
      <c r="AI96" s="28">
        <f>ALL!AM33</f>
        <v>0</v>
      </c>
      <c r="AJ96" s="28">
        <f>ALL!AN33</f>
        <v>0</v>
      </c>
      <c r="AK96" s="28">
        <f>ALL!AO33</f>
        <v>0</v>
      </c>
      <c r="AL96" s="28">
        <f>ALL!AP33</f>
        <v>0</v>
      </c>
      <c r="AM96" s="28">
        <f>ALL!AQ33</f>
        <v>0</v>
      </c>
      <c r="AN96" s="28">
        <f>ALL!AR33</f>
        <v>0</v>
      </c>
      <c r="AO96" s="28">
        <f>ALL!AS33</f>
        <v>0</v>
      </c>
      <c r="AP96" s="28">
        <f>ALL!AT33</f>
        <v>0</v>
      </c>
      <c r="AQ96" s="28">
        <f>ALL!AU33</f>
        <v>0</v>
      </c>
      <c r="AR96" s="28">
        <f>ALL!AV33</f>
        <v>0</v>
      </c>
      <c r="AS96" s="28">
        <f>ALL!AW33</f>
        <v>0</v>
      </c>
      <c r="AT96" s="28">
        <f>ALL!AX33</f>
        <v>0</v>
      </c>
      <c r="AU96" s="28">
        <f>ALL!AY33</f>
        <v>0</v>
      </c>
      <c r="AV96" s="28">
        <f>ALL!AZ33</f>
        <v>0</v>
      </c>
      <c r="AW96" s="28">
        <f>ALL!BA33</f>
        <v>0</v>
      </c>
      <c r="AX96" s="28">
        <f>ALL!BB33</f>
        <v>0</v>
      </c>
      <c r="AY96" s="28">
        <f>ALL!BC33</f>
        <v>0</v>
      </c>
      <c r="AZ96" s="28">
        <f>ALL!BD33</f>
        <v>0</v>
      </c>
      <c r="BA96" s="28">
        <f>ALL!BE33</f>
        <v>0</v>
      </c>
      <c r="BB96" s="28">
        <f>ALL!BF33</f>
        <v>0</v>
      </c>
      <c r="BC96" s="28">
        <f>ALL!BG33</f>
        <v>0</v>
      </c>
      <c r="BD96" s="28">
        <f>ALL!BH33</f>
        <v>0</v>
      </c>
      <c r="BE96" s="28">
        <f>ALL!BI33</f>
        <v>0</v>
      </c>
      <c r="BF96" s="28">
        <f>ALL!BJ33</f>
        <v>0</v>
      </c>
      <c r="BG96" s="28">
        <f>ALL!BK33</f>
        <v>0</v>
      </c>
      <c r="BH96" s="28">
        <f>ALL!BL33</f>
        <v>0</v>
      </c>
      <c r="BI96" s="28">
        <f>ALL!BM33</f>
        <v>0</v>
      </c>
      <c r="BJ96" s="28">
        <f>ALL!BN33</f>
        <v>0</v>
      </c>
      <c r="BK96" s="28">
        <f>ALL!BO33</f>
        <v>0</v>
      </c>
      <c r="BL96" s="28">
        <f>ALL!BP33</f>
        <v>0</v>
      </c>
      <c r="BM96" s="28">
        <f>ALL!BQ33</f>
        <v>0</v>
      </c>
      <c r="BN96" s="28">
        <f>ALL!BR33</f>
        <v>0</v>
      </c>
      <c r="BO96" s="28">
        <f>ALL!BS33</f>
        <v>0</v>
      </c>
      <c r="BP96" s="28">
        <f>ALL!BT33</f>
        <v>0</v>
      </c>
      <c r="BQ96" s="28">
        <f>ALL!BU33</f>
        <v>0</v>
      </c>
      <c r="BR96" s="28">
        <f>ALL!BV33</f>
        <v>0</v>
      </c>
      <c r="BS96" s="28">
        <f>ALL!BW33</f>
        <v>0</v>
      </c>
      <c r="BT96" s="28">
        <f>ALL!BX33</f>
        <v>0</v>
      </c>
    </row>
    <row r="97" spans="1:72" x14ac:dyDescent="0.35">
      <c r="A97" s="167" t="s">
        <v>11</v>
      </c>
      <c r="B97" s="168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</row>
    <row r="98" spans="1:72" x14ac:dyDescent="0.35">
      <c r="A98" s="44">
        <f>Values!B1</f>
        <v>450</v>
      </c>
      <c r="B98" s="83">
        <f>MIN(B100:BT154)</f>
        <v>-61.039356435643569</v>
      </c>
    </row>
    <row r="99" spans="1:72" ht="21.75" thickBot="1" x14ac:dyDescent="0.4">
      <c r="A99" s="45">
        <f>A98</f>
        <v>450</v>
      </c>
      <c r="B99" s="84">
        <v>0</v>
      </c>
    </row>
    <row r="100" spans="1:72" ht="22.5" thickTop="1" thickBot="1" x14ac:dyDescent="0.4">
      <c r="A100" s="9" t="s">
        <v>38</v>
      </c>
      <c r="B100" s="9">
        <v>300</v>
      </c>
      <c r="C100" s="9">
        <v>310</v>
      </c>
      <c r="D100" s="9">
        <v>320</v>
      </c>
      <c r="E100" s="9">
        <v>330</v>
      </c>
      <c r="F100" s="9">
        <v>340</v>
      </c>
      <c r="G100" s="9">
        <v>350</v>
      </c>
      <c r="H100" s="9">
        <v>360</v>
      </c>
      <c r="I100" s="9">
        <v>370</v>
      </c>
      <c r="J100" s="9">
        <v>380</v>
      </c>
      <c r="K100" s="9">
        <v>390</v>
      </c>
      <c r="L100" s="9">
        <v>400</v>
      </c>
      <c r="M100" s="9">
        <v>410</v>
      </c>
      <c r="N100" s="9">
        <v>420</v>
      </c>
      <c r="O100" s="9">
        <v>430</v>
      </c>
      <c r="P100" s="9">
        <v>440</v>
      </c>
      <c r="Q100" s="9">
        <v>450</v>
      </c>
      <c r="R100" s="9">
        <v>460</v>
      </c>
      <c r="S100" s="9">
        <v>470</v>
      </c>
      <c r="T100" s="9">
        <v>480</v>
      </c>
      <c r="U100" s="9">
        <v>490</v>
      </c>
      <c r="V100" s="9">
        <v>500</v>
      </c>
      <c r="W100" s="9">
        <v>510</v>
      </c>
      <c r="X100" s="9">
        <v>520</v>
      </c>
      <c r="Y100" s="9">
        <v>530</v>
      </c>
      <c r="Z100" s="9">
        <v>540</v>
      </c>
      <c r="AA100" s="9">
        <v>550</v>
      </c>
      <c r="AB100" s="9">
        <v>560</v>
      </c>
      <c r="AC100" s="9">
        <v>570</v>
      </c>
      <c r="AD100" s="9">
        <v>580</v>
      </c>
      <c r="AE100" s="9">
        <v>590</v>
      </c>
      <c r="AF100" s="9">
        <v>600</v>
      </c>
      <c r="AG100" s="9">
        <v>610</v>
      </c>
      <c r="AH100" s="9">
        <v>620</v>
      </c>
      <c r="AI100" s="9">
        <v>630</v>
      </c>
      <c r="AJ100" s="9">
        <v>640</v>
      </c>
      <c r="AK100" s="9">
        <v>650</v>
      </c>
      <c r="AL100" s="9">
        <v>660</v>
      </c>
      <c r="AM100" s="9">
        <v>670</v>
      </c>
      <c r="AN100" s="9">
        <v>680</v>
      </c>
      <c r="AO100" s="9">
        <v>690</v>
      </c>
      <c r="AP100" s="9">
        <v>700</v>
      </c>
      <c r="AQ100" s="9">
        <v>710</v>
      </c>
      <c r="AR100" s="9">
        <v>720</v>
      </c>
      <c r="AS100" s="9">
        <v>730</v>
      </c>
      <c r="AT100" s="9">
        <v>740</v>
      </c>
      <c r="AU100" s="9">
        <v>750</v>
      </c>
      <c r="AV100" s="9">
        <v>760</v>
      </c>
      <c r="AW100" s="9">
        <v>770</v>
      </c>
      <c r="AX100" s="9">
        <v>780</v>
      </c>
      <c r="AY100" s="9">
        <v>790</v>
      </c>
      <c r="AZ100" s="9">
        <v>800</v>
      </c>
      <c r="BA100" s="9">
        <v>810</v>
      </c>
      <c r="BB100" s="9">
        <v>820</v>
      </c>
      <c r="BC100" s="9">
        <v>830</v>
      </c>
      <c r="BD100" s="9">
        <v>840</v>
      </c>
      <c r="BE100" s="9">
        <v>850</v>
      </c>
      <c r="BF100" s="9">
        <v>860</v>
      </c>
      <c r="BG100" s="9">
        <v>870</v>
      </c>
      <c r="BH100" s="9">
        <v>880</v>
      </c>
      <c r="BI100" s="9">
        <v>890</v>
      </c>
      <c r="BJ100" s="9">
        <v>900</v>
      </c>
      <c r="BK100" s="9">
        <v>910</v>
      </c>
      <c r="BL100" s="9">
        <v>920</v>
      </c>
      <c r="BM100" s="9">
        <v>930</v>
      </c>
      <c r="BN100" s="9">
        <v>940</v>
      </c>
      <c r="BO100" s="9">
        <v>950</v>
      </c>
      <c r="BP100" s="9">
        <v>960</v>
      </c>
      <c r="BQ100" s="9">
        <v>970</v>
      </c>
      <c r="BR100" s="9">
        <v>980</v>
      </c>
      <c r="BS100" s="9">
        <v>990</v>
      </c>
      <c r="BT100" s="9">
        <v>1000</v>
      </c>
    </row>
    <row r="101" spans="1:72" ht="22.5" outlineLevel="1" thickTop="1" thickBot="1" x14ac:dyDescent="0.4">
      <c r="A101" s="76" t="s">
        <v>56</v>
      </c>
      <c r="B101" s="64">
        <v>0</v>
      </c>
      <c r="C101" s="64">
        <v>0</v>
      </c>
      <c r="D101">
        <v>0</v>
      </c>
      <c r="E101">
        <v>0</v>
      </c>
      <c r="F101">
        <v>0</v>
      </c>
      <c r="G101">
        <v>0</v>
      </c>
      <c r="H101">
        <v>2.888365099009911E-19</v>
      </c>
      <c r="I101">
        <v>7.6233898514851576E-19</v>
      </c>
      <c r="J101">
        <v>1.2358414603960404E-18</v>
      </c>
      <c r="K101">
        <v>1.709343935643565E-18</v>
      </c>
      <c r="L101">
        <v>2.1828464108910896E-18</v>
      </c>
      <c r="M101">
        <v>2.6563488861386144E-18</v>
      </c>
      <c r="N101">
        <v>3.1298513613861388E-18</v>
      </c>
      <c r="O101">
        <v>3.603353836633664E-18</v>
      </c>
      <c r="P101">
        <v>4.2347723064851602E-14</v>
      </c>
      <c r="Q101">
        <v>1.2224186865891106E-13</v>
      </c>
      <c r="R101">
        <v>2.142652420792084E-11</v>
      </c>
      <c r="S101">
        <v>6.3122865792079168E-11</v>
      </c>
      <c r="T101">
        <v>4.0645012935323289E-10</v>
      </c>
      <c r="U101">
        <v>1.0637197810945274E-9</v>
      </c>
      <c r="V101">
        <v>1.5965941665579256E-2</v>
      </c>
      <c r="W101">
        <v>4.9228317207410964E-2</v>
      </c>
      <c r="X101">
        <v>7.9216039603960425E-2</v>
      </c>
      <c r="Y101">
        <v>0.10535960396039601</v>
      </c>
      <c r="Z101">
        <v>0.12</v>
      </c>
      <c r="AA101">
        <v>0.12</v>
      </c>
      <c r="AB101">
        <v>0.12</v>
      </c>
      <c r="AC101">
        <v>0.12</v>
      </c>
      <c r="AD101">
        <v>0.12</v>
      </c>
      <c r="AE101">
        <v>0.12</v>
      </c>
      <c r="AF101">
        <v>0.12</v>
      </c>
      <c r="AG101">
        <v>0.12</v>
      </c>
      <c r="AH101">
        <v>0.12</v>
      </c>
      <c r="AI101">
        <v>0.12</v>
      </c>
      <c r="AJ101">
        <v>0.12</v>
      </c>
      <c r="AK101">
        <v>0.12</v>
      </c>
      <c r="AL101">
        <v>0.12</v>
      </c>
      <c r="AM101">
        <v>0.12</v>
      </c>
      <c r="AN101">
        <v>0.12</v>
      </c>
      <c r="AO101">
        <v>0.12</v>
      </c>
      <c r="AP101">
        <v>0.12</v>
      </c>
      <c r="AQ101">
        <v>0.12</v>
      </c>
      <c r="AR101">
        <v>0.12</v>
      </c>
      <c r="AS101">
        <v>0.12</v>
      </c>
      <c r="AT101">
        <v>0.12</v>
      </c>
      <c r="AU101">
        <v>0.12</v>
      </c>
      <c r="AV101">
        <v>0.12</v>
      </c>
      <c r="AW101">
        <v>0.12</v>
      </c>
      <c r="AX101">
        <v>0.1192878712871287</v>
      </c>
      <c r="AY101">
        <v>0.11589678217821782</v>
      </c>
      <c r="AZ101">
        <v>0.11301643564356435</v>
      </c>
      <c r="BA101">
        <v>0.11231346534653465</v>
      </c>
      <c r="BB101">
        <v>0.11160712871287128</v>
      </c>
      <c r="BC101">
        <v>0.11088435643564357</v>
      </c>
      <c r="BD101">
        <v>0.11011479553903346</v>
      </c>
      <c r="BE101">
        <v>0.10908009913258984</v>
      </c>
      <c r="BF101">
        <v>0.10804540272614623</v>
      </c>
      <c r="BG101">
        <v>0.10701070631970261</v>
      </c>
      <c r="BH101">
        <v>0.10597600991325899</v>
      </c>
      <c r="BI101">
        <v>0.10494131350681538</v>
      </c>
      <c r="BJ101">
        <v>0.10390661710037175</v>
      </c>
      <c r="BK101">
        <v>0.10287192069392813</v>
      </c>
      <c r="BL101">
        <v>0.10176176237623763</v>
      </c>
      <c r="BM101">
        <v>9.9783792079207928E-2</v>
      </c>
      <c r="BN101">
        <v>9.7805821782178226E-2</v>
      </c>
      <c r="BO101">
        <v>9.5827851485148524E-2</v>
      </c>
      <c r="BP101">
        <v>9.3849881188118822E-2</v>
      </c>
      <c r="BQ101">
        <v>9.1871910891089106E-2</v>
      </c>
      <c r="BR101">
        <v>8.9893940594059404E-2</v>
      </c>
      <c r="BS101">
        <v>8.7915970297029702E-2</v>
      </c>
      <c r="BT101">
        <v>8.5938000000000001E-2</v>
      </c>
    </row>
    <row r="102" spans="1:72" ht="21.75" outlineLevel="1" thickBot="1" x14ac:dyDescent="0.4">
      <c r="A102" s="76" t="s">
        <v>55</v>
      </c>
      <c r="B102" s="64">
        <v>0.12</v>
      </c>
      <c r="C102" s="64">
        <v>0.12</v>
      </c>
      <c r="D102">
        <v>0.12</v>
      </c>
      <c r="E102">
        <v>0.12</v>
      </c>
      <c r="F102">
        <v>0.15742574257425751</v>
      </c>
      <c r="G102">
        <v>0.21683168316831697</v>
      </c>
      <c r="H102">
        <v>0.24</v>
      </c>
      <c r="I102">
        <v>0.24</v>
      </c>
      <c r="J102">
        <v>0.24</v>
      </c>
      <c r="K102">
        <v>0.24</v>
      </c>
      <c r="L102">
        <v>0.24</v>
      </c>
      <c r="M102">
        <v>0.24</v>
      </c>
      <c r="N102">
        <v>0.24</v>
      </c>
      <c r="O102">
        <v>0.24</v>
      </c>
      <c r="P102">
        <v>0.24</v>
      </c>
      <c r="Q102">
        <v>0.24</v>
      </c>
      <c r="R102">
        <v>0.24</v>
      </c>
      <c r="S102">
        <v>0.24</v>
      </c>
      <c r="T102">
        <v>0.24</v>
      </c>
      <c r="U102">
        <v>0.24</v>
      </c>
      <c r="V102">
        <v>0.20806811881188109</v>
      </c>
      <c r="W102">
        <v>0.1415433663366335</v>
      </c>
      <c r="X102">
        <v>8.1567922134436574E-2</v>
      </c>
      <c r="Y102">
        <v>2.9280796339733725E-2</v>
      </c>
      <c r="Z102">
        <v>4.6751463366336662E-9</v>
      </c>
      <c r="AA102">
        <v>1.9034334653465278E-9</v>
      </c>
      <c r="AB102">
        <v>2.3553415445544499E-10</v>
      </c>
      <c r="AC102">
        <v>9.194880792079186E-11</v>
      </c>
      <c r="AD102">
        <v>5.3556198019801989E-12</v>
      </c>
      <c r="AE102">
        <v>4.2506693069306968E-12</v>
      </c>
      <c r="AF102">
        <v>3.3979108911205172E-12</v>
      </c>
      <c r="AG102">
        <v>2.9566237624902945E-12</v>
      </c>
      <c r="AH102">
        <v>2.5153366338600714E-12</v>
      </c>
      <c r="AI102">
        <v>2.0740495052298484E-12</v>
      </c>
      <c r="AJ102">
        <v>1.6327623765996253E-12</v>
      </c>
      <c r="AK102">
        <v>1.1914752479694022E-12</v>
      </c>
      <c r="AL102">
        <v>7.5018811933917916E-13</v>
      </c>
      <c r="AM102">
        <v>3.089009907089561E-13</v>
      </c>
      <c r="AN102">
        <v>5.6812925234328373E-22</v>
      </c>
      <c r="AO102">
        <v>2.3589342682089605E-22</v>
      </c>
      <c r="AP102">
        <v>5.1306528887227764E-27</v>
      </c>
      <c r="AQ102">
        <v>2.1649731946633601E-27</v>
      </c>
      <c r="AR102">
        <v>2.340668316831678E-32</v>
      </c>
      <c r="AS102">
        <v>1.0031435643564335E-32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ht="21.75" outlineLevel="1" thickBot="1" x14ac:dyDescent="0.4">
      <c r="A103" s="76" t="s">
        <v>54</v>
      </c>
      <c r="B103" s="64">
        <v>0</v>
      </c>
      <c r="C103" s="64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1.0145247524752361E-32</v>
      </c>
      <c r="AG103">
        <v>3.684326732673258E-32</v>
      </c>
      <c r="AH103">
        <v>6.3541287128712789E-32</v>
      </c>
      <c r="AI103">
        <v>9.0239306930693009E-32</v>
      </c>
      <c r="AJ103">
        <v>1.1693732673267322E-31</v>
      </c>
      <c r="AK103">
        <v>1.4363534653465345E-31</v>
      </c>
      <c r="AL103">
        <v>1.7033336633663366E-31</v>
      </c>
      <c r="AM103">
        <v>1.9703138613861387E-31</v>
      </c>
      <c r="AN103">
        <v>2.2491486626865643E-28</v>
      </c>
      <c r="AO103">
        <v>9.7391202049751126E-28</v>
      </c>
      <c r="AP103">
        <v>9.855259832178176E-24</v>
      </c>
      <c r="AQ103">
        <v>4.3833722356930771E-23</v>
      </c>
      <c r="AR103">
        <v>7.0100544554455473E-23</v>
      </c>
      <c r="AS103">
        <v>7.5517376237623773E-23</v>
      </c>
      <c r="AT103">
        <v>7.6577429983168138E-18</v>
      </c>
      <c r="AU103">
        <v>3.8288396671584069E-17</v>
      </c>
      <c r="AV103">
        <v>1.1362240594059319E-16</v>
      </c>
      <c r="AW103">
        <v>3.3861547524752463E-16</v>
      </c>
      <c r="AX103">
        <v>3.2752769040178494E-10</v>
      </c>
      <c r="AY103">
        <v>1.8871809001245535E-9</v>
      </c>
      <c r="AZ103">
        <v>4.024842326732642E-8</v>
      </c>
      <c r="BA103">
        <v>2.3550065099009939E-7</v>
      </c>
      <c r="BB103">
        <v>3.8854999999999981E-7</v>
      </c>
      <c r="BC103">
        <v>3.355499999999999E-7</v>
      </c>
      <c r="BD103">
        <v>2.8632379182156137E-7</v>
      </c>
      <c r="BE103">
        <v>2.5848240396530363E-7</v>
      </c>
      <c r="BF103">
        <v>2.306410161090459E-7</v>
      </c>
      <c r="BG103">
        <v>2.0279962825278816E-7</v>
      </c>
      <c r="BH103">
        <v>1.7495824039653042E-7</v>
      </c>
      <c r="BI103">
        <v>1.4711685254027271E-7</v>
      </c>
      <c r="BJ103">
        <v>1.1927546468401497E-7</v>
      </c>
      <c r="BK103">
        <v>9.1434076827757238E-8</v>
      </c>
      <c r="BL103">
        <v>6.5278683168316868E-8</v>
      </c>
      <c r="BM103">
        <v>5.851222277227726E-8</v>
      </c>
      <c r="BN103">
        <v>5.1745762376237651E-8</v>
      </c>
      <c r="BO103">
        <v>4.4979301980198043E-8</v>
      </c>
      <c r="BP103">
        <v>3.8212841584158434E-8</v>
      </c>
      <c r="BQ103">
        <v>3.1446381188118826E-8</v>
      </c>
      <c r="BR103">
        <v>2.4679920792079217E-8</v>
      </c>
      <c r="BS103">
        <v>1.7913460396039609E-8</v>
      </c>
      <c r="BT103">
        <v>1.1147E-8</v>
      </c>
    </row>
    <row r="104" spans="1:72" ht="21.75" outlineLevel="1" thickBot="1" x14ac:dyDescent="0.4">
      <c r="A104" s="76" t="s">
        <v>69</v>
      </c>
      <c r="B104" s="64">
        <v>0</v>
      </c>
      <c r="C104" s="6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1.1672772277227589E-23</v>
      </c>
      <c r="AG104">
        <v>4.2390594059405827E-23</v>
      </c>
      <c r="AH104">
        <v>7.3108415841584056E-23</v>
      </c>
      <c r="AI104">
        <v>1.038262376237623E-22</v>
      </c>
      <c r="AJ104">
        <v>1.3454405940594054E-22</v>
      </c>
      <c r="AK104">
        <v>1.6526188118811877E-22</v>
      </c>
      <c r="AL104">
        <v>1.95979702970297E-22</v>
      </c>
      <c r="AM104">
        <v>2.2669752475247522E-22</v>
      </c>
      <c r="AN104">
        <v>6.1564399104477543E-19</v>
      </c>
      <c r="AO104">
        <v>2.6669632945273601E-18</v>
      </c>
      <c r="AP104">
        <v>6.5065462119801684E-14</v>
      </c>
      <c r="AQ104">
        <v>2.894149059811886E-13</v>
      </c>
      <c r="AR104">
        <v>2.9899074665842017E-9</v>
      </c>
      <c r="AS104">
        <v>1.40619603428218E-8</v>
      </c>
      <c r="AT104">
        <v>2.9994007860494982E-3</v>
      </c>
      <c r="AU104">
        <v>1.4996914466247492E-2</v>
      </c>
      <c r="AV104">
        <v>2.5527326732673244E-2</v>
      </c>
      <c r="AW104">
        <v>3.1146138613861382E-2</v>
      </c>
      <c r="AX104">
        <v>3.188560042955442E-2</v>
      </c>
      <c r="AY104">
        <v>1.4269411998861392E-2</v>
      </c>
      <c r="AZ104">
        <v>2.7121143564356486E-7</v>
      </c>
      <c r="BA104">
        <v>1.2300846534653606E-7</v>
      </c>
      <c r="BB104">
        <v>2.553732673267321E-21</v>
      </c>
      <c r="BC104">
        <v>1.1733366336633639E-21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</row>
    <row r="105" spans="1:72" ht="21.75" outlineLevel="1" thickBot="1" x14ac:dyDescent="0.4">
      <c r="A105" s="76" t="s">
        <v>52</v>
      </c>
      <c r="B105" s="64">
        <v>0</v>
      </c>
      <c r="C105" s="64">
        <v>0</v>
      </c>
      <c r="D105">
        <v>0</v>
      </c>
      <c r="E105">
        <v>0</v>
      </c>
      <c r="F105">
        <v>0</v>
      </c>
      <c r="G105">
        <v>0</v>
      </c>
      <c r="H105">
        <v>2.888365099009911E-19</v>
      </c>
      <c r="I105">
        <v>7.6233898514851576E-19</v>
      </c>
      <c r="J105">
        <v>1.2358414603960404E-18</v>
      </c>
      <c r="K105">
        <v>1.709343935643565E-18</v>
      </c>
      <c r="L105">
        <v>2.1828464108910896E-18</v>
      </c>
      <c r="M105">
        <v>2.6563488861386144E-18</v>
      </c>
      <c r="N105">
        <v>3.1298513613861388E-18</v>
      </c>
      <c r="O105">
        <v>3.603353836633664E-18</v>
      </c>
      <c r="P105">
        <v>4.2347723064851602E-14</v>
      </c>
      <c r="Q105">
        <v>1.2224186865891106E-13</v>
      </c>
      <c r="R105">
        <v>2.142652420792084E-11</v>
      </c>
      <c r="S105">
        <v>6.3122865792079168E-11</v>
      </c>
      <c r="T105">
        <v>4.0645012935323289E-10</v>
      </c>
      <c r="U105">
        <v>1.0637197810945274E-9</v>
      </c>
      <c r="V105">
        <v>1.5965941665579256E-2</v>
      </c>
      <c r="W105">
        <v>4.9228317207410964E-2</v>
      </c>
      <c r="X105">
        <v>7.9216039603960425E-2</v>
      </c>
      <c r="Y105">
        <v>0.10535960396039601</v>
      </c>
      <c r="Z105">
        <v>0.12</v>
      </c>
      <c r="AA105">
        <v>0.12</v>
      </c>
      <c r="AB105">
        <v>0.12</v>
      </c>
      <c r="AC105">
        <v>0.12</v>
      </c>
      <c r="AD105">
        <v>0.12</v>
      </c>
      <c r="AE105">
        <v>0.12</v>
      </c>
      <c r="AF105">
        <v>0.12</v>
      </c>
      <c r="AG105">
        <v>0.12</v>
      </c>
      <c r="AH105">
        <v>0.12</v>
      </c>
      <c r="AI105">
        <v>0.12</v>
      </c>
      <c r="AJ105">
        <v>0.12</v>
      </c>
      <c r="AK105">
        <v>0.12</v>
      </c>
      <c r="AL105">
        <v>0.12</v>
      </c>
      <c r="AM105">
        <v>0.12</v>
      </c>
      <c r="AN105">
        <v>0.12</v>
      </c>
      <c r="AO105">
        <v>0.12</v>
      </c>
      <c r="AP105">
        <v>0.12</v>
      </c>
      <c r="AQ105">
        <v>0.12</v>
      </c>
      <c r="AR105">
        <v>0.12</v>
      </c>
      <c r="AS105">
        <v>0.12</v>
      </c>
      <c r="AT105">
        <v>0.12</v>
      </c>
      <c r="AU105">
        <v>0.12</v>
      </c>
      <c r="AV105">
        <v>0.12</v>
      </c>
      <c r="AW105">
        <v>0.12</v>
      </c>
      <c r="AX105">
        <v>0.1192878712871287</v>
      </c>
      <c r="AY105">
        <v>0.11589678217821782</v>
      </c>
      <c r="AZ105">
        <v>0.11301643564356435</v>
      </c>
      <c r="BA105">
        <v>0.11231346534653465</v>
      </c>
      <c r="BB105">
        <v>0.11160712871287128</v>
      </c>
      <c r="BC105">
        <v>0.11088435643564357</v>
      </c>
      <c r="BD105">
        <v>0.11011479553903346</v>
      </c>
      <c r="BE105">
        <v>0.10908009913258984</v>
      </c>
      <c r="BF105">
        <v>0.10804540272614623</v>
      </c>
      <c r="BG105">
        <v>0.10701070631970261</v>
      </c>
      <c r="BH105">
        <v>0.10597600991325899</v>
      </c>
      <c r="BI105">
        <v>0.10494131350681538</v>
      </c>
      <c r="BJ105">
        <v>0.10390661710037175</v>
      </c>
      <c r="BK105">
        <v>0.10287192069392813</v>
      </c>
      <c r="BL105">
        <v>0.10176176237623763</v>
      </c>
      <c r="BM105">
        <v>9.9783792079207928E-2</v>
      </c>
      <c r="BN105">
        <v>9.7805821782178226E-2</v>
      </c>
      <c r="BO105">
        <v>9.5827851485148524E-2</v>
      </c>
      <c r="BP105">
        <v>9.3849881188118822E-2</v>
      </c>
      <c r="BQ105">
        <v>9.1871910891089106E-2</v>
      </c>
      <c r="BR105">
        <v>8.9893940594059404E-2</v>
      </c>
      <c r="BS105">
        <v>8.7915970297029702E-2</v>
      </c>
      <c r="BT105">
        <v>8.5938000000000001E-2</v>
      </c>
    </row>
    <row r="106" spans="1:72" ht="21.75" outlineLevel="1" thickBot="1" x14ac:dyDescent="0.4">
      <c r="A106" s="76" t="s">
        <v>51</v>
      </c>
      <c r="B106" s="64">
        <v>2.4883925625024724E-11</v>
      </c>
      <c r="C106" s="64">
        <v>6.2023980717599001E-11</v>
      </c>
      <c r="D106">
        <v>8.0944710445544599E-9</v>
      </c>
      <c r="E106">
        <v>2.0432083420792089E-8</v>
      </c>
      <c r="F106">
        <v>3.742575977516345E-2</v>
      </c>
      <c r="G106">
        <v>9.6831687994470408E-2</v>
      </c>
      <c r="H106">
        <v>0.12</v>
      </c>
      <c r="I106">
        <v>0.12</v>
      </c>
      <c r="J106">
        <v>0.12</v>
      </c>
      <c r="K106">
        <v>0.12</v>
      </c>
      <c r="L106">
        <v>0.12</v>
      </c>
      <c r="M106">
        <v>0.12</v>
      </c>
      <c r="N106">
        <v>0.12</v>
      </c>
      <c r="O106">
        <v>0.12</v>
      </c>
      <c r="P106">
        <v>0.12</v>
      </c>
      <c r="Q106">
        <v>0.12</v>
      </c>
      <c r="R106">
        <v>0.12</v>
      </c>
      <c r="S106">
        <v>0.12</v>
      </c>
      <c r="T106">
        <v>0.12</v>
      </c>
      <c r="U106">
        <v>0.12</v>
      </c>
      <c r="V106">
        <v>0.1519318811881189</v>
      </c>
      <c r="W106">
        <v>0.21845663366336648</v>
      </c>
      <c r="X106">
        <v>0.27843207920792085</v>
      </c>
      <c r="Y106">
        <v>0.33071920792079201</v>
      </c>
      <c r="Z106">
        <v>0.36</v>
      </c>
      <c r="AA106">
        <v>0.36</v>
      </c>
      <c r="AB106">
        <v>0.36</v>
      </c>
      <c r="AC106">
        <v>0.36</v>
      </c>
      <c r="AD106">
        <v>0.36</v>
      </c>
      <c r="AE106">
        <v>0.36</v>
      </c>
      <c r="AF106">
        <v>0.36</v>
      </c>
      <c r="AG106">
        <v>0.36</v>
      </c>
      <c r="AH106">
        <v>0.36</v>
      </c>
      <c r="AI106">
        <v>0.36</v>
      </c>
      <c r="AJ106">
        <v>0.36</v>
      </c>
      <c r="AK106">
        <v>0.36</v>
      </c>
      <c r="AL106">
        <v>0.36</v>
      </c>
      <c r="AM106">
        <v>0.36</v>
      </c>
      <c r="AN106">
        <v>0.36</v>
      </c>
      <c r="AO106">
        <v>0.36</v>
      </c>
      <c r="AP106">
        <v>0.36</v>
      </c>
      <c r="AQ106">
        <v>0.36</v>
      </c>
      <c r="AR106">
        <v>0.36</v>
      </c>
      <c r="AS106">
        <v>0.36</v>
      </c>
      <c r="AT106">
        <v>0.36599876237623757</v>
      </c>
      <c r="AU106">
        <v>0.38999381188118803</v>
      </c>
      <c r="AV106">
        <v>0.41105465346534648</v>
      </c>
      <c r="AW106">
        <v>0.42229227722772278</v>
      </c>
      <c r="AX106">
        <v>0.43588668316831686</v>
      </c>
      <c r="AY106">
        <v>0.45834707920792078</v>
      </c>
      <c r="AZ106">
        <v>0.47683158415841587</v>
      </c>
      <c r="BA106">
        <v>0.4783662376237624</v>
      </c>
      <c r="BB106">
        <v>0.47966693069306932</v>
      </c>
      <c r="BC106">
        <v>0.47982534653465347</v>
      </c>
      <c r="BD106">
        <v>0.4799607434944238</v>
      </c>
      <c r="BE106">
        <v>0.47996570012391571</v>
      </c>
      <c r="BF106">
        <v>0.47997065675340767</v>
      </c>
      <c r="BG106">
        <v>0.47997561338289962</v>
      </c>
      <c r="BH106">
        <v>0.47998057001239158</v>
      </c>
      <c r="BI106">
        <v>0.47998552664188349</v>
      </c>
      <c r="BJ106">
        <v>0.47999048327137545</v>
      </c>
      <c r="BK106">
        <v>0.4799954399008674</v>
      </c>
      <c r="BL106">
        <v>0.48</v>
      </c>
      <c r="BM106">
        <v>0.48</v>
      </c>
      <c r="BN106">
        <v>0.48</v>
      </c>
      <c r="BO106">
        <v>0.48</v>
      </c>
      <c r="BP106">
        <v>0.48</v>
      </c>
      <c r="BQ106">
        <v>0.48</v>
      </c>
      <c r="BR106">
        <v>0.48</v>
      </c>
      <c r="BS106">
        <v>0.48</v>
      </c>
      <c r="BT106">
        <v>0.48</v>
      </c>
    </row>
    <row r="107" spans="1:72" ht="21.75" outlineLevel="1" thickBot="1" x14ac:dyDescent="0.4">
      <c r="A107" s="76" t="s">
        <v>63</v>
      </c>
      <c r="B107" s="64">
        <v>0.12</v>
      </c>
      <c r="C107" s="64">
        <v>0.12</v>
      </c>
      <c r="D107">
        <v>0.12</v>
      </c>
      <c r="E107">
        <v>0.12</v>
      </c>
      <c r="F107">
        <v>8.25742595645301E-2</v>
      </c>
      <c r="G107">
        <v>2.3168322365371669E-2</v>
      </c>
      <c r="H107">
        <v>6.3399775992777476E-9</v>
      </c>
      <c r="I107">
        <v>5.4912523521920919E-9</v>
      </c>
      <c r="J107">
        <v>4.6425271051064361E-9</v>
      </c>
      <c r="K107">
        <v>3.7938018580207804E-9</v>
      </c>
      <c r="L107">
        <v>2.9450766109351247E-9</v>
      </c>
      <c r="M107">
        <v>2.096351363849469E-9</v>
      </c>
      <c r="N107">
        <v>1.2476261167638133E-9</v>
      </c>
      <c r="O107">
        <v>3.9890086967815755E-10</v>
      </c>
      <c r="P107">
        <v>2.6179045396039581E-18</v>
      </c>
      <c r="Q107">
        <v>8.6319612376237308E-19</v>
      </c>
      <c r="R107">
        <v>2.5333613934328741E-21</v>
      </c>
      <c r="S107">
        <v>8.5563863545812557E-22</v>
      </c>
      <c r="T107">
        <v>2.1847920398009971E-29</v>
      </c>
      <c r="U107">
        <v>7.4742885572139276E-30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ht="21.75" outlineLevel="1" thickBot="1" x14ac:dyDescent="0.4">
      <c r="A108" s="76" t="s">
        <v>62</v>
      </c>
      <c r="B108" s="64">
        <v>0.04</v>
      </c>
      <c r="C108" s="64">
        <v>0.04</v>
      </c>
      <c r="D108">
        <v>0.04</v>
      </c>
      <c r="E108">
        <v>0.04</v>
      </c>
      <c r="F108">
        <v>0.04</v>
      </c>
      <c r="G108">
        <v>0.04</v>
      </c>
      <c r="H108">
        <v>0.04</v>
      </c>
      <c r="I108">
        <v>0.04</v>
      </c>
      <c r="J108">
        <v>0.04</v>
      </c>
      <c r="K108">
        <v>0.04</v>
      </c>
      <c r="L108">
        <v>0.04</v>
      </c>
      <c r="M108">
        <v>0.04</v>
      </c>
      <c r="N108">
        <v>0.04</v>
      </c>
      <c r="O108">
        <v>0.04</v>
      </c>
      <c r="P108">
        <v>0.04</v>
      </c>
      <c r="Q108">
        <v>0.04</v>
      </c>
      <c r="R108">
        <v>0.04</v>
      </c>
      <c r="S108">
        <v>0.04</v>
      </c>
      <c r="T108">
        <v>0.04</v>
      </c>
      <c r="U108">
        <v>0.04</v>
      </c>
      <c r="V108">
        <v>0.04</v>
      </c>
      <c r="W108">
        <v>0.04</v>
      </c>
      <c r="X108">
        <v>0.04</v>
      </c>
      <c r="Y108">
        <v>0.04</v>
      </c>
      <c r="Z108">
        <v>0.04</v>
      </c>
      <c r="AA108">
        <v>0.04</v>
      </c>
      <c r="AB108">
        <v>0.04</v>
      </c>
      <c r="AC108">
        <v>0.04</v>
      </c>
      <c r="AD108">
        <v>0.04</v>
      </c>
      <c r="AE108">
        <v>0.04</v>
      </c>
      <c r="AF108">
        <v>0.04</v>
      </c>
      <c r="AG108">
        <v>0.04</v>
      </c>
      <c r="AH108">
        <v>0.04</v>
      </c>
      <c r="AI108">
        <v>0.04</v>
      </c>
      <c r="AJ108">
        <v>0.04</v>
      </c>
      <c r="AK108">
        <v>0.04</v>
      </c>
      <c r="AL108">
        <v>0.04</v>
      </c>
      <c r="AM108">
        <v>0.04</v>
      </c>
      <c r="AN108">
        <v>0.04</v>
      </c>
      <c r="AO108">
        <v>0.04</v>
      </c>
      <c r="AP108">
        <v>0.04</v>
      </c>
      <c r="AQ108">
        <v>0.04</v>
      </c>
      <c r="AR108">
        <v>0.04</v>
      </c>
      <c r="AS108">
        <v>0.04</v>
      </c>
      <c r="AT108">
        <v>3.7000618811881193E-2</v>
      </c>
      <c r="AU108">
        <v>2.5003094059405977E-2</v>
      </c>
      <c r="AV108">
        <v>1.4472616336633685E-2</v>
      </c>
      <c r="AW108">
        <v>8.8535569306930732E-3</v>
      </c>
      <c r="AX108">
        <v>4.0754435643564329E-3</v>
      </c>
      <c r="AY108">
        <v>2.460889108910892E-3</v>
      </c>
      <c r="AZ108">
        <v>1.0559262871287136E-3</v>
      </c>
      <c r="BA108">
        <v>5.4448569306930598E-4</v>
      </c>
      <c r="BB108">
        <v>1.1103125247524729E-4</v>
      </c>
      <c r="BC108">
        <v>5.8332737623762265E-5</v>
      </c>
      <c r="BD108">
        <v>1.3287423609665429E-5</v>
      </c>
      <c r="BE108">
        <v>1.1610247674101613E-5</v>
      </c>
      <c r="BF108">
        <v>9.9330717385377969E-6</v>
      </c>
      <c r="BG108">
        <v>8.255895802973981E-6</v>
      </c>
      <c r="BH108">
        <v>6.5787198674101659E-6</v>
      </c>
      <c r="BI108">
        <v>4.9015439318463509E-6</v>
      </c>
      <c r="BJ108">
        <v>3.224367996282535E-6</v>
      </c>
      <c r="BK108">
        <v>1.5471920607187191E-6</v>
      </c>
      <c r="BL108">
        <v>4.1487407762376261E-9</v>
      </c>
      <c r="BM108">
        <v>3.6305004792079228E-9</v>
      </c>
      <c r="BN108">
        <v>3.1122601821782194E-9</v>
      </c>
      <c r="BO108">
        <v>2.594019885148516E-9</v>
      </c>
      <c r="BP108">
        <v>2.0757795881188131E-9</v>
      </c>
      <c r="BQ108">
        <v>1.5575392910891098E-9</v>
      </c>
      <c r="BR108">
        <v>1.0392989940594064E-9</v>
      </c>
      <c r="BS108">
        <v>5.2105869702970305E-10</v>
      </c>
      <c r="BT108">
        <v>2.8184000000001068E-12</v>
      </c>
    </row>
    <row r="109" spans="1:72" ht="21.75" outlineLevel="1" thickBot="1" x14ac:dyDescent="0.4">
      <c r="A109" s="76" t="s">
        <v>70</v>
      </c>
      <c r="B109" s="64">
        <v>0</v>
      </c>
      <c r="C109" s="64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2.1741544554455505E-35</v>
      </c>
      <c r="Q109">
        <v>6.2763326732673351E-35</v>
      </c>
      <c r="R109">
        <v>1.0043804277227744E-32</v>
      </c>
      <c r="S109">
        <v>2.9575059722772253E-32</v>
      </c>
      <c r="T109">
        <v>2.9070023482586984E-30</v>
      </c>
      <c r="U109">
        <v>8.7589744875621907E-30</v>
      </c>
      <c r="V109">
        <v>5.5980944554455611E-28</v>
      </c>
      <c r="W109">
        <v>1.7014916237623785E-27</v>
      </c>
      <c r="X109">
        <v>7.4005584158416033E-26</v>
      </c>
      <c r="Y109">
        <v>2.2984815841584143E-25</v>
      </c>
      <c r="Z109">
        <v>7.0207770297029582E-24</v>
      </c>
      <c r="AA109">
        <v>2.2256361188118852E-23</v>
      </c>
      <c r="AB109">
        <v>4.9629643564356828E-22</v>
      </c>
      <c r="AC109">
        <v>1.603923663366338E-21</v>
      </c>
      <c r="AD109">
        <v>2.6936123762376179E-20</v>
      </c>
      <c r="AE109">
        <v>8.8605183168316633E-20</v>
      </c>
      <c r="AF109">
        <v>6.4939822608910147E-15</v>
      </c>
      <c r="AG109">
        <v>2.358307547376231E-14</v>
      </c>
      <c r="AH109">
        <v>4.0672168686633613E-14</v>
      </c>
      <c r="AI109">
        <v>5.77612618995049E-14</v>
      </c>
      <c r="AJ109">
        <v>7.4850355112376199E-14</v>
      </c>
      <c r="AK109">
        <v>9.1939448325247499E-14</v>
      </c>
      <c r="AL109">
        <v>1.0902854153811879E-13</v>
      </c>
      <c r="AM109">
        <v>1.2611763475099011E-13</v>
      </c>
      <c r="AN109">
        <v>5.3970985074626822E-13</v>
      </c>
      <c r="AO109">
        <v>1.8784760199004954E-12</v>
      </c>
      <c r="AP109">
        <v>9.5703514851484842E-12</v>
      </c>
      <c r="AQ109">
        <v>3.2816391089108962E-11</v>
      </c>
      <c r="AR109">
        <v>1.4495886138614E-10</v>
      </c>
      <c r="AS109">
        <v>4.9745094059405994E-10</v>
      </c>
      <c r="AT109">
        <v>1.1673744554455436E-9</v>
      </c>
      <c r="AU109">
        <v>2.7895922772277181E-9</v>
      </c>
      <c r="AV109">
        <v>5.1165460396039433E-9</v>
      </c>
      <c r="AW109">
        <v>9.8028331683168301E-9</v>
      </c>
      <c r="AX109">
        <v>1.6023128712871308E-8</v>
      </c>
      <c r="AY109">
        <v>2.8014217821782172E-8</v>
      </c>
      <c r="AZ109">
        <v>3.7743836633663367E-8</v>
      </c>
      <c r="BA109">
        <v>3.7832450495049507E-8</v>
      </c>
      <c r="BB109">
        <v>3.7876376237623766E-8</v>
      </c>
      <c r="BC109">
        <v>3.7702118811881186E-8</v>
      </c>
      <c r="BD109">
        <v>3.7417234200743492E-8</v>
      </c>
      <c r="BE109">
        <v>3.6505462205700122E-8</v>
      </c>
      <c r="BF109">
        <v>3.5593690210656758E-8</v>
      </c>
      <c r="BG109">
        <v>3.4681918215613388E-8</v>
      </c>
      <c r="BH109">
        <v>3.3770146220570017E-8</v>
      </c>
      <c r="BI109">
        <v>3.2858374225526647E-8</v>
      </c>
      <c r="BJ109">
        <v>3.1946602230483277E-8</v>
      </c>
      <c r="BK109">
        <v>3.1034830235439907E-8</v>
      </c>
      <c r="BL109">
        <v>3.00730891089109E-8</v>
      </c>
      <c r="BM109">
        <v>2.8536702970297037E-8</v>
      </c>
      <c r="BN109">
        <v>2.7000316831683173E-8</v>
      </c>
      <c r="BO109">
        <v>2.5463930693069313E-8</v>
      </c>
      <c r="BP109">
        <v>2.392754455445545E-8</v>
      </c>
      <c r="BQ109">
        <v>2.239115841584159E-8</v>
      </c>
      <c r="BR109">
        <v>2.0854772277227727E-8</v>
      </c>
      <c r="BS109">
        <v>1.9318386138613863E-8</v>
      </c>
      <c r="BT109">
        <v>1.7782E-8</v>
      </c>
    </row>
    <row r="110" spans="1:72" ht="21.75" outlineLevel="1" thickBot="1" x14ac:dyDescent="0.4">
      <c r="A110" s="76" t="s">
        <v>1</v>
      </c>
      <c r="B110" s="64">
        <v>0.2</v>
      </c>
      <c r="C110" s="64">
        <v>0.2</v>
      </c>
      <c r="D110">
        <v>0.2</v>
      </c>
      <c r="E110">
        <v>0.2</v>
      </c>
      <c r="F110">
        <v>0.2</v>
      </c>
      <c r="G110">
        <v>0.2</v>
      </c>
      <c r="H110">
        <v>0.2</v>
      </c>
      <c r="I110">
        <v>0.2</v>
      </c>
      <c r="J110">
        <v>0.2</v>
      </c>
      <c r="K110">
        <v>0.2</v>
      </c>
      <c r="L110">
        <v>0.2</v>
      </c>
      <c r="M110">
        <v>0.2</v>
      </c>
      <c r="N110">
        <v>0.2</v>
      </c>
      <c r="O110">
        <v>0.2</v>
      </c>
      <c r="P110">
        <v>0.2</v>
      </c>
      <c r="Q110">
        <v>0.2</v>
      </c>
      <c r="R110">
        <v>0.2</v>
      </c>
      <c r="S110">
        <v>0.2</v>
      </c>
      <c r="T110">
        <v>0.2</v>
      </c>
      <c r="U110">
        <v>0.2</v>
      </c>
      <c r="V110">
        <v>0.2</v>
      </c>
      <c r="W110">
        <v>0.2</v>
      </c>
      <c r="X110">
        <v>0.2</v>
      </c>
      <c r="Y110">
        <v>0.2</v>
      </c>
      <c r="Z110">
        <v>0.2</v>
      </c>
      <c r="AA110">
        <v>0.2</v>
      </c>
      <c r="AB110">
        <v>0.2</v>
      </c>
      <c r="AC110">
        <v>0.2</v>
      </c>
      <c r="AD110">
        <v>0.2</v>
      </c>
      <c r="AE110">
        <v>0.2</v>
      </c>
      <c r="AF110">
        <v>0.2</v>
      </c>
      <c r="AG110">
        <v>0.2</v>
      </c>
      <c r="AH110">
        <v>0.2</v>
      </c>
      <c r="AI110">
        <v>0.2</v>
      </c>
      <c r="AJ110">
        <v>0.2</v>
      </c>
      <c r="AK110">
        <v>0.2</v>
      </c>
      <c r="AL110">
        <v>0.2</v>
      </c>
      <c r="AM110">
        <v>0.2</v>
      </c>
      <c r="AN110">
        <v>0.2</v>
      </c>
      <c r="AO110">
        <v>0.2</v>
      </c>
      <c r="AP110">
        <v>0.2</v>
      </c>
      <c r="AQ110">
        <v>0.2</v>
      </c>
      <c r="AR110">
        <v>0.2</v>
      </c>
      <c r="AS110">
        <v>0.2</v>
      </c>
      <c r="AT110">
        <v>0.2</v>
      </c>
      <c r="AU110">
        <v>0.2</v>
      </c>
      <c r="AV110">
        <v>0.2</v>
      </c>
      <c r="AW110">
        <v>0.2</v>
      </c>
      <c r="AX110">
        <v>0.2</v>
      </c>
      <c r="AY110">
        <v>0.2</v>
      </c>
      <c r="AZ110">
        <v>0.2</v>
      </c>
      <c r="BA110">
        <v>0.2</v>
      </c>
      <c r="BB110">
        <v>0.2</v>
      </c>
      <c r="BC110">
        <v>0.2</v>
      </c>
      <c r="BD110">
        <v>0.2</v>
      </c>
      <c r="BE110">
        <v>0.2</v>
      </c>
      <c r="BF110">
        <v>0.2</v>
      </c>
      <c r="BG110">
        <v>0.2</v>
      </c>
      <c r="BH110">
        <v>0.2</v>
      </c>
      <c r="BI110">
        <v>0.2</v>
      </c>
      <c r="BJ110">
        <v>0.2</v>
      </c>
      <c r="BK110">
        <v>0.2</v>
      </c>
      <c r="BL110">
        <v>0.2</v>
      </c>
      <c r="BM110">
        <v>0.2</v>
      </c>
      <c r="BN110">
        <v>0.2</v>
      </c>
      <c r="BO110">
        <v>0.2</v>
      </c>
      <c r="BP110">
        <v>0.2</v>
      </c>
      <c r="BQ110">
        <v>0.2</v>
      </c>
      <c r="BR110">
        <v>0.2</v>
      </c>
      <c r="BS110">
        <v>0.2</v>
      </c>
      <c r="BT110">
        <v>0.2</v>
      </c>
    </row>
    <row r="111" spans="1:72" ht="21.75" outlineLevel="1" thickBot="1" x14ac:dyDescent="0.4">
      <c r="A111" s="76" t="s">
        <v>100</v>
      </c>
      <c r="B111" s="64">
        <v>0</v>
      </c>
      <c r="C111" s="64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3.3622970297029637E-33</v>
      </c>
      <c r="AA111">
        <v>1.100388118811883E-32</v>
      </c>
      <c r="AB111">
        <v>4.6659627215841979E-27</v>
      </c>
      <c r="AC111">
        <v>1.5775361020594076E-26</v>
      </c>
      <c r="AD111">
        <v>3.9841764130791992E-21</v>
      </c>
      <c r="AE111">
        <v>1.3944561343277198E-20</v>
      </c>
      <c r="AF111">
        <v>1.7501652837128515E-14</v>
      </c>
      <c r="AG111">
        <v>6.355858104009884E-14</v>
      </c>
      <c r="AH111">
        <v>1.0961550924306917E-13</v>
      </c>
      <c r="AI111">
        <v>1.5567243744603949E-13</v>
      </c>
      <c r="AJ111">
        <v>2.0172936564900982E-13</v>
      </c>
      <c r="AK111">
        <v>2.4778629385198013E-13</v>
      </c>
      <c r="AL111">
        <v>2.9384322205495044E-13</v>
      </c>
      <c r="AM111">
        <v>3.3990015025792079E-13</v>
      </c>
      <c r="AN111">
        <v>4.4120716417910442E-13</v>
      </c>
      <c r="AO111">
        <v>6.7143104477611906E-13</v>
      </c>
      <c r="AP111">
        <v>2.471539455445537E-12</v>
      </c>
      <c r="AQ111">
        <v>8.1151582673267456E-12</v>
      </c>
      <c r="AR111">
        <v>1.0675858267326711E-11</v>
      </c>
      <c r="AS111">
        <v>4.9012592574257333E-12</v>
      </c>
      <c r="AT111">
        <v>5.682472518316819E-10</v>
      </c>
      <c r="AU111">
        <v>2.8389550191584099E-9</v>
      </c>
      <c r="AV111">
        <v>8.5803594059405301E-9</v>
      </c>
      <c r="AW111">
        <v>2.5941052475247519E-8</v>
      </c>
      <c r="AX111">
        <v>8.0770305828515541E-3</v>
      </c>
      <c r="AY111">
        <v>4.6538892139287115E-2</v>
      </c>
      <c r="AZ111">
        <v>7.7887420792079207E-2</v>
      </c>
      <c r="BA111">
        <v>7.8910688118811884E-2</v>
      </c>
      <c r="BB111">
        <v>7.9777925742574252E-2</v>
      </c>
      <c r="BC111">
        <v>7.9883371287128718E-2</v>
      </c>
      <c r="BD111">
        <v>7.9973501858736057E-2</v>
      </c>
      <c r="BE111">
        <v>7.9976847583643124E-2</v>
      </c>
      <c r="BF111">
        <v>7.998019330855019E-2</v>
      </c>
      <c r="BG111">
        <v>7.9983539033457257E-2</v>
      </c>
      <c r="BH111">
        <v>7.998688475836431E-2</v>
      </c>
      <c r="BI111">
        <v>7.9990230483271377E-2</v>
      </c>
      <c r="BJ111">
        <v>7.9993576208178443E-2</v>
      </c>
      <c r="BK111">
        <v>7.999692193308551E-2</v>
      </c>
      <c r="BL111">
        <v>0.08</v>
      </c>
      <c r="BM111">
        <v>0.08</v>
      </c>
      <c r="BN111">
        <v>0.08</v>
      </c>
      <c r="BO111">
        <v>0.08</v>
      </c>
      <c r="BP111">
        <v>0.08</v>
      </c>
      <c r="BQ111">
        <v>0.08</v>
      </c>
      <c r="BR111">
        <v>0.08</v>
      </c>
      <c r="BS111">
        <v>0.08</v>
      </c>
      <c r="BT111">
        <v>0.08</v>
      </c>
    </row>
    <row r="112" spans="1:72" ht="21.75" outlineLevel="1" thickBot="1" x14ac:dyDescent="0.4">
      <c r="A112" s="76" t="s">
        <v>101</v>
      </c>
      <c r="B112" s="64">
        <v>0</v>
      </c>
      <c r="C112" s="64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6.5080792079207802E-28</v>
      </c>
      <c r="AA112">
        <v>2.129916831683172E-27</v>
      </c>
      <c r="AB112">
        <v>1.6617058439604104E-22</v>
      </c>
      <c r="AC112">
        <v>5.6180771914851538E-22</v>
      </c>
      <c r="AD112">
        <v>2.8693710241485085E-17</v>
      </c>
      <c r="AE112">
        <v>1.0042598787019781E-16</v>
      </c>
      <c r="AF112">
        <v>4.6157471905940081E-13</v>
      </c>
      <c r="AG112">
        <v>1.675863716584154E-12</v>
      </c>
      <c r="AH112">
        <v>2.8901527141089072E-12</v>
      </c>
      <c r="AI112">
        <v>4.1044417116336604E-12</v>
      </c>
      <c r="AJ112">
        <v>5.3187307091584136E-12</v>
      </c>
      <c r="AK112">
        <v>6.5330197066831668E-12</v>
      </c>
      <c r="AL112">
        <v>7.7473087042079208E-12</v>
      </c>
      <c r="AM112">
        <v>8.961597701732674E-12</v>
      </c>
      <c r="AN112">
        <v>9.2988388059701499E-12</v>
      </c>
      <c r="AO112">
        <v>7.5896348258706494E-12</v>
      </c>
      <c r="AP112">
        <v>9.5541698019801849E-12</v>
      </c>
      <c r="AQ112">
        <v>2.0513031188118837E-11</v>
      </c>
      <c r="AR112">
        <v>2.4759042970296975E-11</v>
      </c>
      <c r="AS112">
        <v>1.085549841584156E-11</v>
      </c>
      <c r="AT112">
        <v>2.1735508752475198E-10</v>
      </c>
      <c r="AU112">
        <v>1.0850640776237601E-9</v>
      </c>
      <c r="AV112">
        <v>2.6715831683168163E-9</v>
      </c>
      <c r="AW112">
        <v>6.6645534653465334E-9</v>
      </c>
      <c r="AX112">
        <v>1.4233305803911013E-3</v>
      </c>
      <c r="AY112">
        <v>8.2010484917772238E-3</v>
      </c>
      <c r="AZ112">
        <v>1.3959163366336631E-2</v>
      </c>
      <c r="BA112">
        <v>1.5370549504950499E-2</v>
      </c>
      <c r="BB112">
        <v>1.6787069306930701E-2</v>
      </c>
      <c r="BC112">
        <v>1.8228653465346537E-2</v>
      </c>
      <c r="BD112">
        <v>1.9764594795539034E-2</v>
      </c>
      <c r="BE112">
        <v>2.1835226765799253E-2</v>
      </c>
      <c r="BF112">
        <v>2.3905858736059476E-2</v>
      </c>
      <c r="BG112">
        <v>2.5976490706319699E-2</v>
      </c>
      <c r="BH112">
        <v>2.8047122676579921E-2</v>
      </c>
      <c r="BI112">
        <v>3.0117754646840141E-2</v>
      </c>
      <c r="BJ112">
        <v>3.2188386617100363E-2</v>
      </c>
      <c r="BK112">
        <v>3.4259018587360586E-2</v>
      </c>
      <c r="BL112">
        <v>3.6480435643564339E-2</v>
      </c>
      <c r="BM112">
        <v>4.0435881188118798E-2</v>
      </c>
      <c r="BN112">
        <v>4.4391326732673257E-2</v>
      </c>
      <c r="BO112">
        <v>4.8346772277227716E-2</v>
      </c>
      <c r="BP112">
        <v>5.2302217821782168E-2</v>
      </c>
      <c r="BQ112">
        <v>5.6257663366336627E-2</v>
      </c>
      <c r="BR112">
        <v>6.0213108910891086E-2</v>
      </c>
      <c r="BS112">
        <v>6.4168554455445545E-2</v>
      </c>
      <c r="BT112">
        <v>6.8124000000000004E-2</v>
      </c>
    </row>
    <row r="113" spans="1:72" ht="21.75" outlineLevel="1" thickBot="1" x14ac:dyDescent="0.4">
      <c r="A113" s="76" t="s">
        <v>36</v>
      </c>
      <c r="B113" s="64">
        <v>-18.793316831683168</v>
      </c>
      <c r="C113" s="64">
        <v>-18.798267326732674</v>
      </c>
      <c r="D113">
        <v>-18.803217821782177</v>
      </c>
      <c r="E113">
        <v>-18.808168316831683</v>
      </c>
      <c r="F113">
        <v>-18.816237623762376</v>
      </c>
      <c r="G113">
        <v>-18.826138613861385</v>
      </c>
      <c r="H113">
        <v>-18.839059405940592</v>
      </c>
      <c r="I113">
        <v>-18.853910891089107</v>
      </c>
      <c r="J113">
        <v>-18.868762376237623</v>
      </c>
      <c r="K113">
        <v>-18.883613861386138</v>
      </c>
      <c r="L113">
        <v>-18.898465346534653</v>
      </c>
      <c r="M113">
        <v>-18.913316831683169</v>
      </c>
      <c r="N113">
        <v>-18.928168316831684</v>
      </c>
      <c r="O113">
        <v>-18.943019801980196</v>
      </c>
      <c r="P113">
        <v>-18.960495049504949</v>
      </c>
      <c r="Q113">
        <v>-18.980297029702967</v>
      </c>
      <c r="R113">
        <v>-19.000099009900989</v>
      </c>
      <c r="S113">
        <v>-19.019900990099011</v>
      </c>
      <c r="T113">
        <v>-19.039751243781094</v>
      </c>
      <c r="U113">
        <v>-19.059651741293532</v>
      </c>
      <c r="V113">
        <v>-19.07950495049505</v>
      </c>
      <c r="W113">
        <v>-19.099306930693068</v>
      </c>
      <c r="X113">
        <v>-19.119108910891089</v>
      </c>
      <c r="Y113">
        <v>-19.138910891089107</v>
      </c>
      <c r="Z113">
        <v>-19.158712871287129</v>
      </c>
      <c r="AA113">
        <v>-19.178514851485151</v>
      </c>
      <c r="AB113">
        <v>-19.198316831683169</v>
      </c>
      <c r="AC113">
        <v>-19.21811881188119</v>
      </c>
      <c r="AD113">
        <v>-19.239900990099009</v>
      </c>
      <c r="AE113">
        <v>-19.264653465346534</v>
      </c>
      <c r="AF113">
        <v>-19.28752475247525</v>
      </c>
      <c r="AG113">
        <v>-19.307326732673268</v>
      </c>
      <c r="AH113">
        <v>-19.327128712871289</v>
      </c>
      <c r="AI113">
        <v>-19.346930693069307</v>
      </c>
      <c r="AJ113">
        <v>-19.366732673267329</v>
      </c>
      <c r="AK113">
        <v>-19.386534653465347</v>
      </c>
      <c r="AL113">
        <v>-19.406336633663368</v>
      </c>
      <c r="AM113">
        <v>-19.426138613861387</v>
      </c>
      <c r="AN113">
        <v>-19.447462686567164</v>
      </c>
      <c r="AO113">
        <v>-19.472338308457712</v>
      </c>
      <c r="AP113">
        <v>-19.495742574257424</v>
      </c>
      <c r="AQ113">
        <v>-19.515544554455445</v>
      </c>
      <c r="AR113">
        <v>-19.535346534653467</v>
      </c>
      <c r="AS113">
        <v>-19.555148514851485</v>
      </c>
      <c r="AT113">
        <v>-19.561336633663366</v>
      </c>
      <c r="AU113">
        <v>-19.526683168316833</v>
      </c>
      <c r="AV113">
        <v>-19.498861386138614</v>
      </c>
      <c r="AW113">
        <v>-19.493910891089108</v>
      </c>
      <c r="AX113">
        <v>-19.492079207920792</v>
      </c>
      <c r="AY113">
        <v>-19.501980198019801</v>
      </c>
      <c r="AZ113">
        <v>-19.513762376237626</v>
      </c>
      <c r="BA113">
        <v>-19.533564356435644</v>
      </c>
      <c r="BB113">
        <v>-19.553366336633665</v>
      </c>
      <c r="BC113">
        <v>-19.573168316831683</v>
      </c>
      <c r="BD113">
        <v>-19.59278810408922</v>
      </c>
      <c r="BE113">
        <v>-19.611375464684013</v>
      </c>
      <c r="BF113">
        <v>-19.62996282527881</v>
      </c>
      <c r="BG113">
        <v>-19.648550185873606</v>
      </c>
      <c r="BH113">
        <v>-19.6671375464684</v>
      </c>
      <c r="BI113">
        <v>-19.685724907063197</v>
      </c>
      <c r="BJ113">
        <v>-19.70431226765799</v>
      </c>
      <c r="BK113">
        <v>-19.722899628252787</v>
      </c>
      <c r="BL113">
        <v>-19.741386138613858</v>
      </c>
      <c r="BM113">
        <v>-19.758712871287127</v>
      </c>
      <c r="BN113">
        <v>-19.776039603960395</v>
      </c>
      <c r="BO113">
        <v>-19.79336633663366</v>
      </c>
      <c r="BP113">
        <v>-19.810693069306929</v>
      </c>
      <c r="BQ113">
        <v>-19.828019801980197</v>
      </c>
      <c r="BR113">
        <v>-19.845346534653466</v>
      </c>
      <c r="BS113">
        <v>-19.862673267326731</v>
      </c>
      <c r="BT113">
        <v>-19.88</v>
      </c>
    </row>
    <row r="114" spans="1:72" ht="21.75" outlineLevel="1" thickBot="1" x14ac:dyDescent="0.4">
      <c r="A114" s="76" t="s">
        <v>5</v>
      </c>
      <c r="B114" s="64">
        <v>-61.039356435643569</v>
      </c>
      <c r="C114" s="64">
        <v>-59.232425742574257</v>
      </c>
      <c r="D114">
        <v>-57.57351485148515</v>
      </c>
      <c r="E114">
        <v>-55.994306930693064</v>
      </c>
      <c r="F114">
        <v>-54.2279702970297</v>
      </c>
      <c r="G114">
        <v>-52.351732673267321</v>
      </c>
      <c r="H114">
        <v>-50.535891089108901</v>
      </c>
      <c r="I114">
        <v>-48.758663366336627</v>
      </c>
      <c r="J114">
        <v>-46.981435643564353</v>
      </c>
      <c r="K114">
        <v>-45.204207920792072</v>
      </c>
      <c r="L114">
        <v>-43.426980198019798</v>
      </c>
      <c r="M114">
        <v>-41.649752475247524</v>
      </c>
      <c r="N114">
        <v>-39.872524752475243</v>
      </c>
      <c r="O114">
        <v>-38.095297029702962</v>
      </c>
      <c r="P114">
        <v>-36.509603960396035</v>
      </c>
      <c r="Q114">
        <v>-35.093762376237621</v>
      </c>
      <c r="R114">
        <v>-33.733465346534651</v>
      </c>
      <c r="S114">
        <v>-32.426534653465346</v>
      </c>
      <c r="T114">
        <v>-31.162736318407962</v>
      </c>
      <c r="U114">
        <v>-29.943830845771142</v>
      </c>
      <c r="V114">
        <v>-28.768217821782176</v>
      </c>
      <c r="W114">
        <v>-27.639504950495049</v>
      </c>
      <c r="X114">
        <v>-26.544950495049505</v>
      </c>
      <c r="Y114">
        <v>-25.49049504950495</v>
      </c>
      <c r="Z114">
        <v>-24.466534653465345</v>
      </c>
      <c r="AA114">
        <v>-23.481386138613857</v>
      </c>
      <c r="AB114">
        <v>-22.521188118811878</v>
      </c>
      <c r="AC114">
        <v>-21.595445544554455</v>
      </c>
      <c r="AD114">
        <v>-20.69148514851485</v>
      </c>
      <c r="AE114">
        <v>-19.820198019801985</v>
      </c>
      <c r="AF114">
        <v>-18.99123762376238</v>
      </c>
      <c r="AG114">
        <v>-18.231336633663371</v>
      </c>
      <c r="AH114">
        <v>-17.471435643564359</v>
      </c>
      <c r="AI114">
        <v>-16.71153465346535</v>
      </c>
      <c r="AJ114">
        <v>-15.951633663366339</v>
      </c>
      <c r="AK114">
        <v>-15.191732673267328</v>
      </c>
      <c r="AL114">
        <v>-14.431831683168319</v>
      </c>
      <c r="AM114">
        <v>-13.671930693069307</v>
      </c>
      <c r="AN114">
        <v>-12.940000000000001</v>
      </c>
      <c r="AO114">
        <v>-12.273333333333335</v>
      </c>
      <c r="AP114">
        <v>-11.616237623762377</v>
      </c>
      <c r="AQ114">
        <v>-10.982574257425741</v>
      </c>
      <c r="AR114">
        <v>-10.356128712871284</v>
      </c>
      <c r="AS114">
        <v>-9.7491980198019785</v>
      </c>
      <c r="AT114">
        <v>-9.200311881188119</v>
      </c>
      <c r="AU114">
        <v>-8.8255594059405951</v>
      </c>
      <c r="AV114">
        <v>-8.4789306930693087</v>
      </c>
      <c r="AW114">
        <v>-8.2264554455445538</v>
      </c>
      <c r="AX114">
        <v>-7.9843762376237617</v>
      </c>
      <c r="AY114">
        <v>-7.781405940594059</v>
      </c>
      <c r="AZ114">
        <v>-7.6262178217821779</v>
      </c>
      <c r="BA114">
        <v>-7.6747326732673269</v>
      </c>
      <c r="BB114">
        <v>-7.7234158415841589</v>
      </c>
      <c r="BC114">
        <v>-7.7729207920792085</v>
      </c>
      <c r="BD114">
        <v>-7.8228252788104093</v>
      </c>
      <c r="BE114">
        <v>-7.8749938042131351</v>
      </c>
      <c r="BF114">
        <v>-7.9271623296158618</v>
      </c>
      <c r="BG114">
        <v>-7.9793308550185875</v>
      </c>
      <c r="BH114">
        <v>-8.0314993804213142</v>
      </c>
      <c r="BI114">
        <v>-8.0836679058240399</v>
      </c>
      <c r="BJ114">
        <v>-8.1358364312267657</v>
      </c>
      <c r="BK114">
        <v>-8.1880049566294915</v>
      </c>
      <c r="BL114">
        <v>-8.2408415841584155</v>
      </c>
      <c r="BM114">
        <v>-8.3013613861386144</v>
      </c>
      <c r="BN114">
        <v>-8.3618811881188115</v>
      </c>
      <c r="BO114">
        <v>-8.4224009900990104</v>
      </c>
      <c r="BP114">
        <v>-8.4829207920792076</v>
      </c>
      <c r="BQ114">
        <v>-8.5434405940594065</v>
      </c>
      <c r="BR114">
        <v>-8.6039603960396036</v>
      </c>
      <c r="BS114">
        <v>-8.6644801980198025</v>
      </c>
      <c r="BT114">
        <v>-8.7249999999999996</v>
      </c>
    </row>
    <row r="115" spans="1:72" ht="21.75" outlineLevel="1" thickBot="1" x14ac:dyDescent="0.4">
      <c r="A115" s="76" t="s">
        <v>6</v>
      </c>
      <c r="B115" s="64">
        <v>-15.30108910891089</v>
      </c>
      <c r="C115" s="64">
        <v>-14.974356435643564</v>
      </c>
      <c r="D115">
        <v>-14.67980198019802</v>
      </c>
      <c r="E115">
        <v>-14.402574257425742</v>
      </c>
      <c r="F115">
        <v>-13.947574257425742</v>
      </c>
      <c r="G115">
        <v>-13.388168316831681</v>
      </c>
      <c r="H115">
        <v>-12.773122524752473</v>
      </c>
      <c r="I115">
        <v>-12.122503712871286</v>
      </c>
      <c r="J115">
        <v>-11.471884900990098</v>
      </c>
      <c r="K115">
        <v>-10.82126608910891</v>
      </c>
      <c r="L115">
        <v>-10.170647277227722</v>
      </c>
      <c r="M115">
        <v>-9.5200284653465346</v>
      </c>
      <c r="N115">
        <v>-8.8694096534653468</v>
      </c>
      <c r="O115">
        <v>-8.2187908415841591</v>
      </c>
      <c r="P115">
        <v>-7.6343564356435634</v>
      </c>
      <c r="Q115">
        <v>-7.1086138613861376</v>
      </c>
      <c r="R115">
        <v>-6.6025643564356429</v>
      </c>
      <c r="S115">
        <v>-6.1154356435643571</v>
      </c>
      <c r="T115">
        <v>-5.6432089552238809</v>
      </c>
      <c r="U115">
        <v>-5.1864925373134323</v>
      </c>
      <c r="V115">
        <v>-4.7467821782178214</v>
      </c>
      <c r="W115">
        <v>-4.3254950495049496</v>
      </c>
      <c r="X115">
        <v>-4.1098415841584162</v>
      </c>
      <c r="Y115">
        <v>-4.1355841584158419</v>
      </c>
      <c r="Z115">
        <v>-4.1608910891089108</v>
      </c>
      <c r="AA115">
        <v>-4.185643564356436</v>
      </c>
      <c r="AB115">
        <v>-4.2101881188118817</v>
      </c>
      <c r="AC115">
        <v>-4.2344455445544549</v>
      </c>
      <c r="AD115">
        <v>-4.2589009900990096</v>
      </c>
      <c r="AE115">
        <v>-4.2836534653465348</v>
      </c>
      <c r="AF115">
        <v>-4.30840594059406</v>
      </c>
      <c r="AG115">
        <v>-4.3331584158415843</v>
      </c>
      <c r="AH115">
        <v>-4.3579108910891087</v>
      </c>
      <c r="AI115">
        <v>-4.3826633663366339</v>
      </c>
      <c r="AJ115">
        <v>-4.4074158415841582</v>
      </c>
      <c r="AK115">
        <v>-4.4321683168316834</v>
      </c>
      <c r="AL115">
        <v>-4.4569207920792078</v>
      </c>
      <c r="AM115">
        <v>-4.4816732673267321</v>
      </c>
      <c r="AN115">
        <v>-4.506462686567164</v>
      </c>
      <c r="AO115">
        <v>-4.5313383084577117</v>
      </c>
      <c r="AP115">
        <v>-4.5560346534653471</v>
      </c>
      <c r="AQ115">
        <v>-4.5802920792079211</v>
      </c>
      <c r="AR115">
        <v>-4.6045495049504952</v>
      </c>
      <c r="AS115">
        <v>-4.6288069306930693</v>
      </c>
      <c r="AT115">
        <v>-4.6530643564356433</v>
      </c>
      <c r="AU115">
        <v>-4.6773217821782174</v>
      </c>
      <c r="AV115">
        <v>-4.7014653465346532</v>
      </c>
      <c r="AW115">
        <v>-4.725227722772277</v>
      </c>
      <c r="AX115">
        <v>-4.7489900990099008</v>
      </c>
      <c r="AY115">
        <v>-4.7727524752475246</v>
      </c>
      <c r="AZ115">
        <v>-4.7965148514851483</v>
      </c>
      <c r="BA115">
        <v>-4.8202772277227721</v>
      </c>
      <c r="BB115">
        <v>-4.8439554455445544</v>
      </c>
      <c r="BC115">
        <v>-4.8672227722772279</v>
      </c>
      <c r="BD115">
        <v>-4.8904200743494419</v>
      </c>
      <c r="BE115">
        <v>-4.913220570012391</v>
      </c>
      <c r="BF115">
        <v>-4.93602106567534</v>
      </c>
      <c r="BG115">
        <v>-4.95882156133829</v>
      </c>
      <c r="BH115">
        <v>-4.9816220570012391</v>
      </c>
      <c r="BI115">
        <v>-5.0044225526641881</v>
      </c>
      <c r="BJ115">
        <v>-5.0272230483271372</v>
      </c>
      <c r="BK115">
        <v>-5.0500235439900862</v>
      </c>
      <c r="BL115">
        <v>-5.0727623762376233</v>
      </c>
      <c r="BM115">
        <v>-5.0947920792079202</v>
      </c>
      <c r="BN115">
        <v>-5.1168217821782171</v>
      </c>
      <c r="BO115">
        <v>-5.1388514851485141</v>
      </c>
      <c r="BP115">
        <v>-5.1608811881188119</v>
      </c>
      <c r="BQ115">
        <v>-5.1829108910891089</v>
      </c>
      <c r="BR115">
        <v>-5.2049405940594058</v>
      </c>
      <c r="BS115">
        <v>-5.2269702970297027</v>
      </c>
      <c r="BT115">
        <v>-5.2489999999999997</v>
      </c>
    </row>
    <row r="116" spans="1:72" ht="21.75" outlineLevel="1" thickBot="1" x14ac:dyDescent="0.4">
      <c r="A116" s="76" t="s">
        <v>7</v>
      </c>
      <c r="B116" s="64">
        <v>-21.795247524752476</v>
      </c>
      <c r="C116" s="64">
        <v>-21.220990099009899</v>
      </c>
      <c r="D116">
        <v>-20.695</v>
      </c>
      <c r="E116">
        <v>-20.195</v>
      </c>
      <c r="F116">
        <v>-19.935148514851488</v>
      </c>
      <c r="G116">
        <v>-19.816336633663365</v>
      </c>
      <c r="H116">
        <v>-19.86059405940594</v>
      </c>
      <c r="I116">
        <v>-20.00910891089109</v>
      </c>
      <c r="J116">
        <v>-20.157623762376236</v>
      </c>
      <c r="K116">
        <v>-20.306138613861386</v>
      </c>
      <c r="L116">
        <v>-20.454653465346535</v>
      </c>
      <c r="M116">
        <v>-20.603168316831681</v>
      </c>
      <c r="N116">
        <v>-20.751683168316831</v>
      </c>
      <c r="O116">
        <v>-20.90019801980198</v>
      </c>
      <c r="P116">
        <v>-21.04871287128713</v>
      </c>
      <c r="Q116">
        <v>-21.197227722772276</v>
      </c>
      <c r="R116">
        <v>-21.348267326732671</v>
      </c>
      <c r="S116">
        <v>-21.501732673267327</v>
      </c>
      <c r="T116">
        <v>-21.653134328358206</v>
      </c>
      <c r="U116">
        <v>-21.802388059701492</v>
      </c>
      <c r="V116">
        <v>-21.95128712871287</v>
      </c>
      <c r="W116">
        <v>-22.09980198019802</v>
      </c>
      <c r="X116">
        <v>-22.250594059405941</v>
      </c>
      <c r="Y116">
        <v>-22.404059405940593</v>
      </c>
      <c r="Z116">
        <v>-22.555346534653463</v>
      </c>
      <c r="AA116">
        <v>-22.703861386138612</v>
      </c>
      <c r="AB116">
        <v>-22.850297029702968</v>
      </c>
      <c r="AC116">
        <v>-22.993861386138612</v>
      </c>
      <c r="AD116">
        <v>-23.137425742574255</v>
      </c>
      <c r="AE116">
        <v>-23.280990099009902</v>
      </c>
      <c r="AF116">
        <v>-23.423613861386141</v>
      </c>
      <c r="AG116">
        <v>-23.564702970297031</v>
      </c>
      <c r="AH116">
        <v>-23.705792079207921</v>
      </c>
      <c r="AI116">
        <v>-23.846881188118811</v>
      </c>
      <c r="AJ116">
        <v>-23.987970297029705</v>
      </c>
      <c r="AK116">
        <v>-24.129059405940595</v>
      </c>
      <c r="AL116">
        <v>-24.270148514851485</v>
      </c>
      <c r="AM116">
        <v>-24.411237623762378</v>
      </c>
      <c r="AN116">
        <v>-24.55179104477612</v>
      </c>
      <c r="AO116">
        <v>-24.691094527363184</v>
      </c>
      <c r="AP116">
        <v>-24.828762376237623</v>
      </c>
      <c r="AQ116">
        <v>-24.962425742574258</v>
      </c>
      <c r="AR116">
        <v>-25.096089108910892</v>
      </c>
      <c r="AS116">
        <v>-25.229752475247523</v>
      </c>
      <c r="AT116">
        <v>-25.363415841584157</v>
      </c>
      <c r="AU116">
        <v>-25.497079207920791</v>
      </c>
      <c r="AV116">
        <v>-25.630742574257425</v>
      </c>
      <c r="AW116">
        <v>-25.76440594059406</v>
      </c>
      <c r="AX116">
        <v>-25.897029702970297</v>
      </c>
      <c r="AY116">
        <v>-26.025742574257425</v>
      </c>
      <c r="AZ116">
        <v>-26.154455445544553</v>
      </c>
      <c r="BA116">
        <v>-26.283168316831684</v>
      </c>
      <c r="BB116">
        <v>-26.411881188118812</v>
      </c>
      <c r="BC116">
        <v>-26.54059405940594</v>
      </c>
      <c r="BD116">
        <v>-26.668587360594795</v>
      </c>
      <c r="BE116">
        <v>-26.79250309789343</v>
      </c>
      <c r="BF116">
        <v>-26.916418835192069</v>
      </c>
      <c r="BG116">
        <v>-27.040334572490703</v>
      </c>
      <c r="BH116">
        <v>-27.164250309789342</v>
      </c>
      <c r="BI116">
        <v>-27.28816604708798</v>
      </c>
      <c r="BJ116">
        <v>-27.412081784386615</v>
      </c>
      <c r="BK116">
        <v>-27.535997521685253</v>
      </c>
      <c r="BL116">
        <v>-27.659603960396037</v>
      </c>
      <c r="BM116">
        <v>-27.779653465346534</v>
      </c>
      <c r="BN116">
        <v>-27.899702970297028</v>
      </c>
      <c r="BO116">
        <v>-28.019752475247525</v>
      </c>
      <c r="BP116">
        <v>-28.139801980198019</v>
      </c>
      <c r="BQ116">
        <v>-28.259851485148516</v>
      </c>
      <c r="BR116">
        <v>-28.37990099009901</v>
      </c>
      <c r="BS116">
        <v>-28.499950495049507</v>
      </c>
      <c r="BT116">
        <v>-28.62</v>
      </c>
    </row>
    <row r="117" spans="1:72" ht="21.75" outlineLevel="1" thickBot="1" x14ac:dyDescent="0.4">
      <c r="A117" s="76"/>
    </row>
    <row r="118" spans="1:72" ht="21.75" outlineLevel="1" thickBot="1" x14ac:dyDescent="0.4">
      <c r="A118" s="76"/>
    </row>
    <row r="119" spans="1:72" ht="21.75" outlineLevel="1" thickBot="1" x14ac:dyDescent="0.4">
      <c r="A119" s="76"/>
    </row>
    <row r="120" spans="1:72" ht="21.75" outlineLevel="1" thickBot="1" x14ac:dyDescent="0.4">
      <c r="A120" s="67"/>
    </row>
    <row r="121" spans="1:72" ht="21.75" outlineLevel="1" thickBot="1" x14ac:dyDescent="0.4">
      <c r="A121" s="67"/>
    </row>
    <row r="122" spans="1:72" ht="21.75" outlineLevel="1" thickBot="1" x14ac:dyDescent="0.4">
      <c r="A122" s="67"/>
    </row>
    <row r="123" spans="1:72" ht="21.75" outlineLevel="1" thickBot="1" x14ac:dyDescent="0.4">
      <c r="A123" s="67"/>
    </row>
    <row r="124" spans="1:72" ht="21.75" outlineLevel="1" thickBot="1" x14ac:dyDescent="0.4">
      <c r="A124" s="67"/>
    </row>
    <row r="125" spans="1:72" ht="21.75" outlineLevel="1" thickBot="1" x14ac:dyDescent="0.4">
      <c r="A125" s="67"/>
    </row>
    <row r="126" spans="1:72" ht="21.75" outlineLevel="1" thickBot="1" x14ac:dyDescent="0.4">
      <c r="A126" s="67"/>
    </row>
    <row r="127" spans="1:72" ht="21.75" outlineLevel="1" thickBot="1" x14ac:dyDescent="0.4">
      <c r="A127" s="67"/>
    </row>
    <row r="128" spans="1:72" ht="21.75" outlineLevel="1" thickBot="1" x14ac:dyDescent="0.4">
      <c r="A128" s="67"/>
    </row>
    <row r="129" spans="1:72" ht="21.75" outlineLevel="1" thickBot="1" x14ac:dyDescent="0.4">
      <c r="A129" s="67"/>
    </row>
    <row r="130" spans="1:72" ht="21.75" outlineLevel="1" thickBot="1" x14ac:dyDescent="0.4">
      <c r="A130" s="67"/>
      <c r="D130" s="64"/>
      <c r="E130" s="64"/>
    </row>
    <row r="131" spans="1:72" s="85" customFormat="1" ht="21.75" thickBot="1" x14ac:dyDescent="0.4">
      <c r="B131" s="64"/>
      <c r="C131" s="64"/>
    </row>
    <row r="132" spans="1:72" ht="21.75" outlineLevel="1" thickBot="1" x14ac:dyDescent="0.4">
      <c r="A132" s="32" t="s">
        <v>94</v>
      </c>
      <c r="B132" s="64">
        <v>300</v>
      </c>
      <c r="C132" s="64">
        <v>310</v>
      </c>
      <c r="D132">
        <v>320</v>
      </c>
      <c r="E132">
        <v>330</v>
      </c>
      <c r="F132">
        <v>340</v>
      </c>
      <c r="G132">
        <v>350</v>
      </c>
      <c r="H132">
        <v>360</v>
      </c>
      <c r="I132">
        <v>370</v>
      </c>
      <c r="J132">
        <v>380</v>
      </c>
      <c r="K132">
        <v>390</v>
      </c>
      <c r="L132">
        <v>400</v>
      </c>
      <c r="M132">
        <v>410</v>
      </c>
      <c r="N132">
        <v>420</v>
      </c>
      <c r="O132">
        <v>430</v>
      </c>
      <c r="P132">
        <v>440</v>
      </c>
      <c r="Q132">
        <v>450</v>
      </c>
      <c r="R132">
        <v>460</v>
      </c>
      <c r="S132">
        <v>470</v>
      </c>
      <c r="T132">
        <v>480</v>
      </c>
      <c r="U132">
        <v>490</v>
      </c>
      <c r="V132">
        <v>500</v>
      </c>
      <c r="W132">
        <v>510</v>
      </c>
      <c r="X132">
        <v>520</v>
      </c>
      <c r="Y132">
        <v>530</v>
      </c>
      <c r="Z132">
        <v>540</v>
      </c>
      <c r="AA132">
        <v>550</v>
      </c>
      <c r="AB132">
        <v>560</v>
      </c>
      <c r="AC132">
        <v>570</v>
      </c>
      <c r="AD132">
        <v>580</v>
      </c>
      <c r="AE132">
        <v>590</v>
      </c>
      <c r="AF132">
        <v>600</v>
      </c>
      <c r="AG132">
        <v>610</v>
      </c>
      <c r="AH132">
        <v>620</v>
      </c>
      <c r="AI132">
        <v>630</v>
      </c>
      <c r="AJ132">
        <v>640</v>
      </c>
      <c r="AK132">
        <v>650</v>
      </c>
      <c r="AL132">
        <v>660</v>
      </c>
      <c r="AM132">
        <v>670</v>
      </c>
      <c r="AN132">
        <v>680</v>
      </c>
      <c r="AO132">
        <v>690</v>
      </c>
      <c r="AP132">
        <v>700</v>
      </c>
      <c r="AQ132">
        <v>710</v>
      </c>
      <c r="AR132">
        <v>720</v>
      </c>
      <c r="AS132">
        <v>730</v>
      </c>
      <c r="AT132">
        <v>740</v>
      </c>
      <c r="AU132">
        <v>750</v>
      </c>
      <c r="AV132">
        <v>760</v>
      </c>
      <c r="AW132">
        <v>770</v>
      </c>
      <c r="AX132">
        <v>780</v>
      </c>
      <c r="AY132">
        <v>790</v>
      </c>
      <c r="AZ132">
        <v>800</v>
      </c>
      <c r="BA132">
        <v>810</v>
      </c>
      <c r="BB132">
        <v>820</v>
      </c>
      <c r="BC132">
        <v>830</v>
      </c>
      <c r="BD132">
        <v>840</v>
      </c>
      <c r="BE132">
        <v>850</v>
      </c>
      <c r="BF132">
        <v>860</v>
      </c>
      <c r="BG132">
        <v>870</v>
      </c>
      <c r="BH132">
        <v>880</v>
      </c>
      <c r="BI132">
        <v>890</v>
      </c>
      <c r="BJ132">
        <v>900</v>
      </c>
      <c r="BK132">
        <v>910</v>
      </c>
      <c r="BL132">
        <v>920</v>
      </c>
      <c r="BM132">
        <v>930</v>
      </c>
      <c r="BN132">
        <v>940</v>
      </c>
      <c r="BO132">
        <v>950</v>
      </c>
      <c r="BP132">
        <v>960</v>
      </c>
      <c r="BQ132">
        <v>970</v>
      </c>
      <c r="BR132">
        <v>980</v>
      </c>
      <c r="BS132">
        <v>990</v>
      </c>
      <c r="BT132">
        <v>1000</v>
      </c>
    </row>
    <row r="133" spans="1:72" ht="21.75" outlineLevel="1" thickBot="1" x14ac:dyDescent="0.4">
      <c r="A133" s="32" t="s">
        <v>55</v>
      </c>
      <c r="B133" s="64">
        <v>6.1493183168316828E-9</v>
      </c>
      <c r="C133" s="64">
        <v>7.0938232673267327E-9</v>
      </c>
      <c r="D133">
        <v>9.4045188118811882E-9</v>
      </c>
      <c r="E133">
        <v>1.2450855445544557E-8</v>
      </c>
      <c r="F133">
        <v>1.8528490099009912E-8</v>
      </c>
      <c r="G133">
        <v>2.6386410891089123E-8</v>
      </c>
      <c r="H133">
        <v>2.8421926980198015E-8</v>
      </c>
      <c r="I133">
        <v>2.6734922029702966E-8</v>
      </c>
      <c r="J133">
        <v>2.5047917079207917E-8</v>
      </c>
      <c r="K133">
        <v>2.3360912128712868E-8</v>
      </c>
      <c r="L133">
        <v>2.1673907178217816E-8</v>
      </c>
      <c r="M133">
        <v>1.998690222772277E-8</v>
      </c>
      <c r="N133">
        <v>1.8299897277227718E-8</v>
      </c>
      <c r="O133">
        <v>1.6612892326732669E-8</v>
      </c>
      <c r="P133">
        <v>1.2423460891089099E-8</v>
      </c>
      <c r="Q133">
        <v>6.0148965346534526E-9</v>
      </c>
      <c r="R133">
        <v>2.1489712144059392E-9</v>
      </c>
      <c r="S133">
        <v>7.2597359559406097E-10</v>
      </c>
      <c r="T133">
        <v>1.8512995267303749E-13</v>
      </c>
      <c r="U133">
        <v>6.3333937720052227E-14</v>
      </c>
      <c r="V133">
        <v>7.581450496787502E-21</v>
      </c>
      <c r="W133">
        <v>2.6584306984281425E-21</v>
      </c>
      <c r="X133">
        <v>5.6485128712871245E-30</v>
      </c>
      <c r="Y133">
        <v>2.0276712871287168E-30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</row>
    <row r="134" spans="1:72" ht="21.75" outlineLevel="1" thickBot="1" x14ac:dyDescent="0.4">
      <c r="A134" s="32" t="s">
        <v>54</v>
      </c>
      <c r="B134" s="64">
        <v>0</v>
      </c>
      <c r="C134" s="6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1.3094059405940378E-32</v>
      </c>
      <c r="AW134">
        <v>7.0024752475247493E-32</v>
      </c>
      <c r="AX134">
        <v>9.9342485551981069E-25</v>
      </c>
      <c r="AY134">
        <v>5.7240188579950485E-24</v>
      </c>
      <c r="AZ134">
        <v>1.3621691825303845E-17</v>
      </c>
      <c r="BA134">
        <v>8.5314756401640741E-17</v>
      </c>
      <c r="BB134">
        <v>9.2020138202972533E-12</v>
      </c>
      <c r="BC134">
        <v>6.3330654998514952E-11</v>
      </c>
      <c r="BD134">
        <v>2.4173992970296976E-8</v>
      </c>
      <c r="BE134">
        <v>1.8460501277227683E-7</v>
      </c>
      <c r="BF134">
        <v>1.0997921782177974E-6</v>
      </c>
      <c r="BG134">
        <v>7.0660397029702923E-6</v>
      </c>
      <c r="BH134">
        <v>1.2854910447761203E-5</v>
      </c>
      <c r="BI134">
        <v>1.720864179104478E-5</v>
      </c>
      <c r="BJ134">
        <v>2.1254772277227723E-5</v>
      </c>
      <c r="BK134">
        <v>2.2532495049504947E-5</v>
      </c>
      <c r="BL134">
        <v>2.3501271287128725E-5</v>
      </c>
      <c r="BM134">
        <v>2.0917162376237635E-5</v>
      </c>
      <c r="BN134">
        <v>1.8333053465346542E-5</v>
      </c>
      <c r="BO134">
        <v>1.5748944554455453E-5</v>
      </c>
      <c r="BP134">
        <v>1.3164835643564361E-5</v>
      </c>
      <c r="BQ134">
        <v>1.058072673267327E-5</v>
      </c>
      <c r="BR134">
        <v>7.9966178217821807E-6</v>
      </c>
      <c r="BS134">
        <v>5.4125089108910877E-6</v>
      </c>
      <c r="BT134">
        <v>2.8283999999999982E-6</v>
      </c>
    </row>
    <row r="135" spans="1:72" ht="21.75" outlineLevel="1" thickBot="1" x14ac:dyDescent="0.4">
      <c r="A135" s="32" t="s">
        <v>51</v>
      </c>
      <c r="B135" s="64">
        <v>3.1552356435643527E-28</v>
      </c>
      <c r="C135" s="64">
        <v>7.8645425742574251E-28</v>
      </c>
      <c r="D135">
        <v>4.9465001610693101E-23</v>
      </c>
      <c r="E135">
        <v>1.2556354058099018E-22</v>
      </c>
      <c r="F135">
        <v>3.4899242970297109E-20</v>
      </c>
      <c r="G135">
        <v>9.0050866732673386E-20</v>
      </c>
      <c r="H135">
        <v>1.3546934820940643E-14</v>
      </c>
      <c r="I135">
        <v>3.5754841806089153E-14</v>
      </c>
      <c r="J135">
        <v>5.7962748791237671E-14</v>
      </c>
      <c r="K135">
        <v>8.0170655776386177E-14</v>
      </c>
      <c r="L135">
        <v>1.023785627615347E-13</v>
      </c>
      <c r="M135">
        <v>1.245864697466832E-13</v>
      </c>
      <c r="N135">
        <v>1.4679437673183171E-13</v>
      </c>
      <c r="O135">
        <v>1.6900228371698024E-13</v>
      </c>
      <c r="P135">
        <v>1.1058488396039635E-10</v>
      </c>
      <c r="Q135">
        <v>3.1889704237623803E-10</v>
      </c>
      <c r="R135">
        <v>1.3774800495049528E-9</v>
      </c>
      <c r="S135">
        <v>3.2529899504950481E-9</v>
      </c>
      <c r="T135">
        <v>5.072533830845769E-9</v>
      </c>
      <c r="U135">
        <v>6.83382736318408E-9</v>
      </c>
      <c r="V135">
        <v>9.0700089108910924E-9</v>
      </c>
      <c r="W135">
        <v>1.1820652475247531E-8</v>
      </c>
      <c r="X135">
        <v>1.3057326732673266E-8</v>
      </c>
      <c r="Y135">
        <v>1.2516732673267327E-8</v>
      </c>
      <c r="Z135">
        <v>1.4566910891089105E-8</v>
      </c>
      <c r="AA135">
        <v>1.9914435643564369E-8</v>
      </c>
      <c r="AB135">
        <v>2.150275247524751E-8</v>
      </c>
      <c r="AC135">
        <v>1.7899782178217815E-8</v>
      </c>
      <c r="AD135">
        <v>1.5943544554455443E-8</v>
      </c>
      <c r="AE135">
        <v>1.6457405940594059E-8</v>
      </c>
      <c r="AF135">
        <v>1.6892821782178219E-8</v>
      </c>
      <c r="AG135">
        <v>1.7200247524752476E-8</v>
      </c>
      <c r="AH135">
        <v>1.7447435643564358E-8</v>
      </c>
      <c r="AI135">
        <v>1.7587534653465347E-8</v>
      </c>
      <c r="AJ135">
        <v>1.7845960396039602E-8</v>
      </c>
      <c r="AK135">
        <v>1.8334079207920793E-8</v>
      </c>
      <c r="AL135">
        <v>1.9332138613861395E-8</v>
      </c>
      <c r="AM135">
        <v>2.141382178217822E-8</v>
      </c>
      <c r="AN135">
        <v>2.304189219330855E-8</v>
      </c>
      <c r="AO135">
        <v>2.3611532837670384E-8</v>
      </c>
      <c r="AP135">
        <v>2.4181173482032218E-8</v>
      </c>
      <c r="AQ135">
        <v>2.4750814126394053E-8</v>
      </c>
      <c r="AR135">
        <v>2.5320454770755887E-8</v>
      </c>
      <c r="AS135">
        <v>2.5890095415117718E-8</v>
      </c>
      <c r="AT135">
        <v>2.6459736059479552E-8</v>
      </c>
      <c r="AU135">
        <v>2.7029376703841386E-8</v>
      </c>
      <c r="AV135">
        <v>2.7513089108910892E-8</v>
      </c>
      <c r="AW135">
        <v>2.7709128712871288E-8</v>
      </c>
      <c r="AX135">
        <v>2.7841752475247524E-8</v>
      </c>
      <c r="AY135">
        <v>2.7735811881188118E-8</v>
      </c>
      <c r="AZ135">
        <v>2.7701732673267327E-8</v>
      </c>
      <c r="BA135">
        <v>2.79740099009901E-8</v>
      </c>
      <c r="BB135">
        <v>2.6377860891089065E-8</v>
      </c>
      <c r="BC135">
        <v>1.5659395544554436E-8</v>
      </c>
      <c r="BD135">
        <v>6.0624103960396049E-9</v>
      </c>
      <c r="BE135">
        <v>2.820479702970306E-9</v>
      </c>
      <c r="BF135">
        <v>3.599652920791985E-31</v>
      </c>
      <c r="BG135">
        <v>2.6604598465346519E-30</v>
      </c>
      <c r="BH135">
        <v>8.9761791044776954E-30</v>
      </c>
      <c r="BI135">
        <v>4.7778716417910491E-29</v>
      </c>
      <c r="BJ135">
        <v>1.00685603960396E-28</v>
      </c>
      <c r="BK135">
        <v>2.8053164356435599E-28</v>
      </c>
      <c r="BL135">
        <v>2.2604553465345267E-25</v>
      </c>
      <c r="BM135">
        <v>3.0460398428217714E-24</v>
      </c>
      <c r="BN135">
        <v>5.8660341509900899E-24</v>
      </c>
      <c r="BO135">
        <v>8.686028459158409E-24</v>
      </c>
      <c r="BP135">
        <v>1.1506022767326727E-23</v>
      </c>
      <c r="BQ135">
        <v>1.4326017075495046E-23</v>
      </c>
      <c r="BR135">
        <v>1.7146011383663365E-23</v>
      </c>
      <c r="BS135">
        <v>1.9966005691831684E-23</v>
      </c>
      <c r="BT135">
        <v>2.2786000000000003E-23</v>
      </c>
    </row>
    <row r="136" spans="1:72" ht="21.75" outlineLevel="1" thickBot="1" x14ac:dyDescent="0.4">
      <c r="A136" s="32" t="s">
        <v>63</v>
      </c>
      <c r="B136" s="64">
        <v>3.0180785720297052E-11</v>
      </c>
      <c r="C136" s="64">
        <v>7.8297196311881277E-12</v>
      </c>
      <c r="D136">
        <v>4.6434183288882168E-15</v>
      </c>
      <c r="E136">
        <v>1.2540619117931654E-15</v>
      </c>
      <c r="F136">
        <v>2.578243564357618E-23</v>
      </c>
      <c r="G136">
        <v>7.233920792109833E-24</v>
      </c>
      <c r="H136">
        <v>3.5136735148514841E-35</v>
      </c>
      <c r="I136">
        <v>3.0433022277227714E-35</v>
      </c>
      <c r="J136">
        <v>2.5729309405940583E-35</v>
      </c>
      <c r="K136">
        <v>2.1025596534653459E-35</v>
      </c>
      <c r="L136">
        <v>1.6321883663366332E-35</v>
      </c>
      <c r="M136">
        <v>1.1618170792079203E-35</v>
      </c>
      <c r="N136">
        <v>6.9144579207920762E-36</v>
      </c>
      <c r="O136">
        <v>2.2107450495049496E-36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</row>
    <row r="137" spans="1:72" ht="21.75" outlineLevel="1" thickBot="1" x14ac:dyDescent="0.4">
      <c r="A137" s="32" t="s">
        <v>62</v>
      </c>
      <c r="B137" s="64">
        <v>1.7553910891089108E-2</v>
      </c>
      <c r="C137" s="64">
        <v>1.7180643564356435E-2</v>
      </c>
      <c r="D137">
        <v>1.6694430693069306E-2</v>
      </c>
      <c r="E137">
        <v>1.6147400990099009E-2</v>
      </c>
      <c r="F137">
        <v>1.5665866336633662E-2</v>
      </c>
      <c r="G137">
        <v>1.5222797029702969E-2</v>
      </c>
      <c r="H137">
        <v>1.4951403465346534E-2</v>
      </c>
      <c r="I137">
        <v>1.4789769801980197E-2</v>
      </c>
      <c r="J137">
        <v>1.462813613861386E-2</v>
      </c>
      <c r="K137">
        <v>1.4466502475247525E-2</v>
      </c>
      <c r="L137">
        <v>1.4304868811881187E-2</v>
      </c>
      <c r="M137">
        <v>1.414323514851485E-2</v>
      </c>
      <c r="N137">
        <v>1.3981601485148513E-2</v>
      </c>
      <c r="O137">
        <v>1.3819967821782178E-2</v>
      </c>
      <c r="P137">
        <v>1.3564534653465346E-2</v>
      </c>
      <c r="Q137">
        <v>1.3225920792079208E-2</v>
      </c>
      <c r="R137">
        <v>1.2831762376237624E-2</v>
      </c>
      <c r="S137">
        <v>1.2384237623762378E-2</v>
      </c>
      <c r="T137">
        <v>1.1944154228855723E-2</v>
      </c>
      <c r="U137">
        <v>1.1511815920398009E-2</v>
      </c>
      <c r="V137">
        <v>1.1140623762376237E-2</v>
      </c>
      <c r="W137">
        <v>1.0835673267326732E-2</v>
      </c>
      <c r="X137">
        <v>1.0591980198019801E-2</v>
      </c>
      <c r="Y137">
        <v>1.042019801980198E-2</v>
      </c>
      <c r="Z137">
        <v>1.0286970297029702E-2</v>
      </c>
      <c r="AA137">
        <v>1.0202811881188118E-2</v>
      </c>
      <c r="AB137">
        <v>1.0137158415841584E-2</v>
      </c>
      <c r="AC137">
        <v>1.0097059405940594E-2</v>
      </c>
      <c r="AD137">
        <v>1.0065277227722772E-2</v>
      </c>
      <c r="AE137">
        <v>1.0045970297029702E-2</v>
      </c>
      <c r="AF137">
        <v>1.0028732673267326E-2</v>
      </c>
      <c r="AG137">
        <v>1.0014871287128713E-2</v>
      </c>
      <c r="AH137">
        <v>9.9948435643564346E-3</v>
      </c>
      <c r="AI137">
        <v>9.9638534653465338E-3</v>
      </c>
      <c r="AJ137">
        <v>9.8990316831683162E-3</v>
      </c>
      <c r="AK137">
        <v>9.7685366336633661E-3</v>
      </c>
      <c r="AL137">
        <v>9.5176613861386126E-3</v>
      </c>
      <c r="AM137">
        <v>9.0109782178217825E-3</v>
      </c>
      <c r="AN137">
        <v>8.3442773234200743E-3</v>
      </c>
      <c r="AO137">
        <v>7.3042017348203233E-3</v>
      </c>
      <c r="AP137">
        <v>6.2641261462205722E-3</v>
      </c>
      <c r="AQ137">
        <v>5.2240505576208202E-3</v>
      </c>
      <c r="AR137">
        <v>4.1839749690210683E-3</v>
      </c>
      <c r="AS137">
        <v>3.1438993804213163E-3</v>
      </c>
      <c r="AT137">
        <v>2.1038237918215652E-3</v>
      </c>
      <c r="AU137">
        <v>1.0637482032218133E-3</v>
      </c>
      <c r="AV137">
        <v>2.414765445544558E-4</v>
      </c>
      <c r="AW137">
        <v>1.4837456435643569E-4</v>
      </c>
      <c r="AX137">
        <v>6.9288836633663313E-5</v>
      </c>
      <c r="AY137">
        <v>4.2930915841584168E-5</v>
      </c>
      <c r="AZ137">
        <v>2.0146763366336644E-5</v>
      </c>
      <c r="BA137">
        <v>1.2598149504950482E-5</v>
      </c>
      <c r="BB137">
        <v>5.958673762376228E-6</v>
      </c>
      <c r="BC137">
        <v>3.7579311881188075E-6</v>
      </c>
      <c r="BD137">
        <v>1.7886846534653466E-6</v>
      </c>
      <c r="BE137">
        <v>1.1312490099009918E-6</v>
      </c>
      <c r="BF137">
        <v>5.2892017326732767E-7</v>
      </c>
      <c r="BG137">
        <v>2.9538304455445561E-7</v>
      </c>
      <c r="BH137">
        <v>8.349395024875613E-8</v>
      </c>
      <c r="BI137">
        <v>4.6757134328358175E-8</v>
      </c>
      <c r="BJ137">
        <v>1.3126094059405942E-8</v>
      </c>
      <c r="BK137">
        <v>7.4470346534653606E-9</v>
      </c>
      <c r="BL137">
        <v>2.200321459405942E-9</v>
      </c>
      <c r="BM137">
        <v>1.9255897019801993E-9</v>
      </c>
      <c r="BN137">
        <v>1.6508579445544564E-9</v>
      </c>
      <c r="BO137">
        <v>1.3761261871287135E-9</v>
      </c>
      <c r="BP137">
        <v>1.1013944297029708E-9</v>
      </c>
      <c r="BQ137">
        <v>8.2666267227722804E-10</v>
      </c>
      <c r="BR137">
        <v>5.5193091485148532E-10</v>
      </c>
      <c r="BS137">
        <v>2.7719915742574261E-10</v>
      </c>
      <c r="BT137">
        <v>2.4673999999998875E-12</v>
      </c>
    </row>
    <row r="138" spans="1:72" ht="21.75" outlineLevel="1" thickBot="1" x14ac:dyDescent="0.4">
      <c r="A138" s="32" t="s">
        <v>70</v>
      </c>
      <c r="B138" s="64">
        <v>0</v>
      </c>
      <c r="C138" s="64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4.605490099009913E-35</v>
      </c>
      <c r="Q138">
        <v>1.3295094059405956E-34</v>
      </c>
      <c r="R138">
        <v>1.51883318316832E-32</v>
      </c>
      <c r="S138">
        <v>4.4625198168316802E-32</v>
      </c>
      <c r="T138">
        <v>3.2915322189054626E-30</v>
      </c>
      <c r="U138">
        <v>9.8872347064676626E-30</v>
      </c>
      <c r="V138">
        <v>5.2562979207920945E-28</v>
      </c>
      <c r="W138">
        <v>1.5929481089108933E-27</v>
      </c>
      <c r="X138">
        <v>6.2424904950495205E-26</v>
      </c>
      <c r="Y138">
        <v>1.9341535049504939E-25</v>
      </c>
      <c r="Z138">
        <v>5.6293745544554355E-24</v>
      </c>
      <c r="AA138">
        <v>1.7817112178217854E-23</v>
      </c>
      <c r="AB138">
        <v>3.8856316831683485E-22</v>
      </c>
      <c r="AC138">
        <v>1.2544611881188133E-21</v>
      </c>
      <c r="AD138">
        <v>2.0849247524752431E-20</v>
      </c>
      <c r="AE138">
        <v>6.853736633663352E-20</v>
      </c>
      <c r="AF138">
        <v>8.8581314851484473E-19</v>
      </c>
      <c r="AG138">
        <v>2.9587319603960399E-18</v>
      </c>
      <c r="AH138">
        <v>3.0281071287128817E-17</v>
      </c>
      <c r="AI138">
        <v>1.0249126930693063E-16</v>
      </c>
      <c r="AJ138">
        <v>8.3483762376237398E-16</v>
      </c>
      <c r="AK138">
        <v>2.8486247524752519E-15</v>
      </c>
      <c r="AL138">
        <v>1.7798198019802144E-14</v>
      </c>
      <c r="AM138">
        <v>6.0236316831683239E-14</v>
      </c>
      <c r="AN138">
        <v>6.8397592453531561E-12</v>
      </c>
      <c r="AO138">
        <v>2.9339146729863677E-11</v>
      </c>
      <c r="AP138">
        <v>5.1838534214374195E-11</v>
      </c>
      <c r="AQ138">
        <v>7.4337921698884713E-11</v>
      </c>
      <c r="AR138">
        <v>9.6837309183395224E-11</v>
      </c>
      <c r="AS138">
        <v>1.1933669666790575E-10</v>
      </c>
      <c r="AT138">
        <v>1.4183608415241626E-10</v>
      </c>
      <c r="AU138">
        <v>1.6433547163692677E-10</v>
      </c>
      <c r="AV138">
        <v>2.3122727722772195E-10</v>
      </c>
      <c r="AW138">
        <v>4.4673717821782169E-10</v>
      </c>
      <c r="AX138">
        <v>7.5102717821782292E-10</v>
      </c>
      <c r="AY138">
        <v>1.3892994554455442E-9</v>
      </c>
      <c r="AZ138">
        <v>2.2363732673267298E-9</v>
      </c>
      <c r="BA138">
        <v>3.9736009900990128E-9</v>
      </c>
      <c r="BB138">
        <v>6.156051980198038E-9</v>
      </c>
      <c r="BC138">
        <v>1.0512240099009908E-8</v>
      </c>
      <c r="BD138">
        <v>1.5672004950495048E-8</v>
      </c>
      <c r="BE138">
        <v>2.5385371287128685E-8</v>
      </c>
      <c r="BF138">
        <v>3.3983698019801974E-8</v>
      </c>
      <c r="BG138">
        <v>3.5119836633663363E-8</v>
      </c>
      <c r="BH138">
        <v>3.6187203980099507E-8</v>
      </c>
      <c r="BI138">
        <v>3.6698149253731346E-8</v>
      </c>
      <c r="BJ138">
        <v>3.7175821782178216E-8</v>
      </c>
      <c r="BK138">
        <v>3.7354039603960393E-8</v>
      </c>
      <c r="BL138">
        <v>3.749171287128713E-8</v>
      </c>
      <c r="BM138">
        <v>3.7163123762376236E-8</v>
      </c>
      <c r="BN138">
        <v>3.6834534653465347E-8</v>
      </c>
      <c r="BO138">
        <v>3.6505945544554453E-8</v>
      </c>
      <c r="BP138">
        <v>3.6177356435643565E-8</v>
      </c>
      <c r="BQ138">
        <v>3.584876732673267E-8</v>
      </c>
      <c r="BR138">
        <v>3.5520178217821782E-8</v>
      </c>
      <c r="BS138">
        <v>3.5191589108910887E-8</v>
      </c>
      <c r="BT138">
        <v>3.4862999999999999E-8</v>
      </c>
    </row>
    <row r="139" spans="1:72" ht="21.75" outlineLevel="1" thickBot="1" x14ac:dyDescent="0.4">
      <c r="A139" s="32" t="s">
        <v>4</v>
      </c>
      <c r="B139" s="64">
        <v>0</v>
      </c>
      <c r="C139" s="64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1.8737702970297071E-36</v>
      </c>
      <c r="S139">
        <v>5.5478297029702927E-36</v>
      </c>
      <c r="T139">
        <v>3.0495116019900408E-34</v>
      </c>
      <c r="U139">
        <v>9.1215434427860717E-34</v>
      </c>
      <c r="V139">
        <v>3.6037903960396142E-32</v>
      </c>
      <c r="W139">
        <v>1.0855874554455461E-31</v>
      </c>
      <c r="X139">
        <v>3.155773861386147E-30</v>
      </c>
      <c r="Y139">
        <v>9.6950213861386086E-30</v>
      </c>
      <c r="Z139">
        <v>2.1068022772277196E-28</v>
      </c>
      <c r="AA139">
        <v>6.5914210891089237E-28</v>
      </c>
      <c r="AB139">
        <v>1.0877772277227808E-26</v>
      </c>
      <c r="AC139">
        <v>3.4588539603960427E-26</v>
      </c>
      <c r="AD139">
        <v>4.4237638613861296E-25</v>
      </c>
      <c r="AE139">
        <v>1.4262798514851454E-24</v>
      </c>
      <c r="AF139">
        <v>1.4447194059405833E-23</v>
      </c>
      <c r="AG139">
        <v>4.7107441584158414E-23</v>
      </c>
      <c r="AH139">
        <v>3.8548544554455576E-22</v>
      </c>
      <c r="AI139">
        <v>1.2673616831683162E-21</v>
      </c>
      <c r="AJ139">
        <v>8.4806792079207693E-21</v>
      </c>
      <c r="AK139">
        <v>2.7984441584158456E-20</v>
      </c>
      <c r="AL139">
        <v>1.5150965346534783E-19</v>
      </c>
      <c r="AM139">
        <v>4.9608044554455499E-19</v>
      </c>
      <c r="AN139">
        <v>1.3911135881040886E-16</v>
      </c>
      <c r="AO139">
        <v>6.003582881784383E-16</v>
      </c>
      <c r="AP139">
        <v>1.0616052175464678E-15</v>
      </c>
      <c r="AQ139">
        <v>1.5228521469144973E-15</v>
      </c>
      <c r="AR139">
        <v>1.9840990762825271E-15</v>
      </c>
      <c r="AS139">
        <v>2.4453460056505563E-15</v>
      </c>
      <c r="AT139">
        <v>2.906592935018586E-15</v>
      </c>
      <c r="AU139">
        <v>3.3678398643866156E-15</v>
      </c>
      <c r="AV139">
        <v>5.5321435643564056E-15</v>
      </c>
      <c r="AW139">
        <v>1.3397985148514848E-14</v>
      </c>
      <c r="AX139">
        <v>2.7344678217821848E-14</v>
      </c>
      <c r="AY139">
        <v>6.4166955445544542E-14</v>
      </c>
      <c r="AZ139">
        <v>1.2401742079207895E-13</v>
      </c>
      <c r="BA139">
        <v>2.8204068811881215E-13</v>
      </c>
      <c r="BB139">
        <v>5.1941633663366596E-13</v>
      </c>
      <c r="BC139">
        <v>1.1442183168316843E-12</v>
      </c>
      <c r="BD139">
        <v>2.0125846534653457E-12</v>
      </c>
      <c r="BE139">
        <v>4.2611490099009845E-12</v>
      </c>
      <c r="BF139">
        <v>6.7575178217821612E-12</v>
      </c>
      <c r="BG139">
        <v>1.0912270297029699E-11</v>
      </c>
      <c r="BH139">
        <v>1.5611000000000017E-11</v>
      </c>
      <c r="BI139">
        <v>2.4711000000000006E-11</v>
      </c>
      <c r="BJ139">
        <v>3.480916831683168E-11</v>
      </c>
      <c r="BK139">
        <v>5.3890851485148468E-11</v>
      </c>
      <c r="BL139">
        <v>8.2157425742573656E-11</v>
      </c>
      <c r="BM139">
        <v>2.1605024752475194E-10</v>
      </c>
      <c r="BN139">
        <v>3.4994306930693024E-10</v>
      </c>
      <c r="BO139">
        <v>4.8383589108910854E-10</v>
      </c>
      <c r="BP139">
        <v>6.1772871287128684E-10</v>
      </c>
      <c r="BQ139">
        <v>7.5162153465346514E-10</v>
      </c>
      <c r="BR139">
        <v>8.8551435643564344E-10</v>
      </c>
      <c r="BS139">
        <v>1.0194071782178217E-9</v>
      </c>
      <c r="BT139">
        <v>1.1532999999999999E-9</v>
      </c>
    </row>
    <row r="140" spans="1:72" ht="21.75" outlineLevel="1" thickBot="1" x14ac:dyDescent="0.4">
      <c r="A140" s="32" t="s">
        <v>1</v>
      </c>
      <c r="B140" s="64">
        <v>0.2</v>
      </c>
      <c r="C140" s="64">
        <v>0.2</v>
      </c>
      <c r="D140">
        <v>0.2</v>
      </c>
      <c r="E140">
        <v>0.2</v>
      </c>
      <c r="F140">
        <v>0.2</v>
      </c>
      <c r="G140">
        <v>0.2</v>
      </c>
      <c r="H140">
        <v>0.2</v>
      </c>
      <c r="I140">
        <v>0.2</v>
      </c>
      <c r="J140">
        <v>0.2</v>
      </c>
      <c r="K140">
        <v>0.2</v>
      </c>
      <c r="L140">
        <v>0.2</v>
      </c>
      <c r="M140">
        <v>0.2</v>
      </c>
      <c r="N140">
        <v>0.2</v>
      </c>
      <c r="O140">
        <v>0.2</v>
      </c>
      <c r="P140">
        <v>0.2</v>
      </c>
      <c r="Q140">
        <v>0.2</v>
      </c>
      <c r="R140">
        <v>0.2</v>
      </c>
      <c r="S140">
        <v>0.2</v>
      </c>
      <c r="T140">
        <v>0.2</v>
      </c>
      <c r="U140">
        <v>0.2</v>
      </c>
      <c r="V140">
        <v>0.2</v>
      </c>
      <c r="W140">
        <v>0.2</v>
      </c>
      <c r="X140">
        <v>0.2</v>
      </c>
      <c r="Y140">
        <v>0.2</v>
      </c>
      <c r="Z140">
        <v>0.2</v>
      </c>
      <c r="AA140">
        <v>0.2</v>
      </c>
      <c r="AB140">
        <v>0.2</v>
      </c>
      <c r="AC140">
        <v>0.2</v>
      </c>
      <c r="AD140">
        <v>0.2</v>
      </c>
      <c r="AE140">
        <v>0.2</v>
      </c>
      <c r="AF140">
        <v>0.2</v>
      </c>
      <c r="AG140">
        <v>0.2</v>
      </c>
      <c r="AH140">
        <v>0.2</v>
      </c>
      <c r="AI140">
        <v>0.2</v>
      </c>
      <c r="AJ140">
        <v>0.2</v>
      </c>
      <c r="AK140">
        <v>0.2</v>
      </c>
      <c r="AL140">
        <v>0.2</v>
      </c>
      <c r="AM140">
        <v>0.2</v>
      </c>
      <c r="AN140">
        <v>0.2</v>
      </c>
      <c r="AO140">
        <v>0.2</v>
      </c>
      <c r="AP140">
        <v>0.2</v>
      </c>
      <c r="AQ140">
        <v>0.2</v>
      </c>
      <c r="AR140">
        <v>0.2</v>
      </c>
      <c r="AS140">
        <v>0.2</v>
      </c>
      <c r="AT140">
        <v>0.2</v>
      </c>
      <c r="AU140">
        <v>0.2</v>
      </c>
      <c r="AV140">
        <v>0.2</v>
      </c>
      <c r="AW140">
        <v>0.2</v>
      </c>
      <c r="AX140">
        <v>0.2</v>
      </c>
      <c r="AY140">
        <v>0.2</v>
      </c>
      <c r="AZ140">
        <v>0.2</v>
      </c>
      <c r="BA140">
        <v>0.2</v>
      </c>
      <c r="BB140">
        <v>0.2</v>
      </c>
      <c r="BC140">
        <v>0.2</v>
      </c>
      <c r="BD140">
        <v>0.2</v>
      </c>
      <c r="BE140">
        <v>0.2</v>
      </c>
      <c r="BF140">
        <v>0.2</v>
      </c>
      <c r="BG140">
        <v>0.2</v>
      </c>
      <c r="BH140">
        <v>0.2</v>
      </c>
      <c r="BI140">
        <v>0.2</v>
      </c>
      <c r="BJ140">
        <v>0.2</v>
      </c>
      <c r="BK140">
        <v>0.2</v>
      </c>
      <c r="BL140">
        <v>0.2</v>
      </c>
      <c r="BM140">
        <v>0.2</v>
      </c>
      <c r="BN140">
        <v>0.2</v>
      </c>
      <c r="BO140">
        <v>0.2</v>
      </c>
      <c r="BP140">
        <v>0.2</v>
      </c>
      <c r="BQ140">
        <v>0.2</v>
      </c>
      <c r="BR140">
        <v>0.2</v>
      </c>
      <c r="BS140">
        <v>0.2</v>
      </c>
      <c r="BT140">
        <v>0.2</v>
      </c>
    </row>
    <row r="141" spans="1:72" ht="21.75" outlineLevel="1" thickBot="1" x14ac:dyDescent="0.4">
      <c r="A141" s="32" t="s">
        <v>84</v>
      </c>
      <c r="B141" s="64">
        <v>0.10408381683168318</v>
      </c>
      <c r="C141" s="64">
        <v>9.423876732673267E-2</v>
      </c>
      <c r="D141">
        <v>8.0340227722772273E-2</v>
      </c>
      <c r="E141">
        <v>6.4259039603960386E-2</v>
      </c>
      <c r="F141">
        <v>4.9037396039603935E-2</v>
      </c>
      <c r="G141">
        <v>3.4320564356435615E-2</v>
      </c>
      <c r="H141">
        <v>2.6486904727722763E-2</v>
      </c>
      <c r="I141">
        <v>2.3053961658415834E-2</v>
      </c>
      <c r="J141">
        <v>1.9621018589108905E-2</v>
      </c>
      <c r="K141">
        <v>1.6188075519801975E-2</v>
      </c>
      <c r="L141">
        <v>1.2755132450495043E-2</v>
      </c>
      <c r="M141">
        <v>9.3221893811881139E-3</v>
      </c>
      <c r="N141">
        <v>5.8892463118811848E-3</v>
      </c>
      <c r="O141">
        <v>2.4563032425742523E-3</v>
      </c>
      <c r="P141">
        <v>7.1785282178217784E-4</v>
      </c>
      <c r="Q141">
        <v>4.8206569306930648E-4</v>
      </c>
      <c r="R141">
        <v>3.1155856435643553E-4</v>
      </c>
      <c r="S141">
        <v>2.0377143564356449E-4</v>
      </c>
      <c r="T141">
        <v>1.2524026368159212E-4</v>
      </c>
      <c r="U141">
        <v>7.7159169154228843E-5</v>
      </c>
      <c r="V141">
        <v>4.3477792079207898E-5</v>
      </c>
      <c r="W141">
        <v>2.5396108910891053E-5</v>
      </c>
      <c r="X141">
        <v>1.3041721782178211E-5</v>
      </c>
      <c r="Y141">
        <v>7.4106821782178285E-6</v>
      </c>
      <c r="Z141">
        <v>3.5765633663366347E-6</v>
      </c>
      <c r="AA141">
        <v>2.0294346534653424E-6</v>
      </c>
      <c r="AB141">
        <v>9.6066930693069165E-7</v>
      </c>
      <c r="AC141">
        <v>5.5250099009900936E-7</v>
      </c>
      <c r="AD141">
        <v>2.6394613861386145E-7</v>
      </c>
      <c r="AE141">
        <v>1.5481148514851519E-7</v>
      </c>
      <c r="AF141">
        <v>7.5629673267326829E-8</v>
      </c>
      <c r="AG141">
        <v>4.5318287128712862E-8</v>
      </c>
      <c r="AH141">
        <v>2.274335445544553E-8</v>
      </c>
      <c r="AI141">
        <v>1.3922116831683176E-8</v>
      </c>
      <c r="AJ141">
        <v>7.1845069306930721E-9</v>
      </c>
      <c r="AK141">
        <v>4.4915861386138558E-9</v>
      </c>
      <c r="AL141">
        <v>2.3850875247524721E-9</v>
      </c>
      <c r="AM141">
        <v>1.5247360396039589E-9</v>
      </c>
      <c r="AN141">
        <v>8.8896520446096654E-10</v>
      </c>
      <c r="AO141">
        <v>7.7721588599752181E-10</v>
      </c>
      <c r="AP141">
        <v>6.6546656753407699E-10</v>
      </c>
      <c r="AQ141">
        <v>5.5371724907063216E-10</v>
      </c>
      <c r="AR141">
        <v>4.4196793060718733E-10</v>
      </c>
      <c r="AS141">
        <v>3.3021861214374261E-10</v>
      </c>
      <c r="AT141">
        <v>2.1846929368029778E-10</v>
      </c>
      <c r="AU141">
        <v>1.0671997521685296E-10</v>
      </c>
      <c r="AV141">
        <v>1.9282490594059428E-11</v>
      </c>
      <c r="AW141">
        <v>1.3236797524752477E-11</v>
      </c>
      <c r="AX141">
        <v>7.9506806930693018E-12</v>
      </c>
      <c r="AY141">
        <v>5.5220173267326748E-12</v>
      </c>
      <c r="AZ141">
        <v>3.3645836633663383E-12</v>
      </c>
      <c r="BA141">
        <v>2.3634450495049485E-12</v>
      </c>
      <c r="BB141">
        <v>1.4605033168316813E-12</v>
      </c>
      <c r="BC141">
        <v>1.0369934158415835E-12</v>
      </c>
      <c r="BD141">
        <v>6.4954960396039604E-13</v>
      </c>
      <c r="BE141">
        <v>4.6648029702970339E-13</v>
      </c>
      <c r="BF141">
        <v>2.9732292079207953E-13</v>
      </c>
      <c r="BG141">
        <v>2.2126846534653472E-13</v>
      </c>
      <c r="BH141">
        <v>1.4930411940298499E-13</v>
      </c>
      <c r="BI141">
        <v>1.1043247761194025E-13</v>
      </c>
      <c r="BJ141">
        <v>7.3553445544554461E-14</v>
      </c>
      <c r="BK141">
        <v>5.4607900990099063E-14</v>
      </c>
      <c r="BL141">
        <v>3.6834371287128729E-14</v>
      </c>
      <c r="BM141">
        <v>3.2539012376237642E-14</v>
      </c>
      <c r="BN141">
        <v>2.8243653465346549E-14</v>
      </c>
      <c r="BO141">
        <v>2.3948294554455456E-14</v>
      </c>
      <c r="BP141">
        <v>1.9652935643564366E-14</v>
      </c>
      <c r="BQ141">
        <v>1.5357576732673276E-14</v>
      </c>
      <c r="BR141">
        <v>1.1062217821782182E-14</v>
      </c>
      <c r="BS141">
        <v>6.7668589108910956E-15</v>
      </c>
      <c r="BT141">
        <v>2.4715000000000024E-15</v>
      </c>
    </row>
    <row r="142" spans="1:72" ht="21.75" outlineLevel="1" thickBot="1" x14ac:dyDescent="0.4">
      <c r="A142" s="32" t="s">
        <v>85</v>
      </c>
      <c r="B142" s="64">
        <v>0.13591386138613859</v>
      </c>
      <c r="C142" s="64">
        <v>0.14575544554455444</v>
      </c>
      <c r="D142">
        <v>0.15964504950495051</v>
      </c>
      <c r="E142">
        <v>0.17571435643564356</v>
      </c>
      <c r="F142">
        <v>0.19089792079207923</v>
      </c>
      <c r="G142">
        <v>0.20556128712871291</v>
      </c>
      <c r="H142">
        <v>0.21165445544554454</v>
      </c>
      <c r="I142">
        <v>0.21226831683168315</v>
      </c>
      <c r="J142">
        <v>0.21288217821782177</v>
      </c>
      <c r="K142">
        <v>0.21349603960396038</v>
      </c>
      <c r="L142">
        <v>0.21410990099009899</v>
      </c>
      <c r="M142">
        <v>0.21472376237623761</v>
      </c>
      <c r="N142">
        <v>0.21533762376237622</v>
      </c>
      <c r="O142">
        <v>0.21595148514851484</v>
      </c>
      <c r="P142">
        <v>0.20849727722772274</v>
      </c>
      <c r="Q142">
        <v>0.19388836633663364</v>
      </c>
      <c r="R142">
        <v>0.1753307425742574</v>
      </c>
      <c r="S142">
        <v>0.15297925742574262</v>
      </c>
      <c r="T142">
        <v>0.12927783084577119</v>
      </c>
      <c r="U142">
        <v>0.1041713631840796</v>
      </c>
      <c r="V142">
        <v>8.1406930693069285E-2</v>
      </c>
      <c r="W142">
        <v>6.1179702970296991E-2</v>
      </c>
      <c r="X142">
        <v>4.4535465346534645E-2</v>
      </c>
      <c r="Y142">
        <v>3.209734653465348E-2</v>
      </c>
      <c r="Z142">
        <v>2.2296613861386146E-2</v>
      </c>
      <c r="AA142">
        <v>1.5852554455445526E-2</v>
      </c>
      <c r="AB142">
        <v>1.0812812871287119E-2</v>
      </c>
      <c r="AC142">
        <v>7.7123673267326699E-3</v>
      </c>
      <c r="AD142">
        <v>5.2643772277227736E-3</v>
      </c>
      <c r="AE142">
        <v>3.7950702970297075E-3</v>
      </c>
      <c r="AF142">
        <v>2.6162000000000026E-3</v>
      </c>
      <c r="AG142">
        <v>1.9111999999999998E-3</v>
      </c>
      <c r="AH142">
        <v>1.3353170297029698E-3</v>
      </c>
      <c r="AI142">
        <v>9.8897544554455482E-4</v>
      </c>
      <c r="AJ142">
        <v>7.0101287128712891E-4</v>
      </c>
      <c r="AK142">
        <v>5.2637425742574221E-4</v>
      </c>
      <c r="AL142">
        <v>3.7875504950495015E-4</v>
      </c>
      <c r="AM142">
        <v>2.8855207920792063E-4</v>
      </c>
      <c r="AN142">
        <v>2.1804066914498141E-4</v>
      </c>
      <c r="AO142">
        <v>1.9347623296158615E-4</v>
      </c>
      <c r="AP142">
        <v>1.6891179677819087E-4</v>
      </c>
      <c r="AQ142">
        <v>1.4434736059479558E-4</v>
      </c>
      <c r="AR142">
        <v>1.1978292441140032E-4</v>
      </c>
      <c r="AS142">
        <v>9.521848822800503E-5</v>
      </c>
      <c r="AT142">
        <v>7.065405204460977E-5</v>
      </c>
      <c r="AU142">
        <v>4.6089615861214482E-5</v>
      </c>
      <c r="AV142">
        <v>2.5970118811881209E-5</v>
      </c>
      <c r="AW142">
        <v>2.0731504950495051E-5</v>
      </c>
      <c r="AX142">
        <v>1.5937841584158407E-5</v>
      </c>
      <c r="AY142">
        <v>1.2818039603960397E-5</v>
      </c>
      <c r="AZ142">
        <v>9.9326430693069341E-6</v>
      </c>
      <c r="BA142">
        <v>8.0465539603960354E-6</v>
      </c>
      <c r="BB142">
        <v>6.2841440594059358E-6</v>
      </c>
      <c r="BC142">
        <v>5.1255797029702948E-6</v>
      </c>
      <c r="BD142">
        <v>4.0328000000000006E-6</v>
      </c>
      <c r="BE142">
        <v>3.3128000000000016E-6</v>
      </c>
      <c r="BF142">
        <v>2.6311242574257441E-6</v>
      </c>
      <c r="BG142">
        <v>2.2059262376237624E-6</v>
      </c>
      <c r="BH142">
        <v>1.7951184079601984E-6</v>
      </c>
      <c r="BI142">
        <v>1.5007402985074625E-6</v>
      </c>
      <c r="BJ142">
        <v>1.2161351485148515E-6</v>
      </c>
      <c r="BK142">
        <v>1.0194866336633668E-6</v>
      </c>
      <c r="BL142">
        <v>8.3216504950495086E-7</v>
      </c>
      <c r="BM142">
        <v>7.5210316831683206E-7</v>
      </c>
      <c r="BN142">
        <v>6.7204128712871315E-7</v>
      </c>
      <c r="BO142">
        <v>5.9197940594059424E-7</v>
      </c>
      <c r="BP142">
        <v>5.1191752475247544E-7</v>
      </c>
      <c r="BQ142">
        <v>4.3185564356435653E-7</v>
      </c>
      <c r="BR142">
        <v>3.5179376237623773E-7</v>
      </c>
      <c r="BS142">
        <v>2.7173188118811882E-7</v>
      </c>
      <c r="BT142">
        <v>1.9166999999999992E-7</v>
      </c>
    </row>
    <row r="143" spans="1:72" ht="21.75" outlineLevel="1" thickBot="1" x14ac:dyDescent="0.4">
      <c r="A143" s="32" t="s">
        <v>86</v>
      </c>
      <c r="B143" s="64">
        <v>2.2446089108910893E-2</v>
      </c>
      <c r="C143" s="64">
        <v>2.2819356435643565E-2</v>
      </c>
      <c r="D143">
        <v>2.3305569306930694E-2</v>
      </c>
      <c r="E143">
        <v>2.3852599009900992E-2</v>
      </c>
      <c r="F143">
        <v>2.4334133663366338E-2</v>
      </c>
      <c r="G143">
        <v>2.4777202970297032E-2</v>
      </c>
      <c r="H143">
        <v>2.5048596534653467E-2</v>
      </c>
      <c r="I143">
        <v>2.5210230198019802E-2</v>
      </c>
      <c r="J143">
        <v>2.5371863861386141E-2</v>
      </c>
      <c r="K143">
        <v>2.5533497524752476E-2</v>
      </c>
      <c r="L143">
        <v>2.5695131188118812E-2</v>
      </c>
      <c r="M143">
        <v>2.5856764851485151E-2</v>
      </c>
      <c r="N143">
        <v>2.6018398514851486E-2</v>
      </c>
      <c r="O143">
        <v>2.6180032178217825E-2</v>
      </c>
      <c r="P143">
        <v>2.6435465346534653E-2</v>
      </c>
      <c r="Q143">
        <v>2.6774079207920791E-2</v>
      </c>
      <c r="R143">
        <v>2.7168237623762376E-2</v>
      </c>
      <c r="S143">
        <v>2.7615762376237623E-2</v>
      </c>
      <c r="T143">
        <v>2.805584577114428E-2</v>
      </c>
      <c r="U143">
        <v>2.8488184079601988E-2</v>
      </c>
      <c r="V143">
        <v>2.8859376237623764E-2</v>
      </c>
      <c r="W143">
        <v>2.9164326732673267E-2</v>
      </c>
      <c r="X143">
        <v>2.9408019801980198E-2</v>
      </c>
      <c r="Y143">
        <v>2.9579801980198019E-2</v>
      </c>
      <c r="Z143">
        <v>2.9713029702970298E-2</v>
      </c>
      <c r="AA143">
        <v>2.9797188118811883E-2</v>
      </c>
      <c r="AB143">
        <v>2.9862633663366337E-2</v>
      </c>
      <c r="AC143">
        <v>2.9902237623762377E-2</v>
      </c>
      <c r="AD143">
        <v>2.9932534653465348E-2</v>
      </c>
      <c r="AE143">
        <v>2.9948871287128712E-2</v>
      </c>
      <c r="AF143">
        <v>2.9957683168316832E-2</v>
      </c>
      <c r="AG143">
        <v>2.9954217821782179E-2</v>
      </c>
      <c r="AH143">
        <v>2.9929900990099009E-2</v>
      </c>
      <c r="AI143">
        <v>2.9868514851485149E-2</v>
      </c>
      <c r="AJ143">
        <v>2.9720277227722771E-2</v>
      </c>
      <c r="AK143">
        <v>2.9403445544554454E-2</v>
      </c>
      <c r="AL143">
        <v>2.8776435643564351E-2</v>
      </c>
      <c r="AM143">
        <v>2.7490297029702966E-2</v>
      </c>
      <c r="AN143">
        <v>2.5636885873605946E-2</v>
      </c>
      <c r="AO143">
        <v>2.2459838785625776E-2</v>
      </c>
      <c r="AP143">
        <v>1.9282791697645605E-2</v>
      </c>
      <c r="AQ143">
        <v>1.6105744609665434E-2</v>
      </c>
      <c r="AR143">
        <v>1.292869752168526E-2</v>
      </c>
      <c r="AS143">
        <v>9.7516504337050898E-3</v>
      </c>
      <c r="AT143">
        <v>6.5746033457249192E-3</v>
      </c>
      <c r="AU143">
        <v>3.3975562577447452E-3</v>
      </c>
      <c r="AV143">
        <v>8.7402059405940723E-4</v>
      </c>
      <c r="AW143">
        <v>5.3832752475247532E-4</v>
      </c>
      <c r="AX143">
        <v>2.5298798514851467E-4</v>
      </c>
      <c r="AY143">
        <v>1.5707362871287135E-4</v>
      </c>
      <c r="AZ143">
        <v>7.4125549504950534E-5</v>
      </c>
      <c r="BA143">
        <v>4.6454757425742527E-5</v>
      </c>
      <c r="BB143">
        <v>2.2105756930693037E-5</v>
      </c>
      <c r="BC143">
        <v>1.3974915346534638E-5</v>
      </c>
      <c r="BD143">
        <v>6.6959698019801983E-6</v>
      </c>
      <c r="BE143">
        <v>4.2444351485148575E-6</v>
      </c>
      <c r="BF143">
        <v>1.9967179702970333E-6</v>
      </c>
      <c r="BG143">
        <v>1.113010049504951E-6</v>
      </c>
      <c r="BH143">
        <v>3.1140907960198971E-7</v>
      </c>
      <c r="BI143">
        <v>1.7412798507462671E-7</v>
      </c>
      <c r="BJ143">
        <v>4.847433168316832E-8</v>
      </c>
      <c r="BK143">
        <v>2.7467648514851539E-8</v>
      </c>
      <c r="BL143">
        <v>8.0609788227722823E-9</v>
      </c>
      <c r="BM143">
        <v>7.0544641074257465E-9</v>
      </c>
      <c r="BN143">
        <v>6.0479493920792123E-9</v>
      </c>
      <c r="BO143">
        <v>5.0414346767326765E-9</v>
      </c>
      <c r="BP143">
        <v>4.0349199613861415E-9</v>
      </c>
      <c r="BQ143">
        <v>3.0284052460396057E-9</v>
      </c>
      <c r="BR143">
        <v>2.0218905306930707E-9</v>
      </c>
      <c r="BS143">
        <v>1.0153758153465357E-9</v>
      </c>
      <c r="BT143">
        <v>8.8611000000006695E-12</v>
      </c>
    </row>
    <row r="144" spans="1:72" ht="21.75" outlineLevel="1" thickBot="1" x14ac:dyDescent="0.4">
      <c r="A144" s="32" t="s">
        <v>87</v>
      </c>
      <c r="B144" s="64">
        <v>3.1882737623762335E-25</v>
      </c>
      <c r="C144" s="64">
        <v>7.7641450495049489E-25</v>
      </c>
      <c r="D144">
        <v>2.7095346980198036E-23</v>
      </c>
      <c r="E144">
        <v>6.7339619257425777E-23</v>
      </c>
      <c r="F144">
        <v>2.4194270792079265E-21</v>
      </c>
      <c r="G144">
        <v>6.1292637128712954E-21</v>
      </c>
      <c r="H144">
        <v>2.7615404199835493E-15</v>
      </c>
      <c r="I144">
        <v>7.2886434427434494E-15</v>
      </c>
      <c r="J144">
        <v>1.1815746465503349E-14</v>
      </c>
      <c r="K144">
        <v>1.634284948826325E-14</v>
      </c>
      <c r="L144">
        <v>2.0869952511023147E-14</v>
      </c>
      <c r="M144">
        <v>2.5397055533783048E-14</v>
      </c>
      <c r="N144">
        <v>2.9924158556542949E-14</v>
      </c>
      <c r="O144">
        <v>3.4451261579302847E-14</v>
      </c>
      <c r="P144">
        <v>2.1074985643564404E-13</v>
      </c>
      <c r="Q144">
        <v>5.3937411386138682E-13</v>
      </c>
      <c r="R144">
        <v>3.1225465346534707E-12</v>
      </c>
      <c r="S144">
        <v>7.8718534653465298E-12</v>
      </c>
      <c r="T144">
        <v>3.9000686567164093E-11</v>
      </c>
      <c r="U144">
        <v>9.7585761194029867E-11</v>
      </c>
      <c r="V144">
        <v>4.3350346534653556E-10</v>
      </c>
      <c r="W144">
        <v>1.0698648514851496E-9</v>
      </c>
      <c r="X144">
        <v>4.2585544554455522E-9</v>
      </c>
      <c r="Y144">
        <v>1.0443455445544547E-8</v>
      </c>
      <c r="Z144">
        <v>3.7275574257425699E-8</v>
      </c>
      <c r="AA144">
        <v>9.0385970297029834E-8</v>
      </c>
      <c r="AB144">
        <v>2.9039801980198161E-7</v>
      </c>
      <c r="AC144">
        <v>6.93274257425743E-7</v>
      </c>
      <c r="AD144">
        <v>2.0214158415841559E-6</v>
      </c>
      <c r="AE144">
        <v>4.7374554455445456E-6</v>
      </c>
      <c r="AF144">
        <v>1.2653324752475194E-5</v>
      </c>
      <c r="AG144">
        <v>2.9053126732673266E-5</v>
      </c>
      <c r="AH144">
        <v>7.1633732673267458E-5</v>
      </c>
      <c r="AI144">
        <v>1.6075799009900984E-4</v>
      </c>
      <c r="AJ144">
        <v>3.6623782178217773E-4</v>
      </c>
      <c r="AK144">
        <v>7.975843564356444E-4</v>
      </c>
      <c r="AL144">
        <v>1.6459891089108977E-3</v>
      </c>
      <c r="AM144">
        <v>3.3806425742574286E-3</v>
      </c>
      <c r="AN144">
        <v>5.7295877323420069E-3</v>
      </c>
      <c r="AO144">
        <v>9.5118801734820312E-3</v>
      </c>
      <c r="AP144">
        <v>1.3294172614622055E-2</v>
      </c>
      <c r="AQ144">
        <v>1.7076465055762078E-2</v>
      </c>
      <c r="AR144">
        <v>2.0858757496902101E-2</v>
      </c>
      <c r="AS144">
        <v>2.4641049938042121E-2</v>
      </c>
      <c r="AT144">
        <v>2.8423342379182148E-2</v>
      </c>
      <c r="AU144">
        <v>3.2205634820322168E-2</v>
      </c>
      <c r="AV144">
        <v>3.5000836633663372E-2</v>
      </c>
      <c r="AW144">
        <v>3.4491430693069307E-2</v>
      </c>
      <c r="AX144">
        <v>3.3861846534653461E-2</v>
      </c>
      <c r="AY144">
        <v>3.2780163366336636E-2</v>
      </c>
      <c r="AZ144">
        <v>3.1633108910891092E-2</v>
      </c>
      <c r="BA144">
        <v>3.0207366336633661E-2</v>
      </c>
      <c r="BB144">
        <v>2.8743920792079204E-2</v>
      </c>
      <c r="BC144">
        <v>2.7096396039603957E-2</v>
      </c>
      <c r="BD144">
        <v>2.5393920792079208E-2</v>
      </c>
      <c r="BE144">
        <v>2.3380059405940599E-2</v>
      </c>
      <c r="BF144">
        <v>2.0774228217821811E-2</v>
      </c>
      <c r="BG144">
        <v>1.4206752970297035E-2</v>
      </c>
      <c r="BH144">
        <v>8.0820865671641737E-3</v>
      </c>
      <c r="BI144">
        <v>5.5401462686567142E-3</v>
      </c>
      <c r="BJ144">
        <v>3.1554297029702969E-3</v>
      </c>
      <c r="BK144">
        <v>2.1857267326732695E-3</v>
      </c>
      <c r="BL144">
        <v>1.2812008712871294E-3</v>
      </c>
      <c r="BM144">
        <v>1.1262117623762383E-3</v>
      </c>
      <c r="BN144">
        <v>9.7122265346534704E-4</v>
      </c>
      <c r="BO144">
        <v>8.1623354455445587E-4</v>
      </c>
      <c r="BP144">
        <v>6.6124443564356469E-4</v>
      </c>
      <c r="BQ144">
        <v>5.0625532673267352E-4</v>
      </c>
      <c r="BR144">
        <v>3.5126621782178235E-4</v>
      </c>
      <c r="BS144">
        <v>1.9627710891089107E-4</v>
      </c>
      <c r="BT144">
        <v>4.1288000000000002E-5</v>
      </c>
    </row>
    <row r="145" spans="1:72" ht="21.75" outlineLevel="1" thickBot="1" x14ac:dyDescent="0.4">
      <c r="A145" s="32" t="s">
        <v>88</v>
      </c>
      <c r="B145" s="64">
        <v>1.9815108910891081E-6</v>
      </c>
      <c r="C145" s="64">
        <v>3.208243564356435E-6</v>
      </c>
      <c r="D145">
        <v>7.278050495049506E-6</v>
      </c>
      <c r="E145">
        <v>1.287874356435644E-5</v>
      </c>
      <c r="F145">
        <v>3.1694341584158459E-5</v>
      </c>
      <c r="G145">
        <v>5.8271074257425795E-5</v>
      </c>
      <c r="H145">
        <v>9.2832560891089406E-4</v>
      </c>
      <c r="I145">
        <v>2.337652836633666E-3</v>
      </c>
      <c r="J145">
        <v>3.7469800643564377E-3</v>
      </c>
      <c r="K145">
        <v>5.1563072920792104E-3</v>
      </c>
      <c r="L145">
        <v>6.5656345198019826E-3</v>
      </c>
      <c r="M145">
        <v>7.9749617475247548E-3</v>
      </c>
      <c r="N145">
        <v>9.3842889752475261E-3</v>
      </c>
      <c r="O145">
        <v>1.0793616202970297E-2</v>
      </c>
      <c r="P145">
        <v>1.5391118811881198E-2</v>
      </c>
      <c r="Q145">
        <v>2.2815871287128725E-2</v>
      </c>
      <c r="R145">
        <v>3.2180896039603973E-2</v>
      </c>
      <c r="S145">
        <v>4.3410103960396032E-2</v>
      </c>
      <c r="T145">
        <v>5.5299542288557192E-2</v>
      </c>
      <c r="U145">
        <v>6.7876159203980102E-2</v>
      </c>
      <c r="V145">
        <v>7.9274930693069318E-2</v>
      </c>
      <c r="W145">
        <v>8.9397702970297047E-2</v>
      </c>
      <c r="X145">
        <v>9.772556435643566E-2</v>
      </c>
      <c r="Y145">
        <v>0.10394635643564355</v>
      </c>
      <c r="Z145">
        <v>0.10884801980198019</v>
      </c>
      <c r="AA145">
        <v>0.11207079207920793</v>
      </c>
      <c r="AB145">
        <v>0.11459079207920793</v>
      </c>
      <c r="AC145">
        <v>0.11614029702970297</v>
      </c>
      <c r="AD145">
        <v>0.11736504950495048</v>
      </c>
      <c r="AE145">
        <v>0.11810267326732672</v>
      </c>
      <c r="AF145">
        <v>0.11869356435643565</v>
      </c>
      <c r="AG145">
        <v>0.1190450495049505</v>
      </c>
      <c r="AH145">
        <v>0.11933237623762376</v>
      </c>
      <c r="AI145">
        <v>0.11950564356435645</v>
      </c>
      <c r="AJ145">
        <v>0.11965029702970298</v>
      </c>
      <c r="AK145">
        <v>0.11973940594059407</v>
      </c>
      <c r="AL145">
        <v>0.11981425742574257</v>
      </c>
      <c r="AM145">
        <v>0.11985881188118812</v>
      </c>
      <c r="AN145">
        <v>0.11989371747211895</v>
      </c>
      <c r="AO145">
        <v>0.11990610904584882</v>
      </c>
      <c r="AP145">
        <v>0.11991850061957868</v>
      </c>
      <c r="AQ145">
        <v>0.11993089219330855</v>
      </c>
      <c r="AR145">
        <v>0.11994328376703842</v>
      </c>
      <c r="AS145">
        <v>0.11995567534076827</v>
      </c>
      <c r="AT145">
        <v>0.11996806691449814</v>
      </c>
      <c r="AU145">
        <v>0.119980458488228</v>
      </c>
      <c r="AV145">
        <v>0.11999</v>
      </c>
      <c r="AW145">
        <v>0.11999</v>
      </c>
      <c r="AX145">
        <v>0.11999</v>
      </c>
      <c r="AY145">
        <v>0.11999</v>
      </c>
      <c r="AZ145">
        <v>0.1199909405940594</v>
      </c>
      <c r="BA145">
        <v>0.11999589108910891</v>
      </c>
      <c r="BB145">
        <v>0.12</v>
      </c>
      <c r="BC145">
        <v>0.12</v>
      </c>
      <c r="BD145">
        <v>0.11999777227722772</v>
      </c>
      <c r="BE145">
        <v>0.1199829207920792</v>
      </c>
      <c r="BF145">
        <v>0.11992430693069306</v>
      </c>
      <c r="BG145">
        <v>0.11957282178217822</v>
      </c>
      <c r="BH145">
        <v>0.119233184079602</v>
      </c>
      <c r="BI145">
        <v>0.11898940298507463</v>
      </c>
      <c r="BJ145">
        <v>0.11875019801980198</v>
      </c>
      <c r="BK145">
        <v>0.11855217821782178</v>
      </c>
      <c r="BL145">
        <v>0.11835584158415842</v>
      </c>
      <c r="BM145">
        <v>0.11817886138613862</v>
      </c>
      <c r="BN145">
        <v>0.11800188118811882</v>
      </c>
      <c r="BO145">
        <v>0.11782490099009901</v>
      </c>
      <c r="BP145">
        <v>0.11764792079207921</v>
      </c>
      <c r="BQ145">
        <v>0.11747094059405941</v>
      </c>
      <c r="BR145">
        <v>0.11729396039603961</v>
      </c>
      <c r="BS145">
        <v>0.1171169801980198</v>
      </c>
      <c r="BT145">
        <v>0.11694</v>
      </c>
    </row>
    <row r="146" spans="1:72" ht="21.75" outlineLevel="1" thickBot="1" x14ac:dyDescent="0.4">
      <c r="A146" s="32" t="s">
        <v>89</v>
      </c>
      <c r="B146" s="64">
        <v>6.8443289603960319E-25</v>
      </c>
      <c r="C146" s="64">
        <v>1.6619640841584154E-24</v>
      </c>
      <c r="D146">
        <v>4.6550305445544578E-23</v>
      </c>
      <c r="E146">
        <v>1.1508292920792086E-22</v>
      </c>
      <c r="F146">
        <v>3.0336869306930757E-21</v>
      </c>
      <c r="G146">
        <v>7.6261423762376324E-21</v>
      </c>
      <c r="H146">
        <v>1.0004691022876274E-15</v>
      </c>
      <c r="I146">
        <v>2.640566946693568E-15</v>
      </c>
      <c r="J146">
        <v>4.2806647910995084E-15</v>
      </c>
      <c r="K146">
        <v>5.9207626355054483E-15</v>
      </c>
      <c r="L146">
        <v>7.5608604799113883E-15</v>
      </c>
      <c r="M146">
        <v>9.2009583243173291E-15</v>
      </c>
      <c r="N146">
        <v>1.084105616872327E-14</v>
      </c>
      <c r="O146">
        <v>1.2481154013129211E-14</v>
      </c>
      <c r="P146">
        <v>6.5705732673267454E-14</v>
      </c>
      <c r="Q146">
        <v>1.6467503960396057E-13</v>
      </c>
      <c r="R146">
        <v>8.5330331683168446E-13</v>
      </c>
      <c r="S146">
        <v>2.1084666831683151E-12</v>
      </c>
      <c r="T146">
        <v>9.4685233830845568E-12</v>
      </c>
      <c r="U146">
        <v>2.3182652736318409E-11</v>
      </c>
      <c r="V146">
        <v>9.2872257425742742E-11</v>
      </c>
      <c r="W146">
        <v>2.2320196039603984E-10</v>
      </c>
      <c r="X146">
        <v>7.9657861386138742E-10</v>
      </c>
      <c r="Y146">
        <v>1.8900538613861375E-9</v>
      </c>
      <c r="Z146">
        <v>6.0495405940593993E-9</v>
      </c>
      <c r="AA146">
        <v>1.4111223762376259E-8</v>
      </c>
      <c r="AB146">
        <v>4.0841782178218014E-8</v>
      </c>
      <c r="AC146">
        <v>9.335316831683175E-8</v>
      </c>
      <c r="AD146">
        <v>2.4669168316831658E-7</v>
      </c>
      <c r="AE146">
        <v>5.5127089108910796E-7</v>
      </c>
      <c r="AF146">
        <v>1.3425398019801928E-6</v>
      </c>
      <c r="AG146">
        <v>2.927881386138614E-6</v>
      </c>
      <c r="AH146">
        <v>6.6235198019802089E-6</v>
      </c>
      <c r="AI146">
        <v>1.4070797029702966E-5</v>
      </c>
      <c r="AJ146">
        <v>2.9696168316831649E-5</v>
      </c>
      <c r="AK146">
        <v>6.1196663366336703E-5</v>
      </c>
      <c r="AL146">
        <v>1.1982618811881232E-4</v>
      </c>
      <c r="AM146">
        <v>2.3610490099009921E-4</v>
      </c>
      <c r="AN146">
        <v>5.784107806691449E-4</v>
      </c>
      <c r="AO146">
        <v>1.4481133828996276E-3</v>
      </c>
      <c r="AP146">
        <v>2.3178159851301103E-3</v>
      </c>
      <c r="AQ146">
        <v>3.1875185873605932E-3</v>
      </c>
      <c r="AR146">
        <v>4.0572211895910752E-3</v>
      </c>
      <c r="AS146">
        <v>4.9269237918215586E-3</v>
      </c>
      <c r="AT146">
        <v>5.796626394052041E-3</v>
      </c>
      <c r="AU146">
        <v>6.6663289962825235E-3</v>
      </c>
      <c r="AV146">
        <v>7.7674207920792005E-3</v>
      </c>
      <c r="AW146">
        <v>9.6431633663366326E-3</v>
      </c>
      <c r="AX146">
        <v>1.1630663366336638E-2</v>
      </c>
      <c r="AY146">
        <v>1.4038584158415839E-2</v>
      </c>
      <c r="AZ146">
        <v>1.6544326732673264E-2</v>
      </c>
      <c r="BA146">
        <v>1.9467099009900995E-2</v>
      </c>
      <c r="BB146">
        <v>2.2456693069306942E-2</v>
      </c>
      <c r="BC146">
        <v>2.5772534653465351E-2</v>
      </c>
      <c r="BD146">
        <v>2.9079168316831681E-2</v>
      </c>
      <c r="BE146">
        <v>3.233362376237623E-2</v>
      </c>
      <c r="BF146">
        <v>3.4672158415841599E-2</v>
      </c>
      <c r="BG146">
        <v>3.0881069306930697E-2</v>
      </c>
      <c r="BH146">
        <v>2.7157572139303476E-2</v>
      </c>
      <c r="BI146">
        <v>2.3980955223880593E-2</v>
      </c>
      <c r="BJ146">
        <v>2.0866702970297028E-2</v>
      </c>
      <c r="BK146">
        <v>1.8313732673267333E-2</v>
      </c>
      <c r="BL146">
        <v>1.5850295049504956E-2</v>
      </c>
      <c r="BM146">
        <v>1.4416483168316837E-2</v>
      </c>
      <c r="BN146">
        <v>1.2982671287128718E-2</v>
      </c>
      <c r="BO146">
        <v>1.1548859405940599E-2</v>
      </c>
      <c r="BP146">
        <v>1.011504752475248E-2</v>
      </c>
      <c r="BQ146">
        <v>8.6812356435643587E-3</v>
      </c>
      <c r="BR146">
        <v>7.2474237623762396E-3</v>
      </c>
      <c r="BS146">
        <v>5.8136118811881188E-3</v>
      </c>
      <c r="BT146">
        <v>4.3797999999999997E-3</v>
      </c>
    </row>
    <row r="147" spans="1:72" ht="21.75" outlineLevel="1" thickBot="1" x14ac:dyDescent="0.4">
      <c r="A147" s="32" t="s">
        <v>90</v>
      </c>
      <c r="B147" s="64">
        <v>1.295051237623762E-8</v>
      </c>
      <c r="C147" s="64">
        <v>1.9216799504950494E-8</v>
      </c>
      <c r="D147">
        <v>2.5797178217821785E-8</v>
      </c>
      <c r="E147">
        <v>3.2546683168316837E-8</v>
      </c>
      <c r="F147">
        <v>3.661712871287129E-8</v>
      </c>
      <c r="G147">
        <v>3.9114158415841594E-8</v>
      </c>
      <c r="H147">
        <v>3.8707346534653465E-8</v>
      </c>
      <c r="I147">
        <v>3.6443980198019798E-8</v>
      </c>
      <c r="J147">
        <v>3.4180613861386138E-8</v>
      </c>
      <c r="K147">
        <v>3.1917247524752472E-8</v>
      </c>
      <c r="L147">
        <v>2.9653881188118812E-8</v>
      </c>
      <c r="M147">
        <v>2.7390514851485145E-8</v>
      </c>
      <c r="N147">
        <v>2.5127148514851482E-8</v>
      </c>
      <c r="O147">
        <v>2.2863782178217819E-8</v>
      </c>
      <c r="P147">
        <v>2.1441856435643565E-8</v>
      </c>
      <c r="Q147">
        <v>2.0766113861386137E-8</v>
      </c>
      <c r="R147">
        <v>2.0322648514851487E-8</v>
      </c>
      <c r="S147">
        <v>2.0102351485148513E-8</v>
      </c>
      <c r="T147">
        <v>1.9789611940298507E-8</v>
      </c>
      <c r="U147">
        <v>1.9380656716417909E-8</v>
      </c>
      <c r="V147">
        <v>1.8948198019801978E-8</v>
      </c>
      <c r="W147">
        <v>1.8490277227722771E-8</v>
      </c>
      <c r="X147">
        <v>1.7798940594059404E-8</v>
      </c>
      <c r="Y147">
        <v>1.6833594059405941E-8</v>
      </c>
      <c r="Z147">
        <v>1.5790485148514853E-8</v>
      </c>
      <c r="AA147">
        <v>1.4648405940594056E-8</v>
      </c>
      <c r="AB147">
        <v>1.3525455445544551E-8</v>
      </c>
      <c r="AC147">
        <v>1.2428920792079206E-8</v>
      </c>
      <c r="AD147">
        <v>1.1384683168316832E-8</v>
      </c>
      <c r="AE147">
        <v>1.0418891089108914E-8</v>
      </c>
      <c r="AF147">
        <v>9.5087821782178242E-9</v>
      </c>
      <c r="AG147">
        <v>8.6895247524752473E-9</v>
      </c>
      <c r="AH147">
        <v>7.9196871287128704E-9</v>
      </c>
      <c r="AI147">
        <v>7.2377069306930702E-9</v>
      </c>
      <c r="AJ147">
        <v>6.5987316831683177E-9</v>
      </c>
      <c r="AK147">
        <v>6.043236633663365E-9</v>
      </c>
      <c r="AL147">
        <v>5.5289138613861371E-9</v>
      </c>
      <c r="AM147">
        <v>5.1020821782178212E-9</v>
      </c>
      <c r="AN147">
        <v>4.7273483271375461E-9</v>
      </c>
      <c r="AO147">
        <v>4.474176084262701E-9</v>
      </c>
      <c r="AP147">
        <v>4.221003841387856E-9</v>
      </c>
      <c r="AQ147">
        <v>3.9678315985130118E-9</v>
      </c>
      <c r="AR147">
        <v>3.7146593556381667E-9</v>
      </c>
      <c r="AS147">
        <v>3.4614871127633217E-9</v>
      </c>
      <c r="AT147">
        <v>3.2083148698884767E-9</v>
      </c>
      <c r="AU147">
        <v>2.9551426270136316E-9</v>
      </c>
      <c r="AV147">
        <v>2.7105905940594068E-9</v>
      </c>
      <c r="AW147">
        <v>2.4948975247524755E-9</v>
      </c>
      <c r="AX147">
        <v>2.2862529702970292E-9</v>
      </c>
      <c r="AY147">
        <v>2.1041242574257427E-9</v>
      </c>
      <c r="AZ147">
        <v>1.9276955445544559E-9</v>
      </c>
      <c r="BA147">
        <v>1.7755668316831682E-9</v>
      </c>
      <c r="BB147">
        <v>1.627704950495049E-9</v>
      </c>
      <c r="BC147">
        <v>1.5006752475247521E-9</v>
      </c>
      <c r="BD147">
        <v>1.3768311881188118E-9</v>
      </c>
      <c r="BE147">
        <v>1.2710391089108914E-9</v>
      </c>
      <c r="BF147">
        <v>1.1687029702970299E-9</v>
      </c>
      <c r="BG147">
        <v>1.0894950495049507E-9</v>
      </c>
      <c r="BH147">
        <v>1.010631791044776E-9</v>
      </c>
      <c r="BI147">
        <v>9.3455716417910453E-10</v>
      </c>
      <c r="BJ147">
        <v>8.594508910891089E-10</v>
      </c>
      <c r="BK147">
        <v>7.930598019801982E-10</v>
      </c>
      <c r="BL147">
        <v>7.2841584158415865E-10</v>
      </c>
      <c r="BM147">
        <v>6.838638613861388E-10</v>
      </c>
      <c r="BN147">
        <v>6.3931188118811895E-10</v>
      </c>
      <c r="BO147">
        <v>5.947599009900991E-10</v>
      </c>
      <c r="BP147">
        <v>5.5020792079207935E-10</v>
      </c>
      <c r="BQ147">
        <v>5.056559405940595E-10</v>
      </c>
      <c r="BR147">
        <v>4.6110396039603965E-10</v>
      </c>
      <c r="BS147">
        <v>4.1655198019801981E-10</v>
      </c>
      <c r="BT147">
        <v>3.7199999999999996E-10</v>
      </c>
    </row>
    <row r="148" spans="1:72" ht="21.75" outlineLevel="1" thickBot="1" x14ac:dyDescent="0.4">
      <c r="A148" s="32" t="s">
        <v>91</v>
      </c>
      <c r="B148" s="64">
        <v>3.7423549504950481E-9</v>
      </c>
      <c r="C148" s="64">
        <v>5.8258698019801978E-9</v>
      </c>
      <c r="D148">
        <v>8.3293747524752495E-9</v>
      </c>
      <c r="E148">
        <v>1.1059028217821786E-8</v>
      </c>
      <c r="F148">
        <v>1.3086668316831686E-8</v>
      </c>
      <c r="G148">
        <v>1.4702014851485154E-8</v>
      </c>
      <c r="H148">
        <v>1.5045798267326731E-8</v>
      </c>
      <c r="I148">
        <v>1.4576615099009901E-8</v>
      </c>
      <c r="J148">
        <v>1.410743193069307E-8</v>
      </c>
      <c r="K148">
        <v>1.3638248762376238E-8</v>
      </c>
      <c r="L148">
        <v>1.3169065594059405E-8</v>
      </c>
      <c r="M148">
        <v>1.2699882425742574E-8</v>
      </c>
      <c r="N148">
        <v>1.2230699257425742E-8</v>
      </c>
      <c r="O148">
        <v>1.1761516089108911E-8</v>
      </c>
      <c r="P148">
        <v>1.1538113861386139E-8</v>
      </c>
      <c r="Q148">
        <v>1.1532668316831683E-8</v>
      </c>
      <c r="R148">
        <v>1.1637049504950495E-8</v>
      </c>
      <c r="S148">
        <v>1.1846950495049505E-8</v>
      </c>
      <c r="T148">
        <v>1.1979353233830846E-8</v>
      </c>
      <c r="U148">
        <v>1.2031094527363183E-8</v>
      </c>
      <c r="V148">
        <v>1.1891900990099008E-8</v>
      </c>
      <c r="W148">
        <v>1.1545861386138612E-8</v>
      </c>
      <c r="X148">
        <v>1.1057267326732673E-8</v>
      </c>
      <c r="Y148">
        <v>1.0401326732673268E-8</v>
      </c>
      <c r="Z148">
        <v>9.7031287128712883E-9</v>
      </c>
      <c r="AA148">
        <v>8.9511485148514832E-9</v>
      </c>
      <c r="AB148">
        <v>8.2170287128712853E-9</v>
      </c>
      <c r="AC148">
        <v>7.5075732673267312E-9</v>
      </c>
      <c r="AD148">
        <v>6.8353851485148518E-9</v>
      </c>
      <c r="AE148">
        <v>6.2190980198019817E-9</v>
      </c>
      <c r="AF148">
        <v>5.6407920792079217E-9</v>
      </c>
      <c r="AG148">
        <v>5.1244554455445543E-9</v>
      </c>
      <c r="AH148">
        <v>4.6411069306930687E-9</v>
      </c>
      <c r="AI148">
        <v>4.2164039603960399E-9</v>
      </c>
      <c r="AJ148">
        <v>3.8197425742574258E-9</v>
      </c>
      <c r="AK148">
        <v>3.4775148514851476E-9</v>
      </c>
      <c r="AL148">
        <v>3.1611881188118802E-9</v>
      </c>
      <c r="AM148">
        <v>2.8999009900990093E-9</v>
      </c>
      <c r="AN148">
        <v>2.6712565055762084E-9</v>
      </c>
      <c r="AO148">
        <v>2.5187781908302357E-9</v>
      </c>
      <c r="AP148">
        <v>2.3662998760842629E-9</v>
      </c>
      <c r="AQ148">
        <v>2.2138215613382902E-9</v>
      </c>
      <c r="AR148">
        <v>2.0613432465923174E-9</v>
      </c>
      <c r="AS148">
        <v>1.9088649318463451E-9</v>
      </c>
      <c r="AT148">
        <v>1.7563866171003723E-9</v>
      </c>
      <c r="AU148">
        <v>1.6039083023543996E-9</v>
      </c>
      <c r="AV148">
        <v>1.4580801980198025E-9</v>
      </c>
      <c r="AW148">
        <v>1.3345158415841583E-9</v>
      </c>
      <c r="AX148">
        <v>1.2152658415841582E-9</v>
      </c>
      <c r="AY148">
        <v>1.1122460396039605E-9</v>
      </c>
      <c r="AZ148">
        <v>1.0126415346534655E-9</v>
      </c>
      <c r="BA148">
        <v>9.2759698019801967E-10</v>
      </c>
      <c r="BB148">
        <v>8.4507970297029675E-10</v>
      </c>
      <c r="BC148">
        <v>7.7490148514851467E-10</v>
      </c>
      <c r="BD148">
        <v>7.0658267326732677E-10</v>
      </c>
      <c r="BE148">
        <v>6.4880049504950511E-10</v>
      </c>
      <c r="BF148">
        <v>5.9292069306930715E-10</v>
      </c>
      <c r="BG148">
        <v>5.4977217821782184E-10</v>
      </c>
      <c r="BH148">
        <v>5.0690104477611931E-10</v>
      </c>
      <c r="BI148">
        <v>4.6627417910447751E-10</v>
      </c>
      <c r="BJ148">
        <v>4.2621396039603963E-10</v>
      </c>
      <c r="BK148">
        <v>3.9125356435643573E-10</v>
      </c>
      <c r="BL148">
        <v>3.5726297029702982E-10</v>
      </c>
      <c r="BM148">
        <v>3.3442509900990109E-10</v>
      </c>
      <c r="BN148">
        <v>3.1158722772277237E-10</v>
      </c>
      <c r="BO148">
        <v>2.8874935643564359E-10</v>
      </c>
      <c r="BP148">
        <v>2.6591148514851486E-10</v>
      </c>
      <c r="BQ148">
        <v>2.4307361386138614E-10</v>
      </c>
      <c r="BR148">
        <v>2.2023574257425744E-10</v>
      </c>
      <c r="BS148">
        <v>1.9739787128712871E-10</v>
      </c>
      <c r="BT148">
        <v>1.7455999999999999E-10</v>
      </c>
    </row>
    <row r="149" spans="1:72" ht="21.75" outlineLevel="1" thickBot="1" x14ac:dyDescent="0.4">
      <c r="A149" s="32" t="s">
        <v>92</v>
      </c>
      <c r="B149" s="64">
        <v>1.592231188118811E-2</v>
      </c>
      <c r="C149" s="64">
        <v>2.5768747524752472E-2</v>
      </c>
      <c r="D149">
        <v>3.9674851485148523E-2</v>
      </c>
      <c r="E149">
        <v>5.5766930693069316E-2</v>
      </c>
      <c r="F149">
        <v>7.102597524752477E-2</v>
      </c>
      <c r="G149">
        <v>8.5795777227722803E-2</v>
      </c>
      <c r="H149">
        <v>9.5369556930693086E-2</v>
      </c>
      <c r="I149">
        <v>0.10162128960396041</v>
      </c>
      <c r="J149">
        <v>0.10787302227722773</v>
      </c>
      <c r="K149">
        <v>0.11412475495049507</v>
      </c>
      <c r="L149">
        <v>0.12037648762376238</v>
      </c>
      <c r="M149">
        <v>0.12662822029702972</v>
      </c>
      <c r="N149">
        <v>0.13287995297029703</v>
      </c>
      <c r="O149">
        <v>0.13913168564356437</v>
      </c>
      <c r="P149">
        <v>0.15006460396039606</v>
      </c>
      <c r="Q149">
        <v>0.16514876237623766</v>
      </c>
      <c r="R149">
        <v>0.18404782178217824</v>
      </c>
      <c r="S149">
        <v>0.20661217821782177</v>
      </c>
      <c r="T149">
        <v>0.23046995024875619</v>
      </c>
      <c r="U149">
        <v>0.25567393034825875</v>
      </c>
      <c r="V149">
        <v>0.27850594059405942</v>
      </c>
      <c r="W149">
        <v>0.2987683168316832</v>
      </c>
      <c r="X149">
        <v>0.31543722772277227</v>
      </c>
      <c r="Y149">
        <v>0.32788772277227718</v>
      </c>
      <c r="Z149">
        <v>0.33769603960396039</v>
      </c>
      <c r="AA149">
        <v>0.34414158415841589</v>
      </c>
      <c r="AB149">
        <v>0.34918366336633666</v>
      </c>
      <c r="AC149">
        <v>0.35228762376237627</v>
      </c>
      <c r="AD149">
        <v>0.354740099009901</v>
      </c>
      <c r="AE149">
        <v>0.35621534653465348</v>
      </c>
      <c r="AF149">
        <v>0.35741029702970295</v>
      </c>
      <c r="AG149">
        <v>0.35814792079207919</v>
      </c>
      <c r="AH149">
        <v>0.35881425742574258</v>
      </c>
      <c r="AI149">
        <v>0.35935386138613862</v>
      </c>
      <c r="AJ149">
        <v>0.36007861386138612</v>
      </c>
      <c r="AK149">
        <v>0.36116277227722771</v>
      </c>
      <c r="AL149">
        <v>0.36309445544554458</v>
      </c>
      <c r="AM149">
        <v>0.36682712871287126</v>
      </c>
      <c r="AN149">
        <v>0.37210802973977697</v>
      </c>
      <c r="AO149">
        <v>0.38100146220570008</v>
      </c>
      <c r="AP149">
        <v>0.3898948946716233</v>
      </c>
      <c r="AQ149">
        <v>0.39878832713754642</v>
      </c>
      <c r="AR149">
        <v>0.40768175960346964</v>
      </c>
      <c r="AS149">
        <v>0.41657519206939275</v>
      </c>
      <c r="AT149">
        <v>0.42546862453531598</v>
      </c>
      <c r="AU149">
        <v>0.43436205700123909</v>
      </c>
      <c r="AV149">
        <v>0.44162445544554452</v>
      </c>
      <c r="AW149">
        <v>0.44342643564356438</v>
      </c>
      <c r="AX149">
        <v>0.44515460396039608</v>
      </c>
      <c r="AY149">
        <v>0.44660509900990103</v>
      </c>
      <c r="AZ149">
        <v>0.44807158415841586</v>
      </c>
      <c r="BA149">
        <v>0.44960623762376239</v>
      </c>
      <c r="BB149">
        <v>0.45116529702970298</v>
      </c>
      <c r="BC149">
        <v>0.45284351485148516</v>
      </c>
      <c r="BD149">
        <v>0.45457371287128712</v>
      </c>
      <c r="BE149">
        <v>0.45659846534653464</v>
      </c>
      <c r="BF149">
        <v>0.45921465346534651</v>
      </c>
      <c r="BG149">
        <v>0.46578891089108909</v>
      </c>
      <c r="BH149">
        <v>0.47191965174129352</v>
      </c>
      <c r="BI149">
        <v>0.47446194029850747</v>
      </c>
      <c r="BJ149">
        <v>0.47684702970297033</v>
      </c>
      <c r="BK149">
        <v>0.4778173267326733</v>
      </c>
      <c r="BL149">
        <v>0.47872237623762376</v>
      </c>
      <c r="BM149">
        <v>0.47887707920792083</v>
      </c>
      <c r="BN149">
        <v>0.47903178217821785</v>
      </c>
      <c r="BO149">
        <v>0.47918648514851486</v>
      </c>
      <c r="BP149">
        <v>0.47934118811881188</v>
      </c>
      <c r="BQ149">
        <v>0.47949589108910889</v>
      </c>
      <c r="BR149">
        <v>0.47965059405940597</v>
      </c>
      <c r="BS149">
        <v>0.47980529702970298</v>
      </c>
      <c r="BT149">
        <v>0.47996</v>
      </c>
    </row>
    <row r="150" spans="1:72" ht="21.75" outlineLevel="1" thickBot="1" x14ac:dyDescent="0.4">
      <c r="A150" s="32" t="s">
        <v>93</v>
      </c>
      <c r="B150" s="64">
        <v>6.9942648514851453E-11</v>
      </c>
      <c r="C150" s="64">
        <v>1.1994809405940592E-10</v>
      </c>
      <c r="D150">
        <v>1.9991757425742577E-10</v>
      </c>
      <c r="E150">
        <v>2.9602153465346544E-10</v>
      </c>
      <c r="F150">
        <v>3.9600841584158434E-10</v>
      </c>
      <c r="G150">
        <v>4.9827574257425773E-10</v>
      </c>
      <c r="H150">
        <v>5.6511852722772287E-10</v>
      </c>
      <c r="I150">
        <v>6.0931283415841595E-10</v>
      </c>
      <c r="J150">
        <v>6.5350714108910904E-10</v>
      </c>
      <c r="K150">
        <v>6.9770144801980202E-10</v>
      </c>
      <c r="L150">
        <v>7.4189575495049511E-10</v>
      </c>
      <c r="M150">
        <v>7.8609006188118819E-10</v>
      </c>
      <c r="N150">
        <v>8.3028436881188128E-10</v>
      </c>
      <c r="O150">
        <v>8.7447867574257436E-10</v>
      </c>
      <c r="P150">
        <v>9.3656113861386143E-10</v>
      </c>
      <c r="Q150">
        <v>1.014506683168317E-9</v>
      </c>
      <c r="R150">
        <v>1.1077900990099012E-9</v>
      </c>
      <c r="S150">
        <v>1.2158099009900989E-9</v>
      </c>
      <c r="T150">
        <v>1.3214601990049749E-9</v>
      </c>
      <c r="U150">
        <v>1.4246442786069652E-9</v>
      </c>
      <c r="V150">
        <v>1.5053891089108911E-9</v>
      </c>
      <c r="W150">
        <v>1.5618247524752476E-9</v>
      </c>
      <c r="X150">
        <v>1.5931198019801979E-9</v>
      </c>
      <c r="Y150">
        <v>1.5949019801980199E-9</v>
      </c>
      <c r="Z150">
        <v>1.5806524752475248E-9</v>
      </c>
      <c r="AA150">
        <v>1.5459990099009902E-9</v>
      </c>
      <c r="AB150">
        <v>1.5040891089108909E-9</v>
      </c>
      <c r="AC150">
        <v>1.452158415841584E-9</v>
      </c>
      <c r="AD150">
        <v>1.3977920792079207E-9</v>
      </c>
      <c r="AE150">
        <v>1.3397722772277228E-9</v>
      </c>
      <c r="AF150">
        <v>1.2816207920792082E-9</v>
      </c>
      <c r="AG150">
        <v>1.2232544554455445E-9</v>
      </c>
      <c r="AH150">
        <v>1.1657970297029702E-9</v>
      </c>
      <c r="AI150">
        <v>1.1099554455445545E-9</v>
      </c>
      <c r="AJ150">
        <v>1.0558643564356435E-9</v>
      </c>
      <c r="AK150">
        <v>1.0051712871287127E-9</v>
      </c>
      <c r="AL150">
        <v>9.5764495049504934E-10</v>
      </c>
      <c r="AM150">
        <v>9.1684792079207913E-10</v>
      </c>
      <c r="AN150">
        <v>8.8015542750929372E-10</v>
      </c>
      <c r="AO150">
        <v>8.53040185873606E-10</v>
      </c>
      <c r="AP150">
        <v>8.2592494423791828E-10</v>
      </c>
      <c r="AQ150">
        <v>7.9880970260223055E-10</v>
      </c>
      <c r="AR150">
        <v>7.7169446096654283E-10</v>
      </c>
      <c r="AS150">
        <v>7.445792193308551E-10</v>
      </c>
      <c r="AT150">
        <v>7.1746397769516738E-10</v>
      </c>
      <c r="AU150">
        <v>6.9034873605947966E-10</v>
      </c>
      <c r="AV150">
        <v>6.6144277227722779E-10</v>
      </c>
      <c r="AW150">
        <v>6.2654178217821777E-10</v>
      </c>
      <c r="AX150">
        <v>5.9224584158415828E-10</v>
      </c>
      <c r="AY150">
        <v>5.6022603960396037E-10</v>
      </c>
      <c r="AZ150">
        <v>5.2882326732673272E-10</v>
      </c>
      <c r="BA150">
        <v>5.0005099009900991E-10</v>
      </c>
      <c r="BB150">
        <v>4.7179544554455434E-10</v>
      </c>
      <c r="BC150">
        <v>4.460627722772277E-10</v>
      </c>
      <c r="BD150">
        <v>4.2076599009900991E-10</v>
      </c>
      <c r="BE150">
        <v>3.9793925742574263E-10</v>
      </c>
      <c r="BF150">
        <v>3.7584490099009908E-10</v>
      </c>
      <c r="BG150">
        <v>3.5865183168316834E-10</v>
      </c>
      <c r="BH150">
        <v>3.4131144278606961E-10</v>
      </c>
      <c r="BI150">
        <v>3.2277910447761191E-10</v>
      </c>
      <c r="BJ150">
        <v>3.043569306930693E-10</v>
      </c>
      <c r="BK150">
        <v>2.869262376237624E-10</v>
      </c>
      <c r="BL150">
        <v>2.6982148514851491E-10</v>
      </c>
      <c r="BM150">
        <v>2.5646504950495052E-10</v>
      </c>
      <c r="BN150">
        <v>2.4310861386138618E-10</v>
      </c>
      <c r="BO150">
        <v>2.2975217821782182E-10</v>
      </c>
      <c r="BP150">
        <v>2.1639574257425746E-10</v>
      </c>
      <c r="BQ150">
        <v>2.0303930693069309E-10</v>
      </c>
      <c r="BR150">
        <v>1.8968287128712873E-10</v>
      </c>
      <c r="BS150">
        <v>1.7632643564356437E-10</v>
      </c>
      <c r="BT150">
        <v>1.6297000000000001E-10</v>
      </c>
    </row>
    <row r="151" spans="1:72" ht="21.75" outlineLevel="1" thickBot="1" x14ac:dyDescent="0.4">
      <c r="A151" s="32" t="s">
        <v>99</v>
      </c>
      <c r="B151" s="64">
        <v>1.9815108910891081E-6</v>
      </c>
      <c r="C151" s="64">
        <v>3.208243564356435E-6</v>
      </c>
      <c r="D151">
        <v>7.278050495049506E-6</v>
      </c>
      <c r="E151">
        <v>1.287874356435644E-5</v>
      </c>
      <c r="F151">
        <v>3.1694341584158459E-5</v>
      </c>
      <c r="G151">
        <v>5.8271074257425795E-5</v>
      </c>
      <c r="H151">
        <v>9.2832560891089406E-4</v>
      </c>
      <c r="I151">
        <v>2.337652836633666E-3</v>
      </c>
      <c r="J151">
        <v>3.7469800643564377E-3</v>
      </c>
      <c r="K151">
        <v>5.1563072920792104E-3</v>
      </c>
      <c r="L151">
        <v>6.5656345198019826E-3</v>
      </c>
      <c r="M151">
        <v>7.9749617475247548E-3</v>
      </c>
      <c r="N151">
        <v>9.3842889752475261E-3</v>
      </c>
      <c r="O151">
        <v>1.0793616202970297E-2</v>
      </c>
      <c r="P151">
        <v>1.5391118811881198E-2</v>
      </c>
      <c r="Q151">
        <v>2.2815871287128725E-2</v>
      </c>
      <c r="R151">
        <v>3.2180896039603973E-2</v>
      </c>
      <c r="S151">
        <v>4.3410103960396032E-2</v>
      </c>
      <c r="T151">
        <v>5.5299542288557192E-2</v>
      </c>
      <c r="U151">
        <v>6.7876159203980102E-2</v>
      </c>
      <c r="V151">
        <v>7.9274930693069318E-2</v>
      </c>
      <c r="W151">
        <v>8.9397702970297047E-2</v>
      </c>
      <c r="X151">
        <v>9.772556435643566E-2</v>
      </c>
      <c r="Y151">
        <v>0.10394635643564355</v>
      </c>
      <c r="Z151">
        <v>0.10884801980198019</v>
      </c>
      <c r="AA151">
        <v>0.11207079207920793</v>
      </c>
      <c r="AB151">
        <v>0.11459079207920793</v>
      </c>
      <c r="AC151">
        <v>0.11614029702970297</v>
      </c>
      <c r="AD151">
        <v>0.11736504950495048</v>
      </c>
      <c r="AE151">
        <v>0.11810267326732672</v>
      </c>
      <c r="AF151">
        <v>0.11869356435643565</v>
      </c>
      <c r="AG151">
        <v>0.1190450495049505</v>
      </c>
      <c r="AH151">
        <v>0.11933237623762376</v>
      </c>
      <c r="AI151">
        <v>0.11950564356435645</v>
      </c>
      <c r="AJ151">
        <v>0.11965029702970298</v>
      </c>
      <c r="AK151">
        <v>0.11973940594059407</v>
      </c>
      <c r="AL151">
        <v>0.11981425742574257</v>
      </c>
      <c r="AM151">
        <v>0.11985881188118812</v>
      </c>
      <c r="AN151">
        <v>0.11989371747211895</v>
      </c>
      <c r="AO151">
        <v>0.11990610904584882</v>
      </c>
      <c r="AP151">
        <v>0.11991850061957868</v>
      </c>
      <c r="AQ151">
        <v>0.11993089219330855</v>
      </c>
      <c r="AR151">
        <v>0.11994328376703842</v>
      </c>
      <c r="AS151">
        <v>0.11995567534076827</v>
      </c>
      <c r="AT151">
        <v>0.11996806691449814</v>
      </c>
      <c r="AU151">
        <v>0.119980458488228</v>
      </c>
      <c r="AV151">
        <v>0.11999</v>
      </c>
      <c r="AW151">
        <v>0.11999</v>
      </c>
      <c r="AX151">
        <v>0.11999</v>
      </c>
      <c r="AY151">
        <v>0.11999</v>
      </c>
      <c r="AZ151">
        <v>0.1199909405940594</v>
      </c>
      <c r="BA151">
        <v>0.11999589108910891</v>
      </c>
      <c r="BB151">
        <v>0.12</v>
      </c>
      <c r="BC151">
        <v>0.12</v>
      </c>
      <c r="BD151">
        <v>0.11999777227722772</v>
      </c>
      <c r="BE151">
        <v>0.1199829207920792</v>
      </c>
      <c r="BF151">
        <v>0.11992430693069306</v>
      </c>
      <c r="BG151">
        <v>0.11957282178217822</v>
      </c>
      <c r="BH151">
        <v>0.119233184079602</v>
      </c>
      <c r="BI151">
        <v>0.11898940298507463</v>
      </c>
      <c r="BJ151">
        <v>0.11875019801980198</v>
      </c>
      <c r="BK151">
        <v>0.11855217821782178</v>
      </c>
      <c r="BL151">
        <v>0.11835584158415842</v>
      </c>
      <c r="BM151">
        <v>0.11817886138613862</v>
      </c>
      <c r="BN151">
        <v>0.11800188118811882</v>
      </c>
      <c r="BO151">
        <v>0.11782490099009901</v>
      </c>
      <c r="BP151">
        <v>0.11764792079207921</v>
      </c>
      <c r="BQ151">
        <v>0.11747094059405941</v>
      </c>
      <c r="BR151">
        <v>0.11729396039603961</v>
      </c>
      <c r="BS151">
        <v>0.1171169801980198</v>
      </c>
      <c r="BT151">
        <v>0.11694</v>
      </c>
    </row>
    <row r="152" spans="1:72" ht="21.75" outlineLevel="1" thickBot="1" x14ac:dyDescent="0.4">
      <c r="A152" s="32" t="s">
        <v>67</v>
      </c>
      <c r="B152" s="64">
        <v>0</v>
      </c>
      <c r="C152" s="64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1.1005204460966537E-34</v>
      </c>
      <c r="AO152">
        <v>4.7689219330854989E-34</v>
      </c>
      <c r="AP152">
        <v>8.4373234200743441E-34</v>
      </c>
      <c r="AQ152">
        <v>1.210572490706319E-33</v>
      </c>
      <c r="AR152">
        <v>1.5774126394052035E-33</v>
      </c>
      <c r="AS152">
        <v>1.9442527881040879E-33</v>
      </c>
      <c r="AT152">
        <v>2.3110929368029727E-33</v>
      </c>
      <c r="AU152">
        <v>2.6779330855018571E-33</v>
      </c>
      <c r="AV152">
        <v>4.2144679698593363E-27</v>
      </c>
      <c r="AW152">
        <v>2.2538228880552468E-26</v>
      </c>
      <c r="AX152">
        <v>2.2685231185812073E-20</v>
      </c>
      <c r="AY152">
        <v>1.3070996533729697E-19</v>
      </c>
      <c r="AZ152">
        <v>3.6221534318960077E-14</v>
      </c>
      <c r="BA152">
        <v>2.2686004015559437E-13</v>
      </c>
      <c r="BB152">
        <v>4.4546893150991186E-9</v>
      </c>
      <c r="BC152">
        <v>3.0656478874504999E-8</v>
      </c>
      <c r="BD152">
        <v>1.1689305710891063E-4</v>
      </c>
      <c r="BE152">
        <v>8.9582725116831485E-4</v>
      </c>
      <c r="BF152">
        <v>3.7734282178217126E-3</v>
      </c>
      <c r="BG152">
        <v>2.0695952970297013E-2</v>
      </c>
      <c r="BH152">
        <v>3.6665184079602002E-2</v>
      </c>
      <c r="BI152">
        <v>4.4921402985074632E-2</v>
      </c>
      <c r="BJ152">
        <v>5.2801108910891091E-2</v>
      </c>
      <c r="BK152">
        <v>5.7292198019801968E-2</v>
      </c>
      <c r="BL152">
        <v>6.1563712871287118E-2</v>
      </c>
      <c r="BM152">
        <v>6.3310123762376228E-2</v>
      </c>
      <c r="BN152">
        <v>6.5056534653465337E-2</v>
      </c>
      <c r="BO152">
        <v>6.680294554455446E-2</v>
      </c>
      <c r="BP152">
        <v>6.8549356435643569E-2</v>
      </c>
      <c r="BQ152">
        <v>7.0295767326732678E-2</v>
      </c>
      <c r="BR152">
        <v>7.2042178217821787E-2</v>
      </c>
      <c r="BS152">
        <v>7.3788589108910896E-2</v>
      </c>
      <c r="BT152">
        <v>7.5535000000000005E-2</v>
      </c>
    </row>
    <row r="153" spans="1:72" ht="21.75" outlineLevel="1" thickBot="1" x14ac:dyDescent="0.4">
      <c r="A153" s="32" t="s">
        <v>66</v>
      </c>
      <c r="B153" s="64">
        <v>0</v>
      </c>
      <c r="C153" s="64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2.4686245353159835E-35</v>
      </c>
      <c r="AO153">
        <v>1.0697372986369262E-34</v>
      </c>
      <c r="AP153">
        <v>1.8926121437422542E-34</v>
      </c>
      <c r="AQ153">
        <v>2.715486988847582E-34</v>
      </c>
      <c r="AR153">
        <v>3.53836183395291E-34</v>
      </c>
      <c r="AS153">
        <v>4.3612366790582376E-34</v>
      </c>
      <c r="AT153">
        <v>5.1841115241635656E-34</v>
      </c>
      <c r="AU153">
        <v>6.0069863692688936E-34</v>
      </c>
      <c r="AV153">
        <v>6.1933821221157395E-28</v>
      </c>
      <c r="AW153">
        <v>3.3121101606967323E-27</v>
      </c>
      <c r="AX153">
        <v>2.2562573491653659E-21</v>
      </c>
      <c r="AY153">
        <v>1.3000314062333658E-20</v>
      </c>
      <c r="AZ153">
        <v>2.5056681764801767E-15</v>
      </c>
      <c r="BA153">
        <v>1.5693281194797052E-14</v>
      </c>
      <c r="BB153">
        <v>2.1995558522277767E-10</v>
      </c>
      <c r="BC153">
        <v>1.5136552688861411E-9</v>
      </c>
      <c r="BD153">
        <v>4.2801667678217731E-6</v>
      </c>
      <c r="BE153">
        <v>3.2797189886633589E-5</v>
      </c>
      <c r="BF153">
        <v>1.4946249009900698E-4</v>
      </c>
      <c r="BG153">
        <v>8.5604318316831625E-4</v>
      </c>
      <c r="BH153">
        <v>1.5383676616915433E-3</v>
      </c>
      <c r="BI153">
        <v>2.0244373134328361E-3</v>
      </c>
      <c r="BJ153">
        <v>2.5010534653465344E-3</v>
      </c>
      <c r="BK153">
        <v>2.8925881188118802E-3</v>
      </c>
      <c r="BL153">
        <v>3.2811277227722756E-3</v>
      </c>
      <c r="BM153">
        <v>3.6352242574257416E-3</v>
      </c>
      <c r="BN153">
        <v>3.9893207920792071E-3</v>
      </c>
      <c r="BO153">
        <v>4.3434173267326726E-3</v>
      </c>
      <c r="BP153">
        <v>4.6975138613861381E-3</v>
      </c>
      <c r="BQ153">
        <v>5.0516103960396037E-3</v>
      </c>
      <c r="BR153">
        <v>5.4057069306930692E-3</v>
      </c>
      <c r="BS153">
        <v>5.7598034653465347E-3</v>
      </c>
      <c r="BT153">
        <v>6.1139000000000002E-3</v>
      </c>
    </row>
    <row r="154" spans="1:72" ht="21.75" outlineLevel="1" thickBot="1" x14ac:dyDescent="0.4">
      <c r="A154" s="32" t="s">
        <v>36</v>
      </c>
      <c r="B154" s="64">
        <v>-18.7</v>
      </c>
      <c r="C154" s="64">
        <v>-18.7</v>
      </c>
      <c r="D154">
        <v>-18.7</v>
      </c>
      <c r="E154">
        <v>-18.7</v>
      </c>
      <c r="F154">
        <v>-18.706237623762377</v>
      </c>
      <c r="G154">
        <v>-18.716138613861386</v>
      </c>
      <c r="H154">
        <v>-18.728304455445542</v>
      </c>
      <c r="I154">
        <v>-18.741918316831683</v>
      </c>
      <c r="J154">
        <v>-18.75553217821782</v>
      </c>
      <c r="K154">
        <v>-18.76914603960396</v>
      </c>
      <c r="L154">
        <v>-18.782759900990097</v>
      </c>
      <c r="M154">
        <v>-18.796373762376238</v>
      </c>
      <c r="N154">
        <v>-18.809987623762375</v>
      </c>
      <c r="O154">
        <v>-18.823601485148512</v>
      </c>
      <c r="P154">
        <v>-18.840495049504948</v>
      </c>
      <c r="Q154">
        <v>-18.86029702970297</v>
      </c>
      <c r="R154">
        <v>-18.877574257425742</v>
      </c>
      <c r="S154">
        <v>-18.892425742574257</v>
      </c>
      <c r="T154">
        <v>-18.909751243781095</v>
      </c>
      <c r="U154">
        <v>-18.929651741293533</v>
      </c>
      <c r="V154">
        <v>-18.949504950495051</v>
      </c>
      <c r="W154">
        <v>-18.969306930693069</v>
      </c>
      <c r="X154">
        <v>-18.98910891089109</v>
      </c>
      <c r="Y154">
        <v>-19.008910891089108</v>
      </c>
      <c r="Z154">
        <v>-19.028712871287127</v>
      </c>
      <c r="AA154">
        <v>-19.048514851485148</v>
      </c>
      <c r="AB154">
        <v>-19.068316831683166</v>
      </c>
      <c r="AC154">
        <v>-19.088118811881188</v>
      </c>
      <c r="AD154">
        <v>-19.107920792079209</v>
      </c>
      <c r="AE154">
        <v>-19.127722772277227</v>
      </c>
      <c r="AF154">
        <v>-19.147524752475249</v>
      </c>
      <c r="AG154">
        <v>-19.167326732673267</v>
      </c>
      <c r="AH154">
        <v>-19.188910891089108</v>
      </c>
      <c r="AI154">
        <v>-19.213663366336633</v>
      </c>
      <c r="AJ154">
        <v>-19.236732673267326</v>
      </c>
      <c r="AK154">
        <v>-19.256534653465348</v>
      </c>
      <c r="AL154">
        <v>-19.274752475247524</v>
      </c>
      <c r="AM154">
        <v>-19.28960396039604</v>
      </c>
      <c r="AN154">
        <v>-19.304832713754646</v>
      </c>
      <c r="AO154">
        <v>-19.320941759603471</v>
      </c>
      <c r="AP154">
        <v>-19.337050805452293</v>
      </c>
      <c r="AQ154">
        <v>-19.353159851301115</v>
      </c>
      <c r="AR154">
        <v>-19.369268897149936</v>
      </c>
      <c r="AS154">
        <v>-19.385377942998762</v>
      </c>
      <c r="AT154">
        <v>-19.401486988847584</v>
      </c>
      <c r="AU154">
        <v>-19.417596034696405</v>
      </c>
      <c r="AV154">
        <v>-19.434554455445543</v>
      </c>
      <c r="AW154">
        <v>-19.454356435643565</v>
      </c>
      <c r="AX154">
        <v>-19.474158415841583</v>
      </c>
      <c r="AY154">
        <v>-19.493960396039604</v>
      </c>
      <c r="AZ154">
        <v>-19.513762376237626</v>
      </c>
      <c r="BA154">
        <v>-19.533564356435644</v>
      </c>
      <c r="BB154">
        <v>-19.553366336633665</v>
      </c>
      <c r="BC154">
        <v>-19.573168316831683</v>
      </c>
      <c r="BD154">
        <v>-19.592227722772279</v>
      </c>
      <c r="BE154">
        <v>-19.607079207920794</v>
      </c>
      <c r="BF154">
        <v>-19.622574257425743</v>
      </c>
      <c r="BG154">
        <v>-19.642376237623761</v>
      </c>
      <c r="BH154">
        <v>-19.662189054726369</v>
      </c>
      <c r="BI154">
        <v>-19.682089552238807</v>
      </c>
      <c r="BJ154">
        <v>-19.7019801980198</v>
      </c>
      <c r="BK154">
        <v>-19.721782178217822</v>
      </c>
      <c r="BL154">
        <v>-19.741386138613858</v>
      </c>
      <c r="BM154">
        <v>-19.758712871287127</v>
      </c>
      <c r="BN154">
        <v>-19.776039603960395</v>
      </c>
      <c r="BO154">
        <v>-19.79336633663366</v>
      </c>
      <c r="BP154">
        <v>-19.810693069306929</v>
      </c>
      <c r="BQ154">
        <v>-19.828019801980197</v>
      </c>
      <c r="BR154">
        <v>-19.845346534653466</v>
      </c>
      <c r="BS154">
        <v>-19.862673267326731</v>
      </c>
      <c r="BT154">
        <v>-19.88</v>
      </c>
    </row>
    <row r="155" spans="1:72" ht="21.75" outlineLevel="1" thickBot="1" x14ac:dyDescent="0.4">
      <c r="A155" s="32" t="s">
        <v>5</v>
      </c>
      <c r="B155" s="64">
        <v>-61.00351485148515</v>
      </c>
      <c r="C155" s="64">
        <v>-58.949059405940595</v>
      </c>
      <c r="D155">
        <v>-56.904257425742571</v>
      </c>
      <c r="E155">
        <v>-54.864653465346535</v>
      </c>
      <c r="F155">
        <v>-52.83440594059406</v>
      </c>
      <c r="G155">
        <v>-50.809653465346535</v>
      </c>
      <c r="H155">
        <v>-48.973638613861382</v>
      </c>
      <c r="I155">
        <v>-47.258292079207919</v>
      </c>
      <c r="J155">
        <v>-45.542945544554456</v>
      </c>
      <c r="K155">
        <v>-43.827599009900986</v>
      </c>
      <c r="L155">
        <v>-42.112252475247523</v>
      </c>
      <c r="M155">
        <v>-40.396905940594053</v>
      </c>
      <c r="N155">
        <v>-38.68155940594059</v>
      </c>
      <c r="O155">
        <v>-36.966212871287127</v>
      </c>
      <c r="P155">
        <v>-35.462079207920787</v>
      </c>
      <c r="Q155">
        <v>-34.14524752475247</v>
      </c>
      <c r="R155">
        <v>-32.891534653465342</v>
      </c>
      <c r="S155">
        <v>-31.698465346534654</v>
      </c>
      <c r="T155">
        <v>-30.541492537313434</v>
      </c>
      <c r="U155">
        <v>-29.422089552238806</v>
      </c>
      <c r="V155">
        <v>-28.326732673267326</v>
      </c>
      <c r="W155">
        <v>-27.257425742574256</v>
      </c>
      <c r="X155">
        <v>-26.210891089108909</v>
      </c>
      <c r="Y155">
        <v>-25.191089108910894</v>
      </c>
      <c r="Z155">
        <v>-24.193069306930695</v>
      </c>
      <c r="AA155">
        <v>-23.222772277227719</v>
      </c>
      <c r="AB155">
        <v>-22.275346534653462</v>
      </c>
      <c r="AC155">
        <v>-21.359504950495047</v>
      </c>
      <c r="AD155">
        <v>-20.463465346534655</v>
      </c>
      <c r="AE155">
        <v>-19.597128712871289</v>
      </c>
      <c r="AF155">
        <v>-18.747722772277228</v>
      </c>
      <c r="AG155">
        <v>-17.925940594059405</v>
      </c>
      <c r="AH155">
        <v>-17.120198019801979</v>
      </c>
      <c r="AI155">
        <v>-16.342970297029701</v>
      </c>
      <c r="AJ155">
        <v>-15.582574257425744</v>
      </c>
      <c r="AK155">
        <v>-14.854851485148513</v>
      </c>
      <c r="AL155">
        <v>-14.146138613861384</v>
      </c>
      <c r="AM155">
        <v>-13.477821782178216</v>
      </c>
      <c r="AN155">
        <v>-12.890780669144981</v>
      </c>
      <c r="AO155">
        <v>-12.493382899628253</v>
      </c>
      <c r="AP155">
        <v>-12.095985130111524</v>
      </c>
      <c r="AQ155">
        <v>-11.698587360594797</v>
      </c>
      <c r="AR155">
        <v>-11.301189591078067</v>
      </c>
      <c r="AS155">
        <v>-10.90379182156134</v>
      </c>
      <c r="AT155">
        <v>-10.506394052044612</v>
      </c>
      <c r="AU155">
        <v>-10.108996282527883</v>
      </c>
      <c r="AV155">
        <v>-9.7470940594059421</v>
      </c>
      <c r="AW155">
        <v>-9.5040247524752477</v>
      </c>
      <c r="AX155">
        <v>-9.264801980198019</v>
      </c>
      <c r="AY155">
        <v>-9.0400495049504954</v>
      </c>
      <c r="AZ155">
        <v>-8.8185891089108921</v>
      </c>
      <c r="BA155">
        <v>-8.6111633663366334</v>
      </c>
      <c r="BB155">
        <v>-8.4062623762376223</v>
      </c>
      <c r="BC155">
        <v>-8.2136881188118807</v>
      </c>
      <c r="BD155">
        <v>-8.024381188118813</v>
      </c>
      <c r="BE155">
        <v>-7.8535891089108922</v>
      </c>
      <c r="BF155">
        <v>-7.709440594059406</v>
      </c>
      <c r="BG155">
        <v>-7.7435990099009899</v>
      </c>
      <c r="BH155">
        <v>-7.7778855721393034</v>
      </c>
      <c r="BI155">
        <v>-7.8132089552238808</v>
      </c>
      <c r="BJ155">
        <v>-7.8484653465346534</v>
      </c>
      <c r="BK155">
        <v>-7.8831188118811877</v>
      </c>
      <c r="BL155">
        <v>-7.9176930693069307</v>
      </c>
      <c r="BM155">
        <v>-7.9513564356435644</v>
      </c>
      <c r="BN155">
        <v>-7.9850198019801981</v>
      </c>
      <c r="BO155">
        <v>-8.0186831683168318</v>
      </c>
      <c r="BP155">
        <v>-8.0523465346534646</v>
      </c>
      <c r="BQ155">
        <v>-8.0860099009900992</v>
      </c>
      <c r="BR155">
        <v>-8.119673267326732</v>
      </c>
      <c r="BS155">
        <v>-8.1533366336633666</v>
      </c>
      <c r="BT155">
        <v>-8.1869999999999994</v>
      </c>
    </row>
    <row r="156" spans="1:72" ht="21.75" outlineLevel="1" thickBot="1" x14ac:dyDescent="0.4">
      <c r="A156" s="32" t="s">
        <v>6</v>
      </c>
      <c r="B156" s="64">
        <v>-15.74841584158416</v>
      </c>
      <c r="C156" s="64">
        <v>-15.223663366336634</v>
      </c>
      <c r="D156">
        <v>-14.624900990099009</v>
      </c>
      <c r="E156">
        <v>-13.98628712871287</v>
      </c>
      <c r="F156">
        <v>-13.307128712871286</v>
      </c>
      <c r="G156">
        <v>-12.604158415841583</v>
      </c>
      <c r="H156">
        <v>-11.964830445544553</v>
      </c>
      <c r="I156">
        <v>-11.366191831683167</v>
      </c>
      <c r="J156">
        <v>-10.767553217821781</v>
      </c>
      <c r="K156">
        <v>-10.168914603960395</v>
      </c>
      <c r="L156">
        <v>-9.5702759900990095</v>
      </c>
      <c r="M156">
        <v>-8.9716373762376236</v>
      </c>
      <c r="N156">
        <v>-8.3729987623762376</v>
      </c>
      <c r="O156">
        <v>-7.7743601485148508</v>
      </c>
      <c r="P156">
        <v>-7.3038267326732669</v>
      </c>
      <c r="Q156">
        <v>-6.9468960396039598</v>
      </c>
      <c r="R156">
        <v>-6.6525792079207919</v>
      </c>
      <c r="S156">
        <v>-6.4184207920792087</v>
      </c>
      <c r="T156">
        <v>-6.2336666666666671</v>
      </c>
      <c r="U156">
        <v>-6.1003333333333334</v>
      </c>
      <c r="V156">
        <v>-6.0024851485148512</v>
      </c>
      <c r="W156">
        <v>-5.9430792079207917</v>
      </c>
      <c r="X156">
        <v>-5.903485148514851</v>
      </c>
      <c r="Y156">
        <v>-5.8871485148514848</v>
      </c>
      <c r="Z156">
        <v>-5.8806138613861387</v>
      </c>
      <c r="AA156">
        <v>-5.8865544554455447</v>
      </c>
      <c r="AB156">
        <v>-5.8968613861386139</v>
      </c>
      <c r="AC156">
        <v>-5.91319801980198</v>
      </c>
      <c r="AD156">
        <v>-5.9313168316831684</v>
      </c>
      <c r="AE156">
        <v>-5.9521089108910887</v>
      </c>
      <c r="AF156">
        <v>-5.9736534653465343</v>
      </c>
      <c r="AG156">
        <v>-5.9964257425742575</v>
      </c>
      <c r="AH156">
        <v>-6.0197326732673266</v>
      </c>
      <c r="AI156">
        <v>-6.0439900990099007</v>
      </c>
      <c r="AJ156">
        <v>-6.0689207920792079</v>
      </c>
      <c r="AK156">
        <v>-6.0951584158415848</v>
      </c>
      <c r="AL156">
        <v>-6.1228217821782183</v>
      </c>
      <c r="AM156">
        <v>-6.1535148514851485</v>
      </c>
      <c r="AN156">
        <v>-6.1868587360594791</v>
      </c>
      <c r="AO156">
        <v>-6.2263878562577446</v>
      </c>
      <c r="AP156">
        <v>-6.2659169764560101</v>
      </c>
      <c r="AQ156">
        <v>-6.3054460966542747</v>
      </c>
      <c r="AR156">
        <v>-6.3449752168525402</v>
      </c>
      <c r="AS156">
        <v>-6.3845043370508048</v>
      </c>
      <c r="AT156">
        <v>-6.4240334572490703</v>
      </c>
      <c r="AU156">
        <v>-6.4635625774473358</v>
      </c>
      <c r="AV156">
        <v>-6.5003762376237617</v>
      </c>
      <c r="AW156">
        <v>-6.5280990099009895</v>
      </c>
      <c r="AX156">
        <v>-6.5558217821782181</v>
      </c>
      <c r="AY156">
        <v>-6.583544554455445</v>
      </c>
      <c r="AZ156">
        <v>-6.6111732673267323</v>
      </c>
      <c r="BA156">
        <v>-6.6384009900990097</v>
      </c>
      <c r="BB156">
        <v>-6.6657970297029703</v>
      </c>
      <c r="BC156">
        <v>-6.6940148514851483</v>
      </c>
      <c r="BD156">
        <v>-6.7220841584158419</v>
      </c>
      <c r="BE156">
        <v>-6.7493118811881185</v>
      </c>
      <c r="BF156">
        <v>-6.7756386138613856</v>
      </c>
      <c r="BG156">
        <v>-6.7959356435643565</v>
      </c>
      <c r="BH156">
        <v>-6.8161890547263679</v>
      </c>
      <c r="BI156">
        <v>-6.8360895522388061</v>
      </c>
      <c r="BJ156">
        <v>-6.8559801980198021</v>
      </c>
      <c r="BK156">
        <v>-6.8757821782178219</v>
      </c>
      <c r="BL156">
        <v>-6.8956831683168316</v>
      </c>
      <c r="BM156">
        <v>-6.916722772277228</v>
      </c>
      <c r="BN156">
        <v>-6.9377623762376235</v>
      </c>
      <c r="BO156">
        <v>-6.9588019801980199</v>
      </c>
      <c r="BP156">
        <v>-6.9798415841584163</v>
      </c>
      <c r="BQ156">
        <v>-7.0008811881188118</v>
      </c>
      <c r="BR156">
        <v>-7.0219207920792082</v>
      </c>
      <c r="BS156">
        <v>-7.0429603960396037</v>
      </c>
      <c r="BT156">
        <v>-7.0640000000000001</v>
      </c>
    </row>
    <row r="157" spans="1:72" ht="21.75" outlineLevel="1" thickBot="1" x14ac:dyDescent="0.4">
      <c r="A157" s="32" t="s">
        <v>7</v>
      </c>
      <c r="B157" s="64">
        <v>-22.061336633663366</v>
      </c>
      <c r="C157" s="64">
        <v>-21.660346534653463</v>
      </c>
      <c r="D157">
        <v>-21.400940594059406</v>
      </c>
      <c r="E157">
        <v>-21.21777227722772</v>
      </c>
      <c r="F157">
        <v>-21.143762376237621</v>
      </c>
      <c r="G157">
        <v>-21.133861386138612</v>
      </c>
      <c r="H157">
        <v>-21.197190594059407</v>
      </c>
      <c r="I157">
        <v>-21.307339108910892</v>
      </c>
      <c r="J157">
        <v>-21.417487623762376</v>
      </c>
      <c r="K157">
        <v>-21.527636138613861</v>
      </c>
      <c r="L157">
        <v>-21.637784653465346</v>
      </c>
      <c r="M157">
        <v>-21.74793316831683</v>
      </c>
      <c r="N157">
        <v>-21.858081683168315</v>
      </c>
      <c r="O157">
        <v>-21.968230198019803</v>
      </c>
      <c r="P157">
        <v>-22.069851485148515</v>
      </c>
      <c r="Q157">
        <v>-22.16391089108911</v>
      </c>
      <c r="R157">
        <v>-22.252920792079209</v>
      </c>
      <c r="S157">
        <v>-22.337079207920791</v>
      </c>
      <c r="T157">
        <v>-22.42875621890547</v>
      </c>
      <c r="U157">
        <v>-22.52825870646766</v>
      </c>
      <c r="V157">
        <v>-22.634653465346535</v>
      </c>
      <c r="W157">
        <v>-22.748514851485147</v>
      </c>
      <c r="X157">
        <v>-22.87148514851485</v>
      </c>
      <c r="Y157">
        <v>-23.005148514851484</v>
      </c>
      <c r="Z157">
        <v>-23.140990099009901</v>
      </c>
      <c r="AA157">
        <v>-23.279603960396038</v>
      </c>
      <c r="AB157">
        <v>-23.420297029702969</v>
      </c>
      <c r="AC157">
        <v>-23.563861386138612</v>
      </c>
      <c r="AD157">
        <v>-23.707425742574255</v>
      </c>
      <c r="AE157">
        <v>-23.850990099009902</v>
      </c>
      <c r="AF157">
        <v>-23.992673267326733</v>
      </c>
      <c r="AG157">
        <v>-24.13128712871287</v>
      </c>
      <c r="AH157">
        <v>-24.27168316831683</v>
      </c>
      <c r="AI157">
        <v>-24.415247524752477</v>
      </c>
      <c r="AJ157">
        <v>-24.55712871287129</v>
      </c>
      <c r="AK157">
        <v>-24.695742574257427</v>
      </c>
      <c r="AL157">
        <v>-24.832772277227722</v>
      </c>
      <c r="AM157">
        <v>-24.966435643564356</v>
      </c>
      <c r="AN157">
        <v>-25.098661710037174</v>
      </c>
      <c r="AO157">
        <v>-25.227534076827755</v>
      </c>
      <c r="AP157">
        <v>-25.35640644361834</v>
      </c>
      <c r="AQ157">
        <v>-25.485278810408921</v>
      </c>
      <c r="AR157">
        <v>-25.614151177199503</v>
      </c>
      <c r="AS157">
        <v>-25.743023543990088</v>
      </c>
      <c r="AT157">
        <v>-25.871895910780669</v>
      </c>
      <c r="AU157">
        <v>-26.000768277571254</v>
      </c>
      <c r="AV157">
        <v>-26.129603960396039</v>
      </c>
      <c r="AW157">
        <v>-26.258316831683167</v>
      </c>
      <c r="AX157">
        <v>-26.388069306930692</v>
      </c>
      <c r="AY157">
        <v>-26.521732673267326</v>
      </c>
      <c r="AZ157">
        <v>-26.654455445544553</v>
      </c>
      <c r="BA157">
        <v>-26.783168316831684</v>
      </c>
      <c r="BB157">
        <v>-26.911881188118812</v>
      </c>
      <c r="BC157">
        <v>-27.04059405940594</v>
      </c>
      <c r="BD157">
        <v>-27.168564356435642</v>
      </c>
      <c r="BE157">
        <v>-27.292326732673267</v>
      </c>
      <c r="BF157">
        <v>-27.413514851485147</v>
      </c>
      <c r="BG157">
        <v>-27.51747524752475</v>
      </c>
      <c r="BH157">
        <v>-27.622587064676615</v>
      </c>
      <c r="BI157">
        <v>-27.737014925373135</v>
      </c>
      <c r="BJ157">
        <v>-27.85188118811881</v>
      </c>
      <c r="BK157">
        <v>-27.970693069306929</v>
      </c>
      <c r="BL157">
        <v>-28.089306930693066</v>
      </c>
      <c r="BM157">
        <v>-28.205643564356432</v>
      </c>
      <c r="BN157">
        <v>-28.321980198019801</v>
      </c>
      <c r="BO157">
        <v>-28.438316831683167</v>
      </c>
      <c r="BP157">
        <v>-28.554653465346533</v>
      </c>
      <c r="BQ157">
        <v>-28.670990099009899</v>
      </c>
      <c r="BR157">
        <v>-28.787326732673268</v>
      </c>
      <c r="BS157">
        <v>-28.903663366336634</v>
      </c>
      <c r="BT157">
        <v>-29.02</v>
      </c>
    </row>
    <row r="158" spans="1:72" ht="21.75" outlineLevel="1" thickBot="1" x14ac:dyDescent="0.4">
      <c r="A158" s="32"/>
    </row>
    <row r="159" spans="1:72" ht="21.75" outlineLevel="1" thickBot="1" x14ac:dyDescent="0.4">
      <c r="A159" s="32"/>
    </row>
    <row r="160" spans="1:72" ht="21.75" outlineLevel="1" thickBot="1" x14ac:dyDescent="0.4">
      <c r="A160" s="32"/>
    </row>
    <row r="161" spans="1:72" ht="21.75" outlineLevel="1" thickBot="1" x14ac:dyDescent="0.4">
      <c r="A161" s="32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72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E27" sqref="E27"/>
    </sheetView>
  </sheetViews>
  <sheetFormatPr defaultRowHeight="21" x14ac:dyDescent="0.35"/>
  <cols>
    <col min="1" max="1" width="4.81640625" customWidth="1"/>
  </cols>
  <sheetData>
    <row r="1" spans="1:12" ht="28.5" x14ac:dyDescent="0.45">
      <c r="A1" s="71">
        <v>0</v>
      </c>
      <c r="C1">
        <v>273.10000000000002</v>
      </c>
      <c r="D1" s="85">
        <v>353.9</v>
      </c>
      <c r="E1" s="85">
        <v>434.7</v>
      </c>
      <c r="F1" s="85">
        <v>515.4</v>
      </c>
      <c r="G1" s="85">
        <v>596.20000000000005</v>
      </c>
      <c r="H1" s="85">
        <v>677</v>
      </c>
      <c r="I1" s="85">
        <v>757.7</v>
      </c>
      <c r="J1" s="85">
        <v>838.5</v>
      </c>
      <c r="K1" s="85">
        <v>919.2</v>
      </c>
      <c r="L1" s="85">
        <v>1000</v>
      </c>
    </row>
    <row r="2" spans="1:12" ht="21.75" customHeight="1" x14ac:dyDescent="0.35">
      <c r="A2" s="72" t="s">
        <v>39</v>
      </c>
      <c r="B2" s="145" t="s">
        <v>60</v>
      </c>
      <c r="C2" s="143">
        <v>2.2434000000000001E-8</v>
      </c>
      <c r="D2" s="143">
        <v>2.2944E-8</v>
      </c>
      <c r="E2" s="143">
        <v>1.9741999999999999E-8</v>
      </c>
      <c r="F2" s="143">
        <v>2.0131E-8</v>
      </c>
      <c r="G2" s="143">
        <v>2.2853E-8</v>
      </c>
      <c r="H2" s="143">
        <v>3.2886000000000001E-8</v>
      </c>
      <c r="I2" s="143">
        <v>3.1802000000000002E-8</v>
      </c>
      <c r="J2" s="143">
        <v>2.9719E-8</v>
      </c>
      <c r="K2" s="143">
        <v>2.0085999999999999E-8</v>
      </c>
      <c r="L2" s="143">
        <v>1.5793999999999999E-8</v>
      </c>
    </row>
    <row r="3" spans="1:12" x14ac:dyDescent="0.35">
      <c r="B3" s="144" t="s">
        <v>71</v>
      </c>
      <c r="C3" s="143">
        <v>2.7272000000000002E-25</v>
      </c>
      <c r="D3" s="143">
        <v>4.5515999999999997E-18</v>
      </c>
      <c r="E3" s="143">
        <v>1.1457000000000001E-13</v>
      </c>
      <c r="F3" s="144">
        <v>9.9512000000000005E-11</v>
      </c>
      <c r="G3" s="143">
        <v>1.2369E-8</v>
      </c>
      <c r="H3" s="144">
        <v>4.6673E-7</v>
      </c>
      <c r="I3" s="143">
        <v>7.8967000000000001E-6</v>
      </c>
      <c r="J3" s="143">
        <v>7.2719999999999995E-5</v>
      </c>
      <c r="K3" s="143">
        <v>4.1031999999999999E-4</v>
      </c>
      <c r="L3" s="143">
        <v>1.4090000000000001E-3</v>
      </c>
    </row>
    <row r="4" spans="1:12" x14ac:dyDescent="0.35">
      <c r="B4" s="145" t="s">
        <v>72</v>
      </c>
      <c r="C4" s="143">
        <v>2.8659000000000002E-23</v>
      </c>
      <c r="D4" s="143">
        <v>9.2949999999999999E-17</v>
      </c>
      <c r="E4" s="143">
        <v>7.6946999999999995E-13</v>
      </c>
      <c r="F4" s="143">
        <v>2.9715999999999999E-10</v>
      </c>
      <c r="G4" s="143">
        <v>1.9913999999999999E-8</v>
      </c>
      <c r="H4" s="143">
        <v>4.6399000000000001E-7</v>
      </c>
      <c r="I4" s="143">
        <v>5.3253999999999999E-6</v>
      </c>
      <c r="J4" s="143">
        <v>3.5135000000000002E-5</v>
      </c>
      <c r="K4" s="143">
        <v>1.4407999999999999E-4</v>
      </c>
      <c r="L4" s="143">
        <v>3.4330999999999999E-4</v>
      </c>
    </row>
    <row r="5" spans="1:12" x14ac:dyDescent="0.35">
      <c r="B5" s="144" t="s">
        <v>73</v>
      </c>
      <c r="C5" s="143">
        <v>8.2633999999999998E-20</v>
      </c>
      <c r="D5" s="143">
        <v>7.1755000000000006E-14</v>
      </c>
      <c r="E5" s="143">
        <v>2.4208999999999999E-10</v>
      </c>
      <c r="F5" s="144">
        <v>4.8461E-8</v>
      </c>
      <c r="G5" s="143">
        <v>1.9645999999999998E-6</v>
      </c>
      <c r="H5" s="144">
        <v>3.0911999999999998E-5</v>
      </c>
      <c r="I5" s="143">
        <v>2.5855000000000002E-4</v>
      </c>
      <c r="J5" s="143">
        <v>1.2959E-3</v>
      </c>
      <c r="K5" s="143">
        <v>4.0553999999999998E-3</v>
      </c>
      <c r="L5" s="143">
        <v>6.9873000000000001E-3</v>
      </c>
    </row>
    <row r="6" spans="1:12" x14ac:dyDescent="0.35">
      <c r="B6" s="145" t="s">
        <v>74</v>
      </c>
      <c r="C6" s="143">
        <v>3.1684999999999997E-17</v>
      </c>
      <c r="D6" s="143">
        <v>2.8145000000000002E-12</v>
      </c>
      <c r="E6" s="143">
        <v>2.1021E-9</v>
      </c>
      <c r="F6" s="143">
        <v>1.4306000000000001E-7</v>
      </c>
      <c r="G6" s="143">
        <v>2.576E-6</v>
      </c>
      <c r="H6" s="143">
        <v>2.1617E-5</v>
      </c>
      <c r="I6" s="143">
        <v>1.0938E-4</v>
      </c>
      <c r="J6" s="143">
        <v>3.5818999999999998E-4</v>
      </c>
      <c r="K6" s="143">
        <v>7.5535000000000001E-4</v>
      </c>
      <c r="L6" s="143">
        <v>8.4774000000000004E-4</v>
      </c>
    </row>
    <row r="7" spans="1:12" x14ac:dyDescent="0.35">
      <c r="B7" s="144" t="s">
        <v>59</v>
      </c>
      <c r="C7" s="143">
        <v>2.7152E-18</v>
      </c>
      <c r="D7" s="143">
        <v>4.5969000000000003E-13</v>
      </c>
      <c r="E7" s="143">
        <v>4.7612000000000001E-10</v>
      </c>
      <c r="F7" s="144">
        <v>3.8772999999999999E-8</v>
      </c>
      <c r="G7" s="143">
        <v>7.7553000000000001E-7</v>
      </c>
      <c r="H7" s="144">
        <v>6.9723000000000001E-6</v>
      </c>
      <c r="I7" s="143">
        <v>3.6933E-5</v>
      </c>
      <c r="J7" s="143">
        <v>1.2303999999999999E-4</v>
      </c>
      <c r="K7" s="143">
        <v>2.5179E-4</v>
      </c>
      <c r="L7" s="143">
        <v>2.4991E-4</v>
      </c>
    </row>
    <row r="8" spans="1:12" x14ac:dyDescent="0.35">
      <c r="B8" s="145" t="s">
        <v>75</v>
      </c>
      <c r="C8" s="143">
        <v>4.8741E-20</v>
      </c>
      <c r="D8" s="143">
        <v>1.3799E-14</v>
      </c>
      <c r="E8" s="143">
        <v>1.8275E-11</v>
      </c>
      <c r="F8" s="143">
        <v>1.6851999999999999E-9</v>
      </c>
      <c r="G8" s="143">
        <v>3.5975000000000003E-8</v>
      </c>
      <c r="H8" s="143">
        <v>3.3615E-7</v>
      </c>
      <c r="I8" s="143">
        <v>1.8204E-6</v>
      </c>
      <c r="J8" s="143">
        <v>6.0522999999999996E-6</v>
      </c>
      <c r="K8" s="143">
        <v>1.1833E-5</v>
      </c>
      <c r="L8" s="143">
        <v>1.025E-5</v>
      </c>
    </row>
    <row r="9" spans="1:12" x14ac:dyDescent="0.35">
      <c r="B9" s="145" t="s">
        <v>76</v>
      </c>
      <c r="C9" s="143">
        <v>3.8015999999999999E-20</v>
      </c>
      <c r="D9" s="143">
        <v>3.2498000000000001E-14</v>
      </c>
      <c r="E9" s="143">
        <v>1.4395E-10</v>
      </c>
      <c r="F9" s="144">
        <v>4.0954999999999998E-8</v>
      </c>
      <c r="G9" s="143">
        <v>2.3640000000000002E-6</v>
      </c>
      <c r="H9" s="144">
        <v>5.1038000000000002E-5</v>
      </c>
      <c r="I9" s="143">
        <v>5.6714000000000005E-4</v>
      </c>
      <c r="J9" s="143">
        <v>3.8249999999999998E-3</v>
      </c>
      <c r="K9" s="143">
        <v>1.7559000000000002E-2</v>
      </c>
      <c r="L9" s="143">
        <v>5.6219999999999999E-2</v>
      </c>
    </row>
    <row r="10" spans="1:12" x14ac:dyDescent="0.35">
      <c r="B10" s="144" t="s">
        <v>2</v>
      </c>
      <c r="C10" s="143">
        <v>0</v>
      </c>
      <c r="D10" s="143">
        <v>1.7529999999999999E-29</v>
      </c>
      <c r="E10" s="143">
        <v>4.0370000000000001E-23</v>
      </c>
      <c r="F10" s="143">
        <v>8.9280999999999991E-19</v>
      </c>
      <c r="G10" s="143">
        <v>1.2809E-15</v>
      </c>
      <c r="H10" s="143">
        <v>3.2693E-13</v>
      </c>
      <c r="I10" s="143">
        <v>2.5864999999999999E-11</v>
      </c>
      <c r="J10" s="143">
        <v>8.7663E-10</v>
      </c>
      <c r="K10" s="143">
        <v>1.6053999999999999E-8</v>
      </c>
      <c r="L10" s="143">
        <v>1.822E-7</v>
      </c>
    </row>
    <row r="11" spans="1:12" x14ac:dyDescent="0.35">
      <c r="B11" s="145" t="s">
        <v>70</v>
      </c>
      <c r="C11" s="143">
        <v>2.0007000000000001E-11</v>
      </c>
      <c r="D11" s="143">
        <v>6.6300000000000005E-8</v>
      </c>
      <c r="E11" s="143">
        <v>8.8271000000000006E-6</v>
      </c>
      <c r="F11" s="144">
        <v>2.2261000000000001E-4</v>
      </c>
      <c r="G11" s="143">
        <v>2.0268999999999999E-3</v>
      </c>
      <c r="H11" s="144">
        <v>8.2603999999999993E-3</v>
      </c>
      <c r="I11" s="143">
        <v>1.7273E-2</v>
      </c>
      <c r="J11" s="143">
        <v>2.4695000000000002E-2</v>
      </c>
      <c r="K11" s="143">
        <v>2.9939E-2</v>
      </c>
      <c r="L11" s="143">
        <v>3.3692E-2</v>
      </c>
    </row>
    <row r="12" spans="1:12" x14ac:dyDescent="0.35">
      <c r="B12" s="144" t="s">
        <v>1</v>
      </c>
      <c r="C12" s="143">
        <v>0.2</v>
      </c>
      <c r="D12" s="143">
        <v>0.2</v>
      </c>
      <c r="E12" s="143">
        <v>0.2</v>
      </c>
      <c r="F12" s="143">
        <v>0.2</v>
      </c>
      <c r="G12" s="143">
        <v>0.2</v>
      </c>
      <c r="H12" s="143">
        <v>0.2</v>
      </c>
      <c r="I12" s="143">
        <v>0.2</v>
      </c>
      <c r="J12" s="143">
        <v>0.2</v>
      </c>
      <c r="K12" s="143">
        <v>0.2</v>
      </c>
      <c r="L12" s="143">
        <v>0.2</v>
      </c>
    </row>
    <row r="13" spans="1:12" x14ac:dyDescent="0.35">
      <c r="B13" s="145" t="s">
        <v>47</v>
      </c>
      <c r="C13" s="143">
        <v>0.08</v>
      </c>
      <c r="D13" s="143">
        <v>0.08</v>
      </c>
      <c r="E13" s="143">
        <v>7.9981999999999998E-2</v>
      </c>
      <c r="F13" s="144">
        <v>7.9555000000000001E-2</v>
      </c>
      <c r="G13" s="143">
        <v>7.5946E-2</v>
      </c>
      <c r="H13" s="144">
        <v>6.3478999999999994E-2</v>
      </c>
      <c r="I13" s="143">
        <v>4.5453E-2</v>
      </c>
      <c r="J13" s="143">
        <v>3.0609000000000001E-2</v>
      </c>
      <c r="K13" s="143">
        <v>2.0122000000000001E-2</v>
      </c>
      <c r="L13" s="143">
        <v>1.2617E-2</v>
      </c>
    </row>
    <row r="14" spans="1:12" x14ac:dyDescent="0.35">
      <c r="B14" s="144" t="s">
        <v>58</v>
      </c>
      <c r="C14" s="143">
        <v>0.24</v>
      </c>
      <c r="D14" s="143">
        <v>0.24</v>
      </c>
      <c r="E14" s="143">
        <v>0.24</v>
      </c>
      <c r="F14" s="143">
        <v>0.24</v>
      </c>
      <c r="G14" s="143">
        <v>0.24</v>
      </c>
      <c r="H14" s="143">
        <v>0.24</v>
      </c>
      <c r="I14" s="143">
        <v>0.24</v>
      </c>
      <c r="J14" s="143">
        <v>0.24</v>
      </c>
      <c r="K14" s="143">
        <v>0.24</v>
      </c>
      <c r="L14" s="143">
        <v>0.24</v>
      </c>
    </row>
    <row r="15" spans="1:12" x14ac:dyDescent="0.35">
      <c r="B15" s="145" t="s">
        <v>57</v>
      </c>
      <c r="C15" s="143">
        <v>0.48</v>
      </c>
      <c r="D15" s="143">
        <v>0.48</v>
      </c>
      <c r="E15" s="143">
        <v>0.47999000000000003</v>
      </c>
      <c r="F15" s="144">
        <v>0.47977999999999998</v>
      </c>
      <c r="G15" s="143">
        <v>0.47793999999999998</v>
      </c>
      <c r="H15" s="144">
        <v>0.4713</v>
      </c>
      <c r="I15" s="143">
        <v>0.45933000000000002</v>
      </c>
      <c r="J15" s="143">
        <v>0.43775999999999998</v>
      </c>
      <c r="K15" s="143">
        <v>0.38646999999999998</v>
      </c>
      <c r="L15" s="143">
        <v>0.28641</v>
      </c>
    </row>
    <row r="16" spans="1:12" x14ac:dyDescent="0.35">
      <c r="B16" s="145" t="s">
        <v>36</v>
      </c>
      <c r="C16" s="143">
        <v>-18.62</v>
      </c>
      <c r="D16" s="143">
        <v>-18.649999999999999</v>
      </c>
      <c r="E16" s="143">
        <v>-18.77</v>
      </c>
      <c r="F16" s="143">
        <v>-18.93</v>
      </c>
      <c r="G16" s="143">
        <v>-19.100000000000001</v>
      </c>
      <c r="H16" s="143">
        <v>-19.3</v>
      </c>
      <c r="I16" s="143">
        <v>-19.510000000000002</v>
      </c>
      <c r="J16" s="143">
        <v>-19.73</v>
      </c>
      <c r="K16" s="143">
        <v>-19.97</v>
      </c>
      <c r="L16" s="143">
        <v>-20.29</v>
      </c>
    </row>
    <row r="17" spans="1:12" x14ac:dyDescent="0.35">
      <c r="B17" s="144" t="s">
        <v>5</v>
      </c>
      <c r="C17" s="143">
        <v>-6.97</v>
      </c>
      <c r="D17" s="143">
        <v>-7.5640000000000001</v>
      </c>
      <c r="E17" s="143">
        <v>-8.0820000000000007</v>
      </c>
      <c r="F17" s="144">
        <v>-8.5380000000000003</v>
      </c>
      <c r="G17" s="143">
        <v>-8.9749999999999996</v>
      </c>
      <c r="H17" s="144">
        <v>-9.4849999999999994</v>
      </c>
      <c r="I17" s="143">
        <v>-10.1</v>
      </c>
      <c r="J17" s="143">
        <v>-10.74</v>
      </c>
      <c r="K17" s="143">
        <v>-11.33</v>
      </c>
      <c r="L17" s="143">
        <v>-11.86</v>
      </c>
    </row>
    <row r="18" spans="1:12" x14ac:dyDescent="0.35">
      <c r="B18" s="145" t="s">
        <v>6</v>
      </c>
      <c r="C18" s="143">
        <v>7.3579999999999997</v>
      </c>
      <c r="D18" s="143">
        <v>3.758</v>
      </c>
      <c r="E18" s="143">
        <v>1.355</v>
      </c>
      <c r="F18" s="143">
        <v>-0.39240000000000003</v>
      </c>
      <c r="G18" s="143">
        <v>-1.7310000000000001</v>
      </c>
      <c r="H18" s="143">
        <v>-2.7839999999999998</v>
      </c>
      <c r="I18" s="143">
        <v>-3.6349999999999998</v>
      </c>
      <c r="J18" s="143">
        <v>-4.3380000000000001</v>
      </c>
      <c r="K18" s="143">
        <v>-4.8959999999999999</v>
      </c>
      <c r="L18" s="143">
        <v>-5.2809999999999997</v>
      </c>
    </row>
    <row r="19" spans="1:12" x14ac:dyDescent="0.35">
      <c r="B19" s="145" t="s">
        <v>7</v>
      </c>
      <c r="C19" s="143">
        <v>-4.7</v>
      </c>
      <c r="D19" s="143">
        <v>-5.1369999999999996</v>
      </c>
      <c r="E19" s="143">
        <v>-5.6130000000000004</v>
      </c>
      <c r="F19" s="144">
        <v>-6.07</v>
      </c>
      <c r="G19" s="143">
        <v>-6.4909999999999997</v>
      </c>
      <c r="H19" s="144">
        <v>-6.8710000000000004</v>
      </c>
      <c r="I19" s="143">
        <v>-7.2160000000000002</v>
      </c>
      <c r="J19" s="143">
        <v>-7.5439999999999996</v>
      </c>
      <c r="K19" s="143">
        <v>-7.8849999999999998</v>
      </c>
      <c r="L19" s="143">
        <v>-8.2889999999999997</v>
      </c>
    </row>
    <row r="20" spans="1:12" x14ac:dyDescent="0.35">
      <c r="B20" s="145" t="s">
        <v>45</v>
      </c>
      <c r="C20" s="143">
        <v>0.2</v>
      </c>
      <c r="D20" s="143">
        <v>0.2</v>
      </c>
      <c r="E20" s="143">
        <v>0.20000999999999999</v>
      </c>
      <c r="F20" s="143">
        <v>0.20022000000000001</v>
      </c>
      <c r="G20" s="143">
        <v>0.20202999999999999</v>
      </c>
      <c r="H20" s="143">
        <v>0.20837</v>
      </c>
      <c r="I20" s="143">
        <v>0.21826000000000001</v>
      </c>
      <c r="J20" s="143">
        <v>0.23041</v>
      </c>
      <c r="K20" s="143">
        <v>0.25313000000000002</v>
      </c>
      <c r="L20" s="143">
        <v>0.29976000000000003</v>
      </c>
    </row>
    <row r="22" spans="1:12" x14ac:dyDescent="0.35">
      <c r="A22" t="e">
        <f>$A$1:$AZ$21</f>
        <v>#VALUE!</v>
      </c>
    </row>
  </sheetData>
  <conditionalFormatting sqref="A1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EAA1F-3596-462F-823C-556C3B73980A}">
  <sheetPr codeName="Лист3"/>
  <dimension ref="A1:AE30"/>
  <sheetViews>
    <sheetView workbookViewId="0">
      <selection activeCell="AE26" sqref="A1:AE26"/>
    </sheetView>
  </sheetViews>
  <sheetFormatPr defaultRowHeight="21" x14ac:dyDescent="0.35"/>
  <sheetData>
    <row r="1" spans="1:31" x14ac:dyDescent="0.35">
      <c r="A1" s="120" t="s">
        <v>68</v>
      </c>
      <c r="B1" s="121">
        <v>273.10000000000002</v>
      </c>
      <c r="C1" s="121">
        <v>293.3</v>
      </c>
      <c r="D1" s="121">
        <v>313.5</v>
      </c>
      <c r="E1" s="121">
        <v>333.7</v>
      </c>
      <c r="F1" s="121">
        <v>353.9</v>
      </c>
      <c r="G1" s="121">
        <v>434.7</v>
      </c>
      <c r="H1" s="121">
        <v>454.9</v>
      </c>
      <c r="I1" s="121">
        <v>475.1</v>
      </c>
      <c r="J1" s="121">
        <v>495.2</v>
      </c>
      <c r="K1" s="121">
        <v>515.4</v>
      </c>
      <c r="L1" s="121">
        <v>535.6</v>
      </c>
      <c r="M1" s="121">
        <v>555.79999999999995</v>
      </c>
      <c r="N1" s="122">
        <v>576</v>
      </c>
      <c r="O1" s="121">
        <v>596.20000000000005</v>
      </c>
      <c r="P1" s="121">
        <v>616.4</v>
      </c>
      <c r="Q1" s="121">
        <v>636.6</v>
      </c>
      <c r="R1" s="121">
        <v>656.8</v>
      </c>
      <c r="S1" s="122">
        <v>677</v>
      </c>
      <c r="T1" s="121">
        <v>757.7</v>
      </c>
      <c r="U1" s="121">
        <v>777.9</v>
      </c>
      <c r="V1" s="121">
        <v>798.1</v>
      </c>
      <c r="W1" s="121">
        <v>818.3</v>
      </c>
      <c r="X1" s="121">
        <v>838.5</v>
      </c>
      <c r="Y1" s="121">
        <v>858.7</v>
      </c>
      <c r="Z1" s="121">
        <v>878.9</v>
      </c>
      <c r="AA1" s="122">
        <v>899</v>
      </c>
      <c r="AB1" s="121">
        <v>919.2</v>
      </c>
      <c r="AC1" s="122">
        <v>899</v>
      </c>
      <c r="AD1" s="121">
        <v>919.2</v>
      </c>
      <c r="AE1" s="121">
        <v>1000</v>
      </c>
    </row>
    <row r="2" spans="1:31" x14ac:dyDescent="0.35">
      <c r="A2" s="123" t="s">
        <v>55</v>
      </c>
      <c r="B2" s="127">
        <v>6.1877999999999997E-9</v>
      </c>
      <c r="C2" s="128">
        <v>5.5165000000000001E-9</v>
      </c>
      <c r="D2" s="128">
        <v>7.4244000000000001E-9</v>
      </c>
      <c r="E2" s="127">
        <v>1.3577999999999999E-8</v>
      </c>
      <c r="F2" s="128">
        <v>2.9451E-8</v>
      </c>
      <c r="G2" s="127">
        <v>1.5819999999999999E-8</v>
      </c>
      <c r="H2" s="127">
        <v>2.8747E-9</v>
      </c>
      <c r="I2" s="128">
        <v>2.4480999999999999E-13</v>
      </c>
      <c r="J2" s="127">
        <v>9.9445000000000001E-21</v>
      </c>
      <c r="K2" s="129">
        <v>7.3141000000000006E-30</v>
      </c>
      <c r="L2" s="130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  <c r="W2" s="126">
        <v>0</v>
      </c>
      <c r="X2" s="126">
        <v>0</v>
      </c>
      <c r="Y2" s="126">
        <v>0</v>
      </c>
      <c r="Z2" s="126">
        <v>0</v>
      </c>
      <c r="AA2" s="126">
        <v>0</v>
      </c>
      <c r="AB2" s="126">
        <v>0</v>
      </c>
      <c r="AC2" s="126">
        <v>0</v>
      </c>
      <c r="AD2" s="126">
        <v>0</v>
      </c>
      <c r="AE2" s="126">
        <v>0</v>
      </c>
    </row>
    <row r="3" spans="1:31" x14ac:dyDescent="0.35">
      <c r="A3" s="120" t="s">
        <v>83</v>
      </c>
      <c r="B3" s="131">
        <v>0</v>
      </c>
      <c r="C3" s="132">
        <v>0</v>
      </c>
      <c r="D3" s="132">
        <v>0</v>
      </c>
      <c r="E3" s="131">
        <v>0</v>
      </c>
      <c r="F3" s="132">
        <v>0</v>
      </c>
      <c r="G3" s="131">
        <v>0</v>
      </c>
      <c r="H3" s="131">
        <v>0</v>
      </c>
      <c r="I3" s="132">
        <v>0</v>
      </c>
      <c r="J3" s="131">
        <v>0</v>
      </c>
      <c r="K3" s="131">
        <v>0</v>
      </c>
      <c r="L3" s="132">
        <v>0</v>
      </c>
      <c r="M3" s="131">
        <v>0</v>
      </c>
      <c r="N3" s="131">
        <v>0</v>
      </c>
      <c r="O3" s="132">
        <v>0</v>
      </c>
      <c r="P3" s="131">
        <v>0</v>
      </c>
      <c r="Q3" s="131">
        <v>0</v>
      </c>
      <c r="R3" s="132">
        <v>0</v>
      </c>
      <c r="S3" s="131">
        <v>0</v>
      </c>
      <c r="T3" s="131">
        <v>0</v>
      </c>
      <c r="U3" s="132">
        <v>1.1499999999999999E-31</v>
      </c>
      <c r="V3" s="131">
        <v>9.5558000000000007E-24</v>
      </c>
      <c r="W3" s="131">
        <v>1.4482E-16</v>
      </c>
      <c r="X3" s="132">
        <v>1.0933999999999999E-10</v>
      </c>
      <c r="Y3" s="131">
        <v>3.2417999999999998E-7</v>
      </c>
      <c r="Z3" s="131">
        <v>1.2376E-5</v>
      </c>
      <c r="AA3" s="132">
        <v>2.1126999999999999E-5</v>
      </c>
      <c r="AB3" s="131">
        <v>2.3708000000000001E-5</v>
      </c>
      <c r="AC3" s="133">
        <v>2.1126999999999999E-5</v>
      </c>
      <c r="AD3" s="134">
        <v>2.3708000000000001E-5</v>
      </c>
      <c r="AE3" s="133">
        <v>2.8283999999999999E-6</v>
      </c>
    </row>
    <row r="4" spans="1:31" x14ac:dyDescent="0.35">
      <c r="A4" s="120" t="s">
        <v>51</v>
      </c>
      <c r="B4" s="131">
        <v>0</v>
      </c>
      <c r="C4" s="132">
        <v>0</v>
      </c>
      <c r="D4" s="132">
        <v>9.5128000000000004E-28</v>
      </c>
      <c r="E4" s="133">
        <v>1.5372000000000001E-22</v>
      </c>
      <c r="F4" s="134">
        <v>1.1156E-19</v>
      </c>
      <c r="G4" s="133">
        <v>1.7943999999999999E-13</v>
      </c>
      <c r="H4" s="133">
        <v>4.2096999999999999E-10</v>
      </c>
      <c r="I4" s="134">
        <v>4.2095000000000004E-9</v>
      </c>
      <c r="J4" s="133">
        <v>7.7497000000000002E-9</v>
      </c>
      <c r="K4" s="133">
        <v>1.3306E-8</v>
      </c>
      <c r="L4" s="134">
        <v>1.2213999999999999E-8</v>
      </c>
      <c r="M4" s="133">
        <v>2.3015999999999999E-8</v>
      </c>
      <c r="N4" s="133">
        <v>1.5737999999999998E-8</v>
      </c>
      <c r="O4" s="134">
        <v>1.6776000000000001E-8</v>
      </c>
      <c r="P4" s="133">
        <v>1.7397E-8</v>
      </c>
      <c r="Q4" s="131">
        <v>1.768E-8</v>
      </c>
      <c r="R4" s="132">
        <v>1.8666E-8</v>
      </c>
      <c r="S4" s="131">
        <v>2.2871E-8</v>
      </c>
      <c r="T4" s="133">
        <v>2.7468000000000002E-8</v>
      </c>
      <c r="U4" s="134">
        <v>2.7864000000000001E-8</v>
      </c>
      <c r="V4" s="133">
        <v>2.7649999999999999E-8</v>
      </c>
      <c r="W4" s="131">
        <v>2.8200000000000001E-8</v>
      </c>
      <c r="X4" s="132">
        <v>6.5486999999999999E-9</v>
      </c>
      <c r="Y4" s="131">
        <v>6.0900999999999995E-32</v>
      </c>
      <c r="Z4" s="133">
        <v>4.7079000000000003E-30</v>
      </c>
      <c r="AA4" s="134">
        <v>8.2700999999999997E-29</v>
      </c>
      <c r="AB4" s="133">
        <v>4.4598999999999997E-28</v>
      </c>
      <c r="AC4" s="133">
        <v>8.2700999999999997E-29</v>
      </c>
      <c r="AD4" s="134">
        <v>4.4598999999999997E-28</v>
      </c>
      <c r="AE4" s="133">
        <v>2.2786000000000001E-23</v>
      </c>
    </row>
    <row r="5" spans="1:31" x14ac:dyDescent="0.35">
      <c r="A5" s="124" t="s">
        <v>50</v>
      </c>
      <c r="B5" s="133">
        <v>1.2300000000000001E-9</v>
      </c>
      <c r="C5" s="134">
        <v>4.5156E-11</v>
      </c>
      <c r="D5" s="134">
        <v>6.8465000000000003E-15</v>
      </c>
      <c r="E5" s="133">
        <v>3.7467999999999999E-23</v>
      </c>
      <c r="F5" s="134">
        <v>3.8006E-35</v>
      </c>
      <c r="G5" s="133">
        <v>0</v>
      </c>
      <c r="H5" s="133">
        <v>0</v>
      </c>
      <c r="I5" s="134">
        <v>0</v>
      </c>
      <c r="J5" s="133">
        <v>0</v>
      </c>
      <c r="K5" s="133">
        <v>0</v>
      </c>
      <c r="L5" s="134">
        <v>0</v>
      </c>
      <c r="M5" s="133">
        <v>0</v>
      </c>
      <c r="N5" s="133">
        <v>0</v>
      </c>
      <c r="O5" s="134">
        <v>0</v>
      </c>
      <c r="P5" s="133">
        <v>0</v>
      </c>
      <c r="Q5" s="133">
        <v>0</v>
      </c>
      <c r="R5" s="134">
        <v>0</v>
      </c>
      <c r="S5" s="133">
        <v>0</v>
      </c>
      <c r="T5" s="133">
        <v>0</v>
      </c>
      <c r="U5" s="134">
        <v>0</v>
      </c>
      <c r="V5" s="133">
        <v>0</v>
      </c>
      <c r="W5" s="133">
        <v>0</v>
      </c>
      <c r="X5" s="134">
        <v>0</v>
      </c>
      <c r="Y5" s="133">
        <v>0</v>
      </c>
      <c r="Z5" s="133">
        <v>0</v>
      </c>
      <c r="AA5" s="134">
        <v>0</v>
      </c>
      <c r="AB5" s="133">
        <v>0</v>
      </c>
      <c r="AC5" s="133">
        <v>0</v>
      </c>
      <c r="AD5" s="134">
        <v>0</v>
      </c>
      <c r="AE5" s="133">
        <v>0</v>
      </c>
    </row>
    <row r="6" spans="1:31" x14ac:dyDescent="0.35">
      <c r="A6" s="124" t="s">
        <v>49</v>
      </c>
      <c r="B6" s="133">
        <v>1.8093999999999999E-2</v>
      </c>
      <c r="C6" s="134">
        <v>1.7804E-2</v>
      </c>
      <c r="D6" s="134">
        <v>1.7049999999999999E-2</v>
      </c>
      <c r="E6" s="133">
        <v>1.5945000000000001E-2</v>
      </c>
      <c r="F6" s="134">
        <v>1.5049999999999999E-2</v>
      </c>
      <c r="G6" s="133">
        <v>1.3743999999999999E-2</v>
      </c>
      <c r="H6" s="133">
        <v>1.306E-2</v>
      </c>
      <c r="I6" s="134">
        <v>1.2156E-2</v>
      </c>
      <c r="J6" s="133">
        <v>1.1287E-2</v>
      </c>
      <c r="K6" s="133">
        <v>1.0671E-2</v>
      </c>
      <c r="L6" s="134">
        <v>1.0324E-2</v>
      </c>
      <c r="M6" s="133">
        <v>1.0154E-2</v>
      </c>
      <c r="N6" s="133">
        <v>1.0073E-2</v>
      </c>
      <c r="O6" s="134">
        <v>1.0034E-2</v>
      </c>
      <c r="P6" s="133">
        <v>1.0005999999999999E-2</v>
      </c>
      <c r="Q6" s="133">
        <v>9.9433999999999998E-3</v>
      </c>
      <c r="R6" s="134">
        <v>9.6798000000000006E-3</v>
      </c>
      <c r="S6" s="133">
        <v>8.6563000000000005E-3</v>
      </c>
      <c r="T6" s="133">
        <v>2.6289E-4</v>
      </c>
      <c r="U6" s="134">
        <v>7.4824000000000001E-5</v>
      </c>
      <c r="V6" s="133">
        <v>2.1580999999999999E-5</v>
      </c>
      <c r="W6" s="133">
        <v>6.3327999999999997E-6</v>
      </c>
      <c r="X6" s="134">
        <v>1.8872999999999999E-6</v>
      </c>
      <c r="Y6" s="133">
        <v>5.5927999999999996E-7</v>
      </c>
      <c r="Z6" s="133">
        <v>8.7534999999999996E-8</v>
      </c>
      <c r="AA6" s="134">
        <v>1.3694E-8</v>
      </c>
      <c r="AB6" s="133">
        <v>2.2223000000000001E-9</v>
      </c>
      <c r="AC6" s="133">
        <v>1.3694E-8</v>
      </c>
      <c r="AD6" s="134">
        <v>2.2223000000000001E-9</v>
      </c>
      <c r="AE6" s="133">
        <v>2.4674000000000002E-12</v>
      </c>
    </row>
    <row r="7" spans="1:31" x14ac:dyDescent="0.35">
      <c r="A7" s="120" t="s">
        <v>48</v>
      </c>
      <c r="B7" s="131">
        <v>0</v>
      </c>
      <c r="C7" s="132">
        <v>0</v>
      </c>
      <c r="D7" s="125">
        <v>0</v>
      </c>
      <c r="E7" s="131">
        <v>0</v>
      </c>
      <c r="F7" s="132">
        <v>0</v>
      </c>
      <c r="G7" s="121">
        <v>0</v>
      </c>
      <c r="H7" s="131">
        <v>1.7552999999999999E-34</v>
      </c>
      <c r="I7" s="132">
        <v>5.9637999999999997E-32</v>
      </c>
      <c r="J7" s="131">
        <v>1.3317E-29</v>
      </c>
      <c r="K7" s="133">
        <v>2.1693E-27</v>
      </c>
      <c r="L7" s="134">
        <v>2.6676999999999999E-25</v>
      </c>
      <c r="M7" s="133">
        <v>2.4886000000000001E-23</v>
      </c>
      <c r="N7" s="133">
        <v>1.7740000000000002E-21</v>
      </c>
      <c r="O7" s="134">
        <v>9.8104000000000004E-20</v>
      </c>
      <c r="P7" s="133">
        <v>4.2854000000000003E-18</v>
      </c>
      <c r="Q7" s="133">
        <v>1.5015000000000001E-16</v>
      </c>
      <c r="R7" s="134">
        <v>4.2180000000000003E-15</v>
      </c>
      <c r="S7" s="133">
        <v>8.9942999999999996E-14</v>
      </c>
      <c r="T7" s="131">
        <v>1.8166E-10</v>
      </c>
      <c r="U7" s="132">
        <v>6.1698999999999995E-10</v>
      </c>
      <c r="V7" s="131">
        <v>1.9062999999999999E-9</v>
      </c>
      <c r="W7" s="133">
        <v>5.4154999999999998E-9</v>
      </c>
      <c r="X7" s="134">
        <v>1.4215E-8</v>
      </c>
      <c r="Y7" s="133">
        <v>3.3835999999999999E-8</v>
      </c>
      <c r="Z7" s="133">
        <v>3.6131000000000001E-8</v>
      </c>
      <c r="AA7" s="134">
        <v>3.7158000000000001E-8</v>
      </c>
      <c r="AB7" s="133">
        <v>3.7517999999999999E-8</v>
      </c>
      <c r="AC7" s="133">
        <v>3.7158000000000001E-8</v>
      </c>
      <c r="AD7" s="134">
        <v>3.7517999999999999E-8</v>
      </c>
      <c r="AE7" s="133">
        <v>3.4862999999999999E-8</v>
      </c>
    </row>
    <row r="8" spans="1:31" x14ac:dyDescent="0.35">
      <c r="A8" s="120" t="s">
        <v>4</v>
      </c>
      <c r="B8" s="131">
        <v>0</v>
      </c>
      <c r="C8" s="132">
        <v>0</v>
      </c>
      <c r="D8" s="125">
        <v>0</v>
      </c>
      <c r="E8" s="131">
        <v>0</v>
      </c>
      <c r="F8" s="132">
        <v>0</v>
      </c>
      <c r="G8" s="121">
        <v>0</v>
      </c>
      <c r="H8" s="131">
        <v>0</v>
      </c>
      <c r="I8" s="132">
        <v>7.4216000000000001E-36</v>
      </c>
      <c r="J8" s="131">
        <v>1.2279E-33</v>
      </c>
      <c r="K8" s="133">
        <v>1.4772000000000001E-31</v>
      </c>
      <c r="L8" s="134">
        <v>1.3357000000000001E-29</v>
      </c>
      <c r="M8" s="133">
        <v>9.1925000000000003E-28</v>
      </c>
      <c r="N8" s="133">
        <v>4.8815000000000001E-26</v>
      </c>
      <c r="O8" s="134">
        <v>2.0363E-24</v>
      </c>
      <c r="P8" s="133">
        <v>6.8009999999999997E-23</v>
      </c>
      <c r="Q8" s="133">
        <v>1.8494000000000001E-21</v>
      </c>
      <c r="R8" s="134">
        <v>4.1246999999999999E-20</v>
      </c>
      <c r="S8" s="133">
        <v>7.3727999999999996E-19</v>
      </c>
      <c r="T8" s="133">
        <v>3.723E-15</v>
      </c>
      <c r="U8" s="134">
        <v>1.9612000000000001E-14</v>
      </c>
      <c r="V8" s="133">
        <v>9.3993000000000001E-14</v>
      </c>
      <c r="W8" s="133">
        <v>4.132E-13</v>
      </c>
      <c r="X8" s="134">
        <v>1.6752999999999999E-12</v>
      </c>
      <c r="Y8" s="133">
        <v>6.2173999999999997E-12</v>
      </c>
      <c r="Z8" s="131">
        <v>1.4609999999999999E-11</v>
      </c>
      <c r="AA8" s="132">
        <v>3.2901E-11</v>
      </c>
      <c r="AB8" s="131">
        <v>7.1446000000000001E-11</v>
      </c>
      <c r="AC8" s="131">
        <v>3.2901E-11</v>
      </c>
      <c r="AD8" s="132">
        <v>7.1446000000000001E-11</v>
      </c>
      <c r="AE8" s="131">
        <v>1.1532999999999999E-9</v>
      </c>
    </row>
    <row r="9" spans="1:31" x14ac:dyDescent="0.35">
      <c r="A9" s="120" t="s">
        <v>1</v>
      </c>
      <c r="B9" s="131">
        <v>0.2</v>
      </c>
      <c r="C9" s="132">
        <v>0.2</v>
      </c>
      <c r="D9" s="132">
        <v>0.2</v>
      </c>
      <c r="E9" s="131">
        <v>0.2</v>
      </c>
      <c r="F9" s="132">
        <v>0.2</v>
      </c>
      <c r="G9" s="131">
        <v>0.2</v>
      </c>
      <c r="H9" s="131">
        <v>0.2</v>
      </c>
      <c r="I9" s="132">
        <v>0.2</v>
      </c>
      <c r="J9" s="131">
        <v>0.2</v>
      </c>
      <c r="K9" s="131">
        <v>0.2</v>
      </c>
      <c r="L9" s="132">
        <v>0.2</v>
      </c>
      <c r="M9" s="131">
        <v>0.2</v>
      </c>
      <c r="N9" s="131">
        <v>0.2</v>
      </c>
      <c r="O9" s="132">
        <v>0.2</v>
      </c>
      <c r="P9" s="132">
        <v>0.2</v>
      </c>
      <c r="Q9" s="132">
        <v>0.2</v>
      </c>
      <c r="R9" s="132">
        <v>0.2</v>
      </c>
      <c r="S9" s="132">
        <v>0.2</v>
      </c>
      <c r="T9" s="132">
        <v>0.2</v>
      </c>
      <c r="U9" s="132">
        <v>0.2</v>
      </c>
      <c r="V9" s="132">
        <v>0.2</v>
      </c>
      <c r="W9" s="132">
        <v>0.2</v>
      </c>
      <c r="X9" s="132">
        <v>0.2</v>
      </c>
      <c r="Y9" s="132">
        <v>0.2</v>
      </c>
      <c r="Z9" s="132">
        <v>0.2</v>
      </c>
      <c r="AA9" s="132">
        <v>0.2</v>
      </c>
      <c r="AB9" s="132">
        <v>0.2</v>
      </c>
      <c r="AC9" s="132">
        <v>0.2</v>
      </c>
      <c r="AD9" s="132">
        <v>0.2</v>
      </c>
      <c r="AE9" s="132">
        <v>0.2</v>
      </c>
    </row>
    <row r="10" spans="1:31" x14ac:dyDescent="0.35">
      <c r="A10" s="120" t="s">
        <v>84</v>
      </c>
      <c r="B10" s="131">
        <v>0.11787</v>
      </c>
      <c r="C10" s="132">
        <v>0.11068</v>
      </c>
      <c r="D10" s="132">
        <v>9.0792999999999999E-2</v>
      </c>
      <c r="E10" s="133">
        <v>5.8309E-2</v>
      </c>
      <c r="F10" s="134">
        <v>2.8580999999999999E-2</v>
      </c>
      <c r="G10" s="133">
        <v>8.4281999999999998E-4</v>
      </c>
      <c r="H10" s="133">
        <v>3.6653E-4</v>
      </c>
      <c r="I10" s="134">
        <v>1.4880000000000001E-4</v>
      </c>
      <c r="J10" s="133">
        <v>5.2157000000000002E-5</v>
      </c>
      <c r="K10" s="133">
        <v>1.5631999999999999E-5</v>
      </c>
      <c r="L10" s="134">
        <v>4.2572999999999999E-6</v>
      </c>
      <c r="M10" s="133">
        <v>1.1320999999999999E-6</v>
      </c>
      <c r="N10" s="133">
        <v>3.0759999999999998E-7</v>
      </c>
      <c r="O10" s="134">
        <v>8.7147999999999994E-8</v>
      </c>
      <c r="P10" s="133">
        <v>2.5918999999999999E-8</v>
      </c>
      <c r="Q10" s="133">
        <v>8.1001000000000002E-9</v>
      </c>
      <c r="R10" s="134">
        <v>2.6604E-9</v>
      </c>
      <c r="S10" s="133">
        <v>9.2248999999999999E-10</v>
      </c>
      <c r="T10" s="133">
        <v>2.0673000000000001E-11</v>
      </c>
      <c r="U10" s="134">
        <v>8.4606999999999993E-12</v>
      </c>
      <c r="V10" s="133">
        <v>3.5548000000000002E-12</v>
      </c>
      <c r="W10" s="133">
        <v>1.5325E-12</v>
      </c>
      <c r="X10" s="134">
        <v>6.7700999999999996E-13</v>
      </c>
      <c r="Y10" s="133">
        <v>3.0721000000000001E-13</v>
      </c>
      <c r="Z10" s="133">
        <v>1.5357999999999999E-13</v>
      </c>
      <c r="AA10" s="134">
        <v>7.5448000000000003E-14</v>
      </c>
      <c r="AB10" s="133">
        <v>3.7177999999999999E-14</v>
      </c>
      <c r="AC10" s="133">
        <v>7.5448000000000003E-14</v>
      </c>
      <c r="AD10" s="134">
        <v>3.7177999999999999E-14</v>
      </c>
      <c r="AE10" s="133">
        <v>2.4715E-15</v>
      </c>
    </row>
    <row r="11" spans="1:31" x14ac:dyDescent="0.35">
      <c r="A11" s="124" t="s">
        <v>85</v>
      </c>
      <c r="B11" s="133">
        <v>0.12213</v>
      </c>
      <c r="C11" s="134">
        <v>0.12931999999999999</v>
      </c>
      <c r="D11" s="134">
        <v>0.1492</v>
      </c>
      <c r="E11" s="131">
        <v>0.18165999999999999</v>
      </c>
      <c r="F11" s="132">
        <v>0.21128</v>
      </c>
      <c r="G11" s="131">
        <v>0.21623999999999999</v>
      </c>
      <c r="H11" s="131">
        <v>0.18673000000000001</v>
      </c>
      <c r="I11" s="132">
        <v>0.14158000000000001</v>
      </c>
      <c r="J11" s="131">
        <v>9.1116000000000003E-2</v>
      </c>
      <c r="K11" s="131">
        <v>5.0257000000000003E-2</v>
      </c>
      <c r="L11" s="132">
        <v>2.5132000000000002E-2</v>
      </c>
      <c r="M11" s="131">
        <v>1.2115000000000001E-2</v>
      </c>
      <c r="N11" s="131">
        <v>5.8520999999999998E-3</v>
      </c>
      <c r="O11" s="132">
        <v>2.8841000000000001E-3</v>
      </c>
      <c r="P11" s="131">
        <v>1.4599999999999999E-3</v>
      </c>
      <c r="Q11" s="133">
        <v>7.6039E-4</v>
      </c>
      <c r="R11" s="134">
        <v>4.0761999999999998E-4</v>
      </c>
      <c r="S11" s="133">
        <v>2.2541E-4</v>
      </c>
      <c r="T11" s="131">
        <v>2.7175E-5</v>
      </c>
      <c r="U11" s="132">
        <v>1.6592999999999999E-5</v>
      </c>
      <c r="V11" s="131">
        <v>1.0291E-5</v>
      </c>
      <c r="W11" s="131">
        <v>6.4810999999999997E-6</v>
      </c>
      <c r="X11" s="132">
        <v>4.1408000000000002E-6</v>
      </c>
      <c r="Y11" s="131">
        <v>2.6863999999999998E-6</v>
      </c>
      <c r="Z11" s="131">
        <v>1.8275000000000001E-6</v>
      </c>
      <c r="AA11" s="132">
        <v>1.2358000000000001E-6</v>
      </c>
      <c r="AB11" s="131">
        <v>8.3857000000000002E-7</v>
      </c>
      <c r="AC11" s="131">
        <v>1.2358000000000001E-6</v>
      </c>
      <c r="AD11" s="132">
        <v>8.3857000000000002E-7</v>
      </c>
      <c r="AE11" s="131">
        <v>1.9167E-7</v>
      </c>
    </row>
    <row r="12" spans="1:31" x14ac:dyDescent="0.35">
      <c r="A12" s="120" t="s">
        <v>86</v>
      </c>
      <c r="B12" s="131">
        <v>2.1905999999999998E-2</v>
      </c>
      <c r="C12" s="132">
        <v>2.2196E-2</v>
      </c>
      <c r="D12" s="132">
        <v>2.2950000000000002E-2</v>
      </c>
      <c r="E12" s="131">
        <v>2.4055E-2</v>
      </c>
      <c r="F12" s="132">
        <v>2.495E-2</v>
      </c>
      <c r="G12" s="131">
        <v>2.6256000000000002E-2</v>
      </c>
      <c r="H12" s="131">
        <v>2.6939999999999999E-2</v>
      </c>
      <c r="I12" s="132">
        <v>2.7844000000000001E-2</v>
      </c>
      <c r="J12" s="131">
        <v>2.8712999999999999E-2</v>
      </c>
      <c r="K12" s="131">
        <v>2.9329000000000001E-2</v>
      </c>
      <c r="L12" s="132">
        <v>2.9676000000000001E-2</v>
      </c>
      <c r="M12" s="131">
        <v>2.9846000000000001E-2</v>
      </c>
      <c r="N12" s="131">
        <v>2.9926000000000001E-2</v>
      </c>
      <c r="O12" s="132">
        <v>2.9959E-2</v>
      </c>
      <c r="P12" s="131">
        <v>2.9951999999999999E-2</v>
      </c>
      <c r="Q12" s="131">
        <v>2.9828E-2</v>
      </c>
      <c r="R12" s="132">
        <v>2.9187999999999999E-2</v>
      </c>
      <c r="S12" s="131">
        <v>2.6589999999999999E-2</v>
      </c>
      <c r="T12" s="131">
        <v>9.5122999999999996E-4</v>
      </c>
      <c r="U12" s="132">
        <v>2.7313000000000001E-4</v>
      </c>
      <c r="V12" s="131">
        <v>7.9382999999999995E-5</v>
      </c>
      <c r="W12" s="131">
        <v>2.3487999999999999E-5</v>
      </c>
      <c r="X12" s="132">
        <v>7.0636999999999998E-6</v>
      </c>
      <c r="Y12" s="131">
        <v>2.1115999999999998E-6</v>
      </c>
      <c r="Z12" s="131">
        <v>3.2650999999999998E-7</v>
      </c>
      <c r="AA12" s="132">
        <v>5.0575000000000001E-8</v>
      </c>
      <c r="AB12" s="131">
        <v>8.1415000000000005E-9</v>
      </c>
      <c r="AC12" s="131">
        <v>5.0575000000000001E-8</v>
      </c>
      <c r="AD12" s="132">
        <v>8.1415000000000005E-9</v>
      </c>
      <c r="AE12" s="131">
        <v>8.8611000000000007E-12</v>
      </c>
    </row>
    <row r="13" spans="1:31" x14ac:dyDescent="0.35">
      <c r="A13" s="120" t="s">
        <v>87</v>
      </c>
      <c r="B13" s="131">
        <v>1.4219000000000001E-28</v>
      </c>
      <c r="C13" s="132">
        <v>1.2244E-26</v>
      </c>
      <c r="D13" s="132">
        <v>9.3656999999999993E-25</v>
      </c>
      <c r="E13" s="131">
        <v>8.2229999999999995E-23</v>
      </c>
      <c r="F13" s="132">
        <v>7.5761000000000006E-21</v>
      </c>
      <c r="G13" s="131">
        <v>3.6578999999999997E-14</v>
      </c>
      <c r="H13" s="131">
        <v>7.0040000000000002E-13</v>
      </c>
      <c r="I13" s="132">
        <v>1.0294E-11</v>
      </c>
      <c r="J13" s="131">
        <v>1.2805000000000001E-10</v>
      </c>
      <c r="K13" s="131">
        <v>1.4134999999999999E-9</v>
      </c>
      <c r="L13" s="132">
        <v>1.3907E-8</v>
      </c>
      <c r="M13" s="131">
        <v>1.2118999999999999E-7</v>
      </c>
      <c r="N13" s="131">
        <v>9.3500000000000005E-7</v>
      </c>
      <c r="O13" s="132">
        <v>6.4214E-6</v>
      </c>
      <c r="P13" s="131">
        <v>3.9548999999999997E-5</v>
      </c>
      <c r="Q13" s="131">
        <v>2.1958000000000001E-4</v>
      </c>
      <c r="R13" s="132">
        <v>1.0908999999999999E-3</v>
      </c>
      <c r="S13" s="131">
        <v>4.5948999999999999E-3</v>
      </c>
      <c r="T13" s="131">
        <v>3.5118000000000003E-2</v>
      </c>
      <c r="U13" s="132">
        <v>3.4089000000000001E-2</v>
      </c>
      <c r="V13" s="131">
        <v>3.1904000000000002E-2</v>
      </c>
      <c r="W13" s="131">
        <v>2.9024000000000001E-2</v>
      </c>
      <c r="X13" s="132">
        <v>2.5696E-2</v>
      </c>
      <c r="Y13" s="131">
        <v>2.1628000000000001E-2</v>
      </c>
      <c r="Z13" s="131">
        <v>8.3616999999999997E-3</v>
      </c>
      <c r="AA13" s="132">
        <v>3.2523999999999999E-3</v>
      </c>
      <c r="AB13" s="131">
        <v>1.2936E-3</v>
      </c>
      <c r="AC13" s="131">
        <v>3.2523999999999999E-3</v>
      </c>
      <c r="AD13" s="132">
        <v>1.2936E-3</v>
      </c>
      <c r="AE13" s="131">
        <v>4.1288000000000002E-5</v>
      </c>
    </row>
    <row r="14" spans="1:31" x14ac:dyDescent="0.35">
      <c r="A14" s="124" t="s">
        <v>88</v>
      </c>
      <c r="B14" s="133">
        <v>4.5409000000000001E-7</v>
      </c>
      <c r="C14" s="134">
        <v>1.1596000000000001E-6</v>
      </c>
      <c r="D14" s="134">
        <v>3.6376000000000001E-6</v>
      </c>
      <c r="E14" s="133">
        <v>1.4951E-5</v>
      </c>
      <c r="F14" s="134">
        <v>6.8635999999999998E-5</v>
      </c>
      <c r="G14" s="133">
        <v>1.1455999999999999E-2</v>
      </c>
      <c r="H14" s="133">
        <v>2.6453999999999998E-2</v>
      </c>
      <c r="I14" s="134">
        <v>4.9137E-2</v>
      </c>
      <c r="J14" s="133">
        <v>7.4415999999999996E-2</v>
      </c>
      <c r="K14" s="133">
        <v>9.4864000000000004E-2</v>
      </c>
      <c r="L14" s="134">
        <v>0.10743</v>
      </c>
      <c r="M14" s="133">
        <v>0.11394</v>
      </c>
      <c r="N14" s="133">
        <v>0.11706999999999999</v>
      </c>
      <c r="O14" s="134">
        <v>0.11856</v>
      </c>
      <c r="P14" s="133">
        <v>0.11927</v>
      </c>
      <c r="Q14" s="133">
        <v>0.11962</v>
      </c>
      <c r="R14" s="134">
        <v>0.1198</v>
      </c>
      <c r="S14" s="133">
        <v>0.11989</v>
      </c>
      <c r="T14" s="133">
        <v>0.11999</v>
      </c>
      <c r="U14" s="134">
        <v>0.11999</v>
      </c>
      <c r="V14" s="133">
        <v>0.11999</v>
      </c>
      <c r="W14" s="131">
        <v>0.12</v>
      </c>
      <c r="X14" s="132">
        <v>0.12</v>
      </c>
      <c r="Y14" s="131">
        <v>0.11996999999999999</v>
      </c>
      <c r="Z14" s="133">
        <v>0.11926</v>
      </c>
      <c r="AA14" s="134">
        <v>0.11877</v>
      </c>
      <c r="AB14" s="133">
        <v>0.11837</v>
      </c>
      <c r="AC14" s="133">
        <v>0.11877</v>
      </c>
      <c r="AD14" s="134">
        <v>0.11837</v>
      </c>
      <c r="AE14" s="133">
        <v>0.11694</v>
      </c>
    </row>
    <row r="15" spans="1:31" x14ac:dyDescent="0.35">
      <c r="A15" s="124" t="s">
        <v>89</v>
      </c>
      <c r="B15" s="133">
        <v>3.6374999999999999E-28</v>
      </c>
      <c r="C15" s="134">
        <v>2.9487000000000001E-26</v>
      </c>
      <c r="D15" s="134">
        <v>2.0040999999999999E-24</v>
      </c>
      <c r="E15" s="133">
        <v>1.4044000000000001E-22</v>
      </c>
      <c r="F15" s="134">
        <v>9.4172000000000002E-21</v>
      </c>
      <c r="G15" s="133">
        <v>1.3252E-14</v>
      </c>
      <c r="H15" s="133">
        <v>2.1316999999999999E-13</v>
      </c>
      <c r="I15" s="134">
        <v>2.7485999999999998E-12</v>
      </c>
      <c r="J15" s="133">
        <v>3.0313999999999999E-11</v>
      </c>
      <c r="K15" s="133">
        <v>2.9357999999999998E-10</v>
      </c>
      <c r="L15" s="134">
        <v>2.5024E-9</v>
      </c>
      <c r="M15" s="133">
        <v>1.8787000000000001E-8</v>
      </c>
      <c r="N15" s="133">
        <v>1.2485999999999999E-7</v>
      </c>
      <c r="O15" s="134">
        <v>7.4010999999999997E-7</v>
      </c>
      <c r="P15" s="133">
        <v>3.9424999999999999E-6</v>
      </c>
      <c r="Q15" s="133">
        <v>1.8986000000000001E-5</v>
      </c>
      <c r="R15" s="134">
        <v>8.2616999999999999E-5</v>
      </c>
      <c r="S15" s="133">
        <v>3.1750000000000002E-4</v>
      </c>
      <c r="T15" s="133">
        <v>7.3359999999999996E-3</v>
      </c>
      <c r="U15" s="134">
        <v>1.1124999999999999E-2</v>
      </c>
      <c r="V15" s="133">
        <v>1.5989E-2</v>
      </c>
      <c r="W15" s="133">
        <v>2.1892999999999999E-2</v>
      </c>
      <c r="X15" s="134">
        <v>2.8590999999999998E-2</v>
      </c>
      <c r="Y15" s="133">
        <v>3.5165000000000002E-2</v>
      </c>
      <c r="Z15" s="133">
        <v>2.7507E-2</v>
      </c>
      <c r="AA15" s="134">
        <v>2.1121999999999998E-2</v>
      </c>
      <c r="AB15" s="133">
        <v>1.5965E-2</v>
      </c>
      <c r="AC15" s="133">
        <v>2.1121999999999998E-2</v>
      </c>
      <c r="AD15" s="134">
        <v>1.5965E-2</v>
      </c>
      <c r="AE15" s="133">
        <v>4.3797999999999997E-3</v>
      </c>
    </row>
    <row r="16" spans="1:31" x14ac:dyDescent="0.35">
      <c r="A16" s="124" t="s">
        <v>90</v>
      </c>
      <c r="B16" s="133">
        <v>2.5337E-9</v>
      </c>
      <c r="C16" s="134">
        <v>8.7521E-9</v>
      </c>
      <c r="D16" s="134">
        <v>2.1410000000000001E-8</v>
      </c>
      <c r="E16" s="133">
        <v>3.5043999999999999E-8</v>
      </c>
      <c r="F16" s="134">
        <v>4.0088000000000001E-8</v>
      </c>
      <c r="G16" s="133">
        <v>2.18E-8</v>
      </c>
      <c r="H16" s="133">
        <v>2.0435000000000001E-8</v>
      </c>
      <c r="I16" s="134">
        <v>1.9989999999999999E-8</v>
      </c>
      <c r="J16" s="133">
        <v>1.9168E-8</v>
      </c>
      <c r="K16" s="133">
        <v>1.8243E-8</v>
      </c>
      <c r="L16" s="134">
        <v>1.6292999999999999E-8</v>
      </c>
      <c r="M16" s="133">
        <v>1.3986E-8</v>
      </c>
      <c r="N16" s="133">
        <v>1.1771E-8</v>
      </c>
      <c r="O16" s="134">
        <v>9.8201E-9</v>
      </c>
      <c r="P16" s="133">
        <v>8.1651999999999999E-9</v>
      </c>
      <c r="Q16" s="133">
        <v>6.7876E-9</v>
      </c>
      <c r="R16" s="134">
        <v>5.6655000000000003E-9</v>
      </c>
      <c r="S16" s="133">
        <v>4.8032999999999997E-9</v>
      </c>
      <c r="T16" s="133">
        <v>2.7602E-9</v>
      </c>
      <c r="U16" s="134">
        <v>2.3245E-9</v>
      </c>
      <c r="V16" s="133">
        <v>1.9566E-9</v>
      </c>
      <c r="W16" s="133">
        <v>1.6493000000000001E-9</v>
      </c>
      <c r="X16" s="134">
        <v>1.3927E-9</v>
      </c>
      <c r="Y16" s="133">
        <v>1.179E-9</v>
      </c>
      <c r="Z16" s="133">
        <v>1.0190000000000001E-9</v>
      </c>
      <c r="AA16" s="134">
        <v>8.6608999999999995E-10</v>
      </c>
      <c r="AB16" s="133">
        <v>7.3197999999999999E-10</v>
      </c>
      <c r="AC16" s="133">
        <v>8.6608999999999995E-10</v>
      </c>
      <c r="AD16" s="134">
        <v>7.3197999999999999E-10</v>
      </c>
      <c r="AE16" s="133">
        <v>3.7200000000000001E-10</v>
      </c>
    </row>
    <row r="17" spans="1:31" x14ac:dyDescent="0.35">
      <c r="A17" s="120" t="s">
        <v>91</v>
      </c>
      <c r="B17" s="131">
        <v>5.8400000000000005E-10</v>
      </c>
      <c r="C17" s="132">
        <v>2.3464000000000001E-9</v>
      </c>
      <c r="D17" s="132">
        <v>6.5551000000000002E-9</v>
      </c>
      <c r="E17" s="131">
        <v>1.2069E-8</v>
      </c>
      <c r="F17" s="132">
        <v>1.5332000000000001E-8</v>
      </c>
      <c r="G17" s="131">
        <v>1.1541000000000001E-8</v>
      </c>
      <c r="H17" s="133">
        <v>1.153E-8</v>
      </c>
      <c r="I17" s="134">
        <v>1.1954000000000001E-8</v>
      </c>
      <c r="J17" s="133">
        <v>1.2058E-8</v>
      </c>
      <c r="K17" s="133">
        <v>1.1358999999999999E-8</v>
      </c>
      <c r="L17" s="134">
        <v>1.0034000000000001E-8</v>
      </c>
      <c r="M17" s="133">
        <v>8.5150000000000005E-9</v>
      </c>
      <c r="N17" s="133">
        <v>7.0818999999999997E-9</v>
      </c>
      <c r="O17" s="134">
        <v>5.8369999999999996E-9</v>
      </c>
      <c r="P17" s="133">
        <v>4.7939999999999998E-9</v>
      </c>
      <c r="Q17" s="131">
        <v>3.9361000000000001E-9</v>
      </c>
      <c r="R17" s="132">
        <v>3.2447999999999998E-9</v>
      </c>
      <c r="S17" s="131">
        <v>2.717E-9</v>
      </c>
      <c r="T17" s="131">
        <v>1.4865E-9</v>
      </c>
      <c r="U17" s="132">
        <v>1.2368999999999999E-9</v>
      </c>
      <c r="V17" s="131">
        <v>1.0288E-9</v>
      </c>
      <c r="W17" s="133">
        <v>8.5701000000000002E-10</v>
      </c>
      <c r="X17" s="134">
        <v>7.1524999999999999E-10</v>
      </c>
      <c r="Y17" s="133">
        <v>5.9853E-10</v>
      </c>
      <c r="Z17" s="131">
        <v>5.1136999999999996E-10</v>
      </c>
      <c r="AA17" s="132">
        <v>4.2971000000000001E-10</v>
      </c>
      <c r="AB17" s="131">
        <v>3.5909E-10</v>
      </c>
      <c r="AC17" s="131">
        <v>4.2971000000000001E-10</v>
      </c>
      <c r="AD17" s="132">
        <v>3.5909E-10</v>
      </c>
      <c r="AE17" s="131">
        <v>1.7455999999999999E-10</v>
      </c>
    </row>
    <row r="18" spans="1:31" x14ac:dyDescent="0.35">
      <c r="A18" s="120" t="s">
        <v>92</v>
      </c>
      <c r="B18" s="131">
        <v>2.1339000000000002E-3</v>
      </c>
      <c r="C18" s="132">
        <v>9.3252000000000005E-3</v>
      </c>
      <c r="D18" s="132">
        <v>2.9215000000000001E-2</v>
      </c>
      <c r="E18" s="131">
        <v>6.1720999999999998E-2</v>
      </c>
      <c r="F18" s="132">
        <v>9.1555999999999998E-2</v>
      </c>
      <c r="G18" s="131">
        <v>0.14207</v>
      </c>
      <c r="H18" s="131">
        <v>0.17254</v>
      </c>
      <c r="I18" s="132">
        <v>0.21812000000000001</v>
      </c>
      <c r="J18" s="131">
        <v>0.26878000000000002</v>
      </c>
      <c r="K18" s="131">
        <v>0.30970999999999999</v>
      </c>
      <c r="L18" s="132">
        <v>0.33485999999999999</v>
      </c>
      <c r="M18" s="131">
        <v>0.34788000000000002</v>
      </c>
      <c r="N18" s="131">
        <v>0.35415000000000002</v>
      </c>
      <c r="O18" s="132">
        <v>0.35713</v>
      </c>
      <c r="P18" s="131">
        <v>0.35861999999999999</v>
      </c>
      <c r="Q18" s="131">
        <v>0.35970999999999997</v>
      </c>
      <c r="R18" s="132">
        <v>0.3619</v>
      </c>
      <c r="S18" s="131">
        <v>0.36943999999999999</v>
      </c>
      <c r="T18" s="131">
        <v>0.44120999999999999</v>
      </c>
      <c r="U18" s="132">
        <v>0.44485000000000002</v>
      </c>
      <c r="V18" s="131">
        <v>0.44778000000000001</v>
      </c>
      <c r="W18" s="131">
        <v>0.45088</v>
      </c>
      <c r="X18" s="132">
        <v>0.45427000000000001</v>
      </c>
      <c r="Y18" s="131">
        <v>0.45835999999999999</v>
      </c>
      <c r="Z18" s="131">
        <v>0.47164</v>
      </c>
      <c r="AA18" s="132">
        <v>0.47675000000000001</v>
      </c>
      <c r="AB18" s="131">
        <v>0.47871000000000002</v>
      </c>
      <c r="AC18" s="131">
        <v>0.47675000000000001</v>
      </c>
      <c r="AD18" s="132">
        <v>0.47871000000000002</v>
      </c>
      <c r="AE18" s="131">
        <v>0.47996</v>
      </c>
    </row>
    <row r="19" spans="1:31" x14ac:dyDescent="0.35">
      <c r="A19" s="124" t="s">
        <v>93</v>
      </c>
      <c r="B19" s="133">
        <v>6.4788000000000002E-12</v>
      </c>
      <c r="C19" s="134">
        <v>3.6438999999999997E-11</v>
      </c>
      <c r="D19" s="134">
        <v>1.3745E-10</v>
      </c>
      <c r="E19" s="133">
        <v>3.3158000000000001E-10</v>
      </c>
      <c r="F19" s="134">
        <v>5.3816000000000003E-10</v>
      </c>
      <c r="G19" s="133">
        <v>8.9524999999999998E-10</v>
      </c>
      <c r="H19" s="133">
        <v>1.0527000000000001E-9</v>
      </c>
      <c r="I19" s="134">
        <v>1.2709E-9</v>
      </c>
      <c r="J19" s="133">
        <v>1.4783E-9</v>
      </c>
      <c r="K19" s="133">
        <v>1.5923E-9</v>
      </c>
      <c r="L19" s="134">
        <v>1.5959E-9</v>
      </c>
      <c r="M19" s="133">
        <v>1.5259000000000001E-9</v>
      </c>
      <c r="N19" s="133">
        <v>1.421E-9</v>
      </c>
      <c r="O19" s="134">
        <v>1.3038E-9</v>
      </c>
      <c r="P19" s="133">
        <v>1.1859E-9</v>
      </c>
      <c r="Q19" s="133">
        <v>1.0730999999999999E-9</v>
      </c>
      <c r="R19" s="134">
        <v>9.7069999999999997E-10</v>
      </c>
      <c r="S19" s="133">
        <v>8.8829000000000004E-10</v>
      </c>
      <c r="T19" s="133">
        <v>6.6946999999999996E-10</v>
      </c>
      <c r="U19" s="134">
        <v>5.9896999999999995E-10</v>
      </c>
      <c r="V19" s="133">
        <v>5.3429000000000002E-10</v>
      </c>
      <c r="W19" s="133">
        <v>4.7617000000000002E-10</v>
      </c>
      <c r="X19" s="134">
        <v>4.2419000000000001E-10</v>
      </c>
      <c r="Y19" s="133">
        <v>3.7808E-10</v>
      </c>
      <c r="Z19" s="133">
        <v>3.4335000000000001E-10</v>
      </c>
      <c r="AA19" s="134">
        <v>3.0610000000000001E-10</v>
      </c>
      <c r="AB19" s="133">
        <v>2.7088999999999998E-10</v>
      </c>
      <c r="AC19" s="133">
        <v>3.0610000000000001E-10</v>
      </c>
      <c r="AD19" s="134">
        <v>2.7088999999999998E-10</v>
      </c>
      <c r="AE19" s="133">
        <v>1.6297000000000001E-10</v>
      </c>
    </row>
    <row r="20" spans="1:31" x14ac:dyDescent="0.35">
      <c r="A20" s="137" t="s">
        <v>61</v>
      </c>
      <c r="B20" s="138">
        <v>4.5409000000000001E-7</v>
      </c>
      <c r="C20" s="139">
        <v>1.1596000000000001E-6</v>
      </c>
      <c r="D20" s="138">
        <v>3.6376000000000001E-6</v>
      </c>
      <c r="E20" s="138">
        <v>1.4951E-5</v>
      </c>
      <c r="F20" s="139">
        <v>6.8635999999999998E-5</v>
      </c>
      <c r="G20" s="138">
        <v>1.1455999999999999E-2</v>
      </c>
      <c r="H20" s="138">
        <v>2.6453999999999998E-2</v>
      </c>
      <c r="I20" s="139">
        <v>4.9137E-2</v>
      </c>
      <c r="J20" s="138">
        <v>7.4415999999999996E-2</v>
      </c>
      <c r="K20" s="138">
        <v>9.4864000000000004E-2</v>
      </c>
      <c r="L20" s="139">
        <v>0.10743</v>
      </c>
      <c r="M20" s="138">
        <v>0.11394</v>
      </c>
      <c r="N20" s="138">
        <v>0.11706999999999999</v>
      </c>
      <c r="O20" s="139">
        <v>0.11856</v>
      </c>
      <c r="P20" s="138">
        <v>0.11927</v>
      </c>
      <c r="Q20" s="138">
        <v>0.11962</v>
      </c>
      <c r="R20" s="139">
        <v>0.1198</v>
      </c>
      <c r="S20" s="138">
        <v>0.11989</v>
      </c>
      <c r="T20" s="138">
        <v>0.11999</v>
      </c>
      <c r="U20" s="139">
        <v>0.11999</v>
      </c>
      <c r="V20" s="138">
        <v>0.11999</v>
      </c>
      <c r="W20" s="140">
        <v>0.12</v>
      </c>
      <c r="X20" s="141">
        <v>0.12</v>
      </c>
      <c r="Y20" s="140">
        <v>0.11996999999999999</v>
      </c>
      <c r="Z20" s="138">
        <v>0.11926</v>
      </c>
      <c r="AA20" s="139">
        <v>0.11877</v>
      </c>
      <c r="AB20" s="138">
        <v>0.11837</v>
      </c>
      <c r="AC20" s="138">
        <v>0.11877</v>
      </c>
      <c r="AD20" s="139">
        <v>0.11837</v>
      </c>
      <c r="AE20" s="138">
        <v>0.11694</v>
      </c>
    </row>
    <row r="21" spans="1:31" x14ac:dyDescent="0.35">
      <c r="A21" s="135" t="s">
        <v>67</v>
      </c>
      <c r="B21" s="140">
        <v>0</v>
      </c>
      <c r="C21" s="141">
        <v>0</v>
      </c>
      <c r="D21" s="136">
        <v>0</v>
      </c>
      <c r="E21" s="140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38">
        <v>2.9604E-33</v>
      </c>
      <c r="U21" s="139">
        <v>3.7014000000000003E-26</v>
      </c>
      <c r="V21" s="138">
        <v>2.1821E-19</v>
      </c>
      <c r="W21" s="138">
        <v>3.8508999999999998E-13</v>
      </c>
      <c r="X21" s="139">
        <v>5.2928000000000003E-8</v>
      </c>
      <c r="Y21" s="138">
        <v>1.5735E-3</v>
      </c>
      <c r="Z21" s="138">
        <v>3.5756999999999997E-2</v>
      </c>
      <c r="AA21" s="139">
        <v>5.2352000000000003E-2</v>
      </c>
      <c r="AB21" s="138">
        <v>6.1423999999999999E-2</v>
      </c>
      <c r="AC21" s="138">
        <v>5.2352000000000003E-2</v>
      </c>
      <c r="AD21" s="139">
        <v>6.1423999999999999E-2</v>
      </c>
      <c r="AE21" s="138">
        <v>7.5535000000000005E-2</v>
      </c>
    </row>
    <row r="22" spans="1:31" x14ac:dyDescent="0.35">
      <c r="A22" s="135" t="s">
        <v>66</v>
      </c>
      <c r="B22" s="140">
        <v>0</v>
      </c>
      <c r="C22" s="141">
        <v>0</v>
      </c>
      <c r="D22" s="141">
        <v>0</v>
      </c>
      <c r="E22" s="140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38">
        <v>6.6405999999999999E-34</v>
      </c>
      <c r="U22" s="139">
        <v>5.4394E-27</v>
      </c>
      <c r="V22" s="138">
        <v>2.1702999999999999E-20</v>
      </c>
      <c r="W22" s="138">
        <v>2.6639000000000001E-14</v>
      </c>
      <c r="X22" s="139">
        <v>2.6133000000000001E-9</v>
      </c>
      <c r="Y22" s="138">
        <v>5.7606999999999999E-5</v>
      </c>
      <c r="Z22" s="138">
        <v>1.4848999999999999E-3</v>
      </c>
      <c r="AA22" s="139">
        <v>2.4618999999999999E-3</v>
      </c>
      <c r="AB22" s="138">
        <v>3.2528000000000001E-3</v>
      </c>
      <c r="AC22" s="138">
        <v>2.4618999999999999E-3</v>
      </c>
      <c r="AD22" s="139">
        <v>3.2528000000000001E-3</v>
      </c>
      <c r="AE22" s="138">
        <v>6.1139000000000002E-3</v>
      </c>
    </row>
    <row r="23" spans="1:31" x14ac:dyDescent="0.35">
      <c r="A23" s="137" t="s">
        <v>36</v>
      </c>
      <c r="B23" s="138">
        <v>-18.71</v>
      </c>
      <c r="C23" s="139">
        <v>-18.7</v>
      </c>
      <c r="D23" s="138">
        <v>-18.7</v>
      </c>
      <c r="E23" s="138">
        <v>-18.7</v>
      </c>
      <c r="F23" s="139">
        <v>-18.72</v>
      </c>
      <c r="G23" s="138">
        <v>-18.829999999999998</v>
      </c>
      <c r="H23" s="138">
        <v>-18.87</v>
      </c>
      <c r="I23" s="139">
        <v>-18.899999999999999</v>
      </c>
      <c r="J23" s="138">
        <v>-18.940000000000001</v>
      </c>
      <c r="K23" s="138">
        <v>-18.98</v>
      </c>
      <c r="L23" s="139">
        <v>-19.02</v>
      </c>
      <c r="M23" s="138">
        <v>-19.059999999999999</v>
      </c>
      <c r="N23" s="138">
        <v>-19.100000000000001</v>
      </c>
      <c r="O23" s="139">
        <v>-19.14</v>
      </c>
      <c r="P23" s="138">
        <v>-19.18</v>
      </c>
      <c r="Q23" s="138">
        <v>-19.23</v>
      </c>
      <c r="R23" s="139">
        <v>-19.27</v>
      </c>
      <c r="S23" s="138">
        <v>-19.3</v>
      </c>
      <c r="T23" s="138">
        <v>-19.43</v>
      </c>
      <c r="U23" s="139">
        <v>-19.47</v>
      </c>
      <c r="V23" s="138">
        <v>-19.510000000000002</v>
      </c>
      <c r="W23" s="138">
        <v>-19.55</v>
      </c>
      <c r="X23" s="139">
        <v>-19.59</v>
      </c>
      <c r="Y23" s="138">
        <v>-19.62</v>
      </c>
      <c r="Z23" s="138">
        <v>-19.66</v>
      </c>
      <c r="AA23" s="139">
        <v>-19.7</v>
      </c>
      <c r="AB23" s="138">
        <v>-19.739999999999998</v>
      </c>
      <c r="AC23" s="138">
        <v>-19.7</v>
      </c>
      <c r="AD23" s="139">
        <v>-19.739999999999998</v>
      </c>
      <c r="AE23" s="138">
        <v>-19.88</v>
      </c>
    </row>
    <row r="24" spans="1:31" x14ac:dyDescent="0.35">
      <c r="A24" s="137" t="s">
        <v>5</v>
      </c>
      <c r="B24" s="138">
        <v>-66.75</v>
      </c>
      <c r="C24" s="139">
        <v>-62.38</v>
      </c>
      <c r="D24" s="138">
        <v>-58.23</v>
      </c>
      <c r="E24" s="138">
        <v>-54.11</v>
      </c>
      <c r="F24" s="139">
        <v>-50.02</v>
      </c>
      <c r="G24" s="138">
        <v>-36.159999999999997</v>
      </c>
      <c r="H24" s="138">
        <v>-33.5</v>
      </c>
      <c r="I24" s="139">
        <v>-31.09</v>
      </c>
      <c r="J24" s="138">
        <v>-28.84</v>
      </c>
      <c r="K24" s="138">
        <v>-26.68</v>
      </c>
      <c r="L24" s="139">
        <v>-24.62</v>
      </c>
      <c r="M24" s="138">
        <v>-22.66</v>
      </c>
      <c r="N24" s="138">
        <v>-20.81</v>
      </c>
      <c r="O24" s="139">
        <v>-19.059999999999999</v>
      </c>
      <c r="P24" s="138">
        <v>-17.399999999999999</v>
      </c>
      <c r="Q24" s="138">
        <v>-15.83</v>
      </c>
      <c r="R24" s="139">
        <v>-14.36</v>
      </c>
      <c r="S24" s="138">
        <v>-13.01</v>
      </c>
      <c r="T24" s="138">
        <v>-9.8030000000000008</v>
      </c>
      <c r="U24" s="139">
        <v>-9.3119999999999994</v>
      </c>
      <c r="V24" s="138">
        <v>-8.8580000000000005</v>
      </c>
      <c r="W24" s="138">
        <v>-8.4390000000000001</v>
      </c>
      <c r="X24" s="139">
        <v>-8.0500000000000007</v>
      </c>
      <c r="Y24" s="138">
        <v>-7.7050000000000001</v>
      </c>
      <c r="Z24" s="138">
        <v>-7.774</v>
      </c>
      <c r="AA24" s="139">
        <v>-7.8449999999999998</v>
      </c>
      <c r="AB24" s="138">
        <v>-7.915</v>
      </c>
      <c r="AC24" s="138">
        <v>-7.8449999999999998</v>
      </c>
      <c r="AD24" s="139">
        <v>-7.915</v>
      </c>
      <c r="AE24" s="138">
        <v>-8.1869999999999994</v>
      </c>
    </row>
    <row r="25" spans="1:31" x14ac:dyDescent="0.35">
      <c r="A25" s="137" t="s">
        <v>6</v>
      </c>
      <c r="B25" s="138">
        <v>-17.02</v>
      </c>
      <c r="C25" s="139">
        <v>-16.100000000000001</v>
      </c>
      <c r="D25" s="138">
        <v>-15.04</v>
      </c>
      <c r="E25" s="138">
        <v>-13.75</v>
      </c>
      <c r="F25" s="139">
        <v>-12.33</v>
      </c>
      <c r="G25" s="138">
        <v>-7.4930000000000003</v>
      </c>
      <c r="H25" s="138">
        <v>-6.7720000000000002</v>
      </c>
      <c r="I25" s="139">
        <v>-6.2990000000000004</v>
      </c>
      <c r="J25" s="138">
        <v>-6.0309999999999997</v>
      </c>
      <c r="K25" s="138">
        <v>-5.9109999999999996</v>
      </c>
      <c r="L25" s="139">
        <v>-5.8780000000000001</v>
      </c>
      <c r="M25" s="138">
        <v>-5.89</v>
      </c>
      <c r="N25" s="138">
        <v>-5.923</v>
      </c>
      <c r="O25" s="139">
        <v>-5.9649999999999999</v>
      </c>
      <c r="P25" s="138">
        <v>-6.0110000000000001</v>
      </c>
      <c r="Q25" s="138">
        <v>-6.06</v>
      </c>
      <c r="R25" s="139">
        <v>-6.1130000000000004</v>
      </c>
      <c r="S25" s="138">
        <v>-6.1749999999999998</v>
      </c>
      <c r="T25" s="138">
        <v>-6.4939999999999998</v>
      </c>
      <c r="U25" s="139">
        <v>-6.55</v>
      </c>
      <c r="V25" s="138">
        <v>-6.6059999999999999</v>
      </c>
      <c r="W25" s="138">
        <v>-6.6609999999999996</v>
      </c>
      <c r="X25" s="139">
        <v>-6.718</v>
      </c>
      <c r="Y25" s="138">
        <v>-6.7729999999999997</v>
      </c>
      <c r="Z25" s="138">
        <v>-6.8140000000000001</v>
      </c>
      <c r="AA25" s="139">
        <v>-6.8540000000000001</v>
      </c>
      <c r="AB25" s="138">
        <v>-6.8940000000000001</v>
      </c>
      <c r="AC25" s="138">
        <v>-6.8540000000000001</v>
      </c>
      <c r="AD25" s="139">
        <v>-6.8940000000000001</v>
      </c>
      <c r="AE25" s="138">
        <v>-7.0640000000000001</v>
      </c>
    </row>
    <row r="26" spans="1:31" x14ac:dyDescent="0.35">
      <c r="A26" s="137" t="s">
        <v>7</v>
      </c>
      <c r="B26" s="138">
        <v>-23.56</v>
      </c>
      <c r="C26" s="139">
        <v>-22.33</v>
      </c>
      <c r="D26" s="138">
        <v>-21.52</v>
      </c>
      <c r="E26" s="138">
        <v>-21.15</v>
      </c>
      <c r="F26" s="139">
        <v>-21.13</v>
      </c>
      <c r="G26" s="138">
        <v>-22.02</v>
      </c>
      <c r="H26" s="138">
        <v>-22.21</v>
      </c>
      <c r="I26" s="139">
        <v>-22.38</v>
      </c>
      <c r="J26" s="138">
        <v>-22.58</v>
      </c>
      <c r="K26" s="138">
        <v>-22.81</v>
      </c>
      <c r="L26" s="139">
        <v>-23.08</v>
      </c>
      <c r="M26" s="138">
        <v>-23.36</v>
      </c>
      <c r="N26" s="138">
        <v>-23.65</v>
      </c>
      <c r="O26" s="139">
        <v>-23.94</v>
      </c>
      <c r="P26" s="138">
        <v>-24.22</v>
      </c>
      <c r="Q26" s="138">
        <v>-24.51</v>
      </c>
      <c r="R26" s="139">
        <v>-24.79</v>
      </c>
      <c r="S26" s="138">
        <v>-25.06</v>
      </c>
      <c r="T26" s="138">
        <v>-26.1</v>
      </c>
      <c r="U26" s="139">
        <v>-26.36</v>
      </c>
      <c r="V26" s="138">
        <v>-26.63</v>
      </c>
      <c r="W26" s="138">
        <v>-26.89</v>
      </c>
      <c r="X26" s="139">
        <v>-27.15</v>
      </c>
      <c r="Y26" s="138">
        <v>-27.4</v>
      </c>
      <c r="Z26" s="138">
        <v>-27.61</v>
      </c>
      <c r="AA26" s="139">
        <v>-27.84</v>
      </c>
      <c r="AB26" s="138">
        <v>-28.08</v>
      </c>
      <c r="AC26" s="138">
        <v>-27.84</v>
      </c>
      <c r="AD26" s="139">
        <v>-28.08</v>
      </c>
      <c r="AE26" s="138">
        <v>-29.02</v>
      </c>
    </row>
    <row r="27" spans="1:31" x14ac:dyDescent="0.35">
      <c r="A27" s="137" t="s">
        <v>45</v>
      </c>
      <c r="B27" s="138">
        <v>0.21809000000000001</v>
      </c>
      <c r="C27" s="139">
        <v>0.21779999999999999</v>
      </c>
      <c r="D27" s="138">
        <v>0.21704999999999999</v>
      </c>
      <c r="E27" s="138">
        <v>0.21595</v>
      </c>
      <c r="F27" s="139">
        <v>0.21504999999999999</v>
      </c>
      <c r="G27" s="138">
        <v>0.21374000000000001</v>
      </c>
      <c r="H27" s="138">
        <v>0.21306</v>
      </c>
      <c r="I27" s="139">
        <v>0.21215999999999999</v>
      </c>
      <c r="J27" s="138">
        <v>0.21129000000000001</v>
      </c>
      <c r="K27" s="138">
        <v>0.21067</v>
      </c>
      <c r="L27" s="139">
        <v>0.21032000000000001</v>
      </c>
      <c r="M27" s="138">
        <v>0.21015</v>
      </c>
      <c r="N27" s="138">
        <v>0.21007000000000001</v>
      </c>
      <c r="O27" s="139">
        <v>0.21002999999999999</v>
      </c>
      <c r="P27" s="138">
        <v>0.21001</v>
      </c>
      <c r="Q27" s="138">
        <v>0.20993999999999999</v>
      </c>
      <c r="R27" s="139">
        <v>0.20968000000000001</v>
      </c>
      <c r="S27" s="138">
        <v>0.20866000000000001</v>
      </c>
      <c r="T27" s="140">
        <v>0.20025999999999999</v>
      </c>
      <c r="U27" s="141">
        <v>0.20007</v>
      </c>
      <c r="V27" s="140">
        <v>0.20002</v>
      </c>
      <c r="W27" s="140">
        <v>0.20000999999999999</v>
      </c>
      <c r="X27" s="141">
        <v>0.2</v>
      </c>
      <c r="Y27" s="140">
        <v>0.2</v>
      </c>
      <c r="Z27" s="140">
        <v>0.2</v>
      </c>
      <c r="AA27" s="141">
        <v>0.2</v>
      </c>
      <c r="AB27" s="140">
        <v>0.2</v>
      </c>
      <c r="AC27" s="140">
        <v>0.2</v>
      </c>
      <c r="AD27" s="141">
        <v>0.2</v>
      </c>
      <c r="AE27" s="140">
        <v>0.2</v>
      </c>
    </row>
    <row r="28" spans="1:31" x14ac:dyDescent="0.35">
      <c r="A28" s="137" t="s">
        <v>44</v>
      </c>
      <c r="B28" s="138">
        <v>0.26404</v>
      </c>
      <c r="C28" s="139">
        <v>0.27151999999999998</v>
      </c>
      <c r="D28" s="138">
        <v>0.29215999999999998</v>
      </c>
      <c r="E28" s="138">
        <v>0.32578000000000001</v>
      </c>
      <c r="F28" s="139">
        <v>0.35650999999999999</v>
      </c>
      <c r="G28" s="138">
        <v>0.40833000000000003</v>
      </c>
      <c r="H28" s="138">
        <v>0.43947999999999998</v>
      </c>
      <c r="I28" s="139">
        <v>0.48597000000000001</v>
      </c>
      <c r="J28" s="138">
        <v>0.53749000000000002</v>
      </c>
      <c r="K28" s="138">
        <v>0.57904</v>
      </c>
      <c r="L28" s="139">
        <v>0.60453000000000001</v>
      </c>
      <c r="M28" s="138">
        <v>0.61773</v>
      </c>
      <c r="N28" s="140">
        <v>0.62407999999999997</v>
      </c>
      <c r="O28" s="141">
        <v>0.62709999999999999</v>
      </c>
      <c r="P28" s="140">
        <v>0.62861999999999996</v>
      </c>
      <c r="Q28" s="138">
        <v>0.62977000000000005</v>
      </c>
      <c r="R28" s="139">
        <v>0.63226000000000004</v>
      </c>
      <c r="S28" s="138">
        <v>0.64093999999999995</v>
      </c>
      <c r="T28" s="138">
        <v>0.72462000000000004</v>
      </c>
      <c r="U28" s="139">
        <v>0.73033999999999999</v>
      </c>
      <c r="V28" s="138">
        <v>0.73575999999999997</v>
      </c>
      <c r="W28" s="138">
        <v>0.74182000000000003</v>
      </c>
      <c r="X28" s="139">
        <v>0.74856999999999996</v>
      </c>
      <c r="Y28" s="138">
        <v>0.75509999999999999</v>
      </c>
      <c r="Z28" s="138">
        <v>0.74602000000000002</v>
      </c>
      <c r="AA28" s="139">
        <v>0.73865999999999998</v>
      </c>
      <c r="AB28" s="138">
        <v>0.73270999999999997</v>
      </c>
      <c r="AC28" s="138">
        <v>0.73865999999999998</v>
      </c>
      <c r="AD28" s="139">
        <v>0.73270999999999997</v>
      </c>
      <c r="AE28" s="138">
        <v>0.71826999999999996</v>
      </c>
    </row>
    <row r="29" spans="1:31" x14ac:dyDescent="0.35">
      <c r="A29" s="135" t="s">
        <v>65</v>
      </c>
      <c r="B29" s="140">
        <v>6.1419000000000002E-41</v>
      </c>
      <c r="C29" s="141">
        <v>2.9047999999999998E-41</v>
      </c>
      <c r="D29" s="140">
        <v>4.0638000000000001E-44</v>
      </c>
      <c r="E29" s="140">
        <v>0</v>
      </c>
      <c r="F29" s="141">
        <v>0</v>
      </c>
      <c r="G29" s="136" t="s">
        <v>82</v>
      </c>
      <c r="H29" s="140">
        <v>0</v>
      </c>
      <c r="I29" s="141">
        <v>0</v>
      </c>
      <c r="J29" s="136" t="s">
        <v>82</v>
      </c>
      <c r="K29" s="140">
        <v>0</v>
      </c>
      <c r="L29" s="141">
        <v>0</v>
      </c>
      <c r="M29" s="136" t="s">
        <v>82</v>
      </c>
      <c r="N29" s="140">
        <v>0</v>
      </c>
      <c r="O29" s="141">
        <v>0</v>
      </c>
      <c r="P29" s="136" t="s">
        <v>82</v>
      </c>
      <c r="Q29" s="140">
        <v>0</v>
      </c>
      <c r="R29" s="141">
        <v>0</v>
      </c>
      <c r="S29" s="136" t="s">
        <v>82</v>
      </c>
      <c r="T29" s="140">
        <v>0</v>
      </c>
      <c r="U29" s="141">
        <v>0</v>
      </c>
      <c r="V29" s="136" t="s">
        <v>82</v>
      </c>
      <c r="W29" s="140">
        <v>0</v>
      </c>
      <c r="X29" s="141">
        <v>0</v>
      </c>
      <c r="Y29" s="136" t="s">
        <v>82</v>
      </c>
      <c r="Z29" s="140">
        <v>0</v>
      </c>
      <c r="AA29" s="141">
        <v>0</v>
      </c>
      <c r="AB29" s="136" t="s">
        <v>82</v>
      </c>
      <c r="AC29" s="140">
        <v>0</v>
      </c>
      <c r="AD29" s="141">
        <v>0</v>
      </c>
      <c r="AE29" s="136" t="s">
        <v>82</v>
      </c>
    </row>
    <row r="30" spans="1:31" x14ac:dyDescent="0.35">
      <c r="A30" s="135" t="s">
        <v>64</v>
      </c>
      <c r="B30" s="140">
        <v>0</v>
      </c>
      <c r="C30" s="141">
        <v>0</v>
      </c>
      <c r="D30" s="136" t="s">
        <v>82</v>
      </c>
      <c r="E30" s="140">
        <v>0</v>
      </c>
      <c r="F30" s="141">
        <v>0</v>
      </c>
      <c r="G30" s="136" t="s">
        <v>82</v>
      </c>
      <c r="H30" s="140">
        <v>0</v>
      </c>
      <c r="I30" s="141">
        <v>0</v>
      </c>
      <c r="J30" s="136" t="s">
        <v>82</v>
      </c>
      <c r="K30" s="140">
        <v>0</v>
      </c>
      <c r="L30" s="141">
        <v>0</v>
      </c>
      <c r="M30" s="136" t="s">
        <v>82</v>
      </c>
      <c r="N30" s="140">
        <v>0</v>
      </c>
      <c r="O30" s="141">
        <v>0</v>
      </c>
      <c r="P30" s="136" t="s">
        <v>82</v>
      </c>
      <c r="Q30" s="140">
        <v>0</v>
      </c>
      <c r="R30" s="141">
        <v>0</v>
      </c>
      <c r="S30" s="136" t="s">
        <v>82</v>
      </c>
      <c r="T30" s="138">
        <v>3.5952000000000002E-32</v>
      </c>
      <c r="U30" s="139">
        <v>2.5513999999999998E-25</v>
      </c>
      <c r="V30" s="138">
        <v>8.8823000000000001E-19</v>
      </c>
      <c r="W30" s="138">
        <v>9.5874999999999993E-13</v>
      </c>
      <c r="X30" s="139">
        <v>8.3317000000000004E-8</v>
      </c>
      <c r="Y30" s="138">
        <v>1.6367E-3</v>
      </c>
      <c r="Z30" s="138">
        <v>3.7241000000000003E-2</v>
      </c>
      <c r="AA30" s="139">
        <v>5.4813000000000001E-2</v>
      </c>
      <c r="AB30" s="138">
        <v>6.4674999999999996E-2</v>
      </c>
      <c r="AC30" s="138">
        <v>5.4813000000000001E-2</v>
      </c>
      <c r="AD30" s="139">
        <v>6.4674999999999996E-2</v>
      </c>
      <c r="AE30" s="138">
        <v>8.1647999999999998E-2</v>
      </c>
    </row>
  </sheetData>
  <conditionalFormatting sqref="B1:AE3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ECA3-B0B5-489F-A3B6-E5440EFE6A8D}">
  <sheetPr codeName="Лист4"/>
  <dimension ref="A1:AB37"/>
  <sheetViews>
    <sheetView workbookViewId="0">
      <selection activeCell="AB19" sqref="A1:AB19"/>
    </sheetView>
  </sheetViews>
  <sheetFormatPr defaultRowHeight="18.75" x14ac:dyDescent="0.3"/>
  <cols>
    <col min="1" max="16384" width="8.7265625" style="142"/>
  </cols>
  <sheetData>
    <row r="1" spans="1:28" ht="21" customHeight="1" x14ac:dyDescent="0.3">
      <c r="A1" s="147" t="s">
        <v>95</v>
      </c>
      <c r="B1" s="148">
        <v>273.10000000000002</v>
      </c>
      <c r="C1" s="148">
        <v>293.3</v>
      </c>
      <c r="D1" s="148">
        <v>313.5</v>
      </c>
      <c r="E1" s="148">
        <v>333.7</v>
      </c>
      <c r="F1" s="148">
        <v>353.9</v>
      </c>
      <c r="G1" s="148">
        <v>434.7</v>
      </c>
      <c r="H1" s="148">
        <v>454.9</v>
      </c>
      <c r="I1" s="148">
        <v>475.1</v>
      </c>
      <c r="J1" s="148">
        <v>495.2</v>
      </c>
      <c r="K1" s="148">
        <v>515.4</v>
      </c>
      <c r="L1" s="148">
        <v>535.6</v>
      </c>
      <c r="M1" s="148">
        <v>555.79999999999995</v>
      </c>
      <c r="N1" s="152">
        <v>576</v>
      </c>
      <c r="O1" s="150">
        <v>596.20000000000005</v>
      </c>
      <c r="P1" s="152">
        <v>677</v>
      </c>
      <c r="Q1" s="153">
        <v>697.1</v>
      </c>
      <c r="R1" s="153">
        <v>717.3</v>
      </c>
      <c r="S1" s="153">
        <v>737.5</v>
      </c>
      <c r="T1" s="148">
        <v>757.7</v>
      </c>
      <c r="U1" s="148">
        <v>777.9</v>
      </c>
      <c r="V1" s="148">
        <v>798.1</v>
      </c>
      <c r="W1" s="153">
        <v>818.3</v>
      </c>
      <c r="X1" s="153">
        <v>838.5</v>
      </c>
      <c r="Y1" s="153">
        <v>919.2</v>
      </c>
      <c r="Z1" s="148">
        <v>838.5</v>
      </c>
      <c r="AA1" s="148">
        <v>919.2</v>
      </c>
      <c r="AB1" s="154">
        <v>1000</v>
      </c>
    </row>
    <row r="2" spans="1:28" ht="21" customHeight="1" x14ac:dyDescent="0.3">
      <c r="A2" s="149" t="s">
        <v>56</v>
      </c>
      <c r="B2" s="155">
        <v>0</v>
      </c>
      <c r="C2" s="156">
        <v>0</v>
      </c>
      <c r="D2" s="155">
        <v>0</v>
      </c>
      <c r="E2" s="155">
        <v>0</v>
      </c>
      <c r="F2" s="156">
        <v>0</v>
      </c>
      <c r="G2" s="155">
        <v>3.8258999999999998E-18</v>
      </c>
      <c r="H2" s="155">
        <v>1.6139000000000001E-13</v>
      </c>
      <c r="I2" s="156">
        <v>8.4388000000000001E-11</v>
      </c>
      <c r="J2" s="155">
        <v>1.4055E-9</v>
      </c>
      <c r="K2" s="155">
        <v>6.719E-2</v>
      </c>
      <c r="L2" s="156">
        <v>0.12</v>
      </c>
      <c r="M2" s="155">
        <v>0.12</v>
      </c>
      <c r="N2" s="155">
        <v>0.12</v>
      </c>
      <c r="O2" s="156">
        <v>0.12</v>
      </c>
      <c r="P2" s="155">
        <v>0.12</v>
      </c>
      <c r="Q2" s="155">
        <v>0.12</v>
      </c>
      <c r="R2" s="156">
        <v>0.12</v>
      </c>
      <c r="S2" s="156">
        <v>0.12</v>
      </c>
      <c r="T2" s="155">
        <v>0.12</v>
      </c>
      <c r="U2" s="156">
        <v>0.12</v>
      </c>
      <c r="V2" s="155">
        <v>0.11315</v>
      </c>
      <c r="W2" s="155">
        <v>0.11173</v>
      </c>
      <c r="X2" s="156">
        <v>0.11027000000000001</v>
      </c>
      <c r="Y2" s="156">
        <v>0.10192</v>
      </c>
      <c r="Z2" s="155">
        <v>0.11027000000000001</v>
      </c>
      <c r="AA2" s="156">
        <v>0.10192</v>
      </c>
      <c r="AB2" s="155">
        <v>8.5938000000000001E-2</v>
      </c>
    </row>
    <row r="3" spans="1:28" ht="21" customHeight="1" x14ac:dyDescent="0.3">
      <c r="A3" s="151" t="s">
        <v>55</v>
      </c>
      <c r="B3" s="157">
        <v>0.12</v>
      </c>
      <c r="C3" s="158">
        <v>0.12</v>
      </c>
      <c r="D3" s="157">
        <v>0.12</v>
      </c>
      <c r="E3" s="157">
        <v>0.12</v>
      </c>
      <c r="F3" s="158">
        <v>0.24</v>
      </c>
      <c r="G3" s="157">
        <v>0.24</v>
      </c>
      <c r="H3" s="159">
        <v>0.24</v>
      </c>
      <c r="I3" s="160">
        <v>0.24</v>
      </c>
      <c r="J3" s="159">
        <v>0.24</v>
      </c>
      <c r="K3" s="159">
        <v>0.10562000000000001</v>
      </c>
      <c r="L3" s="160">
        <v>5.8947000000000003E-9</v>
      </c>
      <c r="M3" s="159">
        <v>2.9583999999999998E-10</v>
      </c>
      <c r="N3" s="157">
        <v>5.7976000000000003E-12</v>
      </c>
      <c r="O3" s="158">
        <v>3.5656000000000001E-12</v>
      </c>
      <c r="P3" s="158">
        <v>6.6780000000000004E-22</v>
      </c>
      <c r="Q3" s="157">
        <v>5.9907000000000002E-27</v>
      </c>
      <c r="R3" s="158">
        <v>2.7018000000000001E-32</v>
      </c>
      <c r="S3" s="158">
        <v>0</v>
      </c>
      <c r="T3" s="157">
        <v>0</v>
      </c>
      <c r="U3" s="158">
        <v>0</v>
      </c>
      <c r="V3" s="157">
        <v>0</v>
      </c>
      <c r="W3" s="157">
        <v>0</v>
      </c>
      <c r="X3" s="158">
        <v>0</v>
      </c>
      <c r="Y3" s="158">
        <v>0</v>
      </c>
      <c r="Z3" s="157">
        <v>0</v>
      </c>
      <c r="AA3" s="158">
        <v>0</v>
      </c>
      <c r="AB3" s="157">
        <v>0</v>
      </c>
    </row>
    <row r="4" spans="1:28" ht="21" customHeight="1" x14ac:dyDescent="0.3">
      <c r="A4" s="151" t="s">
        <v>83</v>
      </c>
      <c r="B4" s="157">
        <v>0</v>
      </c>
      <c r="C4" s="158">
        <v>0</v>
      </c>
      <c r="D4" s="157">
        <v>0</v>
      </c>
      <c r="E4" s="157">
        <v>0</v>
      </c>
      <c r="F4" s="158">
        <v>0</v>
      </c>
      <c r="G4" s="157">
        <v>0</v>
      </c>
      <c r="H4" s="157">
        <v>0</v>
      </c>
      <c r="I4" s="158">
        <v>0</v>
      </c>
      <c r="J4" s="157">
        <v>0</v>
      </c>
      <c r="K4" s="157">
        <v>0</v>
      </c>
      <c r="L4" s="158">
        <v>0</v>
      </c>
      <c r="M4" s="157">
        <v>0</v>
      </c>
      <c r="N4" s="157">
        <v>0</v>
      </c>
      <c r="O4" s="158">
        <v>0</v>
      </c>
      <c r="P4" s="158">
        <v>2.1572000000000002E-31</v>
      </c>
      <c r="Q4" s="159">
        <v>1.5057E-27</v>
      </c>
      <c r="R4" s="160">
        <v>6.8638000000000005E-23</v>
      </c>
      <c r="S4" s="159">
        <v>7.9580000000000003E-23</v>
      </c>
      <c r="T4" s="157">
        <v>6.1874000000000002E-17</v>
      </c>
      <c r="U4" s="158">
        <v>5.1635999999999997E-16</v>
      </c>
      <c r="V4" s="157">
        <v>3.1504999999999998E-9</v>
      </c>
      <c r="W4" s="159">
        <v>3.9756000000000002E-7</v>
      </c>
      <c r="X4" s="160">
        <v>2.9050000000000001E-7</v>
      </c>
      <c r="Y4" s="160">
        <v>6.5820000000000003E-8</v>
      </c>
      <c r="Z4" s="157">
        <v>2.9050000000000001E-7</v>
      </c>
      <c r="AA4" s="158">
        <v>6.5820000000000003E-8</v>
      </c>
      <c r="AB4" s="157">
        <v>1.1147E-8</v>
      </c>
    </row>
    <row r="5" spans="1:28" ht="21" customHeight="1" x14ac:dyDescent="0.3">
      <c r="A5" s="151" t="s">
        <v>53</v>
      </c>
      <c r="B5" s="157">
        <v>0</v>
      </c>
      <c r="C5" s="158">
        <v>0</v>
      </c>
      <c r="D5" s="157">
        <v>0</v>
      </c>
      <c r="E5" s="157">
        <v>0</v>
      </c>
      <c r="F5" s="158">
        <v>0</v>
      </c>
      <c r="G5" s="157">
        <v>0</v>
      </c>
      <c r="H5" s="157">
        <v>0</v>
      </c>
      <c r="I5" s="158">
        <v>0</v>
      </c>
      <c r="J5" s="157">
        <v>0</v>
      </c>
      <c r="K5" s="157">
        <v>0</v>
      </c>
      <c r="L5" s="158">
        <v>0</v>
      </c>
      <c r="M5" s="157">
        <v>0</v>
      </c>
      <c r="N5" s="157">
        <v>0</v>
      </c>
      <c r="O5" s="158">
        <v>0</v>
      </c>
      <c r="P5" s="158">
        <v>2.482E-22</v>
      </c>
      <c r="Q5" s="159">
        <v>4.1234E-18</v>
      </c>
      <c r="R5" s="160">
        <v>4.5319000000000001E-13</v>
      </c>
      <c r="S5" s="160">
        <v>2.2366E-8</v>
      </c>
      <c r="T5" s="159">
        <v>2.4235E-2</v>
      </c>
      <c r="U5" s="160">
        <v>3.5584999999999999E-2</v>
      </c>
      <c r="V5" s="159">
        <v>2.9937000000000001E-7</v>
      </c>
      <c r="W5" s="157">
        <v>2.7884000000000001E-21</v>
      </c>
      <c r="X5" s="158">
        <v>0</v>
      </c>
      <c r="Y5" s="158">
        <v>0</v>
      </c>
      <c r="Z5" s="157">
        <v>0</v>
      </c>
      <c r="AA5" s="158">
        <v>0</v>
      </c>
      <c r="AB5" s="157">
        <v>0</v>
      </c>
    </row>
    <row r="6" spans="1:28" ht="21" customHeight="1" x14ac:dyDescent="0.3">
      <c r="A6" s="151" t="s">
        <v>52</v>
      </c>
      <c r="B6" s="157">
        <v>0</v>
      </c>
      <c r="C6" s="158">
        <v>0</v>
      </c>
      <c r="D6" s="157">
        <v>0</v>
      </c>
      <c r="E6" s="159">
        <v>0</v>
      </c>
      <c r="F6" s="160">
        <v>0</v>
      </c>
      <c r="G6" s="159">
        <v>3.8258999999999998E-18</v>
      </c>
      <c r="H6" s="159">
        <v>1.6139000000000001E-13</v>
      </c>
      <c r="I6" s="160">
        <v>8.4388000000000001E-11</v>
      </c>
      <c r="J6" s="159">
        <v>1.4055E-9</v>
      </c>
      <c r="K6" s="157">
        <v>6.719E-2</v>
      </c>
      <c r="L6" s="158">
        <v>0.12</v>
      </c>
      <c r="M6" s="157">
        <v>0.12</v>
      </c>
      <c r="N6" s="157">
        <v>0.12</v>
      </c>
      <c r="O6" s="158">
        <v>0.12</v>
      </c>
      <c r="P6" s="158">
        <v>0.12</v>
      </c>
      <c r="Q6" s="157">
        <v>0.12</v>
      </c>
      <c r="R6" s="158">
        <v>0.12</v>
      </c>
      <c r="S6" s="158">
        <v>0.12</v>
      </c>
      <c r="T6" s="157">
        <v>0.12</v>
      </c>
      <c r="U6" s="158">
        <v>0.12</v>
      </c>
      <c r="V6" s="157">
        <v>0.11315</v>
      </c>
      <c r="W6" s="159">
        <v>0.11173</v>
      </c>
      <c r="X6" s="160">
        <v>0.11027000000000001</v>
      </c>
      <c r="Y6" s="160">
        <v>0.10192</v>
      </c>
      <c r="Z6" s="159">
        <v>0.11027000000000001</v>
      </c>
      <c r="AA6" s="160">
        <v>0.10192</v>
      </c>
      <c r="AB6" s="159">
        <v>8.5938000000000001E-2</v>
      </c>
    </row>
    <row r="7" spans="1:28" ht="21" customHeight="1" x14ac:dyDescent="0.3">
      <c r="A7" s="151" t="s">
        <v>51</v>
      </c>
      <c r="B7" s="157">
        <v>4.6744E-24</v>
      </c>
      <c r="C7" s="158">
        <v>8.8713000000000006E-17</v>
      </c>
      <c r="D7" s="157">
        <v>7.5023000000000003E-11</v>
      </c>
      <c r="E7" s="157">
        <v>2.4996999999999999E-8</v>
      </c>
      <c r="F7" s="158">
        <v>0.12</v>
      </c>
      <c r="G7" s="157">
        <v>0.12</v>
      </c>
      <c r="H7" s="157">
        <v>0.12</v>
      </c>
      <c r="I7" s="158">
        <v>0.12</v>
      </c>
      <c r="J7" s="157">
        <v>0.12</v>
      </c>
      <c r="K7" s="157">
        <v>0.25438</v>
      </c>
      <c r="L7" s="158">
        <v>0.36</v>
      </c>
      <c r="M7" s="157">
        <v>0.36</v>
      </c>
      <c r="N7" s="157">
        <v>0.36</v>
      </c>
      <c r="O7" s="158">
        <v>0.36</v>
      </c>
      <c r="P7" s="158">
        <v>0.36</v>
      </c>
      <c r="Q7" s="157">
        <v>0.36</v>
      </c>
      <c r="R7" s="158">
        <v>0.36</v>
      </c>
      <c r="S7" s="158">
        <v>0.36</v>
      </c>
      <c r="T7" s="157">
        <v>0.40847</v>
      </c>
      <c r="U7" s="158">
        <v>0.43117</v>
      </c>
      <c r="V7" s="157">
        <v>0.47654000000000002</v>
      </c>
      <c r="W7" s="157">
        <v>0.47964000000000001</v>
      </c>
      <c r="X7" s="158">
        <v>0.47996</v>
      </c>
      <c r="Y7" s="157">
        <v>0.48</v>
      </c>
      <c r="Z7" s="157">
        <v>0.47996</v>
      </c>
      <c r="AA7" s="158">
        <v>0.48</v>
      </c>
      <c r="AB7" s="157">
        <v>0.48</v>
      </c>
    </row>
    <row r="8" spans="1:28" ht="21" customHeight="1" x14ac:dyDescent="0.3">
      <c r="A8" s="151" t="s">
        <v>50</v>
      </c>
      <c r="B8" s="157">
        <v>0.12</v>
      </c>
      <c r="C8" s="158">
        <v>0.12</v>
      </c>
      <c r="D8" s="157">
        <v>0.12</v>
      </c>
      <c r="E8" s="157">
        <v>0.12</v>
      </c>
      <c r="F8" s="158">
        <v>6.8576999999999996E-9</v>
      </c>
      <c r="G8" s="157">
        <v>3.5479000000000002E-18</v>
      </c>
      <c r="H8" s="157">
        <v>3.3890000000000001E-21</v>
      </c>
      <c r="I8" s="158">
        <v>2.8891000000000001E-29</v>
      </c>
      <c r="J8" s="157">
        <v>0</v>
      </c>
      <c r="K8" s="157">
        <v>0</v>
      </c>
      <c r="L8" s="158">
        <v>0</v>
      </c>
      <c r="M8" s="157">
        <v>0</v>
      </c>
      <c r="N8" s="157">
        <v>0</v>
      </c>
      <c r="O8" s="158">
        <v>0</v>
      </c>
      <c r="P8" s="158">
        <v>0</v>
      </c>
      <c r="Q8" s="157">
        <v>0</v>
      </c>
      <c r="R8" s="158">
        <v>0</v>
      </c>
      <c r="S8" s="158">
        <v>0</v>
      </c>
      <c r="T8" s="157">
        <v>0</v>
      </c>
      <c r="U8" s="158">
        <v>0</v>
      </c>
      <c r="V8" s="157">
        <v>0</v>
      </c>
      <c r="W8" s="157">
        <v>0</v>
      </c>
      <c r="X8" s="158">
        <v>0</v>
      </c>
      <c r="Y8" s="158">
        <v>0</v>
      </c>
      <c r="Z8" s="157">
        <v>0</v>
      </c>
      <c r="AA8" s="158">
        <v>0</v>
      </c>
      <c r="AB8" s="157">
        <v>0</v>
      </c>
    </row>
    <row r="9" spans="1:28" ht="21" customHeight="1" x14ac:dyDescent="0.3">
      <c r="A9" s="147" t="s">
        <v>49</v>
      </c>
      <c r="B9" s="159">
        <v>0.04</v>
      </c>
      <c r="C9" s="160">
        <v>0.04</v>
      </c>
      <c r="D9" s="159">
        <v>0.04</v>
      </c>
      <c r="E9" s="159">
        <v>0.04</v>
      </c>
      <c r="F9" s="160">
        <v>0.04</v>
      </c>
      <c r="G9" s="159">
        <v>0.04</v>
      </c>
      <c r="H9" s="159">
        <v>0.04</v>
      </c>
      <c r="I9" s="160">
        <v>0.04</v>
      </c>
      <c r="J9" s="159">
        <v>0.04</v>
      </c>
      <c r="K9" s="159">
        <v>0.04</v>
      </c>
      <c r="L9" s="160">
        <v>0.04</v>
      </c>
      <c r="M9" s="159">
        <v>0.04</v>
      </c>
      <c r="N9" s="159">
        <v>0.04</v>
      </c>
      <c r="O9" s="160">
        <v>0.04</v>
      </c>
      <c r="P9" s="159">
        <v>0.04</v>
      </c>
      <c r="Q9" s="159">
        <v>0.04</v>
      </c>
      <c r="R9" s="160">
        <v>0.04</v>
      </c>
      <c r="S9" s="159">
        <v>0.04</v>
      </c>
      <c r="T9" s="159">
        <v>1.5765000000000001E-2</v>
      </c>
      <c r="U9" s="160">
        <v>4.4145E-3</v>
      </c>
      <c r="V9" s="159">
        <v>1.1531E-3</v>
      </c>
      <c r="W9" s="159">
        <v>1.1998999999999999E-4</v>
      </c>
      <c r="X9" s="160">
        <v>1.3539E-5</v>
      </c>
      <c r="Y9" s="159">
        <v>4.1901999999999999E-9</v>
      </c>
      <c r="Z9" s="159">
        <v>1.3539E-5</v>
      </c>
      <c r="AA9" s="160">
        <v>4.1901999999999999E-9</v>
      </c>
      <c r="AB9" s="159">
        <v>2.8184000000000002E-12</v>
      </c>
    </row>
    <row r="10" spans="1:28" ht="21" customHeight="1" x14ac:dyDescent="0.3">
      <c r="A10" s="151" t="s">
        <v>48</v>
      </c>
      <c r="B10" s="157">
        <v>0</v>
      </c>
      <c r="C10" s="158">
        <v>0</v>
      </c>
      <c r="D10" s="157">
        <v>0</v>
      </c>
      <c r="E10" s="157">
        <v>0</v>
      </c>
      <c r="F10" s="158">
        <v>0</v>
      </c>
      <c r="G10" s="157">
        <v>0</v>
      </c>
      <c r="H10" s="159">
        <v>8.2863999999999999E-35</v>
      </c>
      <c r="I10" s="160">
        <v>3.9535999999999999E-32</v>
      </c>
      <c r="J10" s="159">
        <v>1.1802E-29</v>
      </c>
      <c r="K10" s="159">
        <v>2.318E-27</v>
      </c>
      <c r="L10" s="160">
        <v>3.1711999999999998E-25</v>
      </c>
      <c r="M10" s="159">
        <v>3.1093000000000001E-23</v>
      </c>
      <c r="N10" s="159">
        <v>2.2684999999999999E-21</v>
      </c>
      <c r="O10" s="160">
        <v>1.2683999999999999E-19</v>
      </c>
      <c r="P10" s="160">
        <v>1.3808E-13</v>
      </c>
      <c r="Q10" s="159">
        <v>2.8290000000000002E-12</v>
      </c>
      <c r="R10" s="160">
        <v>4.9786000000000001E-11</v>
      </c>
      <c r="S10" s="159">
        <v>7.6181999999999996E-10</v>
      </c>
      <c r="T10" s="159">
        <v>4.0387000000000001E-9</v>
      </c>
      <c r="U10" s="160">
        <v>1.3505000000000001E-8</v>
      </c>
      <c r="V10" s="159">
        <v>3.7726999999999998E-8</v>
      </c>
      <c r="W10" s="159">
        <v>3.7906000000000002E-8</v>
      </c>
      <c r="X10" s="160">
        <v>3.7554E-8</v>
      </c>
      <c r="Y10" s="160">
        <v>3.0196000000000001E-8</v>
      </c>
      <c r="Z10" s="159">
        <v>3.7554E-8</v>
      </c>
      <c r="AA10" s="160">
        <v>3.0196000000000001E-8</v>
      </c>
      <c r="AB10" s="159">
        <v>1.7782E-8</v>
      </c>
    </row>
    <row r="11" spans="1:28" ht="21" customHeight="1" x14ac:dyDescent="0.3">
      <c r="A11" s="151" t="s">
        <v>1</v>
      </c>
      <c r="B11" s="157">
        <v>0.2</v>
      </c>
      <c r="C11" s="158">
        <v>0.2</v>
      </c>
      <c r="D11" s="157">
        <v>0.2</v>
      </c>
      <c r="E11" s="157">
        <v>0.2</v>
      </c>
      <c r="F11" s="158">
        <v>0.2</v>
      </c>
      <c r="G11" s="157">
        <v>0.2</v>
      </c>
      <c r="H11" s="157">
        <v>0.2</v>
      </c>
      <c r="I11" s="158">
        <v>0.2</v>
      </c>
      <c r="J11" s="157">
        <v>0.2</v>
      </c>
      <c r="K11" s="157">
        <v>0.2</v>
      </c>
      <c r="L11" s="158">
        <v>0.2</v>
      </c>
      <c r="M11" s="157">
        <v>0.2</v>
      </c>
      <c r="N11" s="157">
        <v>0.2</v>
      </c>
      <c r="O11" s="158">
        <v>0.2</v>
      </c>
      <c r="P11" s="158">
        <v>0.2</v>
      </c>
      <c r="Q11" s="157">
        <v>0.2</v>
      </c>
      <c r="R11" s="158">
        <v>0.2</v>
      </c>
      <c r="S11" s="158">
        <v>0.2</v>
      </c>
      <c r="T11" s="157">
        <v>0.2</v>
      </c>
      <c r="U11" s="158">
        <v>0.2</v>
      </c>
      <c r="V11" s="157">
        <v>0.2</v>
      </c>
      <c r="W11" s="157">
        <v>0.2</v>
      </c>
      <c r="X11" s="158">
        <v>0.2</v>
      </c>
      <c r="Y11" s="158">
        <v>0.2</v>
      </c>
      <c r="Z11" s="157">
        <v>0.2</v>
      </c>
      <c r="AA11" s="158">
        <v>0.2</v>
      </c>
      <c r="AB11" s="157">
        <v>0.2</v>
      </c>
    </row>
    <row r="12" spans="1:28" ht="21" customHeight="1" x14ac:dyDescent="0.3">
      <c r="A12" s="151" t="s">
        <v>96</v>
      </c>
      <c r="B12" s="157">
        <v>0</v>
      </c>
      <c r="C12" s="158">
        <v>0</v>
      </c>
      <c r="D12" s="157">
        <v>0</v>
      </c>
      <c r="E12" s="157">
        <v>0</v>
      </c>
      <c r="F12" s="158">
        <v>0</v>
      </c>
      <c r="G12" s="157">
        <v>0</v>
      </c>
      <c r="H12" s="157">
        <v>0</v>
      </c>
      <c r="I12" s="158">
        <v>0</v>
      </c>
      <c r="J12" s="157">
        <v>0</v>
      </c>
      <c r="K12" s="157">
        <v>0</v>
      </c>
      <c r="L12" s="158">
        <v>0</v>
      </c>
      <c r="M12" s="158">
        <v>1.5435999999999999E-32</v>
      </c>
      <c r="N12" s="157">
        <v>2.2441000000000001E-26</v>
      </c>
      <c r="O12" s="158">
        <v>2.012E-20</v>
      </c>
      <c r="P12" s="158">
        <v>3.7214000000000002E-13</v>
      </c>
      <c r="Q12" s="159">
        <v>8.3488999999999999E-13</v>
      </c>
      <c r="R12" s="160">
        <v>1.2235E-11</v>
      </c>
      <c r="S12" s="160">
        <v>5.7031000000000002E-13</v>
      </c>
      <c r="T12" s="159">
        <v>4.5874000000000001E-9</v>
      </c>
      <c r="U12" s="160">
        <v>3.9656000000000001E-8</v>
      </c>
      <c r="V12" s="160">
        <v>7.7692999999999998E-2</v>
      </c>
      <c r="W12" s="157">
        <v>7.9759999999999998E-2</v>
      </c>
      <c r="X12" s="158">
        <v>7.9973000000000002E-2</v>
      </c>
      <c r="Y12" s="158">
        <v>0.08</v>
      </c>
      <c r="Z12" s="157">
        <v>7.9973000000000002E-2</v>
      </c>
      <c r="AA12" s="158">
        <v>0.08</v>
      </c>
      <c r="AB12" s="157">
        <v>0.08</v>
      </c>
    </row>
    <row r="13" spans="1:28" ht="21" customHeight="1" x14ac:dyDescent="0.3">
      <c r="A13" s="151" t="s">
        <v>97</v>
      </c>
      <c r="B13" s="157">
        <v>0</v>
      </c>
      <c r="C13" s="158">
        <v>0</v>
      </c>
      <c r="D13" s="157">
        <v>0</v>
      </c>
      <c r="E13" s="157">
        <v>0</v>
      </c>
      <c r="F13" s="158">
        <v>0</v>
      </c>
      <c r="G13" s="157">
        <v>0</v>
      </c>
      <c r="H13" s="157">
        <v>0</v>
      </c>
      <c r="I13" s="158">
        <v>0</v>
      </c>
      <c r="J13" s="157">
        <v>0</v>
      </c>
      <c r="K13" s="157">
        <v>0</v>
      </c>
      <c r="L13" s="158">
        <v>0</v>
      </c>
      <c r="M13" s="157">
        <v>2.9877999999999998E-27</v>
      </c>
      <c r="N13" s="159">
        <v>7.9918999999999997E-22</v>
      </c>
      <c r="O13" s="160">
        <v>1.449E-16</v>
      </c>
      <c r="P13" s="160">
        <v>9.8116000000000007E-12</v>
      </c>
      <c r="Q13" s="159">
        <v>6.3760999999999999E-12</v>
      </c>
      <c r="R13" s="160">
        <v>2.8513E-11</v>
      </c>
      <c r="S13" s="159">
        <v>4.2784000000000002E-13</v>
      </c>
      <c r="T13" s="159">
        <v>1.7531999999999999E-9</v>
      </c>
      <c r="U13" s="160">
        <v>9.8190000000000001E-9</v>
      </c>
      <c r="V13" s="160">
        <v>1.3691E-2</v>
      </c>
      <c r="W13" s="159">
        <v>1.6542000000000001E-2</v>
      </c>
      <c r="X13" s="160">
        <v>1.9453999999999999E-2</v>
      </c>
      <c r="Y13" s="160">
        <v>3.6164000000000002E-2</v>
      </c>
      <c r="Z13" s="159">
        <v>1.9453999999999999E-2</v>
      </c>
      <c r="AA13" s="160">
        <v>3.6164000000000002E-2</v>
      </c>
      <c r="AB13" s="159">
        <v>6.8124000000000004E-2</v>
      </c>
    </row>
    <row r="14" spans="1:28" ht="21" customHeight="1" x14ac:dyDescent="0.3">
      <c r="A14" s="151" t="s">
        <v>36</v>
      </c>
      <c r="B14" s="157">
        <v>-18.8</v>
      </c>
      <c r="C14" s="158">
        <v>-18.79</v>
      </c>
      <c r="D14" s="157">
        <v>-18.8</v>
      </c>
      <c r="E14" s="157">
        <v>-18.809999999999999</v>
      </c>
      <c r="F14" s="158">
        <v>-18.829999999999998</v>
      </c>
      <c r="G14" s="157">
        <v>-18.95</v>
      </c>
      <c r="H14" s="159">
        <v>-18.989999999999998</v>
      </c>
      <c r="I14" s="160">
        <v>-19.03</v>
      </c>
      <c r="J14" s="159">
        <v>-19.07</v>
      </c>
      <c r="K14" s="159">
        <v>-19.11</v>
      </c>
      <c r="L14" s="160">
        <v>-19.149999999999999</v>
      </c>
      <c r="M14" s="159">
        <v>-19.190000000000001</v>
      </c>
      <c r="N14" s="159">
        <v>-19.23</v>
      </c>
      <c r="O14" s="160">
        <v>-19.28</v>
      </c>
      <c r="P14" s="160">
        <v>-19.440000000000001</v>
      </c>
      <c r="Q14" s="159">
        <v>-19.489999999999998</v>
      </c>
      <c r="R14" s="160">
        <v>-19.53</v>
      </c>
      <c r="S14" s="160">
        <v>-19.57</v>
      </c>
      <c r="T14" s="159">
        <v>-19.5</v>
      </c>
      <c r="U14" s="160">
        <v>-19.489999999999998</v>
      </c>
      <c r="V14" s="159">
        <v>-19.510000000000002</v>
      </c>
      <c r="W14" s="159">
        <v>-19.55</v>
      </c>
      <c r="X14" s="160">
        <v>-19.59</v>
      </c>
      <c r="Y14" s="160">
        <v>-19.739999999999998</v>
      </c>
      <c r="Z14" s="159">
        <v>-19.59</v>
      </c>
      <c r="AA14" s="160">
        <v>-19.739999999999998</v>
      </c>
      <c r="AB14" s="159">
        <v>-19.88</v>
      </c>
    </row>
    <row r="15" spans="1:28" ht="21" customHeight="1" x14ac:dyDescent="0.3">
      <c r="A15" s="147" t="s">
        <v>5</v>
      </c>
      <c r="B15" s="159">
        <v>-66.459999999999994</v>
      </c>
      <c r="C15" s="160">
        <v>-62.25</v>
      </c>
      <c r="D15" s="159">
        <v>-58.6</v>
      </c>
      <c r="E15" s="159">
        <v>-55.41</v>
      </c>
      <c r="F15" s="160">
        <v>-51.62</v>
      </c>
      <c r="G15" s="159">
        <v>-37.26</v>
      </c>
      <c r="H15" s="159">
        <v>-34.4</v>
      </c>
      <c r="I15" s="160">
        <v>-31.76</v>
      </c>
      <c r="J15" s="159">
        <v>-29.31</v>
      </c>
      <c r="K15" s="159">
        <v>-27.03</v>
      </c>
      <c r="L15" s="160">
        <v>-24.9</v>
      </c>
      <c r="M15" s="159">
        <v>-22.91</v>
      </c>
      <c r="N15" s="159">
        <v>-21.04</v>
      </c>
      <c r="O15" s="160">
        <v>-19.28</v>
      </c>
      <c r="P15" s="160">
        <v>-13.14</v>
      </c>
      <c r="Q15" s="157">
        <v>-11.8</v>
      </c>
      <c r="R15" s="158">
        <v>-10.52</v>
      </c>
      <c r="S15" s="158">
        <v>-9.2940000000000005</v>
      </c>
      <c r="T15" s="159">
        <v>-8.5370000000000008</v>
      </c>
      <c r="U15" s="160">
        <v>-8.0269999999999992</v>
      </c>
      <c r="V15" s="159">
        <v>-7.617</v>
      </c>
      <c r="W15" s="159">
        <v>-7.7149999999999999</v>
      </c>
      <c r="X15" s="160">
        <v>-7.8150000000000004</v>
      </c>
      <c r="Y15" s="160">
        <v>-8.2360000000000007</v>
      </c>
      <c r="Z15" s="159">
        <v>-7.8150000000000004</v>
      </c>
      <c r="AA15" s="160">
        <v>-8.2360000000000007</v>
      </c>
      <c r="AB15" s="159">
        <v>-8.7249999999999996</v>
      </c>
    </row>
    <row r="16" spans="1:28" ht="21" customHeight="1" x14ac:dyDescent="0.3">
      <c r="A16" s="147" t="s">
        <v>6</v>
      </c>
      <c r="B16" s="159">
        <v>-16.29</v>
      </c>
      <c r="C16" s="160">
        <v>-15.52</v>
      </c>
      <c r="D16" s="159">
        <v>-14.86</v>
      </c>
      <c r="E16" s="159">
        <v>-14.3</v>
      </c>
      <c r="F16" s="160">
        <v>-13.17</v>
      </c>
      <c r="G16" s="159">
        <v>-7.9130000000000003</v>
      </c>
      <c r="H16" s="159">
        <v>-6.851</v>
      </c>
      <c r="I16" s="160">
        <v>-5.867</v>
      </c>
      <c r="J16" s="159">
        <v>-4.9489999999999998</v>
      </c>
      <c r="K16" s="159">
        <v>-4.0979999999999999</v>
      </c>
      <c r="L16" s="160">
        <v>-4.1500000000000004</v>
      </c>
      <c r="M16" s="159">
        <v>-4.2</v>
      </c>
      <c r="N16" s="159">
        <v>-4.2489999999999997</v>
      </c>
      <c r="O16" s="160">
        <v>-4.2990000000000004</v>
      </c>
      <c r="P16" s="160">
        <v>-4.4989999999999997</v>
      </c>
      <c r="Q16" s="159">
        <v>-4.5490000000000004</v>
      </c>
      <c r="R16" s="160">
        <v>-4.5979999999999999</v>
      </c>
      <c r="S16" s="160">
        <v>-4.6470000000000002</v>
      </c>
      <c r="T16" s="159">
        <v>-4.6959999999999997</v>
      </c>
      <c r="U16" s="160">
        <v>-4.7439999999999998</v>
      </c>
      <c r="V16" s="159">
        <v>-4.7919999999999998</v>
      </c>
      <c r="W16" s="159">
        <v>-4.84</v>
      </c>
      <c r="X16" s="160">
        <v>-4.8869999999999996</v>
      </c>
      <c r="Y16" s="160">
        <v>-5.0709999999999997</v>
      </c>
      <c r="Z16" s="159">
        <v>-4.8869999999999996</v>
      </c>
      <c r="AA16" s="160">
        <v>-5.0709999999999997</v>
      </c>
      <c r="AB16" s="159">
        <v>-5.2489999999999997</v>
      </c>
    </row>
    <row r="17" spans="1:28" ht="21" customHeight="1" x14ac:dyDescent="0.3">
      <c r="A17" s="151" t="s">
        <v>7</v>
      </c>
      <c r="B17" s="157">
        <v>-23.52</v>
      </c>
      <c r="C17" s="158">
        <v>-22.18</v>
      </c>
      <c r="D17" s="157">
        <v>-21.02</v>
      </c>
      <c r="E17" s="157">
        <v>-20.010000000000002</v>
      </c>
      <c r="F17" s="158">
        <v>-19.77</v>
      </c>
      <c r="G17" s="157">
        <v>-20.97</v>
      </c>
      <c r="H17" s="157">
        <v>-21.27</v>
      </c>
      <c r="I17" s="158">
        <v>-21.58</v>
      </c>
      <c r="J17" s="157">
        <v>-21.88</v>
      </c>
      <c r="K17" s="157">
        <v>-22.18</v>
      </c>
      <c r="L17" s="158">
        <v>-22.49</v>
      </c>
      <c r="M17" s="157">
        <v>-22.79</v>
      </c>
      <c r="N17" s="159">
        <v>-23.08</v>
      </c>
      <c r="O17" s="160">
        <v>-23.37</v>
      </c>
      <c r="P17" s="160">
        <v>-24.51</v>
      </c>
      <c r="Q17" s="159">
        <v>-24.79</v>
      </c>
      <c r="R17" s="160">
        <v>-25.06</v>
      </c>
      <c r="S17" s="160">
        <v>-25.33</v>
      </c>
      <c r="T17" s="159">
        <v>-25.6</v>
      </c>
      <c r="U17" s="160">
        <v>-25.87</v>
      </c>
      <c r="V17" s="159">
        <v>-26.13</v>
      </c>
      <c r="W17" s="159">
        <v>-26.39</v>
      </c>
      <c r="X17" s="160">
        <v>-26.65</v>
      </c>
      <c r="Y17" s="160">
        <v>-27.65</v>
      </c>
      <c r="Z17" s="157">
        <v>-26.65</v>
      </c>
      <c r="AA17" s="158">
        <v>-27.65</v>
      </c>
      <c r="AB17" s="157">
        <v>-28.62</v>
      </c>
    </row>
    <row r="18" spans="1:28" ht="21" customHeight="1" x14ac:dyDescent="0.3">
      <c r="A18" s="147" t="s">
        <v>45</v>
      </c>
      <c r="B18" s="159">
        <v>0.24</v>
      </c>
      <c r="C18" s="160">
        <v>0.24</v>
      </c>
      <c r="D18" s="159">
        <v>0.24</v>
      </c>
      <c r="E18" s="159">
        <v>0.24</v>
      </c>
      <c r="F18" s="160">
        <v>0.24</v>
      </c>
      <c r="G18" s="159">
        <v>0.24</v>
      </c>
      <c r="H18" s="159">
        <v>0.24</v>
      </c>
      <c r="I18" s="160">
        <v>0.24</v>
      </c>
      <c r="J18" s="159">
        <v>0.24</v>
      </c>
      <c r="K18" s="159">
        <v>0.24</v>
      </c>
      <c r="L18" s="160">
        <v>0.24</v>
      </c>
      <c r="M18" s="159">
        <v>0.24</v>
      </c>
      <c r="N18" s="159">
        <v>0.24</v>
      </c>
      <c r="O18" s="160">
        <v>0.24</v>
      </c>
      <c r="P18" s="160">
        <v>0.24</v>
      </c>
      <c r="Q18" s="159">
        <v>0.24</v>
      </c>
      <c r="R18" s="160">
        <v>0.24</v>
      </c>
      <c r="S18" s="160">
        <v>0.24</v>
      </c>
      <c r="T18" s="159">
        <v>0.21576999999999999</v>
      </c>
      <c r="U18" s="160">
        <v>0.20441000000000001</v>
      </c>
      <c r="V18" s="159">
        <v>0.20115</v>
      </c>
      <c r="W18" s="157">
        <v>0.20011999999999999</v>
      </c>
      <c r="X18" s="158">
        <v>0.20000999999999999</v>
      </c>
      <c r="Y18" s="158">
        <v>0.2</v>
      </c>
      <c r="Z18" s="157">
        <v>0.20000999999999999</v>
      </c>
      <c r="AA18" s="158">
        <v>0.2</v>
      </c>
      <c r="AB18" s="157">
        <v>0.2</v>
      </c>
    </row>
    <row r="19" spans="1:28" ht="21" customHeight="1" x14ac:dyDescent="0.3">
      <c r="A19" s="151" t="s">
        <v>98</v>
      </c>
      <c r="B19" s="157">
        <v>0</v>
      </c>
      <c r="C19" s="158">
        <v>0</v>
      </c>
      <c r="D19" s="157">
        <v>0</v>
      </c>
      <c r="E19" s="157">
        <v>0</v>
      </c>
      <c r="F19" s="158">
        <v>0</v>
      </c>
      <c r="G19" s="158">
        <v>1.1435999999999999E-38</v>
      </c>
      <c r="H19" s="159">
        <v>5.5787999999999999E-33</v>
      </c>
      <c r="I19" s="160">
        <v>3.7170000000000001E-34</v>
      </c>
      <c r="J19" s="159">
        <v>0</v>
      </c>
      <c r="K19" s="159">
        <v>0</v>
      </c>
      <c r="L19" s="160">
        <v>3.4192000000000002E-43</v>
      </c>
      <c r="M19" s="159">
        <v>2.1938999999999999E-25</v>
      </c>
      <c r="N19" s="159">
        <v>4.4448000000000002E-20</v>
      </c>
      <c r="O19" s="160">
        <v>6.1951E-15</v>
      </c>
      <c r="P19" s="160">
        <v>1.7474000000000001E-10</v>
      </c>
      <c r="Q19" s="159">
        <v>9.4379000000000006E-11</v>
      </c>
      <c r="R19" s="160">
        <v>3.5398999999999998E-10</v>
      </c>
      <c r="S19" s="159">
        <v>4.4981E-12</v>
      </c>
      <c r="T19" s="159">
        <v>1.5717000000000001E-8</v>
      </c>
      <c r="U19" s="160">
        <v>7.5668E-8</v>
      </c>
      <c r="V19" s="159">
        <v>9.1384000000000007E-2</v>
      </c>
      <c r="W19" s="157">
        <v>9.6300999999999998E-2</v>
      </c>
      <c r="X19" s="158">
        <v>9.9426E-2</v>
      </c>
      <c r="Y19" s="158">
        <v>0.11616</v>
      </c>
      <c r="Z19" s="157">
        <v>9.9426E-2</v>
      </c>
      <c r="AA19" s="158">
        <v>0.11616</v>
      </c>
      <c r="AB19" s="157">
        <v>0.14812</v>
      </c>
    </row>
    <row r="20" spans="1:28" x14ac:dyDescent="0.3">
      <c r="N20" s="146"/>
      <c r="O20" s="146"/>
      <c r="P20" s="146"/>
      <c r="Q20" s="146"/>
      <c r="R20" s="146"/>
      <c r="S20" s="146"/>
      <c r="W20" s="146"/>
      <c r="X20" s="146"/>
      <c r="Y20" s="146"/>
    </row>
    <row r="21" spans="1:28" x14ac:dyDescent="0.3">
      <c r="N21" s="146"/>
      <c r="O21" s="146"/>
      <c r="P21" s="146"/>
      <c r="Q21" s="146"/>
      <c r="R21" s="146"/>
      <c r="S21" s="146"/>
      <c r="W21" s="146"/>
      <c r="X21" s="146"/>
      <c r="Y21" s="146"/>
    </row>
    <row r="22" spans="1:28" x14ac:dyDescent="0.3">
      <c r="N22" s="146"/>
      <c r="O22" s="146"/>
      <c r="P22" s="146"/>
      <c r="Q22" s="146"/>
      <c r="R22" s="146"/>
      <c r="S22" s="146"/>
      <c r="W22" s="146"/>
      <c r="X22" s="146"/>
      <c r="Y22" s="146"/>
    </row>
    <row r="23" spans="1:28" x14ac:dyDescent="0.3">
      <c r="N23" s="146"/>
      <c r="O23" s="146"/>
      <c r="P23" s="146"/>
      <c r="Q23" s="146"/>
      <c r="R23" s="146"/>
      <c r="S23" s="146"/>
      <c r="W23" s="146"/>
      <c r="X23" s="146"/>
      <c r="Y23" s="146"/>
    </row>
    <row r="24" spans="1:28" x14ac:dyDescent="0.3">
      <c r="N24" s="146"/>
      <c r="O24" s="146"/>
      <c r="P24" s="146"/>
      <c r="Q24" s="146"/>
      <c r="R24" s="146"/>
      <c r="S24" s="146"/>
      <c r="W24" s="146"/>
      <c r="X24" s="146"/>
      <c r="Y24" s="146"/>
    </row>
    <row r="25" spans="1:28" x14ac:dyDescent="0.3">
      <c r="N25" s="146"/>
      <c r="O25" s="146"/>
      <c r="P25" s="146"/>
      <c r="Q25" s="146"/>
      <c r="R25" s="146"/>
      <c r="S25" s="146"/>
      <c r="W25" s="146"/>
      <c r="X25" s="146"/>
      <c r="Y25" s="146"/>
    </row>
    <row r="26" spans="1:28" x14ac:dyDescent="0.3">
      <c r="N26" s="146"/>
      <c r="O26" s="146"/>
      <c r="P26" s="146"/>
      <c r="Q26" s="146"/>
      <c r="R26" s="146"/>
      <c r="S26" s="146"/>
      <c r="W26" s="146"/>
      <c r="X26" s="146"/>
      <c r="Y26" s="146"/>
    </row>
    <row r="27" spans="1:28" x14ac:dyDescent="0.3">
      <c r="N27" s="146"/>
      <c r="O27" s="146"/>
      <c r="P27" s="146"/>
      <c r="Q27" s="146"/>
      <c r="R27" s="146"/>
      <c r="S27" s="146"/>
      <c r="W27" s="146"/>
      <c r="X27" s="146"/>
      <c r="Y27" s="146"/>
    </row>
    <row r="28" spans="1:28" x14ac:dyDescent="0.3">
      <c r="N28" s="146"/>
      <c r="O28" s="146"/>
      <c r="P28" s="146"/>
      <c r="Q28" s="146"/>
      <c r="R28" s="146"/>
      <c r="S28" s="146"/>
      <c r="W28" s="146"/>
      <c r="X28" s="146"/>
      <c r="Y28" s="146"/>
    </row>
    <row r="29" spans="1:28" x14ac:dyDescent="0.3">
      <c r="N29" s="146"/>
      <c r="O29" s="146"/>
      <c r="P29" s="146"/>
      <c r="Q29" s="146"/>
      <c r="R29" s="146"/>
      <c r="S29" s="146"/>
      <c r="W29" s="146"/>
      <c r="X29" s="146"/>
      <c r="Y29" s="146"/>
    </row>
    <row r="30" spans="1:28" x14ac:dyDescent="0.3">
      <c r="N30" s="146"/>
      <c r="O30" s="146"/>
      <c r="P30" s="146"/>
      <c r="Q30" s="146"/>
      <c r="R30" s="146"/>
      <c r="S30" s="146"/>
      <c r="W30" s="146"/>
      <c r="X30" s="146"/>
      <c r="Y30" s="146"/>
    </row>
    <row r="31" spans="1:28" x14ac:dyDescent="0.3">
      <c r="N31" s="146"/>
      <c r="O31" s="146"/>
      <c r="P31" s="146"/>
      <c r="Q31" s="146"/>
      <c r="R31" s="146"/>
      <c r="S31" s="146"/>
      <c r="W31" s="146"/>
      <c r="X31" s="146"/>
      <c r="Y31" s="146"/>
    </row>
    <row r="32" spans="1:28" x14ac:dyDescent="0.3">
      <c r="N32" s="146"/>
      <c r="O32" s="146"/>
      <c r="P32" s="146"/>
      <c r="Q32" s="146"/>
      <c r="R32" s="146"/>
      <c r="S32" s="146"/>
      <c r="W32" s="146"/>
      <c r="X32" s="146"/>
      <c r="Y32" s="146"/>
    </row>
    <row r="33" spans="14:25" x14ac:dyDescent="0.3">
      <c r="N33" s="146"/>
      <c r="O33" s="146"/>
      <c r="P33" s="146"/>
      <c r="Q33" s="146"/>
      <c r="R33" s="146"/>
      <c r="S33" s="146"/>
      <c r="W33" s="146"/>
      <c r="X33" s="146"/>
      <c r="Y33" s="146"/>
    </row>
    <row r="34" spans="14:25" x14ac:dyDescent="0.3">
      <c r="N34" s="146"/>
      <c r="O34" s="146"/>
      <c r="P34" s="146"/>
      <c r="Q34" s="146"/>
      <c r="R34" s="146"/>
      <c r="S34" s="146"/>
      <c r="W34" s="146"/>
      <c r="X34" s="146"/>
      <c r="Y34" s="146"/>
    </row>
    <row r="35" spans="14:25" x14ac:dyDescent="0.3">
      <c r="N35" s="146"/>
      <c r="O35" s="146"/>
      <c r="P35" s="146"/>
      <c r="Q35" s="146"/>
      <c r="R35" s="146"/>
      <c r="S35" s="146"/>
      <c r="W35" s="146"/>
      <c r="X35" s="146"/>
      <c r="Y35" s="146"/>
    </row>
    <row r="36" spans="14:25" x14ac:dyDescent="0.3">
      <c r="N36" s="146"/>
      <c r="O36" s="146"/>
      <c r="P36" s="146"/>
      <c r="Q36" s="146"/>
      <c r="R36" s="146"/>
      <c r="S36" s="146"/>
      <c r="W36" s="146"/>
      <c r="X36" s="146"/>
      <c r="Y36" s="146"/>
    </row>
    <row r="37" spans="14:25" x14ac:dyDescent="0.3">
      <c r="N37" s="146"/>
      <c r="O37" s="146"/>
      <c r="P37" s="146"/>
      <c r="Q37" s="146"/>
      <c r="R37" s="146"/>
      <c r="S37" s="146"/>
      <c r="W37" s="146"/>
      <c r="X37" s="146"/>
      <c r="Y37" s="146"/>
    </row>
  </sheetData>
  <conditionalFormatting sqref="B1:AB19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12</vt:i4>
      </vt:variant>
    </vt:vector>
  </HeadingPairs>
  <TitlesOfParts>
    <vt:vector size="20" baseType="lpstr">
      <vt:lpstr>Values</vt:lpstr>
      <vt:lpstr>ALL</vt:lpstr>
      <vt:lpstr>FLUID</vt:lpstr>
      <vt:lpstr>SOLID</vt:lpstr>
      <vt:lpstr>EVALUATION</vt:lpstr>
      <vt:lpstr>data</vt:lpstr>
      <vt:lpstr>A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2021-03-28T06:46:03Z</dcterms:modified>
</cp:coreProperties>
</file>