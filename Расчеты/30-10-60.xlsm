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1_{60499D06-0ABB-4CC1-9B4E-AA5080D316E1}" xr6:coauthVersionLast="46" xr6:coauthVersionMax="46" xr10:uidLastSave="{00000000-0000-0000-0000-000000000000}"/>
  <bookViews>
    <workbookView xWindow="28680" yWindow="-120" windowWidth="29040" windowHeight="15990" activeTab="1" xr2:uid="{0302BE19-1FF7-41F7-880F-6539212B9FEB}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SOLID" sheetId="12" r:id="rId6"/>
    <sheet name="dsolid" sheetId="15" r:id="rId7"/>
    <sheet name="Gibbs-EVAL" sheetId="8" r:id="rId8"/>
    <sheet name="Mass-EVAL" sheetId="14" r:id="rId9"/>
    <sheet name="data" sheetId="7" r:id="rId10"/>
  </sheets>
  <functionGroups builtInGroupCount="19"/>
  <definedNames>
    <definedName name="H.Ar" localSheetId="1">ALL!$F$34:$BR$34</definedName>
    <definedName name="H.Ar" localSheetId="3">FLUID!$F$34:$BR$34</definedName>
    <definedName name="H.Ar" localSheetId="5">SOLID!$F$34:$BR$34</definedName>
    <definedName name="H.Ga" localSheetId="1">ALL!$F$35:$BR$35</definedName>
    <definedName name="H.Ga" localSheetId="3">FLUID!$F$35:$BR$35</definedName>
    <definedName name="H.Ga" localSheetId="5">SOLID!$F$35:$BR$35</definedName>
    <definedName name="H.Ge" localSheetId="1">ALL!$F$36:$BR$36</definedName>
    <definedName name="H.Ge" localSheetId="3">FLUID!$F$36:$BR$36</definedName>
    <definedName name="H.Ge" localSheetId="5">SOLID!$F$36:$BR$36</definedName>
    <definedName name="H.Se" localSheetId="1">ALL!$F$37:$BR$37</definedName>
    <definedName name="H.Se" localSheetId="3">FLUID!$F$37:$BR$37</definedName>
    <definedName name="H.Se" localSheetId="5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90" i="11"/>
  <c r="F91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107" i="11" l="1"/>
  <c r="F88" i="11"/>
  <c r="F89" i="11"/>
  <c r="F84" i="11"/>
  <c r="F95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AE117" i="12" l="1"/>
  <c r="I117" i="12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BH115" i="4" s="1"/>
  <c r="L101" i="4"/>
  <c r="AA101" i="4"/>
  <c r="AI101" i="4"/>
  <c r="AQ101" i="4"/>
  <c r="AY101" i="4"/>
  <c r="BG101" i="4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K115" i="4" s="1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AI115" i="4" s="1"/>
  <c r="BA100" i="4"/>
  <c r="BQ100" i="4"/>
  <c r="U101" i="4"/>
  <c r="AF101" i="4"/>
  <c r="AN101" i="4"/>
  <c r="AV101" i="4"/>
  <c r="BD101" i="4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BC115" i="4" s="1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J114" i="4"/>
  <c r="AT115" i="4"/>
  <c r="AM116" i="4"/>
  <c r="AU116" i="4"/>
  <c r="BC116" i="4"/>
  <c r="BC114" i="4"/>
  <c r="BK114" i="4"/>
  <c r="AN116" i="4"/>
  <c r="BL114" i="4"/>
  <c r="BM116" i="4"/>
  <c r="BN116" i="4"/>
  <c r="AY116" i="4"/>
  <c r="BG116" i="4"/>
  <c r="BO116" i="4"/>
  <c r="AZ116" i="4"/>
  <c r="BH116" i="4"/>
  <c r="BP116" i="4"/>
  <c r="BP114" i="4"/>
  <c r="BI116" i="4"/>
  <c r="AS116" i="4"/>
  <c r="AS114" i="4"/>
  <c r="AY115" i="4"/>
  <c r="AZ115" i="4"/>
  <c r="BA115" i="4"/>
  <c r="BQ115" i="4"/>
  <c r="BB115" i="4"/>
  <c r="BJ115" i="4"/>
  <c r="BL115" i="4"/>
  <c r="AE116" i="4"/>
  <c r="G114" i="4"/>
  <c r="W114" i="4"/>
  <c r="P116" i="4"/>
  <c r="X116" i="4"/>
  <c r="AF116" i="4"/>
  <c r="H115" i="4"/>
  <c r="P115" i="4"/>
  <c r="X115" i="4"/>
  <c r="I116" i="4"/>
  <c r="Q116" i="4"/>
  <c r="Y116" i="4"/>
  <c r="AG116" i="4"/>
  <c r="J116" i="4"/>
  <c r="R116" i="4"/>
  <c r="Z116" i="4"/>
  <c r="Z114" i="4"/>
  <c r="K116" i="4"/>
  <c r="S116" i="4"/>
  <c r="AA114" i="4"/>
  <c r="AA115" i="4"/>
  <c r="L116" i="4"/>
  <c r="L114" i="4"/>
  <c r="T114" i="4"/>
  <c r="AB114" i="4"/>
  <c r="AB115" i="4"/>
  <c r="U116" i="4"/>
  <c r="G115" i="4"/>
  <c r="U115" i="4"/>
  <c r="AG115" i="4"/>
  <c r="I115" i="4"/>
  <c r="AC116" i="4"/>
  <c r="AC114" i="4"/>
  <c r="J115" i="4"/>
  <c r="W115" i="4"/>
  <c r="N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BB114" i="4" l="1"/>
  <c r="BQ116" i="4"/>
  <c r="BE116" i="4"/>
  <c r="BE118" i="4" s="1"/>
  <c r="H114" i="4"/>
  <c r="BP115" i="4"/>
  <c r="BD114" i="4"/>
  <c r="BD119" i="4" s="1"/>
  <c r="AS115" i="4"/>
  <c r="AS118" i="4" s="1"/>
  <c r="AP115" i="4"/>
  <c r="Z115" i="4"/>
  <c r="U114" i="4"/>
  <c r="U119" i="4" s="1"/>
  <c r="AM115" i="4"/>
  <c r="AM118" i="4" s="1"/>
  <c r="BA116" i="4"/>
  <c r="AX114" i="4"/>
  <c r="AW116" i="4"/>
  <c r="AW118" i="4" s="1"/>
  <c r="BD116" i="4"/>
  <c r="T115" i="4"/>
  <c r="J114" i="4"/>
  <c r="J119" i="4" s="1"/>
  <c r="V115" i="4"/>
  <c r="Y115" i="4"/>
  <c r="BN114" i="4"/>
  <c r="BN119" i="4" s="1"/>
  <c r="BH114" i="4"/>
  <c r="BH119" i="4" s="1"/>
  <c r="W116" i="4"/>
  <c r="W117" i="4" s="1"/>
  <c r="AL116" i="4"/>
  <c r="AL117" i="4" s="1"/>
  <c r="AR116" i="4"/>
  <c r="AR118" i="4" s="1"/>
  <c r="BF116" i="4"/>
  <c r="BF118" i="4" s="1"/>
  <c r="H116" i="4"/>
  <c r="H118" i="4" s="1"/>
  <c r="BD115" i="4"/>
  <c r="AN115" i="4"/>
  <c r="AN118" i="4" s="1"/>
  <c r="BG115" i="4"/>
  <c r="S114" i="4"/>
  <c r="S119" i="4" s="1"/>
  <c r="AV115" i="4"/>
  <c r="BO115" i="4"/>
  <c r="BO118" i="4" s="1"/>
  <c r="AC115" i="4"/>
  <c r="AC118" i="4" s="1"/>
  <c r="M115" i="4"/>
  <c r="BE114" i="4"/>
  <c r="BE119" i="4" s="1"/>
  <c r="AK115" i="4"/>
  <c r="AK118" i="4" s="1"/>
  <c r="AH115" i="4"/>
  <c r="AM114" i="4"/>
  <c r="AM119" i="4" s="1"/>
  <c r="N114" i="4"/>
  <c r="AR114" i="4"/>
  <c r="AR119" i="4" s="1"/>
  <c r="G116" i="4"/>
  <c r="G117" i="4" s="1"/>
  <c r="V116" i="4"/>
  <c r="V118" i="4" s="1"/>
  <c r="AB116" i="4"/>
  <c r="AB117" i="4" s="1"/>
  <c r="AI116" i="4"/>
  <c r="AI118" i="4" s="1"/>
  <c r="AP116" i="4"/>
  <c r="S115" i="4"/>
  <c r="S118" i="4" s="1"/>
  <c r="AT114" i="4"/>
  <c r="AT117" i="4" s="1"/>
  <c r="AH114" i="4"/>
  <c r="AQ114" i="4"/>
  <c r="AD116" i="4"/>
  <c r="AD118" i="4" s="1"/>
  <c r="R114" i="4"/>
  <c r="R117" i="4" s="1"/>
  <c r="AE114" i="4"/>
  <c r="AE117" i="4" s="1"/>
  <c r="AK114" i="4"/>
  <c r="AK119" i="4" s="1"/>
  <c r="AS119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BF119" i="4" s="1"/>
  <c r="V114" i="4"/>
  <c r="BQ114" i="4"/>
  <c r="BQ119" i="4" s="1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J118" i="4"/>
  <c r="BP119" i="4"/>
  <c r="BC119" i="4"/>
  <c r="BJ119" i="4"/>
  <c r="BB119" i="4"/>
  <c r="P119" i="4"/>
  <c r="BO114" i="4"/>
  <c r="BO119" i="4" s="1"/>
  <c r="R115" i="4"/>
  <c r="BM115" i="4"/>
  <c r="BM118" i="4" s="1"/>
  <c r="AP114" i="4"/>
  <c r="AP119" i="4" s="1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AN119" i="4" s="1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AL119" i="4"/>
  <c r="BR114" i="4"/>
  <c r="AG114" i="4"/>
  <c r="AG119" i="4" s="1"/>
  <c r="AB119" i="4"/>
  <c r="X114" i="4"/>
  <c r="X119" i="4" s="1"/>
  <c r="BA114" i="4"/>
  <c r="BA119" i="4" s="1"/>
  <c r="N116" i="4"/>
  <c r="AC119" i="4"/>
  <c r="W119" i="4"/>
  <c r="H119" i="4"/>
  <c r="G119" i="4"/>
  <c r="Z119" i="4"/>
  <c r="BA118" i="4"/>
  <c r="BQ118" i="4"/>
  <c r="AY118" i="4"/>
  <c r="AS117" i="4"/>
  <c r="BC118" i="4"/>
  <c r="BC117" i="4"/>
  <c r="BP117" i="4"/>
  <c r="BP118" i="4"/>
  <c r="BJ117" i="4"/>
  <c r="BI118" i="4"/>
  <c r="BH117" i="4"/>
  <c r="BH118" i="4"/>
  <c r="BB117" i="4"/>
  <c r="BB118" i="4"/>
  <c r="AZ118" i="4"/>
  <c r="BG118" i="4"/>
  <c r="BN118" i="4"/>
  <c r="BN117" i="4"/>
  <c r="AT118" i="4"/>
  <c r="J117" i="4"/>
  <c r="J118" i="4"/>
  <c r="L118" i="4"/>
  <c r="L117" i="4"/>
  <c r="U118" i="4"/>
  <c r="AC117" i="4"/>
  <c r="X118" i="4"/>
  <c r="P117" i="4"/>
  <c r="P118" i="4"/>
  <c r="K118" i="4"/>
  <c r="AG118" i="4"/>
  <c r="Y118" i="4"/>
  <c r="W118" i="4"/>
  <c r="Z117" i="4"/>
  <c r="Z118" i="4"/>
  <c r="AB118" i="4"/>
  <c r="I118" i="4"/>
  <c r="F115" i="4"/>
  <c r="F116" i="4"/>
  <c r="F114" i="4"/>
  <c r="BE117" i="4" l="1"/>
  <c r="AK117" i="4"/>
  <c r="S117" i="4"/>
  <c r="U117" i="4"/>
  <c r="AI117" i="4"/>
  <c r="AM117" i="4"/>
  <c r="BD118" i="4"/>
  <c r="BD117" i="4"/>
  <c r="N117" i="4"/>
  <c r="AP118" i="4"/>
  <c r="AT119" i="4"/>
  <c r="AL118" i="4"/>
  <c r="H117" i="4"/>
  <c r="T118" i="4"/>
  <c r="AR117" i="4"/>
  <c r="G118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<sst xmlns="http://schemas.openxmlformats.org/spreadsheetml/2006/main" count="206" uniqueCount="93">
  <si>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</si>
  <si>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</si>
  <si>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</si>
  <si>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</si>
  <si>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</si>
  <si>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</si>
  <si>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</si>
  <si>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</si>
  <si>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</si>
  <si>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</si>
  <si>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</si>
  <si>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</si>
  <si>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</si>
  <si>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</si>
  <si>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</si>
  <si>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</si>
  <si>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</si>
  <si>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</si>
  <si>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</si>
  <si>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</si>
  <si>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</si>
  <si>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</si>
  <si>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</si>
  <si>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</si>
  <si>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</si>
  <si>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</si>
  <si>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</si>
  <si>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</si>
  <si>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</si>
  <si>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</si>
  <si>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</si>
  <si>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</si>
  <si>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</si>
  <si>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</si>
  <si>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</si>
  <si>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</si>
  <si>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</si>
  <si>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</si>
  <si>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</si>
  <si>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</si>
  <si>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</si>
  <si>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</si>
  <si>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</si>
  <si>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</si>
  <si>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</si>
  <si>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</si>
  <si>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</si>
  <si>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</si>
  <si>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</si>
  <si>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</si>
  <si>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</si>
  <si>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</si>
  <si>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p(Ar)</t>
  </si>
  <si>
    <t>p(Ge)</t>
  </si>
  <si>
    <t>Vapor</t>
  </si>
  <si>
    <t>Solution #1</t>
  </si>
  <si>
    <t>*GeSe[l]</t>
  </si>
  <si>
    <r>
      <t>*GaSe</t>
    </r>
    <r>
      <rPr>
        <vertAlign val="subscript"/>
        <sz val="7.5"/>
        <rFont val="Arial"/>
        <family val="2"/>
        <charset val="204"/>
      </rPr>
      <t>2</t>
    </r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</si>
  <si>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</si>
  <si>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</si>
  <si>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</si>
  <si>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</si>
  <si>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</si>
  <si>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p(Ga)</t>
  </si>
  <si>
    <t>p(Se)</t>
  </si>
  <si>
    <t>*Ga[l]</t>
  </si>
  <si>
    <t>Temperature,K</t>
  </si>
  <si>
    <t>*GeSe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</si>
  <si>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</si>
  <si>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</si>
  <si>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</si>
  <si>
    <t>Se?</t>
  </si>
  <si>
    <t>(l)Ga[l]</t>
  </si>
  <si>
    <t>(DGeEU</t>
  </si>
  <si>
    <t>(DSeEU</t>
  </si>
  <si>
    <t>(DGeSeEU</t>
  </si>
  <si>
    <t>jXAr)</t>
  </si>
  <si>
    <r>
      <t>Se</t>
    </r>
    <r>
      <rPr>
        <vertAlign val="subscript"/>
        <sz val="7.5"/>
        <rFont val="Arial"/>
        <family val="2"/>
        <charset val="204"/>
      </rPr>
      <t>e</t>
    </r>
  </si>
  <si>
    <t>*GaSe2</t>
  </si>
  <si>
    <t>Se4</t>
  </si>
  <si>
    <t>Se5</t>
  </si>
  <si>
    <t>See</t>
  </si>
  <si>
    <t>Se3</t>
  </si>
  <si>
    <t>Se2</t>
  </si>
  <si>
    <t>Ga2Se</t>
  </si>
  <si>
    <t>(1)Ge[l]</t>
  </si>
  <si>
    <t>(1)se[l]</t>
  </si>
  <si>
    <t>(1)GeSe[l]</t>
  </si>
  <si>
    <t>*Ge[l]</t>
  </si>
  <si>
    <t>(DGaEU</t>
  </si>
  <si>
    <t>*GeSe2</t>
  </si>
  <si>
    <t>*Ga2Se3</t>
  </si>
  <si>
    <t>(1)Ga[l]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</si>
</sst>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74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0" fillId="0" borderId="0" xfId="0"/>
    <xf numFmtId="0" fontId="31" fillId="0" borderId="31" xfId="9" applyNumberFormat="1" applyFont="1" applyFill="1" applyBorder="1" applyAlignment="1" applyProtection="1">
      <alignment horizontal="left" vertical="top"/>
    </xf>
    <xf numFmtId="0" fontId="31" fillId="0" borderId="31" xfId="9" applyNumberFormat="1" applyFont="1" applyFill="1" applyBorder="1" applyAlignment="1" applyProtection="1">
      <alignment horizontal="center" vertical="top"/>
    </xf>
    <xf numFmtId="0" fontId="31" fillId="0" borderId="31" xfId="9" applyNumberFormat="1" applyFont="1" applyFill="1" applyBorder="1" applyAlignment="1" applyProtection="1">
      <alignment horizontal="right" vertical="top"/>
    </xf>
    <xf numFmtId="0" fontId="31" fillId="0" borderId="10" xfId="9" applyNumberFormat="1" applyFont="1" applyFill="1" applyBorder="1" applyAlignment="1" applyProtection="1">
      <alignment horizontal="left" vertical="top"/>
    </xf>
    <xf numFmtId="0" fontId="31" fillId="0" borderId="24" xfId="9" applyNumberFormat="1" applyFont="1" applyFill="1" applyBorder="1" applyAlignment="1" applyProtection="1">
      <alignment horizontal="left"/>
    </xf>
    <xf numFmtId="0" fontId="31" fillId="0" borderId="31" xfId="9" applyNumberFormat="1" applyFont="1" applyFill="1" applyBorder="1" applyAlignment="1" applyProtection="1">
      <alignment horizontal="left"/>
    </xf>
    <xf numFmtId="0" fontId="31" fillId="0" borderId="31" xfId="9" applyNumberFormat="1" applyFont="1" applyFill="1" applyBorder="1" applyAlignment="1" applyProtection="1">
      <alignment horizontal="left" vertical="top" indent="4"/>
    </xf>
    <xf numFmtId="0" fontId="31" fillId="0" borderId="31" xfId="9" applyNumberFormat="1" applyFont="1" applyFill="1" applyBorder="1" applyAlignment="1" applyProtection="1">
      <alignment horizontal="left" vertical="top" indent="3"/>
    </xf>
    <xf numFmtId="11" fontId="31" fillId="0" borderId="24" xfId="9" applyNumberFormat="1" applyFont="1" applyFill="1" applyBorder="1" applyAlignment="1" applyProtection="1">
      <alignment horizontal="center"/>
    </xf>
    <xf numFmtId="11" fontId="31" fillId="0" borderId="24" xfId="9" applyNumberFormat="1" applyFont="1" applyFill="1" applyBorder="1" applyAlignment="1" applyProtection="1">
      <alignment horizontal="justify"/>
    </xf>
    <xf numFmtId="11" fontId="31" fillId="0" borderId="31" xfId="9" applyNumberFormat="1" applyFont="1" applyFill="1" applyBorder="1" applyAlignment="1" applyProtection="1">
      <alignment horizontal="center" vertical="top"/>
    </xf>
    <xf numFmtId="11" fontId="31" fillId="0" borderId="31" xfId="9" applyNumberFormat="1" applyFont="1" applyFill="1" applyBorder="1" applyAlignment="1" applyProtection="1">
      <alignment horizontal="justify" vertical="top"/>
    </xf>
    <xf numFmtId="11" fontId="31" fillId="0" borderId="31" xfId="9" applyNumberFormat="1" applyFont="1" applyFill="1" applyBorder="1" applyAlignment="1" applyProtection="1">
      <alignment horizontal="justify"/>
    </xf>
    <xf numFmtId="11" fontId="31" fillId="0" borderId="31" xfId="9" applyNumberFormat="1" applyFont="1" applyFill="1" applyBorder="1" applyAlignment="1" applyProtection="1">
      <alignment horizontal="center"/>
    </xf>
    <xf numFmtId="11" fontId="31" fillId="0" borderId="10" xfId="9" applyNumberFormat="1" applyFont="1" applyFill="1" applyBorder="1" applyAlignment="1" applyProtection="1">
      <alignment horizontal="center" vertical="top"/>
    </xf>
    <xf numFmtId="11" fontId="31" fillId="0" borderId="10" xfId="9" applyNumberFormat="1" applyFont="1" applyFill="1" applyBorder="1" applyAlignment="1" applyProtection="1">
      <alignment horizontal="justify" vertical="top"/>
    </xf>
    <xf numFmtId="0" fontId="23" fillId="0" borderId="0" xfId="10" applyNumberFormat="1" applyFont="1" applyFill="1" applyBorder="1" applyAlignment="1" applyProtection="1">
      <alignment vertical="top"/>
    </xf>
    <xf numFmtId="0" fontId="31" fillId="0" borderId="31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left"/>
    </xf>
    <xf numFmtId="0" fontId="31" fillId="0" borderId="24" xfId="10" applyNumberFormat="1" applyFont="1" applyFill="1" applyBorder="1" applyAlignment="1" applyProtection="1">
      <alignment horizontal="left"/>
    </xf>
    <xf numFmtId="0" fontId="31" fillId="0" borderId="31" xfId="10" applyNumberFormat="1" applyFont="1" applyFill="1" applyBorder="1" applyAlignment="1" applyProtection="1">
      <alignment horizontal="center"/>
    </xf>
    <xf numFmtId="0" fontId="31" fillId="0" borderId="10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right"/>
    </xf>
    <xf numFmtId="11" fontId="31" fillId="0" borderId="24" xfId="10" applyNumberFormat="1" applyFont="1" applyFill="1" applyBorder="1" applyAlignment="1" applyProtection="1">
      <alignment horizontal="center"/>
    </xf>
    <xf numFmtId="11" fontId="31" fillId="0" borderId="24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center" vertical="top"/>
    </xf>
    <xf numFmtId="11" fontId="31" fillId="0" borderId="31" xfId="10" applyNumberFormat="1" applyFont="1" applyFill="1" applyBorder="1" applyAlignment="1" applyProtection="1">
      <alignment horizontal="justify" vertical="top"/>
    </xf>
    <xf numFmtId="11" fontId="31" fillId="0" borderId="31" xfId="10" applyNumberFormat="1" applyFont="1" applyFill="1" applyBorder="1" applyAlignment="1" applyProtection="1">
      <alignment horizontal="center"/>
    </xf>
    <xf numFmtId="11" fontId="31" fillId="0" borderId="31" xfId="10" applyNumberFormat="1" applyFont="1" applyFill="1" applyBorder="1" applyAlignment="1" applyProtection="1">
      <alignment horizontal="justify"/>
    </xf>
    <xf numFmtId="11" fontId="31" fillId="0" borderId="10" xfId="10" applyNumberFormat="1" applyFont="1" applyFill="1" applyBorder="1" applyAlignment="1" applyProtection="1">
      <alignment horizontal="center" vertical="top"/>
    </xf>
    <xf numFmtId="11" fontId="31" fillId="0" borderId="10" xfId="10" applyNumberFormat="1" applyFont="1" applyFill="1" applyBorder="1" applyAlignment="1" applyProtection="1">
      <alignment horizontal="justify" vertical="top"/>
    </xf>
    <xf numFmtId="0" fontId="2" fillId="4" borderId="0" xfId="5" applyAlignment="1">
      <alignment horizontal="left" vertical="center"/>
    </xf>
    <xf numFmtId="0" fontId="31" fillId="0" borderId="26" xfId="11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center" vertical="top"/>
    </xf>
    <xf numFmtId="0" fontId="31" fillId="0" borderId="31" xfId="11" applyNumberFormat="1" applyFont="1" applyFill="1" applyBorder="1" applyAlignment="1" applyProtection="1">
      <alignment horizontal="right" vertical="top"/>
    </xf>
    <xf numFmtId="0" fontId="31" fillId="0" borderId="34" xfId="11" applyNumberFormat="1" applyFont="1" applyFill="1" applyBorder="1" applyAlignment="1" applyProtection="1">
      <alignment horizontal="left" vertical="top"/>
    </xf>
    <xf numFmtId="0" fontId="31" fillId="0" borderId="35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justify" vertical="top"/>
    </xf>
    <xf numFmtId="0" fontId="31" fillId="0" borderId="26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left" vertical="top" indent="4"/>
    </xf>
    <xf numFmtId="11" fontId="31" fillId="0" borderId="24" xfId="11" applyNumberFormat="1" applyFont="1" applyFill="1" applyBorder="1" applyAlignment="1" applyProtection="1">
      <alignment horizontal="center"/>
    </xf>
    <xf numFmtId="11" fontId="31" fillId="0" borderId="24" xfId="11" applyNumberFormat="1" applyFont="1" applyFill="1" applyBorder="1" applyAlignment="1" applyProtection="1">
      <alignment horizontal="justify"/>
    </xf>
    <xf numFmtId="11" fontId="31" fillId="0" borderId="31" xfId="11" applyNumberFormat="1" applyFont="1" applyFill="1" applyBorder="1" applyAlignment="1" applyProtection="1">
      <alignment horizontal="center" vertical="top"/>
    </xf>
    <xf numFmtId="11" fontId="31" fillId="0" borderId="31" xfId="11" applyNumberFormat="1" applyFont="1" applyFill="1" applyBorder="1" applyAlignment="1" applyProtection="1">
      <alignment horizontal="justify" vertical="top"/>
    </xf>
    <xf numFmtId="11" fontId="31" fillId="0" borderId="31" xfId="11" applyNumberFormat="1" applyFont="1" applyFill="1" applyBorder="1" applyAlignment="1" applyProtection="1">
      <alignment horizontal="center"/>
    </xf>
    <xf numFmtId="11" fontId="31" fillId="0" borderId="31" xfId="11" applyNumberFormat="1" applyFont="1" applyFill="1" applyBorder="1" applyAlignment="1" applyProtection="1">
      <alignment horizontal="justify"/>
    </xf>
    <xf numFmtId="11" fontId="31" fillId="0" borderId="10" xfId="11" applyNumberFormat="1" applyFont="1" applyFill="1" applyBorder="1" applyAlignment="1" applyProtection="1">
      <alignment horizontal="center" vertical="top"/>
    </xf>
    <xf numFmtId="11" fontId="31" fillId="0" borderId="10" xfId="11" applyNumberFormat="1" applyFont="1" applyFill="1" applyBorder="1" applyAlignment="1" applyProtection="1">
      <alignment horizontal="justify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31" fillId="0" borderId="31" xfId="11" applyNumberFormat="1" applyFont="1" applyFill="1" applyBorder="1" applyAlignment="1" applyProtection="1">
      <alignment horizontal="left" vertical="top"/>
    </xf>
    <xf numFmtId="0" fontId="31" fillId="0" borderId="10" xfId="11" applyNumberFormat="1" applyFont="1" applyFill="1" applyBorder="1" applyAlignment="1" applyProtection="1">
      <alignment horizontal="center" vertical="top"/>
    </xf>
    <xf numFmtId="0" fontId="23" fillId="0" borderId="31" xfId="11" applyNumberFormat="1" applyFont="1" applyFill="1" applyBorder="1" applyAlignment="1" applyProtection="1">
      <alignment horizontal="left" vertical="top"/>
    </xf>
    <xf numFmtId="0" fontId="31" fillId="0" borderId="24" xfId="11" applyNumberFormat="1" applyFont="1" applyFill="1" applyBorder="1" applyAlignment="1" applyProtection="1">
      <alignment horizontal="justify"/>
    </xf>
    <xf numFmtId="0" fontId="31" fillId="0" borderId="31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center"/>
    </xf>
    <xf numFmtId="0" fontId="31" fillId="0" borderId="31" xfId="11" applyNumberFormat="1" applyFont="1" applyFill="1" applyBorder="1" applyAlignment="1" applyProtection="1">
      <alignment horizontal="justify"/>
    </xf>
    <xf numFmtId="0" fontId="31" fillId="0" borderId="10" xfId="11" applyNumberFormat="1" applyFont="1" applyFill="1" applyBorder="1" applyAlignment="1" applyProtection="1">
      <alignment horizontal="left"/>
    </xf>
    <xf numFmtId="0" fontId="23" fillId="0" borderId="1" xfId="11" applyNumberFormat="1" applyFont="1" applyFill="1" applyBorder="1" applyAlignment="1" applyProtection="1">
      <alignment horizontal="left" vertical="top"/>
    </xf>
    <xf numFmtId="0" fontId="31" fillId="0" borderId="24" xfId="11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left" vertical="top" indent="1"/>
    </xf>
    <xf numFmtId="0" fontId="31" fillId="0" borderId="10" xfId="11" applyNumberFormat="1" applyFont="1" applyFill="1" applyBorder="1" applyAlignment="1" applyProtection="1">
      <alignment horizontal="justify" vertical="top"/>
    </xf>
    <xf numFmtId="0" fontId="31" fillId="0" borderId="10" xfId="11" applyNumberFormat="1" applyFont="1" applyFill="1" applyBorder="1" applyAlignment="1" applyProtection="1">
      <alignment horizontal="left" vertical="top"/>
    </xf>
  </cellXfs>
  <cellStyles count="12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fluid1" xfId="10" xr:uid="{AB236CEF-867D-4E19-BDF9-CFFABB19E250}"/>
    <cellStyle name="Обычный_dsolid" xfId="11" xr:uid="{5ACCF6EB-5BA3-432C-816F-5019C339153B}"/>
    <cellStyle name="Обычный_Лист1" xfId="9" xr:uid="{558E9AFF-95A1-4CD5-A784-F1AA712F998D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ALL!$F$24:$BR$24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-128.38480977300003</c:v>
                </c:pt>
                <c:pt idx="1">
                  <c:v>-138.75957746560002</c:v>
                </c:pt>
                <c:pt idx="2">
                  <c:v>-150.4600616967</c:v>
                </c:pt>
                <c:pt idx="3">
                  <c:v>-163.31063749999998</c:v>
                </c:pt>
                <c:pt idx="4">
                  <c:v>-166.68482012980004</c:v>
                </c:pt>
                <c:pt idx="5">
                  <c:v>-170.07394003599998</c:v>
                </c:pt>
                <c:pt idx="6">
                  <c:v>-173.558530357</c:v>
                </c:pt>
                <c:pt idx="7">
                  <c:v>-177.13799743750005</c:v>
                </c:pt>
                <c:pt idx="8">
                  <c:v>-180.75165374200003</c:v>
                </c:pt>
                <c:pt idx="9">
                  <c:v>-184.38314742049999</c:v>
                </c:pt>
                <c:pt idx="10">
                  <c:v>-188.09551346900002</c:v>
                </c:pt>
                <c:pt idx="11">
                  <c:v>-191.86731987800002</c:v>
                </c:pt>
                <c:pt idx="12">
                  <c:v>-207.54484619040002</c:v>
                </c:pt>
                <c:pt idx="13">
                  <c:v>-224.04450139400001</c:v>
                </c:pt>
                <c:pt idx="14">
                  <c:v>-241.4230247454</c:v>
                </c:pt>
                <c:pt idx="15">
                  <c:v>-259.63618643040002</c:v>
                </c:pt>
                <c:pt idx="16">
                  <c:v>-278.76550125270001</c:v>
                </c:pt>
                <c:pt idx="17">
                  <c:v>-298.82867300000009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7.9999000000000001E-2</c:v>
                </c:pt>
                <c:pt idx="14">
                  <c:v>7.9994999999999997E-2</c:v>
                </c:pt>
                <c:pt idx="15">
                  <c:v>7.9981999999999998E-2</c:v>
                </c:pt>
                <c:pt idx="16">
                  <c:v>7.9953999999999997E-2</c:v>
                </c:pt>
                <c:pt idx="17">
                  <c:v>7.9901E-2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1.2480000000000001E-7</c:v>
                </c:pt>
                <c:pt idx="1">
                  <c:v>1.4497999999999999E-7</c:v>
                </c:pt>
                <c:pt idx="2">
                  <c:v>1.1901E-7</c:v>
                </c:pt>
                <c:pt idx="3">
                  <c:v>1.1696999999999999E-7</c:v>
                </c:pt>
                <c:pt idx="4">
                  <c:v>1.4616000000000001E-7</c:v>
                </c:pt>
                <c:pt idx="5">
                  <c:v>1.3848000000000001E-7</c:v>
                </c:pt>
                <c:pt idx="6">
                  <c:v>1.3294E-7</c:v>
                </c:pt>
                <c:pt idx="7">
                  <c:v>1.289E-7</c:v>
                </c:pt>
                <c:pt idx="8">
                  <c:v>1.2597999999999999E-7</c:v>
                </c:pt>
                <c:pt idx="9">
                  <c:v>1.2445999999999999E-7</c:v>
                </c:pt>
                <c:pt idx="10">
                  <c:v>1.2256999999999999E-7</c:v>
                </c:pt>
                <c:pt idx="11">
                  <c:v>1.2032999999999999E-7</c:v>
                </c:pt>
                <c:pt idx="12">
                  <c:v>1.151E-7</c:v>
                </c:pt>
                <c:pt idx="13">
                  <c:v>1.1756E-7</c:v>
                </c:pt>
                <c:pt idx="14">
                  <c:v>1.3117999999999999E-7</c:v>
                </c:pt>
                <c:pt idx="15">
                  <c:v>1.2918E-7</c:v>
                </c:pt>
                <c:pt idx="16">
                  <c:v>1.3701999999999999E-7</c:v>
                </c:pt>
                <c:pt idx="17">
                  <c:v>2.1261E-7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8.6381000000000006E-25</c:v>
                </c:pt>
                <c:pt idx="1">
                  <c:v>3.2597999999999998E-19</c:v>
                </c:pt>
                <c:pt idx="2">
                  <c:v>1.3768E-15</c:v>
                </c:pt>
                <c:pt idx="3">
                  <c:v>4.5987000000000004E-13</c:v>
                </c:pt>
                <c:pt idx="4">
                  <c:v>1.5002E-12</c:v>
                </c:pt>
                <c:pt idx="5">
                  <c:v>4.4914E-12</c:v>
                </c:pt>
                <c:pt idx="6">
                  <c:v>1.2447E-11</c:v>
                </c:pt>
                <c:pt idx="7">
                  <c:v>3.2169999999999997E-11</c:v>
                </c:pt>
                <c:pt idx="8">
                  <c:v>7.8054E-11</c:v>
                </c:pt>
                <c:pt idx="9">
                  <c:v>1.7882000000000001E-10</c:v>
                </c:pt>
                <c:pt idx="10">
                  <c:v>3.8879999999999999E-10</c:v>
                </c:pt>
                <c:pt idx="11">
                  <c:v>8.0594999999999999E-10</c:v>
                </c:pt>
                <c:pt idx="12">
                  <c:v>9.9398999999999996E-9</c:v>
                </c:pt>
                <c:pt idx="13">
                  <c:v>7.3557000000000001E-8</c:v>
                </c:pt>
                <c:pt idx="14">
                  <c:v>3.6923999999999999E-7</c:v>
                </c:pt>
                <c:pt idx="15">
                  <c:v>1.3405999999999999E-6</c:v>
                </c:pt>
                <c:pt idx="16">
                  <c:v>3.5520999999999998E-6</c:v>
                </c:pt>
                <c:pt idx="17">
                  <c:v>6.6648000000000001E-6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1.0378E-21</c:v>
                </c:pt>
                <c:pt idx="1">
                  <c:v>1.2814E-16</c:v>
                </c:pt>
                <c:pt idx="2">
                  <c:v>2.4167999999999999E-13</c:v>
                </c:pt>
                <c:pt idx="3">
                  <c:v>4.3687E-11</c:v>
                </c:pt>
                <c:pt idx="4">
                  <c:v>1.2493E-10</c:v>
                </c:pt>
                <c:pt idx="5">
                  <c:v>3.3025000000000002E-10</c:v>
                </c:pt>
                <c:pt idx="6">
                  <c:v>8.1345000000000002E-10</c:v>
                </c:pt>
                <c:pt idx="7">
                  <c:v>1.8800000000000001E-9</c:v>
                </c:pt>
                <c:pt idx="8">
                  <c:v>4.1016999999999996E-9</c:v>
                </c:pt>
                <c:pt idx="9">
                  <c:v>8.4934999999999993E-9</c:v>
                </c:pt>
                <c:pt idx="10">
                  <c:v>1.6770999999999998E-8</c:v>
                </c:pt>
                <c:pt idx="11">
                  <c:v>3.1712E-8</c:v>
                </c:pt>
                <c:pt idx="12">
                  <c:v>2.8132999999999999E-7</c:v>
                </c:pt>
                <c:pt idx="13">
                  <c:v>1.5732E-6</c:v>
                </c:pt>
                <c:pt idx="14">
                  <c:v>6.1831000000000001E-6</c:v>
                </c:pt>
                <c:pt idx="15">
                  <c:v>1.7938999999999999E-5</c:v>
                </c:pt>
                <c:pt idx="16">
                  <c:v>3.7982999999999999E-5</c:v>
                </c:pt>
                <c:pt idx="17">
                  <c:v>5.5568000000000001E-5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1.6579999999999999E-19</c:v>
                </c:pt>
                <c:pt idx="1">
                  <c:v>2.9483999999999999E-15</c:v>
                </c:pt>
                <c:pt idx="2">
                  <c:v>1.422E-12</c:v>
                </c:pt>
                <c:pt idx="3">
                  <c:v>9.2904000000000006E-11</c:v>
                </c:pt>
                <c:pt idx="4">
                  <c:v>2.1412000000000001E-10</c:v>
                </c:pt>
                <c:pt idx="5">
                  <c:v>4.6195999999999997E-10</c:v>
                </c:pt>
                <c:pt idx="6">
                  <c:v>9.3944000000000001E-10</c:v>
                </c:pt>
                <c:pt idx="7">
                  <c:v>1.8116E-9</c:v>
                </c:pt>
                <c:pt idx="8">
                  <c:v>3.3297000000000002E-9</c:v>
                </c:pt>
                <c:pt idx="9">
                  <c:v>5.8604999999999998E-9</c:v>
                </c:pt>
                <c:pt idx="10">
                  <c:v>9.9168999999999999E-9</c:v>
                </c:pt>
                <c:pt idx="11">
                  <c:v>1.6190999999999999E-8</c:v>
                </c:pt>
                <c:pt idx="12">
                  <c:v>8.5194000000000002E-8</c:v>
                </c:pt>
                <c:pt idx="13">
                  <c:v>3.0718999999999999E-7</c:v>
                </c:pt>
                <c:pt idx="14">
                  <c:v>8.2786999999999996E-7</c:v>
                </c:pt>
                <c:pt idx="15">
                  <c:v>1.7149000000000001E-6</c:v>
                </c:pt>
                <c:pt idx="16">
                  <c:v>2.6336999999999999E-6</c:v>
                </c:pt>
                <c:pt idx="17">
                  <c:v>2.7618E-6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5.92E-21</c:v>
                </c:pt>
                <c:pt idx="1">
                  <c:v>1.8415999999999999E-16</c:v>
                </c:pt>
                <c:pt idx="2">
                  <c:v>1.2191000000000001E-13</c:v>
                </c:pt>
                <c:pt idx="3">
                  <c:v>9.6337E-12</c:v>
                </c:pt>
                <c:pt idx="4">
                  <c:v>2.2992999999999999E-11</c:v>
                </c:pt>
                <c:pt idx="5">
                  <c:v>5.1175E-11</c:v>
                </c:pt>
                <c:pt idx="6">
                  <c:v>1.0700000000000001E-10</c:v>
                </c:pt>
                <c:pt idx="7">
                  <c:v>2.1149999999999999E-10</c:v>
                </c:pt>
                <c:pt idx="8">
                  <c:v>3.9742999999999999E-10</c:v>
                </c:pt>
                <c:pt idx="9">
                  <c:v>7.1344999999999995E-10</c:v>
                </c:pt>
                <c:pt idx="10">
                  <c:v>1.2286999999999999E-9</c:v>
                </c:pt>
                <c:pt idx="11">
                  <c:v>2.0380000000000002E-9</c:v>
                </c:pt>
                <c:pt idx="12">
                  <c:v>1.1246E-8</c:v>
                </c:pt>
                <c:pt idx="13">
                  <c:v>4.1723999999999997E-8</c:v>
                </c:pt>
                <c:pt idx="14">
                  <c:v>1.1389999999999999E-7</c:v>
                </c:pt>
                <c:pt idx="15">
                  <c:v>2.3447000000000001E-7</c:v>
                </c:pt>
                <c:pt idx="16">
                  <c:v>3.4686999999999998E-7</c:v>
                </c:pt>
                <c:pt idx="17">
                  <c:v>3.3353E-7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1.9728000000000001E-26</c:v>
                </c:pt>
                <c:pt idx="1">
                  <c:v>2.9865E-20</c:v>
                </c:pt>
                <c:pt idx="2">
                  <c:v>3.4282000000000002E-16</c:v>
                </c:pt>
                <c:pt idx="3">
                  <c:v>2.4458E-13</c:v>
                </c:pt>
                <c:pt idx="4">
                  <c:v>9.3853000000000004E-13</c:v>
                </c:pt>
                <c:pt idx="5">
                  <c:v>3.2754E-12</c:v>
                </c:pt>
                <c:pt idx="6">
                  <c:v>1.0494E-11</c:v>
                </c:pt>
                <c:pt idx="7">
                  <c:v>3.1119000000000003E-11</c:v>
                </c:pt>
                <c:pt idx="8">
                  <c:v>8.6027999999999995E-11</c:v>
                </c:pt>
                <c:pt idx="9">
                  <c:v>2.2312E-10</c:v>
                </c:pt>
                <c:pt idx="10">
                  <c:v>5.4593E-10</c:v>
                </c:pt>
                <c:pt idx="11">
                  <c:v>1.2664999999999999E-9</c:v>
                </c:pt>
                <c:pt idx="12">
                  <c:v>2.3365000000000001E-8</c:v>
                </c:pt>
                <c:pt idx="13">
                  <c:v>2.4317000000000003E-7</c:v>
                </c:pt>
                <c:pt idx="14">
                  <c:v>1.6413000000000001E-6</c:v>
                </c:pt>
                <c:pt idx="15">
                  <c:v>7.7919999999999993E-6</c:v>
                </c:pt>
                <c:pt idx="16">
                  <c:v>2.6840999999999999E-5</c:v>
                </c:pt>
                <c:pt idx="17">
                  <c:v>6.6771000000000002E-5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6.6000999999999998E-21</c:v>
                </c:pt>
                <c:pt idx="1">
                  <c:v>7.7948999999999997E-16</c:v>
                </c:pt>
                <c:pt idx="2">
                  <c:v>1.7713999999999999E-12</c:v>
                </c:pt>
                <c:pt idx="3">
                  <c:v>4.1982999999999999E-10</c:v>
                </c:pt>
                <c:pt idx="4">
                  <c:v>1.2914999999999999E-9</c:v>
                </c:pt>
                <c:pt idx="5">
                  <c:v>3.6758000000000001E-9</c:v>
                </c:pt>
                <c:pt idx="6">
                  <c:v>9.7531000000000002E-9</c:v>
                </c:pt>
                <c:pt idx="7">
                  <c:v>2.4284999999999999E-8</c:v>
                </c:pt>
                <c:pt idx="8">
                  <c:v>5.7081E-8</c:v>
                </c:pt>
                <c:pt idx="9">
                  <c:v>1.2730000000000001E-7</c:v>
                </c:pt>
                <c:pt idx="10">
                  <c:v>2.7058999999999999E-7</c:v>
                </c:pt>
                <c:pt idx="11">
                  <c:v>5.5044E-7</c:v>
                </c:pt>
                <c:pt idx="12">
                  <c:v>6.4915999999999998E-6</c:v>
                </c:pt>
                <c:pt idx="13">
                  <c:v>4.7651000000000002E-5</c:v>
                </c:pt>
                <c:pt idx="14">
                  <c:v>2.4436E-4</c:v>
                </c:pt>
                <c:pt idx="15">
                  <c:v>9.3941999999999995E-4</c:v>
                </c:pt>
                <c:pt idx="16">
                  <c:v>2.7988000000000002E-3</c:v>
                </c:pt>
                <c:pt idx="17">
                  <c:v>6.5037000000000003E-3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1.7033E-30</c:v>
                </c:pt>
                <c:pt idx="3">
                  <c:v>1.9629E-24</c:v>
                </c:pt>
                <c:pt idx="4">
                  <c:v>3.5345999999999997E-23</c:v>
                </c:pt>
                <c:pt idx="5">
                  <c:v>5.2392E-22</c:v>
                </c:pt>
                <c:pt idx="6">
                  <c:v>6.5050000000000002E-21</c:v>
                </c:pt>
                <c:pt idx="7">
                  <c:v>6.8691999999999999E-20</c:v>
                </c:pt>
                <c:pt idx="8">
                  <c:v>6.2529999999999996E-19</c:v>
                </c:pt>
                <c:pt idx="9">
                  <c:v>4.9653000000000001E-18</c:v>
                </c:pt>
                <c:pt idx="10">
                  <c:v>3.4757999999999999E-17</c:v>
                </c:pt>
                <c:pt idx="11">
                  <c:v>2.1650999999999999E-16</c:v>
                </c:pt>
                <c:pt idx="12">
                  <c:v>1.185E-13</c:v>
                </c:pt>
                <c:pt idx="13">
                  <c:v>1.7155000000000001E-11</c:v>
                </c:pt>
                <c:pt idx="14">
                  <c:v>8.7575E-10</c:v>
                </c:pt>
                <c:pt idx="15">
                  <c:v>1.9566000000000001E-8</c:v>
                </c:pt>
                <c:pt idx="16">
                  <c:v>2.301E-7</c:v>
                </c:pt>
                <c:pt idx="17">
                  <c:v>1.6774E-6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5.3979000000000001E-22</c:v>
                      </c:pt>
                      <c:pt idx="1">
                        <c:v>2.7796000000000002E-17</c:v>
                      </c:pt>
                      <c:pt idx="2">
                        <c:v>4.7004999999999998E-14</c:v>
                      </c:pt>
                      <c:pt idx="3">
                        <c:v>1.0418E-11</c:v>
                      </c:pt>
                      <c:pt idx="4">
                        <c:v>3.2057999999999999E-11</c:v>
                      </c:pt>
                      <c:pt idx="5">
                        <c:v>9.1611000000000003E-11</c:v>
                      </c:pt>
                      <c:pt idx="6">
                        <c:v>2.4466000000000001E-10</c:v>
                      </c:pt>
                      <c:pt idx="7">
                        <c:v>6.1412000000000005E-10</c:v>
                      </c:pt>
                      <c:pt idx="8">
                        <c:v>1.4558999999999999E-9</c:v>
                      </c:pt>
                      <c:pt idx="9">
                        <c:v>3.2743000000000002E-9</c:v>
                      </c:pt>
                      <c:pt idx="10">
                        <c:v>7.0129999999999997E-9</c:v>
                      </c:pt>
                      <c:pt idx="11">
                        <c:v>1.4354000000000001E-8</c:v>
                      </c:pt>
                      <c:pt idx="12">
                        <c:v>1.6952E-7</c:v>
                      </c:pt>
                      <c:pt idx="13">
                        <c:v>1.1824000000000001E-6</c:v>
                      </c:pt>
                      <c:pt idx="14">
                        <c:v>5.4283000000000002E-6</c:v>
                      </c:pt>
                      <c:pt idx="15">
                        <c:v>1.7833999999999999E-5</c:v>
                      </c:pt>
                      <c:pt idx="16">
                        <c:v>4.5255E-5</c:v>
                      </c:pt>
                      <c:pt idx="17">
                        <c:v>9.5416999999999998E-5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4.7299000000000001E-17</c:v>
                      </c:pt>
                      <c:pt idx="1">
                        <c:v>9.8783999999999996E-14</c:v>
                      </c:pt>
                      <c:pt idx="2">
                        <c:v>1.7286E-11</c:v>
                      </c:pt>
                      <c:pt idx="3">
                        <c:v>7.1430999999999999E-10</c:v>
                      </c:pt>
                      <c:pt idx="4">
                        <c:v>1.5475000000000001E-9</c:v>
                      </c:pt>
                      <c:pt idx="5">
                        <c:v>3.1868999999999998E-9</c:v>
                      </c:pt>
                      <c:pt idx="6">
                        <c:v>6.2687999999999997E-9</c:v>
                      </c:pt>
                      <c:pt idx="7">
                        <c:v>1.1828E-8</c:v>
                      </c:pt>
                      <c:pt idx="8">
                        <c:v>2.1486000000000001E-8</c:v>
                      </c:pt>
                      <c:pt idx="9">
                        <c:v>3.7698999999999999E-8</c:v>
                      </c:pt>
                      <c:pt idx="10">
                        <c:v>6.4079000000000001E-8</c:v>
                      </c:pt>
                      <c:pt idx="11">
                        <c:v>1.0578E-7</c:v>
                      </c:pt>
                      <c:pt idx="12">
                        <c:v>6.1266000000000003E-7</c:v>
                      </c:pt>
                      <c:pt idx="13">
                        <c:v>2.5838000000000001E-6</c:v>
                      </c:pt>
                      <c:pt idx="14">
                        <c:v>8.6036000000000001E-6</c:v>
                      </c:pt>
                      <c:pt idx="15">
                        <c:v>2.4057999999999999E-5</c:v>
                      </c:pt>
                      <c:pt idx="16">
                        <c:v>5.961E-5</c:v>
                      </c:pt>
                      <c:pt idx="17">
                        <c:v>1.3742999999999999E-4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7.9999000000000001E-2</c:v>
                      </c:pt>
                      <c:pt idx="11">
                        <c:v>7.9999000000000001E-2</c:v>
                      </c:pt>
                      <c:pt idx="12">
                        <c:v>7.9986000000000002E-2</c:v>
                      </c:pt>
                      <c:pt idx="13">
                        <c:v>7.9898999999999998E-2</c:v>
                      </c:pt>
                      <c:pt idx="14">
                        <c:v>7.9488000000000003E-2</c:v>
                      </c:pt>
                      <c:pt idx="15">
                        <c:v>7.8050999999999995E-2</c:v>
                      </c:pt>
                      <c:pt idx="16">
                        <c:v>7.4249999999999997E-2</c:v>
                      </c:pt>
                      <c:pt idx="17">
                        <c:v>6.6802E-2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0.23999000000000001</c:v>
                      </c:pt>
                      <c:pt idx="15">
                        <c:v>0.23998</c:v>
                      </c:pt>
                      <c:pt idx="16">
                        <c:v>0.23993999999999999</c:v>
                      </c:pt>
                      <c:pt idx="17">
                        <c:v>0.23985999999999999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-18.87</c:v>
                      </c:pt>
                      <c:pt idx="5">
                        <c:v>-18.899999999999999</c:v>
                      </c:pt>
                      <c:pt idx="6">
                        <c:v>-18.940000000000001</c:v>
                      </c:pt>
                      <c:pt idx="7">
                        <c:v>-18.97</c:v>
                      </c:pt>
                      <c:pt idx="8">
                        <c:v>-19.010000000000002</c:v>
                      </c:pt>
                      <c:pt idx="9">
                        <c:v>-19.04</c:v>
                      </c:pt>
                      <c:pt idx="10">
                        <c:v>-19.07</c:v>
                      </c:pt>
                      <c:pt idx="11">
                        <c:v>-19.11</c:v>
                      </c:pt>
                      <c:pt idx="12">
                        <c:v>-19.25</c:v>
                      </c:pt>
                      <c:pt idx="13">
                        <c:v>-19.38</c:v>
                      </c:pt>
                      <c:pt idx="14">
                        <c:v>-19.52</c:v>
                      </c:pt>
                      <c:pt idx="15">
                        <c:v>-19.649999999999999</c:v>
                      </c:pt>
                      <c:pt idx="16">
                        <c:v>-19.78</c:v>
                      </c:pt>
                      <c:pt idx="17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-52.5</c:v>
                      </c:pt>
                      <c:pt idx="1">
                        <c:v>-42.14</c:v>
                      </c:pt>
                      <c:pt idx="2">
                        <c:v>-35.15</c:v>
                      </c:pt>
                      <c:pt idx="3">
                        <c:v>-30.14</c:v>
                      </c:pt>
                      <c:pt idx="4">
                        <c:v>-29.11</c:v>
                      </c:pt>
                      <c:pt idx="5">
                        <c:v>-28.15</c:v>
                      </c:pt>
                      <c:pt idx="6">
                        <c:v>-27.25</c:v>
                      </c:pt>
                      <c:pt idx="7">
                        <c:v>-26.42</c:v>
                      </c:pt>
                      <c:pt idx="8">
                        <c:v>-25.64</c:v>
                      </c:pt>
                      <c:pt idx="9">
                        <c:v>-24.91</c:v>
                      </c:pt>
                      <c:pt idx="10">
                        <c:v>-24.22</c:v>
                      </c:pt>
                      <c:pt idx="11">
                        <c:v>-23.59</c:v>
                      </c:pt>
                      <c:pt idx="12">
                        <c:v>-21.41</c:v>
                      </c:pt>
                      <c:pt idx="13">
                        <c:v>-19.73</c:v>
                      </c:pt>
                      <c:pt idx="14">
                        <c:v>-18.45</c:v>
                      </c:pt>
                      <c:pt idx="15">
                        <c:v>-17.489999999999998</c:v>
                      </c:pt>
                      <c:pt idx="16">
                        <c:v>-16.760000000000002</c:v>
                      </c:pt>
                      <c:pt idx="17">
                        <c:v>-16.190000000000001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-27.89</c:v>
                      </c:pt>
                      <c:pt idx="1">
                        <c:v>-23.3</c:v>
                      </c:pt>
                      <c:pt idx="2">
                        <c:v>-20.3</c:v>
                      </c:pt>
                      <c:pt idx="3">
                        <c:v>-18.22</c:v>
                      </c:pt>
                      <c:pt idx="4">
                        <c:v>-17.8</c:v>
                      </c:pt>
                      <c:pt idx="5">
                        <c:v>-17.399999999999999</c:v>
                      </c:pt>
                      <c:pt idx="6">
                        <c:v>-17.04</c:v>
                      </c:pt>
                      <c:pt idx="7">
                        <c:v>-16.7</c:v>
                      </c:pt>
                      <c:pt idx="8">
                        <c:v>-16.39</c:v>
                      </c:pt>
                      <c:pt idx="9">
                        <c:v>-16.09</c:v>
                      </c:pt>
                      <c:pt idx="10">
                        <c:v>-15.82</c:v>
                      </c:pt>
                      <c:pt idx="11">
                        <c:v>-15.56</c:v>
                      </c:pt>
                      <c:pt idx="12">
                        <c:v>-14.69</c:v>
                      </c:pt>
                      <c:pt idx="13">
                        <c:v>-14</c:v>
                      </c:pt>
                      <c:pt idx="14">
                        <c:v>-13.45</c:v>
                      </c:pt>
                      <c:pt idx="15">
                        <c:v>-12.99</c:v>
                      </c:pt>
                      <c:pt idx="16">
                        <c:v>-12.58</c:v>
                      </c:pt>
                      <c:pt idx="17">
                        <c:v>-12.18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-5.5750000000000002</c:v>
                      </c:pt>
                      <c:pt idx="1">
                        <c:v>-5.9269999999999996</c:v>
                      </c:pt>
                      <c:pt idx="2">
                        <c:v>-6.3159999999999998</c:v>
                      </c:pt>
                      <c:pt idx="3">
                        <c:v>-6.7</c:v>
                      </c:pt>
                      <c:pt idx="4">
                        <c:v>-6.7930000000000001</c:v>
                      </c:pt>
                      <c:pt idx="5">
                        <c:v>-6.8849999999999998</c:v>
                      </c:pt>
                      <c:pt idx="6">
                        <c:v>-6.9749999999999996</c:v>
                      </c:pt>
                      <c:pt idx="7">
                        <c:v>-7.0650000000000004</c:v>
                      </c:pt>
                      <c:pt idx="8">
                        <c:v>-7.1520000000000001</c:v>
                      </c:pt>
                      <c:pt idx="9">
                        <c:v>-7.2389999999999999</c:v>
                      </c:pt>
                      <c:pt idx="10">
                        <c:v>-7.3230000000000004</c:v>
                      </c:pt>
                      <c:pt idx="11">
                        <c:v>-7.407</c:v>
                      </c:pt>
                      <c:pt idx="12">
                        <c:v>-7.726</c:v>
                      </c:pt>
                      <c:pt idx="13">
                        <c:v>-8.0250000000000004</c:v>
                      </c:pt>
                      <c:pt idx="14">
                        <c:v>-8.3070000000000004</c:v>
                      </c:pt>
                      <c:pt idx="15">
                        <c:v>-8.5820000000000007</c:v>
                      </c:pt>
                      <c:pt idx="16">
                        <c:v>-8.8670000000000009</c:v>
                      </c:pt>
                      <c:pt idx="17">
                        <c:v>-9.1820000000000004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-1.2481201622721547E-14</c:v>
                </c:pt>
                <c:pt idx="1">
                  <c:v>-2.7061023943107197E-11</c:v>
                </c:pt>
                <c:pt idx="2">
                  <c:v>-4.9503066819848812E-9</c:v>
                </c:pt>
                <c:pt idx="3">
                  <c:v>-2.1767228577064841E-7</c:v>
                </c:pt>
                <c:pt idx="4">
                  <c:v>-4.8136665475319315E-7</c:v>
                </c:pt>
                <c:pt idx="5">
                  <c:v>-1.0140499597288174E-6</c:v>
                </c:pt>
                <c:pt idx="6">
                  <c:v>-2.0479844684588243E-6</c:v>
                </c:pt>
                <c:pt idx="7">
                  <c:v>-3.9802914429835636E-6</c:v>
                </c:pt>
                <c:pt idx="8">
                  <c:v>-7.4752408852422014E-6</c:v>
                </c:pt>
                <c:pt idx="9">
                  <c:v>-1.3600571971612655E-5</c:v>
                </c:pt>
                <c:pt idx="10">
                  <c:v>-2.4069236688364003E-5</c:v>
                </c:pt>
                <c:pt idx="11">
                  <c:v>-4.1491936403161452E-5</c:v>
                </c:pt>
                <c:pt idx="12">
                  <c:v>-2.9296990570056302E-4</c:v>
                </c:pt>
                <c:pt idx="13">
                  <c:v>-1.5165504604807204E-3</c:v>
                </c:pt>
                <c:pt idx="14">
                  <c:v>-5.996313849796606E-3</c:v>
                </c:pt>
                <c:pt idx="15">
                  <c:v>-1.8772769918995201E-2</c:v>
                </c:pt>
                <c:pt idx="16">
                  <c:v>-4.880142082869076E-2</c:v>
                </c:pt>
                <c:pt idx="17">
                  <c:v>-0.1115077906630625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-128.38480977300003</c:v>
                </c:pt>
                <c:pt idx="1">
                  <c:v>-138.75957746560002</c:v>
                </c:pt>
                <c:pt idx="2">
                  <c:v>-150.4600616967</c:v>
                </c:pt>
                <c:pt idx="3">
                  <c:v>-163.31063749999998</c:v>
                </c:pt>
                <c:pt idx="4">
                  <c:v>-166.68482012980004</c:v>
                </c:pt>
                <c:pt idx="5">
                  <c:v>-170.07394003599998</c:v>
                </c:pt>
                <c:pt idx="6">
                  <c:v>-173.558530357</c:v>
                </c:pt>
                <c:pt idx="7">
                  <c:v>-177.13799743750005</c:v>
                </c:pt>
                <c:pt idx="8">
                  <c:v>-180.75165374200003</c:v>
                </c:pt>
                <c:pt idx="9">
                  <c:v>-184.38314742049999</c:v>
                </c:pt>
                <c:pt idx="10">
                  <c:v>-188.09551346900002</c:v>
                </c:pt>
                <c:pt idx="11">
                  <c:v>-191.86731987800002</c:v>
                </c:pt>
                <c:pt idx="12">
                  <c:v>-207.54484619040002</c:v>
                </c:pt>
                <c:pt idx="13">
                  <c:v>-224.04450139400001</c:v>
                </c:pt>
                <c:pt idx="14">
                  <c:v>-241.4230247454</c:v>
                </c:pt>
                <c:pt idx="15">
                  <c:v>-259.63618643040002</c:v>
                </c:pt>
                <c:pt idx="16">
                  <c:v>-278.76550125270001</c:v>
                </c:pt>
                <c:pt idx="17">
                  <c:v>-298.82867300000009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-83.410050344092411</c:v>
                      </c:pt>
                      <c:pt idx="1">
                        <c:v>-94.544242596748575</c:v>
                      </c:pt>
                      <c:pt idx="2">
                        <c:v>-106.24295994566585</c:v>
                      </c:pt>
                      <c:pt idx="3">
                        <c:v>-118.41985719456945</c:v>
                      </c:pt>
                      <c:pt idx="4">
                        <c:v>-121.524961937811</c:v>
                      </c:pt>
                      <c:pt idx="5">
                        <c:v>-124.65477989608307</c:v>
                      </c:pt>
                      <c:pt idx="6">
                        <c:v>-127.83742441424967</c:v>
                      </c:pt>
                      <c:pt idx="7">
                        <c:v>-131.05477293241688</c:v>
                      </c:pt>
                      <c:pt idx="8">
                        <c:v>-134.30094075646667</c:v>
                      </c:pt>
                      <c:pt idx="9">
                        <c:v>-137.54037258820969</c:v>
                      </c:pt>
                      <c:pt idx="10">
                        <c:v>-140.79115284132018</c:v>
                      </c:pt>
                      <c:pt idx="11">
                        <c:v>-144.14327367498441</c:v>
                      </c:pt>
                      <c:pt idx="12">
                        <c:v>-157.72124447079344</c:v>
                      </c:pt>
                      <c:pt idx="13">
                        <c:v>-171.76487891339301</c:v>
                      </c:pt>
                      <c:pt idx="14">
                        <c:v>-186.47844085831701</c:v>
                      </c:pt>
                      <c:pt idx="15">
                        <c:v>-201.99466411637695</c:v>
                      </c:pt>
                      <c:pt idx="16">
                        <c:v>-218.90969746503205</c:v>
                      </c:pt>
                      <c:pt idx="17">
                        <c:v>-237.898674537895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-83.410050344092426</c:v>
                      </c:pt>
                      <c:pt idx="1">
                        <c:v>-94.544242596775632</c:v>
                      </c:pt>
                      <c:pt idx="2">
                        <c:v>-106.24295995061615</c:v>
                      </c:pt>
                      <c:pt idx="3">
                        <c:v>-118.41985741224173</c:v>
                      </c:pt>
                      <c:pt idx="4">
                        <c:v>-121.52496241917765</c:v>
                      </c:pt>
                      <c:pt idx="5">
                        <c:v>-124.65478091013303</c:v>
                      </c:pt>
                      <c:pt idx="6">
                        <c:v>-127.83742646223413</c:v>
                      </c:pt>
                      <c:pt idx="7">
                        <c:v>-131.05477691270832</c:v>
                      </c:pt>
                      <c:pt idx="8">
                        <c:v>-134.30094823170757</c:v>
                      </c:pt>
                      <c:pt idx="9">
                        <c:v>-137.54038618878167</c:v>
                      </c:pt>
                      <c:pt idx="10">
                        <c:v>-140.79117691055689</c:v>
                      </c:pt>
                      <c:pt idx="11">
                        <c:v>-144.14331516692081</c:v>
                      </c:pt>
                      <c:pt idx="12">
                        <c:v>-157.72153744069914</c:v>
                      </c:pt>
                      <c:pt idx="13">
                        <c:v>-171.76639546385348</c:v>
                      </c:pt>
                      <c:pt idx="14">
                        <c:v>-186.48443717216682</c:v>
                      </c:pt>
                      <c:pt idx="15">
                        <c:v>-202.01343688629595</c:v>
                      </c:pt>
                      <c:pt idx="16">
                        <c:v>-218.95849888586073</c:v>
                      </c:pt>
                      <c:pt idx="17">
                        <c:v>-238.01018232855807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*GaSe2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7.9999000000000001E-2</c:v>
                </c:pt>
                <c:pt idx="14">
                  <c:v>7.9994999999999997E-2</c:v>
                </c:pt>
                <c:pt idx="15">
                  <c:v>7.9981999999999998E-2</c:v>
                </c:pt>
                <c:pt idx="16">
                  <c:v>7.9953999999999997E-2</c:v>
                </c:pt>
                <c:pt idx="17">
                  <c:v>7.9901E-2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0.23999000000000001</c:v>
                </c:pt>
                <c:pt idx="15">
                  <c:v>0.23998</c:v>
                </c:pt>
                <c:pt idx="16">
                  <c:v>0.23993999999999999</c:v>
                </c:pt>
                <c:pt idx="17">
                  <c:v>0.23985999999999999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14"/>
          <c:order val="14"/>
          <c:tx>
            <c:strRef>
              <c:f>FLUID!$E$18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FLUID!$F$18:$BR$18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-18.87</c:v>
                </c:pt>
                <c:pt idx="5">
                  <c:v>-18.899999999999999</c:v>
                </c:pt>
                <c:pt idx="6">
                  <c:v>-18.940000000000001</c:v>
                </c:pt>
                <c:pt idx="7">
                  <c:v>-18.97</c:v>
                </c:pt>
                <c:pt idx="8">
                  <c:v>-19.010000000000002</c:v>
                </c:pt>
                <c:pt idx="9">
                  <c:v>-19.04</c:v>
                </c:pt>
                <c:pt idx="10">
                  <c:v>-19.07</c:v>
                </c:pt>
                <c:pt idx="11">
                  <c:v>-19.11</c:v>
                </c:pt>
                <c:pt idx="12">
                  <c:v>-19.25</c:v>
                </c:pt>
                <c:pt idx="13">
                  <c:v>-19.38</c:v>
                </c:pt>
                <c:pt idx="14">
                  <c:v>-19.52</c:v>
                </c:pt>
                <c:pt idx="15">
                  <c:v>-19.649999999999999</c:v>
                </c:pt>
                <c:pt idx="16">
                  <c:v>-19.78</c:v>
                </c:pt>
                <c:pt idx="17">
                  <c:v>-19.91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B3-4D01-BEA3-739B2EC62692}"/>
            </c:ext>
          </c:extLst>
        </c:ser>
        <c:ser>
          <c:idx val="15"/>
          <c:order val="15"/>
          <c:tx>
            <c:strRef>
              <c:f>FLUID!$E$19</c:f>
              <c:strCache>
                <c:ptCount val="1"/>
                <c:pt idx="0">
                  <c:v>H (Ga)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554</c:v>
                </c:pt>
                <c:pt idx="9">
                  <c:v>570.5</c:v>
                </c:pt>
                <c:pt idx="10">
                  <c:v>587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FLUID!$F$19:$BR$19</c:f>
              <c:numCache>
                <c:formatCode>0.0E+00</c:formatCode>
                <c:ptCount val="65"/>
                <c:pt idx="0">
                  <c:v>-52.5</c:v>
                </c:pt>
                <c:pt idx="1">
                  <c:v>-42.14</c:v>
                </c:pt>
                <c:pt idx="2">
                  <c:v>-35.15</c:v>
                </c:pt>
                <c:pt idx="3">
                  <c:v>-30.14</c:v>
                </c:pt>
                <c:pt idx="4">
                  <c:v>-29.11</c:v>
                </c:pt>
                <c:pt idx="5">
                  <c:v>-28.15</c:v>
                </c:pt>
                <c:pt idx="6">
                  <c:v>-27.25</c:v>
                </c:pt>
                <c:pt idx="7">
                  <c:v>-26.42</c:v>
                </c:pt>
                <c:pt idx="8">
                  <c:v>-25.64</c:v>
                </c:pt>
                <c:pt idx="9">
                  <c:v>-24.91</c:v>
                </c:pt>
                <c:pt idx="10">
                  <c:v>-24.22</c:v>
                </c:pt>
                <c:pt idx="11">
                  <c:v>-23.59</c:v>
                </c:pt>
                <c:pt idx="12">
                  <c:v>-21.41</c:v>
                </c:pt>
                <c:pt idx="13">
                  <c:v>-19.73</c:v>
                </c:pt>
                <c:pt idx="14">
                  <c:v>-18.45</c:v>
                </c:pt>
                <c:pt idx="15">
                  <c:v>-17.489999999999998</c:v>
                </c:pt>
                <c:pt idx="16">
                  <c:v>-16.760000000000002</c:v>
                </c:pt>
                <c:pt idx="17">
                  <c:v>-16.190000000000001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1.2480000000000001E-7</c:v>
                      </c:pt>
                      <c:pt idx="1">
                        <c:v>1.4497999999999999E-7</c:v>
                      </c:pt>
                      <c:pt idx="2">
                        <c:v>1.1901E-7</c:v>
                      </c:pt>
                      <c:pt idx="3">
                        <c:v>1.1696999999999999E-7</c:v>
                      </c:pt>
                      <c:pt idx="4">
                        <c:v>1.4616000000000001E-7</c:v>
                      </c:pt>
                      <c:pt idx="5">
                        <c:v>1.3848000000000001E-7</c:v>
                      </c:pt>
                      <c:pt idx="6">
                        <c:v>1.3294E-7</c:v>
                      </c:pt>
                      <c:pt idx="7">
                        <c:v>1.289E-7</c:v>
                      </c:pt>
                      <c:pt idx="8">
                        <c:v>1.2597999999999999E-7</c:v>
                      </c:pt>
                      <c:pt idx="9">
                        <c:v>1.2445999999999999E-7</c:v>
                      </c:pt>
                      <c:pt idx="10">
                        <c:v>1.2256999999999999E-7</c:v>
                      </c:pt>
                      <c:pt idx="11">
                        <c:v>1.2032999999999999E-7</c:v>
                      </c:pt>
                      <c:pt idx="12">
                        <c:v>1.151E-7</c:v>
                      </c:pt>
                      <c:pt idx="13">
                        <c:v>1.1756E-7</c:v>
                      </c:pt>
                      <c:pt idx="14">
                        <c:v>1.3117999999999999E-7</c:v>
                      </c:pt>
                      <c:pt idx="15">
                        <c:v>1.2918E-7</c:v>
                      </c:pt>
                      <c:pt idx="16">
                        <c:v>1.3701999999999999E-7</c:v>
                      </c:pt>
                      <c:pt idx="17">
                        <c:v>2.1261E-7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8.6381000000000006E-25</c:v>
                      </c:pt>
                      <c:pt idx="1">
                        <c:v>3.2597999999999998E-19</c:v>
                      </c:pt>
                      <c:pt idx="2">
                        <c:v>1.3768E-15</c:v>
                      </c:pt>
                      <c:pt idx="3">
                        <c:v>4.5987000000000004E-13</c:v>
                      </c:pt>
                      <c:pt idx="4">
                        <c:v>1.5002E-12</c:v>
                      </c:pt>
                      <c:pt idx="5">
                        <c:v>4.4914E-12</c:v>
                      </c:pt>
                      <c:pt idx="6">
                        <c:v>1.2447E-11</c:v>
                      </c:pt>
                      <c:pt idx="7">
                        <c:v>3.2169999999999997E-11</c:v>
                      </c:pt>
                      <c:pt idx="8">
                        <c:v>7.8054E-11</c:v>
                      </c:pt>
                      <c:pt idx="9">
                        <c:v>1.7882000000000001E-10</c:v>
                      </c:pt>
                      <c:pt idx="10">
                        <c:v>3.8879999999999999E-10</c:v>
                      </c:pt>
                      <c:pt idx="11">
                        <c:v>8.0594999999999999E-10</c:v>
                      </c:pt>
                      <c:pt idx="12">
                        <c:v>9.9398999999999996E-9</c:v>
                      </c:pt>
                      <c:pt idx="13">
                        <c:v>7.3557000000000001E-8</c:v>
                      </c:pt>
                      <c:pt idx="14">
                        <c:v>3.6923999999999999E-7</c:v>
                      </c:pt>
                      <c:pt idx="15">
                        <c:v>1.3405999999999999E-6</c:v>
                      </c:pt>
                      <c:pt idx="16">
                        <c:v>3.5520999999999998E-6</c:v>
                      </c:pt>
                      <c:pt idx="17">
                        <c:v>6.6648000000000001E-6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1.0378E-21</c:v>
                      </c:pt>
                      <c:pt idx="1">
                        <c:v>1.2814E-16</c:v>
                      </c:pt>
                      <c:pt idx="2">
                        <c:v>2.4167999999999999E-13</c:v>
                      </c:pt>
                      <c:pt idx="3">
                        <c:v>4.3687E-11</c:v>
                      </c:pt>
                      <c:pt idx="4">
                        <c:v>1.2493E-10</c:v>
                      </c:pt>
                      <c:pt idx="5">
                        <c:v>3.3025000000000002E-10</c:v>
                      </c:pt>
                      <c:pt idx="6">
                        <c:v>8.1345000000000002E-10</c:v>
                      </c:pt>
                      <c:pt idx="7">
                        <c:v>1.8800000000000001E-9</c:v>
                      </c:pt>
                      <c:pt idx="8">
                        <c:v>4.1016999999999996E-9</c:v>
                      </c:pt>
                      <c:pt idx="9">
                        <c:v>8.4934999999999993E-9</c:v>
                      </c:pt>
                      <c:pt idx="10">
                        <c:v>1.6770999999999998E-8</c:v>
                      </c:pt>
                      <c:pt idx="11">
                        <c:v>3.1712E-8</c:v>
                      </c:pt>
                      <c:pt idx="12">
                        <c:v>2.8132999999999999E-7</c:v>
                      </c:pt>
                      <c:pt idx="13">
                        <c:v>1.5732E-6</c:v>
                      </c:pt>
                      <c:pt idx="14">
                        <c:v>6.1831000000000001E-6</c:v>
                      </c:pt>
                      <c:pt idx="15">
                        <c:v>1.7938999999999999E-5</c:v>
                      </c:pt>
                      <c:pt idx="16">
                        <c:v>3.7982999999999999E-5</c:v>
                      </c:pt>
                      <c:pt idx="17">
                        <c:v>5.5568000000000001E-5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1.6579999999999999E-19</c:v>
                      </c:pt>
                      <c:pt idx="1">
                        <c:v>2.9483999999999999E-15</c:v>
                      </c:pt>
                      <c:pt idx="2">
                        <c:v>1.422E-12</c:v>
                      </c:pt>
                      <c:pt idx="3">
                        <c:v>9.2904000000000006E-11</c:v>
                      </c:pt>
                      <c:pt idx="4">
                        <c:v>2.1412000000000001E-10</c:v>
                      </c:pt>
                      <c:pt idx="5">
                        <c:v>4.6195999999999997E-10</c:v>
                      </c:pt>
                      <c:pt idx="6">
                        <c:v>9.3944000000000001E-10</c:v>
                      </c:pt>
                      <c:pt idx="7">
                        <c:v>1.8116E-9</c:v>
                      </c:pt>
                      <c:pt idx="8">
                        <c:v>3.3297000000000002E-9</c:v>
                      </c:pt>
                      <c:pt idx="9">
                        <c:v>5.8604999999999998E-9</c:v>
                      </c:pt>
                      <c:pt idx="10">
                        <c:v>9.9168999999999999E-9</c:v>
                      </c:pt>
                      <c:pt idx="11">
                        <c:v>1.6190999999999999E-8</c:v>
                      </c:pt>
                      <c:pt idx="12">
                        <c:v>8.5194000000000002E-8</c:v>
                      </c:pt>
                      <c:pt idx="13">
                        <c:v>3.0718999999999999E-7</c:v>
                      </c:pt>
                      <c:pt idx="14">
                        <c:v>8.2786999999999996E-7</c:v>
                      </c:pt>
                      <c:pt idx="15">
                        <c:v>1.7149000000000001E-6</c:v>
                      </c:pt>
                      <c:pt idx="16">
                        <c:v>2.6336999999999999E-6</c:v>
                      </c:pt>
                      <c:pt idx="17">
                        <c:v>2.7618E-6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5.92E-21</c:v>
                      </c:pt>
                      <c:pt idx="1">
                        <c:v>1.8415999999999999E-16</c:v>
                      </c:pt>
                      <c:pt idx="2">
                        <c:v>1.2191000000000001E-13</c:v>
                      </c:pt>
                      <c:pt idx="3">
                        <c:v>9.6337E-12</c:v>
                      </c:pt>
                      <c:pt idx="4">
                        <c:v>2.2992999999999999E-11</c:v>
                      </c:pt>
                      <c:pt idx="5">
                        <c:v>5.1175E-11</c:v>
                      </c:pt>
                      <c:pt idx="6">
                        <c:v>1.0700000000000001E-10</c:v>
                      </c:pt>
                      <c:pt idx="7">
                        <c:v>2.1149999999999999E-10</c:v>
                      </c:pt>
                      <c:pt idx="8">
                        <c:v>3.9742999999999999E-10</c:v>
                      </c:pt>
                      <c:pt idx="9">
                        <c:v>7.1344999999999995E-10</c:v>
                      </c:pt>
                      <c:pt idx="10">
                        <c:v>1.2286999999999999E-9</c:v>
                      </c:pt>
                      <c:pt idx="11">
                        <c:v>2.0380000000000002E-9</c:v>
                      </c:pt>
                      <c:pt idx="12">
                        <c:v>1.1246E-8</c:v>
                      </c:pt>
                      <c:pt idx="13">
                        <c:v>4.1723999999999997E-8</c:v>
                      </c:pt>
                      <c:pt idx="14">
                        <c:v>1.1389999999999999E-7</c:v>
                      </c:pt>
                      <c:pt idx="15">
                        <c:v>2.3447000000000001E-7</c:v>
                      </c:pt>
                      <c:pt idx="16">
                        <c:v>3.4686999999999998E-7</c:v>
                      </c:pt>
                      <c:pt idx="17">
                        <c:v>3.3353E-7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1.9728000000000001E-26</c:v>
                      </c:pt>
                      <c:pt idx="1">
                        <c:v>2.9865E-20</c:v>
                      </c:pt>
                      <c:pt idx="2">
                        <c:v>3.4282000000000002E-16</c:v>
                      </c:pt>
                      <c:pt idx="3">
                        <c:v>2.4458E-13</c:v>
                      </c:pt>
                      <c:pt idx="4">
                        <c:v>9.3853000000000004E-13</c:v>
                      </c:pt>
                      <c:pt idx="5">
                        <c:v>3.2754E-12</c:v>
                      </c:pt>
                      <c:pt idx="6">
                        <c:v>1.0494E-11</c:v>
                      </c:pt>
                      <c:pt idx="7">
                        <c:v>3.1119000000000003E-11</c:v>
                      </c:pt>
                      <c:pt idx="8">
                        <c:v>8.6027999999999995E-11</c:v>
                      </c:pt>
                      <c:pt idx="9">
                        <c:v>2.2312E-10</c:v>
                      </c:pt>
                      <c:pt idx="10">
                        <c:v>5.4593E-10</c:v>
                      </c:pt>
                      <c:pt idx="11">
                        <c:v>1.2664999999999999E-9</c:v>
                      </c:pt>
                      <c:pt idx="12">
                        <c:v>2.3365000000000001E-8</c:v>
                      </c:pt>
                      <c:pt idx="13">
                        <c:v>2.4317000000000003E-7</c:v>
                      </c:pt>
                      <c:pt idx="14">
                        <c:v>1.6413000000000001E-6</c:v>
                      </c:pt>
                      <c:pt idx="15">
                        <c:v>7.7919999999999993E-6</c:v>
                      </c:pt>
                      <c:pt idx="16">
                        <c:v>2.6840999999999999E-5</c:v>
                      </c:pt>
                      <c:pt idx="17">
                        <c:v>6.6771000000000002E-5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6.6000999999999998E-21</c:v>
                      </c:pt>
                      <c:pt idx="1">
                        <c:v>7.7948999999999997E-16</c:v>
                      </c:pt>
                      <c:pt idx="2">
                        <c:v>1.7713999999999999E-12</c:v>
                      </c:pt>
                      <c:pt idx="3">
                        <c:v>4.1982999999999999E-10</c:v>
                      </c:pt>
                      <c:pt idx="4">
                        <c:v>1.2914999999999999E-9</c:v>
                      </c:pt>
                      <c:pt idx="5">
                        <c:v>3.6758000000000001E-9</c:v>
                      </c:pt>
                      <c:pt idx="6">
                        <c:v>9.7531000000000002E-9</c:v>
                      </c:pt>
                      <c:pt idx="7">
                        <c:v>2.4284999999999999E-8</c:v>
                      </c:pt>
                      <c:pt idx="8">
                        <c:v>5.7081E-8</c:v>
                      </c:pt>
                      <c:pt idx="9">
                        <c:v>1.2730000000000001E-7</c:v>
                      </c:pt>
                      <c:pt idx="10">
                        <c:v>2.7058999999999999E-7</c:v>
                      </c:pt>
                      <c:pt idx="11">
                        <c:v>5.5044E-7</c:v>
                      </c:pt>
                      <c:pt idx="12">
                        <c:v>6.4915999999999998E-6</c:v>
                      </c:pt>
                      <c:pt idx="13">
                        <c:v>4.7651000000000002E-5</c:v>
                      </c:pt>
                      <c:pt idx="14">
                        <c:v>2.4436E-4</c:v>
                      </c:pt>
                      <c:pt idx="15">
                        <c:v>9.3941999999999995E-4</c:v>
                      </c:pt>
                      <c:pt idx="16">
                        <c:v>2.7988000000000002E-3</c:v>
                      </c:pt>
                      <c:pt idx="17">
                        <c:v>6.5037000000000003E-3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1.7033E-30</c:v>
                      </c:pt>
                      <c:pt idx="3">
                        <c:v>1.9629E-24</c:v>
                      </c:pt>
                      <c:pt idx="4">
                        <c:v>3.5345999999999997E-23</c:v>
                      </c:pt>
                      <c:pt idx="5">
                        <c:v>5.2392E-22</c:v>
                      </c:pt>
                      <c:pt idx="6">
                        <c:v>6.5050000000000002E-21</c:v>
                      </c:pt>
                      <c:pt idx="7">
                        <c:v>6.8691999999999999E-20</c:v>
                      </c:pt>
                      <c:pt idx="8">
                        <c:v>6.2529999999999996E-19</c:v>
                      </c:pt>
                      <c:pt idx="9">
                        <c:v>4.9653000000000001E-18</c:v>
                      </c:pt>
                      <c:pt idx="10">
                        <c:v>3.4757999999999999E-17</c:v>
                      </c:pt>
                      <c:pt idx="11">
                        <c:v>2.1650999999999999E-16</c:v>
                      </c:pt>
                      <c:pt idx="12">
                        <c:v>1.185E-13</c:v>
                      </c:pt>
                      <c:pt idx="13">
                        <c:v>1.7155000000000001E-11</c:v>
                      </c:pt>
                      <c:pt idx="14">
                        <c:v>8.7575E-10</c:v>
                      </c:pt>
                      <c:pt idx="15">
                        <c:v>1.9566000000000001E-8</c:v>
                      </c:pt>
                      <c:pt idx="16">
                        <c:v>2.301E-7</c:v>
                      </c:pt>
                      <c:pt idx="17">
                        <c:v>1.6774E-6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5.3979000000000001E-22</c:v>
                      </c:pt>
                      <c:pt idx="1">
                        <c:v>2.7796000000000002E-17</c:v>
                      </c:pt>
                      <c:pt idx="2">
                        <c:v>4.7004999999999998E-14</c:v>
                      </c:pt>
                      <c:pt idx="3">
                        <c:v>1.0418E-11</c:v>
                      </c:pt>
                      <c:pt idx="4">
                        <c:v>3.2057999999999999E-11</c:v>
                      </c:pt>
                      <c:pt idx="5">
                        <c:v>9.1611000000000003E-11</c:v>
                      </c:pt>
                      <c:pt idx="6">
                        <c:v>2.4466000000000001E-10</c:v>
                      </c:pt>
                      <c:pt idx="7">
                        <c:v>6.1412000000000005E-10</c:v>
                      </c:pt>
                      <c:pt idx="8">
                        <c:v>1.4558999999999999E-9</c:v>
                      </c:pt>
                      <c:pt idx="9">
                        <c:v>3.2743000000000002E-9</c:v>
                      </c:pt>
                      <c:pt idx="10">
                        <c:v>7.0129999999999997E-9</c:v>
                      </c:pt>
                      <c:pt idx="11">
                        <c:v>1.4354000000000001E-8</c:v>
                      </c:pt>
                      <c:pt idx="12">
                        <c:v>1.6952E-7</c:v>
                      </c:pt>
                      <c:pt idx="13">
                        <c:v>1.1824000000000001E-6</c:v>
                      </c:pt>
                      <c:pt idx="14">
                        <c:v>5.4283000000000002E-6</c:v>
                      </c:pt>
                      <c:pt idx="15">
                        <c:v>1.7833999999999999E-5</c:v>
                      </c:pt>
                      <c:pt idx="16">
                        <c:v>4.5255E-5</c:v>
                      </c:pt>
                      <c:pt idx="17">
                        <c:v>9.5416999999999998E-5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4.7299000000000001E-17</c:v>
                      </c:pt>
                      <c:pt idx="1">
                        <c:v>9.8783999999999996E-14</c:v>
                      </c:pt>
                      <c:pt idx="2">
                        <c:v>1.7286E-11</c:v>
                      </c:pt>
                      <c:pt idx="3">
                        <c:v>7.1430999999999999E-10</c:v>
                      </c:pt>
                      <c:pt idx="4">
                        <c:v>1.5475000000000001E-9</c:v>
                      </c:pt>
                      <c:pt idx="5">
                        <c:v>3.1868999999999998E-9</c:v>
                      </c:pt>
                      <c:pt idx="6">
                        <c:v>6.2687999999999997E-9</c:v>
                      </c:pt>
                      <c:pt idx="7">
                        <c:v>1.1828E-8</c:v>
                      </c:pt>
                      <c:pt idx="8">
                        <c:v>2.1486000000000001E-8</c:v>
                      </c:pt>
                      <c:pt idx="9">
                        <c:v>3.7698999999999999E-8</c:v>
                      </c:pt>
                      <c:pt idx="10">
                        <c:v>6.4079000000000001E-8</c:v>
                      </c:pt>
                      <c:pt idx="11">
                        <c:v>1.0578E-7</c:v>
                      </c:pt>
                      <c:pt idx="12">
                        <c:v>6.1266000000000003E-7</c:v>
                      </c:pt>
                      <c:pt idx="13">
                        <c:v>2.5838000000000001E-6</c:v>
                      </c:pt>
                      <c:pt idx="14">
                        <c:v>8.6036000000000001E-6</c:v>
                      </c:pt>
                      <c:pt idx="15">
                        <c:v>2.4057999999999999E-5</c:v>
                      </c:pt>
                      <c:pt idx="16">
                        <c:v>5.961E-5</c:v>
                      </c:pt>
                      <c:pt idx="17">
                        <c:v>1.3742999999999999E-4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3B3-4D01-BEA3-739B2EC6269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7.9999000000000001E-2</c:v>
                      </c:pt>
                      <c:pt idx="11">
                        <c:v>7.9999000000000001E-2</c:v>
                      </c:pt>
                      <c:pt idx="12">
                        <c:v>7.9986000000000002E-2</c:v>
                      </c:pt>
                      <c:pt idx="13">
                        <c:v>7.9898999999999998E-2</c:v>
                      </c:pt>
                      <c:pt idx="14">
                        <c:v>7.9488000000000003E-2</c:v>
                      </c:pt>
                      <c:pt idx="15">
                        <c:v>7.8050999999999995E-2</c:v>
                      </c:pt>
                      <c:pt idx="16">
                        <c:v>7.4249999999999997E-2</c:v>
                      </c:pt>
                      <c:pt idx="17">
                        <c:v>6.6802E-2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-27.89</c:v>
                      </c:pt>
                      <c:pt idx="1">
                        <c:v>-23.3</c:v>
                      </c:pt>
                      <c:pt idx="2">
                        <c:v>-20.3</c:v>
                      </c:pt>
                      <c:pt idx="3">
                        <c:v>-18.22</c:v>
                      </c:pt>
                      <c:pt idx="4">
                        <c:v>-17.8</c:v>
                      </c:pt>
                      <c:pt idx="5">
                        <c:v>-17.399999999999999</c:v>
                      </c:pt>
                      <c:pt idx="6">
                        <c:v>-17.04</c:v>
                      </c:pt>
                      <c:pt idx="7">
                        <c:v>-16.7</c:v>
                      </c:pt>
                      <c:pt idx="8">
                        <c:v>-16.39</c:v>
                      </c:pt>
                      <c:pt idx="9">
                        <c:v>-16.09</c:v>
                      </c:pt>
                      <c:pt idx="10">
                        <c:v>-15.82</c:v>
                      </c:pt>
                      <c:pt idx="11">
                        <c:v>-15.56</c:v>
                      </c:pt>
                      <c:pt idx="12">
                        <c:v>-14.69</c:v>
                      </c:pt>
                      <c:pt idx="13">
                        <c:v>-14</c:v>
                      </c:pt>
                      <c:pt idx="14">
                        <c:v>-13.45</c:v>
                      </c:pt>
                      <c:pt idx="15">
                        <c:v>-12.99</c:v>
                      </c:pt>
                      <c:pt idx="16">
                        <c:v>-12.58</c:v>
                      </c:pt>
                      <c:pt idx="17">
                        <c:v>-12.18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-5.5750000000000002</c:v>
                      </c:pt>
                      <c:pt idx="1">
                        <c:v>-5.9269999999999996</c:v>
                      </c:pt>
                      <c:pt idx="2">
                        <c:v>-6.3159999999999998</c:v>
                      </c:pt>
                      <c:pt idx="3">
                        <c:v>-6.7</c:v>
                      </c:pt>
                      <c:pt idx="4">
                        <c:v>-6.7930000000000001</c:v>
                      </c:pt>
                      <c:pt idx="5">
                        <c:v>-6.8849999999999998</c:v>
                      </c:pt>
                      <c:pt idx="6">
                        <c:v>-6.9749999999999996</c:v>
                      </c:pt>
                      <c:pt idx="7">
                        <c:v>-7.0650000000000004</c:v>
                      </c:pt>
                      <c:pt idx="8">
                        <c:v>-7.1520000000000001</c:v>
                      </c:pt>
                      <c:pt idx="9">
                        <c:v>-7.2389999999999999</c:v>
                      </c:pt>
                      <c:pt idx="10">
                        <c:v>-7.3230000000000004</c:v>
                      </c:pt>
                      <c:pt idx="11">
                        <c:v>-7.407</c:v>
                      </c:pt>
                      <c:pt idx="12">
                        <c:v>-7.726</c:v>
                      </c:pt>
                      <c:pt idx="13">
                        <c:v>-8.0250000000000004</c:v>
                      </c:pt>
                      <c:pt idx="14">
                        <c:v>-8.3070000000000004</c:v>
                      </c:pt>
                      <c:pt idx="15">
                        <c:v>-8.5820000000000007</c:v>
                      </c:pt>
                      <c:pt idx="16">
                        <c:v>-8.8670000000000009</c:v>
                      </c:pt>
                      <c:pt idx="17">
                        <c:v>-9.1820000000000004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-193.91692173000007</c:v>
                </c:pt>
                <c:pt idx="1">
                  <c:v>-196.00481462600001</c:v>
                </c:pt>
                <c:pt idx="2">
                  <c:v>-198.05403955399998</c:v>
                </c:pt>
                <c:pt idx="3">
                  <c:v>-200.2210560035</c:v>
                </c:pt>
                <c:pt idx="4">
                  <c:v>-202.39257891199998</c:v>
                </c:pt>
                <c:pt idx="5">
                  <c:v>-207.48607209850002</c:v>
                </c:pt>
                <c:pt idx="6">
                  <c:v>-209.98761136950006</c:v>
                </c:pt>
                <c:pt idx="7">
                  <c:v>-212.87181996000001</c:v>
                </c:pt>
                <c:pt idx="8">
                  <c:v>-216.79364406105003</c:v>
                </c:pt>
                <c:pt idx="9">
                  <c:v>-233.35652965140002</c:v>
                </c:pt>
                <c:pt idx="10">
                  <c:v>-237.69097411815005</c:v>
                </c:pt>
                <c:pt idx="11">
                  <c:v>-242.01216915200001</c:v>
                </c:pt>
                <c:pt idx="12">
                  <c:v>-247.58293265325</c:v>
                </c:pt>
                <c:pt idx="13">
                  <c:v>-255.32391784374997</c:v>
                </c:pt>
                <c:pt idx="14">
                  <c:v>-263.05428957499998</c:v>
                </c:pt>
                <c:pt idx="15">
                  <c:v>-270.90949382350004</c:v>
                </c:pt>
                <c:pt idx="16">
                  <c:v>-278.89115607399998</c:v>
                </c:pt>
                <c:pt idx="17">
                  <c:v>-287.15368352025001</c:v>
                </c:pt>
                <c:pt idx="18">
                  <c:v>-296.0197699446</c:v>
                </c:pt>
                <c:pt idx="19">
                  <c:v>-304.87212330929998</c:v>
                </c:pt>
                <c:pt idx="20">
                  <c:v>-313.86555711000005</c:v>
                </c:pt>
                <c:pt idx="21">
                  <c:v>-322.96981488120002</c:v>
                </c:pt>
                <c:pt idx="22">
                  <c:v>-360.47145392195</c:v>
                </c:pt>
                <c:pt idx="23">
                  <c:v>-370.07781797370006</c:v>
                </c:pt>
                <c:pt idx="24">
                  <c:v>-379.79994785760005</c:v>
                </c:pt>
                <c:pt idx="25">
                  <c:v>-389.65405601720005</c:v>
                </c:pt>
                <c:pt idx="26">
                  <c:v>-399.54063950520003</c:v>
                </c:pt>
                <c:pt idx="27">
                  <c:v>-409.52937410875001</c:v>
                </c:pt>
                <c:pt idx="28">
                  <c:v>-421.15569549420013</c:v>
                </c:pt>
                <c:pt idx="29">
                  <c:v>-432.92226004550002</c:v>
                </c:pt>
                <c:pt idx="30">
                  <c:v>-444.81985889959998</c:v>
                </c:pt>
                <c:pt idx="31">
                  <c:v>-493.35918515234999</c:v>
                </c:pt>
                <c:pt idx="32">
                  <c:v>-505.78186380480003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1.3890000000000001E-7</c:v>
                </c:pt>
                <c:pt idx="8">
                  <c:v>6.8952000000000001E-10</c:v>
                </c:pt>
                <c:pt idx="9">
                  <c:v>6.0562999999999998E-33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5.4661999999999999E-21</c:v>
                </c:pt>
                <c:pt idx="1">
                  <c:v>4.9838000000000002E-16</c:v>
                </c:pt>
                <c:pt idx="2">
                  <c:v>1.6037E-11</c:v>
                </c:pt>
                <c:pt idx="3">
                  <c:v>3.7202000000000002E-10</c:v>
                </c:pt>
                <c:pt idx="4">
                  <c:v>1.1706000000000001E-8</c:v>
                </c:pt>
                <c:pt idx="5">
                  <c:v>2.1127999999999999E-10</c:v>
                </c:pt>
                <c:pt idx="6">
                  <c:v>1.2829E-8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0.36</c:v>
                </c:pt>
                <c:pt idx="13">
                  <c:v>0.36</c:v>
                </c:pt>
                <c:pt idx="14">
                  <c:v>0.36</c:v>
                </c:pt>
                <c:pt idx="15">
                  <c:v>0.36</c:v>
                </c:pt>
                <c:pt idx="16">
                  <c:v>0.36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0.47826000000000002</c:v>
                </c:pt>
                <c:pt idx="28">
                  <c:v>0.48</c:v>
                </c:pt>
                <c:pt idx="29">
                  <c:v>0.48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5.3754999999999999E-11</c:v>
                </c:pt>
                <c:pt idx="10">
                  <c:v>2.0972000000000002E-9</c:v>
                </c:pt>
                <c:pt idx="11">
                  <c:v>2.8223999999999998E-8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0.22377</c:v>
                </c:pt>
                <c:pt idx="28">
                  <c:v>0.22109000000000001</c:v>
                </c:pt>
                <c:pt idx="29">
                  <c:v>0.21848999999999999</c:v>
                </c:pt>
                <c:pt idx="30">
                  <c:v>0.21556</c:v>
                </c:pt>
                <c:pt idx="31">
                  <c:v>0.19954</c:v>
                </c:pt>
                <c:pt idx="32">
                  <c:v>0.19405</c:v>
                </c:pt>
                <c:pt idx="33">
                  <c:v>0.18773999999999999</c:v>
                </c:pt>
                <c:pt idx="34">
                  <c:v>0.18042</c:v>
                </c:pt>
                <c:pt idx="35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1.424E-7</c:v>
                </c:pt>
                <c:pt idx="18">
                  <c:v>1.0972000000000001E-9</c:v>
                </c:pt>
                <c:pt idx="19">
                  <c:v>9.6229000000000004E-11</c:v>
                </c:pt>
                <c:pt idx="20">
                  <c:v>5.8271000000000005E-11</c:v>
                </c:pt>
                <c:pt idx="21">
                  <c:v>2.1642E-12</c:v>
                </c:pt>
                <c:pt idx="22">
                  <c:v>1.2818E-25</c:v>
                </c:pt>
                <c:pt idx="23">
                  <c:v>1.7417000000000001E-30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1.1518E-26</c:v>
                </c:pt>
                <c:pt idx="23">
                  <c:v>7.3034000000000001E-24</c:v>
                </c:pt>
                <c:pt idx="24">
                  <c:v>1.4869000000000001E-21</c:v>
                </c:pt>
                <c:pt idx="25">
                  <c:v>3.3623999999999998E-20</c:v>
                </c:pt>
                <c:pt idx="26">
                  <c:v>1.6026E-18</c:v>
                </c:pt>
                <c:pt idx="27">
                  <c:v>1.9519E-19</c:v>
                </c:pt>
                <c:pt idx="28">
                  <c:v>5.4532999999999998E-9</c:v>
                </c:pt>
                <c:pt idx="29">
                  <c:v>7.5101000000000005E-8</c:v>
                </c:pt>
                <c:pt idx="30">
                  <c:v>1.0739E-7</c:v>
                </c:pt>
                <c:pt idx="31">
                  <c:v>5.0096000000000001E-8</c:v>
                </c:pt>
                <c:pt idx="32">
                  <c:v>3.4189000000000003E-8</c:v>
                </c:pt>
                <c:pt idx="33">
                  <c:v>2.7929999999999999E-8</c:v>
                </c:pt>
                <c:pt idx="34">
                  <c:v>1.2218000000000001E-8</c:v>
                </c:pt>
                <c:pt idx="35">
                  <c:v>4.2837E-9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9.1062000000000004E-35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2.7983E-34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7.4050999999999994E-36</c:v>
                </c:pt>
                <c:pt idx="19">
                  <c:v>2.9571999999999999E-22</c:v>
                </c:pt>
                <c:pt idx="20">
                  <c:v>1.8627000000000001E-15</c:v>
                </c:pt>
                <c:pt idx="21">
                  <c:v>3.2047E-13</c:v>
                </c:pt>
                <c:pt idx="22">
                  <c:v>1.1559999999999999E-12</c:v>
                </c:pt>
                <c:pt idx="23">
                  <c:v>6.4177E-13</c:v>
                </c:pt>
                <c:pt idx="24">
                  <c:v>5.5436999999999999E-14</c:v>
                </c:pt>
                <c:pt idx="25">
                  <c:v>1.7165999999999999E-17</c:v>
                </c:pt>
                <c:pt idx="26">
                  <c:v>3.0215000000000002E-26</c:v>
                </c:pt>
                <c:pt idx="27">
                  <c:v>0</c:v>
                </c:pt>
                <c:pt idx="28">
                  <c:v>7.9163000000000003E-17</c:v>
                </c:pt>
                <c:pt idx="29">
                  <c:v>1.9423000000000001E-10</c:v>
                </c:pt>
                <c:pt idx="30">
                  <c:v>2.0087E-10</c:v>
                </c:pt>
                <c:pt idx="31">
                  <c:v>1.3303999999999999E-10</c:v>
                </c:pt>
                <c:pt idx="32">
                  <c:v>6.1639999999999996E-10</c:v>
                </c:pt>
                <c:pt idx="33">
                  <c:v>2.6624999999999999E-9</c:v>
                </c:pt>
                <c:pt idx="34">
                  <c:v>4.5917000000000002E-9</c:v>
                </c:pt>
                <c:pt idx="35">
                  <c:v>8.7147999999999997E-9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9.6539999999999995E-15</c:v>
                </c:pt>
                <c:pt idx="10">
                  <c:v>2.215E-16</c:v>
                </c:pt>
                <c:pt idx="11">
                  <c:v>5.8126E-28</c:v>
                </c:pt>
                <c:pt idx="12">
                  <c:v>0</c:v>
                </c:pt>
                <c:pt idx="13">
                  <c:v>4.9714999999999998E-17</c:v>
                </c:pt>
                <c:pt idx="14">
                  <c:v>1.165E-9</c:v>
                </c:pt>
                <c:pt idx="15">
                  <c:v>9.8125999999999998E-9</c:v>
                </c:pt>
                <c:pt idx="16">
                  <c:v>1.4137E-7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1.7325999999999999E-3</c:v>
                </c:pt>
                <c:pt idx="28">
                  <c:v>8.9316000000000001E-9</c:v>
                </c:pt>
                <c:pt idx="29">
                  <c:v>4.5513000000000001E-10</c:v>
                </c:pt>
                <c:pt idx="30">
                  <c:v>1.2547E-14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1.9229999999999999E-7</c:v>
                </c:pt>
                <c:pt idx="13">
                  <c:v>4.4481999999999996E-9</c:v>
                </c:pt>
                <c:pt idx="14">
                  <c:v>6.2589000000000005E-11</c:v>
                </c:pt>
                <c:pt idx="15">
                  <c:v>6.6348000000000001E-22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1.8674999999999999E-26</c:v>
                </c:pt>
                <c:pt idx="20">
                  <c:v>7.2121999999999998E-21</c:v>
                </c:pt>
                <c:pt idx="21">
                  <c:v>1.0888999999999999E-20</c:v>
                </c:pt>
                <c:pt idx="22">
                  <c:v>1.1313999999999999E-34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6.7158000000000004E-32</c:v>
                </c:pt>
                <c:pt idx="10">
                  <c:v>7.8559999999999994E-30</c:v>
                </c:pt>
                <c:pt idx="11">
                  <c:v>6.8758000000000001E-28</c:v>
                </c:pt>
                <c:pt idx="12">
                  <c:v>4.6262E-26</c:v>
                </c:pt>
                <c:pt idx="13">
                  <c:v>2.4502999999999999E-24</c:v>
                </c:pt>
                <c:pt idx="14">
                  <c:v>1.0432999999999999E-22</c:v>
                </c:pt>
                <c:pt idx="15">
                  <c:v>3.6384000000000001E-21</c:v>
                </c:pt>
                <c:pt idx="16">
                  <c:v>1.0564E-19</c:v>
                </c:pt>
                <c:pt idx="17">
                  <c:v>2.1632000000000002E-18</c:v>
                </c:pt>
                <c:pt idx="18">
                  <c:v>2.2930999999999999E-17</c:v>
                </c:pt>
                <c:pt idx="19">
                  <c:v>2.164E-16</c:v>
                </c:pt>
                <c:pt idx="20">
                  <c:v>1.8337999999999999E-15</c:v>
                </c:pt>
                <c:pt idx="21">
                  <c:v>1.4064E-14</c:v>
                </c:pt>
                <c:pt idx="22">
                  <c:v>2.0505000000000001E-11</c:v>
                </c:pt>
                <c:pt idx="23">
                  <c:v>1.0499E-10</c:v>
                </c:pt>
                <c:pt idx="24">
                  <c:v>5.0348E-10</c:v>
                </c:pt>
                <c:pt idx="25">
                  <c:v>2.2703999999999999E-9</c:v>
                </c:pt>
                <c:pt idx="26">
                  <c:v>9.6634000000000004E-9</c:v>
                </c:pt>
                <c:pt idx="27">
                  <c:v>3.7783000000000002E-8</c:v>
                </c:pt>
                <c:pt idx="28">
                  <c:v>3.7529999999999999E-8</c:v>
                </c:pt>
                <c:pt idx="29">
                  <c:v>3.6855000000000001E-8</c:v>
                </c:pt>
                <c:pt idx="30">
                  <c:v>3.5753999999999997E-8</c:v>
                </c:pt>
                <c:pt idx="31">
                  <c:v>2.8010999999999999E-8</c:v>
                </c:pt>
                <c:pt idx="32">
                  <c:v>2.5524999999999999E-8</c:v>
                </c:pt>
                <c:pt idx="33">
                  <c:v>2.2941E-8</c:v>
                </c:pt>
                <c:pt idx="34">
                  <c:v>2.0319999999999999E-8</c:v>
                </c:pt>
                <c:pt idx="35">
                  <c:v>1.7716999999999999E-8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9.2753999999999991E-22</c:v>
                </c:pt>
                <c:pt idx="10">
                  <c:v>1.2598000000000001E-23</c:v>
                </c:pt>
                <c:pt idx="11">
                  <c:v>0</c:v>
                </c:pt>
                <c:pt idx="12">
                  <c:v>0</c:v>
                </c:pt>
                <c:pt idx="13">
                  <c:v>1.075E-35</c:v>
                </c:pt>
                <c:pt idx="14">
                  <c:v>5.1984999999999998E-28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1.518E-34</c:v>
                </c:pt>
                <c:pt idx="19">
                  <c:v>1.1489999999999999E-21</c:v>
                </c:pt>
                <c:pt idx="20">
                  <c:v>4.4020000000000001E-15</c:v>
                </c:pt>
                <c:pt idx="21">
                  <c:v>7.4308E-13</c:v>
                </c:pt>
                <c:pt idx="22">
                  <c:v>4.3881999999999999E-11</c:v>
                </c:pt>
                <c:pt idx="23">
                  <c:v>1.8361E-10</c:v>
                </c:pt>
                <c:pt idx="24">
                  <c:v>6.8502999999999996E-10</c:v>
                </c:pt>
                <c:pt idx="25">
                  <c:v>1.3372000000000001E-9</c:v>
                </c:pt>
                <c:pt idx="26">
                  <c:v>2.3686999999999999E-8</c:v>
                </c:pt>
                <c:pt idx="27">
                  <c:v>7.8268000000000004E-2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1.1339999999999999E-28</c:v>
                </c:pt>
                <c:pt idx="1">
                  <c:v>9.9659000000000007E-27</c:v>
                </c:pt>
                <c:pt idx="2">
                  <c:v>5.6602000000000001E-25</c:v>
                </c:pt>
                <c:pt idx="3">
                  <c:v>1.4090999999999999E-32</c:v>
                </c:pt>
                <c:pt idx="4">
                  <c:v>0</c:v>
                </c:pt>
                <c:pt idx="5">
                  <c:v>1.0263000000000001E-30</c:v>
                </c:pt>
                <c:pt idx="6">
                  <c:v>0</c:v>
                </c:pt>
                <c:pt idx="7">
                  <c:v>0</c:v>
                </c:pt>
                <c:pt idx="8">
                  <c:v>4.1975999999999999E-33</c:v>
                </c:pt>
                <c:pt idx="9">
                  <c:v>4.9404000000000002E-12</c:v>
                </c:pt>
                <c:pt idx="10">
                  <c:v>9.5248999999999998E-15</c:v>
                </c:pt>
                <c:pt idx="11">
                  <c:v>5.3538E-29</c:v>
                </c:pt>
                <c:pt idx="12">
                  <c:v>0</c:v>
                </c:pt>
                <c:pt idx="13">
                  <c:v>1.6988000000000001E-29</c:v>
                </c:pt>
                <c:pt idx="14">
                  <c:v>8.8894000000000001E-23</c:v>
                </c:pt>
                <c:pt idx="15">
                  <c:v>1.7912000000000001E-34</c:v>
                </c:pt>
                <c:pt idx="16">
                  <c:v>0</c:v>
                </c:pt>
                <c:pt idx="17">
                  <c:v>0</c:v>
                </c:pt>
                <c:pt idx="18">
                  <c:v>1.4560999999999999E-32</c:v>
                </c:pt>
                <c:pt idx="19">
                  <c:v>2.6026E-20</c:v>
                </c:pt>
                <c:pt idx="20">
                  <c:v>2.4966000000000001E-14</c:v>
                </c:pt>
                <c:pt idx="21">
                  <c:v>1.1142E-12</c:v>
                </c:pt>
                <c:pt idx="22">
                  <c:v>5.1652E-13</c:v>
                </c:pt>
                <c:pt idx="23">
                  <c:v>7.1352999999999999E-13</c:v>
                </c:pt>
                <c:pt idx="24">
                  <c:v>9.1139000000000002E-13</c:v>
                </c:pt>
                <c:pt idx="25">
                  <c:v>6.3024000000000005E-13</c:v>
                </c:pt>
                <c:pt idx="26">
                  <c:v>4.0841999999999999E-12</c:v>
                </c:pt>
                <c:pt idx="27">
                  <c:v>5.1673999999999999E-6</c:v>
                </c:pt>
                <c:pt idx="28">
                  <c:v>4.0241000000000001E-6</c:v>
                </c:pt>
                <c:pt idx="29">
                  <c:v>3.0925999999999998E-6</c:v>
                </c:pt>
                <c:pt idx="30">
                  <c:v>2.3978000000000001E-6</c:v>
                </c:pt>
                <c:pt idx="31">
                  <c:v>9.4526999999999999E-7</c:v>
                </c:pt>
                <c:pt idx="32">
                  <c:v>7.6555999999999998E-7</c:v>
                </c:pt>
                <c:pt idx="33">
                  <c:v>6.2565999999999995E-7</c:v>
                </c:pt>
                <c:pt idx="34">
                  <c:v>5.1615000000000003E-7</c:v>
                </c:pt>
                <c:pt idx="35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2.1403999999999999E-36</c:v>
                </c:pt>
                <c:pt idx="1">
                  <c:v>5.2692999999999997E-34</c:v>
                </c:pt>
                <c:pt idx="2">
                  <c:v>7.4656999999999998E-32</c:v>
                </c:pt>
                <c:pt idx="3">
                  <c:v>0</c:v>
                </c:pt>
                <c:pt idx="4">
                  <c:v>0</c:v>
                </c:pt>
                <c:pt idx="5">
                  <c:v>8.2000999999999998E-36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4.0425999999999999E-14</c:v>
                </c:pt>
                <c:pt idx="10">
                  <c:v>1.9737999999999999E-16</c:v>
                </c:pt>
                <c:pt idx="11">
                  <c:v>2.6717E-30</c:v>
                </c:pt>
                <c:pt idx="12">
                  <c:v>0</c:v>
                </c:pt>
                <c:pt idx="13">
                  <c:v>4.3027000000000003E-30</c:v>
                </c:pt>
                <c:pt idx="14">
                  <c:v>4.7812000000000001E-23</c:v>
                </c:pt>
                <c:pt idx="15">
                  <c:v>1.9754E-34</c:v>
                </c:pt>
                <c:pt idx="16">
                  <c:v>0</c:v>
                </c:pt>
                <c:pt idx="17">
                  <c:v>0</c:v>
                </c:pt>
                <c:pt idx="18">
                  <c:v>1.1523E-31</c:v>
                </c:pt>
                <c:pt idx="19">
                  <c:v>3.7651999999999999E-19</c:v>
                </c:pt>
                <c:pt idx="20">
                  <c:v>6.4488999999999999E-13</c:v>
                </c:pt>
                <c:pt idx="21">
                  <c:v>5.0274E-11</c:v>
                </c:pt>
                <c:pt idx="22">
                  <c:v>1.7922E-10</c:v>
                </c:pt>
                <c:pt idx="23">
                  <c:v>3.954E-10</c:v>
                </c:pt>
                <c:pt idx="24">
                  <c:v>7.9486999999999997E-10</c:v>
                </c:pt>
                <c:pt idx="25">
                  <c:v>8.5324000000000004E-10</c:v>
                </c:pt>
                <c:pt idx="26">
                  <c:v>8.4726999999999995E-9</c:v>
                </c:pt>
                <c:pt idx="27">
                  <c:v>1.6226000000000001E-2</c:v>
                </c:pt>
                <c:pt idx="28">
                  <c:v>1.8908999999999999E-2</c:v>
                </c:pt>
                <c:pt idx="29">
                  <c:v>2.1510000000000001E-2</c:v>
                </c:pt>
                <c:pt idx="30">
                  <c:v>2.4433E-2</c:v>
                </c:pt>
                <c:pt idx="31">
                  <c:v>4.0459000000000002E-2</c:v>
                </c:pt>
                <c:pt idx="32">
                  <c:v>4.5946000000000001E-2</c:v>
                </c:pt>
                <c:pt idx="33">
                  <c:v>5.2259E-2</c:v>
                </c:pt>
                <c:pt idx="34">
                  <c:v>5.9575000000000003E-2</c:v>
                </c:pt>
                <c:pt idx="35">
                  <c:v>6.8126000000000006E-2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-18.649999999999999</c:v>
                </c:pt>
                <c:pt idx="6">
                  <c:v>-18.670000000000002</c:v>
                </c:pt>
                <c:pt idx="7">
                  <c:v>-18.690000000000001</c:v>
                </c:pt>
                <c:pt idx="8">
                  <c:v>-18.72</c:v>
                </c:pt>
                <c:pt idx="9">
                  <c:v>-18.84</c:v>
                </c:pt>
                <c:pt idx="10">
                  <c:v>-18.87</c:v>
                </c:pt>
                <c:pt idx="11">
                  <c:v>-18.899999999999999</c:v>
                </c:pt>
                <c:pt idx="12">
                  <c:v>-18.940000000000001</c:v>
                </c:pt>
                <c:pt idx="13">
                  <c:v>-18.97</c:v>
                </c:pt>
                <c:pt idx="14">
                  <c:v>-19.010000000000002</c:v>
                </c:pt>
                <c:pt idx="15">
                  <c:v>-19.04</c:v>
                </c:pt>
                <c:pt idx="16">
                  <c:v>-19.07</c:v>
                </c:pt>
                <c:pt idx="17">
                  <c:v>-19.11</c:v>
                </c:pt>
                <c:pt idx="18">
                  <c:v>-19.14</c:v>
                </c:pt>
                <c:pt idx="19">
                  <c:v>-19.18</c:v>
                </c:pt>
                <c:pt idx="20">
                  <c:v>-19.21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-64.92</c:v>
                </c:pt>
                <c:pt idx="1">
                  <c:v>-61.45</c:v>
                </c:pt>
                <c:pt idx="2">
                  <c:v>-58.36</c:v>
                </c:pt>
                <c:pt idx="3">
                  <c:v>-55.6</c:v>
                </c:pt>
                <c:pt idx="4">
                  <c:v>-53.11</c:v>
                </c:pt>
                <c:pt idx="5">
                  <c:v>-48.02</c:v>
                </c:pt>
                <c:pt idx="6">
                  <c:v>-46.01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-7.7149999999999999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-8.6180000000000003</c:v>
                </c:pt>
                <c:pt idx="35">
                  <c:v>-8.7260000000000009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-15.86</c:v>
                </c:pt>
                <c:pt idx="1">
                  <c:v>-15.23</c:v>
                </c:pt>
                <c:pt idx="2">
                  <c:v>-14.68</c:v>
                </c:pt>
                <c:pt idx="3">
                  <c:v>-14.19</c:v>
                </c:pt>
                <c:pt idx="4">
                  <c:v>-13.76</c:v>
                </c:pt>
                <c:pt idx="5">
                  <c:v>-11.49</c:v>
                </c:pt>
                <c:pt idx="6">
                  <c:v>-11.16</c:v>
                </c:pt>
                <c:pt idx="7">
                  <c:v>-10.67</c:v>
                </c:pt>
                <c:pt idx="8">
                  <c:v>-9.6129999999999995</c:v>
                </c:pt>
                <c:pt idx="9">
                  <c:v>-6.0380000000000003</c:v>
                </c:pt>
                <c:pt idx="10">
                  <c:v>-5.2729999999999997</c:v>
                </c:pt>
                <c:pt idx="11">
                  <c:v>-4.55</c:v>
                </c:pt>
                <c:pt idx="12">
                  <c:v>-4.1150000000000002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-5.2130000000000001</c:v>
                </c:pt>
                <c:pt idx="35">
                  <c:v>-5.2489999999999997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-23.95</c:v>
                </c:pt>
                <c:pt idx="1">
                  <c:v>-22.83</c:v>
                </c:pt>
                <c:pt idx="2">
                  <c:v>-21.83</c:v>
                </c:pt>
                <c:pt idx="3">
                  <c:v>-20.95</c:v>
                </c:pt>
                <c:pt idx="4">
                  <c:v>-20.149999999999999</c:v>
                </c:pt>
                <c:pt idx="5">
                  <c:v>-21.33</c:v>
                </c:pt>
                <c:pt idx="6">
                  <c:v>-20.67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-4.2712188864738761E-26</c:v>
                </c:pt>
                <c:pt idx="1">
                  <c:v>-3.8067880746155854E-24</c:v>
                </c:pt>
                <c:pt idx="2">
                  <c:v>-2.1921672851517075E-22</c:v>
                </c:pt>
                <c:pt idx="3">
                  <c:v>-5.5356348322188388E-30</c:v>
                </c:pt>
                <c:pt idx="4">
                  <c:v>0</c:v>
                </c:pt>
                <c:pt idx="5">
                  <c:v>-4.1507030747741635E-28</c:v>
                </c:pt>
                <c:pt idx="6">
                  <c:v>0</c:v>
                </c:pt>
                <c:pt idx="7">
                  <c:v>0</c:v>
                </c:pt>
                <c:pt idx="8">
                  <c:v>-1.7765974090775296E-30</c:v>
                </c:pt>
                <c:pt idx="9">
                  <c:v>-2.2242410277530106E-9</c:v>
                </c:pt>
                <c:pt idx="10">
                  <c:v>-4.3554353532794779E-12</c:v>
                </c:pt>
                <c:pt idx="11">
                  <c:v>-2.4857283849022954E-26</c:v>
                </c:pt>
                <c:pt idx="12">
                  <c:v>0</c:v>
                </c:pt>
                <c:pt idx="13">
                  <c:v>-8.4382092396339228E-27</c:v>
                </c:pt>
                <c:pt idx="14">
                  <c:v>-4.5988424916018344E-20</c:v>
                </c:pt>
                <c:pt idx="15">
                  <c:v>-9.6420182856613036E-32</c:v>
                </c:pt>
                <c:pt idx="16">
                  <c:v>0</c:v>
                </c:pt>
                <c:pt idx="17">
                  <c:v>0</c:v>
                </c:pt>
                <c:pt idx="18">
                  <c:v>-8.8379713832269296E-30</c:v>
                </c:pt>
                <c:pt idx="19">
                  <c:v>-1.6674751879332759E-17</c:v>
                </c:pt>
                <c:pt idx="20">
                  <c:v>-1.7660750616483978E-11</c:v>
                </c:pt>
                <c:pt idx="21">
                  <c:v>-9.9030103808523308E-10</c:v>
                </c:pt>
                <c:pt idx="22">
                  <c:v>-1.2697146191844748E-8</c:v>
                </c:pt>
                <c:pt idx="23">
                  <c:v>-4.9796322649784002E-8</c:v>
                </c:pt>
                <c:pt idx="24">
                  <c:v>-1.7597986803405315E-7</c:v>
                </c:pt>
                <c:pt idx="25">
                  <c:v>-3.260092835715694E-7</c:v>
                </c:pt>
                <c:pt idx="26">
                  <c:v>-5.4731553139899481E-6</c:v>
                </c:pt>
                <c:pt idx="27">
                  <c:v>-17.122755889043216</c:v>
                </c:pt>
                <c:pt idx="28">
                  <c:v>-18.043178406043666</c:v>
                </c:pt>
                <c:pt idx="29">
                  <c:v>-18.592432613259973</c:v>
                </c:pt>
                <c:pt idx="30">
                  <c:v>-19.154177599819963</c:v>
                </c:pt>
                <c:pt idx="31">
                  <c:v>-21.533106951133941</c:v>
                </c:pt>
                <c:pt idx="32">
                  <c:v>-22.166228864981417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-45.198083454750012</c:v>
                </c:pt>
                <c:pt idx="1">
                  <c:v>-45.837763669500006</c:v>
                </c:pt>
                <c:pt idx="2">
                  <c:v>-46.475402674499996</c:v>
                </c:pt>
                <c:pt idx="3">
                  <c:v>-47.141876365500011</c:v>
                </c:pt>
                <c:pt idx="4">
                  <c:v>-47.817820271999999</c:v>
                </c:pt>
                <c:pt idx="5">
                  <c:v>-48.532044136499998</c:v>
                </c:pt>
                <c:pt idx="6">
                  <c:v>-49.26469709025001</c:v>
                </c:pt>
                <c:pt idx="7">
                  <c:v>-100.05137172000002</c:v>
                </c:pt>
                <c:pt idx="8">
                  <c:v>-101.57789645955002</c:v>
                </c:pt>
                <c:pt idx="9">
                  <c:v>-108.05154371262424</c:v>
                </c:pt>
                <c:pt idx="10">
                  <c:v>-109.74440501115434</c:v>
                </c:pt>
                <c:pt idx="11">
                  <c:v>-111.43016406600002</c:v>
                </c:pt>
                <c:pt idx="12">
                  <c:v>-9.1562077093367811E-5</c:v>
                </c:pt>
                <c:pt idx="13">
                  <c:v>-2.209490295430863E-6</c:v>
                </c:pt>
                <c:pt idx="14">
                  <c:v>-3.2379639529860954E-8</c:v>
                </c:pt>
                <c:pt idx="15">
                  <c:v>-4.9781055418852609E-18</c:v>
                </c:pt>
                <c:pt idx="16">
                  <c:v>-1.3224827040759E-16</c:v>
                </c:pt>
                <c:pt idx="17">
                  <c:v>-2.6765404147768007E-15</c:v>
                </c:pt>
                <c:pt idx="18">
                  <c:v>-2.8286082894535551E-14</c:v>
                </c:pt>
                <c:pt idx="19">
                  <c:v>-2.6608529554693027E-13</c:v>
                </c:pt>
                <c:pt idx="20">
                  <c:v>-1.9908751362624764E-11</c:v>
                </c:pt>
                <c:pt idx="21">
                  <c:v>-1.007484580588026E-9</c:v>
                </c:pt>
                <c:pt idx="22">
                  <c:v>-3.7422264232694159E-8</c:v>
                </c:pt>
                <c:pt idx="23">
                  <c:v>-1.759503974761899E-7</c:v>
                </c:pt>
                <c:pt idx="24">
                  <c:v>-7.7883036298531476E-7</c:v>
                </c:pt>
                <c:pt idx="25">
                  <c:v>-3.0351751755767138E-6</c:v>
                </c:pt>
                <c:pt idx="26">
                  <c:v>-1.6963301438076519E-5</c:v>
                </c:pt>
                <c:pt idx="27">
                  <c:v>-17.122800682843966</c:v>
                </c:pt>
                <c:pt idx="28">
                  <c:v>-18.043224202998264</c:v>
                </c:pt>
                <c:pt idx="29">
                  <c:v>-18.592478881948612</c:v>
                </c:pt>
                <c:pt idx="30">
                  <c:v>-19.154223762593844</c:v>
                </c:pt>
                <c:pt idx="31">
                  <c:v>-21.533147250803196</c:v>
                </c:pt>
                <c:pt idx="32">
                  <c:v>-22.166266566282975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-193.91692173000007</c:v>
                </c:pt>
                <c:pt idx="1">
                  <c:v>-196.00481462600001</c:v>
                </c:pt>
                <c:pt idx="2">
                  <c:v>-198.05403955399998</c:v>
                </c:pt>
                <c:pt idx="3">
                  <c:v>-200.2210560035</c:v>
                </c:pt>
                <c:pt idx="4">
                  <c:v>-202.39257891199998</c:v>
                </c:pt>
                <c:pt idx="5">
                  <c:v>-207.48607209850002</c:v>
                </c:pt>
                <c:pt idx="6">
                  <c:v>-209.98761136950006</c:v>
                </c:pt>
                <c:pt idx="7">
                  <c:v>-212.87181996000001</c:v>
                </c:pt>
                <c:pt idx="8">
                  <c:v>-216.79364406105003</c:v>
                </c:pt>
                <c:pt idx="9">
                  <c:v>-233.35652965140002</c:v>
                </c:pt>
                <c:pt idx="10">
                  <c:v>-237.69097411815005</c:v>
                </c:pt>
                <c:pt idx="11">
                  <c:v>-242.01216915200001</c:v>
                </c:pt>
                <c:pt idx="12">
                  <c:v>-247.58293265325</c:v>
                </c:pt>
                <c:pt idx="13">
                  <c:v>-255.32391784374997</c:v>
                </c:pt>
                <c:pt idx="14">
                  <c:v>-263.05428957499998</c:v>
                </c:pt>
                <c:pt idx="15">
                  <c:v>-270.90949382350004</c:v>
                </c:pt>
                <c:pt idx="16">
                  <c:v>-278.89115607399998</c:v>
                </c:pt>
                <c:pt idx="17">
                  <c:v>-287.15368352025001</c:v>
                </c:pt>
                <c:pt idx="18">
                  <c:v>-296.0197699446</c:v>
                </c:pt>
                <c:pt idx="19">
                  <c:v>-304.87212330929998</c:v>
                </c:pt>
                <c:pt idx="20">
                  <c:v>-313.86555711000005</c:v>
                </c:pt>
                <c:pt idx="21">
                  <c:v>-322.96981488120002</c:v>
                </c:pt>
                <c:pt idx="22">
                  <c:v>-360.47145392195</c:v>
                </c:pt>
                <c:pt idx="23">
                  <c:v>-370.07781797370006</c:v>
                </c:pt>
                <c:pt idx="24">
                  <c:v>-379.79994785760005</c:v>
                </c:pt>
                <c:pt idx="25">
                  <c:v>-389.65405601720005</c:v>
                </c:pt>
                <c:pt idx="26">
                  <c:v>-399.54063950520003</c:v>
                </c:pt>
                <c:pt idx="27">
                  <c:v>-409.52937410875001</c:v>
                </c:pt>
                <c:pt idx="28">
                  <c:v>-421.15569549420013</c:v>
                </c:pt>
                <c:pt idx="29">
                  <c:v>-432.92226004550002</c:v>
                </c:pt>
                <c:pt idx="30">
                  <c:v>-444.81985889959998</c:v>
                </c:pt>
                <c:pt idx="31">
                  <c:v>-493.35918515234999</c:v>
                </c:pt>
                <c:pt idx="32">
                  <c:v>-505.78186380480003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-45.198083454750012</c:v>
                      </c:pt>
                      <c:pt idx="1">
                        <c:v>-45.837763669500006</c:v>
                      </c:pt>
                      <c:pt idx="2">
                        <c:v>-46.475402674499996</c:v>
                      </c:pt>
                      <c:pt idx="3">
                        <c:v>-47.141876365500011</c:v>
                      </c:pt>
                      <c:pt idx="4">
                        <c:v>-47.817820271999999</c:v>
                      </c:pt>
                      <c:pt idx="5">
                        <c:v>-48.532044136499998</c:v>
                      </c:pt>
                      <c:pt idx="6">
                        <c:v>-49.26469709025001</c:v>
                      </c:pt>
                      <c:pt idx="7">
                        <c:v>-100.05137172000002</c:v>
                      </c:pt>
                      <c:pt idx="8">
                        <c:v>-101.57789645955002</c:v>
                      </c:pt>
                      <c:pt idx="9">
                        <c:v>-108.0515437104</c:v>
                      </c:pt>
                      <c:pt idx="10">
                        <c:v>-109.74440501114999</c:v>
                      </c:pt>
                      <c:pt idx="11">
                        <c:v>-111.43016406600002</c:v>
                      </c:pt>
                      <c:pt idx="12">
                        <c:v>-9.1562077093367811E-5</c:v>
                      </c:pt>
                      <c:pt idx="13">
                        <c:v>-2.209490295430863E-6</c:v>
                      </c:pt>
                      <c:pt idx="14">
                        <c:v>-3.2379639529814963E-8</c:v>
                      </c:pt>
                      <c:pt idx="15">
                        <c:v>-4.9781055418851646E-18</c:v>
                      </c:pt>
                      <c:pt idx="16">
                        <c:v>-1.3224827040759E-16</c:v>
                      </c:pt>
                      <c:pt idx="17">
                        <c:v>-2.6765404147768007E-15</c:v>
                      </c:pt>
                      <c:pt idx="18">
                        <c:v>-2.8286082894535542E-14</c:v>
                      </c:pt>
                      <c:pt idx="19">
                        <c:v>-2.6606862079505094E-13</c:v>
                      </c:pt>
                      <c:pt idx="20">
                        <c:v>-2.2480007461407862E-12</c:v>
                      </c:pt>
                      <c:pt idx="21">
                        <c:v>-1.7183542502792858E-11</c:v>
                      </c:pt>
                      <c:pt idx="22">
                        <c:v>-2.4725118040849414E-8</c:v>
                      </c:pt>
                      <c:pt idx="23">
                        <c:v>-1.261540748264059E-7</c:v>
                      </c:pt>
                      <c:pt idx="24">
                        <c:v>-6.0285049495126159E-7</c:v>
                      </c:pt>
                      <c:pt idx="25">
                        <c:v>-2.7091658920051446E-6</c:v>
                      </c:pt>
                      <c:pt idx="26">
                        <c:v>-1.1490146124086571E-5</c:v>
                      </c:pt>
                      <c:pt idx="27">
                        <c:v>-4.4793800751791978E-5</c:v>
                      </c:pt>
                      <c:pt idx="28">
                        <c:v>-4.5796954597744052E-5</c:v>
                      </c:pt>
                      <c:pt idx="29">
                        <c:v>-4.6268688640171733E-5</c:v>
                      </c:pt>
                      <c:pt idx="30">
                        <c:v>-4.6162773880391081E-5</c:v>
                      </c:pt>
                      <c:pt idx="31">
                        <c:v>-4.0299669256275251E-5</c:v>
                      </c:pt>
                      <c:pt idx="32">
                        <c:v>-3.7701301559130006E-5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-80.43162251225003</c:v>
                      </c:pt>
                      <c:pt idx="1">
                        <c:v>-83.192851333250019</c:v>
                      </c:pt>
                      <c:pt idx="2">
                        <c:v>-85.958066957</c:v>
                      </c:pt>
                      <c:pt idx="3">
                        <c:v>-88.774476343000032</c:v>
                      </c:pt>
                      <c:pt idx="4">
                        <c:v>-91.602642432000025</c:v>
                      </c:pt>
                      <c:pt idx="5">
                        <c:v>-94.496020530250007</c:v>
                      </c:pt>
                      <c:pt idx="6">
                        <c:v>-97.425336669000032</c:v>
                      </c:pt>
                      <c:pt idx="7">
                        <c:v>-150.40032534000005</c:v>
                      </c:pt>
                      <c:pt idx="8">
                        <c:v>-154.14781931955002</c:v>
                      </c:pt>
                      <c:pt idx="9">
                        <c:v>-169.58699192040001</c:v>
                      </c:pt>
                      <c:pt idx="10">
                        <c:v>-173.53514055990001</c:v>
                      </c:pt>
                      <c:pt idx="11">
                        <c:v>-177.48304641600004</c:v>
                      </c:pt>
                      <c:pt idx="12">
                        <c:v>-68.358072034577106</c:v>
                      </c:pt>
                      <c:pt idx="13">
                        <c:v>-70.648135490740316</c:v>
                      </c:pt>
                      <c:pt idx="14">
                        <c:v>-72.970407807379658</c:v>
                      </c:pt>
                      <c:pt idx="15">
                        <c:v>-75.262299700000014</c:v>
                      </c:pt>
                      <c:pt idx="16">
                        <c:v>-77.561051087500019</c:v>
                      </c:pt>
                      <c:pt idx="17">
                        <c:v>-79.908476943750017</c:v>
                      </c:pt>
                      <c:pt idx="18">
                        <c:v>-82.23535212750005</c:v>
                      </c:pt>
                      <c:pt idx="19">
                        <c:v>-84.599954355000278</c:v>
                      </c:pt>
                      <c:pt idx="20">
                        <c:v>-86.928450866252277</c:v>
                      </c:pt>
                      <c:pt idx="21">
                        <c:v>-89.310201750017214</c:v>
                      </c:pt>
                      <c:pt idx="22">
                        <c:v>-98.789189072225142</c:v>
                      </c:pt>
                      <c:pt idx="23">
                        <c:v>-101.21326779115411</c:v>
                      </c:pt>
                      <c:pt idx="24">
                        <c:v>-103.59323153410051</c:v>
                      </c:pt>
                      <c:pt idx="25">
                        <c:v>-105.98005636916594</c:v>
                      </c:pt>
                      <c:pt idx="26">
                        <c:v>-108.38726533264614</c:v>
                      </c:pt>
                      <c:pt idx="27">
                        <c:v>-110.84455903755079</c:v>
                      </c:pt>
                      <c:pt idx="28">
                        <c:v>-113.25312518695458</c:v>
                      </c:pt>
                      <c:pt idx="29">
                        <c:v>-115.66855026743865</c:v>
                      </c:pt>
                      <c:pt idx="30">
                        <c:v>-118.09083423277394</c:v>
                      </c:pt>
                      <c:pt idx="31">
                        <c:v>-127.86225048966931</c:v>
                      </c:pt>
                      <c:pt idx="32">
                        <c:v>-130.31885006130156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1.3890000000000001E-7</c:v>
                </c:pt>
                <c:pt idx="8">
                  <c:v>6.8952000000000001E-10</c:v>
                </c:pt>
                <c:pt idx="9">
                  <c:v>6.0562999999999998E-33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5.4661999999999999E-21</c:v>
                </c:pt>
                <c:pt idx="1">
                  <c:v>4.9838000000000002E-16</c:v>
                </c:pt>
                <c:pt idx="2">
                  <c:v>1.6037E-11</c:v>
                </c:pt>
                <c:pt idx="3">
                  <c:v>3.7202000000000002E-10</c:v>
                </c:pt>
                <c:pt idx="4">
                  <c:v>1.1706000000000001E-8</c:v>
                </c:pt>
                <c:pt idx="5">
                  <c:v>2.1127999999999999E-10</c:v>
                </c:pt>
                <c:pt idx="6">
                  <c:v>1.2829E-8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0.36</c:v>
                </c:pt>
                <c:pt idx="13">
                  <c:v>0.36</c:v>
                </c:pt>
                <c:pt idx="14">
                  <c:v>0.36</c:v>
                </c:pt>
                <c:pt idx="15">
                  <c:v>0.36</c:v>
                </c:pt>
                <c:pt idx="16">
                  <c:v>0.36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0.47826000000000002</c:v>
                </c:pt>
                <c:pt idx="28">
                  <c:v>0.48</c:v>
                </c:pt>
                <c:pt idx="29">
                  <c:v>0.48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5.3754999999999999E-11</c:v>
                </c:pt>
                <c:pt idx="10">
                  <c:v>2.0972000000000002E-9</c:v>
                </c:pt>
                <c:pt idx="11">
                  <c:v>2.8223999999999998E-8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0.24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  <c:pt idx="27">
                  <c:v>0.22377</c:v>
                </c:pt>
                <c:pt idx="28">
                  <c:v>0.22109000000000001</c:v>
                </c:pt>
                <c:pt idx="29">
                  <c:v>0.21848999999999999</c:v>
                </c:pt>
                <c:pt idx="30">
                  <c:v>0.21556</c:v>
                </c:pt>
                <c:pt idx="31">
                  <c:v>0.19954</c:v>
                </c:pt>
                <c:pt idx="32">
                  <c:v>0.19405</c:v>
                </c:pt>
                <c:pt idx="33">
                  <c:v>0.18773999999999999</c:v>
                </c:pt>
                <c:pt idx="34">
                  <c:v>0.18042</c:v>
                </c:pt>
                <c:pt idx="35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1.424E-7</c:v>
                </c:pt>
                <c:pt idx="18">
                  <c:v>1.0972000000000001E-9</c:v>
                </c:pt>
                <c:pt idx="19">
                  <c:v>9.6229000000000004E-11</c:v>
                </c:pt>
                <c:pt idx="20">
                  <c:v>5.8271000000000005E-11</c:v>
                </c:pt>
                <c:pt idx="21">
                  <c:v>2.1642E-12</c:v>
                </c:pt>
                <c:pt idx="22">
                  <c:v>1.2818E-25</c:v>
                </c:pt>
                <c:pt idx="23">
                  <c:v>1.7417000000000001E-30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1.1518E-26</c:v>
                </c:pt>
                <c:pt idx="23">
                  <c:v>7.3034000000000001E-24</c:v>
                </c:pt>
                <c:pt idx="24">
                  <c:v>1.4869000000000001E-21</c:v>
                </c:pt>
                <c:pt idx="25">
                  <c:v>3.3623999999999998E-20</c:v>
                </c:pt>
                <c:pt idx="26">
                  <c:v>1.6026E-18</c:v>
                </c:pt>
                <c:pt idx="27">
                  <c:v>1.9519E-19</c:v>
                </c:pt>
                <c:pt idx="28">
                  <c:v>5.4532999999999998E-9</c:v>
                </c:pt>
                <c:pt idx="29">
                  <c:v>7.5101000000000005E-8</c:v>
                </c:pt>
                <c:pt idx="30">
                  <c:v>1.0739E-7</c:v>
                </c:pt>
                <c:pt idx="31">
                  <c:v>5.0096000000000001E-8</c:v>
                </c:pt>
                <c:pt idx="32">
                  <c:v>3.4189000000000003E-8</c:v>
                </c:pt>
                <c:pt idx="33">
                  <c:v>2.7929999999999999E-8</c:v>
                </c:pt>
                <c:pt idx="34">
                  <c:v>1.2218000000000001E-8</c:v>
                </c:pt>
                <c:pt idx="35">
                  <c:v>4.2837E-9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9.1062000000000004E-35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2.7983E-34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7.4050999999999994E-36</c:v>
                </c:pt>
                <c:pt idx="19">
                  <c:v>2.9571999999999999E-22</c:v>
                </c:pt>
                <c:pt idx="20">
                  <c:v>1.8627000000000001E-15</c:v>
                </c:pt>
                <c:pt idx="21">
                  <c:v>3.2047E-13</c:v>
                </c:pt>
                <c:pt idx="22">
                  <c:v>1.1559999999999999E-12</c:v>
                </c:pt>
                <c:pt idx="23">
                  <c:v>6.4177E-13</c:v>
                </c:pt>
                <c:pt idx="24">
                  <c:v>5.5436999999999999E-14</c:v>
                </c:pt>
                <c:pt idx="25">
                  <c:v>1.7165999999999999E-17</c:v>
                </c:pt>
                <c:pt idx="26">
                  <c:v>3.0215000000000002E-26</c:v>
                </c:pt>
                <c:pt idx="27">
                  <c:v>0</c:v>
                </c:pt>
                <c:pt idx="28">
                  <c:v>7.9163000000000003E-17</c:v>
                </c:pt>
                <c:pt idx="29">
                  <c:v>1.9423000000000001E-10</c:v>
                </c:pt>
                <c:pt idx="30">
                  <c:v>2.0087E-10</c:v>
                </c:pt>
                <c:pt idx="31">
                  <c:v>1.3303999999999999E-10</c:v>
                </c:pt>
                <c:pt idx="32">
                  <c:v>6.1639999999999996E-10</c:v>
                </c:pt>
                <c:pt idx="33">
                  <c:v>2.6624999999999999E-9</c:v>
                </c:pt>
                <c:pt idx="34">
                  <c:v>4.5917000000000002E-9</c:v>
                </c:pt>
                <c:pt idx="35">
                  <c:v>8.7147999999999997E-9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9.2753999999999991E-22</c:v>
                </c:pt>
                <c:pt idx="10">
                  <c:v>1.2598000000000001E-23</c:v>
                </c:pt>
                <c:pt idx="11">
                  <c:v>0</c:v>
                </c:pt>
                <c:pt idx="12">
                  <c:v>0</c:v>
                </c:pt>
                <c:pt idx="13">
                  <c:v>1.075E-35</c:v>
                </c:pt>
                <c:pt idx="14">
                  <c:v>5.1984999999999998E-28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1.518E-34</c:v>
                </c:pt>
                <c:pt idx="19">
                  <c:v>1.1489999999999999E-21</c:v>
                </c:pt>
                <c:pt idx="20">
                  <c:v>4.4020000000000001E-15</c:v>
                </c:pt>
                <c:pt idx="21">
                  <c:v>7.4308E-13</c:v>
                </c:pt>
                <c:pt idx="22">
                  <c:v>4.3881999999999999E-11</c:v>
                </c:pt>
                <c:pt idx="23">
                  <c:v>1.8361E-10</c:v>
                </c:pt>
                <c:pt idx="24">
                  <c:v>6.8502999999999996E-10</c:v>
                </c:pt>
                <c:pt idx="25">
                  <c:v>1.3372000000000001E-9</c:v>
                </c:pt>
                <c:pt idx="26">
                  <c:v>2.3686999999999999E-8</c:v>
                </c:pt>
                <c:pt idx="27">
                  <c:v>7.8268000000000004E-2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1.1339999999999999E-28</c:v>
                </c:pt>
                <c:pt idx="1">
                  <c:v>9.9659000000000007E-27</c:v>
                </c:pt>
                <c:pt idx="2">
                  <c:v>5.6602000000000001E-25</c:v>
                </c:pt>
                <c:pt idx="3">
                  <c:v>1.4090999999999999E-32</c:v>
                </c:pt>
                <c:pt idx="4">
                  <c:v>0</c:v>
                </c:pt>
                <c:pt idx="5">
                  <c:v>1.0263000000000001E-30</c:v>
                </c:pt>
                <c:pt idx="6">
                  <c:v>0</c:v>
                </c:pt>
                <c:pt idx="7">
                  <c:v>0</c:v>
                </c:pt>
                <c:pt idx="8">
                  <c:v>4.1975999999999999E-33</c:v>
                </c:pt>
                <c:pt idx="9">
                  <c:v>4.9404000000000002E-12</c:v>
                </c:pt>
                <c:pt idx="10">
                  <c:v>9.5248999999999998E-15</c:v>
                </c:pt>
                <c:pt idx="11">
                  <c:v>5.3538E-29</c:v>
                </c:pt>
                <c:pt idx="12">
                  <c:v>0</c:v>
                </c:pt>
                <c:pt idx="13">
                  <c:v>1.6988000000000001E-29</c:v>
                </c:pt>
                <c:pt idx="14">
                  <c:v>8.8894000000000001E-23</c:v>
                </c:pt>
                <c:pt idx="15">
                  <c:v>1.7912000000000001E-34</c:v>
                </c:pt>
                <c:pt idx="16">
                  <c:v>0</c:v>
                </c:pt>
                <c:pt idx="17">
                  <c:v>0</c:v>
                </c:pt>
                <c:pt idx="18">
                  <c:v>1.4560999999999999E-32</c:v>
                </c:pt>
                <c:pt idx="19">
                  <c:v>2.6026E-20</c:v>
                </c:pt>
                <c:pt idx="20">
                  <c:v>2.4966000000000001E-14</c:v>
                </c:pt>
                <c:pt idx="21">
                  <c:v>1.1142E-12</c:v>
                </c:pt>
                <c:pt idx="22">
                  <c:v>5.1652E-13</c:v>
                </c:pt>
                <c:pt idx="23">
                  <c:v>7.1352999999999999E-13</c:v>
                </c:pt>
                <c:pt idx="24">
                  <c:v>9.1139000000000002E-13</c:v>
                </c:pt>
                <c:pt idx="25">
                  <c:v>6.3024000000000005E-13</c:v>
                </c:pt>
                <c:pt idx="26">
                  <c:v>4.0841999999999999E-12</c:v>
                </c:pt>
                <c:pt idx="27">
                  <c:v>5.1673999999999999E-6</c:v>
                </c:pt>
                <c:pt idx="28">
                  <c:v>4.0241000000000001E-6</c:v>
                </c:pt>
                <c:pt idx="29">
                  <c:v>3.0925999999999998E-6</c:v>
                </c:pt>
                <c:pt idx="30">
                  <c:v>2.3978000000000001E-6</c:v>
                </c:pt>
                <c:pt idx="31">
                  <c:v>9.4526999999999999E-7</c:v>
                </c:pt>
                <c:pt idx="32">
                  <c:v>7.6555999999999998E-7</c:v>
                </c:pt>
                <c:pt idx="33">
                  <c:v>6.2565999999999995E-7</c:v>
                </c:pt>
                <c:pt idx="34">
                  <c:v>5.1615000000000003E-7</c:v>
                </c:pt>
                <c:pt idx="35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2.1403999999999999E-36</c:v>
                </c:pt>
                <c:pt idx="1">
                  <c:v>5.2692999999999997E-34</c:v>
                </c:pt>
                <c:pt idx="2">
                  <c:v>7.4656999999999998E-32</c:v>
                </c:pt>
                <c:pt idx="3">
                  <c:v>0</c:v>
                </c:pt>
                <c:pt idx="4">
                  <c:v>0</c:v>
                </c:pt>
                <c:pt idx="5">
                  <c:v>8.2000999999999998E-36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4.0425999999999999E-14</c:v>
                </c:pt>
                <c:pt idx="10">
                  <c:v>1.9737999999999999E-16</c:v>
                </c:pt>
                <c:pt idx="11">
                  <c:v>2.6717E-30</c:v>
                </c:pt>
                <c:pt idx="12">
                  <c:v>0</c:v>
                </c:pt>
                <c:pt idx="13">
                  <c:v>4.3027000000000003E-30</c:v>
                </c:pt>
                <c:pt idx="14">
                  <c:v>4.7812000000000001E-23</c:v>
                </c:pt>
                <c:pt idx="15">
                  <c:v>1.9754E-34</c:v>
                </c:pt>
                <c:pt idx="16">
                  <c:v>0</c:v>
                </c:pt>
                <c:pt idx="17">
                  <c:v>0</c:v>
                </c:pt>
                <c:pt idx="18">
                  <c:v>1.1523E-31</c:v>
                </c:pt>
                <c:pt idx="19">
                  <c:v>3.7651999999999999E-19</c:v>
                </c:pt>
                <c:pt idx="20">
                  <c:v>6.4488999999999999E-13</c:v>
                </c:pt>
                <c:pt idx="21">
                  <c:v>5.0274E-11</c:v>
                </c:pt>
                <c:pt idx="22">
                  <c:v>1.7922E-10</c:v>
                </c:pt>
                <c:pt idx="23">
                  <c:v>3.954E-10</c:v>
                </c:pt>
                <c:pt idx="24">
                  <c:v>7.9486999999999997E-10</c:v>
                </c:pt>
                <c:pt idx="25">
                  <c:v>8.5324000000000004E-10</c:v>
                </c:pt>
                <c:pt idx="26">
                  <c:v>8.4726999999999995E-9</c:v>
                </c:pt>
                <c:pt idx="27">
                  <c:v>1.6226000000000001E-2</c:v>
                </c:pt>
                <c:pt idx="28">
                  <c:v>1.8908999999999999E-2</c:v>
                </c:pt>
                <c:pt idx="29">
                  <c:v>2.1510000000000001E-2</c:v>
                </c:pt>
                <c:pt idx="30">
                  <c:v>2.4433E-2</c:v>
                </c:pt>
                <c:pt idx="31">
                  <c:v>4.0459000000000002E-2</c:v>
                </c:pt>
                <c:pt idx="32">
                  <c:v>4.5946000000000001E-2</c:v>
                </c:pt>
                <c:pt idx="33">
                  <c:v>5.2259E-2</c:v>
                </c:pt>
                <c:pt idx="34">
                  <c:v>5.9575000000000003E-2</c:v>
                </c:pt>
                <c:pt idx="35">
                  <c:v>6.8126000000000006E-2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-18.649999999999999</c:v>
                </c:pt>
                <c:pt idx="6">
                  <c:v>-18.670000000000002</c:v>
                </c:pt>
                <c:pt idx="7">
                  <c:v>-18.690000000000001</c:v>
                </c:pt>
                <c:pt idx="8">
                  <c:v>-18.72</c:v>
                </c:pt>
                <c:pt idx="9">
                  <c:v>-18.84</c:v>
                </c:pt>
                <c:pt idx="10">
                  <c:v>-18.87</c:v>
                </c:pt>
                <c:pt idx="11">
                  <c:v>-18.899999999999999</c:v>
                </c:pt>
                <c:pt idx="12">
                  <c:v>-18.940000000000001</c:v>
                </c:pt>
                <c:pt idx="13">
                  <c:v>-18.97</c:v>
                </c:pt>
                <c:pt idx="14">
                  <c:v>-19.010000000000002</c:v>
                </c:pt>
                <c:pt idx="15">
                  <c:v>-19.04</c:v>
                </c:pt>
                <c:pt idx="16">
                  <c:v>-19.07</c:v>
                </c:pt>
                <c:pt idx="17">
                  <c:v>-19.11</c:v>
                </c:pt>
                <c:pt idx="18">
                  <c:v>-19.14</c:v>
                </c:pt>
                <c:pt idx="19">
                  <c:v>-19.18</c:v>
                </c:pt>
                <c:pt idx="20">
                  <c:v>-19.21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-64.92</c:v>
                </c:pt>
                <c:pt idx="1">
                  <c:v>-61.45</c:v>
                </c:pt>
                <c:pt idx="2">
                  <c:v>-58.36</c:v>
                </c:pt>
                <c:pt idx="3">
                  <c:v>-55.6</c:v>
                </c:pt>
                <c:pt idx="4">
                  <c:v>-53.11</c:v>
                </c:pt>
                <c:pt idx="5">
                  <c:v>-48.02</c:v>
                </c:pt>
                <c:pt idx="6">
                  <c:v>-46.01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-7.7149999999999999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-8.6180000000000003</c:v>
                </c:pt>
                <c:pt idx="35">
                  <c:v>-8.7260000000000009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-15.86</c:v>
                </c:pt>
                <c:pt idx="1">
                  <c:v>-15.23</c:v>
                </c:pt>
                <c:pt idx="2">
                  <c:v>-14.68</c:v>
                </c:pt>
                <c:pt idx="3">
                  <c:v>-14.19</c:v>
                </c:pt>
                <c:pt idx="4">
                  <c:v>-13.76</c:v>
                </c:pt>
                <c:pt idx="5">
                  <c:v>-11.49</c:v>
                </c:pt>
                <c:pt idx="6">
                  <c:v>-11.16</c:v>
                </c:pt>
                <c:pt idx="7">
                  <c:v>-10.67</c:v>
                </c:pt>
                <c:pt idx="8">
                  <c:v>-9.6129999999999995</c:v>
                </c:pt>
                <c:pt idx="9">
                  <c:v>-6.0380000000000003</c:v>
                </c:pt>
                <c:pt idx="10">
                  <c:v>-5.2729999999999997</c:v>
                </c:pt>
                <c:pt idx="11">
                  <c:v>-4.55</c:v>
                </c:pt>
                <c:pt idx="12">
                  <c:v>-4.1150000000000002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-5.2130000000000001</c:v>
                </c:pt>
                <c:pt idx="35">
                  <c:v>-5.2489999999999997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-23.95</c:v>
                </c:pt>
                <c:pt idx="1">
                  <c:v>-22.83</c:v>
                </c:pt>
                <c:pt idx="2">
                  <c:v>-21.83</c:v>
                </c:pt>
                <c:pt idx="3">
                  <c:v>-20.95</c:v>
                </c:pt>
                <c:pt idx="4">
                  <c:v>-20.149999999999999</c:v>
                </c:pt>
                <c:pt idx="5">
                  <c:v>-21.33</c:v>
                </c:pt>
                <c:pt idx="6">
                  <c:v>-20.67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9.6539999999999995E-15</c:v>
                      </c:pt>
                      <c:pt idx="10">
                        <c:v>2.215E-16</c:v>
                      </c:pt>
                      <c:pt idx="11">
                        <c:v>5.8126E-28</c:v>
                      </c:pt>
                      <c:pt idx="12">
                        <c:v>0</c:v>
                      </c:pt>
                      <c:pt idx="13">
                        <c:v>4.9714999999999998E-17</c:v>
                      </c:pt>
                      <c:pt idx="14">
                        <c:v>1.165E-9</c:v>
                      </c:pt>
                      <c:pt idx="15">
                        <c:v>9.8125999999999998E-9</c:v>
                      </c:pt>
                      <c:pt idx="16">
                        <c:v>1.4137E-7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0.08</c:v>
                      </c:pt>
                      <c:pt idx="24">
                        <c:v>0.08</c:v>
                      </c:pt>
                      <c:pt idx="25">
                        <c:v>0.08</c:v>
                      </c:pt>
                      <c:pt idx="26">
                        <c:v>0.08</c:v>
                      </c:pt>
                      <c:pt idx="27">
                        <c:v>1.7325999999999999E-3</c:v>
                      </c:pt>
                      <c:pt idx="28">
                        <c:v>8.9316000000000001E-9</c:v>
                      </c:pt>
                      <c:pt idx="29">
                        <c:v>4.5513000000000001E-10</c:v>
                      </c:pt>
                      <c:pt idx="30">
                        <c:v>1.2547E-14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1.9229999999999999E-7</c:v>
                      </c:pt>
                      <c:pt idx="13">
                        <c:v>4.4481999999999996E-9</c:v>
                      </c:pt>
                      <c:pt idx="14">
                        <c:v>6.2589000000000005E-11</c:v>
                      </c:pt>
                      <c:pt idx="15">
                        <c:v>6.6348000000000001E-22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1.8674999999999999E-26</c:v>
                      </c:pt>
                      <c:pt idx="20">
                        <c:v>7.2121999999999998E-21</c:v>
                      </c:pt>
                      <c:pt idx="21">
                        <c:v>1.0888999999999999E-20</c:v>
                      </c:pt>
                      <c:pt idx="22">
                        <c:v>1.1313999999999999E-34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6.7158000000000004E-32</c:v>
                      </c:pt>
                      <c:pt idx="10">
                        <c:v>7.8559999999999994E-30</c:v>
                      </c:pt>
                      <c:pt idx="11">
                        <c:v>6.8758000000000001E-28</c:v>
                      </c:pt>
                      <c:pt idx="12">
                        <c:v>4.6262E-26</c:v>
                      </c:pt>
                      <c:pt idx="13">
                        <c:v>2.4502999999999999E-24</c:v>
                      </c:pt>
                      <c:pt idx="14">
                        <c:v>1.0432999999999999E-22</c:v>
                      </c:pt>
                      <c:pt idx="15">
                        <c:v>3.6384000000000001E-21</c:v>
                      </c:pt>
                      <c:pt idx="16">
                        <c:v>1.0564E-19</c:v>
                      </c:pt>
                      <c:pt idx="17">
                        <c:v>2.1632000000000002E-18</c:v>
                      </c:pt>
                      <c:pt idx="18">
                        <c:v>2.2930999999999999E-17</c:v>
                      </c:pt>
                      <c:pt idx="19">
                        <c:v>2.164E-16</c:v>
                      </c:pt>
                      <c:pt idx="20">
                        <c:v>1.8337999999999999E-15</c:v>
                      </c:pt>
                      <c:pt idx="21">
                        <c:v>1.4064E-14</c:v>
                      </c:pt>
                      <c:pt idx="22">
                        <c:v>2.0505000000000001E-11</c:v>
                      </c:pt>
                      <c:pt idx="23">
                        <c:v>1.0499E-10</c:v>
                      </c:pt>
                      <c:pt idx="24">
                        <c:v>5.0348E-10</c:v>
                      </c:pt>
                      <c:pt idx="25">
                        <c:v>2.2703999999999999E-9</c:v>
                      </c:pt>
                      <c:pt idx="26">
                        <c:v>9.6634000000000004E-9</c:v>
                      </c:pt>
                      <c:pt idx="27">
                        <c:v>3.7783000000000002E-8</c:v>
                      </c:pt>
                      <c:pt idx="28">
                        <c:v>3.7529999999999999E-8</c:v>
                      </c:pt>
                      <c:pt idx="29">
                        <c:v>3.6855000000000001E-8</c:v>
                      </c:pt>
                      <c:pt idx="30">
                        <c:v>3.5753999999999997E-8</c:v>
                      </c:pt>
                      <c:pt idx="31">
                        <c:v>2.8010999999999999E-8</c:v>
                      </c:pt>
                      <c:pt idx="32">
                        <c:v>2.5524999999999999E-8</c:v>
                      </c:pt>
                      <c:pt idx="33">
                        <c:v>2.2941E-8</c:v>
                      </c:pt>
                      <c:pt idx="34">
                        <c:v>2.0319999999999999E-8</c:v>
                      </c:pt>
                      <c:pt idx="35">
                        <c:v>1.7716999999999999E-8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6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'Gibbs-EVAL'!$A$110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  <c:extLst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"/>
          <c:y val="1.416790868280841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6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13" sqref="E1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56" t="s">
        <v>37</v>
      </c>
      <c r="E1" s="157"/>
      <c r="F1" s="157"/>
      <c r="G1" s="157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30</v>
      </c>
      <c r="F3" s="37">
        <v>10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abSelected="1" topLeftCell="A22" zoomScale="115" zoomScaleNormal="115" zoomScaleSheetLayoutView="25" workbookViewId="0">
      <selection activeCell="BS28" sqref="BS28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51"/>
      <c r="U3" s="54"/>
      <c r="V3" s="3"/>
      <c r="W3" s="1"/>
      <c r="X3" s="52"/>
      <c r="Y3" s="3"/>
      <c r="Z3" s="3"/>
      <c r="AA3" s="3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4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0</v>
      </c>
      <c r="G33" s="106">
        <f t="shared" ref="G33:BR33" si="4">IF(H3&gt;G3,1,0)</f>
        <v>0</v>
      </c>
      <c r="H33" s="106">
        <f t="shared" si="4"/>
        <v>0</v>
      </c>
      <c r="I33" s="106">
        <f t="shared" si="4"/>
        <v>0</v>
      </c>
      <c r="J33" s="106">
        <f t="shared" si="4"/>
        <v>0</v>
      </c>
      <c r="K33" s="106">
        <f t="shared" si="4"/>
        <v>0</v>
      </c>
      <c r="L33" s="106">
        <f t="shared" si="4"/>
        <v>0</v>
      </c>
      <c r="M33" s="106">
        <f t="shared" si="4"/>
        <v>0</v>
      </c>
      <c r="N33" s="106">
        <f t="shared" si="4"/>
        <v>0</v>
      </c>
      <c r="O33" s="106">
        <f t="shared" si="4"/>
        <v>0</v>
      </c>
      <c r="P33" s="106">
        <f t="shared" si="4"/>
        <v>0</v>
      </c>
      <c r="Q33" s="106">
        <f t="shared" si="4"/>
        <v>0</v>
      </c>
      <c r="R33" s="106">
        <f t="shared" si="4"/>
        <v>0</v>
      </c>
      <c r="S33" s="106">
        <f t="shared" si="4"/>
        <v>0</v>
      </c>
      <c r="T33" s="106">
        <f t="shared" si="4"/>
        <v>0</v>
      </c>
      <c r="U33" s="106">
        <f t="shared" si="4"/>
        <v>0</v>
      </c>
      <c r="V33" s="106">
        <f t="shared" si="4"/>
        <v>0</v>
      </c>
      <c r="W33" s="106">
        <f t="shared" si="4"/>
        <v>0</v>
      </c>
      <c r="X33" s="106">
        <f t="shared" si="4"/>
        <v>0</v>
      </c>
      <c r="Y33" s="106">
        <f t="shared" si="4"/>
        <v>0</v>
      </c>
      <c r="Z33" s="106">
        <f t="shared" si="4"/>
        <v>0</v>
      </c>
      <c r="AA33" s="106">
        <f t="shared" si="4"/>
        <v>0</v>
      </c>
      <c r="AB33" s="106">
        <f t="shared" si="4"/>
        <v>0</v>
      </c>
      <c r="AC33" s="106">
        <f t="shared" si="4"/>
        <v>0</v>
      </c>
      <c r="AD33" s="106">
        <f t="shared" si="4"/>
        <v>0</v>
      </c>
      <c r="AE33" s="106">
        <f t="shared" si="4"/>
        <v>0</v>
      </c>
      <c r="AF33" s="106">
        <f t="shared" si="4"/>
        <v>0</v>
      </c>
      <c r="AG33" s="106">
        <f t="shared" si="4"/>
        <v>0</v>
      </c>
      <c r="AH33" s="106">
        <f t="shared" si="4"/>
        <v>0</v>
      </c>
      <c r="AI33" s="106">
        <f t="shared" si="4"/>
        <v>0</v>
      </c>
      <c r="AJ33" s="106">
        <f t="shared" si="4"/>
        <v>0</v>
      </c>
      <c r="AK33" s="106">
        <f t="shared" si="4"/>
        <v>0</v>
      </c>
      <c r="AL33" s="106">
        <f t="shared" si="4"/>
        <v>0</v>
      </c>
      <c r="AM33" s="106">
        <f t="shared" si="4"/>
        <v>0</v>
      </c>
      <c r="AN33" s="106">
        <f t="shared" si="4"/>
        <v>0</v>
      </c>
      <c r="AO33" s="106">
        <f t="shared" si="4"/>
        <v>0</v>
      </c>
      <c r="AP33" s="106">
        <f t="shared" si="4"/>
        <v>0</v>
      </c>
      <c r="AQ33" s="106">
        <f t="shared" si="4"/>
        <v>0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 t="e">
        <f ca="1">IF(E34=C34,1,0)</f>
        <v>#N/A</v>
      </c>
      <c r="C34" s="11" t="s">
        <v>26</v>
      </c>
      <c r="D34" s="44" t="e">
        <f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5">OFFSET($E$3:$BR$3,$D34,0)</f>
        <v>#N/A</v>
      </c>
      <c r="H34" s="14" t="e">
        <f t="shared" ca="1" si="5"/>
        <v>#N/A</v>
      </c>
      <c r="I34" s="14" t="e">
        <f t="shared" ca="1" si="5"/>
        <v>#N/A</v>
      </c>
      <c r="J34" s="14" t="e">
        <f t="shared" ca="1" si="5"/>
        <v>#N/A</v>
      </c>
      <c r="K34" s="14" t="e">
        <f t="shared" ca="1" si="5"/>
        <v>#N/A</v>
      </c>
      <c r="L34" s="14" t="e">
        <f t="shared" ca="1" si="5"/>
        <v>#N/A</v>
      </c>
      <c r="M34" s="14" t="e">
        <f t="shared" ca="1" si="5"/>
        <v>#N/A</v>
      </c>
      <c r="N34" s="14" t="e">
        <f t="shared" ca="1" si="5"/>
        <v>#N/A</v>
      </c>
      <c r="O34" s="14" t="e">
        <f t="shared" ca="1" si="5"/>
        <v>#N/A</v>
      </c>
      <c r="P34" s="14" t="e">
        <f t="shared" ca="1" si="5"/>
        <v>#N/A</v>
      </c>
      <c r="Q34" s="14" t="e">
        <f t="shared" ca="1" si="5"/>
        <v>#N/A</v>
      </c>
      <c r="R34" s="14" t="e">
        <f t="shared" ca="1" si="5"/>
        <v>#N/A</v>
      </c>
      <c r="S34" s="14" t="e">
        <f t="shared" ca="1" si="5"/>
        <v>#N/A</v>
      </c>
      <c r="T34" s="14" t="e">
        <f t="shared" ca="1" si="5"/>
        <v>#N/A</v>
      </c>
      <c r="U34" s="14" t="e">
        <f t="shared" ca="1" si="5"/>
        <v>#N/A</v>
      </c>
      <c r="V34" s="14" t="e">
        <f t="shared" ca="1" si="5"/>
        <v>#N/A</v>
      </c>
      <c r="W34" s="14" t="e">
        <f t="shared" ca="1" si="5"/>
        <v>#N/A</v>
      </c>
      <c r="X34" s="14" t="e">
        <f t="shared" ca="1" si="5"/>
        <v>#N/A</v>
      </c>
      <c r="Y34" s="14" t="e">
        <f t="shared" ca="1" si="5"/>
        <v>#N/A</v>
      </c>
      <c r="Z34" s="14" t="e">
        <f t="shared" ca="1" si="5"/>
        <v>#N/A</v>
      </c>
      <c r="AA34" s="14" t="e">
        <f t="shared" ca="1" si="5"/>
        <v>#N/A</v>
      </c>
      <c r="AB34" s="14" t="e">
        <f t="shared" ca="1" si="5"/>
        <v>#N/A</v>
      </c>
      <c r="AC34" s="14" t="e">
        <f t="shared" ca="1" si="5"/>
        <v>#N/A</v>
      </c>
      <c r="AD34" s="14" t="e">
        <f t="shared" ca="1" si="5"/>
        <v>#N/A</v>
      </c>
      <c r="AE34" s="14" t="e">
        <f t="shared" ca="1" si="5"/>
        <v>#N/A</v>
      </c>
      <c r="AF34" s="14" t="e">
        <f t="shared" ca="1" si="5"/>
        <v>#N/A</v>
      </c>
      <c r="AG34" s="14" t="e">
        <f t="shared" ca="1" si="5"/>
        <v>#N/A</v>
      </c>
      <c r="AH34" s="14" t="e">
        <f t="shared" ca="1" si="5"/>
        <v>#N/A</v>
      </c>
      <c r="AI34" s="14" t="e">
        <f t="shared" ca="1" si="5"/>
        <v>#N/A</v>
      </c>
      <c r="AJ34" s="14" t="e">
        <f t="shared" ca="1" si="5"/>
        <v>#N/A</v>
      </c>
      <c r="AK34" s="14" t="e">
        <f t="shared" ca="1" si="5"/>
        <v>#N/A</v>
      </c>
      <c r="AL34" s="14" t="e">
        <f t="shared" ca="1" si="5"/>
        <v>#N/A</v>
      </c>
      <c r="AM34" s="14" t="e">
        <f t="shared" ca="1" si="5"/>
        <v>#N/A</v>
      </c>
      <c r="AN34" s="14" t="e">
        <f t="shared" ca="1" si="5"/>
        <v>#N/A</v>
      </c>
      <c r="AO34" s="14" t="e">
        <f t="shared" ca="1" si="5"/>
        <v>#N/A</v>
      </c>
      <c r="AP34" s="14" t="e">
        <f t="shared" ca="1" si="5"/>
        <v>#N/A</v>
      </c>
      <c r="AQ34" s="14" t="e">
        <f t="shared" ca="1" si="5"/>
        <v>#N/A</v>
      </c>
      <c r="AR34" s="14" t="e">
        <f t="shared" ca="1" si="5"/>
        <v>#N/A</v>
      </c>
      <c r="AS34" s="14" t="e">
        <f t="shared" ca="1" si="5"/>
        <v>#N/A</v>
      </c>
      <c r="AT34" s="14" t="e">
        <f t="shared" ca="1" si="5"/>
        <v>#N/A</v>
      </c>
      <c r="AU34" s="14" t="e">
        <f t="shared" ca="1" si="5"/>
        <v>#N/A</v>
      </c>
      <c r="AV34" s="14" t="e">
        <f t="shared" ca="1" si="5"/>
        <v>#N/A</v>
      </c>
      <c r="AW34" s="14" t="e">
        <f t="shared" ca="1" si="5"/>
        <v>#N/A</v>
      </c>
      <c r="AX34" s="14" t="e">
        <f t="shared" ca="1" si="5"/>
        <v>#N/A</v>
      </c>
      <c r="AY34" s="14" t="e">
        <f t="shared" ca="1" si="5"/>
        <v>#N/A</v>
      </c>
      <c r="AZ34" s="14" t="e">
        <f t="shared" ca="1" si="5"/>
        <v>#N/A</v>
      </c>
      <c r="BA34" s="14" t="e">
        <f t="shared" ca="1" si="5"/>
        <v>#N/A</v>
      </c>
      <c r="BB34" s="14" t="e">
        <f t="shared" ca="1" si="5"/>
        <v>#N/A</v>
      </c>
      <c r="BC34" s="14" t="e">
        <f t="shared" ca="1" si="5"/>
        <v>#N/A</v>
      </c>
      <c r="BD34" s="14" t="e">
        <f t="shared" ca="1" si="5"/>
        <v>#N/A</v>
      </c>
      <c r="BE34" s="14" t="e">
        <f t="shared" ca="1" si="5"/>
        <v>#N/A</v>
      </c>
      <c r="BF34" s="14" t="e">
        <f t="shared" ca="1" si="5"/>
        <v>#N/A</v>
      </c>
      <c r="BG34" s="14" t="e">
        <f t="shared" ca="1" si="5"/>
        <v>#N/A</v>
      </c>
      <c r="BH34" s="14" t="e">
        <f t="shared" ca="1" si="5"/>
        <v>#N/A</v>
      </c>
      <c r="BI34" s="14" t="e">
        <f t="shared" ca="1" si="5"/>
        <v>#N/A</v>
      </c>
      <c r="BJ34" s="14" t="e">
        <f t="shared" ca="1" si="5"/>
        <v>#N/A</v>
      </c>
      <c r="BK34" s="14" t="e">
        <f t="shared" ca="1" si="5"/>
        <v>#N/A</v>
      </c>
      <c r="BL34" s="14" t="e">
        <f t="shared" ca="1" si="5"/>
        <v>#N/A</v>
      </c>
      <c r="BM34" s="14" t="e">
        <f t="shared" ca="1" si="5"/>
        <v>#N/A</v>
      </c>
      <c r="BN34" s="14" t="e">
        <f t="shared" ca="1" si="5"/>
        <v>#N/A</v>
      </c>
      <c r="BO34" s="14" t="e">
        <f t="shared" ca="1" si="5"/>
        <v>#N/A</v>
      </c>
      <c r="BP34" s="14" t="e">
        <f t="shared" ca="1" si="5"/>
        <v>#N/A</v>
      </c>
      <c r="BQ34" s="14" t="e">
        <f t="shared" ca="1" si="5"/>
        <v>#N/A</v>
      </c>
      <c r="BR34" s="14" t="e">
        <f t="shared" ca="1" si="5"/>
        <v>#N/A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 t="e">
        <f t="shared" ref="B35:B37" ca="1" si="6">IF(E35=C35,1,0)</f>
        <v>#N/A</v>
      </c>
      <c r="C35" s="11" t="s">
        <v>5</v>
      </c>
      <c r="D35" s="44" t="e">
        <f t="shared" ref="D35:D37" si="7">MATCH(C35,$E$4:$E$33)</f>
        <v>#N/A</v>
      </c>
      <c r="E35" s="11" t="e">
        <f t="shared" ref="E35:E37" ca="1" si="8">OFFSET($E$3:$AL$3,$D35,0)</f>
        <v>#N/A</v>
      </c>
      <c r="F35" s="14" t="e">
        <f t="shared" ref="F35:U37" ca="1" si="9">OFFSET($E$3:$BR$3,$D35,0)</f>
        <v>#N/A</v>
      </c>
      <c r="G35" s="14" t="e">
        <f t="shared" ca="1" si="9"/>
        <v>#N/A</v>
      </c>
      <c r="H35" s="14" t="e">
        <f t="shared" ca="1" si="9"/>
        <v>#N/A</v>
      </c>
      <c r="I35" s="14" t="e">
        <f t="shared" ca="1" si="9"/>
        <v>#N/A</v>
      </c>
      <c r="J35" s="14" t="e">
        <f t="shared" ca="1" si="9"/>
        <v>#N/A</v>
      </c>
      <c r="K35" s="14" t="e">
        <f t="shared" ca="1" si="9"/>
        <v>#N/A</v>
      </c>
      <c r="L35" s="14" t="e">
        <f t="shared" ca="1" si="9"/>
        <v>#N/A</v>
      </c>
      <c r="M35" s="14" t="e">
        <f t="shared" ca="1" si="9"/>
        <v>#N/A</v>
      </c>
      <c r="N35" s="14" t="e">
        <f t="shared" ca="1" si="9"/>
        <v>#N/A</v>
      </c>
      <c r="O35" s="14" t="e">
        <f t="shared" ca="1" si="9"/>
        <v>#N/A</v>
      </c>
      <c r="P35" s="14" t="e">
        <f t="shared" ca="1" si="9"/>
        <v>#N/A</v>
      </c>
      <c r="Q35" s="14" t="e">
        <f t="shared" ca="1" si="9"/>
        <v>#N/A</v>
      </c>
      <c r="R35" s="14" t="e">
        <f t="shared" ca="1" si="9"/>
        <v>#N/A</v>
      </c>
      <c r="S35" s="14" t="e">
        <f t="shared" ca="1" si="9"/>
        <v>#N/A</v>
      </c>
      <c r="T35" s="14" t="e">
        <f t="shared" ca="1" si="9"/>
        <v>#N/A</v>
      </c>
      <c r="U35" s="14" t="e">
        <f t="shared" ca="1" si="9"/>
        <v>#N/A</v>
      </c>
      <c r="V35" s="14" t="e">
        <f t="shared" ca="1" si="5"/>
        <v>#N/A</v>
      </c>
      <c r="W35" s="14" t="e">
        <f t="shared" ca="1" si="5"/>
        <v>#N/A</v>
      </c>
      <c r="X35" s="14" t="e">
        <f t="shared" ca="1" si="5"/>
        <v>#N/A</v>
      </c>
      <c r="Y35" s="14" t="e">
        <f t="shared" ca="1" si="5"/>
        <v>#N/A</v>
      </c>
      <c r="Z35" s="14" t="e">
        <f t="shared" ca="1" si="5"/>
        <v>#N/A</v>
      </c>
      <c r="AA35" s="14" t="e">
        <f t="shared" ca="1" si="5"/>
        <v>#N/A</v>
      </c>
      <c r="AB35" s="14" t="e">
        <f t="shared" ca="1" si="5"/>
        <v>#N/A</v>
      </c>
      <c r="AC35" s="14" t="e">
        <f t="shared" ca="1" si="5"/>
        <v>#N/A</v>
      </c>
      <c r="AD35" s="14" t="e">
        <f t="shared" ca="1" si="5"/>
        <v>#N/A</v>
      </c>
      <c r="AE35" s="14" t="e">
        <f t="shared" ca="1" si="5"/>
        <v>#N/A</v>
      </c>
      <c r="AF35" s="14" t="e">
        <f t="shared" ca="1" si="5"/>
        <v>#N/A</v>
      </c>
      <c r="AG35" s="14" t="e">
        <f t="shared" ca="1" si="5"/>
        <v>#N/A</v>
      </c>
      <c r="AH35" s="14" t="e">
        <f t="shared" ca="1" si="5"/>
        <v>#N/A</v>
      </c>
      <c r="AI35" s="14" t="e">
        <f t="shared" ca="1" si="5"/>
        <v>#N/A</v>
      </c>
      <c r="AJ35" s="14" t="e">
        <f t="shared" ca="1" si="5"/>
        <v>#N/A</v>
      </c>
      <c r="AK35" s="14" t="e">
        <f t="shared" ca="1" si="5"/>
        <v>#N/A</v>
      </c>
      <c r="AL35" s="14" t="e">
        <f t="shared" ca="1" si="5"/>
        <v>#N/A</v>
      </c>
      <c r="AM35" s="14" t="e">
        <f t="shared" ca="1" si="5"/>
        <v>#N/A</v>
      </c>
      <c r="AN35" s="14" t="e">
        <f t="shared" ca="1" si="5"/>
        <v>#N/A</v>
      </c>
      <c r="AO35" s="14" t="e">
        <f t="shared" ca="1" si="5"/>
        <v>#N/A</v>
      </c>
      <c r="AP35" s="14" t="e">
        <f t="shared" ca="1" si="5"/>
        <v>#N/A</v>
      </c>
      <c r="AQ35" s="14" t="e">
        <f t="shared" ca="1" si="5"/>
        <v>#N/A</v>
      </c>
      <c r="AR35" s="14" t="e">
        <f t="shared" ca="1" si="5"/>
        <v>#N/A</v>
      </c>
      <c r="AS35" s="14" t="e">
        <f t="shared" ca="1" si="5"/>
        <v>#N/A</v>
      </c>
      <c r="AT35" s="14" t="e">
        <f t="shared" ca="1" si="5"/>
        <v>#N/A</v>
      </c>
      <c r="AU35" s="14" t="e">
        <f t="shared" ca="1" si="5"/>
        <v>#N/A</v>
      </c>
      <c r="AV35" s="14" t="e">
        <f t="shared" ca="1" si="5"/>
        <v>#N/A</v>
      </c>
      <c r="AW35" s="14" t="e">
        <f t="shared" ca="1" si="5"/>
        <v>#N/A</v>
      </c>
      <c r="AX35" s="14" t="e">
        <f t="shared" ca="1" si="5"/>
        <v>#N/A</v>
      </c>
      <c r="AY35" s="14" t="e">
        <f t="shared" ca="1" si="5"/>
        <v>#N/A</v>
      </c>
      <c r="AZ35" s="14" t="e">
        <f t="shared" ca="1" si="5"/>
        <v>#N/A</v>
      </c>
      <c r="BA35" s="14" t="e">
        <f t="shared" ca="1" si="5"/>
        <v>#N/A</v>
      </c>
      <c r="BB35" s="14" t="e">
        <f t="shared" ca="1" si="5"/>
        <v>#N/A</v>
      </c>
      <c r="BC35" s="14" t="e">
        <f t="shared" ca="1" si="5"/>
        <v>#N/A</v>
      </c>
      <c r="BD35" s="14" t="e">
        <f t="shared" ca="1" si="5"/>
        <v>#N/A</v>
      </c>
      <c r="BE35" s="14" t="e">
        <f t="shared" ca="1" si="5"/>
        <v>#N/A</v>
      </c>
      <c r="BF35" s="14" t="e">
        <f t="shared" ca="1" si="5"/>
        <v>#N/A</v>
      </c>
      <c r="BG35" s="14" t="e">
        <f t="shared" ca="1" si="5"/>
        <v>#N/A</v>
      </c>
      <c r="BH35" s="14" t="e">
        <f t="shared" ca="1" si="5"/>
        <v>#N/A</v>
      </c>
      <c r="BI35" s="14" t="e">
        <f t="shared" ca="1" si="5"/>
        <v>#N/A</v>
      </c>
      <c r="BJ35" s="14" t="e">
        <f t="shared" ca="1" si="5"/>
        <v>#N/A</v>
      </c>
      <c r="BK35" s="14" t="e">
        <f t="shared" ca="1" si="5"/>
        <v>#N/A</v>
      </c>
      <c r="BL35" s="14" t="e">
        <f t="shared" ca="1" si="5"/>
        <v>#N/A</v>
      </c>
      <c r="BM35" s="14" t="e">
        <f t="shared" ca="1" si="5"/>
        <v>#N/A</v>
      </c>
      <c r="BN35" s="14" t="e">
        <f t="shared" ca="1" si="5"/>
        <v>#N/A</v>
      </c>
      <c r="BO35" s="14" t="e">
        <f t="shared" ca="1" si="5"/>
        <v>#N/A</v>
      </c>
      <c r="BP35" s="14" t="e">
        <f t="shared" ca="1" si="5"/>
        <v>#N/A</v>
      </c>
      <c r="BQ35" s="14" t="e">
        <f t="shared" ca="1" si="5"/>
        <v>#N/A</v>
      </c>
      <c r="BR35" s="14" t="e">
        <f t="shared" ca="1" si="5"/>
        <v>#N/A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 t="e">
        <f t="shared" ca="1" si="6"/>
        <v>#N/A</v>
      </c>
      <c r="C36" s="11" t="s">
        <v>6</v>
      </c>
      <c r="D36" s="44" t="e">
        <f t="shared" si="7"/>
        <v>#N/A</v>
      </c>
      <c r="E36" s="11" t="e">
        <f t="shared" ca="1" si="8"/>
        <v>#N/A</v>
      </c>
      <c r="F36" s="14" t="e">
        <f t="shared" ca="1" si="9"/>
        <v>#N/A</v>
      </c>
      <c r="G36" s="14" t="e">
        <f t="shared" ca="1" si="5"/>
        <v>#N/A</v>
      </c>
      <c r="H36" s="14" t="e">
        <f t="shared" ca="1" si="5"/>
        <v>#N/A</v>
      </c>
      <c r="I36" s="14" t="e">
        <f t="shared" ca="1" si="5"/>
        <v>#N/A</v>
      </c>
      <c r="J36" s="14" t="e">
        <f t="shared" ca="1" si="5"/>
        <v>#N/A</v>
      </c>
      <c r="K36" s="14" t="e">
        <f t="shared" ca="1" si="5"/>
        <v>#N/A</v>
      </c>
      <c r="L36" s="14" t="e">
        <f t="shared" ca="1" si="5"/>
        <v>#N/A</v>
      </c>
      <c r="M36" s="14" t="e">
        <f t="shared" ca="1" si="5"/>
        <v>#N/A</v>
      </c>
      <c r="N36" s="14" t="e">
        <f t="shared" ca="1" si="5"/>
        <v>#N/A</v>
      </c>
      <c r="O36" s="14" t="e">
        <f t="shared" ca="1" si="5"/>
        <v>#N/A</v>
      </c>
      <c r="P36" s="14" t="e">
        <f t="shared" ca="1" si="5"/>
        <v>#N/A</v>
      </c>
      <c r="Q36" s="14" t="e">
        <f t="shared" ca="1" si="5"/>
        <v>#N/A</v>
      </c>
      <c r="R36" s="14" t="e">
        <f t="shared" ca="1" si="5"/>
        <v>#N/A</v>
      </c>
      <c r="S36" s="14" t="e">
        <f t="shared" ca="1" si="5"/>
        <v>#N/A</v>
      </c>
      <c r="T36" s="14" t="e">
        <f t="shared" ca="1" si="5"/>
        <v>#N/A</v>
      </c>
      <c r="U36" s="14" t="e">
        <f t="shared" ca="1" si="5"/>
        <v>#N/A</v>
      </c>
      <c r="V36" s="14" t="e">
        <f t="shared" ca="1" si="5"/>
        <v>#N/A</v>
      </c>
      <c r="W36" s="14" t="e">
        <f t="shared" ca="1" si="5"/>
        <v>#N/A</v>
      </c>
      <c r="X36" s="14" t="e">
        <f t="shared" ca="1" si="5"/>
        <v>#N/A</v>
      </c>
      <c r="Y36" s="14" t="e">
        <f t="shared" ca="1" si="5"/>
        <v>#N/A</v>
      </c>
      <c r="Z36" s="14" t="e">
        <f t="shared" ca="1" si="5"/>
        <v>#N/A</v>
      </c>
      <c r="AA36" s="14" t="e">
        <f t="shared" ca="1" si="5"/>
        <v>#N/A</v>
      </c>
      <c r="AB36" s="14" t="e">
        <f t="shared" ca="1" si="5"/>
        <v>#N/A</v>
      </c>
      <c r="AC36" s="14" t="e">
        <f t="shared" ca="1" si="5"/>
        <v>#N/A</v>
      </c>
      <c r="AD36" s="14" t="e">
        <f t="shared" ca="1" si="5"/>
        <v>#N/A</v>
      </c>
      <c r="AE36" s="14" t="e">
        <f t="shared" ca="1" si="5"/>
        <v>#N/A</v>
      </c>
      <c r="AF36" s="14" t="e">
        <f t="shared" ca="1" si="5"/>
        <v>#N/A</v>
      </c>
      <c r="AG36" s="14" t="e">
        <f t="shared" ca="1" si="5"/>
        <v>#N/A</v>
      </c>
      <c r="AH36" s="14" t="e">
        <f t="shared" ca="1" si="5"/>
        <v>#N/A</v>
      </c>
      <c r="AI36" s="14" t="e">
        <f t="shared" ca="1" si="5"/>
        <v>#N/A</v>
      </c>
      <c r="AJ36" s="14" t="e">
        <f t="shared" ca="1" si="5"/>
        <v>#N/A</v>
      </c>
      <c r="AK36" s="14" t="e">
        <f t="shared" ca="1" si="5"/>
        <v>#N/A</v>
      </c>
      <c r="AL36" s="14" t="e">
        <f t="shared" ca="1" si="5"/>
        <v>#N/A</v>
      </c>
      <c r="AM36" s="14" t="e">
        <f t="shared" ca="1" si="5"/>
        <v>#N/A</v>
      </c>
      <c r="AN36" s="14" t="e">
        <f t="shared" ca="1" si="5"/>
        <v>#N/A</v>
      </c>
      <c r="AO36" s="14" t="e">
        <f t="shared" ca="1" si="5"/>
        <v>#N/A</v>
      </c>
      <c r="AP36" s="14" t="e">
        <f t="shared" ca="1" si="5"/>
        <v>#N/A</v>
      </c>
      <c r="AQ36" s="14" t="e">
        <f t="shared" ca="1" si="5"/>
        <v>#N/A</v>
      </c>
      <c r="AR36" s="14" t="e">
        <f t="shared" ca="1" si="5"/>
        <v>#N/A</v>
      </c>
      <c r="AS36" s="14" t="e">
        <f t="shared" ca="1" si="5"/>
        <v>#N/A</v>
      </c>
      <c r="AT36" s="14" t="e">
        <f t="shared" ca="1" si="5"/>
        <v>#N/A</v>
      </c>
      <c r="AU36" s="14" t="e">
        <f t="shared" ca="1" si="5"/>
        <v>#N/A</v>
      </c>
      <c r="AV36" s="14" t="e">
        <f t="shared" ca="1" si="5"/>
        <v>#N/A</v>
      </c>
      <c r="AW36" s="14" t="e">
        <f t="shared" ca="1" si="5"/>
        <v>#N/A</v>
      </c>
      <c r="AX36" s="14" t="e">
        <f t="shared" ca="1" si="5"/>
        <v>#N/A</v>
      </c>
      <c r="AY36" s="14" t="e">
        <f t="shared" ca="1" si="5"/>
        <v>#N/A</v>
      </c>
      <c r="AZ36" s="14" t="e">
        <f t="shared" ca="1" si="5"/>
        <v>#N/A</v>
      </c>
      <c r="BA36" s="14" t="e">
        <f t="shared" ca="1" si="5"/>
        <v>#N/A</v>
      </c>
      <c r="BB36" s="14" t="e">
        <f t="shared" ca="1" si="5"/>
        <v>#N/A</v>
      </c>
      <c r="BC36" s="14" t="e">
        <f t="shared" ca="1" si="5"/>
        <v>#N/A</v>
      </c>
      <c r="BD36" s="14" t="e">
        <f t="shared" ca="1" si="5"/>
        <v>#N/A</v>
      </c>
      <c r="BE36" s="14" t="e">
        <f t="shared" ca="1" si="5"/>
        <v>#N/A</v>
      </c>
      <c r="BF36" s="14" t="e">
        <f t="shared" ca="1" si="5"/>
        <v>#N/A</v>
      </c>
      <c r="BG36" s="14" t="e">
        <f t="shared" ca="1" si="5"/>
        <v>#N/A</v>
      </c>
      <c r="BH36" s="14" t="e">
        <f t="shared" ca="1" si="5"/>
        <v>#N/A</v>
      </c>
      <c r="BI36" s="14" t="e">
        <f t="shared" ca="1" si="5"/>
        <v>#N/A</v>
      </c>
      <c r="BJ36" s="14" t="e">
        <f t="shared" ca="1" si="5"/>
        <v>#N/A</v>
      </c>
      <c r="BK36" s="14" t="e">
        <f t="shared" ca="1" si="5"/>
        <v>#N/A</v>
      </c>
      <c r="BL36" s="14" t="e">
        <f t="shared" ca="1" si="5"/>
        <v>#N/A</v>
      </c>
      <c r="BM36" s="14" t="e">
        <f t="shared" ca="1" si="5"/>
        <v>#N/A</v>
      </c>
      <c r="BN36" s="14" t="e">
        <f t="shared" ca="1" si="5"/>
        <v>#N/A</v>
      </c>
      <c r="BO36" s="14" t="e">
        <f t="shared" ca="1" si="5"/>
        <v>#N/A</v>
      </c>
      <c r="BP36" s="14" t="e">
        <f t="shared" ca="1" si="5"/>
        <v>#N/A</v>
      </c>
      <c r="BQ36" s="14" t="e">
        <f t="shared" ca="1" si="5"/>
        <v>#N/A</v>
      </c>
      <c r="BR36" s="14" t="e">
        <f t="shared" ca="1" si="5"/>
        <v>#N/A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 t="e">
        <f t="shared" ca="1" si="6"/>
        <v>#N/A</v>
      </c>
      <c r="C37" s="11" t="s">
        <v>7</v>
      </c>
      <c r="D37" s="44" t="e">
        <f t="shared" si="7"/>
        <v>#N/A</v>
      </c>
      <c r="E37" s="11" t="e">
        <f t="shared" ca="1" si="8"/>
        <v>#N/A</v>
      </c>
      <c r="F37" s="14" t="e">
        <f t="shared" ca="1" si="9"/>
        <v>#N/A</v>
      </c>
      <c r="G37" s="14" t="e">
        <f t="shared" ca="1" si="5"/>
        <v>#N/A</v>
      </c>
      <c r="H37" s="14" t="e">
        <f t="shared" ca="1" si="5"/>
        <v>#N/A</v>
      </c>
      <c r="I37" s="14" t="e">
        <f t="shared" ca="1" si="5"/>
        <v>#N/A</v>
      </c>
      <c r="J37" s="14" t="e">
        <f t="shared" ca="1" si="5"/>
        <v>#N/A</v>
      </c>
      <c r="K37" s="14" t="e">
        <f t="shared" ca="1" si="5"/>
        <v>#N/A</v>
      </c>
      <c r="L37" s="14" t="e">
        <f t="shared" ca="1" si="5"/>
        <v>#N/A</v>
      </c>
      <c r="M37" s="14" t="e">
        <f t="shared" ca="1" si="5"/>
        <v>#N/A</v>
      </c>
      <c r="N37" s="14" t="e">
        <f t="shared" ca="1" si="5"/>
        <v>#N/A</v>
      </c>
      <c r="O37" s="14" t="e">
        <f t="shared" ca="1" si="5"/>
        <v>#N/A</v>
      </c>
      <c r="P37" s="14" t="e">
        <f t="shared" ca="1" si="5"/>
        <v>#N/A</v>
      </c>
      <c r="Q37" s="14" t="e">
        <f t="shared" ca="1" si="5"/>
        <v>#N/A</v>
      </c>
      <c r="R37" s="14" t="e">
        <f t="shared" ca="1" si="5"/>
        <v>#N/A</v>
      </c>
      <c r="S37" s="14" t="e">
        <f t="shared" ca="1" si="5"/>
        <v>#N/A</v>
      </c>
      <c r="T37" s="14" t="e">
        <f t="shared" ca="1" si="5"/>
        <v>#N/A</v>
      </c>
      <c r="U37" s="14" t="e">
        <f t="shared" ca="1" si="5"/>
        <v>#N/A</v>
      </c>
      <c r="V37" s="14" t="e">
        <f t="shared" ca="1" si="5"/>
        <v>#N/A</v>
      </c>
      <c r="W37" s="14" t="e">
        <f t="shared" ca="1" si="5"/>
        <v>#N/A</v>
      </c>
      <c r="X37" s="14" t="e">
        <f t="shared" ca="1" si="5"/>
        <v>#N/A</v>
      </c>
      <c r="Y37" s="14" t="e">
        <f t="shared" ca="1" si="5"/>
        <v>#N/A</v>
      </c>
      <c r="Z37" s="14" t="e">
        <f t="shared" ca="1" si="5"/>
        <v>#N/A</v>
      </c>
      <c r="AA37" s="14" t="e">
        <f t="shared" ca="1" si="5"/>
        <v>#N/A</v>
      </c>
      <c r="AB37" s="14" t="e">
        <f t="shared" ca="1" si="5"/>
        <v>#N/A</v>
      </c>
      <c r="AC37" s="14" t="e">
        <f t="shared" ca="1" si="5"/>
        <v>#N/A</v>
      </c>
      <c r="AD37" s="14" t="e">
        <f t="shared" ca="1" si="5"/>
        <v>#N/A</v>
      </c>
      <c r="AE37" s="14" t="e">
        <f t="shared" ca="1" si="5"/>
        <v>#N/A</v>
      </c>
      <c r="AF37" s="14" t="e">
        <f t="shared" ca="1" si="5"/>
        <v>#N/A</v>
      </c>
      <c r="AG37" s="14" t="e">
        <f t="shared" ca="1" si="5"/>
        <v>#N/A</v>
      </c>
      <c r="AH37" s="14" t="e">
        <f t="shared" ca="1" si="5"/>
        <v>#N/A</v>
      </c>
      <c r="AI37" s="14" t="e">
        <f t="shared" ca="1" si="5"/>
        <v>#N/A</v>
      </c>
      <c r="AJ37" s="14" t="e">
        <f t="shared" ca="1" si="5"/>
        <v>#N/A</v>
      </c>
      <c r="AK37" s="14" t="e">
        <f t="shared" ca="1" si="5"/>
        <v>#N/A</v>
      </c>
      <c r="AL37" s="14" t="e">
        <f t="shared" ca="1" si="5"/>
        <v>#N/A</v>
      </c>
      <c r="AM37" s="14" t="e">
        <f t="shared" ca="1" si="5"/>
        <v>#N/A</v>
      </c>
      <c r="AN37" s="14" t="e">
        <f t="shared" ca="1" si="5"/>
        <v>#N/A</v>
      </c>
      <c r="AO37" s="14" t="e">
        <f t="shared" ca="1" si="5"/>
        <v>#N/A</v>
      </c>
      <c r="AP37" s="14" t="e">
        <f t="shared" ca="1" si="5"/>
        <v>#N/A</v>
      </c>
      <c r="AQ37" s="14" t="e">
        <f t="shared" ca="1" si="5"/>
        <v>#N/A</v>
      </c>
      <c r="AR37" s="14" t="e">
        <f t="shared" ca="1" si="5"/>
        <v>#N/A</v>
      </c>
      <c r="AS37" s="14" t="e">
        <f t="shared" ca="1" si="5"/>
        <v>#N/A</v>
      </c>
      <c r="AT37" s="14" t="e">
        <f t="shared" ca="1" si="5"/>
        <v>#N/A</v>
      </c>
      <c r="AU37" s="14" t="e">
        <f t="shared" ca="1" si="5"/>
        <v>#N/A</v>
      </c>
      <c r="AV37" s="14" t="e">
        <f t="shared" ca="1" si="5"/>
        <v>#N/A</v>
      </c>
      <c r="AW37" s="14" t="e">
        <f t="shared" ca="1" si="5"/>
        <v>#N/A</v>
      </c>
      <c r="AX37" s="14" t="e">
        <f t="shared" ca="1" si="5"/>
        <v>#N/A</v>
      </c>
      <c r="AY37" s="14" t="e">
        <f t="shared" ca="1" si="5"/>
        <v>#N/A</v>
      </c>
      <c r="AZ37" s="14" t="e">
        <f t="shared" ca="1" si="5"/>
        <v>#N/A</v>
      </c>
      <c r="BA37" s="14" t="e">
        <f t="shared" ca="1" si="5"/>
        <v>#N/A</v>
      </c>
      <c r="BB37" s="14" t="e">
        <f t="shared" ca="1" si="5"/>
        <v>#N/A</v>
      </c>
      <c r="BC37" s="14" t="e">
        <f t="shared" ca="1" si="5"/>
        <v>#N/A</v>
      </c>
      <c r="BD37" s="14" t="e">
        <f t="shared" ca="1" si="5"/>
        <v>#N/A</v>
      </c>
      <c r="BE37" s="14" t="e">
        <f t="shared" ca="1" si="5"/>
        <v>#N/A</v>
      </c>
      <c r="BF37" s="14" t="e">
        <f t="shared" ca="1" si="5"/>
        <v>#N/A</v>
      </c>
      <c r="BG37" s="14" t="e">
        <f t="shared" ca="1" si="5"/>
        <v>#N/A</v>
      </c>
      <c r="BH37" s="14" t="e">
        <f t="shared" ca="1" si="5"/>
        <v>#N/A</v>
      </c>
      <c r="BI37" s="14" t="e">
        <f t="shared" ca="1" si="5"/>
        <v>#N/A</v>
      </c>
      <c r="BJ37" s="14" t="e">
        <f t="shared" ca="1" si="5"/>
        <v>#N/A</v>
      </c>
      <c r="BK37" s="14" t="e">
        <f t="shared" ca="1" si="5"/>
        <v>#N/A</v>
      </c>
      <c r="BL37" s="14" t="e">
        <f t="shared" ca="1" si="5"/>
        <v>#N/A</v>
      </c>
      <c r="BM37" s="14" t="e">
        <f t="shared" ca="1" si="5"/>
        <v>#N/A</v>
      </c>
      <c r="BN37" s="14" t="e">
        <f t="shared" ca="1" si="5"/>
        <v>#N/A</v>
      </c>
      <c r="BO37" s="14" t="e">
        <f t="shared" ca="1" si="5"/>
        <v>#N/A</v>
      </c>
      <c r="BP37" s="14" t="e">
        <f t="shared" ca="1" si="5"/>
        <v>#N/A</v>
      </c>
      <c r="BQ37" s="14" t="e">
        <f t="shared" ca="1" si="5"/>
        <v>#N/A</v>
      </c>
      <c r="BR37" s="14" t="e">
        <f t="shared" ca="1" si="5"/>
        <v>#N/A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10">G3</f>
        <v>0</v>
      </c>
      <c r="H40" s="8">
        <f t="shared" si="10"/>
        <v>0</v>
      </c>
      <c r="I40" s="8">
        <f t="shared" si="10"/>
        <v>0</v>
      </c>
      <c r="J40" s="8">
        <f t="shared" si="10"/>
        <v>0</v>
      </c>
      <c r="K40" s="8">
        <f t="shared" si="10"/>
        <v>0</v>
      </c>
      <c r="L40" s="8">
        <f t="shared" si="10"/>
        <v>0</v>
      </c>
      <c r="M40" s="8">
        <f t="shared" si="10"/>
        <v>0</v>
      </c>
      <c r="N40" s="8">
        <f t="shared" si="10"/>
        <v>0</v>
      </c>
      <c r="O40" s="8">
        <f t="shared" si="10"/>
        <v>0</v>
      </c>
      <c r="P40" s="8">
        <f t="shared" si="10"/>
        <v>0</v>
      </c>
      <c r="Q40" s="8">
        <f t="shared" si="10"/>
        <v>0</v>
      </c>
      <c r="R40" s="8">
        <f t="shared" si="10"/>
        <v>0</v>
      </c>
      <c r="S40" s="8">
        <f t="shared" si="10"/>
        <v>0</v>
      </c>
      <c r="T40" s="8">
        <f t="shared" si="10"/>
        <v>0</v>
      </c>
      <c r="U40" s="8">
        <f t="shared" si="10"/>
        <v>0</v>
      </c>
      <c r="V40" s="8">
        <f t="shared" si="10"/>
        <v>0</v>
      </c>
      <c r="W40" s="8">
        <f t="shared" si="10"/>
        <v>0</v>
      </c>
      <c r="X40" s="8">
        <f t="shared" si="10"/>
        <v>0</v>
      </c>
      <c r="Y40" s="8">
        <f t="shared" si="10"/>
        <v>0</v>
      </c>
      <c r="Z40" s="8">
        <f t="shared" si="10"/>
        <v>0</v>
      </c>
      <c r="AA40" s="8">
        <f t="shared" si="10"/>
        <v>0</v>
      </c>
      <c r="AB40" s="8">
        <f t="shared" si="10"/>
        <v>0</v>
      </c>
      <c r="AC40" s="8">
        <f t="shared" si="10"/>
        <v>0</v>
      </c>
      <c r="AD40" s="8">
        <f t="shared" si="10"/>
        <v>0</v>
      </c>
      <c r="AE40" s="8">
        <f t="shared" si="10"/>
        <v>0</v>
      </c>
      <c r="AF40" s="8">
        <f t="shared" si="10"/>
        <v>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 t="e">
        <f t="shared" ref="F41:BQ41" ca="1" si="11">($B$41*H.Ge+$C$41*H.Ga+$D$41*H.Se)*F$40*$B$2/1000</f>
        <v>#N/A</v>
      </c>
      <c r="G41" s="10" t="e">
        <f t="shared" ca="1" si="11"/>
        <v>#N/A</v>
      </c>
      <c r="H41" s="10" t="e">
        <f t="shared" ca="1" si="11"/>
        <v>#N/A</v>
      </c>
      <c r="I41" s="10" t="e">
        <f t="shared" ca="1" si="11"/>
        <v>#N/A</v>
      </c>
      <c r="J41" s="10" t="e">
        <f t="shared" ca="1" si="11"/>
        <v>#N/A</v>
      </c>
      <c r="K41" s="10" t="e">
        <f t="shared" ca="1" si="11"/>
        <v>#N/A</v>
      </c>
      <c r="L41" s="10" t="e">
        <f t="shared" ca="1" si="11"/>
        <v>#N/A</v>
      </c>
      <c r="M41" s="10" t="e">
        <f t="shared" ca="1" si="11"/>
        <v>#N/A</v>
      </c>
      <c r="N41" s="10" t="e">
        <f t="shared" ca="1" si="11"/>
        <v>#N/A</v>
      </c>
      <c r="O41" s="10" t="e">
        <f t="shared" ca="1" si="11"/>
        <v>#N/A</v>
      </c>
      <c r="P41" s="10" t="e">
        <f t="shared" ca="1" si="11"/>
        <v>#N/A</v>
      </c>
      <c r="Q41" s="10" t="e">
        <f t="shared" ca="1" si="11"/>
        <v>#N/A</v>
      </c>
      <c r="R41" s="10" t="e">
        <f t="shared" ca="1" si="11"/>
        <v>#N/A</v>
      </c>
      <c r="S41" s="10" t="e">
        <f t="shared" ca="1" si="11"/>
        <v>#N/A</v>
      </c>
      <c r="T41" s="10" t="e">
        <f t="shared" ca="1" si="11"/>
        <v>#N/A</v>
      </c>
      <c r="U41" s="10" t="e">
        <f t="shared" ca="1" si="11"/>
        <v>#N/A</v>
      </c>
      <c r="V41" s="10" t="e">
        <f t="shared" ca="1" si="11"/>
        <v>#N/A</v>
      </c>
      <c r="W41" s="10" t="e">
        <f t="shared" ca="1" si="11"/>
        <v>#N/A</v>
      </c>
      <c r="X41" s="10" t="e">
        <f t="shared" ca="1" si="11"/>
        <v>#N/A</v>
      </c>
      <c r="Y41" s="10" t="e">
        <f t="shared" ca="1" si="11"/>
        <v>#N/A</v>
      </c>
      <c r="Z41" s="10" t="e">
        <f t="shared" ca="1" si="11"/>
        <v>#N/A</v>
      </c>
      <c r="AA41" s="10" t="e">
        <f t="shared" ca="1" si="11"/>
        <v>#N/A</v>
      </c>
      <c r="AB41" s="10" t="e">
        <f t="shared" ca="1" si="11"/>
        <v>#N/A</v>
      </c>
      <c r="AC41" s="10" t="e">
        <f t="shared" ca="1" si="11"/>
        <v>#N/A</v>
      </c>
      <c r="AD41" s="10" t="e">
        <f t="shared" ca="1" si="11"/>
        <v>#N/A</v>
      </c>
      <c r="AE41" s="10" t="e">
        <f t="shared" ca="1" si="11"/>
        <v>#N/A</v>
      </c>
      <c r="AF41" s="10" t="e">
        <f t="shared" ca="1" si="11"/>
        <v>#N/A</v>
      </c>
      <c r="AG41" s="10" t="e">
        <f t="shared" ca="1" si="11"/>
        <v>#N/A</v>
      </c>
      <c r="AH41" s="10" t="e">
        <f t="shared" ca="1" si="11"/>
        <v>#N/A</v>
      </c>
      <c r="AI41" s="10" t="e">
        <f t="shared" ca="1" si="11"/>
        <v>#N/A</v>
      </c>
      <c r="AJ41" s="10" t="e">
        <f t="shared" ca="1" si="11"/>
        <v>#N/A</v>
      </c>
      <c r="AK41" s="10" t="e">
        <f t="shared" ca="1" si="11"/>
        <v>#N/A</v>
      </c>
      <c r="AL41" s="10" t="e">
        <f t="shared" ca="1" si="11"/>
        <v>#N/A</v>
      </c>
      <c r="AM41" s="10" t="e">
        <f t="shared" ca="1" si="11"/>
        <v>#N/A</v>
      </c>
      <c r="AN41" s="10" t="e">
        <f t="shared" ca="1" si="11"/>
        <v>#N/A</v>
      </c>
      <c r="AO41" s="10" t="e">
        <f t="shared" ca="1" si="11"/>
        <v>#N/A</v>
      </c>
      <c r="AP41" s="10" t="e">
        <f t="shared" ca="1" si="11"/>
        <v>#N/A</v>
      </c>
      <c r="AQ41" s="10" t="e">
        <f t="shared" ca="1" si="11"/>
        <v>#N/A</v>
      </c>
      <c r="AR41" s="10" t="e">
        <f t="shared" ca="1" si="11"/>
        <v>#N/A</v>
      </c>
      <c r="AS41" s="10" t="e">
        <f t="shared" ca="1" si="11"/>
        <v>#N/A</v>
      </c>
      <c r="AT41" s="10" t="e">
        <f t="shared" ca="1" si="11"/>
        <v>#N/A</v>
      </c>
      <c r="AU41" s="10" t="e">
        <f t="shared" ca="1" si="11"/>
        <v>#N/A</v>
      </c>
      <c r="AV41" s="10" t="e">
        <f t="shared" ca="1" si="11"/>
        <v>#N/A</v>
      </c>
      <c r="AW41" s="10" t="e">
        <f t="shared" ca="1" si="11"/>
        <v>#N/A</v>
      </c>
      <c r="AX41" s="10" t="e">
        <f t="shared" ca="1" si="11"/>
        <v>#N/A</v>
      </c>
      <c r="AY41" s="10" t="e">
        <f t="shared" ca="1" si="11"/>
        <v>#N/A</v>
      </c>
      <c r="AZ41" s="10" t="e">
        <f t="shared" ca="1" si="11"/>
        <v>#N/A</v>
      </c>
      <c r="BA41" s="10" t="e">
        <f t="shared" ca="1" si="11"/>
        <v>#N/A</v>
      </c>
      <c r="BB41" s="10" t="e">
        <f t="shared" ca="1" si="11"/>
        <v>#N/A</v>
      </c>
      <c r="BC41" s="10" t="e">
        <f t="shared" ca="1" si="11"/>
        <v>#N/A</v>
      </c>
      <c r="BD41" s="10" t="e">
        <f t="shared" ca="1" si="11"/>
        <v>#N/A</v>
      </c>
      <c r="BE41" s="10" t="e">
        <f t="shared" ca="1" si="11"/>
        <v>#N/A</v>
      </c>
      <c r="BF41" s="10" t="e">
        <f t="shared" ca="1" si="11"/>
        <v>#N/A</v>
      </c>
      <c r="BG41" s="10" t="e">
        <f t="shared" ca="1" si="11"/>
        <v>#N/A</v>
      </c>
      <c r="BH41" s="10" t="e">
        <f t="shared" ca="1" si="11"/>
        <v>#N/A</v>
      </c>
      <c r="BI41" s="10" t="e">
        <f t="shared" ca="1" si="11"/>
        <v>#N/A</v>
      </c>
      <c r="BJ41" s="10" t="e">
        <f t="shared" ca="1" si="11"/>
        <v>#N/A</v>
      </c>
      <c r="BK41" s="10" t="e">
        <f t="shared" ca="1" si="11"/>
        <v>#N/A</v>
      </c>
      <c r="BL41" s="10" t="e">
        <f t="shared" ca="1" si="11"/>
        <v>#N/A</v>
      </c>
      <c r="BM41" s="10" t="e">
        <f t="shared" ca="1" si="11"/>
        <v>#N/A</v>
      </c>
      <c r="BN41" s="10" t="e">
        <f t="shared" ca="1" si="11"/>
        <v>#N/A</v>
      </c>
      <c r="BO41" s="10" t="e">
        <f t="shared" ca="1" si="11"/>
        <v>#N/A</v>
      </c>
      <c r="BP41" s="10" t="e">
        <f t="shared" ca="1" si="11"/>
        <v>#N/A</v>
      </c>
      <c r="BQ41" s="10" t="e">
        <f t="shared" ca="1" si="11"/>
        <v>#N/A</v>
      </c>
      <c r="BR41" s="10" t="e">
        <f t="shared" ref="BR41" ca="1" si="12">($B$41*H.Ge+$C$41*H.Ga+$D$41*H.Se)*BR$40*$B$2/1000</f>
        <v>#N/A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3">E3</f>
        <v>0</v>
      </c>
      <c r="F45" s="3">
        <f t="shared" si="13"/>
        <v>0</v>
      </c>
      <c r="G45" s="3">
        <f t="shared" ref="G45:BR45" si="14">G3</f>
        <v>0</v>
      </c>
      <c r="H45" s="3">
        <f t="shared" si="14"/>
        <v>0</v>
      </c>
      <c r="I45" s="3">
        <f t="shared" si="14"/>
        <v>0</v>
      </c>
      <c r="J45" s="3">
        <f t="shared" si="14"/>
        <v>0</v>
      </c>
      <c r="K45" s="3">
        <f t="shared" si="14"/>
        <v>0</v>
      </c>
      <c r="L45" s="3">
        <f t="shared" si="14"/>
        <v>0</v>
      </c>
      <c r="M45" s="3">
        <f t="shared" si="14"/>
        <v>0</v>
      </c>
      <c r="N45" s="3">
        <f t="shared" si="14"/>
        <v>0</v>
      </c>
      <c r="O45" s="3">
        <f t="shared" si="14"/>
        <v>0</v>
      </c>
      <c r="P45" s="3">
        <f t="shared" si="14"/>
        <v>0</v>
      </c>
      <c r="Q45" s="3">
        <f t="shared" si="14"/>
        <v>0</v>
      </c>
      <c r="R45" s="3">
        <f t="shared" si="14"/>
        <v>0</v>
      </c>
      <c r="S45" s="3">
        <f t="shared" si="14"/>
        <v>0</v>
      </c>
      <c r="T45" s="3">
        <f t="shared" si="14"/>
        <v>0</v>
      </c>
      <c r="U45" s="3">
        <f t="shared" si="14"/>
        <v>0</v>
      </c>
      <c r="V45" s="3">
        <f t="shared" si="14"/>
        <v>0</v>
      </c>
      <c r="W45" s="3">
        <f t="shared" si="14"/>
        <v>0</v>
      </c>
      <c r="X45" s="3">
        <f t="shared" si="14"/>
        <v>0</v>
      </c>
      <c r="Y45" s="3">
        <f t="shared" si="14"/>
        <v>0</v>
      </c>
      <c r="Z45" s="3">
        <f t="shared" si="14"/>
        <v>0</v>
      </c>
      <c r="AA45" s="3">
        <f t="shared" si="14"/>
        <v>0</v>
      </c>
      <c r="AB45" s="3">
        <f t="shared" si="14"/>
        <v>0</v>
      </c>
      <c r="AC45" s="3">
        <f t="shared" si="14"/>
        <v>0</v>
      </c>
      <c r="AD45" s="3">
        <f t="shared" si="14"/>
        <v>0</v>
      </c>
      <c r="AE45" s="3">
        <f t="shared" si="14"/>
        <v>0</v>
      </c>
      <c r="AF45" s="3">
        <f t="shared" si="14"/>
        <v>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0</v>
      </c>
      <c r="C46" s="5">
        <f t="shared" si="15"/>
        <v>0</v>
      </c>
      <c r="D46" s="5">
        <f t="shared" si="15"/>
        <v>0</v>
      </c>
      <c r="E46" s="6">
        <f t="shared" si="15"/>
        <v>0</v>
      </c>
      <c r="F46" s="14" t="e">
        <f t="shared" ref="F46:U55" ca="1" si="16">$A46*H.Ar + $B46*H.Se + $C46*H.Ge + $D46*H.Ga</f>
        <v>#N/A</v>
      </c>
      <c r="G46" s="14" t="e">
        <f t="shared" ca="1" si="16"/>
        <v>#N/A</v>
      </c>
      <c r="H46" s="14" t="e">
        <f t="shared" ca="1" si="16"/>
        <v>#N/A</v>
      </c>
      <c r="I46" s="14" t="e">
        <f t="shared" ca="1" si="16"/>
        <v>#N/A</v>
      </c>
      <c r="J46" s="14" t="e">
        <f t="shared" ca="1" si="16"/>
        <v>#N/A</v>
      </c>
      <c r="K46" s="14" t="e">
        <f t="shared" ca="1" si="16"/>
        <v>#N/A</v>
      </c>
      <c r="L46" s="14" t="e">
        <f t="shared" ca="1" si="16"/>
        <v>#N/A</v>
      </c>
      <c r="M46" s="14" t="e">
        <f t="shared" ca="1" si="16"/>
        <v>#N/A</v>
      </c>
      <c r="N46" s="14" t="e">
        <f t="shared" ca="1" si="16"/>
        <v>#N/A</v>
      </c>
      <c r="O46" s="14" t="e">
        <f t="shared" ca="1" si="16"/>
        <v>#N/A</v>
      </c>
      <c r="P46" s="14" t="e">
        <f t="shared" ca="1" si="16"/>
        <v>#N/A</v>
      </c>
      <c r="Q46" s="14" t="e">
        <f t="shared" ca="1" si="16"/>
        <v>#N/A</v>
      </c>
      <c r="R46" s="14" t="e">
        <f t="shared" ca="1" si="16"/>
        <v>#N/A</v>
      </c>
      <c r="S46" s="14" t="e">
        <f t="shared" ca="1" si="16"/>
        <v>#N/A</v>
      </c>
      <c r="T46" s="14" t="e">
        <f t="shared" ca="1" si="16"/>
        <v>#N/A</v>
      </c>
      <c r="U46" s="14" t="e">
        <f t="shared" ca="1" si="16"/>
        <v>#N/A</v>
      </c>
      <c r="V46" s="14" t="e">
        <f t="shared" ref="G46:BR50" ca="1" si="17">$A46*H.Ar + $B46*H.Se + $C46*H.Ge + $D46*H.Ga</f>
        <v>#N/A</v>
      </c>
      <c r="W46" s="14" t="e">
        <f t="shared" ca="1" si="17"/>
        <v>#N/A</v>
      </c>
      <c r="X46" s="14" t="e">
        <f t="shared" ca="1" si="17"/>
        <v>#N/A</v>
      </c>
      <c r="Y46" s="14" t="e">
        <f t="shared" ca="1" si="17"/>
        <v>#N/A</v>
      </c>
      <c r="Z46" s="14" t="e">
        <f t="shared" ca="1" si="17"/>
        <v>#N/A</v>
      </c>
      <c r="AA46" s="14" t="e">
        <f t="shared" ca="1" si="17"/>
        <v>#N/A</v>
      </c>
      <c r="AB46" s="14" t="e">
        <f t="shared" ca="1" si="17"/>
        <v>#N/A</v>
      </c>
      <c r="AC46" s="14" t="e">
        <f t="shared" ca="1" si="17"/>
        <v>#N/A</v>
      </c>
      <c r="AD46" s="14" t="e">
        <f t="shared" ca="1" si="17"/>
        <v>#N/A</v>
      </c>
      <c r="AE46" s="14" t="e">
        <f t="shared" ca="1" si="17"/>
        <v>#N/A</v>
      </c>
      <c r="AF46" s="14" t="e">
        <f t="shared" ca="1" si="17"/>
        <v>#N/A</v>
      </c>
      <c r="AG46" s="14" t="e">
        <f t="shared" ca="1" si="17"/>
        <v>#N/A</v>
      </c>
      <c r="AH46" s="14" t="e">
        <f t="shared" ca="1" si="17"/>
        <v>#N/A</v>
      </c>
      <c r="AI46" s="14" t="e">
        <f t="shared" ca="1" si="17"/>
        <v>#N/A</v>
      </c>
      <c r="AJ46" s="14" t="e">
        <f t="shared" ca="1" si="17"/>
        <v>#N/A</v>
      </c>
      <c r="AK46" s="14" t="e">
        <f t="shared" ca="1" si="17"/>
        <v>#N/A</v>
      </c>
      <c r="AL46" s="14" t="e">
        <f t="shared" ca="1" si="17"/>
        <v>#N/A</v>
      </c>
      <c r="AM46" s="14" t="e">
        <f t="shared" ca="1" si="17"/>
        <v>#N/A</v>
      </c>
      <c r="AN46" s="14" t="e">
        <f t="shared" ca="1" si="17"/>
        <v>#N/A</v>
      </c>
      <c r="AO46" s="14" t="e">
        <f t="shared" ca="1" si="17"/>
        <v>#N/A</v>
      </c>
      <c r="AP46" s="14" t="e">
        <f t="shared" ca="1" si="17"/>
        <v>#N/A</v>
      </c>
      <c r="AQ46" s="14" t="e">
        <f t="shared" ca="1" si="17"/>
        <v>#N/A</v>
      </c>
      <c r="AR46" s="14" t="e">
        <f t="shared" ca="1" si="17"/>
        <v>#N/A</v>
      </c>
      <c r="AS46" s="14" t="e">
        <f t="shared" ca="1" si="17"/>
        <v>#N/A</v>
      </c>
      <c r="AT46" s="14" t="e">
        <f t="shared" ca="1" si="17"/>
        <v>#N/A</v>
      </c>
      <c r="AU46" s="14" t="e">
        <f t="shared" ca="1" si="17"/>
        <v>#N/A</v>
      </c>
      <c r="AV46" s="14" t="e">
        <f t="shared" ca="1" si="17"/>
        <v>#N/A</v>
      </c>
      <c r="AW46" s="14" t="e">
        <f t="shared" ca="1" si="17"/>
        <v>#N/A</v>
      </c>
      <c r="AX46" s="14" t="e">
        <f t="shared" ca="1" si="17"/>
        <v>#N/A</v>
      </c>
      <c r="AY46" s="14" t="e">
        <f t="shared" ca="1" si="17"/>
        <v>#N/A</v>
      </c>
      <c r="AZ46" s="14" t="e">
        <f t="shared" ca="1" si="17"/>
        <v>#N/A</v>
      </c>
      <c r="BA46" s="14" t="e">
        <f t="shared" ca="1" si="17"/>
        <v>#N/A</v>
      </c>
      <c r="BB46" s="14" t="e">
        <f t="shared" ca="1" si="17"/>
        <v>#N/A</v>
      </c>
      <c r="BC46" s="14" t="e">
        <f t="shared" ca="1" si="17"/>
        <v>#N/A</v>
      </c>
      <c r="BD46" s="14" t="e">
        <f t="shared" ca="1" si="17"/>
        <v>#N/A</v>
      </c>
      <c r="BE46" s="14" t="e">
        <f t="shared" ca="1" si="17"/>
        <v>#N/A</v>
      </c>
      <c r="BF46" s="14" t="e">
        <f t="shared" ca="1" si="17"/>
        <v>#N/A</v>
      </c>
      <c r="BG46" s="14" t="e">
        <f t="shared" ca="1" si="17"/>
        <v>#N/A</v>
      </c>
      <c r="BH46" s="14" t="e">
        <f t="shared" ca="1" si="17"/>
        <v>#N/A</v>
      </c>
      <c r="BI46" s="14" t="e">
        <f t="shared" ca="1" si="17"/>
        <v>#N/A</v>
      </c>
      <c r="BJ46" s="14" t="e">
        <f t="shared" ca="1" si="17"/>
        <v>#N/A</v>
      </c>
      <c r="BK46" s="14" t="e">
        <f t="shared" ca="1" si="17"/>
        <v>#N/A</v>
      </c>
      <c r="BL46" s="14" t="e">
        <f t="shared" ca="1" si="17"/>
        <v>#N/A</v>
      </c>
      <c r="BM46" s="14" t="e">
        <f t="shared" ca="1" si="17"/>
        <v>#N/A</v>
      </c>
      <c r="BN46" s="14" t="e">
        <f t="shared" ca="1" si="17"/>
        <v>#N/A</v>
      </c>
      <c r="BO46" s="14" t="e">
        <f t="shared" ca="1" si="17"/>
        <v>#N/A</v>
      </c>
      <c r="BP46" s="14" t="e">
        <f t="shared" ca="1" si="17"/>
        <v>#N/A</v>
      </c>
      <c r="BQ46" s="14" t="e">
        <f t="shared" ca="1" si="17"/>
        <v>#N/A</v>
      </c>
      <c r="BR46" s="14" t="e">
        <f t="shared" ca="1" si="17"/>
        <v>#N/A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0</v>
      </c>
      <c r="C47" s="5">
        <f t="shared" si="15"/>
        <v>0</v>
      </c>
      <c r="D47" s="5">
        <f t="shared" si="15"/>
        <v>0</v>
      </c>
      <c r="E47" s="6">
        <f t="shared" si="15"/>
        <v>0</v>
      </c>
      <c r="F47" s="14" t="e">
        <f t="shared" ca="1" si="16"/>
        <v>#N/A</v>
      </c>
      <c r="G47" s="14" t="e">
        <f t="shared" ca="1" si="17"/>
        <v>#N/A</v>
      </c>
      <c r="H47" s="14" t="e">
        <f t="shared" ca="1" si="17"/>
        <v>#N/A</v>
      </c>
      <c r="I47" s="14" t="e">
        <f t="shared" ca="1" si="17"/>
        <v>#N/A</v>
      </c>
      <c r="J47" s="14" t="e">
        <f t="shared" ca="1" si="17"/>
        <v>#N/A</v>
      </c>
      <c r="K47" s="14" t="e">
        <f t="shared" ca="1" si="17"/>
        <v>#N/A</v>
      </c>
      <c r="L47" s="14" t="e">
        <f t="shared" ca="1" si="17"/>
        <v>#N/A</v>
      </c>
      <c r="M47" s="14" t="e">
        <f t="shared" ca="1" si="17"/>
        <v>#N/A</v>
      </c>
      <c r="N47" s="14" t="e">
        <f t="shared" ca="1" si="17"/>
        <v>#N/A</v>
      </c>
      <c r="O47" s="14" t="e">
        <f t="shared" ca="1" si="17"/>
        <v>#N/A</v>
      </c>
      <c r="P47" s="14" t="e">
        <f t="shared" ca="1" si="17"/>
        <v>#N/A</v>
      </c>
      <c r="Q47" s="14" t="e">
        <f t="shared" ca="1" si="17"/>
        <v>#N/A</v>
      </c>
      <c r="R47" s="14" t="e">
        <f t="shared" ca="1" si="17"/>
        <v>#N/A</v>
      </c>
      <c r="S47" s="14" t="e">
        <f t="shared" ca="1" si="17"/>
        <v>#N/A</v>
      </c>
      <c r="T47" s="14" t="e">
        <f t="shared" ca="1" si="17"/>
        <v>#N/A</v>
      </c>
      <c r="U47" s="14" t="e">
        <f t="shared" ca="1" si="17"/>
        <v>#N/A</v>
      </c>
      <c r="V47" s="14" t="e">
        <f t="shared" ca="1" si="17"/>
        <v>#N/A</v>
      </c>
      <c r="W47" s="14" t="e">
        <f t="shared" ca="1" si="17"/>
        <v>#N/A</v>
      </c>
      <c r="X47" s="14" t="e">
        <f t="shared" ca="1" si="17"/>
        <v>#N/A</v>
      </c>
      <c r="Y47" s="14" t="e">
        <f t="shared" ca="1" si="17"/>
        <v>#N/A</v>
      </c>
      <c r="Z47" s="14" t="e">
        <f t="shared" ca="1" si="17"/>
        <v>#N/A</v>
      </c>
      <c r="AA47" s="14" t="e">
        <f t="shared" ca="1" si="17"/>
        <v>#N/A</v>
      </c>
      <c r="AB47" s="14" t="e">
        <f t="shared" ca="1" si="17"/>
        <v>#N/A</v>
      </c>
      <c r="AC47" s="14" t="e">
        <f t="shared" ca="1" si="17"/>
        <v>#N/A</v>
      </c>
      <c r="AD47" s="14" t="e">
        <f t="shared" ca="1" si="17"/>
        <v>#N/A</v>
      </c>
      <c r="AE47" s="14" t="e">
        <f t="shared" ca="1" si="17"/>
        <v>#N/A</v>
      </c>
      <c r="AF47" s="14" t="e">
        <f t="shared" ca="1" si="17"/>
        <v>#N/A</v>
      </c>
      <c r="AG47" s="14" t="e">
        <f t="shared" ca="1" si="17"/>
        <v>#N/A</v>
      </c>
      <c r="AH47" s="14" t="e">
        <f t="shared" ca="1" si="17"/>
        <v>#N/A</v>
      </c>
      <c r="AI47" s="14" t="e">
        <f t="shared" ca="1" si="17"/>
        <v>#N/A</v>
      </c>
      <c r="AJ47" s="14" t="e">
        <f t="shared" ca="1" si="17"/>
        <v>#N/A</v>
      </c>
      <c r="AK47" s="14" t="e">
        <f t="shared" ca="1" si="17"/>
        <v>#N/A</v>
      </c>
      <c r="AL47" s="14" t="e">
        <f t="shared" ca="1" si="17"/>
        <v>#N/A</v>
      </c>
      <c r="AM47" s="14" t="e">
        <f t="shared" ca="1" si="17"/>
        <v>#N/A</v>
      </c>
      <c r="AN47" s="14" t="e">
        <f t="shared" ca="1" si="17"/>
        <v>#N/A</v>
      </c>
      <c r="AO47" s="14" t="e">
        <f t="shared" ca="1" si="17"/>
        <v>#N/A</v>
      </c>
      <c r="AP47" s="14" t="e">
        <f t="shared" ca="1" si="17"/>
        <v>#N/A</v>
      </c>
      <c r="AQ47" s="14" t="e">
        <f t="shared" ca="1" si="17"/>
        <v>#N/A</v>
      </c>
      <c r="AR47" s="14" t="e">
        <f t="shared" ca="1" si="17"/>
        <v>#N/A</v>
      </c>
      <c r="AS47" s="14" t="e">
        <f t="shared" ca="1" si="17"/>
        <v>#N/A</v>
      </c>
      <c r="AT47" s="14" t="e">
        <f t="shared" ca="1" si="17"/>
        <v>#N/A</v>
      </c>
      <c r="AU47" s="14" t="e">
        <f t="shared" ca="1" si="17"/>
        <v>#N/A</v>
      </c>
      <c r="AV47" s="14" t="e">
        <f t="shared" ca="1" si="17"/>
        <v>#N/A</v>
      </c>
      <c r="AW47" s="14" t="e">
        <f t="shared" ca="1" si="17"/>
        <v>#N/A</v>
      </c>
      <c r="AX47" s="14" t="e">
        <f t="shared" ca="1" si="17"/>
        <v>#N/A</v>
      </c>
      <c r="AY47" s="14" t="e">
        <f t="shared" ca="1" si="17"/>
        <v>#N/A</v>
      </c>
      <c r="AZ47" s="14" t="e">
        <f t="shared" ca="1" si="17"/>
        <v>#N/A</v>
      </c>
      <c r="BA47" s="14" t="e">
        <f t="shared" ca="1" si="17"/>
        <v>#N/A</v>
      </c>
      <c r="BB47" s="14" t="e">
        <f t="shared" ca="1" si="17"/>
        <v>#N/A</v>
      </c>
      <c r="BC47" s="14" t="e">
        <f t="shared" ca="1" si="17"/>
        <v>#N/A</v>
      </c>
      <c r="BD47" s="14" t="e">
        <f t="shared" ca="1" si="17"/>
        <v>#N/A</v>
      </c>
      <c r="BE47" s="14" t="e">
        <f t="shared" ca="1" si="17"/>
        <v>#N/A</v>
      </c>
      <c r="BF47" s="14" t="e">
        <f t="shared" ca="1" si="17"/>
        <v>#N/A</v>
      </c>
      <c r="BG47" s="14" t="e">
        <f t="shared" ca="1" si="17"/>
        <v>#N/A</v>
      </c>
      <c r="BH47" s="14" t="e">
        <f t="shared" ca="1" si="17"/>
        <v>#N/A</v>
      </c>
      <c r="BI47" s="14" t="e">
        <f t="shared" ca="1" si="17"/>
        <v>#N/A</v>
      </c>
      <c r="BJ47" s="14" t="e">
        <f t="shared" ca="1" si="17"/>
        <v>#N/A</v>
      </c>
      <c r="BK47" s="14" t="e">
        <f t="shared" ca="1" si="17"/>
        <v>#N/A</v>
      </c>
      <c r="BL47" s="14" t="e">
        <f t="shared" ca="1" si="17"/>
        <v>#N/A</v>
      </c>
      <c r="BM47" s="14" t="e">
        <f t="shared" ca="1" si="17"/>
        <v>#N/A</v>
      </c>
      <c r="BN47" s="14" t="e">
        <f t="shared" ca="1" si="17"/>
        <v>#N/A</v>
      </c>
      <c r="BO47" s="14" t="e">
        <f t="shared" ca="1" si="17"/>
        <v>#N/A</v>
      </c>
      <c r="BP47" s="14" t="e">
        <f t="shared" ca="1" si="17"/>
        <v>#N/A</v>
      </c>
      <c r="BQ47" s="14" t="e">
        <f t="shared" ca="1" si="17"/>
        <v>#N/A</v>
      </c>
      <c r="BR47" s="14" t="e">
        <f t="shared" ca="1" si="17"/>
        <v>#N/A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0</v>
      </c>
      <c r="C48" s="5">
        <f t="shared" si="15"/>
        <v>0</v>
      </c>
      <c r="D48" s="5">
        <f t="shared" si="15"/>
        <v>0</v>
      </c>
      <c r="E48" s="6">
        <f t="shared" si="15"/>
        <v>0</v>
      </c>
      <c r="F48" s="14" t="e">
        <f t="shared" ca="1" si="16"/>
        <v>#N/A</v>
      </c>
      <c r="G48" s="14" t="e">
        <f t="shared" ca="1" si="17"/>
        <v>#N/A</v>
      </c>
      <c r="H48" s="14" t="e">
        <f t="shared" ca="1" si="17"/>
        <v>#N/A</v>
      </c>
      <c r="I48" s="14" t="e">
        <f t="shared" ca="1" si="17"/>
        <v>#N/A</v>
      </c>
      <c r="J48" s="14" t="e">
        <f t="shared" ca="1" si="17"/>
        <v>#N/A</v>
      </c>
      <c r="K48" s="14" t="e">
        <f t="shared" ca="1" si="17"/>
        <v>#N/A</v>
      </c>
      <c r="L48" s="14" t="e">
        <f t="shared" ca="1" si="17"/>
        <v>#N/A</v>
      </c>
      <c r="M48" s="14" t="e">
        <f t="shared" ca="1" si="17"/>
        <v>#N/A</v>
      </c>
      <c r="N48" s="14" t="e">
        <f t="shared" ca="1" si="17"/>
        <v>#N/A</v>
      </c>
      <c r="O48" s="14" t="e">
        <f t="shared" ca="1" si="17"/>
        <v>#N/A</v>
      </c>
      <c r="P48" s="14" t="e">
        <f t="shared" ca="1" si="17"/>
        <v>#N/A</v>
      </c>
      <c r="Q48" s="14" t="e">
        <f t="shared" ca="1" si="17"/>
        <v>#N/A</v>
      </c>
      <c r="R48" s="14" t="e">
        <f t="shared" ca="1" si="17"/>
        <v>#N/A</v>
      </c>
      <c r="S48" s="14" t="e">
        <f t="shared" ca="1" si="17"/>
        <v>#N/A</v>
      </c>
      <c r="T48" s="14" t="e">
        <f t="shared" ca="1" si="17"/>
        <v>#N/A</v>
      </c>
      <c r="U48" s="14" t="e">
        <f t="shared" ca="1" si="17"/>
        <v>#N/A</v>
      </c>
      <c r="V48" s="14" t="e">
        <f t="shared" ca="1" si="17"/>
        <v>#N/A</v>
      </c>
      <c r="W48" s="14" t="e">
        <f t="shared" ca="1" si="17"/>
        <v>#N/A</v>
      </c>
      <c r="X48" s="14" t="e">
        <f t="shared" ca="1" si="17"/>
        <v>#N/A</v>
      </c>
      <c r="Y48" s="14" t="e">
        <f t="shared" ca="1" si="17"/>
        <v>#N/A</v>
      </c>
      <c r="Z48" s="14" t="e">
        <f t="shared" ca="1" si="17"/>
        <v>#N/A</v>
      </c>
      <c r="AA48" s="14" t="e">
        <f t="shared" ca="1" si="17"/>
        <v>#N/A</v>
      </c>
      <c r="AB48" s="14" t="e">
        <f t="shared" ca="1" si="17"/>
        <v>#N/A</v>
      </c>
      <c r="AC48" s="14" t="e">
        <f t="shared" ca="1" si="17"/>
        <v>#N/A</v>
      </c>
      <c r="AD48" s="14" t="e">
        <f t="shared" ca="1" si="17"/>
        <v>#N/A</v>
      </c>
      <c r="AE48" s="14" t="e">
        <f t="shared" ca="1" si="17"/>
        <v>#N/A</v>
      </c>
      <c r="AF48" s="14" t="e">
        <f t="shared" ca="1" si="17"/>
        <v>#N/A</v>
      </c>
      <c r="AG48" s="14" t="e">
        <f t="shared" ca="1" si="17"/>
        <v>#N/A</v>
      </c>
      <c r="AH48" s="14" t="e">
        <f t="shared" ca="1" si="17"/>
        <v>#N/A</v>
      </c>
      <c r="AI48" s="14" t="e">
        <f t="shared" ca="1" si="17"/>
        <v>#N/A</v>
      </c>
      <c r="AJ48" s="14" t="e">
        <f t="shared" ca="1" si="17"/>
        <v>#N/A</v>
      </c>
      <c r="AK48" s="14" t="e">
        <f t="shared" ca="1" si="17"/>
        <v>#N/A</v>
      </c>
      <c r="AL48" s="14" t="e">
        <f t="shared" ca="1" si="17"/>
        <v>#N/A</v>
      </c>
      <c r="AM48" s="14" t="e">
        <f t="shared" ca="1" si="17"/>
        <v>#N/A</v>
      </c>
      <c r="AN48" s="14" t="e">
        <f t="shared" ca="1" si="17"/>
        <v>#N/A</v>
      </c>
      <c r="AO48" s="14" t="e">
        <f t="shared" ca="1" si="17"/>
        <v>#N/A</v>
      </c>
      <c r="AP48" s="14" t="e">
        <f t="shared" ca="1" si="17"/>
        <v>#N/A</v>
      </c>
      <c r="AQ48" s="14" t="e">
        <f t="shared" ca="1" si="17"/>
        <v>#N/A</v>
      </c>
      <c r="AR48" s="14" t="e">
        <f t="shared" ca="1" si="17"/>
        <v>#N/A</v>
      </c>
      <c r="AS48" s="14" t="e">
        <f t="shared" ca="1" si="17"/>
        <v>#N/A</v>
      </c>
      <c r="AT48" s="14" t="e">
        <f t="shared" ca="1" si="17"/>
        <v>#N/A</v>
      </c>
      <c r="AU48" s="14" t="e">
        <f t="shared" ca="1" si="17"/>
        <v>#N/A</v>
      </c>
      <c r="AV48" s="14" t="e">
        <f t="shared" ca="1" si="17"/>
        <v>#N/A</v>
      </c>
      <c r="AW48" s="14" t="e">
        <f t="shared" ca="1" si="17"/>
        <v>#N/A</v>
      </c>
      <c r="AX48" s="14" t="e">
        <f t="shared" ca="1" si="17"/>
        <v>#N/A</v>
      </c>
      <c r="AY48" s="14" t="e">
        <f t="shared" ca="1" si="17"/>
        <v>#N/A</v>
      </c>
      <c r="AZ48" s="14" t="e">
        <f t="shared" ca="1" si="17"/>
        <v>#N/A</v>
      </c>
      <c r="BA48" s="14" t="e">
        <f t="shared" ca="1" si="17"/>
        <v>#N/A</v>
      </c>
      <c r="BB48" s="14" t="e">
        <f t="shared" ca="1" si="17"/>
        <v>#N/A</v>
      </c>
      <c r="BC48" s="14" t="e">
        <f t="shared" ca="1" si="17"/>
        <v>#N/A</v>
      </c>
      <c r="BD48" s="14" t="e">
        <f t="shared" ca="1" si="17"/>
        <v>#N/A</v>
      </c>
      <c r="BE48" s="14" t="e">
        <f t="shared" ca="1" si="17"/>
        <v>#N/A</v>
      </c>
      <c r="BF48" s="14" t="e">
        <f t="shared" ca="1" si="17"/>
        <v>#N/A</v>
      </c>
      <c r="BG48" s="14" t="e">
        <f t="shared" ca="1" si="17"/>
        <v>#N/A</v>
      </c>
      <c r="BH48" s="14" t="e">
        <f t="shared" ca="1" si="17"/>
        <v>#N/A</v>
      </c>
      <c r="BI48" s="14" t="e">
        <f t="shared" ca="1" si="17"/>
        <v>#N/A</v>
      </c>
      <c r="BJ48" s="14" t="e">
        <f t="shared" ca="1" si="17"/>
        <v>#N/A</v>
      </c>
      <c r="BK48" s="14" t="e">
        <f t="shared" ca="1" si="17"/>
        <v>#N/A</v>
      </c>
      <c r="BL48" s="14" t="e">
        <f t="shared" ca="1" si="17"/>
        <v>#N/A</v>
      </c>
      <c r="BM48" s="14" t="e">
        <f t="shared" ca="1" si="17"/>
        <v>#N/A</v>
      </c>
      <c r="BN48" s="14" t="e">
        <f t="shared" ca="1" si="17"/>
        <v>#N/A</v>
      </c>
      <c r="BO48" s="14" t="e">
        <f t="shared" ca="1" si="17"/>
        <v>#N/A</v>
      </c>
      <c r="BP48" s="14" t="e">
        <f t="shared" ca="1" si="17"/>
        <v>#N/A</v>
      </c>
      <c r="BQ48" s="14" t="e">
        <f t="shared" ca="1" si="17"/>
        <v>#N/A</v>
      </c>
      <c r="BR48" s="14" t="e">
        <f t="shared" ca="1" si="17"/>
        <v>#N/A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0</v>
      </c>
      <c r="C49" s="5">
        <f t="shared" si="15"/>
        <v>0</v>
      </c>
      <c r="D49" s="5">
        <f t="shared" si="15"/>
        <v>0</v>
      </c>
      <c r="E49" s="6">
        <f t="shared" si="15"/>
        <v>0</v>
      </c>
      <c r="F49" s="14" t="e">
        <f t="shared" ca="1" si="16"/>
        <v>#N/A</v>
      </c>
      <c r="G49" s="14" t="e">
        <f t="shared" ca="1" si="17"/>
        <v>#N/A</v>
      </c>
      <c r="H49" s="14" t="e">
        <f t="shared" ca="1" si="17"/>
        <v>#N/A</v>
      </c>
      <c r="I49" s="14" t="e">
        <f t="shared" ca="1" si="17"/>
        <v>#N/A</v>
      </c>
      <c r="J49" s="14" t="e">
        <f t="shared" ca="1" si="17"/>
        <v>#N/A</v>
      </c>
      <c r="K49" s="14" t="e">
        <f t="shared" ca="1" si="17"/>
        <v>#N/A</v>
      </c>
      <c r="L49" s="14" t="e">
        <f t="shared" ca="1" si="17"/>
        <v>#N/A</v>
      </c>
      <c r="M49" s="14" t="e">
        <f t="shared" ca="1" si="17"/>
        <v>#N/A</v>
      </c>
      <c r="N49" s="14" t="e">
        <f t="shared" ca="1" si="17"/>
        <v>#N/A</v>
      </c>
      <c r="O49" s="14" t="e">
        <f t="shared" ca="1" si="17"/>
        <v>#N/A</v>
      </c>
      <c r="P49" s="14" t="e">
        <f t="shared" ca="1" si="17"/>
        <v>#N/A</v>
      </c>
      <c r="Q49" s="14" t="e">
        <f t="shared" ca="1" si="17"/>
        <v>#N/A</v>
      </c>
      <c r="R49" s="14" t="e">
        <f t="shared" ca="1" si="17"/>
        <v>#N/A</v>
      </c>
      <c r="S49" s="14" t="e">
        <f t="shared" ca="1" si="17"/>
        <v>#N/A</v>
      </c>
      <c r="T49" s="14" t="e">
        <f t="shared" ca="1" si="17"/>
        <v>#N/A</v>
      </c>
      <c r="U49" s="14" t="e">
        <f t="shared" ca="1" si="17"/>
        <v>#N/A</v>
      </c>
      <c r="V49" s="14" t="e">
        <f t="shared" ca="1" si="17"/>
        <v>#N/A</v>
      </c>
      <c r="W49" s="14" t="e">
        <f t="shared" ca="1" si="17"/>
        <v>#N/A</v>
      </c>
      <c r="X49" s="14" t="e">
        <f t="shared" ca="1" si="17"/>
        <v>#N/A</v>
      </c>
      <c r="Y49" s="14" t="e">
        <f t="shared" ca="1" si="17"/>
        <v>#N/A</v>
      </c>
      <c r="Z49" s="14" t="e">
        <f t="shared" ca="1" si="17"/>
        <v>#N/A</v>
      </c>
      <c r="AA49" s="14" t="e">
        <f t="shared" ca="1" si="17"/>
        <v>#N/A</v>
      </c>
      <c r="AB49" s="14" t="e">
        <f t="shared" ca="1" si="17"/>
        <v>#N/A</v>
      </c>
      <c r="AC49" s="14" t="e">
        <f t="shared" ca="1" si="17"/>
        <v>#N/A</v>
      </c>
      <c r="AD49" s="14" t="e">
        <f t="shared" ca="1" si="17"/>
        <v>#N/A</v>
      </c>
      <c r="AE49" s="14" t="e">
        <f t="shared" ca="1" si="17"/>
        <v>#N/A</v>
      </c>
      <c r="AF49" s="14" t="e">
        <f t="shared" ca="1" si="17"/>
        <v>#N/A</v>
      </c>
      <c r="AG49" s="14" t="e">
        <f t="shared" ca="1" si="17"/>
        <v>#N/A</v>
      </c>
      <c r="AH49" s="14" t="e">
        <f t="shared" ca="1" si="17"/>
        <v>#N/A</v>
      </c>
      <c r="AI49" s="14" t="e">
        <f t="shared" ca="1" si="17"/>
        <v>#N/A</v>
      </c>
      <c r="AJ49" s="14" t="e">
        <f t="shared" ca="1" si="17"/>
        <v>#N/A</v>
      </c>
      <c r="AK49" s="14" t="e">
        <f t="shared" ca="1" si="17"/>
        <v>#N/A</v>
      </c>
      <c r="AL49" s="14" t="e">
        <f t="shared" ca="1" si="17"/>
        <v>#N/A</v>
      </c>
      <c r="AM49" s="14" t="e">
        <f t="shared" ca="1" si="17"/>
        <v>#N/A</v>
      </c>
      <c r="AN49" s="14" t="e">
        <f t="shared" ca="1" si="17"/>
        <v>#N/A</v>
      </c>
      <c r="AO49" s="14" t="e">
        <f t="shared" ca="1" si="17"/>
        <v>#N/A</v>
      </c>
      <c r="AP49" s="14" t="e">
        <f t="shared" ca="1" si="17"/>
        <v>#N/A</v>
      </c>
      <c r="AQ49" s="14" t="e">
        <f t="shared" ca="1" si="17"/>
        <v>#N/A</v>
      </c>
      <c r="AR49" s="14" t="e">
        <f t="shared" ca="1" si="17"/>
        <v>#N/A</v>
      </c>
      <c r="AS49" s="14" t="e">
        <f t="shared" ca="1" si="17"/>
        <v>#N/A</v>
      </c>
      <c r="AT49" s="14" t="e">
        <f t="shared" ca="1" si="17"/>
        <v>#N/A</v>
      </c>
      <c r="AU49" s="14" t="e">
        <f t="shared" ca="1" si="17"/>
        <v>#N/A</v>
      </c>
      <c r="AV49" s="14" t="e">
        <f t="shared" ca="1" si="17"/>
        <v>#N/A</v>
      </c>
      <c r="AW49" s="14" t="e">
        <f t="shared" ca="1" si="17"/>
        <v>#N/A</v>
      </c>
      <c r="AX49" s="14" t="e">
        <f t="shared" ca="1" si="17"/>
        <v>#N/A</v>
      </c>
      <c r="AY49" s="14" t="e">
        <f t="shared" ca="1" si="17"/>
        <v>#N/A</v>
      </c>
      <c r="AZ49" s="14" t="e">
        <f t="shared" ca="1" si="17"/>
        <v>#N/A</v>
      </c>
      <c r="BA49" s="14" t="e">
        <f t="shared" ca="1" si="17"/>
        <v>#N/A</v>
      </c>
      <c r="BB49" s="14" t="e">
        <f t="shared" ca="1" si="17"/>
        <v>#N/A</v>
      </c>
      <c r="BC49" s="14" t="e">
        <f t="shared" ca="1" si="17"/>
        <v>#N/A</v>
      </c>
      <c r="BD49" s="14" t="e">
        <f t="shared" ca="1" si="17"/>
        <v>#N/A</v>
      </c>
      <c r="BE49" s="14" t="e">
        <f t="shared" ca="1" si="17"/>
        <v>#N/A</v>
      </c>
      <c r="BF49" s="14" t="e">
        <f t="shared" ca="1" si="17"/>
        <v>#N/A</v>
      </c>
      <c r="BG49" s="14" t="e">
        <f t="shared" ca="1" si="17"/>
        <v>#N/A</v>
      </c>
      <c r="BH49" s="14" t="e">
        <f t="shared" ca="1" si="17"/>
        <v>#N/A</v>
      </c>
      <c r="BI49" s="14" t="e">
        <f t="shared" ca="1" si="17"/>
        <v>#N/A</v>
      </c>
      <c r="BJ49" s="14" t="e">
        <f t="shared" ca="1" si="17"/>
        <v>#N/A</v>
      </c>
      <c r="BK49" s="14" t="e">
        <f t="shared" ca="1" si="17"/>
        <v>#N/A</v>
      </c>
      <c r="BL49" s="14" t="e">
        <f t="shared" ca="1" si="17"/>
        <v>#N/A</v>
      </c>
      <c r="BM49" s="14" t="e">
        <f t="shared" ca="1" si="17"/>
        <v>#N/A</v>
      </c>
      <c r="BN49" s="14" t="e">
        <f t="shared" ca="1" si="17"/>
        <v>#N/A</v>
      </c>
      <c r="BO49" s="14" t="e">
        <f t="shared" ca="1" si="17"/>
        <v>#N/A</v>
      </c>
      <c r="BP49" s="14" t="e">
        <f t="shared" ca="1" si="17"/>
        <v>#N/A</v>
      </c>
      <c r="BQ49" s="14" t="e">
        <f t="shared" ca="1" si="17"/>
        <v>#N/A</v>
      </c>
      <c r="BR49" s="14" t="e">
        <f t="shared" ca="1" si="17"/>
        <v>#N/A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>
        <f t="shared" si="15"/>
        <v>0</v>
      </c>
      <c r="F50" s="14" t="e">
        <f t="shared" ca="1" si="16"/>
        <v>#N/A</v>
      </c>
      <c r="G50" s="14" t="e">
        <f t="shared" ca="1" si="17"/>
        <v>#N/A</v>
      </c>
      <c r="H50" s="14" t="e">
        <f t="shared" ca="1" si="17"/>
        <v>#N/A</v>
      </c>
      <c r="I50" s="14" t="e">
        <f t="shared" ca="1" si="17"/>
        <v>#N/A</v>
      </c>
      <c r="J50" s="14" t="e">
        <f t="shared" ca="1" si="17"/>
        <v>#N/A</v>
      </c>
      <c r="K50" s="14" t="e">
        <f t="shared" ca="1" si="17"/>
        <v>#N/A</v>
      </c>
      <c r="L50" s="14" t="e">
        <f t="shared" ca="1" si="17"/>
        <v>#N/A</v>
      </c>
      <c r="M50" s="14" t="e">
        <f t="shared" ca="1" si="17"/>
        <v>#N/A</v>
      </c>
      <c r="N50" s="14" t="e">
        <f t="shared" ca="1" si="17"/>
        <v>#N/A</v>
      </c>
      <c r="O50" s="14" t="e">
        <f t="shared" ca="1" si="17"/>
        <v>#N/A</v>
      </c>
      <c r="P50" s="14" t="e">
        <f t="shared" ca="1" si="17"/>
        <v>#N/A</v>
      </c>
      <c r="Q50" s="14" t="e">
        <f t="shared" ca="1" si="17"/>
        <v>#N/A</v>
      </c>
      <c r="R50" s="14" t="e">
        <f t="shared" ca="1" si="17"/>
        <v>#N/A</v>
      </c>
      <c r="S50" s="14" t="e">
        <f t="shared" ca="1" si="17"/>
        <v>#N/A</v>
      </c>
      <c r="T50" s="14" t="e">
        <f t="shared" ca="1" si="17"/>
        <v>#N/A</v>
      </c>
      <c r="U50" s="14" t="e">
        <f t="shared" ref="G50:BR54" ca="1" si="18">$A50*H.Ar + $B50*H.Se + $C50*H.Ge + $D50*H.Ga</f>
        <v>#N/A</v>
      </c>
      <c r="V50" s="14" t="e">
        <f t="shared" ca="1" si="18"/>
        <v>#N/A</v>
      </c>
      <c r="W50" s="14" t="e">
        <f t="shared" ca="1" si="18"/>
        <v>#N/A</v>
      </c>
      <c r="X50" s="14" t="e">
        <f t="shared" ca="1" si="18"/>
        <v>#N/A</v>
      </c>
      <c r="Y50" s="14" t="e">
        <f t="shared" ca="1" si="18"/>
        <v>#N/A</v>
      </c>
      <c r="Z50" s="14" t="e">
        <f t="shared" ca="1" si="18"/>
        <v>#N/A</v>
      </c>
      <c r="AA50" s="14" t="e">
        <f t="shared" ca="1" si="18"/>
        <v>#N/A</v>
      </c>
      <c r="AB50" s="14" t="e">
        <f t="shared" ca="1" si="18"/>
        <v>#N/A</v>
      </c>
      <c r="AC50" s="14" t="e">
        <f t="shared" ca="1" si="18"/>
        <v>#N/A</v>
      </c>
      <c r="AD50" s="14" t="e">
        <f t="shared" ca="1" si="18"/>
        <v>#N/A</v>
      </c>
      <c r="AE50" s="14" t="e">
        <f t="shared" ca="1" si="18"/>
        <v>#N/A</v>
      </c>
      <c r="AF50" s="14" t="e">
        <f t="shared" ca="1" si="18"/>
        <v>#N/A</v>
      </c>
      <c r="AG50" s="14" t="e">
        <f t="shared" ca="1" si="18"/>
        <v>#N/A</v>
      </c>
      <c r="AH50" s="14" t="e">
        <f t="shared" ca="1" si="18"/>
        <v>#N/A</v>
      </c>
      <c r="AI50" s="14" t="e">
        <f t="shared" ca="1" si="18"/>
        <v>#N/A</v>
      </c>
      <c r="AJ50" s="14" t="e">
        <f t="shared" ca="1" si="18"/>
        <v>#N/A</v>
      </c>
      <c r="AK50" s="14" t="e">
        <f t="shared" ca="1" si="18"/>
        <v>#N/A</v>
      </c>
      <c r="AL50" s="14" t="e">
        <f t="shared" ca="1" si="18"/>
        <v>#N/A</v>
      </c>
      <c r="AM50" s="14" t="e">
        <f t="shared" ca="1" si="18"/>
        <v>#N/A</v>
      </c>
      <c r="AN50" s="14" t="e">
        <f t="shared" ca="1" si="18"/>
        <v>#N/A</v>
      </c>
      <c r="AO50" s="14" t="e">
        <f t="shared" ca="1" si="18"/>
        <v>#N/A</v>
      </c>
      <c r="AP50" s="14" t="e">
        <f t="shared" ca="1" si="18"/>
        <v>#N/A</v>
      </c>
      <c r="AQ50" s="14" t="e">
        <f t="shared" ca="1" si="18"/>
        <v>#N/A</v>
      </c>
      <c r="AR50" s="14" t="e">
        <f t="shared" ca="1" si="18"/>
        <v>#N/A</v>
      </c>
      <c r="AS50" s="14" t="e">
        <f t="shared" ca="1" si="18"/>
        <v>#N/A</v>
      </c>
      <c r="AT50" s="14" t="e">
        <f t="shared" ca="1" si="18"/>
        <v>#N/A</v>
      </c>
      <c r="AU50" s="14" t="e">
        <f t="shared" ca="1" si="18"/>
        <v>#N/A</v>
      </c>
      <c r="AV50" s="14" t="e">
        <f t="shared" ca="1" si="18"/>
        <v>#N/A</v>
      </c>
      <c r="AW50" s="14" t="e">
        <f t="shared" ca="1" si="18"/>
        <v>#N/A</v>
      </c>
      <c r="AX50" s="14" t="e">
        <f t="shared" ca="1" si="18"/>
        <v>#N/A</v>
      </c>
      <c r="AY50" s="14" t="e">
        <f t="shared" ca="1" si="18"/>
        <v>#N/A</v>
      </c>
      <c r="AZ50" s="14" t="e">
        <f t="shared" ca="1" si="18"/>
        <v>#N/A</v>
      </c>
      <c r="BA50" s="14" t="e">
        <f t="shared" ca="1" si="18"/>
        <v>#N/A</v>
      </c>
      <c r="BB50" s="14" t="e">
        <f t="shared" ca="1" si="18"/>
        <v>#N/A</v>
      </c>
      <c r="BC50" s="14" t="e">
        <f t="shared" ca="1" si="18"/>
        <v>#N/A</v>
      </c>
      <c r="BD50" s="14" t="e">
        <f t="shared" ca="1" si="18"/>
        <v>#N/A</v>
      </c>
      <c r="BE50" s="14" t="e">
        <f t="shared" ca="1" si="18"/>
        <v>#N/A</v>
      </c>
      <c r="BF50" s="14" t="e">
        <f t="shared" ca="1" si="18"/>
        <v>#N/A</v>
      </c>
      <c r="BG50" s="14" t="e">
        <f t="shared" ca="1" si="18"/>
        <v>#N/A</v>
      </c>
      <c r="BH50" s="14" t="e">
        <f t="shared" ca="1" si="18"/>
        <v>#N/A</v>
      </c>
      <c r="BI50" s="14" t="e">
        <f t="shared" ca="1" si="18"/>
        <v>#N/A</v>
      </c>
      <c r="BJ50" s="14" t="e">
        <f t="shared" ca="1" si="18"/>
        <v>#N/A</v>
      </c>
      <c r="BK50" s="14" t="e">
        <f t="shared" ca="1" si="18"/>
        <v>#N/A</v>
      </c>
      <c r="BL50" s="14" t="e">
        <f t="shared" ca="1" si="18"/>
        <v>#N/A</v>
      </c>
      <c r="BM50" s="14" t="e">
        <f t="shared" ca="1" si="18"/>
        <v>#N/A</v>
      </c>
      <c r="BN50" s="14" t="e">
        <f t="shared" ca="1" si="18"/>
        <v>#N/A</v>
      </c>
      <c r="BO50" s="14" t="e">
        <f t="shared" ca="1" si="18"/>
        <v>#N/A</v>
      </c>
      <c r="BP50" s="14" t="e">
        <f t="shared" ca="1" si="18"/>
        <v>#N/A</v>
      </c>
      <c r="BQ50" s="14" t="e">
        <f t="shared" ca="1" si="18"/>
        <v>#N/A</v>
      </c>
      <c r="BR50" s="14" t="e">
        <f t="shared" ca="1" si="18"/>
        <v>#N/A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0</v>
      </c>
      <c r="C51" s="5">
        <f t="shared" si="15"/>
        <v>0</v>
      </c>
      <c r="D51" s="5">
        <f t="shared" si="15"/>
        <v>0</v>
      </c>
      <c r="E51" s="6">
        <f t="shared" si="15"/>
        <v>0</v>
      </c>
      <c r="F51" s="14" t="e">
        <f t="shared" ca="1" si="16"/>
        <v>#N/A</v>
      </c>
      <c r="G51" s="14" t="e">
        <f t="shared" ca="1" si="18"/>
        <v>#N/A</v>
      </c>
      <c r="H51" s="14" t="e">
        <f t="shared" ca="1" si="18"/>
        <v>#N/A</v>
      </c>
      <c r="I51" s="14" t="e">
        <f t="shared" ca="1" si="18"/>
        <v>#N/A</v>
      </c>
      <c r="J51" s="14" t="e">
        <f t="shared" ca="1" si="18"/>
        <v>#N/A</v>
      </c>
      <c r="K51" s="14" t="e">
        <f t="shared" ca="1" si="18"/>
        <v>#N/A</v>
      </c>
      <c r="L51" s="14" t="e">
        <f t="shared" ca="1" si="18"/>
        <v>#N/A</v>
      </c>
      <c r="M51" s="14" t="e">
        <f t="shared" ca="1" si="18"/>
        <v>#N/A</v>
      </c>
      <c r="N51" s="14" t="e">
        <f t="shared" ca="1" si="18"/>
        <v>#N/A</v>
      </c>
      <c r="O51" s="14" t="e">
        <f t="shared" ca="1" si="18"/>
        <v>#N/A</v>
      </c>
      <c r="P51" s="14" t="e">
        <f t="shared" ca="1" si="18"/>
        <v>#N/A</v>
      </c>
      <c r="Q51" s="14" t="e">
        <f t="shared" ca="1" si="18"/>
        <v>#N/A</v>
      </c>
      <c r="R51" s="14" t="e">
        <f t="shared" ca="1" si="18"/>
        <v>#N/A</v>
      </c>
      <c r="S51" s="14" t="e">
        <f t="shared" ca="1" si="18"/>
        <v>#N/A</v>
      </c>
      <c r="T51" s="14" t="e">
        <f t="shared" ca="1" si="18"/>
        <v>#N/A</v>
      </c>
      <c r="U51" s="14" t="e">
        <f t="shared" ca="1" si="18"/>
        <v>#N/A</v>
      </c>
      <c r="V51" s="14" t="e">
        <f t="shared" ca="1" si="18"/>
        <v>#N/A</v>
      </c>
      <c r="W51" s="14" t="e">
        <f t="shared" ca="1" si="18"/>
        <v>#N/A</v>
      </c>
      <c r="X51" s="14" t="e">
        <f t="shared" ca="1" si="18"/>
        <v>#N/A</v>
      </c>
      <c r="Y51" s="14" t="e">
        <f t="shared" ca="1" si="18"/>
        <v>#N/A</v>
      </c>
      <c r="Z51" s="14" t="e">
        <f t="shared" ca="1" si="18"/>
        <v>#N/A</v>
      </c>
      <c r="AA51" s="14" t="e">
        <f t="shared" ca="1" si="18"/>
        <v>#N/A</v>
      </c>
      <c r="AB51" s="14" t="e">
        <f t="shared" ca="1" si="18"/>
        <v>#N/A</v>
      </c>
      <c r="AC51" s="14" t="e">
        <f t="shared" ca="1" si="18"/>
        <v>#N/A</v>
      </c>
      <c r="AD51" s="14" t="e">
        <f t="shared" ca="1" si="18"/>
        <v>#N/A</v>
      </c>
      <c r="AE51" s="14" t="e">
        <f t="shared" ca="1" si="18"/>
        <v>#N/A</v>
      </c>
      <c r="AF51" s="14" t="e">
        <f t="shared" ca="1" si="18"/>
        <v>#N/A</v>
      </c>
      <c r="AG51" s="14" t="e">
        <f t="shared" ca="1" si="18"/>
        <v>#N/A</v>
      </c>
      <c r="AH51" s="14" t="e">
        <f t="shared" ca="1" si="18"/>
        <v>#N/A</v>
      </c>
      <c r="AI51" s="14" t="e">
        <f t="shared" ca="1" si="18"/>
        <v>#N/A</v>
      </c>
      <c r="AJ51" s="14" t="e">
        <f t="shared" ca="1" si="18"/>
        <v>#N/A</v>
      </c>
      <c r="AK51" s="14" t="e">
        <f t="shared" ca="1" si="18"/>
        <v>#N/A</v>
      </c>
      <c r="AL51" s="14" t="e">
        <f t="shared" ca="1" si="18"/>
        <v>#N/A</v>
      </c>
      <c r="AM51" s="14" t="e">
        <f t="shared" ca="1" si="18"/>
        <v>#N/A</v>
      </c>
      <c r="AN51" s="14" t="e">
        <f t="shared" ca="1" si="18"/>
        <v>#N/A</v>
      </c>
      <c r="AO51" s="14" t="e">
        <f t="shared" ca="1" si="18"/>
        <v>#N/A</v>
      </c>
      <c r="AP51" s="14" t="e">
        <f t="shared" ca="1" si="18"/>
        <v>#N/A</v>
      </c>
      <c r="AQ51" s="14" t="e">
        <f t="shared" ca="1" si="18"/>
        <v>#N/A</v>
      </c>
      <c r="AR51" s="14" t="e">
        <f t="shared" ca="1" si="18"/>
        <v>#N/A</v>
      </c>
      <c r="AS51" s="14" t="e">
        <f t="shared" ca="1" si="18"/>
        <v>#N/A</v>
      </c>
      <c r="AT51" s="14" t="e">
        <f t="shared" ca="1" si="18"/>
        <v>#N/A</v>
      </c>
      <c r="AU51" s="14" t="e">
        <f t="shared" ca="1" si="18"/>
        <v>#N/A</v>
      </c>
      <c r="AV51" s="14" t="e">
        <f t="shared" ca="1" si="18"/>
        <v>#N/A</v>
      </c>
      <c r="AW51" s="14" t="e">
        <f t="shared" ca="1" si="18"/>
        <v>#N/A</v>
      </c>
      <c r="AX51" s="14" t="e">
        <f t="shared" ca="1" si="18"/>
        <v>#N/A</v>
      </c>
      <c r="AY51" s="14" t="e">
        <f t="shared" ca="1" si="18"/>
        <v>#N/A</v>
      </c>
      <c r="AZ51" s="14" t="e">
        <f t="shared" ca="1" si="18"/>
        <v>#N/A</v>
      </c>
      <c r="BA51" s="14" t="e">
        <f t="shared" ca="1" si="18"/>
        <v>#N/A</v>
      </c>
      <c r="BB51" s="14" t="e">
        <f t="shared" ca="1" si="18"/>
        <v>#N/A</v>
      </c>
      <c r="BC51" s="14" t="e">
        <f t="shared" ca="1" si="18"/>
        <v>#N/A</v>
      </c>
      <c r="BD51" s="14" t="e">
        <f t="shared" ca="1" si="18"/>
        <v>#N/A</v>
      </c>
      <c r="BE51" s="14" t="e">
        <f t="shared" ca="1" si="18"/>
        <v>#N/A</v>
      </c>
      <c r="BF51" s="14" t="e">
        <f t="shared" ca="1" si="18"/>
        <v>#N/A</v>
      </c>
      <c r="BG51" s="14" t="e">
        <f t="shared" ca="1" si="18"/>
        <v>#N/A</v>
      </c>
      <c r="BH51" s="14" t="e">
        <f t="shared" ca="1" si="18"/>
        <v>#N/A</v>
      </c>
      <c r="BI51" s="14" t="e">
        <f t="shared" ca="1" si="18"/>
        <v>#N/A</v>
      </c>
      <c r="BJ51" s="14" t="e">
        <f t="shared" ca="1" si="18"/>
        <v>#N/A</v>
      </c>
      <c r="BK51" s="14" t="e">
        <f t="shared" ca="1" si="18"/>
        <v>#N/A</v>
      </c>
      <c r="BL51" s="14" t="e">
        <f t="shared" ca="1" si="18"/>
        <v>#N/A</v>
      </c>
      <c r="BM51" s="14" t="e">
        <f t="shared" ca="1" si="18"/>
        <v>#N/A</v>
      </c>
      <c r="BN51" s="14" t="e">
        <f t="shared" ca="1" si="18"/>
        <v>#N/A</v>
      </c>
      <c r="BO51" s="14" t="e">
        <f t="shared" ca="1" si="18"/>
        <v>#N/A</v>
      </c>
      <c r="BP51" s="14" t="e">
        <f t="shared" ca="1" si="18"/>
        <v>#N/A</v>
      </c>
      <c r="BQ51" s="14" t="e">
        <f t="shared" ca="1" si="18"/>
        <v>#N/A</v>
      </c>
      <c r="BR51" s="14" t="e">
        <f t="shared" ca="1" si="18"/>
        <v>#N/A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0</v>
      </c>
      <c r="C52" s="5">
        <f t="shared" si="15"/>
        <v>0</v>
      </c>
      <c r="D52" s="5">
        <f t="shared" si="15"/>
        <v>0</v>
      </c>
      <c r="E52" s="6">
        <f t="shared" si="15"/>
        <v>0</v>
      </c>
      <c r="F52" s="14" t="e">
        <f t="shared" ca="1" si="16"/>
        <v>#N/A</v>
      </c>
      <c r="G52" s="14" t="e">
        <f t="shared" ca="1" si="18"/>
        <v>#N/A</v>
      </c>
      <c r="H52" s="14" t="e">
        <f t="shared" ca="1" si="18"/>
        <v>#N/A</v>
      </c>
      <c r="I52" s="14" t="e">
        <f t="shared" ca="1" si="18"/>
        <v>#N/A</v>
      </c>
      <c r="J52" s="14" t="e">
        <f t="shared" ca="1" si="18"/>
        <v>#N/A</v>
      </c>
      <c r="K52" s="14" t="e">
        <f t="shared" ca="1" si="18"/>
        <v>#N/A</v>
      </c>
      <c r="L52" s="14" t="e">
        <f t="shared" ca="1" si="18"/>
        <v>#N/A</v>
      </c>
      <c r="M52" s="14" t="e">
        <f t="shared" ca="1" si="18"/>
        <v>#N/A</v>
      </c>
      <c r="N52" s="14" t="e">
        <f t="shared" ca="1" si="18"/>
        <v>#N/A</v>
      </c>
      <c r="O52" s="14" t="e">
        <f t="shared" ca="1" si="18"/>
        <v>#N/A</v>
      </c>
      <c r="P52" s="14" t="e">
        <f t="shared" ca="1" si="18"/>
        <v>#N/A</v>
      </c>
      <c r="Q52" s="14" t="e">
        <f t="shared" ca="1" si="18"/>
        <v>#N/A</v>
      </c>
      <c r="R52" s="14" t="e">
        <f t="shared" ca="1" si="18"/>
        <v>#N/A</v>
      </c>
      <c r="S52" s="14" t="e">
        <f t="shared" ca="1" si="18"/>
        <v>#N/A</v>
      </c>
      <c r="T52" s="14" t="e">
        <f t="shared" ca="1" si="18"/>
        <v>#N/A</v>
      </c>
      <c r="U52" s="14" t="e">
        <f t="shared" ca="1" si="18"/>
        <v>#N/A</v>
      </c>
      <c r="V52" s="14" t="e">
        <f t="shared" ca="1" si="18"/>
        <v>#N/A</v>
      </c>
      <c r="W52" s="14" t="e">
        <f t="shared" ca="1" si="18"/>
        <v>#N/A</v>
      </c>
      <c r="X52" s="14" t="e">
        <f t="shared" ca="1" si="18"/>
        <v>#N/A</v>
      </c>
      <c r="Y52" s="14" t="e">
        <f t="shared" ca="1" si="18"/>
        <v>#N/A</v>
      </c>
      <c r="Z52" s="14" t="e">
        <f t="shared" ca="1" si="18"/>
        <v>#N/A</v>
      </c>
      <c r="AA52" s="14" t="e">
        <f t="shared" ca="1" si="18"/>
        <v>#N/A</v>
      </c>
      <c r="AB52" s="14" t="e">
        <f t="shared" ca="1" si="18"/>
        <v>#N/A</v>
      </c>
      <c r="AC52" s="14" t="e">
        <f t="shared" ca="1" si="18"/>
        <v>#N/A</v>
      </c>
      <c r="AD52" s="14" t="e">
        <f t="shared" ca="1" si="18"/>
        <v>#N/A</v>
      </c>
      <c r="AE52" s="14" t="e">
        <f t="shared" ca="1" si="18"/>
        <v>#N/A</v>
      </c>
      <c r="AF52" s="14" t="e">
        <f t="shared" ca="1" si="18"/>
        <v>#N/A</v>
      </c>
      <c r="AG52" s="14" t="e">
        <f t="shared" ca="1" si="18"/>
        <v>#N/A</v>
      </c>
      <c r="AH52" s="14" t="e">
        <f t="shared" ca="1" si="18"/>
        <v>#N/A</v>
      </c>
      <c r="AI52" s="14" t="e">
        <f t="shared" ca="1" si="18"/>
        <v>#N/A</v>
      </c>
      <c r="AJ52" s="14" t="e">
        <f t="shared" ca="1" si="18"/>
        <v>#N/A</v>
      </c>
      <c r="AK52" s="14" t="e">
        <f t="shared" ca="1" si="18"/>
        <v>#N/A</v>
      </c>
      <c r="AL52" s="14" t="e">
        <f t="shared" ca="1" si="18"/>
        <v>#N/A</v>
      </c>
      <c r="AM52" s="14" t="e">
        <f t="shared" ca="1" si="18"/>
        <v>#N/A</v>
      </c>
      <c r="AN52" s="14" t="e">
        <f t="shared" ca="1" si="18"/>
        <v>#N/A</v>
      </c>
      <c r="AO52" s="14" t="e">
        <f t="shared" ca="1" si="18"/>
        <v>#N/A</v>
      </c>
      <c r="AP52" s="14" t="e">
        <f t="shared" ca="1" si="18"/>
        <v>#N/A</v>
      </c>
      <c r="AQ52" s="14" t="e">
        <f t="shared" ca="1" si="18"/>
        <v>#N/A</v>
      </c>
      <c r="AR52" s="14" t="e">
        <f t="shared" ca="1" si="18"/>
        <v>#N/A</v>
      </c>
      <c r="AS52" s="14" t="e">
        <f t="shared" ca="1" si="18"/>
        <v>#N/A</v>
      </c>
      <c r="AT52" s="14" t="e">
        <f t="shared" ca="1" si="18"/>
        <v>#N/A</v>
      </c>
      <c r="AU52" s="14" t="e">
        <f t="shared" ca="1" si="18"/>
        <v>#N/A</v>
      </c>
      <c r="AV52" s="14" t="e">
        <f t="shared" ca="1" si="18"/>
        <v>#N/A</v>
      </c>
      <c r="AW52" s="14" t="e">
        <f t="shared" ca="1" si="18"/>
        <v>#N/A</v>
      </c>
      <c r="AX52" s="14" t="e">
        <f t="shared" ca="1" si="18"/>
        <v>#N/A</v>
      </c>
      <c r="AY52" s="14" t="e">
        <f t="shared" ca="1" si="18"/>
        <v>#N/A</v>
      </c>
      <c r="AZ52" s="14" t="e">
        <f t="shared" ca="1" si="18"/>
        <v>#N/A</v>
      </c>
      <c r="BA52" s="14" t="e">
        <f t="shared" ca="1" si="18"/>
        <v>#N/A</v>
      </c>
      <c r="BB52" s="14" t="e">
        <f t="shared" ca="1" si="18"/>
        <v>#N/A</v>
      </c>
      <c r="BC52" s="14" t="e">
        <f t="shared" ca="1" si="18"/>
        <v>#N/A</v>
      </c>
      <c r="BD52" s="14" t="e">
        <f t="shared" ca="1" si="18"/>
        <v>#N/A</v>
      </c>
      <c r="BE52" s="14" t="e">
        <f t="shared" ca="1" si="18"/>
        <v>#N/A</v>
      </c>
      <c r="BF52" s="14" t="e">
        <f t="shared" ca="1" si="18"/>
        <v>#N/A</v>
      </c>
      <c r="BG52" s="14" t="e">
        <f t="shared" ca="1" si="18"/>
        <v>#N/A</v>
      </c>
      <c r="BH52" s="14" t="e">
        <f t="shared" ca="1" si="18"/>
        <v>#N/A</v>
      </c>
      <c r="BI52" s="14" t="e">
        <f t="shared" ca="1" si="18"/>
        <v>#N/A</v>
      </c>
      <c r="BJ52" s="14" t="e">
        <f t="shared" ca="1" si="18"/>
        <v>#N/A</v>
      </c>
      <c r="BK52" s="14" t="e">
        <f t="shared" ca="1" si="18"/>
        <v>#N/A</v>
      </c>
      <c r="BL52" s="14" t="e">
        <f t="shared" ca="1" si="18"/>
        <v>#N/A</v>
      </c>
      <c r="BM52" s="14" t="e">
        <f t="shared" ca="1" si="18"/>
        <v>#N/A</v>
      </c>
      <c r="BN52" s="14" t="e">
        <f t="shared" ca="1" si="18"/>
        <v>#N/A</v>
      </c>
      <c r="BO52" s="14" t="e">
        <f t="shared" ca="1" si="18"/>
        <v>#N/A</v>
      </c>
      <c r="BP52" s="14" t="e">
        <f t="shared" ca="1" si="18"/>
        <v>#N/A</v>
      </c>
      <c r="BQ52" s="14" t="e">
        <f t="shared" ca="1" si="18"/>
        <v>#N/A</v>
      </c>
      <c r="BR52" s="14" t="e">
        <f t="shared" ca="1" si="18"/>
        <v>#N/A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0</v>
      </c>
      <c r="C53" s="5">
        <f t="shared" si="15"/>
        <v>0</v>
      </c>
      <c r="D53" s="5">
        <f t="shared" si="15"/>
        <v>0</v>
      </c>
      <c r="E53" s="6">
        <f t="shared" si="15"/>
        <v>0</v>
      </c>
      <c r="F53" s="14" t="e">
        <f t="shared" ca="1" si="16"/>
        <v>#N/A</v>
      </c>
      <c r="G53" s="14" t="e">
        <f t="shared" ca="1" si="18"/>
        <v>#N/A</v>
      </c>
      <c r="H53" s="14" t="e">
        <f t="shared" ca="1" si="18"/>
        <v>#N/A</v>
      </c>
      <c r="I53" s="14" t="e">
        <f t="shared" ca="1" si="18"/>
        <v>#N/A</v>
      </c>
      <c r="J53" s="14" t="e">
        <f t="shared" ca="1" si="18"/>
        <v>#N/A</v>
      </c>
      <c r="K53" s="14" t="e">
        <f t="shared" ca="1" si="18"/>
        <v>#N/A</v>
      </c>
      <c r="L53" s="14" t="e">
        <f t="shared" ca="1" si="18"/>
        <v>#N/A</v>
      </c>
      <c r="M53" s="14" t="e">
        <f t="shared" ca="1" si="18"/>
        <v>#N/A</v>
      </c>
      <c r="N53" s="14" t="e">
        <f t="shared" ca="1" si="18"/>
        <v>#N/A</v>
      </c>
      <c r="O53" s="14" t="e">
        <f t="shared" ca="1" si="18"/>
        <v>#N/A</v>
      </c>
      <c r="P53" s="14" t="e">
        <f t="shared" ca="1" si="18"/>
        <v>#N/A</v>
      </c>
      <c r="Q53" s="14" t="e">
        <f t="shared" ca="1" si="18"/>
        <v>#N/A</v>
      </c>
      <c r="R53" s="14" t="e">
        <f t="shared" ca="1" si="18"/>
        <v>#N/A</v>
      </c>
      <c r="S53" s="14" t="e">
        <f t="shared" ca="1" si="18"/>
        <v>#N/A</v>
      </c>
      <c r="T53" s="14" t="e">
        <f t="shared" ca="1" si="18"/>
        <v>#N/A</v>
      </c>
      <c r="U53" s="14" t="e">
        <f t="shared" ca="1" si="18"/>
        <v>#N/A</v>
      </c>
      <c r="V53" s="14" t="e">
        <f t="shared" ca="1" si="18"/>
        <v>#N/A</v>
      </c>
      <c r="W53" s="14" t="e">
        <f t="shared" ca="1" si="18"/>
        <v>#N/A</v>
      </c>
      <c r="X53" s="14" t="e">
        <f t="shared" ca="1" si="18"/>
        <v>#N/A</v>
      </c>
      <c r="Y53" s="14" t="e">
        <f t="shared" ca="1" si="18"/>
        <v>#N/A</v>
      </c>
      <c r="Z53" s="14" t="e">
        <f t="shared" ca="1" si="18"/>
        <v>#N/A</v>
      </c>
      <c r="AA53" s="14" t="e">
        <f t="shared" ca="1" si="18"/>
        <v>#N/A</v>
      </c>
      <c r="AB53" s="14" t="e">
        <f t="shared" ca="1" si="18"/>
        <v>#N/A</v>
      </c>
      <c r="AC53" s="14" t="e">
        <f t="shared" ca="1" si="18"/>
        <v>#N/A</v>
      </c>
      <c r="AD53" s="14" t="e">
        <f t="shared" ca="1" si="18"/>
        <v>#N/A</v>
      </c>
      <c r="AE53" s="14" t="e">
        <f t="shared" ca="1" si="18"/>
        <v>#N/A</v>
      </c>
      <c r="AF53" s="14" t="e">
        <f t="shared" ca="1" si="18"/>
        <v>#N/A</v>
      </c>
      <c r="AG53" s="14" t="e">
        <f t="shared" ca="1" si="18"/>
        <v>#N/A</v>
      </c>
      <c r="AH53" s="14" t="e">
        <f t="shared" ca="1" si="18"/>
        <v>#N/A</v>
      </c>
      <c r="AI53" s="14" t="e">
        <f t="shared" ca="1" si="18"/>
        <v>#N/A</v>
      </c>
      <c r="AJ53" s="14" t="e">
        <f t="shared" ca="1" si="18"/>
        <v>#N/A</v>
      </c>
      <c r="AK53" s="14" t="e">
        <f t="shared" ca="1" si="18"/>
        <v>#N/A</v>
      </c>
      <c r="AL53" s="14" t="e">
        <f t="shared" ca="1" si="18"/>
        <v>#N/A</v>
      </c>
      <c r="AM53" s="14" t="e">
        <f t="shared" ca="1" si="18"/>
        <v>#N/A</v>
      </c>
      <c r="AN53" s="14" t="e">
        <f t="shared" ca="1" si="18"/>
        <v>#N/A</v>
      </c>
      <c r="AO53" s="14" t="e">
        <f t="shared" ca="1" si="18"/>
        <v>#N/A</v>
      </c>
      <c r="AP53" s="14" t="e">
        <f t="shared" ca="1" si="18"/>
        <v>#N/A</v>
      </c>
      <c r="AQ53" s="14" t="e">
        <f t="shared" ca="1" si="18"/>
        <v>#N/A</v>
      </c>
      <c r="AR53" s="14" t="e">
        <f t="shared" ca="1" si="18"/>
        <v>#N/A</v>
      </c>
      <c r="AS53" s="14" t="e">
        <f t="shared" ca="1" si="18"/>
        <v>#N/A</v>
      </c>
      <c r="AT53" s="14" t="e">
        <f t="shared" ca="1" si="18"/>
        <v>#N/A</v>
      </c>
      <c r="AU53" s="14" t="e">
        <f t="shared" ca="1" si="18"/>
        <v>#N/A</v>
      </c>
      <c r="AV53" s="14" t="e">
        <f t="shared" ca="1" si="18"/>
        <v>#N/A</v>
      </c>
      <c r="AW53" s="14" t="e">
        <f t="shared" ca="1" si="18"/>
        <v>#N/A</v>
      </c>
      <c r="AX53" s="14" t="e">
        <f t="shared" ca="1" si="18"/>
        <v>#N/A</v>
      </c>
      <c r="AY53" s="14" t="e">
        <f t="shared" ca="1" si="18"/>
        <v>#N/A</v>
      </c>
      <c r="AZ53" s="14" t="e">
        <f t="shared" ca="1" si="18"/>
        <v>#N/A</v>
      </c>
      <c r="BA53" s="14" t="e">
        <f t="shared" ca="1" si="18"/>
        <v>#N/A</v>
      </c>
      <c r="BB53" s="14" t="e">
        <f t="shared" ca="1" si="18"/>
        <v>#N/A</v>
      </c>
      <c r="BC53" s="14" t="e">
        <f t="shared" ca="1" si="18"/>
        <v>#N/A</v>
      </c>
      <c r="BD53" s="14" t="e">
        <f t="shared" ca="1" si="18"/>
        <v>#N/A</v>
      </c>
      <c r="BE53" s="14" t="e">
        <f t="shared" ca="1" si="18"/>
        <v>#N/A</v>
      </c>
      <c r="BF53" s="14" t="e">
        <f t="shared" ca="1" si="18"/>
        <v>#N/A</v>
      </c>
      <c r="BG53" s="14" t="e">
        <f t="shared" ca="1" si="18"/>
        <v>#N/A</v>
      </c>
      <c r="BH53" s="14" t="e">
        <f t="shared" ca="1" si="18"/>
        <v>#N/A</v>
      </c>
      <c r="BI53" s="14" t="e">
        <f t="shared" ca="1" si="18"/>
        <v>#N/A</v>
      </c>
      <c r="BJ53" s="14" t="e">
        <f t="shared" ca="1" si="18"/>
        <v>#N/A</v>
      </c>
      <c r="BK53" s="14" t="e">
        <f t="shared" ca="1" si="18"/>
        <v>#N/A</v>
      </c>
      <c r="BL53" s="14" t="e">
        <f t="shared" ca="1" si="18"/>
        <v>#N/A</v>
      </c>
      <c r="BM53" s="14" t="e">
        <f t="shared" ca="1" si="18"/>
        <v>#N/A</v>
      </c>
      <c r="BN53" s="14" t="e">
        <f t="shared" ca="1" si="18"/>
        <v>#N/A</v>
      </c>
      <c r="BO53" s="14" t="e">
        <f t="shared" ca="1" si="18"/>
        <v>#N/A</v>
      </c>
      <c r="BP53" s="14" t="e">
        <f t="shared" ca="1" si="18"/>
        <v>#N/A</v>
      </c>
      <c r="BQ53" s="14" t="e">
        <f t="shared" ca="1" si="18"/>
        <v>#N/A</v>
      </c>
      <c r="BR53" s="14" t="e">
        <f t="shared" ca="1" si="18"/>
        <v>#N/A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0</v>
      </c>
      <c r="C54" s="5">
        <f t="shared" si="15"/>
        <v>0</v>
      </c>
      <c r="D54" s="5">
        <f t="shared" si="15"/>
        <v>0</v>
      </c>
      <c r="E54" s="6">
        <f t="shared" si="15"/>
        <v>0</v>
      </c>
      <c r="F54" s="14" t="e">
        <f t="shared" ca="1" si="16"/>
        <v>#N/A</v>
      </c>
      <c r="G54" s="14" t="e">
        <f t="shared" ca="1" si="18"/>
        <v>#N/A</v>
      </c>
      <c r="H54" s="14" t="e">
        <f t="shared" ca="1" si="18"/>
        <v>#N/A</v>
      </c>
      <c r="I54" s="14" t="e">
        <f t="shared" ca="1" si="18"/>
        <v>#N/A</v>
      </c>
      <c r="J54" s="14" t="e">
        <f t="shared" ca="1" si="18"/>
        <v>#N/A</v>
      </c>
      <c r="K54" s="14" t="e">
        <f t="shared" ca="1" si="18"/>
        <v>#N/A</v>
      </c>
      <c r="L54" s="14" t="e">
        <f t="shared" ca="1" si="18"/>
        <v>#N/A</v>
      </c>
      <c r="M54" s="14" t="e">
        <f t="shared" ca="1" si="18"/>
        <v>#N/A</v>
      </c>
      <c r="N54" s="14" t="e">
        <f t="shared" ca="1" si="18"/>
        <v>#N/A</v>
      </c>
      <c r="O54" s="14" t="e">
        <f t="shared" ca="1" si="18"/>
        <v>#N/A</v>
      </c>
      <c r="P54" s="14" t="e">
        <f t="shared" ca="1" si="18"/>
        <v>#N/A</v>
      </c>
      <c r="Q54" s="14" t="e">
        <f t="shared" ca="1" si="18"/>
        <v>#N/A</v>
      </c>
      <c r="R54" s="14" t="e">
        <f t="shared" ca="1" si="18"/>
        <v>#N/A</v>
      </c>
      <c r="S54" s="14" t="e">
        <f t="shared" ca="1" si="18"/>
        <v>#N/A</v>
      </c>
      <c r="T54" s="14" t="e">
        <f t="shared" ref="G54:BR58" ca="1" si="19">$A54*H.Ar + $B54*H.Se + $C54*H.Ge + $D54*H.Ga</f>
        <v>#N/A</v>
      </c>
      <c r="U54" s="14" t="e">
        <f t="shared" ca="1" si="19"/>
        <v>#N/A</v>
      </c>
      <c r="V54" s="14" t="e">
        <f t="shared" ca="1" si="19"/>
        <v>#N/A</v>
      </c>
      <c r="W54" s="14" t="e">
        <f t="shared" ca="1" si="19"/>
        <v>#N/A</v>
      </c>
      <c r="X54" s="14" t="e">
        <f t="shared" ca="1" si="19"/>
        <v>#N/A</v>
      </c>
      <c r="Y54" s="14" t="e">
        <f t="shared" ca="1" si="19"/>
        <v>#N/A</v>
      </c>
      <c r="Z54" s="14" t="e">
        <f t="shared" ca="1" si="19"/>
        <v>#N/A</v>
      </c>
      <c r="AA54" s="14" t="e">
        <f t="shared" ca="1" si="19"/>
        <v>#N/A</v>
      </c>
      <c r="AB54" s="14" t="e">
        <f t="shared" ca="1" si="19"/>
        <v>#N/A</v>
      </c>
      <c r="AC54" s="14" t="e">
        <f t="shared" ca="1" si="19"/>
        <v>#N/A</v>
      </c>
      <c r="AD54" s="14" t="e">
        <f t="shared" ca="1" si="19"/>
        <v>#N/A</v>
      </c>
      <c r="AE54" s="14" t="e">
        <f t="shared" ca="1" si="19"/>
        <v>#N/A</v>
      </c>
      <c r="AF54" s="14" t="e">
        <f t="shared" ca="1" si="19"/>
        <v>#N/A</v>
      </c>
      <c r="AG54" s="14" t="e">
        <f t="shared" ca="1" si="19"/>
        <v>#N/A</v>
      </c>
      <c r="AH54" s="14" t="e">
        <f t="shared" ca="1" si="19"/>
        <v>#N/A</v>
      </c>
      <c r="AI54" s="14" t="e">
        <f t="shared" ca="1" si="19"/>
        <v>#N/A</v>
      </c>
      <c r="AJ54" s="14" t="e">
        <f t="shared" ca="1" si="19"/>
        <v>#N/A</v>
      </c>
      <c r="AK54" s="14" t="e">
        <f t="shared" ca="1" si="19"/>
        <v>#N/A</v>
      </c>
      <c r="AL54" s="14" t="e">
        <f t="shared" ca="1" si="19"/>
        <v>#N/A</v>
      </c>
      <c r="AM54" s="14" t="e">
        <f t="shared" ca="1" si="19"/>
        <v>#N/A</v>
      </c>
      <c r="AN54" s="14" t="e">
        <f t="shared" ca="1" si="19"/>
        <v>#N/A</v>
      </c>
      <c r="AO54" s="14" t="e">
        <f t="shared" ca="1" si="19"/>
        <v>#N/A</v>
      </c>
      <c r="AP54" s="14" t="e">
        <f t="shared" ca="1" si="19"/>
        <v>#N/A</v>
      </c>
      <c r="AQ54" s="14" t="e">
        <f t="shared" ca="1" si="19"/>
        <v>#N/A</v>
      </c>
      <c r="AR54" s="14" t="e">
        <f t="shared" ca="1" si="19"/>
        <v>#N/A</v>
      </c>
      <c r="AS54" s="14" t="e">
        <f t="shared" ca="1" si="19"/>
        <v>#N/A</v>
      </c>
      <c r="AT54" s="14" t="e">
        <f t="shared" ca="1" si="19"/>
        <v>#N/A</v>
      </c>
      <c r="AU54" s="14" t="e">
        <f t="shared" ca="1" si="19"/>
        <v>#N/A</v>
      </c>
      <c r="AV54" s="14" t="e">
        <f t="shared" ca="1" si="19"/>
        <v>#N/A</v>
      </c>
      <c r="AW54" s="14" t="e">
        <f t="shared" ca="1" si="19"/>
        <v>#N/A</v>
      </c>
      <c r="AX54" s="14" t="e">
        <f t="shared" ca="1" si="19"/>
        <v>#N/A</v>
      </c>
      <c r="AY54" s="14" t="e">
        <f t="shared" ca="1" si="19"/>
        <v>#N/A</v>
      </c>
      <c r="AZ54" s="14" t="e">
        <f t="shared" ca="1" si="19"/>
        <v>#N/A</v>
      </c>
      <c r="BA54" s="14" t="e">
        <f t="shared" ca="1" si="19"/>
        <v>#N/A</v>
      </c>
      <c r="BB54" s="14" t="e">
        <f t="shared" ca="1" si="19"/>
        <v>#N/A</v>
      </c>
      <c r="BC54" s="14" t="e">
        <f t="shared" ca="1" si="19"/>
        <v>#N/A</v>
      </c>
      <c r="BD54" s="14" t="e">
        <f t="shared" ca="1" si="19"/>
        <v>#N/A</v>
      </c>
      <c r="BE54" s="14" t="e">
        <f t="shared" ca="1" si="19"/>
        <v>#N/A</v>
      </c>
      <c r="BF54" s="14" t="e">
        <f t="shared" ca="1" si="19"/>
        <v>#N/A</v>
      </c>
      <c r="BG54" s="14" t="e">
        <f t="shared" ca="1" si="19"/>
        <v>#N/A</v>
      </c>
      <c r="BH54" s="14" t="e">
        <f t="shared" ca="1" si="19"/>
        <v>#N/A</v>
      </c>
      <c r="BI54" s="14" t="e">
        <f t="shared" ca="1" si="19"/>
        <v>#N/A</v>
      </c>
      <c r="BJ54" s="14" t="e">
        <f t="shared" ca="1" si="19"/>
        <v>#N/A</v>
      </c>
      <c r="BK54" s="14" t="e">
        <f t="shared" ca="1" si="19"/>
        <v>#N/A</v>
      </c>
      <c r="BL54" s="14" t="e">
        <f t="shared" ca="1" si="19"/>
        <v>#N/A</v>
      </c>
      <c r="BM54" s="14" t="e">
        <f t="shared" ca="1" si="19"/>
        <v>#N/A</v>
      </c>
      <c r="BN54" s="14" t="e">
        <f t="shared" ca="1" si="19"/>
        <v>#N/A</v>
      </c>
      <c r="BO54" s="14" t="e">
        <f t="shared" ca="1" si="19"/>
        <v>#N/A</v>
      </c>
      <c r="BP54" s="14" t="e">
        <f t="shared" ca="1" si="19"/>
        <v>#N/A</v>
      </c>
      <c r="BQ54" s="14" t="e">
        <f t="shared" ca="1" si="19"/>
        <v>#N/A</v>
      </c>
      <c r="BR54" s="14" t="e">
        <f t="shared" ca="1" si="19"/>
        <v>#N/A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0</v>
      </c>
      <c r="C55" s="5">
        <f t="shared" si="15"/>
        <v>0</v>
      </c>
      <c r="D55" s="5">
        <f t="shared" si="15"/>
        <v>0</v>
      </c>
      <c r="E55" s="6">
        <f t="shared" si="15"/>
        <v>0</v>
      </c>
      <c r="F55" s="14" t="e">
        <f t="shared" ca="1" si="16"/>
        <v>#N/A</v>
      </c>
      <c r="G55" s="14" t="e">
        <f t="shared" ca="1" si="19"/>
        <v>#N/A</v>
      </c>
      <c r="H55" s="14" t="e">
        <f t="shared" ca="1" si="19"/>
        <v>#N/A</v>
      </c>
      <c r="I55" s="14" t="e">
        <f t="shared" ca="1" si="19"/>
        <v>#N/A</v>
      </c>
      <c r="J55" s="14" t="e">
        <f t="shared" ca="1" si="19"/>
        <v>#N/A</v>
      </c>
      <c r="K55" s="14" t="e">
        <f t="shared" ca="1" si="19"/>
        <v>#N/A</v>
      </c>
      <c r="L55" s="14" t="e">
        <f t="shared" ca="1" si="19"/>
        <v>#N/A</v>
      </c>
      <c r="M55" s="14" t="e">
        <f t="shared" ca="1" si="19"/>
        <v>#N/A</v>
      </c>
      <c r="N55" s="14" t="e">
        <f t="shared" ca="1" si="19"/>
        <v>#N/A</v>
      </c>
      <c r="O55" s="14" t="e">
        <f t="shared" ca="1" si="19"/>
        <v>#N/A</v>
      </c>
      <c r="P55" s="14" t="e">
        <f t="shared" ca="1" si="19"/>
        <v>#N/A</v>
      </c>
      <c r="Q55" s="14" t="e">
        <f t="shared" ca="1" si="19"/>
        <v>#N/A</v>
      </c>
      <c r="R55" s="14" t="e">
        <f t="shared" ca="1" si="19"/>
        <v>#N/A</v>
      </c>
      <c r="S55" s="14" t="e">
        <f t="shared" ca="1" si="19"/>
        <v>#N/A</v>
      </c>
      <c r="T55" s="14" t="e">
        <f t="shared" ca="1" si="19"/>
        <v>#N/A</v>
      </c>
      <c r="U55" s="14" t="e">
        <f t="shared" ca="1" si="19"/>
        <v>#N/A</v>
      </c>
      <c r="V55" s="14" t="e">
        <f t="shared" ca="1" si="19"/>
        <v>#N/A</v>
      </c>
      <c r="W55" s="14" t="e">
        <f t="shared" ca="1" si="19"/>
        <v>#N/A</v>
      </c>
      <c r="X55" s="14" t="e">
        <f t="shared" ca="1" si="19"/>
        <v>#N/A</v>
      </c>
      <c r="Y55" s="14" t="e">
        <f t="shared" ca="1" si="19"/>
        <v>#N/A</v>
      </c>
      <c r="Z55" s="14" t="e">
        <f t="shared" ca="1" si="19"/>
        <v>#N/A</v>
      </c>
      <c r="AA55" s="14" t="e">
        <f t="shared" ca="1" si="19"/>
        <v>#N/A</v>
      </c>
      <c r="AB55" s="14" t="e">
        <f t="shared" ca="1" si="19"/>
        <v>#N/A</v>
      </c>
      <c r="AC55" s="14" t="e">
        <f t="shared" ca="1" si="19"/>
        <v>#N/A</v>
      </c>
      <c r="AD55" s="14" t="e">
        <f t="shared" ca="1" si="19"/>
        <v>#N/A</v>
      </c>
      <c r="AE55" s="14" t="e">
        <f t="shared" ca="1" si="19"/>
        <v>#N/A</v>
      </c>
      <c r="AF55" s="14" t="e">
        <f t="shared" ca="1" si="19"/>
        <v>#N/A</v>
      </c>
      <c r="AG55" s="14" t="e">
        <f t="shared" ca="1" si="19"/>
        <v>#N/A</v>
      </c>
      <c r="AH55" s="14" t="e">
        <f t="shared" ca="1" si="19"/>
        <v>#N/A</v>
      </c>
      <c r="AI55" s="14" t="e">
        <f t="shared" ca="1" si="19"/>
        <v>#N/A</v>
      </c>
      <c r="AJ55" s="14" t="e">
        <f t="shared" ca="1" si="19"/>
        <v>#N/A</v>
      </c>
      <c r="AK55" s="14" t="e">
        <f t="shared" ca="1" si="19"/>
        <v>#N/A</v>
      </c>
      <c r="AL55" s="14" t="e">
        <f t="shared" ca="1" si="19"/>
        <v>#N/A</v>
      </c>
      <c r="AM55" s="14" t="e">
        <f t="shared" ca="1" si="19"/>
        <v>#N/A</v>
      </c>
      <c r="AN55" s="14" t="e">
        <f t="shared" ca="1" si="19"/>
        <v>#N/A</v>
      </c>
      <c r="AO55" s="14" t="e">
        <f t="shared" ca="1" si="19"/>
        <v>#N/A</v>
      </c>
      <c r="AP55" s="14" t="e">
        <f t="shared" ca="1" si="19"/>
        <v>#N/A</v>
      </c>
      <c r="AQ55" s="14" t="e">
        <f t="shared" ca="1" si="19"/>
        <v>#N/A</v>
      </c>
      <c r="AR55" s="14" t="e">
        <f t="shared" ca="1" si="19"/>
        <v>#N/A</v>
      </c>
      <c r="AS55" s="14" t="e">
        <f t="shared" ca="1" si="19"/>
        <v>#N/A</v>
      </c>
      <c r="AT55" s="14" t="e">
        <f t="shared" ca="1" si="19"/>
        <v>#N/A</v>
      </c>
      <c r="AU55" s="14" t="e">
        <f t="shared" ca="1" si="19"/>
        <v>#N/A</v>
      </c>
      <c r="AV55" s="14" t="e">
        <f t="shared" ca="1" si="19"/>
        <v>#N/A</v>
      </c>
      <c r="AW55" s="14" t="e">
        <f t="shared" ca="1" si="19"/>
        <v>#N/A</v>
      </c>
      <c r="AX55" s="14" t="e">
        <f t="shared" ca="1" si="19"/>
        <v>#N/A</v>
      </c>
      <c r="AY55" s="14" t="e">
        <f t="shared" ca="1" si="19"/>
        <v>#N/A</v>
      </c>
      <c r="AZ55" s="14" t="e">
        <f t="shared" ca="1" si="19"/>
        <v>#N/A</v>
      </c>
      <c r="BA55" s="14" t="e">
        <f t="shared" ca="1" si="19"/>
        <v>#N/A</v>
      </c>
      <c r="BB55" s="14" t="e">
        <f t="shared" ca="1" si="19"/>
        <v>#N/A</v>
      </c>
      <c r="BC55" s="14" t="e">
        <f t="shared" ca="1" si="19"/>
        <v>#N/A</v>
      </c>
      <c r="BD55" s="14" t="e">
        <f t="shared" ca="1" si="19"/>
        <v>#N/A</v>
      </c>
      <c r="BE55" s="14" t="e">
        <f t="shared" ca="1" si="19"/>
        <v>#N/A</v>
      </c>
      <c r="BF55" s="14" t="e">
        <f t="shared" ca="1" si="19"/>
        <v>#N/A</v>
      </c>
      <c r="BG55" s="14" t="e">
        <f t="shared" ca="1" si="19"/>
        <v>#N/A</v>
      </c>
      <c r="BH55" s="14" t="e">
        <f t="shared" ca="1" si="19"/>
        <v>#N/A</v>
      </c>
      <c r="BI55" s="14" t="e">
        <f t="shared" ca="1" si="19"/>
        <v>#N/A</v>
      </c>
      <c r="BJ55" s="14" t="e">
        <f t="shared" ca="1" si="19"/>
        <v>#N/A</v>
      </c>
      <c r="BK55" s="14" t="e">
        <f t="shared" ca="1" si="19"/>
        <v>#N/A</v>
      </c>
      <c r="BL55" s="14" t="e">
        <f t="shared" ca="1" si="19"/>
        <v>#N/A</v>
      </c>
      <c r="BM55" s="14" t="e">
        <f t="shared" ca="1" si="19"/>
        <v>#N/A</v>
      </c>
      <c r="BN55" s="14" t="e">
        <f t="shared" ca="1" si="19"/>
        <v>#N/A</v>
      </c>
      <c r="BO55" s="14" t="e">
        <f t="shared" ca="1" si="19"/>
        <v>#N/A</v>
      </c>
      <c r="BP55" s="14" t="e">
        <f t="shared" ca="1" si="19"/>
        <v>#N/A</v>
      </c>
      <c r="BQ55" s="14" t="e">
        <f t="shared" ca="1" si="19"/>
        <v>#N/A</v>
      </c>
      <c r="BR55" s="14" t="e">
        <f t="shared" ca="1" si="19"/>
        <v>#N/A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0</v>
      </c>
      <c r="C56" s="5">
        <f t="shared" si="20"/>
        <v>0</v>
      </c>
      <c r="D56" s="5">
        <f t="shared" si="20"/>
        <v>0</v>
      </c>
      <c r="E56" s="6">
        <f t="shared" si="20"/>
        <v>0</v>
      </c>
      <c r="F56" s="14" t="e">
        <f t="shared" ref="F56:U65" ca="1" si="21">$A56*H.Ar + $B56*H.Se + $C56*H.Ge + $D56*H.Ga</f>
        <v>#N/A</v>
      </c>
      <c r="G56" s="14" t="e">
        <f t="shared" ca="1" si="21"/>
        <v>#N/A</v>
      </c>
      <c r="H56" s="14" t="e">
        <f t="shared" ca="1" si="21"/>
        <v>#N/A</v>
      </c>
      <c r="I56" s="14" t="e">
        <f t="shared" ca="1" si="21"/>
        <v>#N/A</v>
      </c>
      <c r="J56" s="14" t="e">
        <f t="shared" ca="1" si="21"/>
        <v>#N/A</v>
      </c>
      <c r="K56" s="14" t="e">
        <f t="shared" ca="1" si="21"/>
        <v>#N/A</v>
      </c>
      <c r="L56" s="14" t="e">
        <f t="shared" ca="1" si="21"/>
        <v>#N/A</v>
      </c>
      <c r="M56" s="14" t="e">
        <f t="shared" ca="1" si="21"/>
        <v>#N/A</v>
      </c>
      <c r="N56" s="14" t="e">
        <f t="shared" ca="1" si="21"/>
        <v>#N/A</v>
      </c>
      <c r="O56" s="14" t="e">
        <f t="shared" ca="1" si="21"/>
        <v>#N/A</v>
      </c>
      <c r="P56" s="14" t="e">
        <f t="shared" ca="1" si="21"/>
        <v>#N/A</v>
      </c>
      <c r="Q56" s="14" t="e">
        <f t="shared" ca="1" si="21"/>
        <v>#N/A</v>
      </c>
      <c r="R56" s="14" t="e">
        <f t="shared" ca="1" si="21"/>
        <v>#N/A</v>
      </c>
      <c r="S56" s="14" t="e">
        <f t="shared" ca="1" si="21"/>
        <v>#N/A</v>
      </c>
      <c r="T56" s="14" t="e">
        <f t="shared" ca="1" si="21"/>
        <v>#N/A</v>
      </c>
      <c r="U56" s="14" t="e">
        <f t="shared" ca="1" si="21"/>
        <v>#N/A</v>
      </c>
      <c r="V56" s="14" t="e">
        <f t="shared" ca="1" si="19"/>
        <v>#N/A</v>
      </c>
      <c r="W56" s="14" t="e">
        <f t="shared" ca="1" si="19"/>
        <v>#N/A</v>
      </c>
      <c r="X56" s="14" t="e">
        <f t="shared" ca="1" si="19"/>
        <v>#N/A</v>
      </c>
      <c r="Y56" s="14" t="e">
        <f t="shared" ca="1" si="19"/>
        <v>#N/A</v>
      </c>
      <c r="Z56" s="14" t="e">
        <f t="shared" ca="1" si="19"/>
        <v>#N/A</v>
      </c>
      <c r="AA56" s="14" t="e">
        <f t="shared" ca="1" si="19"/>
        <v>#N/A</v>
      </c>
      <c r="AB56" s="14" t="e">
        <f t="shared" ca="1" si="19"/>
        <v>#N/A</v>
      </c>
      <c r="AC56" s="14" t="e">
        <f t="shared" ca="1" si="19"/>
        <v>#N/A</v>
      </c>
      <c r="AD56" s="14" t="e">
        <f t="shared" ca="1" si="19"/>
        <v>#N/A</v>
      </c>
      <c r="AE56" s="14" t="e">
        <f t="shared" ca="1" si="19"/>
        <v>#N/A</v>
      </c>
      <c r="AF56" s="14" t="e">
        <f t="shared" ca="1" si="19"/>
        <v>#N/A</v>
      </c>
      <c r="AG56" s="14" t="e">
        <f t="shared" ca="1" si="19"/>
        <v>#N/A</v>
      </c>
      <c r="AH56" s="14" t="e">
        <f t="shared" ca="1" si="19"/>
        <v>#N/A</v>
      </c>
      <c r="AI56" s="14" t="e">
        <f t="shared" ca="1" si="19"/>
        <v>#N/A</v>
      </c>
      <c r="AJ56" s="14" t="e">
        <f t="shared" ca="1" si="19"/>
        <v>#N/A</v>
      </c>
      <c r="AK56" s="14" t="e">
        <f t="shared" ca="1" si="19"/>
        <v>#N/A</v>
      </c>
      <c r="AL56" s="14" t="e">
        <f t="shared" ca="1" si="19"/>
        <v>#N/A</v>
      </c>
      <c r="AM56" s="14" t="e">
        <f t="shared" ca="1" si="19"/>
        <v>#N/A</v>
      </c>
      <c r="AN56" s="14" t="e">
        <f t="shared" ca="1" si="19"/>
        <v>#N/A</v>
      </c>
      <c r="AO56" s="14" t="e">
        <f t="shared" ca="1" si="19"/>
        <v>#N/A</v>
      </c>
      <c r="AP56" s="14" t="e">
        <f t="shared" ca="1" si="19"/>
        <v>#N/A</v>
      </c>
      <c r="AQ56" s="14" t="e">
        <f t="shared" ca="1" si="19"/>
        <v>#N/A</v>
      </c>
      <c r="AR56" s="14" t="e">
        <f t="shared" ca="1" si="19"/>
        <v>#N/A</v>
      </c>
      <c r="AS56" s="14" t="e">
        <f t="shared" ca="1" si="19"/>
        <v>#N/A</v>
      </c>
      <c r="AT56" s="14" t="e">
        <f t="shared" ca="1" si="19"/>
        <v>#N/A</v>
      </c>
      <c r="AU56" s="14" t="e">
        <f t="shared" ca="1" si="19"/>
        <v>#N/A</v>
      </c>
      <c r="AV56" s="14" t="e">
        <f t="shared" ca="1" si="19"/>
        <v>#N/A</v>
      </c>
      <c r="AW56" s="14" t="e">
        <f t="shared" ca="1" si="19"/>
        <v>#N/A</v>
      </c>
      <c r="AX56" s="14" t="e">
        <f t="shared" ca="1" si="19"/>
        <v>#N/A</v>
      </c>
      <c r="AY56" s="14" t="e">
        <f t="shared" ca="1" si="19"/>
        <v>#N/A</v>
      </c>
      <c r="AZ56" s="14" t="e">
        <f t="shared" ca="1" si="19"/>
        <v>#N/A</v>
      </c>
      <c r="BA56" s="14" t="e">
        <f t="shared" ca="1" si="19"/>
        <v>#N/A</v>
      </c>
      <c r="BB56" s="14" t="e">
        <f t="shared" ca="1" si="19"/>
        <v>#N/A</v>
      </c>
      <c r="BC56" s="14" t="e">
        <f t="shared" ca="1" si="19"/>
        <v>#N/A</v>
      </c>
      <c r="BD56" s="14" t="e">
        <f t="shared" ca="1" si="19"/>
        <v>#N/A</v>
      </c>
      <c r="BE56" s="14" t="e">
        <f t="shared" ca="1" si="19"/>
        <v>#N/A</v>
      </c>
      <c r="BF56" s="14" t="e">
        <f t="shared" ca="1" si="19"/>
        <v>#N/A</v>
      </c>
      <c r="BG56" s="14" t="e">
        <f t="shared" ca="1" si="19"/>
        <v>#N/A</v>
      </c>
      <c r="BH56" s="14" t="e">
        <f t="shared" ca="1" si="19"/>
        <v>#N/A</v>
      </c>
      <c r="BI56" s="14" t="e">
        <f t="shared" ca="1" si="19"/>
        <v>#N/A</v>
      </c>
      <c r="BJ56" s="14" t="e">
        <f t="shared" ca="1" si="19"/>
        <v>#N/A</v>
      </c>
      <c r="BK56" s="14" t="e">
        <f t="shared" ca="1" si="19"/>
        <v>#N/A</v>
      </c>
      <c r="BL56" s="14" t="e">
        <f t="shared" ca="1" si="19"/>
        <v>#N/A</v>
      </c>
      <c r="BM56" s="14" t="e">
        <f t="shared" ca="1" si="19"/>
        <v>#N/A</v>
      </c>
      <c r="BN56" s="14" t="e">
        <f t="shared" ca="1" si="19"/>
        <v>#N/A</v>
      </c>
      <c r="BO56" s="14" t="e">
        <f t="shared" ca="1" si="19"/>
        <v>#N/A</v>
      </c>
      <c r="BP56" s="14" t="e">
        <f t="shared" ca="1" si="19"/>
        <v>#N/A</v>
      </c>
      <c r="BQ56" s="14" t="e">
        <f t="shared" ca="1" si="19"/>
        <v>#N/A</v>
      </c>
      <c r="BR56" s="14" t="e">
        <f t="shared" ca="1" si="19"/>
        <v>#N/A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0</v>
      </c>
      <c r="E57" s="6">
        <f t="shared" si="20"/>
        <v>0</v>
      </c>
      <c r="F57" s="14" t="e">
        <f t="shared" ca="1" si="21"/>
        <v>#N/A</v>
      </c>
      <c r="G57" s="14" t="e">
        <f t="shared" ca="1" si="19"/>
        <v>#N/A</v>
      </c>
      <c r="H57" s="14" t="e">
        <f t="shared" ca="1" si="19"/>
        <v>#N/A</v>
      </c>
      <c r="I57" s="14" t="e">
        <f t="shared" ca="1" si="19"/>
        <v>#N/A</v>
      </c>
      <c r="J57" s="14" t="e">
        <f t="shared" ca="1" si="19"/>
        <v>#N/A</v>
      </c>
      <c r="K57" s="14" t="e">
        <f t="shared" ca="1" si="19"/>
        <v>#N/A</v>
      </c>
      <c r="L57" s="14" t="e">
        <f t="shared" ca="1" si="19"/>
        <v>#N/A</v>
      </c>
      <c r="M57" s="14" t="e">
        <f t="shared" ca="1" si="19"/>
        <v>#N/A</v>
      </c>
      <c r="N57" s="14" t="e">
        <f t="shared" ca="1" si="19"/>
        <v>#N/A</v>
      </c>
      <c r="O57" s="14" t="e">
        <f t="shared" ca="1" si="19"/>
        <v>#N/A</v>
      </c>
      <c r="P57" s="14" t="e">
        <f t="shared" ca="1" si="19"/>
        <v>#N/A</v>
      </c>
      <c r="Q57" s="14" t="e">
        <f t="shared" ca="1" si="19"/>
        <v>#N/A</v>
      </c>
      <c r="R57" s="14" t="e">
        <f t="shared" ca="1" si="19"/>
        <v>#N/A</v>
      </c>
      <c r="S57" s="14" t="e">
        <f t="shared" ca="1" si="19"/>
        <v>#N/A</v>
      </c>
      <c r="T57" s="14" t="e">
        <f t="shared" ca="1" si="19"/>
        <v>#N/A</v>
      </c>
      <c r="U57" s="14" t="e">
        <f t="shared" ca="1" si="19"/>
        <v>#N/A</v>
      </c>
      <c r="V57" s="14" t="e">
        <f t="shared" ca="1" si="19"/>
        <v>#N/A</v>
      </c>
      <c r="W57" s="14" t="e">
        <f t="shared" ca="1" si="19"/>
        <v>#N/A</v>
      </c>
      <c r="X57" s="14" t="e">
        <f t="shared" ca="1" si="19"/>
        <v>#N/A</v>
      </c>
      <c r="Y57" s="14" t="e">
        <f t="shared" ca="1" si="19"/>
        <v>#N/A</v>
      </c>
      <c r="Z57" s="14" t="e">
        <f t="shared" ca="1" si="19"/>
        <v>#N/A</v>
      </c>
      <c r="AA57" s="14" t="e">
        <f t="shared" ca="1" si="19"/>
        <v>#N/A</v>
      </c>
      <c r="AB57" s="14" t="e">
        <f t="shared" ca="1" si="19"/>
        <v>#N/A</v>
      </c>
      <c r="AC57" s="14" t="e">
        <f t="shared" ca="1" si="19"/>
        <v>#N/A</v>
      </c>
      <c r="AD57" s="14" t="e">
        <f t="shared" ca="1" si="19"/>
        <v>#N/A</v>
      </c>
      <c r="AE57" s="14" t="e">
        <f t="shared" ca="1" si="19"/>
        <v>#N/A</v>
      </c>
      <c r="AF57" s="14" t="e">
        <f t="shared" ca="1" si="19"/>
        <v>#N/A</v>
      </c>
      <c r="AG57" s="14" t="e">
        <f t="shared" ca="1" si="19"/>
        <v>#N/A</v>
      </c>
      <c r="AH57" s="14" t="e">
        <f t="shared" ca="1" si="19"/>
        <v>#N/A</v>
      </c>
      <c r="AI57" s="14" t="e">
        <f t="shared" ca="1" si="19"/>
        <v>#N/A</v>
      </c>
      <c r="AJ57" s="14" t="e">
        <f t="shared" ca="1" si="19"/>
        <v>#N/A</v>
      </c>
      <c r="AK57" s="14" t="e">
        <f t="shared" ca="1" si="19"/>
        <v>#N/A</v>
      </c>
      <c r="AL57" s="14" t="e">
        <f t="shared" ca="1" si="19"/>
        <v>#N/A</v>
      </c>
      <c r="AM57" s="14" t="e">
        <f t="shared" ca="1" si="19"/>
        <v>#N/A</v>
      </c>
      <c r="AN57" s="14" t="e">
        <f t="shared" ca="1" si="19"/>
        <v>#N/A</v>
      </c>
      <c r="AO57" s="14" t="e">
        <f t="shared" ca="1" si="19"/>
        <v>#N/A</v>
      </c>
      <c r="AP57" s="14" t="e">
        <f t="shared" ca="1" si="19"/>
        <v>#N/A</v>
      </c>
      <c r="AQ57" s="14" t="e">
        <f t="shared" ca="1" si="19"/>
        <v>#N/A</v>
      </c>
      <c r="AR57" s="14" t="e">
        <f t="shared" ca="1" si="19"/>
        <v>#N/A</v>
      </c>
      <c r="AS57" s="14" t="e">
        <f t="shared" ca="1" si="19"/>
        <v>#N/A</v>
      </c>
      <c r="AT57" s="14" t="e">
        <f t="shared" ca="1" si="19"/>
        <v>#N/A</v>
      </c>
      <c r="AU57" s="14" t="e">
        <f t="shared" ca="1" si="19"/>
        <v>#N/A</v>
      </c>
      <c r="AV57" s="14" t="e">
        <f t="shared" ca="1" si="19"/>
        <v>#N/A</v>
      </c>
      <c r="AW57" s="14" t="e">
        <f t="shared" ca="1" si="19"/>
        <v>#N/A</v>
      </c>
      <c r="AX57" s="14" t="e">
        <f t="shared" ca="1" si="19"/>
        <v>#N/A</v>
      </c>
      <c r="AY57" s="14" t="e">
        <f t="shared" ca="1" si="19"/>
        <v>#N/A</v>
      </c>
      <c r="AZ57" s="14" t="e">
        <f t="shared" ca="1" si="19"/>
        <v>#N/A</v>
      </c>
      <c r="BA57" s="14" t="e">
        <f t="shared" ca="1" si="19"/>
        <v>#N/A</v>
      </c>
      <c r="BB57" s="14" t="e">
        <f t="shared" ca="1" si="19"/>
        <v>#N/A</v>
      </c>
      <c r="BC57" s="14" t="e">
        <f t="shared" ca="1" si="19"/>
        <v>#N/A</v>
      </c>
      <c r="BD57" s="14" t="e">
        <f t="shared" ca="1" si="19"/>
        <v>#N/A</v>
      </c>
      <c r="BE57" s="14" t="e">
        <f t="shared" ca="1" si="19"/>
        <v>#N/A</v>
      </c>
      <c r="BF57" s="14" t="e">
        <f t="shared" ca="1" si="19"/>
        <v>#N/A</v>
      </c>
      <c r="BG57" s="14" t="e">
        <f t="shared" ca="1" si="19"/>
        <v>#N/A</v>
      </c>
      <c r="BH57" s="14" t="e">
        <f t="shared" ca="1" si="19"/>
        <v>#N/A</v>
      </c>
      <c r="BI57" s="14" t="e">
        <f t="shared" ca="1" si="19"/>
        <v>#N/A</v>
      </c>
      <c r="BJ57" s="14" t="e">
        <f t="shared" ca="1" si="19"/>
        <v>#N/A</v>
      </c>
      <c r="BK57" s="14" t="e">
        <f t="shared" ca="1" si="19"/>
        <v>#N/A</v>
      </c>
      <c r="BL57" s="14" t="e">
        <f t="shared" ca="1" si="19"/>
        <v>#N/A</v>
      </c>
      <c r="BM57" s="14" t="e">
        <f t="shared" ca="1" si="19"/>
        <v>#N/A</v>
      </c>
      <c r="BN57" s="14" t="e">
        <f t="shared" ca="1" si="19"/>
        <v>#N/A</v>
      </c>
      <c r="BO57" s="14" t="e">
        <f t="shared" ca="1" si="19"/>
        <v>#N/A</v>
      </c>
      <c r="BP57" s="14" t="e">
        <f t="shared" ca="1" si="19"/>
        <v>#N/A</v>
      </c>
      <c r="BQ57" s="14" t="e">
        <f t="shared" ca="1" si="19"/>
        <v>#N/A</v>
      </c>
      <c r="BR57" s="14" t="e">
        <f t="shared" ca="1" si="19"/>
        <v>#N/A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0</v>
      </c>
      <c r="C58" s="5">
        <f t="shared" si="20"/>
        <v>0</v>
      </c>
      <c r="D58" s="5">
        <f t="shared" si="20"/>
        <v>0</v>
      </c>
      <c r="E58" s="6">
        <f t="shared" si="20"/>
        <v>0</v>
      </c>
      <c r="F58" s="14" t="e">
        <f t="shared" ca="1" si="21"/>
        <v>#N/A</v>
      </c>
      <c r="G58" s="14" t="e">
        <f t="shared" ca="1" si="19"/>
        <v>#N/A</v>
      </c>
      <c r="H58" s="14" t="e">
        <f t="shared" ca="1" si="19"/>
        <v>#N/A</v>
      </c>
      <c r="I58" s="14" t="e">
        <f t="shared" ca="1" si="19"/>
        <v>#N/A</v>
      </c>
      <c r="J58" s="14" t="e">
        <f t="shared" ca="1" si="19"/>
        <v>#N/A</v>
      </c>
      <c r="K58" s="14" t="e">
        <f t="shared" ca="1" si="19"/>
        <v>#N/A</v>
      </c>
      <c r="L58" s="14" t="e">
        <f t="shared" ca="1" si="19"/>
        <v>#N/A</v>
      </c>
      <c r="M58" s="14" t="e">
        <f t="shared" ca="1" si="19"/>
        <v>#N/A</v>
      </c>
      <c r="N58" s="14" t="e">
        <f t="shared" ca="1" si="19"/>
        <v>#N/A</v>
      </c>
      <c r="O58" s="14" t="e">
        <f t="shared" ca="1" si="19"/>
        <v>#N/A</v>
      </c>
      <c r="P58" s="14" t="e">
        <f t="shared" ca="1" si="19"/>
        <v>#N/A</v>
      </c>
      <c r="Q58" s="14" t="e">
        <f t="shared" ca="1" si="19"/>
        <v>#N/A</v>
      </c>
      <c r="R58" s="14" t="e">
        <f t="shared" ca="1" si="19"/>
        <v>#N/A</v>
      </c>
      <c r="S58" s="14" t="e">
        <f t="shared" ca="1" si="19"/>
        <v>#N/A</v>
      </c>
      <c r="T58" s="14" t="e">
        <f t="shared" ca="1" si="19"/>
        <v>#N/A</v>
      </c>
      <c r="U58" s="14" t="e">
        <f t="shared" ca="1" si="19"/>
        <v>#N/A</v>
      </c>
      <c r="V58" s="14" t="e">
        <f t="shared" ca="1" si="19"/>
        <v>#N/A</v>
      </c>
      <c r="W58" s="14" t="e">
        <f t="shared" ca="1" si="19"/>
        <v>#N/A</v>
      </c>
      <c r="X58" s="14" t="e">
        <f t="shared" ca="1" si="19"/>
        <v>#N/A</v>
      </c>
      <c r="Y58" s="14" t="e">
        <f t="shared" ca="1" si="19"/>
        <v>#N/A</v>
      </c>
      <c r="Z58" s="14" t="e">
        <f t="shared" ca="1" si="19"/>
        <v>#N/A</v>
      </c>
      <c r="AA58" s="14" t="e">
        <f t="shared" ca="1" si="19"/>
        <v>#N/A</v>
      </c>
      <c r="AB58" s="14" t="e">
        <f t="shared" ca="1" si="19"/>
        <v>#N/A</v>
      </c>
      <c r="AC58" s="14" t="e">
        <f t="shared" ca="1" si="19"/>
        <v>#N/A</v>
      </c>
      <c r="AD58" s="14" t="e">
        <f t="shared" ca="1" si="19"/>
        <v>#N/A</v>
      </c>
      <c r="AE58" s="14" t="e">
        <f t="shared" ca="1" si="19"/>
        <v>#N/A</v>
      </c>
      <c r="AF58" s="14" t="e">
        <f t="shared" ca="1" si="19"/>
        <v>#N/A</v>
      </c>
      <c r="AG58" s="14" t="e">
        <f t="shared" ca="1" si="19"/>
        <v>#N/A</v>
      </c>
      <c r="AH58" s="14" t="e">
        <f t="shared" ref="G58:BR62" ca="1" si="22">$A58*H.Ar + $B58*H.Se + $C58*H.Ge + $D58*H.Ga</f>
        <v>#N/A</v>
      </c>
      <c r="AI58" s="14" t="e">
        <f t="shared" ca="1" si="22"/>
        <v>#N/A</v>
      </c>
      <c r="AJ58" s="14" t="e">
        <f t="shared" ca="1" si="22"/>
        <v>#N/A</v>
      </c>
      <c r="AK58" s="14" t="e">
        <f t="shared" ca="1" si="22"/>
        <v>#N/A</v>
      </c>
      <c r="AL58" s="14" t="e">
        <f t="shared" ca="1" si="22"/>
        <v>#N/A</v>
      </c>
      <c r="AM58" s="14" t="e">
        <f t="shared" ca="1" si="22"/>
        <v>#N/A</v>
      </c>
      <c r="AN58" s="14" t="e">
        <f t="shared" ca="1" si="22"/>
        <v>#N/A</v>
      </c>
      <c r="AO58" s="14" t="e">
        <f t="shared" ca="1" si="22"/>
        <v>#N/A</v>
      </c>
      <c r="AP58" s="14" t="e">
        <f t="shared" ca="1" si="22"/>
        <v>#N/A</v>
      </c>
      <c r="AQ58" s="14" t="e">
        <f t="shared" ca="1" si="22"/>
        <v>#N/A</v>
      </c>
      <c r="AR58" s="14" t="e">
        <f t="shared" ca="1" si="22"/>
        <v>#N/A</v>
      </c>
      <c r="AS58" s="14" t="e">
        <f t="shared" ca="1" si="22"/>
        <v>#N/A</v>
      </c>
      <c r="AT58" s="14" t="e">
        <f t="shared" ca="1" si="22"/>
        <v>#N/A</v>
      </c>
      <c r="AU58" s="14" t="e">
        <f t="shared" ca="1" si="22"/>
        <v>#N/A</v>
      </c>
      <c r="AV58" s="14" t="e">
        <f t="shared" ca="1" si="22"/>
        <v>#N/A</v>
      </c>
      <c r="AW58" s="14" t="e">
        <f t="shared" ca="1" si="22"/>
        <v>#N/A</v>
      </c>
      <c r="AX58" s="14" t="e">
        <f t="shared" ca="1" si="22"/>
        <v>#N/A</v>
      </c>
      <c r="AY58" s="14" t="e">
        <f t="shared" ca="1" si="22"/>
        <v>#N/A</v>
      </c>
      <c r="AZ58" s="14" t="e">
        <f t="shared" ca="1" si="22"/>
        <v>#N/A</v>
      </c>
      <c r="BA58" s="14" t="e">
        <f t="shared" ca="1" si="22"/>
        <v>#N/A</v>
      </c>
      <c r="BB58" s="14" t="e">
        <f t="shared" ca="1" si="22"/>
        <v>#N/A</v>
      </c>
      <c r="BC58" s="14" t="e">
        <f t="shared" ca="1" si="22"/>
        <v>#N/A</v>
      </c>
      <c r="BD58" s="14" t="e">
        <f t="shared" ca="1" si="22"/>
        <v>#N/A</v>
      </c>
      <c r="BE58" s="14" t="e">
        <f t="shared" ca="1" si="22"/>
        <v>#N/A</v>
      </c>
      <c r="BF58" s="14" t="e">
        <f t="shared" ca="1" si="22"/>
        <v>#N/A</v>
      </c>
      <c r="BG58" s="14" t="e">
        <f t="shared" ca="1" si="22"/>
        <v>#N/A</v>
      </c>
      <c r="BH58" s="14" t="e">
        <f t="shared" ca="1" si="22"/>
        <v>#N/A</v>
      </c>
      <c r="BI58" s="14" t="e">
        <f t="shared" ca="1" si="22"/>
        <v>#N/A</v>
      </c>
      <c r="BJ58" s="14" t="e">
        <f t="shared" ca="1" si="22"/>
        <v>#N/A</v>
      </c>
      <c r="BK58" s="14" t="e">
        <f t="shared" ca="1" si="22"/>
        <v>#N/A</v>
      </c>
      <c r="BL58" s="14" t="e">
        <f t="shared" ca="1" si="22"/>
        <v>#N/A</v>
      </c>
      <c r="BM58" s="14" t="e">
        <f t="shared" ca="1" si="22"/>
        <v>#N/A</v>
      </c>
      <c r="BN58" s="14" t="e">
        <f t="shared" ca="1" si="22"/>
        <v>#N/A</v>
      </c>
      <c r="BO58" s="14" t="e">
        <f t="shared" ca="1" si="22"/>
        <v>#N/A</v>
      </c>
      <c r="BP58" s="14" t="e">
        <f t="shared" ca="1" si="22"/>
        <v>#N/A</v>
      </c>
      <c r="BQ58" s="14" t="e">
        <f t="shared" ca="1" si="22"/>
        <v>#N/A</v>
      </c>
      <c r="BR58" s="14" t="e">
        <f t="shared" ca="1" si="22"/>
        <v>#N/A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0</v>
      </c>
      <c r="C59" s="5">
        <f t="shared" si="20"/>
        <v>0</v>
      </c>
      <c r="D59" s="5">
        <f t="shared" si="20"/>
        <v>0</v>
      </c>
      <c r="E59" s="6">
        <f t="shared" si="20"/>
        <v>0</v>
      </c>
      <c r="F59" s="14" t="e">
        <f t="shared" ca="1" si="21"/>
        <v>#N/A</v>
      </c>
      <c r="G59" s="14" t="e">
        <f t="shared" ca="1" si="22"/>
        <v>#N/A</v>
      </c>
      <c r="H59" s="14" t="e">
        <f t="shared" ca="1" si="22"/>
        <v>#N/A</v>
      </c>
      <c r="I59" s="14" t="e">
        <f t="shared" ca="1" si="22"/>
        <v>#N/A</v>
      </c>
      <c r="J59" s="14" t="e">
        <f t="shared" ca="1" si="22"/>
        <v>#N/A</v>
      </c>
      <c r="K59" s="14" t="e">
        <f t="shared" ca="1" si="22"/>
        <v>#N/A</v>
      </c>
      <c r="L59" s="14" t="e">
        <f t="shared" ca="1" si="22"/>
        <v>#N/A</v>
      </c>
      <c r="M59" s="14" t="e">
        <f t="shared" ca="1" si="22"/>
        <v>#N/A</v>
      </c>
      <c r="N59" s="14" t="e">
        <f t="shared" ca="1" si="22"/>
        <v>#N/A</v>
      </c>
      <c r="O59" s="14" t="e">
        <f t="shared" ca="1" si="22"/>
        <v>#N/A</v>
      </c>
      <c r="P59" s="14" t="e">
        <f t="shared" ca="1" si="22"/>
        <v>#N/A</v>
      </c>
      <c r="Q59" s="14" t="e">
        <f t="shared" ca="1" si="22"/>
        <v>#N/A</v>
      </c>
      <c r="R59" s="14" t="e">
        <f t="shared" ca="1" si="22"/>
        <v>#N/A</v>
      </c>
      <c r="S59" s="14" t="e">
        <f t="shared" ca="1" si="22"/>
        <v>#N/A</v>
      </c>
      <c r="T59" s="14" t="e">
        <f t="shared" ca="1" si="22"/>
        <v>#N/A</v>
      </c>
      <c r="U59" s="14" t="e">
        <f t="shared" ca="1" si="22"/>
        <v>#N/A</v>
      </c>
      <c r="V59" s="14" t="e">
        <f t="shared" ca="1" si="22"/>
        <v>#N/A</v>
      </c>
      <c r="W59" s="14" t="e">
        <f t="shared" ca="1" si="22"/>
        <v>#N/A</v>
      </c>
      <c r="X59" s="14" t="e">
        <f t="shared" ca="1" si="22"/>
        <v>#N/A</v>
      </c>
      <c r="Y59" s="14" t="e">
        <f t="shared" ca="1" si="22"/>
        <v>#N/A</v>
      </c>
      <c r="Z59" s="14" t="e">
        <f t="shared" ca="1" si="22"/>
        <v>#N/A</v>
      </c>
      <c r="AA59" s="14" t="e">
        <f t="shared" ca="1" si="22"/>
        <v>#N/A</v>
      </c>
      <c r="AB59" s="14" t="e">
        <f t="shared" ca="1" si="22"/>
        <v>#N/A</v>
      </c>
      <c r="AC59" s="14" t="e">
        <f t="shared" ca="1" si="22"/>
        <v>#N/A</v>
      </c>
      <c r="AD59" s="14" t="e">
        <f t="shared" ca="1" si="22"/>
        <v>#N/A</v>
      </c>
      <c r="AE59" s="14" t="e">
        <f t="shared" ca="1" si="22"/>
        <v>#N/A</v>
      </c>
      <c r="AF59" s="14" t="e">
        <f t="shared" ca="1" si="22"/>
        <v>#N/A</v>
      </c>
      <c r="AG59" s="14" t="e">
        <f t="shared" ca="1" si="22"/>
        <v>#N/A</v>
      </c>
      <c r="AH59" s="14" t="e">
        <f t="shared" ca="1" si="22"/>
        <v>#N/A</v>
      </c>
      <c r="AI59" s="14" t="e">
        <f t="shared" ca="1" si="22"/>
        <v>#N/A</v>
      </c>
      <c r="AJ59" s="14" t="e">
        <f t="shared" ca="1" si="22"/>
        <v>#N/A</v>
      </c>
      <c r="AK59" s="14" t="e">
        <f t="shared" ca="1" si="22"/>
        <v>#N/A</v>
      </c>
      <c r="AL59" s="14" t="e">
        <f t="shared" ca="1" si="22"/>
        <v>#N/A</v>
      </c>
      <c r="AM59" s="14" t="e">
        <f t="shared" ca="1" si="22"/>
        <v>#N/A</v>
      </c>
      <c r="AN59" s="14" t="e">
        <f t="shared" ca="1" si="22"/>
        <v>#N/A</v>
      </c>
      <c r="AO59" s="14" t="e">
        <f t="shared" ca="1" si="22"/>
        <v>#N/A</v>
      </c>
      <c r="AP59" s="14" t="e">
        <f t="shared" ca="1" si="22"/>
        <v>#N/A</v>
      </c>
      <c r="AQ59" s="14" t="e">
        <f t="shared" ca="1" si="22"/>
        <v>#N/A</v>
      </c>
      <c r="AR59" s="14" t="e">
        <f t="shared" ca="1" si="22"/>
        <v>#N/A</v>
      </c>
      <c r="AS59" s="14" t="e">
        <f t="shared" ca="1" si="22"/>
        <v>#N/A</v>
      </c>
      <c r="AT59" s="14" t="e">
        <f t="shared" ca="1" si="22"/>
        <v>#N/A</v>
      </c>
      <c r="AU59" s="14" t="e">
        <f t="shared" ca="1" si="22"/>
        <v>#N/A</v>
      </c>
      <c r="AV59" s="14" t="e">
        <f t="shared" ca="1" si="22"/>
        <v>#N/A</v>
      </c>
      <c r="AW59" s="14" t="e">
        <f t="shared" ca="1" si="22"/>
        <v>#N/A</v>
      </c>
      <c r="AX59" s="14" t="e">
        <f t="shared" ca="1" si="22"/>
        <v>#N/A</v>
      </c>
      <c r="AY59" s="14" t="e">
        <f t="shared" ca="1" si="22"/>
        <v>#N/A</v>
      </c>
      <c r="AZ59" s="14" t="e">
        <f t="shared" ca="1" si="22"/>
        <v>#N/A</v>
      </c>
      <c r="BA59" s="14" t="e">
        <f t="shared" ca="1" si="22"/>
        <v>#N/A</v>
      </c>
      <c r="BB59" s="14" t="e">
        <f t="shared" ca="1" si="22"/>
        <v>#N/A</v>
      </c>
      <c r="BC59" s="14" t="e">
        <f t="shared" ca="1" si="22"/>
        <v>#N/A</v>
      </c>
      <c r="BD59" s="14" t="e">
        <f t="shared" ca="1" si="22"/>
        <v>#N/A</v>
      </c>
      <c r="BE59" s="14" t="e">
        <f t="shared" ca="1" si="22"/>
        <v>#N/A</v>
      </c>
      <c r="BF59" s="14" t="e">
        <f t="shared" ca="1" si="22"/>
        <v>#N/A</v>
      </c>
      <c r="BG59" s="14" t="e">
        <f t="shared" ca="1" si="22"/>
        <v>#N/A</v>
      </c>
      <c r="BH59" s="14" t="e">
        <f t="shared" ca="1" si="22"/>
        <v>#N/A</v>
      </c>
      <c r="BI59" s="14" t="e">
        <f t="shared" ca="1" si="22"/>
        <v>#N/A</v>
      </c>
      <c r="BJ59" s="14" t="e">
        <f t="shared" ca="1" si="22"/>
        <v>#N/A</v>
      </c>
      <c r="BK59" s="14" t="e">
        <f t="shared" ca="1" si="22"/>
        <v>#N/A</v>
      </c>
      <c r="BL59" s="14" t="e">
        <f t="shared" ca="1" si="22"/>
        <v>#N/A</v>
      </c>
      <c r="BM59" s="14" t="e">
        <f t="shared" ca="1" si="22"/>
        <v>#N/A</v>
      </c>
      <c r="BN59" s="14" t="e">
        <f t="shared" ca="1" si="22"/>
        <v>#N/A</v>
      </c>
      <c r="BO59" s="14" t="e">
        <f t="shared" ca="1" si="22"/>
        <v>#N/A</v>
      </c>
      <c r="BP59" s="14" t="e">
        <f t="shared" ca="1" si="22"/>
        <v>#N/A</v>
      </c>
      <c r="BQ59" s="14" t="e">
        <f t="shared" ca="1" si="22"/>
        <v>#N/A</v>
      </c>
      <c r="BR59" s="14" t="e">
        <f t="shared" ca="1" si="22"/>
        <v>#N/A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0</v>
      </c>
      <c r="D60" s="5">
        <f t="shared" si="20"/>
        <v>0</v>
      </c>
      <c r="E60" s="6">
        <f t="shared" si="20"/>
        <v>0</v>
      </c>
      <c r="F60" s="14" t="e">
        <f t="shared" ca="1" si="21"/>
        <v>#N/A</v>
      </c>
      <c r="G60" s="14" t="e">
        <f t="shared" ca="1" si="22"/>
        <v>#N/A</v>
      </c>
      <c r="H60" s="14" t="e">
        <f t="shared" ca="1" si="22"/>
        <v>#N/A</v>
      </c>
      <c r="I60" s="14" t="e">
        <f t="shared" ca="1" si="22"/>
        <v>#N/A</v>
      </c>
      <c r="J60" s="14" t="e">
        <f t="shared" ca="1" si="22"/>
        <v>#N/A</v>
      </c>
      <c r="K60" s="14" t="e">
        <f t="shared" ca="1" si="22"/>
        <v>#N/A</v>
      </c>
      <c r="L60" s="14" t="e">
        <f t="shared" ca="1" si="22"/>
        <v>#N/A</v>
      </c>
      <c r="M60" s="14" t="e">
        <f t="shared" ca="1" si="22"/>
        <v>#N/A</v>
      </c>
      <c r="N60" s="14" t="e">
        <f t="shared" ca="1" si="22"/>
        <v>#N/A</v>
      </c>
      <c r="O60" s="14" t="e">
        <f t="shared" ca="1" si="22"/>
        <v>#N/A</v>
      </c>
      <c r="P60" s="14" t="e">
        <f t="shared" ca="1" si="22"/>
        <v>#N/A</v>
      </c>
      <c r="Q60" s="14" t="e">
        <f t="shared" ca="1" si="22"/>
        <v>#N/A</v>
      </c>
      <c r="R60" s="14" t="e">
        <f t="shared" ca="1" si="22"/>
        <v>#N/A</v>
      </c>
      <c r="S60" s="14" t="e">
        <f t="shared" ca="1" si="22"/>
        <v>#N/A</v>
      </c>
      <c r="T60" s="14" t="e">
        <f t="shared" ca="1" si="22"/>
        <v>#N/A</v>
      </c>
      <c r="U60" s="14" t="e">
        <f t="shared" ca="1" si="22"/>
        <v>#N/A</v>
      </c>
      <c r="V60" s="14" t="e">
        <f t="shared" ca="1" si="22"/>
        <v>#N/A</v>
      </c>
      <c r="W60" s="14" t="e">
        <f t="shared" ca="1" si="22"/>
        <v>#N/A</v>
      </c>
      <c r="X60" s="14" t="e">
        <f t="shared" ca="1" si="22"/>
        <v>#N/A</v>
      </c>
      <c r="Y60" s="14" t="e">
        <f t="shared" ca="1" si="22"/>
        <v>#N/A</v>
      </c>
      <c r="Z60" s="14" t="e">
        <f t="shared" ca="1" si="22"/>
        <v>#N/A</v>
      </c>
      <c r="AA60" s="14" t="e">
        <f t="shared" ca="1" si="22"/>
        <v>#N/A</v>
      </c>
      <c r="AB60" s="14" t="e">
        <f t="shared" ca="1" si="22"/>
        <v>#N/A</v>
      </c>
      <c r="AC60" s="14" t="e">
        <f t="shared" ca="1" si="22"/>
        <v>#N/A</v>
      </c>
      <c r="AD60" s="14" t="e">
        <f t="shared" ca="1" si="22"/>
        <v>#N/A</v>
      </c>
      <c r="AE60" s="14" t="e">
        <f t="shared" ca="1" si="22"/>
        <v>#N/A</v>
      </c>
      <c r="AF60" s="14" t="e">
        <f t="shared" ca="1" si="22"/>
        <v>#N/A</v>
      </c>
      <c r="AG60" s="14" t="e">
        <f t="shared" ca="1" si="22"/>
        <v>#N/A</v>
      </c>
      <c r="AH60" s="14" t="e">
        <f t="shared" ca="1" si="22"/>
        <v>#N/A</v>
      </c>
      <c r="AI60" s="14" t="e">
        <f t="shared" ca="1" si="22"/>
        <v>#N/A</v>
      </c>
      <c r="AJ60" s="14" t="e">
        <f t="shared" ca="1" si="22"/>
        <v>#N/A</v>
      </c>
      <c r="AK60" s="14" t="e">
        <f t="shared" ca="1" si="22"/>
        <v>#N/A</v>
      </c>
      <c r="AL60" s="14" t="e">
        <f t="shared" ca="1" si="22"/>
        <v>#N/A</v>
      </c>
      <c r="AM60" s="14" t="e">
        <f t="shared" ca="1" si="22"/>
        <v>#N/A</v>
      </c>
      <c r="AN60" s="14" t="e">
        <f t="shared" ca="1" si="22"/>
        <v>#N/A</v>
      </c>
      <c r="AO60" s="14" t="e">
        <f t="shared" ca="1" si="22"/>
        <v>#N/A</v>
      </c>
      <c r="AP60" s="14" t="e">
        <f t="shared" ca="1" si="22"/>
        <v>#N/A</v>
      </c>
      <c r="AQ60" s="14" t="e">
        <f t="shared" ca="1" si="22"/>
        <v>#N/A</v>
      </c>
      <c r="AR60" s="14" t="e">
        <f t="shared" ca="1" si="22"/>
        <v>#N/A</v>
      </c>
      <c r="AS60" s="14" t="e">
        <f t="shared" ca="1" si="22"/>
        <v>#N/A</v>
      </c>
      <c r="AT60" s="14" t="e">
        <f t="shared" ca="1" si="22"/>
        <v>#N/A</v>
      </c>
      <c r="AU60" s="14" t="e">
        <f t="shared" ca="1" si="22"/>
        <v>#N/A</v>
      </c>
      <c r="AV60" s="14" t="e">
        <f t="shared" ca="1" si="22"/>
        <v>#N/A</v>
      </c>
      <c r="AW60" s="14" t="e">
        <f t="shared" ca="1" si="22"/>
        <v>#N/A</v>
      </c>
      <c r="AX60" s="14" t="e">
        <f t="shared" ca="1" si="22"/>
        <v>#N/A</v>
      </c>
      <c r="AY60" s="14" t="e">
        <f t="shared" ca="1" si="22"/>
        <v>#N/A</v>
      </c>
      <c r="AZ60" s="14" t="e">
        <f t="shared" ca="1" si="22"/>
        <v>#N/A</v>
      </c>
      <c r="BA60" s="14" t="e">
        <f t="shared" ca="1" si="22"/>
        <v>#N/A</v>
      </c>
      <c r="BB60" s="14" t="e">
        <f t="shared" ca="1" si="22"/>
        <v>#N/A</v>
      </c>
      <c r="BC60" s="14" t="e">
        <f t="shared" ca="1" si="22"/>
        <v>#N/A</v>
      </c>
      <c r="BD60" s="14" t="e">
        <f t="shared" ca="1" si="22"/>
        <v>#N/A</v>
      </c>
      <c r="BE60" s="14" t="e">
        <f t="shared" ca="1" si="22"/>
        <v>#N/A</v>
      </c>
      <c r="BF60" s="14" t="e">
        <f t="shared" ca="1" si="22"/>
        <v>#N/A</v>
      </c>
      <c r="BG60" s="14" t="e">
        <f t="shared" ca="1" si="22"/>
        <v>#N/A</v>
      </c>
      <c r="BH60" s="14" t="e">
        <f t="shared" ca="1" si="22"/>
        <v>#N/A</v>
      </c>
      <c r="BI60" s="14" t="e">
        <f t="shared" ca="1" si="22"/>
        <v>#N/A</v>
      </c>
      <c r="BJ60" s="14" t="e">
        <f t="shared" ca="1" si="22"/>
        <v>#N/A</v>
      </c>
      <c r="BK60" s="14" t="e">
        <f t="shared" ca="1" si="22"/>
        <v>#N/A</v>
      </c>
      <c r="BL60" s="14" t="e">
        <f t="shared" ca="1" si="22"/>
        <v>#N/A</v>
      </c>
      <c r="BM60" s="14" t="e">
        <f t="shared" ca="1" si="22"/>
        <v>#N/A</v>
      </c>
      <c r="BN60" s="14" t="e">
        <f t="shared" ca="1" si="22"/>
        <v>#N/A</v>
      </c>
      <c r="BO60" s="14" t="e">
        <f t="shared" ca="1" si="22"/>
        <v>#N/A</v>
      </c>
      <c r="BP60" s="14" t="e">
        <f t="shared" ca="1" si="22"/>
        <v>#N/A</v>
      </c>
      <c r="BQ60" s="14" t="e">
        <f t="shared" ca="1" si="22"/>
        <v>#N/A</v>
      </c>
      <c r="BR60" s="14" t="e">
        <f t="shared" ca="1" si="22"/>
        <v>#N/A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0</v>
      </c>
      <c r="C61" s="5">
        <f t="shared" si="20"/>
        <v>0</v>
      </c>
      <c r="D61" s="5">
        <f t="shared" si="20"/>
        <v>0</v>
      </c>
      <c r="E61" s="6">
        <f t="shared" si="20"/>
        <v>0</v>
      </c>
      <c r="F61" s="14" t="e">
        <f t="shared" ca="1" si="21"/>
        <v>#N/A</v>
      </c>
      <c r="G61" s="14" t="e">
        <f t="shared" ca="1" si="22"/>
        <v>#N/A</v>
      </c>
      <c r="H61" s="14" t="e">
        <f t="shared" ca="1" si="22"/>
        <v>#N/A</v>
      </c>
      <c r="I61" s="14" t="e">
        <f t="shared" ca="1" si="22"/>
        <v>#N/A</v>
      </c>
      <c r="J61" s="14" t="e">
        <f t="shared" ca="1" si="22"/>
        <v>#N/A</v>
      </c>
      <c r="K61" s="14" t="e">
        <f t="shared" ca="1" si="22"/>
        <v>#N/A</v>
      </c>
      <c r="L61" s="14" t="e">
        <f t="shared" ca="1" si="22"/>
        <v>#N/A</v>
      </c>
      <c r="M61" s="14" t="e">
        <f t="shared" ca="1" si="22"/>
        <v>#N/A</v>
      </c>
      <c r="N61" s="14" t="e">
        <f t="shared" ca="1" si="22"/>
        <v>#N/A</v>
      </c>
      <c r="O61" s="14" t="e">
        <f t="shared" ca="1" si="22"/>
        <v>#N/A</v>
      </c>
      <c r="P61" s="14" t="e">
        <f t="shared" ca="1" si="22"/>
        <v>#N/A</v>
      </c>
      <c r="Q61" s="14" t="e">
        <f t="shared" ca="1" si="22"/>
        <v>#N/A</v>
      </c>
      <c r="R61" s="14" t="e">
        <f t="shared" ca="1" si="22"/>
        <v>#N/A</v>
      </c>
      <c r="S61" s="14" t="e">
        <f t="shared" ca="1" si="22"/>
        <v>#N/A</v>
      </c>
      <c r="T61" s="14" t="e">
        <f t="shared" ca="1" si="22"/>
        <v>#N/A</v>
      </c>
      <c r="U61" s="14" t="e">
        <f t="shared" ca="1" si="22"/>
        <v>#N/A</v>
      </c>
      <c r="V61" s="14" t="e">
        <f t="shared" ca="1" si="22"/>
        <v>#N/A</v>
      </c>
      <c r="W61" s="14" t="e">
        <f t="shared" ca="1" si="22"/>
        <v>#N/A</v>
      </c>
      <c r="X61" s="14" t="e">
        <f t="shared" ca="1" si="22"/>
        <v>#N/A</v>
      </c>
      <c r="Y61" s="14" t="e">
        <f t="shared" ca="1" si="22"/>
        <v>#N/A</v>
      </c>
      <c r="Z61" s="14" t="e">
        <f t="shared" ca="1" si="22"/>
        <v>#N/A</v>
      </c>
      <c r="AA61" s="14" t="e">
        <f t="shared" ca="1" si="22"/>
        <v>#N/A</v>
      </c>
      <c r="AB61" s="14" t="e">
        <f t="shared" ca="1" si="22"/>
        <v>#N/A</v>
      </c>
      <c r="AC61" s="14" t="e">
        <f t="shared" ca="1" si="22"/>
        <v>#N/A</v>
      </c>
      <c r="AD61" s="14" t="e">
        <f t="shared" ca="1" si="22"/>
        <v>#N/A</v>
      </c>
      <c r="AE61" s="14" t="e">
        <f t="shared" ca="1" si="22"/>
        <v>#N/A</v>
      </c>
      <c r="AF61" s="14" t="e">
        <f t="shared" ca="1" si="22"/>
        <v>#N/A</v>
      </c>
      <c r="AG61" s="14" t="e">
        <f t="shared" ca="1" si="22"/>
        <v>#N/A</v>
      </c>
      <c r="AH61" s="14" t="e">
        <f t="shared" ca="1" si="22"/>
        <v>#N/A</v>
      </c>
      <c r="AI61" s="14" t="e">
        <f t="shared" ca="1" si="22"/>
        <v>#N/A</v>
      </c>
      <c r="AJ61" s="14" t="e">
        <f t="shared" ca="1" si="22"/>
        <v>#N/A</v>
      </c>
      <c r="AK61" s="14" t="e">
        <f t="shared" ca="1" si="22"/>
        <v>#N/A</v>
      </c>
      <c r="AL61" s="14" t="e">
        <f t="shared" ca="1" si="22"/>
        <v>#N/A</v>
      </c>
      <c r="AM61" s="14" t="e">
        <f t="shared" ca="1" si="22"/>
        <v>#N/A</v>
      </c>
      <c r="AN61" s="14" t="e">
        <f t="shared" ca="1" si="22"/>
        <v>#N/A</v>
      </c>
      <c r="AO61" s="14" t="e">
        <f t="shared" ca="1" si="22"/>
        <v>#N/A</v>
      </c>
      <c r="AP61" s="14" t="e">
        <f t="shared" ca="1" si="22"/>
        <v>#N/A</v>
      </c>
      <c r="AQ61" s="14" t="e">
        <f t="shared" ca="1" si="22"/>
        <v>#N/A</v>
      </c>
      <c r="AR61" s="14" t="e">
        <f t="shared" ca="1" si="22"/>
        <v>#N/A</v>
      </c>
      <c r="AS61" s="14" t="e">
        <f t="shared" ca="1" si="22"/>
        <v>#N/A</v>
      </c>
      <c r="AT61" s="14" t="e">
        <f t="shared" ca="1" si="22"/>
        <v>#N/A</v>
      </c>
      <c r="AU61" s="14" t="e">
        <f t="shared" ca="1" si="22"/>
        <v>#N/A</v>
      </c>
      <c r="AV61" s="14" t="e">
        <f t="shared" ca="1" si="22"/>
        <v>#N/A</v>
      </c>
      <c r="AW61" s="14" t="e">
        <f t="shared" ca="1" si="22"/>
        <v>#N/A</v>
      </c>
      <c r="AX61" s="14" t="e">
        <f t="shared" ca="1" si="22"/>
        <v>#N/A</v>
      </c>
      <c r="AY61" s="14" t="e">
        <f t="shared" ca="1" si="22"/>
        <v>#N/A</v>
      </c>
      <c r="AZ61" s="14" t="e">
        <f t="shared" ca="1" si="22"/>
        <v>#N/A</v>
      </c>
      <c r="BA61" s="14" t="e">
        <f t="shared" ca="1" si="22"/>
        <v>#N/A</v>
      </c>
      <c r="BB61" s="14" t="e">
        <f t="shared" ca="1" si="22"/>
        <v>#N/A</v>
      </c>
      <c r="BC61" s="14" t="e">
        <f t="shared" ca="1" si="22"/>
        <v>#N/A</v>
      </c>
      <c r="BD61" s="14" t="e">
        <f t="shared" ca="1" si="22"/>
        <v>#N/A</v>
      </c>
      <c r="BE61" s="14" t="e">
        <f t="shared" ca="1" si="22"/>
        <v>#N/A</v>
      </c>
      <c r="BF61" s="14" t="e">
        <f t="shared" ca="1" si="22"/>
        <v>#N/A</v>
      </c>
      <c r="BG61" s="14" t="e">
        <f t="shared" ca="1" si="22"/>
        <v>#N/A</v>
      </c>
      <c r="BH61" s="14" t="e">
        <f t="shared" ca="1" si="22"/>
        <v>#N/A</v>
      </c>
      <c r="BI61" s="14" t="e">
        <f t="shared" ca="1" si="22"/>
        <v>#N/A</v>
      </c>
      <c r="BJ61" s="14" t="e">
        <f t="shared" ca="1" si="22"/>
        <v>#N/A</v>
      </c>
      <c r="BK61" s="14" t="e">
        <f t="shared" ca="1" si="22"/>
        <v>#N/A</v>
      </c>
      <c r="BL61" s="14" t="e">
        <f t="shared" ca="1" si="22"/>
        <v>#N/A</v>
      </c>
      <c r="BM61" s="14" t="e">
        <f t="shared" ca="1" si="22"/>
        <v>#N/A</v>
      </c>
      <c r="BN61" s="14" t="e">
        <f t="shared" ca="1" si="22"/>
        <v>#N/A</v>
      </c>
      <c r="BO61" s="14" t="e">
        <f t="shared" ca="1" si="22"/>
        <v>#N/A</v>
      </c>
      <c r="BP61" s="14" t="e">
        <f t="shared" ca="1" si="22"/>
        <v>#N/A</v>
      </c>
      <c r="BQ61" s="14" t="e">
        <f t="shared" ca="1" si="22"/>
        <v>#N/A</v>
      </c>
      <c r="BR61" s="14" t="e">
        <f t="shared" ca="1" si="22"/>
        <v>#N/A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0</v>
      </c>
      <c r="D62" s="5">
        <f t="shared" si="20"/>
        <v>0</v>
      </c>
      <c r="E62" s="6">
        <f t="shared" si="20"/>
        <v>0</v>
      </c>
      <c r="F62" s="14" t="e">
        <f t="shared" ca="1" si="21"/>
        <v>#N/A</v>
      </c>
      <c r="G62" s="14" t="e">
        <f t="shared" ca="1" si="22"/>
        <v>#N/A</v>
      </c>
      <c r="H62" s="14" t="e">
        <f t="shared" ca="1" si="22"/>
        <v>#N/A</v>
      </c>
      <c r="I62" s="14" t="e">
        <f t="shared" ca="1" si="22"/>
        <v>#N/A</v>
      </c>
      <c r="J62" s="14" t="e">
        <f t="shared" ca="1" si="22"/>
        <v>#N/A</v>
      </c>
      <c r="K62" s="14" t="e">
        <f t="shared" ca="1" si="22"/>
        <v>#N/A</v>
      </c>
      <c r="L62" s="14" t="e">
        <f t="shared" ca="1" si="22"/>
        <v>#N/A</v>
      </c>
      <c r="M62" s="14" t="e">
        <f t="shared" ca="1" si="22"/>
        <v>#N/A</v>
      </c>
      <c r="N62" s="14" t="e">
        <f t="shared" ca="1" si="22"/>
        <v>#N/A</v>
      </c>
      <c r="O62" s="14" t="e">
        <f t="shared" ca="1" si="22"/>
        <v>#N/A</v>
      </c>
      <c r="P62" s="14" t="e">
        <f t="shared" ca="1" si="22"/>
        <v>#N/A</v>
      </c>
      <c r="Q62" s="14" t="e">
        <f t="shared" ca="1" si="22"/>
        <v>#N/A</v>
      </c>
      <c r="R62" s="14" t="e">
        <f t="shared" ca="1" si="22"/>
        <v>#N/A</v>
      </c>
      <c r="S62" s="14" t="e">
        <f t="shared" ca="1" si="22"/>
        <v>#N/A</v>
      </c>
      <c r="T62" s="14" t="e">
        <f t="shared" ca="1" si="22"/>
        <v>#N/A</v>
      </c>
      <c r="U62" s="14" t="e">
        <f t="shared" ca="1" si="22"/>
        <v>#N/A</v>
      </c>
      <c r="V62" s="14" t="e">
        <f t="shared" ca="1" si="22"/>
        <v>#N/A</v>
      </c>
      <c r="W62" s="14" t="e">
        <f t="shared" ca="1" si="22"/>
        <v>#N/A</v>
      </c>
      <c r="X62" s="14" t="e">
        <f t="shared" ca="1" si="22"/>
        <v>#N/A</v>
      </c>
      <c r="Y62" s="14" t="e">
        <f t="shared" ca="1" si="22"/>
        <v>#N/A</v>
      </c>
      <c r="Z62" s="14" t="e">
        <f t="shared" ca="1" si="22"/>
        <v>#N/A</v>
      </c>
      <c r="AA62" s="14" t="e">
        <f t="shared" ca="1" si="22"/>
        <v>#N/A</v>
      </c>
      <c r="AB62" s="14" t="e">
        <f t="shared" ca="1" si="22"/>
        <v>#N/A</v>
      </c>
      <c r="AC62" s="14" t="e">
        <f t="shared" ca="1" si="22"/>
        <v>#N/A</v>
      </c>
      <c r="AD62" s="14" t="e">
        <f t="shared" ca="1" si="22"/>
        <v>#N/A</v>
      </c>
      <c r="AE62" s="14" t="e">
        <f t="shared" ca="1" si="22"/>
        <v>#N/A</v>
      </c>
      <c r="AF62" s="14" t="e">
        <f t="shared" ca="1" si="22"/>
        <v>#N/A</v>
      </c>
      <c r="AG62" s="14" t="e">
        <f t="shared" ref="G62:BR66" ca="1" si="23">$A62*H.Ar + $B62*H.Se + $C62*H.Ge + $D62*H.Ga</f>
        <v>#N/A</v>
      </c>
      <c r="AH62" s="14" t="e">
        <f t="shared" ca="1" si="23"/>
        <v>#N/A</v>
      </c>
      <c r="AI62" s="14" t="e">
        <f t="shared" ca="1" si="23"/>
        <v>#N/A</v>
      </c>
      <c r="AJ62" s="14" t="e">
        <f t="shared" ca="1" si="23"/>
        <v>#N/A</v>
      </c>
      <c r="AK62" s="14" t="e">
        <f t="shared" ca="1" si="23"/>
        <v>#N/A</v>
      </c>
      <c r="AL62" s="14" t="e">
        <f t="shared" ca="1" si="23"/>
        <v>#N/A</v>
      </c>
      <c r="AM62" s="14" t="e">
        <f t="shared" ca="1" si="23"/>
        <v>#N/A</v>
      </c>
      <c r="AN62" s="14" t="e">
        <f t="shared" ca="1" si="23"/>
        <v>#N/A</v>
      </c>
      <c r="AO62" s="14" t="e">
        <f t="shared" ca="1" si="23"/>
        <v>#N/A</v>
      </c>
      <c r="AP62" s="14" t="e">
        <f t="shared" ca="1" si="23"/>
        <v>#N/A</v>
      </c>
      <c r="AQ62" s="14" t="e">
        <f t="shared" ca="1" si="23"/>
        <v>#N/A</v>
      </c>
      <c r="AR62" s="14" t="e">
        <f t="shared" ca="1" si="23"/>
        <v>#N/A</v>
      </c>
      <c r="AS62" s="14" t="e">
        <f t="shared" ca="1" si="23"/>
        <v>#N/A</v>
      </c>
      <c r="AT62" s="14" t="e">
        <f t="shared" ca="1" si="23"/>
        <v>#N/A</v>
      </c>
      <c r="AU62" s="14" t="e">
        <f t="shared" ca="1" si="23"/>
        <v>#N/A</v>
      </c>
      <c r="AV62" s="14" t="e">
        <f t="shared" ca="1" si="23"/>
        <v>#N/A</v>
      </c>
      <c r="AW62" s="14" t="e">
        <f t="shared" ca="1" si="23"/>
        <v>#N/A</v>
      </c>
      <c r="AX62" s="14" t="e">
        <f t="shared" ca="1" si="23"/>
        <v>#N/A</v>
      </c>
      <c r="AY62" s="14" t="e">
        <f t="shared" ca="1" si="23"/>
        <v>#N/A</v>
      </c>
      <c r="AZ62" s="14" t="e">
        <f t="shared" ca="1" si="23"/>
        <v>#N/A</v>
      </c>
      <c r="BA62" s="14" t="e">
        <f t="shared" ca="1" si="23"/>
        <v>#N/A</v>
      </c>
      <c r="BB62" s="14" t="e">
        <f t="shared" ca="1" si="23"/>
        <v>#N/A</v>
      </c>
      <c r="BC62" s="14" t="e">
        <f t="shared" ca="1" si="23"/>
        <v>#N/A</v>
      </c>
      <c r="BD62" s="14" t="e">
        <f t="shared" ca="1" si="23"/>
        <v>#N/A</v>
      </c>
      <c r="BE62" s="14" t="e">
        <f t="shared" ca="1" si="23"/>
        <v>#N/A</v>
      </c>
      <c r="BF62" s="14" t="e">
        <f t="shared" ca="1" si="23"/>
        <v>#N/A</v>
      </c>
      <c r="BG62" s="14" t="e">
        <f t="shared" ca="1" si="23"/>
        <v>#N/A</v>
      </c>
      <c r="BH62" s="14" t="e">
        <f t="shared" ca="1" si="23"/>
        <v>#N/A</v>
      </c>
      <c r="BI62" s="14" t="e">
        <f t="shared" ca="1" si="23"/>
        <v>#N/A</v>
      </c>
      <c r="BJ62" s="14" t="e">
        <f t="shared" ca="1" si="23"/>
        <v>#N/A</v>
      </c>
      <c r="BK62" s="14" t="e">
        <f t="shared" ca="1" si="23"/>
        <v>#N/A</v>
      </c>
      <c r="BL62" s="14" t="e">
        <f t="shared" ca="1" si="23"/>
        <v>#N/A</v>
      </c>
      <c r="BM62" s="14" t="e">
        <f t="shared" ca="1" si="23"/>
        <v>#N/A</v>
      </c>
      <c r="BN62" s="14" t="e">
        <f t="shared" ca="1" si="23"/>
        <v>#N/A</v>
      </c>
      <c r="BO62" s="14" t="e">
        <f t="shared" ca="1" si="23"/>
        <v>#N/A</v>
      </c>
      <c r="BP62" s="14" t="e">
        <f t="shared" ca="1" si="23"/>
        <v>#N/A</v>
      </c>
      <c r="BQ62" s="14" t="e">
        <f t="shared" ca="1" si="23"/>
        <v>#N/A</v>
      </c>
      <c r="BR62" s="14" t="e">
        <f t="shared" ca="1" si="23"/>
        <v>#N/A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>
        <f t="shared" si="20"/>
        <v>0</v>
      </c>
      <c r="F63" s="14" t="e">
        <f t="shared" ca="1" si="21"/>
        <v>#N/A</v>
      </c>
      <c r="G63" s="14" t="e">
        <f t="shared" ca="1" si="23"/>
        <v>#N/A</v>
      </c>
      <c r="H63" s="14" t="e">
        <f t="shared" ca="1" si="23"/>
        <v>#N/A</v>
      </c>
      <c r="I63" s="14" t="e">
        <f t="shared" ca="1" si="23"/>
        <v>#N/A</v>
      </c>
      <c r="J63" s="14" t="e">
        <f t="shared" ca="1" si="23"/>
        <v>#N/A</v>
      </c>
      <c r="K63" s="14" t="e">
        <f t="shared" ca="1" si="23"/>
        <v>#N/A</v>
      </c>
      <c r="L63" s="14" t="e">
        <f t="shared" ca="1" si="23"/>
        <v>#N/A</v>
      </c>
      <c r="M63" s="14" t="e">
        <f t="shared" ca="1" si="23"/>
        <v>#N/A</v>
      </c>
      <c r="N63" s="14" t="e">
        <f t="shared" ca="1" si="23"/>
        <v>#N/A</v>
      </c>
      <c r="O63" s="14" t="e">
        <f t="shared" ca="1" si="23"/>
        <v>#N/A</v>
      </c>
      <c r="P63" s="14" t="e">
        <f t="shared" ca="1" si="23"/>
        <v>#N/A</v>
      </c>
      <c r="Q63" s="14" t="e">
        <f t="shared" ca="1" si="23"/>
        <v>#N/A</v>
      </c>
      <c r="R63" s="14" t="e">
        <f t="shared" ca="1" si="23"/>
        <v>#N/A</v>
      </c>
      <c r="S63" s="14" t="e">
        <f t="shared" ca="1" si="23"/>
        <v>#N/A</v>
      </c>
      <c r="T63" s="14" t="e">
        <f t="shared" ca="1" si="23"/>
        <v>#N/A</v>
      </c>
      <c r="U63" s="14" t="e">
        <f t="shared" ca="1" si="23"/>
        <v>#N/A</v>
      </c>
      <c r="V63" s="14" t="e">
        <f t="shared" ca="1" si="23"/>
        <v>#N/A</v>
      </c>
      <c r="W63" s="14" t="e">
        <f t="shared" ca="1" si="23"/>
        <v>#N/A</v>
      </c>
      <c r="X63" s="14" t="e">
        <f t="shared" ca="1" si="23"/>
        <v>#N/A</v>
      </c>
      <c r="Y63" s="14" t="e">
        <f t="shared" ca="1" si="23"/>
        <v>#N/A</v>
      </c>
      <c r="Z63" s="14" t="e">
        <f t="shared" ca="1" si="23"/>
        <v>#N/A</v>
      </c>
      <c r="AA63" s="14" t="e">
        <f t="shared" ca="1" si="23"/>
        <v>#N/A</v>
      </c>
      <c r="AB63" s="14" t="e">
        <f t="shared" ca="1" si="23"/>
        <v>#N/A</v>
      </c>
      <c r="AC63" s="14" t="e">
        <f t="shared" ca="1" si="23"/>
        <v>#N/A</v>
      </c>
      <c r="AD63" s="14" t="e">
        <f t="shared" ca="1" si="23"/>
        <v>#N/A</v>
      </c>
      <c r="AE63" s="14" t="e">
        <f t="shared" ca="1" si="23"/>
        <v>#N/A</v>
      </c>
      <c r="AF63" s="14" t="e">
        <f t="shared" ca="1" si="23"/>
        <v>#N/A</v>
      </c>
      <c r="AG63" s="14" t="e">
        <f t="shared" ca="1" si="23"/>
        <v>#N/A</v>
      </c>
      <c r="AH63" s="14" t="e">
        <f t="shared" ca="1" si="23"/>
        <v>#N/A</v>
      </c>
      <c r="AI63" s="14" t="e">
        <f t="shared" ca="1" si="23"/>
        <v>#N/A</v>
      </c>
      <c r="AJ63" s="14" t="e">
        <f t="shared" ca="1" si="23"/>
        <v>#N/A</v>
      </c>
      <c r="AK63" s="14" t="e">
        <f t="shared" ca="1" si="23"/>
        <v>#N/A</v>
      </c>
      <c r="AL63" s="14" t="e">
        <f t="shared" ca="1" si="23"/>
        <v>#N/A</v>
      </c>
      <c r="AM63" s="14" t="e">
        <f t="shared" ca="1" si="23"/>
        <v>#N/A</v>
      </c>
      <c r="AN63" s="14" t="e">
        <f t="shared" ca="1" si="23"/>
        <v>#N/A</v>
      </c>
      <c r="AO63" s="14" t="e">
        <f t="shared" ca="1" si="23"/>
        <v>#N/A</v>
      </c>
      <c r="AP63" s="14" t="e">
        <f t="shared" ca="1" si="23"/>
        <v>#N/A</v>
      </c>
      <c r="AQ63" s="14" t="e">
        <f t="shared" ca="1" si="23"/>
        <v>#N/A</v>
      </c>
      <c r="AR63" s="14" t="e">
        <f t="shared" ca="1" si="23"/>
        <v>#N/A</v>
      </c>
      <c r="AS63" s="14" t="e">
        <f t="shared" ca="1" si="23"/>
        <v>#N/A</v>
      </c>
      <c r="AT63" s="14" t="e">
        <f t="shared" ca="1" si="23"/>
        <v>#N/A</v>
      </c>
      <c r="AU63" s="14" t="e">
        <f t="shared" ca="1" si="23"/>
        <v>#N/A</v>
      </c>
      <c r="AV63" s="14" t="e">
        <f t="shared" ca="1" si="23"/>
        <v>#N/A</v>
      </c>
      <c r="AW63" s="14" t="e">
        <f t="shared" ca="1" si="23"/>
        <v>#N/A</v>
      </c>
      <c r="AX63" s="14" t="e">
        <f t="shared" ca="1" si="23"/>
        <v>#N/A</v>
      </c>
      <c r="AY63" s="14" t="e">
        <f t="shared" ca="1" si="23"/>
        <v>#N/A</v>
      </c>
      <c r="AZ63" s="14" t="e">
        <f t="shared" ca="1" si="23"/>
        <v>#N/A</v>
      </c>
      <c r="BA63" s="14" t="e">
        <f t="shared" ca="1" si="23"/>
        <v>#N/A</v>
      </c>
      <c r="BB63" s="14" t="e">
        <f t="shared" ca="1" si="23"/>
        <v>#N/A</v>
      </c>
      <c r="BC63" s="14" t="e">
        <f t="shared" ca="1" si="23"/>
        <v>#N/A</v>
      </c>
      <c r="BD63" s="14" t="e">
        <f t="shared" ca="1" si="23"/>
        <v>#N/A</v>
      </c>
      <c r="BE63" s="14" t="e">
        <f t="shared" ca="1" si="23"/>
        <v>#N/A</v>
      </c>
      <c r="BF63" s="14" t="e">
        <f t="shared" ca="1" si="23"/>
        <v>#N/A</v>
      </c>
      <c r="BG63" s="14" t="e">
        <f t="shared" ca="1" si="23"/>
        <v>#N/A</v>
      </c>
      <c r="BH63" s="14" t="e">
        <f t="shared" ca="1" si="23"/>
        <v>#N/A</v>
      </c>
      <c r="BI63" s="14" t="e">
        <f t="shared" ca="1" si="23"/>
        <v>#N/A</v>
      </c>
      <c r="BJ63" s="14" t="e">
        <f t="shared" ca="1" si="23"/>
        <v>#N/A</v>
      </c>
      <c r="BK63" s="14" t="e">
        <f t="shared" ca="1" si="23"/>
        <v>#N/A</v>
      </c>
      <c r="BL63" s="14" t="e">
        <f t="shared" ca="1" si="23"/>
        <v>#N/A</v>
      </c>
      <c r="BM63" s="14" t="e">
        <f t="shared" ca="1" si="23"/>
        <v>#N/A</v>
      </c>
      <c r="BN63" s="14" t="e">
        <f t="shared" ca="1" si="23"/>
        <v>#N/A</v>
      </c>
      <c r="BO63" s="14" t="e">
        <f t="shared" ca="1" si="23"/>
        <v>#N/A</v>
      </c>
      <c r="BP63" s="14" t="e">
        <f t="shared" ca="1" si="23"/>
        <v>#N/A</v>
      </c>
      <c r="BQ63" s="14" t="e">
        <f t="shared" ca="1" si="23"/>
        <v>#N/A</v>
      </c>
      <c r="BR63" s="14" t="e">
        <f t="shared" ca="1" si="23"/>
        <v>#N/A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>
        <f t="shared" si="20"/>
        <v>0</v>
      </c>
      <c r="F64" s="14" t="e">
        <f t="shared" ca="1" si="21"/>
        <v>#N/A</v>
      </c>
      <c r="G64" s="14" t="e">
        <f t="shared" ca="1" si="23"/>
        <v>#N/A</v>
      </c>
      <c r="H64" s="14" t="e">
        <f t="shared" ca="1" si="23"/>
        <v>#N/A</v>
      </c>
      <c r="I64" s="14" t="e">
        <f t="shared" ca="1" si="23"/>
        <v>#N/A</v>
      </c>
      <c r="J64" s="14" t="e">
        <f t="shared" ca="1" si="23"/>
        <v>#N/A</v>
      </c>
      <c r="K64" s="14" t="e">
        <f t="shared" ca="1" si="23"/>
        <v>#N/A</v>
      </c>
      <c r="L64" s="14" t="e">
        <f t="shared" ca="1" si="23"/>
        <v>#N/A</v>
      </c>
      <c r="M64" s="14" t="e">
        <f t="shared" ca="1" si="23"/>
        <v>#N/A</v>
      </c>
      <c r="N64" s="14" t="e">
        <f t="shared" ca="1" si="23"/>
        <v>#N/A</v>
      </c>
      <c r="O64" s="14" t="e">
        <f t="shared" ca="1" si="23"/>
        <v>#N/A</v>
      </c>
      <c r="P64" s="14" t="e">
        <f t="shared" ca="1" si="23"/>
        <v>#N/A</v>
      </c>
      <c r="Q64" s="14" t="e">
        <f t="shared" ca="1" si="23"/>
        <v>#N/A</v>
      </c>
      <c r="R64" s="14" t="e">
        <f t="shared" ca="1" si="23"/>
        <v>#N/A</v>
      </c>
      <c r="S64" s="14" t="e">
        <f t="shared" ca="1" si="23"/>
        <v>#N/A</v>
      </c>
      <c r="T64" s="14" t="e">
        <f t="shared" ca="1" si="23"/>
        <v>#N/A</v>
      </c>
      <c r="U64" s="14" t="e">
        <f t="shared" ca="1" si="23"/>
        <v>#N/A</v>
      </c>
      <c r="V64" s="14" t="e">
        <f t="shared" ca="1" si="23"/>
        <v>#N/A</v>
      </c>
      <c r="W64" s="14" t="e">
        <f t="shared" ca="1" si="23"/>
        <v>#N/A</v>
      </c>
      <c r="X64" s="14" t="e">
        <f t="shared" ca="1" si="23"/>
        <v>#N/A</v>
      </c>
      <c r="Y64" s="14" t="e">
        <f t="shared" ca="1" si="23"/>
        <v>#N/A</v>
      </c>
      <c r="Z64" s="14" t="e">
        <f t="shared" ca="1" si="23"/>
        <v>#N/A</v>
      </c>
      <c r="AA64" s="14" t="e">
        <f t="shared" ca="1" si="23"/>
        <v>#N/A</v>
      </c>
      <c r="AB64" s="14" t="e">
        <f t="shared" ca="1" si="23"/>
        <v>#N/A</v>
      </c>
      <c r="AC64" s="14" t="e">
        <f t="shared" ca="1" si="23"/>
        <v>#N/A</v>
      </c>
      <c r="AD64" s="14" t="e">
        <f t="shared" ca="1" si="23"/>
        <v>#N/A</v>
      </c>
      <c r="AE64" s="14" t="e">
        <f t="shared" ca="1" si="23"/>
        <v>#N/A</v>
      </c>
      <c r="AF64" s="14" t="e">
        <f t="shared" ca="1" si="23"/>
        <v>#N/A</v>
      </c>
      <c r="AG64" s="14" t="e">
        <f t="shared" ca="1" si="23"/>
        <v>#N/A</v>
      </c>
      <c r="AH64" s="14" t="e">
        <f t="shared" ca="1" si="23"/>
        <v>#N/A</v>
      </c>
      <c r="AI64" s="14" t="e">
        <f t="shared" ca="1" si="23"/>
        <v>#N/A</v>
      </c>
      <c r="AJ64" s="14" t="e">
        <f t="shared" ca="1" si="23"/>
        <v>#N/A</v>
      </c>
      <c r="AK64" s="14" t="e">
        <f t="shared" ca="1" si="23"/>
        <v>#N/A</v>
      </c>
      <c r="AL64" s="14" t="e">
        <f t="shared" ca="1" si="23"/>
        <v>#N/A</v>
      </c>
      <c r="AM64" s="14" t="e">
        <f t="shared" ca="1" si="23"/>
        <v>#N/A</v>
      </c>
      <c r="AN64" s="14" t="e">
        <f t="shared" ca="1" si="23"/>
        <v>#N/A</v>
      </c>
      <c r="AO64" s="14" t="e">
        <f t="shared" ca="1" si="23"/>
        <v>#N/A</v>
      </c>
      <c r="AP64" s="14" t="e">
        <f t="shared" ca="1" si="23"/>
        <v>#N/A</v>
      </c>
      <c r="AQ64" s="14" t="e">
        <f t="shared" ca="1" si="23"/>
        <v>#N/A</v>
      </c>
      <c r="AR64" s="14" t="e">
        <f t="shared" ca="1" si="23"/>
        <v>#N/A</v>
      </c>
      <c r="AS64" s="14" t="e">
        <f t="shared" ca="1" si="23"/>
        <v>#N/A</v>
      </c>
      <c r="AT64" s="14" t="e">
        <f t="shared" ca="1" si="23"/>
        <v>#N/A</v>
      </c>
      <c r="AU64" s="14" t="e">
        <f t="shared" ca="1" si="23"/>
        <v>#N/A</v>
      </c>
      <c r="AV64" s="14" t="e">
        <f t="shared" ca="1" si="23"/>
        <v>#N/A</v>
      </c>
      <c r="AW64" s="14" t="e">
        <f t="shared" ca="1" si="23"/>
        <v>#N/A</v>
      </c>
      <c r="AX64" s="14" t="e">
        <f t="shared" ca="1" si="23"/>
        <v>#N/A</v>
      </c>
      <c r="AY64" s="14" t="e">
        <f t="shared" ca="1" si="23"/>
        <v>#N/A</v>
      </c>
      <c r="AZ64" s="14" t="e">
        <f t="shared" ca="1" si="23"/>
        <v>#N/A</v>
      </c>
      <c r="BA64" s="14" t="e">
        <f t="shared" ca="1" si="23"/>
        <v>#N/A</v>
      </c>
      <c r="BB64" s="14" t="e">
        <f t="shared" ca="1" si="23"/>
        <v>#N/A</v>
      </c>
      <c r="BC64" s="14" t="e">
        <f t="shared" ca="1" si="23"/>
        <v>#N/A</v>
      </c>
      <c r="BD64" s="14" t="e">
        <f t="shared" ca="1" si="23"/>
        <v>#N/A</v>
      </c>
      <c r="BE64" s="14" t="e">
        <f t="shared" ca="1" si="23"/>
        <v>#N/A</v>
      </c>
      <c r="BF64" s="14" t="e">
        <f t="shared" ca="1" si="23"/>
        <v>#N/A</v>
      </c>
      <c r="BG64" s="14" t="e">
        <f t="shared" ca="1" si="23"/>
        <v>#N/A</v>
      </c>
      <c r="BH64" s="14" t="e">
        <f t="shared" ca="1" si="23"/>
        <v>#N/A</v>
      </c>
      <c r="BI64" s="14" t="e">
        <f t="shared" ca="1" si="23"/>
        <v>#N/A</v>
      </c>
      <c r="BJ64" s="14" t="e">
        <f t="shared" ca="1" si="23"/>
        <v>#N/A</v>
      </c>
      <c r="BK64" s="14" t="e">
        <f t="shared" ca="1" si="23"/>
        <v>#N/A</v>
      </c>
      <c r="BL64" s="14" t="e">
        <f t="shared" ca="1" si="23"/>
        <v>#N/A</v>
      </c>
      <c r="BM64" s="14" t="e">
        <f t="shared" ca="1" si="23"/>
        <v>#N/A</v>
      </c>
      <c r="BN64" s="14" t="e">
        <f t="shared" ca="1" si="23"/>
        <v>#N/A</v>
      </c>
      <c r="BO64" s="14" t="e">
        <f t="shared" ca="1" si="23"/>
        <v>#N/A</v>
      </c>
      <c r="BP64" s="14" t="e">
        <f t="shared" ca="1" si="23"/>
        <v>#N/A</v>
      </c>
      <c r="BQ64" s="14" t="e">
        <f t="shared" ca="1" si="23"/>
        <v>#N/A</v>
      </c>
      <c r="BR64" s="14" t="e">
        <f t="shared" ca="1" si="23"/>
        <v>#N/A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 t="e">
        <f t="shared" ca="1" si="21"/>
        <v>#N/A</v>
      </c>
      <c r="G65" s="14" t="e">
        <f t="shared" ca="1" si="23"/>
        <v>#N/A</v>
      </c>
      <c r="H65" s="14" t="e">
        <f t="shared" ca="1" si="23"/>
        <v>#N/A</v>
      </c>
      <c r="I65" s="14" t="e">
        <f t="shared" ca="1" si="23"/>
        <v>#N/A</v>
      </c>
      <c r="J65" s="14" t="e">
        <f t="shared" ca="1" si="23"/>
        <v>#N/A</v>
      </c>
      <c r="K65" s="14" t="e">
        <f t="shared" ca="1" si="23"/>
        <v>#N/A</v>
      </c>
      <c r="L65" s="14" t="e">
        <f t="shared" ca="1" si="23"/>
        <v>#N/A</v>
      </c>
      <c r="M65" s="14" t="e">
        <f t="shared" ca="1" si="23"/>
        <v>#N/A</v>
      </c>
      <c r="N65" s="14" t="e">
        <f t="shared" ca="1" si="23"/>
        <v>#N/A</v>
      </c>
      <c r="O65" s="14" t="e">
        <f t="shared" ca="1" si="23"/>
        <v>#N/A</v>
      </c>
      <c r="P65" s="14" t="e">
        <f t="shared" ca="1" si="23"/>
        <v>#N/A</v>
      </c>
      <c r="Q65" s="14" t="e">
        <f t="shared" ca="1" si="23"/>
        <v>#N/A</v>
      </c>
      <c r="R65" s="14" t="e">
        <f t="shared" ca="1" si="23"/>
        <v>#N/A</v>
      </c>
      <c r="S65" s="14" t="e">
        <f t="shared" ca="1" si="23"/>
        <v>#N/A</v>
      </c>
      <c r="T65" s="14" t="e">
        <f t="shared" ca="1" si="23"/>
        <v>#N/A</v>
      </c>
      <c r="U65" s="14" t="e">
        <f t="shared" ca="1" si="23"/>
        <v>#N/A</v>
      </c>
      <c r="V65" s="14" t="e">
        <f t="shared" ca="1" si="23"/>
        <v>#N/A</v>
      </c>
      <c r="W65" s="14" t="e">
        <f t="shared" ca="1" si="23"/>
        <v>#N/A</v>
      </c>
      <c r="X65" s="14" t="e">
        <f t="shared" ca="1" si="23"/>
        <v>#N/A</v>
      </c>
      <c r="Y65" s="14" t="e">
        <f t="shared" ca="1" si="23"/>
        <v>#N/A</v>
      </c>
      <c r="Z65" s="14" t="e">
        <f t="shared" ca="1" si="23"/>
        <v>#N/A</v>
      </c>
      <c r="AA65" s="14" t="e">
        <f t="shared" ca="1" si="23"/>
        <v>#N/A</v>
      </c>
      <c r="AB65" s="14" t="e">
        <f t="shared" ca="1" si="23"/>
        <v>#N/A</v>
      </c>
      <c r="AC65" s="14" t="e">
        <f t="shared" ca="1" si="23"/>
        <v>#N/A</v>
      </c>
      <c r="AD65" s="14" t="e">
        <f t="shared" ca="1" si="23"/>
        <v>#N/A</v>
      </c>
      <c r="AE65" s="14" t="e">
        <f t="shared" ca="1" si="23"/>
        <v>#N/A</v>
      </c>
      <c r="AF65" s="14" t="e">
        <f t="shared" ca="1" si="23"/>
        <v>#N/A</v>
      </c>
      <c r="AG65" s="14" t="e">
        <f t="shared" ca="1" si="23"/>
        <v>#N/A</v>
      </c>
      <c r="AH65" s="14" t="e">
        <f t="shared" ca="1" si="23"/>
        <v>#N/A</v>
      </c>
      <c r="AI65" s="14" t="e">
        <f t="shared" ca="1" si="23"/>
        <v>#N/A</v>
      </c>
      <c r="AJ65" s="14" t="e">
        <f t="shared" ca="1" si="23"/>
        <v>#N/A</v>
      </c>
      <c r="AK65" s="14" t="e">
        <f t="shared" ca="1" si="23"/>
        <v>#N/A</v>
      </c>
      <c r="AL65" s="14" t="e">
        <f t="shared" ca="1" si="23"/>
        <v>#N/A</v>
      </c>
      <c r="AM65" s="14" t="e">
        <f t="shared" ca="1" si="23"/>
        <v>#N/A</v>
      </c>
      <c r="AN65" s="14" t="e">
        <f t="shared" ca="1" si="23"/>
        <v>#N/A</v>
      </c>
      <c r="AO65" s="14" t="e">
        <f t="shared" ca="1" si="23"/>
        <v>#N/A</v>
      </c>
      <c r="AP65" s="14" t="e">
        <f t="shared" ca="1" si="23"/>
        <v>#N/A</v>
      </c>
      <c r="AQ65" s="14" t="e">
        <f t="shared" ca="1" si="23"/>
        <v>#N/A</v>
      </c>
      <c r="AR65" s="14" t="e">
        <f t="shared" ca="1" si="23"/>
        <v>#N/A</v>
      </c>
      <c r="AS65" s="14" t="e">
        <f t="shared" ca="1" si="23"/>
        <v>#N/A</v>
      </c>
      <c r="AT65" s="14" t="e">
        <f t="shared" ca="1" si="23"/>
        <v>#N/A</v>
      </c>
      <c r="AU65" s="14" t="e">
        <f t="shared" ca="1" si="23"/>
        <v>#N/A</v>
      </c>
      <c r="AV65" s="14" t="e">
        <f t="shared" ca="1" si="23"/>
        <v>#N/A</v>
      </c>
      <c r="AW65" s="14" t="e">
        <f t="shared" ca="1" si="23"/>
        <v>#N/A</v>
      </c>
      <c r="AX65" s="14" t="e">
        <f t="shared" ca="1" si="23"/>
        <v>#N/A</v>
      </c>
      <c r="AY65" s="14" t="e">
        <f t="shared" ca="1" si="23"/>
        <v>#N/A</v>
      </c>
      <c r="AZ65" s="14" t="e">
        <f t="shared" ca="1" si="23"/>
        <v>#N/A</v>
      </c>
      <c r="BA65" s="14" t="e">
        <f t="shared" ca="1" si="23"/>
        <v>#N/A</v>
      </c>
      <c r="BB65" s="14" t="e">
        <f t="shared" ca="1" si="23"/>
        <v>#N/A</v>
      </c>
      <c r="BC65" s="14" t="e">
        <f t="shared" ca="1" si="23"/>
        <v>#N/A</v>
      </c>
      <c r="BD65" s="14" t="e">
        <f t="shared" ca="1" si="23"/>
        <v>#N/A</v>
      </c>
      <c r="BE65" s="14" t="e">
        <f t="shared" ca="1" si="23"/>
        <v>#N/A</v>
      </c>
      <c r="BF65" s="14" t="e">
        <f t="shared" ca="1" si="23"/>
        <v>#N/A</v>
      </c>
      <c r="BG65" s="14" t="e">
        <f t="shared" ca="1" si="23"/>
        <v>#N/A</v>
      </c>
      <c r="BH65" s="14" t="e">
        <f t="shared" ca="1" si="23"/>
        <v>#N/A</v>
      </c>
      <c r="BI65" s="14" t="e">
        <f t="shared" ca="1" si="23"/>
        <v>#N/A</v>
      </c>
      <c r="BJ65" s="14" t="e">
        <f t="shared" ca="1" si="23"/>
        <v>#N/A</v>
      </c>
      <c r="BK65" s="14" t="e">
        <f t="shared" ca="1" si="23"/>
        <v>#N/A</v>
      </c>
      <c r="BL65" s="14" t="e">
        <f t="shared" ca="1" si="23"/>
        <v>#N/A</v>
      </c>
      <c r="BM65" s="14" t="e">
        <f t="shared" ca="1" si="23"/>
        <v>#N/A</v>
      </c>
      <c r="BN65" s="14" t="e">
        <f t="shared" ca="1" si="23"/>
        <v>#N/A</v>
      </c>
      <c r="BO65" s="14" t="e">
        <f t="shared" ca="1" si="23"/>
        <v>#N/A</v>
      </c>
      <c r="BP65" s="14" t="e">
        <f t="shared" ca="1" si="23"/>
        <v>#N/A</v>
      </c>
      <c r="BQ65" s="14" t="e">
        <f t="shared" ca="1" si="23"/>
        <v>#N/A</v>
      </c>
      <c r="BR65" s="14" t="e">
        <f t="shared" ca="1" si="23"/>
        <v>#N/A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 t="e">
        <f t="shared" ref="F66:U74" ca="1" si="25">$A66*H.Ar + $B66*H.Se + $C66*H.Ge + $D66*H.Ga</f>
        <v>#N/A</v>
      </c>
      <c r="G66" s="14" t="e">
        <f t="shared" ca="1" si="25"/>
        <v>#N/A</v>
      </c>
      <c r="H66" s="14" t="e">
        <f t="shared" ca="1" si="25"/>
        <v>#N/A</v>
      </c>
      <c r="I66" s="14" t="e">
        <f t="shared" ca="1" si="25"/>
        <v>#N/A</v>
      </c>
      <c r="J66" s="14" t="e">
        <f t="shared" ca="1" si="25"/>
        <v>#N/A</v>
      </c>
      <c r="K66" s="14" t="e">
        <f t="shared" ca="1" si="25"/>
        <v>#N/A</v>
      </c>
      <c r="L66" s="14" t="e">
        <f t="shared" ca="1" si="25"/>
        <v>#N/A</v>
      </c>
      <c r="M66" s="14" t="e">
        <f t="shared" ca="1" si="25"/>
        <v>#N/A</v>
      </c>
      <c r="N66" s="14" t="e">
        <f t="shared" ca="1" si="25"/>
        <v>#N/A</v>
      </c>
      <c r="O66" s="14" t="e">
        <f t="shared" ca="1" si="25"/>
        <v>#N/A</v>
      </c>
      <c r="P66" s="14" t="e">
        <f t="shared" ca="1" si="25"/>
        <v>#N/A</v>
      </c>
      <c r="Q66" s="14" t="e">
        <f t="shared" ca="1" si="25"/>
        <v>#N/A</v>
      </c>
      <c r="R66" s="14" t="e">
        <f t="shared" ca="1" si="25"/>
        <v>#N/A</v>
      </c>
      <c r="S66" s="14" t="e">
        <f t="shared" ca="1" si="25"/>
        <v>#N/A</v>
      </c>
      <c r="T66" s="14" t="e">
        <f t="shared" ca="1" si="25"/>
        <v>#N/A</v>
      </c>
      <c r="U66" s="14" t="e">
        <f t="shared" ca="1" si="25"/>
        <v>#N/A</v>
      </c>
      <c r="V66" s="14" t="e">
        <f t="shared" ca="1" si="23"/>
        <v>#N/A</v>
      </c>
      <c r="W66" s="14" t="e">
        <f t="shared" ca="1" si="23"/>
        <v>#N/A</v>
      </c>
      <c r="X66" s="14" t="e">
        <f t="shared" ca="1" si="23"/>
        <v>#N/A</v>
      </c>
      <c r="Y66" s="14" t="e">
        <f t="shared" ca="1" si="23"/>
        <v>#N/A</v>
      </c>
      <c r="Z66" s="14" t="e">
        <f t="shared" ca="1" si="23"/>
        <v>#N/A</v>
      </c>
      <c r="AA66" s="14" t="e">
        <f t="shared" ca="1" si="23"/>
        <v>#N/A</v>
      </c>
      <c r="AB66" s="14" t="e">
        <f t="shared" ca="1" si="23"/>
        <v>#N/A</v>
      </c>
      <c r="AC66" s="14" t="e">
        <f t="shared" ca="1" si="23"/>
        <v>#N/A</v>
      </c>
      <c r="AD66" s="14" t="e">
        <f t="shared" ca="1" si="23"/>
        <v>#N/A</v>
      </c>
      <c r="AE66" s="14" t="e">
        <f t="shared" ca="1" si="23"/>
        <v>#N/A</v>
      </c>
      <c r="AF66" s="14" t="e">
        <f t="shared" ca="1" si="23"/>
        <v>#N/A</v>
      </c>
      <c r="AG66" s="14" t="e">
        <f t="shared" ca="1" si="23"/>
        <v>#N/A</v>
      </c>
      <c r="AH66" s="14" t="e">
        <f t="shared" ca="1" si="23"/>
        <v>#N/A</v>
      </c>
      <c r="AI66" s="14" t="e">
        <f t="shared" ca="1" si="23"/>
        <v>#N/A</v>
      </c>
      <c r="AJ66" s="14" t="e">
        <f t="shared" ca="1" si="23"/>
        <v>#N/A</v>
      </c>
      <c r="AK66" s="14" t="e">
        <f t="shared" ca="1" si="23"/>
        <v>#N/A</v>
      </c>
      <c r="AL66" s="14" t="e">
        <f t="shared" ca="1" si="23"/>
        <v>#N/A</v>
      </c>
      <c r="AM66" s="14" t="e">
        <f t="shared" ca="1" si="23"/>
        <v>#N/A</v>
      </c>
      <c r="AN66" s="14" t="e">
        <f t="shared" ca="1" si="23"/>
        <v>#N/A</v>
      </c>
      <c r="AO66" s="14" t="e">
        <f t="shared" ca="1" si="23"/>
        <v>#N/A</v>
      </c>
      <c r="AP66" s="14" t="e">
        <f t="shared" ca="1" si="23"/>
        <v>#N/A</v>
      </c>
      <c r="AQ66" s="14" t="e">
        <f t="shared" ca="1" si="23"/>
        <v>#N/A</v>
      </c>
      <c r="AR66" s="14" t="e">
        <f t="shared" ca="1" si="23"/>
        <v>#N/A</v>
      </c>
      <c r="AS66" s="14" t="e">
        <f t="shared" ca="1" si="23"/>
        <v>#N/A</v>
      </c>
      <c r="AT66" s="14" t="e">
        <f t="shared" ca="1" si="23"/>
        <v>#N/A</v>
      </c>
      <c r="AU66" s="14" t="e">
        <f t="shared" ref="G66:BR70" ca="1" si="26">$A66*H.Ar + $B66*H.Se + $C66*H.Ge + $D66*H.Ga</f>
        <v>#N/A</v>
      </c>
      <c r="AV66" s="14" t="e">
        <f t="shared" ca="1" si="26"/>
        <v>#N/A</v>
      </c>
      <c r="AW66" s="14" t="e">
        <f t="shared" ca="1" si="26"/>
        <v>#N/A</v>
      </c>
      <c r="AX66" s="14" t="e">
        <f t="shared" ca="1" si="26"/>
        <v>#N/A</v>
      </c>
      <c r="AY66" s="14" t="e">
        <f t="shared" ca="1" si="26"/>
        <v>#N/A</v>
      </c>
      <c r="AZ66" s="14" t="e">
        <f t="shared" ca="1" si="26"/>
        <v>#N/A</v>
      </c>
      <c r="BA66" s="14" t="e">
        <f t="shared" ca="1" si="26"/>
        <v>#N/A</v>
      </c>
      <c r="BB66" s="14" t="e">
        <f t="shared" ca="1" si="26"/>
        <v>#N/A</v>
      </c>
      <c r="BC66" s="14" t="e">
        <f t="shared" ca="1" si="26"/>
        <v>#N/A</v>
      </c>
      <c r="BD66" s="14" t="e">
        <f t="shared" ca="1" si="26"/>
        <v>#N/A</v>
      </c>
      <c r="BE66" s="14" t="e">
        <f t="shared" ca="1" si="26"/>
        <v>#N/A</v>
      </c>
      <c r="BF66" s="14" t="e">
        <f t="shared" ca="1" si="26"/>
        <v>#N/A</v>
      </c>
      <c r="BG66" s="14" t="e">
        <f t="shared" ca="1" si="26"/>
        <v>#N/A</v>
      </c>
      <c r="BH66" s="14" t="e">
        <f t="shared" ca="1" si="26"/>
        <v>#N/A</v>
      </c>
      <c r="BI66" s="14" t="e">
        <f t="shared" ca="1" si="26"/>
        <v>#N/A</v>
      </c>
      <c r="BJ66" s="14" t="e">
        <f t="shared" ca="1" si="26"/>
        <v>#N/A</v>
      </c>
      <c r="BK66" s="14" t="e">
        <f t="shared" ca="1" si="26"/>
        <v>#N/A</v>
      </c>
      <c r="BL66" s="14" t="e">
        <f t="shared" ca="1" si="26"/>
        <v>#N/A</v>
      </c>
      <c r="BM66" s="14" t="e">
        <f t="shared" ca="1" si="26"/>
        <v>#N/A</v>
      </c>
      <c r="BN66" s="14" t="e">
        <f t="shared" ca="1" si="26"/>
        <v>#N/A</v>
      </c>
      <c r="BO66" s="14" t="e">
        <f t="shared" ca="1" si="26"/>
        <v>#N/A</v>
      </c>
      <c r="BP66" s="14" t="e">
        <f t="shared" ca="1" si="26"/>
        <v>#N/A</v>
      </c>
      <c r="BQ66" s="14" t="e">
        <f t="shared" ca="1" si="26"/>
        <v>#N/A</v>
      </c>
      <c r="BR66" s="14" t="e">
        <f t="shared" ca="1" si="26"/>
        <v>#N/A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 t="e">
        <f t="shared" ca="1" si="25"/>
        <v>#N/A</v>
      </c>
      <c r="G67" s="14" t="e">
        <f t="shared" ca="1" si="26"/>
        <v>#N/A</v>
      </c>
      <c r="H67" s="14" t="e">
        <f t="shared" ca="1" si="26"/>
        <v>#N/A</v>
      </c>
      <c r="I67" s="14" t="e">
        <f t="shared" ca="1" si="26"/>
        <v>#N/A</v>
      </c>
      <c r="J67" s="14" t="e">
        <f t="shared" ca="1" si="26"/>
        <v>#N/A</v>
      </c>
      <c r="K67" s="14" t="e">
        <f t="shared" ca="1" si="26"/>
        <v>#N/A</v>
      </c>
      <c r="L67" s="14" t="e">
        <f t="shared" ca="1" si="26"/>
        <v>#N/A</v>
      </c>
      <c r="M67" s="14" t="e">
        <f t="shared" ca="1" si="26"/>
        <v>#N/A</v>
      </c>
      <c r="N67" s="14" t="e">
        <f t="shared" ca="1" si="26"/>
        <v>#N/A</v>
      </c>
      <c r="O67" s="14" t="e">
        <f t="shared" ca="1" si="26"/>
        <v>#N/A</v>
      </c>
      <c r="P67" s="14" t="e">
        <f t="shared" ca="1" si="26"/>
        <v>#N/A</v>
      </c>
      <c r="Q67" s="14" t="e">
        <f t="shared" ca="1" si="26"/>
        <v>#N/A</v>
      </c>
      <c r="R67" s="14" t="e">
        <f t="shared" ca="1" si="26"/>
        <v>#N/A</v>
      </c>
      <c r="S67" s="14" t="e">
        <f t="shared" ca="1" si="26"/>
        <v>#N/A</v>
      </c>
      <c r="T67" s="14" t="e">
        <f t="shared" ca="1" si="26"/>
        <v>#N/A</v>
      </c>
      <c r="U67" s="14" t="e">
        <f t="shared" ca="1" si="26"/>
        <v>#N/A</v>
      </c>
      <c r="V67" s="14" t="e">
        <f t="shared" ca="1" si="26"/>
        <v>#N/A</v>
      </c>
      <c r="W67" s="14" t="e">
        <f t="shared" ca="1" si="26"/>
        <v>#N/A</v>
      </c>
      <c r="X67" s="14" t="e">
        <f t="shared" ca="1" si="26"/>
        <v>#N/A</v>
      </c>
      <c r="Y67" s="14" t="e">
        <f t="shared" ca="1" si="26"/>
        <v>#N/A</v>
      </c>
      <c r="Z67" s="14" t="e">
        <f t="shared" ca="1" si="26"/>
        <v>#N/A</v>
      </c>
      <c r="AA67" s="14" t="e">
        <f t="shared" ca="1" si="26"/>
        <v>#N/A</v>
      </c>
      <c r="AB67" s="14" t="e">
        <f t="shared" ca="1" si="26"/>
        <v>#N/A</v>
      </c>
      <c r="AC67" s="14" t="e">
        <f t="shared" ca="1" si="26"/>
        <v>#N/A</v>
      </c>
      <c r="AD67" s="14" t="e">
        <f t="shared" ca="1" si="26"/>
        <v>#N/A</v>
      </c>
      <c r="AE67" s="14" t="e">
        <f t="shared" ca="1" si="26"/>
        <v>#N/A</v>
      </c>
      <c r="AF67" s="14" t="e">
        <f t="shared" ca="1" si="26"/>
        <v>#N/A</v>
      </c>
      <c r="AG67" s="14" t="e">
        <f t="shared" ca="1" si="26"/>
        <v>#N/A</v>
      </c>
      <c r="AH67" s="14" t="e">
        <f t="shared" ca="1" si="26"/>
        <v>#N/A</v>
      </c>
      <c r="AI67" s="14" t="e">
        <f t="shared" ca="1" si="26"/>
        <v>#N/A</v>
      </c>
      <c r="AJ67" s="14" t="e">
        <f t="shared" ca="1" si="26"/>
        <v>#N/A</v>
      </c>
      <c r="AK67" s="14" t="e">
        <f t="shared" ca="1" si="26"/>
        <v>#N/A</v>
      </c>
      <c r="AL67" s="14" t="e">
        <f t="shared" ca="1" si="26"/>
        <v>#N/A</v>
      </c>
      <c r="AM67" s="14" t="e">
        <f t="shared" ca="1" si="26"/>
        <v>#N/A</v>
      </c>
      <c r="AN67" s="14" t="e">
        <f t="shared" ca="1" si="26"/>
        <v>#N/A</v>
      </c>
      <c r="AO67" s="14" t="e">
        <f t="shared" ca="1" si="26"/>
        <v>#N/A</v>
      </c>
      <c r="AP67" s="14" t="e">
        <f t="shared" ca="1" si="26"/>
        <v>#N/A</v>
      </c>
      <c r="AQ67" s="14" t="e">
        <f t="shared" ca="1" si="26"/>
        <v>#N/A</v>
      </c>
      <c r="AR67" s="14" t="e">
        <f t="shared" ca="1" si="26"/>
        <v>#N/A</v>
      </c>
      <c r="AS67" s="14" t="e">
        <f t="shared" ca="1" si="26"/>
        <v>#N/A</v>
      </c>
      <c r="AT67" s="14" t="e">
        <f t="shared" ca="1" si="26"/>
        <v>#N/A</v>
      </c>
      <c r="AU67" s="14" t="e">
        <f t="shared" ca="1" si="26"/>
        <v>#N/A</v>
      </c>
      <c r="AV67" s="14" t="e">
        <f t="shared" ca="1" si="26"/>
        <v>#N/A</v>
      </c>
      <c r="AW67" s="14" t="e">
        <f t="shared" ca="1" si="26"/>
        <v>#N/A</v>
      </c>
      <c r="AX67" s="14" t="e">
        <f t="shared" ca="1" si="26"/>
        <v>#N/A</v>
      </c>
      <c r="AY67" s="14" t="e">
        <f t="shared" ca="1" si="26"/>
        <v>#N/A</v>
      </c>
      <c r="AZ67" s="14" t="e">
        <f t="shared" ca="1" si="26"/>
        <v>#N/A</v>
      </c>
      <c r="BA67" s="14" t="e">
        <f t="shared" ca="1" si="26"/>
        <v>#N/A</v>
      </c>
      <c r="BB67" s="14" t="e">
        <f t="shared" ca="1" si="26"/>
        <v>#N/A</v>
      </c>
      <c r="BC67" s="14" t="e">
        <f t="shared" ca="1" si="26"/>
        <v>#N/A</v>
      </c>
      <c r="BD67" s="14" t="e">
        <f t="shared" ca="1" si="26"/>
        <v>#N/A</v>
      </c>
      <c r="BE67" s="14" t="e">
        <f t="shared" ca="1" si="26"/>
        <v>#N/A</v>
      </c>
      <c r="BF67" s="14" t="e">
        <f t="shared" ca="1" si="26"/>
        <v>#N/A</v>
      </c>
      <c r="BG67" s="14" t="e">
        <f t="shared" ca="1" si="26"/>
        <v>#N/A</v>
      </c>
      <c r="BH67" s="14" t="e">
        <f t="shared" ca="1" si="26"/>
        <v>#N/A</v>
      </c>
      <c r="BI67" s="14" t="e">
        <f t="shared" ca="1" si="26"/>
        <v>#N/A</v>
      </c>
      <c r="BJ67" s="14" t="e">
        <f t="shared" ca="1" si="26"/>
        <v>#N/A</v>
      </c>
      <c r="BK67" s="14" t="e">
        <f t="shared" ca="1" si="26"/>
        <v>#N/A</v>
      </c>
      <c r="BL67" s="14" t="e">
        <f t="shared" ca="1" si="26"/>
        <v>#N/A</v>
      </c>
      <c r="BM67" s="14" t="e">
        <f t="shared" ca="1" si="26"/>
        <v>#N/A</v>
      </c>
      <c r="BN67" s="14" t="e">
        <f t="shared" ca="1" si="26"/>
        <v>#N/A</v>
      </c>
      <c r="BO67" s="14" t="e">
        <f t="shared" ca="1" si="26"/>
        <v>#N/A</v>
      </c>
      <c r="BP67" s="14" t="e">
        <f t="shared" ca="1" si="26"/>
        <v>#N/A</v>
      </c>
      <c r="BQ67" s="14" t="e">
        <f t="shared" ca="1" si="26"/>
        <v>#N/A</v>
      </c>
      <c r="BR67" s="14" t="e">
        <f t="shared" ca="1" si="26"/>
        <v>#N/A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 t="e">
        <f t="shared" ca="1" si="25"/>
        <v>#N/A</v>
      </c>
      <c r="G68" s="14" t="e">
        <f t="shared" ca="1" si="26"/>
        <v>#N/A</v>
      </c>
      <c r="H68" s="14" t="e">
        <f t="shared" ca="1" si="26"/>
        <v>#N/A</v>
      </c>
      <c r="I68" s="14" t="e">
        <f t="shared" ca="1" si="26"/>
        <v>#N/A</v>
      </c>
      <c r="J68" s="14" t="e">
        <f t="shared" ca="1" si="26"/>
        <v>#N/A</v>
      </c>
      <c r="K68" s="14" t="e">
        <f t="shared" ca="1" si="26"/>
        <v>#N/A</v>
      </c>
      <c r="L68" s="14" t="e">
        <f t="shared" ca="1" si="26"/>
        <v>#N/A</v>
      </c>
      <c r="M68" s="14" t="e">
        <f t="shared" ca="1" si="26"/>
        <v>#N/A</v>
      </c>
      <c r="N68" s="14" t="e">
        <f t="shared" ca="1" si="26"/>
        <v>#N/A</v>
      </c>
      <c r="O68" s="14" t="e">
        <f t="shared" ca="1" si="26"/>
        <v>#N/A</v>
      </c>
      <c r="P68" s="14" t="e">
        <f t="shared" ca="1" si="26"/>
        <v>#N/A</v>
      </c>
      <c r="Q68" s="14" t="e">
        <f t="shared" ca="1" si="26"/>
        <v>#N/A</v>
      </c>
      <c r="R68" s="14" t="e">
        <f t="shared" ca="1" si="26"/>
        <v>#N/A</v>
      </c>
      <c r="S68" s="14" t="e">
        <f t="shared" ca="1" si="26"/>
        <v>#N/A</v>
      </c>
      <c r="T68" s="14" t="e">
        <f t="shared" ca="1" si="26"/>
        <v>#N/A</v>
      </c>
      <c r="U68" s="14" t="e">
        <f t="shared" ca="1" si="26"/>
        <v>#N/A</v>
      </c>
      <c r="V68" s="14" t="e">
        <f t="shared" ca="1" si="26"/>
        <v>#N/A</v>
      </c>
      <c r="W68" s="14" t="e">
        <f t="shared" ca="1" si="26"/>
        <v>#N/A</v>
      </c>
      <c r="X68" s="14" t="e">
        <f t="shared" ca="1" si="26"/>
        <v>#N/A</v>
      </c>
      <c r="Y68" s="14" t="e">
        <f t="shared" ca="1" si="26"/>
        <v>#N/A</v>
      </c>
      <c r="Z68" s="14" t="e">
        <f t="shared" ca="1" si="26"/>
        <v>#N/A</v>
      </c>
      <c r="AA68" s="14" t="e">
        <f t="shared" ca="1" si="26"/>
        <v>#N/A</v>
      </c>
      <c r="AB68" s="14" t="e">
        <f t="shared" ca="1" si="26"/>
        <v>#N/A</v>
      </c>
      <c r="AC68" s="14" t="e">
        <f t="shared" ca="1" si="26"/>
        <v>#N/A</v>
      </c>
      <c r="AD68" s="14" t="e">
        <f t="shared" ca="1" si="26"/>
        <v>#N/A</v>
      </c>
      <c r="AE68" s="14" t="e">
        <f t="shared" ca="1" si="26"/>
        <v>#N/A</v>
      </c>
      <c r="AF68" s="14" t="e">
        <f t="shared" ca="1" si="26"/>
        <v>#N/A</v>
      </c>
      <c r="AG68" s="14" t="e">
        <f t="shared" ca="1" si="26"/>
        <v>#N/A</v>
      </c>
      <c r="AH68" s="14" t="e">
        <f t="shared" ca="1" si="26"/>
        <v>#N/A</v>
      </c>
      <c r="AI68" s="14" t="e">
        <f t="shared" ca="1" si="26"/>
        <v>#N/A</v>
      </c>
      <c r="AJ68" s="14" t="e">
        <f t="shared" ca="1" si="26"/>
        <v>#N/A</v>
      </c>
      <c r="AK68" s="14" t="e">
        <f t="shared" ca="1" si="26"/>
        <v>#N/A</v>
      </c>
      <c r="AL68" s="14" t="e">
        <f t="shared" ca="1" si="26"/>
        <v>#N/A</v>
      </c>
      <c r="AM68" s="14" t="e">
        <f t="shared" ca="1" si="26"/>
        <v>#N/A</v>
      </c>
      <c r="AN68" s="14" t="e">
        <f t="shared" ca="1" si="26"/>
        <v>#N/A</v>
      </c>
      <c r="AO68" s="14" t="e">
        <f t="shared" ca="1" si="26"/>
        <v>#N/A</v>
      </c>
      <c r="AP68" s="14" t="e">
        <f t="shared" ca="1" si="26"/>
        <v>#N/A</v>
      </c>
      <c r="AQ68" s="14" t="e">
        <f t="shared" ca="1" si="26"/>
        <v>#N/A</v>
      </c>
      <c r="AR68" s="14" t="e">
        <f t="shared" ca="1" si="26"/>
        <v>#N/A</v>
      </c>
      <c r="AS68" s="14" t="e">
        <f t="shared" ca="1" si="26"/>
        <v>#N/A</v>
      </c>
      <c r="AT68" s="14" t="e">
        <f t="shared" ca="1" si="26"/>
        <v>#N/A</v>
      </c>
      <c r="AU68" s="14" t="e">
        <f t="shared" ca="1" si="26"/>
        <v>#N/A</v>
      </c>
      <c r="AV68" s="14" t="e">
        <f t="shared" ca="1" si="26"/>
        <v>#N/A</v>
      </c>
      <c r="AW68" s="14" t="e">
        <f t="shared" ca="1" si="26"/>
        <v>#N/A</v>
      </c>
      <c r="AX68" s="14" t="e">
        <f t="shared" ca="1" si="26"/>
        <v>#N/A</v>
      </c>
      <c r="AY68" s="14" t="e">
        <f t="shared" ca="1" si="26"/>
        <v>#N/A</v>
      </c>
      <c r="AZ68" s="14" t="e">
        <f t="shared" ca="1" si="26"/>
        <v>#N/A</v>
      </c>
      <c r="BA68" s="14" t="e">
        <f t="shared" ca="1" si="26"/>
        <v>#N/A</v>
      </c>
      <c r="BB68" s="14" t="e">
        <f t="shared" ca="1" si="26"/>
        <v>#N/A</v>
      </c>
      <c r="BC68" s="14" t="e">
        <f t="shared" ca="1" si="26"/>
        <v>#N/A</v>
      </c>
      <c r="BD68" s="14" t="e">
        <f t="shared" ca="1" si="26"/>
        <v>#N/A</v>
      </c>
      <c r="BE68" s="14" t="e">
        <f t="shared" ca="1" si="26"/>
        <v>#N/A</v>
      </c>
      <c r="BF68" s="14" t="e">
        <f t="shared" ca="1" si="26"/>
        <v>#N/A</v>
      </c>
      <c r="BG68" s="14" t="e">
        <f t="shared" ca="1" si="26"/>
        <v>#N/A</v>
      </c>
      <c r="BH68" s="14" t="e">
        <f t="shared" ca="1" si="26"/>
        <v>#N/A</v>
      </c>
      <c r="BI68" s="14" t="e">
        <f t="shared" ca="1" si="26"/>
        <v>#N/A</v>
      </c>
      <c r="BJ68" s="14" t="e">
        <f t="shared" ca="1" si="26"/>
        <v>#N/A</v>
      </c>
      <c r="BK68" s="14" t="e">
        <f t="shared" ca="1" si="26"/>
        <v>#N/A</v>
      </c>
      <c r="BL68" s="14" t="e">
        <f t="shared" ca="1" si="26"/>
        <v>#N/A</v>
      </c>
      <c r="BM68" s="14" t="e">
        <f t="shared" ca="1" si="26"/>
        <v>#N/A</v>
      </c>
      <c r="BN68" s="14" t="e">
        <f t="shared" ca="1" si="26"/>
        <v>#N/A</v>
      </c>
      <c r="BO68" s="14" t="e">
        <f t="shared" ca="1" si="26"/>
        <v>#N/A</v>
      </c>
      <c r="BP68" s="14" t="e">
        <f t="shared" ca="1" si="26"/>
        <v>#N/A</v>
      </c>
      <c r="BQ68" s="14" t="e">
        <f t="shared" ca="1" si="26"/>
        <v>#N/A</v>
      </c>
      <c r="BR68" s="14" t="e">
        <f t="shared" ca="1" si="26"/>
        <v>#N/A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 t="e">
        <f t="shared" ca="1" si="25"/>
        <v>#N/A</v>
      </c>
      <c r="G69" s="14" t="e">
        <f t="shared" ca="1" si="26"/>
        <v>#N/A</v>
      </c>
      <c r="H69" s="14" t="e">
        <f t="shared" ca="1" si="26"/>
        <v>#N/A</v>
      </c>
      <c r="I69" s="14" t="e">
        <f t="shared" ca="1" si="26"/>
        <v>#N/A</v>
      </c>
      <c r="J69" s="14" t="e">
        <f t="shared" ca="1" si="26"/>
        <v>#N/A</v>
      </c>
      <c r="K69" s="14" t="e">
        <f t="shared" ca="1" si="26"/>
        <v>#N/A</v>
      </c>
      <c r="L69" s="14" t="e">
        <f t="shared" ca="1" si="26"/>
        <v>#N/A</v>
      </c>
      <c r="M69" s="14" t="e">
        <f t="shared" ca="1" si="26"/>
        <v>#N/A</v>
      </c>
      <c r="N69" s="14" t="e">
        <f t="shared" ca="1" si="26"/>
        <v>#N/A</v>
      </c>
      <c r="O69" s="14" t="e">
        <f t="shared" ca="1" si="26"/>
        <v>#N/A</v>
      </c>
      <c r="P69" s="14" t="e">
        <f t="shared" ca="1" si="26"/>
        <v>#N/A</v>
      </c>
      <c r="Q69" s="14" t="e">
        <f t="shared" ca="1" si="26"/>
        <v>#N/A</v>
      </c>
      <c r="R69" s="14" t="e">
        <f t="shared" ca="1" si="26"/>
        <v>#N/A</v>
      </c>
      <c r="S69" s="14" t="e">
        <f t="shared" ca="1" si="26"/>
        <v>#N/A</v>
      </c>
      <c r="T69" s="14" t="e">
        <f t="shared" ca="1" si="26"/>
        <v>#N/A</v>
      </c>
      <c r="U69" s="14" t="e">
        <f t="shared" ca="1" si="26"/>
        <v>#N/A</v>
      </c>
      <c r="V69" s="14" t="e">
        <f t="shared" ca="1" si="26"/>
        <v>#N/A</v>
      </c>
      <c r="W69" s="14" t="e">
        <f t="shared" ca="1" si="26"/>
        <v>#N/A</v>
      </c>
      <c r="X69" s="14" t="e">
        <f t="shared" ca="1" si="26"/>
        <v>#N/A</v>
      </c>
      <c r="Y69" s="14" t="e">
        <f t="shared" ca="1" si="26"/>
        <v>#N/A</v>
      </c>
      <c r="Z69" s="14" t="e">
        <f t="shared" ca="1" si="26"/>
        <v>#N/A</v>
      </c>
      <c r="AA69" s="14" t="e">
        <f t="shared" ca="1" si="26"/>
        <v>#N/A</v>
      </c>
      <c r="AB69" s="14" t="e">
        <f t="shared" ca="1" si="26"/>
        <v>#N/A</v>
      </c>
      <c r="AC69" s="14" t="e">
        <f t="shared" ca="1" si="26"/>
        <v>#N/A</v>
      </c>
      <c r="AD69" s="14" t="e">
        <f t="shared" ca="1" si="26"/>
        <v>#N/A</v>
      </c>
      <c r="AE69" s="14" t="e">
        <f t="shared" ca="1" si="26"/>
        <v>#N/A</v>
      </c>
      <c r="AF69" s="14" t="e">
        <f t="shared" ca="1" si="26"/>
        <v>#N/A</v>
      </c>
      <c r="AG69" s="14" t="e">
        <f t="shared" ca="1" si="26"/>
        <v>#N/A</v>
      </c>
      <c r="AH69" s="14" t="e">
        <f t="shared" ca="1" si="26"/>
        <v>#N/A</v>
      </c>
      <c r="AI69" s="14" t="e">
        <f t="shared" ca="1" si="26"/>
        <v>#N/A</v>
      </c>
      <c r="AJ69" s="14" t="e">
        <f t="shared" ca="1" si="26"/>
        <v>#N/A</v>
      </c>
      <c r="AK69" s="14" t="e">
        <f t="shared" ca="1" si="26"/>
        <v>#N/A</v>
      </c>
      <c r="AL69" s="14" t="e">
        <f t="shared" ca="1" si="26"/>
        <v>#N/A</v>
      </c>
      <c r="AM69" s="14" t="e">
        <f t="shared" ca="1" si="26"/>
        <v>#N/A</v>
      </c>
      <c r="AN69" s="14" t="e">
        <f t="shared" ca="1" si="26"/>
        <v>#N/A</v>
      </c>
      <c r="AO69" s="14" t="e">
        <f t="shared" ca="1" si="26"/>
        <v>#N/A</v>
      </c>
      <c r="AP69" s="14" t="e">
        <f t="shared" ca="1" si="26"/>
        <v>#N/A</v>
      </c>
      <c r="AQ69" s="14" t="e">
        <f t="shared" ca="1" si="26"/>
        <v>#N/A</v>
      </c>
      <c r="AR69" s="14" t="e">
        <f t="shared" ca="1" si="26"/>
        <v>#N/A</v>
      </c>
      <c r="AS69" s="14" t="e">
        <f t="shared" ca="1" si="26"/>
        <v>#N/A</v>
      </c>
      <c r="AT69" s="14" t="e">
        <f t="shared" ca="1" si="26"/>
        <v>#N/A</v>
      </c>
      <c r="AU69" s="14" t="e">
        <f t="shared" ca="1" si="26"/>
        <v>#N/A</v>
      </c>
      <c r="AV69" s="14" t="e">
        <f t="shared" ca="1" si="26"/>
        <v>#N/A</v>
      </c>
      <c r="AW69" s="14" t="e">
        <f t="shared" ca="1" si="26"/>
        <v>#N/A</v>
      </c>
      <c r="AX69" s="14" t="e">
        <f t="shared" ca="1" si="26"/>
        <v>#N/A</v>
      </c>
      <c r="AY69" s="14" t="e">
        <f t="shared" ca="1" si="26"/>
        <v>#N/A</v>
      </c>
      <c r="AZ69" s="14" t="e">
        <f t="shared" ca="1" si="26"/>
        <v>#N/A</v>
      </c>
      <c r="BA69" s="14" t="e">
        <f t="shared" ca="1" si="26"/>
        <v>#N/A</v>
      </c>
      <c r="BB69" s="14" t="e">
        <f t="shared" ca="1" si="26"/>
        <v>#N/A</v>
      </c>
      <c r="BC69" s="14" t="e">
        <f t="shared" ca="1" si="26"/>
        <v>#N/A</v>
      </c>
      <c r="BD69" s="14" t="e">
        <f t="shared" ca="1" si="26"/>
        <v>#N/A</v>
      </c>
      <c r="BE69" s="14" t="e">
        <f t="shared" ca="1" si="26"/>
        <v>#N/A</v>
      </c>
      <c r="BF69" s="14" t="e">
        <f t="shared" ca="1" si="26"/>
        <v>#N/A</v>
      </c>
      <c r="BG69" s="14" t="e">
        <f t="shared" ca="1" si="26"/>
        <v>#N/A</v>
      </c>
      <c r="BH69" s="14" t="e">
        <f t="shared" ca="1" si="26"/>
        <v>#N/A</v>
      </c>
      <c r="BI69" s="14" t="e">
        <f t="shared" ca="1" si="26"/>
        <v>#N/A</v>
      </c>
      <c r="BJ69" s="14" t="e">
        <f t="shared" ca="1" si="26"/>
        <v>#N/A</v>
      </c>
      <c r="BK69" s="14" t="e">
        <f t="shared" ca="1" si="26"/>
        <v>#N/A</v>
      </c>
      <c r="BL69" s="14" t="e">
        <f t="shared" ca="1" si="26"/>
        <v>#N/A</v>
      </c>
      <c r="BM69" s="14" t="e">
        <f t="shared" ca="1" si="26"/>
        <v>#N/A</v>
      </c>
      <c r="BN69" s="14" t="e">
        <f t="shared" ca="1" si="26"/>
        <v>#N/A</v>
      </c>
      <c r="BO69" s="14" t="e">
        <f t="shared" ca="1" si="26"/>
        <v>#N/A</v>
      </c>
      <c r="BP69" s="14" t="e">
        <f t="shared" ca="1" si="26"/>
        <v>#N/A</v>
      </c>
      <c r="BQ69" s="14" t="e">
        <f t="shared" ca="1" si="26"/>
        <v>#N/A</v>
      </c>
      <c r="BR69" s="14" t="e">
        <f t="shared" ca="1" si="26"/>
        <v>#N/A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 t="e">
        <f t="shared" ca="1" si="25"/>
        <v>#N/A</v>
      </c>
      <c r="G70" s="14" t="e">
        <f t="shared" ca="1" si="26"/>
        <v>#N/A</v>
      </c>
      <c r="H70" s="14" t="e">
        <f t="shared" ca="1" si="26"/>
        <v>#N/A</v>
      </c>
      <c r="I70" s="14" t="e">
        <f t="shared" ca="1" si="26"/>
        <v>#N/A</v>
      </c>
      <c r="J70" s="14" t="e">
        <f t="shared" ca="1" si="26"/>
        <v>#N/A</v>
      </c>
      <c r="K70" s="14" t="e">
        <f t="shared" ca="1" si="26"/>
        <v>#N/A</v>
      </c>
      <c r="L70" s="14" t="e">
        <f t="shared" ca="1" si="26"/>
        <v>#N/A</v>
      </c>
      <c r="M70" s="14" t="e">
        <f t="shared" ca="1" si="26"/>
        <v>#N/A</v>
      </c>
      <c r="N70" s="14" t="e">
        <f t="shared" ca="1" si="26"/>
        <v>#N/A</v>
      </c>
      <c r="O70" s="14" t="e">
        <f t="shared" ca="1" si="26"/>
        <v>#N/A</v>
      </c>
      <c r="P70" s="14" t="e">
        <f t="shared" ca="1" si="26"/>
        <v>#N/A</v>
      </c>
      <c r="Q70" s="14" t="e">
        <f t="shared" ca="1" si="26"/>
        <v>#N/A</v>
      </c>
      <c r="R70" s="14" t="e">
        <f t="shared" ca="1" si="26"/>
        <v>#N/A</v>
      </c>
      <c r="S70" s="14" t="e">
        <f t="shared" ca="1" si="26"/>
        <v>#N/A</v>
      </c>
      <c r="T70" s="14" t="e">
        <f t="shared" ca="1" si="26"/>
        <v>#N/A</v>
      </c>
      <c r="U70" s="14" t="e">
        <f t="shared" ca="1" si="26"/>
        <v>#N/A</v>
      </c>
      <c r="V70" s="14" t="e">
        <f t="shared" ca="1" si="26"/>
        <v>#N/A</v>
      </c>
      <c r="W70" s="14" t="e">
        <f t="shared" ca="1" si="26"/>
        <v>#N/A</v>
      </c>
      <c r="X70" s="14" t="e">
        <f t="shared" ca="1" si="26"/>
        <v>#N/A</v>
      </c>
      <c r="Y70" s="14" t="e">
        <f t="shared" ca="1" si="26"/>
        <v>#N/A</v>
      </c>
      <c r="Z70" s="14" t="e">
        <f t="shared" ca="1" si="26"/>
        <v>#N/A</v>
      </c>
      <c r="AA70" s="14" t="e">
        <f t="shared" ca="1" si="26"/>
        <v>#N/A</v>
      </c>
      <c r="AB70" s="14" t="e">
        <f t="shared" ca="1" si="26"/>
        <v>#N/A</v>
      </c>
      <c r="AC70" s="14" t="e">
        <f t="shared" ca="1" si="26"/>
        <v>#N/A</v>
      </c>
      <c r="AD70" s="14" t="e">
        <f t="shared" ca="1" si="26"/>
        <v>#N/A</v>
      </c>
      <c r="AE70" s="14" t="e">
        <f t="shared" ca="1" si="26"/>
        <v>#N/A</v>
      </c>
      <c r="AF70" s="14" t="e">
        <f t="shared" ca="1" si="26"/>
        <v>#N/A</v>
      </c>
      <c r="AG70" s="14" t="e">
        <f t="shared" ca="1" si="26"/>
        <v>#N/A</v>
      </c>
      <c r="AH70" s="14" t="e">
        <f t="shared" ca="1" si="26"/>
        <v>#N/A</v>
      </c>
      <c r="AI70" s="14" t="e">
        <f t="shared" ca="1" si="26"/>
        <v>#N/A</v>
      </c>
      <c r="AJ70" s="14" t="e">
        <f t="shared" ca="1" si="26"/>
        <v>#N/A</v>
      </c>
      <c r="AK70" s="14" t="e">
        <f t="shared" ca="1" si="26"/>
        <v>#N/A</v>
      </c>
      <c r="AL70" s="14" t="e">
        <f t="shared" ca="1" si="26"/>
        <v>#N/A</v>
      </c>
      <c r="AM70" s="14" t="e">
        <f t="shared" ca="1" si="26"/>
        <v>#N/A</v>
      </c>
      <c r="AN70" s="14" t="e">
        <f t="shared" ca="1" si="26"/>
        <v>#N/A</v>
      </c>
      <c r="AO70" s="14" t="e">
        <f t="shared" ca="1" si="26"/>
        <v>#N/A</v>
      </c>
      <c r="AP70" s="14" t="e">
        <f t="shared" ca="1" si="26"/>
        <v>#N/A</v>
      </c>
      <c r="AQ70" s="14" t="e">
        <f t="shared" ca="1" si="26"/>
        <v>#N/A</v>
      </c>
      <c r="AR70" s="14" t="e">
        <f t="shared" ca="1" si="26"/>
        <v>#N/A</v>
      </c>
      <c r="AS70" s="14" t="e">
        <f t="shared" ca="1" si="26"/>
        <v>#N/A</v>
      </c>
      <c r="AT70" s="14" t="e">
        <f t="shared" ref="G70:BR74" ca="1" si="27">$A70*H.Ar + $B70*H.Se + $C70*H.Ge + $D70*H.Ga</f>
        <v>#N/A</v>
      </c>
      <c r="AU70" s="14" t="e">
        <f t="shared" ca="1" si="27"/>
        <v>#N/A</v>
      </c>
      <c r="AV70" s="14" t="e">
        <f t="shared" ca="1" si="27"/>
        <v>#N/A</v>
      </c>
      <c r="AW70" s="14" t="e">
        <f t="shared" ca="1" si="27"/>
        <v>#N/A</v>
      </c>
      <c r="AX70" s="14" t="e">
        <f t="shared" ca="1" si="27"/>
        <v>#N/A</v>
      </c>
      <c r="AY70" s="14" t="e">
        <f t="shared" ca="1" si="27"/>
        <v>#N/A</v>
      </c>
      <c r="AZ70" s="14" t="e">
        <f t="shared" ca="1" si="27"/>
        <v>#N/A</v>
      </c>
      <c r="BA70" s="14" t="e">
        <f t="shared" ca="1" si="27"/>
        <v>#N/A</v>
      </c>
      <c r="BB70" s="14" t="e">
        <f t="shared" ca="1" si="27"/>
        <v>#N/A</v>
      </c>
      <c r="BC70" s="14" t="e">
        <f t="shared" ca="1" si="27"/>
        <v>#N/A</v>
      </c>
      <c r="BD70" s="14" t="e">
        <f t="shared" ca="1" si="27"/>
        <v>#N/A</v>
      </c>
      <c r="BE70" s="14" t="e">
        <f t="shared" ca="1" si="27"/>
        <v>#N/A</v>
      </c>
      <c r="BF70" s="14" t="e">
        <f t="shared" ca="1" si="27"/>
        <v>#N/A</v>
      </c>
      <c r="BG70" s="14" t="e">
        <f t="shared" ca="1" si="27"/>
        <v>#N/A</v>
      </c>
      <c r="BH70" s="14" t="e">
        <f t="shared" ca="1" si="27"/>
        <v>#N/A</v>
      </c>
      <c r="BI70" s="14" t="e">
        <f t="shared" ca="1" si="27"/>
        <v>#N/A</v>
      </c>
      <c r="BJ70" s="14" t="e">
        <f t="shared" ca="1" si="27"/>
        <v>#N/A</v>
      </c>
      <c r="BK70" s="14" t="e">
        <f t="shared" ca="1" si="27"/>
        <v>#N/A</v>
      </c>
      <c r="BL70" s="14" t="e">
        <f t="shared" ca="1" si="27"/>
        <v>#N/A</v>
      </c>
      <c r="BM70" s="14" t="e">
        <f t="shared" ca="1" si="27"/>
        <v>#N/A</v>
      </c>
      <c r="BN70" s="14" t="e">
        <f t="shared" ca="1" si="27"/>
        <v>#N/A</v>
      </c>
      <c r="BO70" s="14" t="e">
        <f t="shared" ca="1" si="27"/>
        <v>#N/A</v>
      </c>
      <c r="BP70" s="14" t="e">
        <f t="shared" ca="1" si="27"/>
        <v>#N/A</v>
      </c>
      <c r="BQ70" s="14" t="e">
        <f t="shared" ca="1" si="27"/>
        <v>#N/A</v>
      </c>
      <c r="BR70" s="14" t="e">
        <f t="shared" ca="1" si="27"/>
        <v>#N/A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 t="e">
        <f t="shared" ca="1" si="25"/>
        <v>#N/A</v>
      </c>
      <c r="G71" s="14" t="e">
        <f t="shared" ca="1" si="27"/>
        <v>#N/A</v>
      </c>
      <c r="H71" s="14" t="e">
        <f t="shared" ca="1" si="27"/>
        <v>#N/A</v>
      </c>
      <c r="I71" s="14" t="e">
        <f t="shared" ca="1" si="27"/>
        <v>#N/A</v>
      </c>
      <c r="J71" s="14" t="e">
        <f t="shared" ca="1" si="27"/>
        <v>#N/A</v>
      </c>
      <c r="K71" s="14" t="e">
        <f t="shared" ca="1" si="27"/>
        <v>#N/A</v>
      </c>
      <c r="L71" s="14" t="e">
        <f t="shared" ca="1" si="27"/>
        <v>#N/A</v>
      </c>
      <c r="M71" s="14" t="e">
        <f t="shared" ca="1" si="27"/>
        <v>#N/A</v>
      </c>
      <c r="N71" s="14" t="e">
        <f t="shared" ca="1" si="27"/>
        <v>#N/A</v>
      </c>
      <c r="O71" s="14" t="e">
        <f t="shared" ca="1" si="27"/>
        <v>#N/A</v>
      </c>
      <c r="P71" s="14" t="e">
        <f t="shared" ca="1" si="27"/>
        <v>#N/A</v>
      </c>
      <c r="Q71" s="14" t="e">
        <f t="shared" ca="1" si="27"/>
        <v>#N/A</v>
      </c>
      <c r="R71" s="14" t="e">
        <f t="shared" ca="1" si="27"/>
        <v>#N/A</v>
      </c>
      <c r="S71" s="14" t="e">
        <f t="shared" ca="1" si="27"/>
        <v>#N/A</v>
      </c>
      <c r="T71" s="14" t="e">
        <f t="shared" ca="1" si="27"/>
        <v>#N/A</v>
      </c>
      <c r="U71" s="14" t="e">
        <f t="shared" ca="1" si="27"/>
        <v>#N/A</v>
      </c>
      <c r="V71" s="14" t="e">
        <f t="shared" ca="1" si="27"/>
        <v>#N/A</v>
      </c>
      <c r="W71" s="14" t="e">
        <f t="shared" ca="1" si="27"/>
        <v>#N/A</v>
      </c>
      <c r="X71" s="14" t="e">
        <f t="shared" ca="1" si="27"/>
        <v>#N/A</v>
      </c>
      <c r="Y71" s="14" t="e">
        <f t="shared" ca="1" si="27"/>
        <v>#N/A</v>
      </c>
      <c r="Z71" s="14" t="e">
        <f t="shared" ca="1" si="27"/>
        <v>#N/A</v>
      </c>
      <c r="AA71" s="14" t="e">
        <f t="shared" ca="1" si="27"/>
        <v>#N/A</v>
      </c>
      <c r="AB71" s="14" t="e">
        <f t="shared" ca="1" si="27"/>
        <v>#N/A</v>
      </c>
      <c r="AC71" s="14" t="e">
        <f t="shared" ca="1" si="27"/>
        <v>#N/A</v>
      </c>
      <c r="AD71" s="14" t="e">
        <f t="shared" ca="1" si="27"/>
        <v>#N/A</v>
      </c>
      <c r="AE71" s="14" t="e">
        <f t="shared" ca="1" si="27"/>
        <v>#N/A</v>
      </c>
      <c r="AF71" s="14" t="e">
        <f t="shared" ca="1" si="27"/>
        <v>#N/A</v>
      </c>
      <c r="AG71" s="14" t="e">
        <f t="shared" ca="1" si="27"/>
        <v>#N/A</v>
      </c>
      <c r="AH71" s="14" t="e">
        <f t="shared" ca="1" si="27"/>
        <v>#N/A</v>
      </c>
      <c r="AI71" s="14" t="e">
        <f t="shared" ca="1" si="27"/>
        <v>#N/A</v>
      </c>
      <c r="AJ71" s="14" t="e">
        <f t="shared" ca="1" si="27"/>
        <v>#N/A</v>
      </c>
      <c r="AK71" s="14" t="e">
        <f t="shared" ca="1" si="27"/>
        <v>#N/A</v>
      </c>
      <c r="AL71" s="14" t="e">
        <f t="shared" ca="1" si="27"/>
        <v>#N/A</v>
      </c>
      <c r="AM71" s="14" t="e">
        <f t="shared" ca="1" si="27"/>
        <v>#N/A</v>
      </c>
      <c r="AN71" s="14" t="e">
        <f t="shared" ca="1" si="27"/>
        <v>#N/A</v>
      </c>
      <c r="AO71" s="14" t="e">
        <f t="shared" ca="1" si="27"/>
        <v>#N/A</v>
      </c>
      <c r="AP71" s="14" t="e">
        <f t="shared" ca="1" si="27"/>
        <v>#N/A</v>
      </c>
      <c r="AQ71" s="14" t="e">
        <f t="shared" ca="1" si="27"/>
        <v>#N/A</v>
      </c>
      <c r="AR71" s="14" t="e">
        <f t="shared" ca="1" si="27"/>
        <v>#N/A</v>
      </c>
      <c r="AS71" s="14" t="e">
        <f t="shared" ca="1" si="27"/>
        <v>#N/A</v>
      </c>
      <c r="AT71" s="14" t="e">
        <f t="shared" ca="1" si="27"/>
        <v>#N/A</v>
      </c>
      <c r="AU71" s="14" t="e">
        <f t="shared" ca="1" si="27"/>
        <v>#N/A</v>
      </c>
      <c r="AV71" s="14" t="e">
        <f t="shared" ca="1" si="27"/>
        <v>#N/A</v>
      </c>
      <c r="AW71" s="14" t="e">
        <f t="shared" ca="1" si="27"/>
        <v>#N/A</v>
      </c>
      <c r="AX71" s="14" t="e">
        <f t="shared" ca="1" si="27"/>
        <v>#N/A</v>
      </c>
      <c r="AY71" s="14" t="e">
        <f t="shared" ca="1" si="27"/>
        <v>#N/A</v>
      </c>
      <c r="AZ71" s="14" t="e">
        <f t="shared" ca="1" si="27"/>
        <v>#N/A</v>
      </c>
      <c r="BA71" s="14" t="e">
        <f t="shared" ca="1" si="27"/>
        <v>#N/A</v>
      </c>
      <c r="BB71" s="14" t="e">
        <f t="shared" ca="1" si="27"/>
        <v>#N/A</v>
      </c>
      <c r="BC71" s="14" t="e">
        <f t="shared" ca="1" si="27"/>
        <v>#N/A</v>
      </c>
      <c r="BD71" s="14" t="e">
        <f t="shared" ca="1" si="27"/>
        <v>#N/A</v>
      </c>
      <c r="BE71" s="14" t="e">
        <f t="shared" ca="1" si="27"/>
        <v>#N/A</v>
      </c>
      <c r="BF71" s="14" t="e">
        <f t="shared" ca="1" si="27"/>
        <v>#N/A</v>
      </c>
      <c r="BG71" s="14" t="e">
        <f t="shared" ca="1" si="27"/>
        <v>#N/A</v>
      </c>
      <c r="BH71" s="14" t="e">
        <f t="shared" ca="1" si="27"/>
        <v>#N/A</v>
      </c>
      <c r="BI71" s="14" t="e">
        <f t="shared" ca="1" si="27"/>
        <v>#N/A</v>
      </c>
      <c r="BJ71" s="14" t="e">
        <f t="shared" ca="1" si="27"/>
        <v>#N/A</v>
      </c>
      <c r="BK71" s="14" t="e">
        <f t="shared" ca="1" si="27"/>
        <v>#N/A</v>
      </c>
      <c r="BL71" s="14" t="e">
        <f t="shared" ca="1" si="27"/>
        <v>#N/A</v>
      </c>
      <c r="BM71" s="14" t="e">
        <f t="shared" ca="1" si="27"/>
        <v>#N/A</v>
      </c>
      <c r="BN71" s="14" t="e">
        <f t="shared" ca="1" si="27"/>
        <v>#N/A</v>
      </c>
      <c r="BO71" s="14" t="e">
        <f t="shared" ca="1" si="27"/>
        <v>#N/A</v>
      </c>
      <c r="BP71" s="14" t="e">
        <f t="shared" ca="1" si="27"/>
        <v>#N/A</v>
      </c>
      <c r="BQ71" s="14" t="e">
        <f t="shared" ca="1" si="27"/>
        <v>#N/A</v>
      </c>
      <c r="BR71" s="14" t="e">
        <f t="shared" ca="1" si="27"/>
        <v>#N/A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 t="e">
        <f t="shared" ca="1" si="25"/>
        <v>#N/A</v>
      </c>
      <c r="G72" s="14" t="e">
        <f t="shared" ca="1" si="27"/>
        <v>#N/A</v>
      </c>
      <c r="H72" s="14" t="e">
        <f t="shared" ca="1" si="27"/>
        <v>#N/A</v>
      </c>
      <c r="I72" s="14" t="e">
        <f t="shared" ca="1" si="27"/>
        <v>#N/A</v>
      </c>
      <c r="J72" s="14" t="e">
        <f t="shared" ca="1" si="27"/>
        <v>#N/A</v>
      </c>
      <c r="K72" s="14" t="e">
        <f t="shared" ca="1" si="27"/>
        <v>#N/A</v>
      </c>
      <c r="L72" s="14" t="e">
        <f t="shared" ca="1" si="27"/>
        <v>#N/A</v>
      </c>
      <c r="M72" s="14" t="e">
        <f t="shared" ca="1" si="27"/>
        <v>#N/A</v>
      </c>
      <c r="N72" s="14" t="e">
        <f t="shared" ca="1" si="27"/>
        <v>#N/A</v>
      </c>
      <c r="O72" s="14" t="e">
        <f t="shared" ca="1" si="27"/>
        <v>#N/A</v>
      </c>
      <c r="P72" s="14" t="e">
        <f t="shared" ca="1" si="27"/>
        <v>#N/A</v>
      </c>
      <c r="Q72" s="14" t="e">
        <f t="shared" ca="1" si="27"/>
        <v>#N/A</v>
      </c>
      <c r="R72" s="14" t="e">
        <f t="shared" ca="1" si="27"/>
        <v>#N/A</v>
      </c>
      <c r="S72" s="14" t="e">
        <f t="shared" ca="1" si="27"/>
        <v>#N/A</v>
      </c>
      <c r="T72" s="14" t="e">
        <f t="shared" ca="1" si="27"/>
        <v>#N/A</v>
      </c>
      <c r="U72" s="14" t="e">
        <f t="shared" ca="1" si="27"/>
        <v>#N/A</v>
      </c>
      <c r="V72" s="14" t="e">
        <f t="shared" ca="1" si="27"/>
        <v>#N/A</v>
      </c>
      <c r="W72" s="14" t="e">
        <f t="shared" ca="1" si="27"/>
        <v>#N/A</v>
      </c>
      <c r="X72" s="14" t="e">
        <f t="shared" ca="1" si="27"/>
        <v>#N/A</v>
      </c>
      <c r="Y72" s="14" t="e">
        <f t="shared" ca="1" si="27"/>
        <v>#N/A</v>
      </c>
      <c r="Z72" s="14" t="e">
        <f t="shared" ca="1" si="27"/>
        <v>#N/A</v>
      </c>
      <c r="AA72" s="14" t="e">
        <f t="shared" ca="1" si="27"/>
        <v>#N/A</v>
      </c>
      <c r="AB72" s="14" t="e">
        <f t="shared" ca="1" si="27"/>
        <v>#N/A</v>
      </c>
      <c r="AC72" s="14" t="e">
        <f t="shared" ca="1" si="27"/>
        <v>#N/A</v>
      </c>
      <c r="AD72" s="14" t="e">
        <f t="shared" ca="1" si="27"/>
        <v>#N/A</v>
      </c>
      <c r="AE72" s="14" t="e">
        <f t="shared" ca="1" si="27"/>
        <v>#N/A</v>
      </c>
      <c r="AF72" s="14" t="e">
        <f t="shared" ca="1" si="27"/>
        <v>#N/A</v>
      </c>
      <c r="AG72" s="14" t="e">
        <f t="shared" ca="1" si="27"/>
        <v>#N/A</v>
      </c>
      <c r="AH72" s="14" t="e">
        <f t="shared" ca="1" si="27"/>
        <v>#N/A</v>
      </c>
      <c r="AI72" s="14" t="e">
        <f t="shared" ca="1" si="27"/>
        <v>#N/A</v>
      </c>
      <c r="AJ72" s="14" t="e">
        <f t="shared" ca="1" si="27"/>
        <v>#N/A</v>
      </c>
      <c r="AK72" s="14" t="e">
        <f t="shared" ca="1" si="27"/>
        <v>#N/A</v>
      </c>
      <c r="AL72" s="14" t="e">
        <f t="shared" ca="1" si="27"/>
        <v>#N/A</v>
      </c>
      <c r="AM72" s="14" t="e">
        <f t="shared" ca="1" si="27"/>
        <v>#N/A</v>
      </c>
      <c r="AN72" s="14" t="e">
        <f t="shared" ca="1" si="27"/>
        <v>#N/A</v>
      </c>
      <c r="AO72" s="14" t="e">
        <f t="shared" ca="1" si="27"/>
        <v>#N/A</v>
      </c>
      <c r="AP72" s="14" t="e">
        <f t="shared" ca="1" si="27"/>
        <v>#N/A</v>
      </c>
      <c r="AQ72" s="14" t="e">
        <f t="shared" ca="1" si="27"/>
        <v>#N/A</v>
      </c>
      <c r="AR72" s="14" t="e">
        <f t="shared" ca="1" si="27"/>
        <v>#N/A</v>
      </c>
      <c r="AS72" s="14" t="e">
        <f t="shared" ca="1" si="27"/>
        <v>#N/A</v>
      </c>
      <c r="AT72" s="14" t="e">
        <f t="shared" ca="1" si="27"/>
        <v>#N/A</v>
      </c>
      <c r="AU72" s="14" t="e">
        <f t="shared" ca="1" si="27"/>
        <v>#N/A</v>
      </c>
      <c r="AV72" s="14" t="e">
        <f t="shared" ca="1" si="27"/>
        <v>#N/A</v>
      </c>
      <c r="AW72" s="14" t="e">
        <f t="shared" ca="1" si="27"/>
        <v>#N/A</v>
      </c>
      <c r="AX72" s="14" t="e">
        <f t="shared" ca="1" si="27"/>
        <v>#N/A</v>
      </c>
      <c r="AY72" s="14" t="e">
        <f t="shared" ca="1" si="27"/>
        <v>#N/A</v>
      </c>
      <c r="AZ72" s="14" t="e">
        <f t="shared" ca="1" si="27"/>
        <v>#N/A</v>
      </c>
      <c r="BA72" s="14" t="e">
        <f t="shared" ca="1" si="27"/>
        <v>#N/A</v>
      </c>
      <c r="BB72" s="14" t="e">
        <f t="shared" ca="1" si="27"/>
        <v>#N/A</v>
      </c>
      <c r="BC72" s="14" t="e">
        <f t="shared" ca="1" si="27"/>
        <v>#N/A</v>
      </c>
      <c r="BD72" s="14" t="e">
        <f t="shared" ca="1" si="27"/>
        <v>#N/A</v>
      </c>
      <c r="BE72" s="14" t="e">
        <f t="shared" ca="1" si="27"/>
        <v>#N/A</v>
      </c>
      <c r="BF72" s="14" t="e">
        <f t="shared" ca="1" si="27"/>
        <v>#N/A</v>
      </c>
      <c r="BG72" s="14" t="e">
        <f t="shared" ca="1" si="27"/>
        <v>#N/A</v>
      </c>
      <c r="BH72" s="14" t="e">
        <f t="shared" ca="1" si="27"/>
        <v>#N/A</v>
      </c>
      <c r="BI72" s="14" t="e">
        <f t="shared" ca="1" si="27"/>
        <v>#N/A</v>
      </c>
      <c r="BJ72" s="14" t="e">
        <f t="shared" ca="1" si="27"/>
        <v>#N/A</v>
      </c>
      <c r="BK72" s="14" t="e">
        <f t="shared" ca="1" si="27"/>
        <v>#N/A</v>
      </c>
      <c r="BL72" s="14" t="e">
        <f t="shared" ca="1" si="27"/>
        <v>#N/A</v>
      </c>
      <c r="BM72" s="14" t="e">
        <f t="shared" ca="1" si="27"/>
        <v>#N/A</v>
      </c>
      <c r="BN72" s="14" t="e">
        <f t="shared" ca="1" si="27"/>
        <v>#N/A</v>
      </c>
      <c r="BO72" s="14" t="e">
        <f t="shared" ca="1" si="27"/>
        <v>#N/A</v>
      </c>
      <c r="BP72" s="14" t="e">
        <f t="shared" ca="1" si="27"/>
        <v>#N/A</v>
      </c>
      <c r="BQ72" s="14" t="e">
        <f t="shared" ca="1" si="27"/>
        <v>#N/A</v>
      </c>
      <c r="BR72" s="14" t="e">
        <f t="shared" ca="1" si="27"/>
        <v>#N/A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 t="e">
        <f t="shared" ca="1" si="25"/>
        <v>#N/A</v>
      </c>
      <c r="G73" s="14" t="e">
        <f t="shared" ca="1" si="27"/>
        <v>#N/A</v>
      </c>
      <c r="H73" s="14" t="e">
        <f t="shared" ca="1" si="27"/>
        <v>#N/A</v>
      </c>
      <c r="I73" s="14" t="e">
        <f t="shared" ca="1" si="27"/>
        <v>#N/A</v>
      </c>
      <c r="J73" s="14" t="e">
        <f t="shared" ca="1" si="27"/>
        <v>#N/A</v>
      </c>
      <c r="K73" s="14" t="e">
        <f t="shared" ca="1" si="27"/>
        <v>#N/A</v>
      </c>
      <c r="L73" s="14" t="e">
        <f t="shared" ca="1" si="27"/>
        <v>#N/A</v>
      </c>
      <c r="M73" s="14" t="e">
        <f t="shared" ca="1" si="27"/>
        <v>#N/A</v>
      </c>
      <c r="N73" s="14" t="e">
        <f t="shared" ca="1" si="27"/>
        <v>#N/A</v>
      </c>
      <c r="O73" s="14" t="e">
        <f t="shared" ca="1" si="27"/>
        <v>#N/A</v>
      </c>
      <c r="P73" s="14" t="e">
        <f t="shared" ca="1" si="27"/>
        <v>#N/A</v>
      </c>
      <c r="Q73" s="14" t="e">
        <f t="shared" ca="1" si="27"/>
        <v>#N/A</v>
      </c>
      <c r="R73" s="14" t="e">
        <f t="shared" ca="1" si="27"/>
        <v>#N/A</v>
      </c>
      <c r="S73" s="14" t="e">
        <f t="shared" ca="1" si="27"/>
        <v>#N/A</v>
      </c>
      <c r="T73" s="14" t="e">
        <f t="shared" ca="1" si="27"/>
        <v>#N/A</v>
      </c>
      <c r="U73" s="14" t="e">
        <f t="shared" ca="1" si="27"/>
        <v>#N/A</v>
      </c>
      <c r="V73" s="14" t="e">
        <f t="shared" ca="1" si="27"/>
        <v>#N/A</v>
      </c>
      <c r="W73" s="14" t="e">
        <f t="shared" ca="1" si="27"/>
        <v>#N/A</v>
      </c>
      <c r="X73" s="14" t="e">
        <f t="shared" ca="1" si="27"/>
        <v>#N/A</v>
      </c>
      <c r="Y73" s="14" t="e">
        <f t="shared" ca="1" si="27"/>
        <v>#N/A</v>
      </c>
      <c r="Z73" s="14" t="e">
        <f t="shared" ca="1" si="27"/>
        <v>#N/A</v>
      </c>
      <c r="AA73" s="14" t="e">
        <f t="shared" ca="1" si="27"/>
        <v>#N/A</v>
      </c>
      <c r="AB73" s="14" t="e">
        <f t="shared" ca="1" si="27"/>
        <v>#N/A</v>
      </c>
      <c r="AC73" s="14" t="e">
        <f t="shared" ca="1" si="27"/>
        <v>#N/A</v>
      </c>
      <c r="AD73" s="14" t="e">
        <f t="shared" ca="1" si="27"/>
        <v>#N/A</v>
      </c>
      <c r="AE73" s="14" t="e">
        <f t="shared" ca="1" si="27"/>
        <v>#N/A</v>
      </c>
      <c r="AF73" s="14" t="e">
        <f t="shared" ca="1" si="27"/>
        <v>#N/A</v>
      </c>
      <c r="AG73" s="14" t="e">
        <f t="shared" ca="1" si="27"/>
        <v>#N/A</v>
      </c>
      <c r="AH73" s="14" t="e">
        <f t="shared" ca="1" si="27"/>
        <v>#N/A</v>
      </c>
      <c r="AI73" s="14" t="e">
        <f t="shared" ca="1" si="27"/>
        <v>#N/A</v>
      </c>
      <c r="AJ73" s="14" t="e">
        <f t="shared" ca="1" si="27"/>
        <v>#N/A</v>
      </c>
      <c r="AK73" s="14" t="e">
        <f t="shared" ca="1" si="27"/>
        <v>#N/A</v>
      </c>
      <c r="AL73" s="14" t="e">
        <f t="shared" ca="1" si="27"/>
        <v>#N/A</v>
      </c>
      <c r="AM73" s="14" t="e">
        <f t="shared" ca="1" si="27"/>
        <v>#N/A</v>
      </c>
      <c r="AN73" s="14" t="e">
        <f t="shared" ca="1" si="27"/>
        <v>#N/A</v>
      </c>
      <c r="AO73" s="14" t="e">
        <f t="shared" ca="1" si="27"/>
        <v>#N/A</v>
      </c>
      <c r="AP73" s="14" t="e">
        <f t="shared" ca="1" si="27"/>
        <v>#N/A</v>
      </c>
      <c r="AQ73" s="14" t="e">
        <f t="shared" ca="1" si="27"/>
        <v>#N/A</v>
      </c>
      <c r="AR73" s="14" t="e">
        <f t="shared" ca="1" si="27"/>
        <v>#N/A</v>
      </c>
      <c r="AS73" s="14" t="e">
        <f t="shared" ca="1" si="27"/>
        <v>#N/A</v>
      </c>
      <c r="AT73" s="14" t="e">
        <f t="shared" ca="1" si="27"/>
        <v>#N/A</v>
      </c>
      <c r="AU73" s="14" t="e">
        <f t="shared" ca="1" si="27"/>
        <v>#N/A</v>
      </c>
      <c r="AV73" s="14" t="e">
        <f t="shared" ca="1" si="27"/>
        <v>#N/A</v>
      </c>
      <c r="AW73" s="14" t="e">
        <f t="shared" ca="1" si="27"/>
        <v>#N/A</v>
      </c>
      <c r="AX73" s="14" t="e">
        <f t="shared" ca="1" si="27"/>
        <v>#N/A</v>
      </c>
      <c r="AY73" s="14" t="e">
        <f t="shared" ca="1" si="27"/>
        <v>#N/A</v>
      </c>
      <c r="AZ73" s="14" t="e">
        <f t="shared" ca="1" si="27"/>
        <v>#N/A</v>
      </c>
      <c r="BA73" s="14" t="e">
        <f t="shared" ca="1" si="27"/>
        <v>#N/A</v>
      </c>
      <c r="BB73" s="14" t="e">
        <f t="shared" ca="1" si="27"/>
        <v>#N/A</v>
      </c>
      <c r="BC73" s="14" t="e">
        <f t="shared" ca="1" si="27"/>
        <v>#N/A</v>
      </c>
      <c r="BD73" s="14" t="e">
        <f t="shared" ca="1" si="27"/>
        <v>#N/A</v>
      </c>
      <c r="BE73" s="14" t="e">
        <f t="shared" ca="1" si="27"/>
        <v>#N/A</v>
      </c>
      <c r="BF73" s="14" t="e">
        <f t="shared" ca="1" si="27"/>
        <v>#N/A</v>
      </c>
      <c r="BG73" s="14" t="e">
        <f t="shared" ca="1" si="27"/>
        <v>#N/A</v>
      </c>
      <c r="BH73" s="14" t="e">
        <f t="shared" ca="1" si="27"/>
        <v>#N/A</v>
      </c>
      <c r="BI73" s="14" t="e">
        <f t="shared" ca="1" si="27"/>
        <v>#N/A</v>
      </c>
      <c r="BJ73" s="14" t="e">
        <f t="shared" ca="1" si="27"/>
        <v>#N/A</v>
      </c>
      <c r="BK73" s="14" t="e">
        <f t="shared" ca="1" si="27"/>
        <v>#N/A</v>
      </c>
      <c r="BL73" s="14" t="e">
        <f t="shared" ca="1" si="27"/>
        <v>#N/A</v>
      </c>
      <c r="BM73" s="14" t="e">
        <f t="shared" ca="1" si="27"/>
        <v>#N/A</v>
      </c>
      <c r="BN73" s="14" t="e">
        <f t="shared" ca="1" si="27"/>
        <v>#N/A</v>
      </c>
      <c r="BO73" s="14" t="e">
        <f t="shared" ca="1" si="27"/>
        <v>#N/A</v>
      </c>
      <c r="BP73" s="14" t="e">
        <f t="shared" ca="1" si="27"/>
        <v>#N/A</v>
      </c>
      <c r="BQ73" s="14" t="e">
        <f t="shared" ca="1" si="27"/>
        <v>#N/A</v>
      </c>
      <c r="BR73" s="14" t="e">
        <f t="shared" ca="1" si="27"/>
        <v>#N/A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 t="e">
        <f t="shared" ca="1" si="25"/>
        <v>#N/A</v>
      </c>
      <c r="G74" s="14" t="e">
        <f t="shared" ca="1" si="27"/>
        <v>#N/A</v>
      </c>
      <c r="H74" s="14" t="e">
        <f t="shared" ca="1" si="27"/>
        <v>#N/A</v>
      </c>
      <c r="I74" s="14" t="e">
        <f t="shared" ca="1" si="27"/>
        <v>#N/A</v>
      </c>
      <c r="J74" s="14" t="e">
        <f t="shared" ca="1" si="27"/>
        <v>#N/A</v>
      </c>
      <c r="K74" s="14" t="e">
        <f t="shared" ca="1" si="27"/>
        <v>#N/A</v>
      </c>
      <c r="L74" s="14" t="e">
        <f t="shared" ca="1" si="27"/>
        <v>#N/A</v>
      </c>
      <c r="M74" s="14" t="e">
        <f t="shared" ca="1" si="27"/>
        <v>#N/A</v>
      </c>
      <c r="N74" s="14" t="e">
        <f t="shared" ca="1" si="27"/>
        <v>#N/A</v>
      </c>
      <c r="O74" s="14" t="e">
        <f t="shared" ca="1" si="27"/>
        <v>#N/A</v>
      </c>
      <c r="P74" s="14" t="e">
        <f t="shared" ca="1" si="27"/>
        <v>#N/A</v>
      </c>
      <c r="Q74" s="14" t="e">
        <f t="shared" ca="1" si="27"/>
        <v>#N/A</v>
      </c>
      <c r="R74" s="14" t="e">
        <f t="shared" ca="1" si="27"/>
        <v>#N/A</v>
      </c>
      <c r="S74" s="14" t="e">
        <f t="shared" ca="1" si="27"/>
        <v>#N/A</v>
      </c>
      <c r="T74" s="14" t="e">
        <f t="shared" ca="1" si="27"/>
        <v>#N/A</v>
      </c>
      <c r="U74" s="14" t="e">
        <f t="shared" ca="1" si="27"/>
        <v>#N/A</v>
      </c>
      <c r="V74" s="14" t="e">
        <f t="shared" ca="1" si="27"/>
        <v>#N/A</v>
      </c>
      <c r="W74" s="14" t="e">
        <f t="shared" ca="1" si="27"/>
        <v>#N/A</v>
      </c>
      <c r="X74" s="14" t="e">
        <f t="shared" ca="1" si="27"/>
        <v>#N/A</v>
      </c>
      <c r="Y74" s="14" t="e">
        <f t="shared" ca="1" si="27"/>
        <v>#N/A</v>
      </c>
      <c r="Z74" s="14" t="e">
        <f t="shared" ca="1" si="27"/>
        <v>#N/A</v>
      </c>
      <c r="AA74" s="14" t="e">
        <f t="shared" ca="1" si="27"/>
        <v>#N/A</v>
      </c>
      <c r="AB74" s="14" t="e">
        <f t="shared" ca="1" si="27"/>
        <v>#N/A</v>
      </c>
      <c r="AC74" s="14" t="e">
        <f t="shared" ca="1" si="27"/>
        <v>#N/A</v>
      </c>
      <c r="AD74" s="14" t="e">
        <f t="shared" ca="1" si="27"/>
        <v>#N/A</v>
      </c>
      <c r="AE74" s="14" t="e">
        <f t="shared" ca="1" si="27"/>
        <v>#N/A</v>
      </c>
      <c r="AF74" s="14" t="e">
        <f t="shared" ca="1" si="27"/>
        <v>#N/A</v>
      </c>
      <c r="AG74" s="14" t="e">
        <f t="shared" ca="1" si="27"/>
        <v>#N/A</v>
      </c>
      <c r="AH74" s="14" t="e">
        <f t="shared" ca="1" si="27"/>
        <v>#N/A</v>
      </c>
      <c r="AI74" s="14" t="e">
        <f t="shared" ca="1" si="27"/>
        <v>#N/A</v>
      </c>
      <c r="AJ74" s="14" t="e">
        <f t="shared" ca="1" si="27"/>
        <v>#N/A</v>
      </c>
      <c r="AK74" s="14" t="e">
        <f t="shared" ca="1" si="27"/>
        <v>#N/A</v>
      </c>
      <c r="AL74" s="14" t="e">
        <f t="shared" ca="1" si="27"/>
        <v>#N/A</v>
      </c>
      <c r="AM74" s="14" t="e">
        <f t="shared" ca="1" si="27"/>
        <v>#N/A</v>
      </c>
      <c r="AN74" s="14" t="e">
        <f t="shared" ca="1" si="27"/>
        <v>#N/A</v>
      </c>
      <c r="AO74" s="14" t="e">
        <f t="shared" ca="1" si="27"/>
        <v>#N/A</v>
      </c>
      <c r="AP74" s="14" t="e">
        <f t="shared" ca="1" si="27"/>
        <v>#N/A</v>
      </c>
      <c r="AQ74" s="14" t="e">
        <f t="shared" ca="1" si="27"/>
        <v>#N/A</v>
      </c>
      <c r="AR74" s="14" t="e">
        <f t="shared" ca="1" si="27"/>
        <v>#N/A</v>
      </c>
      <c r="AS74" s="14" t="e">
        <f t="shared" ref="AS74:BR74" ca="1" si="28">$A74*H.Ar + $B74*H.Se + $C74*H.Ge + $D74*H.Ga</f>
        <v>#N/A</v>
      </c>
      <c r="AT74" s="14" t="e">
        <f t="shared" ca="1" si="28"/>
        <v>#N/A</v>
      </c>
      <c r="AU74" s="14" t="e">
        <f t="shared" ca="1" si="28"/>
        <v>#N/A</v>
      </c>
      <c r="AV74" s="14" t="e">
        <f t="shared" ca="1" si="28"/>
        <v>#N/A</v>
      </c>
      <c r="AW74" s="14" t="e">
        <f t="shared" ca="1" si="28"/>
        <v>#N/A</v>
      </c>
      <c r="AX74" s="14" t="e">
        <f t="shared" ca="1" si="28"/>
        <v>#N/A</v>
      </c>
      <c r="AY74" s="14" t="e">
        <f t="shared" ca="1" si="28"/>
        <v>#N/A</v>
      </c>
      <c r="AZ74" s="14" t="e">
        <f t="shared" ca="1" si="28"/>
        <v>#N/A</v>
      </c>
      <c r="BA74" s="14" t="e">
        <f t="shared" ca="1" si="28"/>
        <v>#N/A</v>
      </c>
      <c r="BB74" s="14" t="e">
        <f t="shared" ca="1" si="28"/>
        <v>#N/A</v>
      </c>
      <c r="BC74" s="14" t="e">
        <f t="shared" ca="1" si="28"/>
        <v>#N/A</v>
      </c>
      <c r="BD74" s="14" t="e">
        <f t="shared" ca="1" si="28"/>
        <v>#N/A</v>
      </c>
      <c r="BE74" s="14" t="e">
        <f t="shared" ca="1" si="28"/>
        <v>#N/A</v>
      </c>
      <c r="BF74" s="14" t="e">
        <f t="shared" ca="1" si="28"/>
        <v>#N/A</v>
      </c>
      <c r="BG74" s="14" t="e">
        <f t="shared" ca="1" si="28"/>
        <v>#N/A</v>
      </c>
      <c r="BH74" s="14" t="e">
        <f t="shared" ca="1" si="28"/>
        <v>#N/A</v>
      </c>
      <c r="BI74" s="14" t="e">
        <f t="shared" ca="1" si="28"/>
        <v>#N/A</v>
      </c>
      <c r="BJ74" s="14" t="e">
        <f t="shared" ca="1" si="28"/>
        <v>#N/A</v>
      </c>
      <c r="BK74" s="14" t="e">
        <f t="shared" ca="1" si="28"/>
        <v>#N/A</v>
      </c>
      <c r="BL74" s="14" t="e">
        <f t="shared" ca="1" si="28"/>
        <v>#N/A</v>
      </c>
      <c r="BM74" s="14" t="e">
        <f t="shared" ca="1" si="28"/>
        <v>#N/A</v>
      </c>
      <c r="BN74" s="14" t="e">
        <f t="shared" ca="1" si="28"/>
        <v>#N/A</v>
      </c>
      <c r="BO74" s="14" t="e">
        <f t="shared" ca="1" si="28"/>
        <v>#N/A</v>
      </c>
      <c r="BP74" s="14" t="e">
        <f t="shared" ca="1" si="28"/>
        <v>#N/A</v>
      </c>
      <c r="BQ74" s="14" t="e">
        <f t="shared" ca="1" si="28"/>
        <v>#N/A</v>
      </c>
      <c r="BR74" s="14" t="e">
        <f t="shared" ca="1" si="28"/>
        <v>#N/A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9">E45</f>
        <v>0</v>
      </c>
      <c r="F79" s="3">
        <f t="shared" ref="F79" si="30">F3</f>
        <v>0</v>
      </c>
      <c r="G79" s="3">
        <f t="shared" ref="G79:BR79" si="31">G3</f>
        <v>0</v>
      </c>
      <c r="H79" s="3">
        <f t="shared" si="31"/>
        <v>0</v>
      </c>
      <c r="I79" s="3">
        <f t="shared" si="31"/>
        <v>0</v>
      </c>
      <c r="J79" s="3">
        <f t="shared" si="31"/>
        <v>0</v>
      </c>
      <c r="K79" s="3">
        <f t="shared" si="31"/>
        <v>0</v>
      </c>
      <c r="L79" s="3">
        <f t="shared" si="31"/>
        <v>0</v>
      </c>
      <c r="M79" s="3">
        <f t="shared" si="31"/>
        <v>0</v>
      </c>
      <c r="N79" s="3">
        <f t="shared" si="31"/>
        <v>0</v>
      </c>
      <c r="O79" s="3">
        <f t="shared" si="31"/>
        <v>0</v>
      </c>
      <c r="P79" s="3">
        <f t="shared" si="31"/>
        <v>0</v>
      </c>
      <c r="Q79" s="3">
        <f t="shared" si="31"/>
        <v>0</v>
      </c>
      <c r="R79" s="3">
        <f t="shared" si="31"/>
        <v>0</v>
      </c>
      <c r="S79" s="3">
        <f t="shared" si="31"/>
        <v>0</v>
      </c>
      <c r="T79" s="3">
        <f t="shared" si="31"/>
        <v>0</v>
      </c>
      <c r="U79" s="3">
        <f t="shared" si="31"/>
        <v>0</v>
      </c>
      <c r="V79" s="3">
        <f t="shared" si="31"/>
        <v>0</v>
      </c>
      <c r="W79" s="3">
        <f t="shared" si="31"/>
        <v>0</v>
      </c>
      <c r="X79" s="3">
        <f t="shared" si="31"/>
        <v>0</v>
      </c>
      <c r="Y79" s="3">
        <f t="shared" si="31"/>
        <v>0</v>
      </c>
      <c r="Z79" s="3">
        <f t="shared" si="31"/>
        <v>0</v>
      </c>
      <c r="AA79" s="3">
        <f t="shared" si="31"/>
        <v>0</v>
      </c>
      <c r="AB79" s="3">
        <f t="shared" si="31"/>
        <v>0</v>
      </c>
      <c r="AC79" s="3">
        <f t="shared" si="31"/>
        <v>0</v>
      </c>
      <c r="AD79" s="3">
        <f t="shared" si="31"/>
        <v>0</v>
      </c>
      <c r="AE79" s="3">
        <f t="shared" si="31"/>
        <v>0</v>
      </c>
      <c r="AF79" s="3">
        <f t="shared" si="31"/>
        <v>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0</v>
      </c>
      <c r="C80" s="5">
        <f t="shared" si="32"/>
        <v>0</v>
      </c>
      <c r="D80" s="5">
        <f t="shared" si="32"/>
        <v>0</v>
      </c>
      <c r="E80" s="6">
        <f t="shared" si="29"/>
        <v>0</v>
      </c>
      <c r="F80" s="14">
        <f t="shared" ref="F80" si="33">F4*$C$78</f>
        <v>0</v>
      </c>
      <c r="G80" s="14">
        <f t="shared" ref="G80:BR80" si="34">G4*$C$78</f>
        <v>0</v>
      </c>
      <c r="H80" s="14">
        <f t="shared" si="34"/>
        <v>0</v>
      </c>
      <c r="I80" s="14">
        <f t="shared" si="34"/>
        <v>0</v>
      </c>
      <c r="J80" s="14">
        <f t="shared" si="34"/>
        <v>0</v>
      </c>
      <c r="K80" s="14">
        <f t="shared" si="34"/>
        <v>0</v>
      </c>
      <c r="L80" s="14">
        <f t="shared" si="34"/>
        <v>0</v>
      </c>
      <c r="M80" s="14">
        <f t="shared" si="34"/>
        <v>0</v>
      </c>
      <c r="N80" s="14">
        <f t="shared" si="34"/>
        <v>0</v>
      </c>
      <c r="O80" s="14">
        <f t="shared" si="34"/>
        <v>0</v>
      </c>
      <c r="P80" s="14">
        <f t="shared" si="34"/>
        <v>0</v>
      </c>
      <c r="Q80" s="14">
        <f t="shared" si="34"/>
        <v>0</v>
      </c>
      <c r="R80" s="14">
        <f t="shared" si="34"/>
        <v>0</v>
      </c>
      <c r="S80" s="14">
        <f t="shared" si="34"/>
        <v>0</v>
      </c>
      <c r="T80" s="14">
        <f t="shared" si="34"/>
        <v>0</v>
      </c>
      <c r="U80" s="14">
        <f t="shared" si="34"/>
        <v>0</v>
      </c>
      <c r="V80" s="14">
        <f t="shared" si="34"/>
        <v>0</v>
      </c>
      <c r="W80" s="14">
        <f t="shared" si="34"/>
        <v>0</v>
      </c>
      <c r="X80" s="14">
        <f t="shared" si="34"/>
        <v>0</v>
      </c>
      <c r="Y80" s="14">
        <f t="shared" si="34"/>
        <v>0</v>
      </c>
      <c r="Z80" s="14">
        <f t="shared" si="34"/>
        <v>0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0</v>
      </c>
      <c r="C81" s="5">
        <f t="shared" si="35"/>
        <v>0</v>
      </c>
      <c r="D81" s="5">
        <f t="shared" si="35"/>
        <v>0</v>
      </c>
      <c r="E81" s="6">
        <f t="shared" si="29"/>
        <v>0</v>
      </c>
      <c r="F81" s="14">
        <f t="shared" ref="F81" si="36">F5*$C$78</f>
        <v>0</v>
      </c>
      <c r="G81" s="14">
        <f t="shared" ref="G81:BR81" si="37">G5*$C$78</f>
        <v>0</v>
      </c>
      <c r="H81" s="14">
        <f t="shared" si="37"/>
        <v>0</v>
      </c>
      <c r="I81" s="14">
        <f t="shared" si="37"/>
        <v>0</v>
      </c>
      <c r="J81" s="14">
        <f t="shared" si="37"/>
        <v>0</v>
      </c>
      <c r="K81" s="14">
        <f t="shared" si="37"/>
        <v>0</v>
      </c>
      <c r="L81" s="14">
        <f t="shared" si="37"/>
        <v>0</v>
      </c>
      <c r="M81" s="14">
        <f t="shared" si="37"/>
        <v>0</v>
      </c>
      <c r="N81" s="14">
        <f t="shared" si="37"/>
        <v>0</v>
      </c>
      <c r="O81" s="14">
        <f t="shared" si="37"/>
        <v>0</v>
      </c>
      <c r="P81" s="14">
        <f t="shared" si="37"/>
        <v>0</v>
      </c>
      <c r="Q81" s="14">
        <f t="shared" si="37"/>
        <v>0</v>
      </c>
      <c r="R81" s="14">
        <f t="shared" si="37"/>
        <v>0</v>
      </c>
      <c r="S81" s="14">
        <f t="shared" si="37"/>
        <v>0</v>
      </c>
      <c r="T81" s="14">
        <f t="shared" si="37"/>
        <v>0</v>
      </c>
      <c r="U81" s="14">
        <f t="shared" si="37"/>
        <v>0</v>
      </c>
      <c r="V81" s="14">
        <f t="shared" si="37"/>
        <v>0</v>
      </c>
      <c r="W81" s="14">
        <f t="shared" si="37"/>
        <v>0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0</v>
      </c>
      <c r="C82" s="5">
        <f t="shared" si="35"/>
        <v>0</v>
      </c>
      <c r="D82" s="5">
        <f t="shared" si="35"/>
        <v>0</v>
      </c>
      <c r="E82" s="6">
        <f t="shared" si="29"/>
        <v>0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0</v>
      </c>
      <c r="M82" s="14">
        <f t="shared" si="39"/>
        <v>0</v>
      </c>
      <c r="N82" s="14">
        <f t="shared" si="39"/>
        <v>0</v>
      </c>
      <c r="O82" s="14">
        <f t="shared" si="39"/>
        <v>0</v>
      </c>
      <c r="P82" s="14">
        <f t="shared" si="39"/>
        <v>0</v>
      </c>
      <c r="Q82" s="14">
        <f t="shared" si="39"/>
        <v>0</v>
      </c>
      <c r="R82" s="14">
        <f t="shared" si="39"/>
        <v>0</v>
      </c>
      <c r="S82" s="14">
        <f t="shared" si="39"/>
        <v>0</v>
      </c>
      <c r="T82" s="14">
        <f t="shared" si="39"/>
        <v>0</v>
      </c>
      <c r="U82" s="14">
        <f t="shared" si="39"/>
        <v>0</v>
      </c>
      <c r="V82" s="14">
        <f t="shared" si="39"/>
        <v>0</v>
      </c>
      <c r="W82" s="14">
        <f t="shared" si="39"/>
        <v>0</v>
      </c>
      <c r="X82" s="14">
        <f t="shared" si="39"/>
        <v>0</v>
      </c>
      <c r="Y82" s="14">
        <f t="shared" si="39"/>
        <v>0</v>
      </c>
      <c r="Z82" s="14">
        <f t="shared" si="39"/>
        <v>0</v>
      </c>
      <c r="AA82" s="14">
        <f t="shared" si="39"/>
        <v>0</v>
      </c>
      <c r="AB82" s="14">
        <f t="shared" si="39"/>
        <v>0</v>
      </c>
      <c r="AC82" s="14">
        <f t="shared" si="39"/>
        <v>0</v>
      </c>
      <c r="AD82" s="14">
        <f t="shared" si="39"/>
        <v>0</v>
      </c>
      <c r="AE82" s="14">
        <f t="shared" si="39"/>
        <v>0</v>
      </c>
      <c r="AF82" s="14">
        <f t="shared" si="39"/>
        <v>0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0</v>
      </c>
      <c r="C83" s="5">
        <f t="shared" si="35"/>
        <v>0</v>
      </c>
      <c r="D83" s="5">
        <f t="shared" si="35"/>
        <v>0</v>
      </c>
      <c r="E83" s="6">
        <f t="shared" si="29"/>
        <v>0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0</v>
      </c>
      <c r="M83" s="14">
        <f t="shared" si="41"/>
        <v>0</v>
      </c>
      <c r="N83" s="14">
        <f t="shared" si="41"/>
        <v>0</v>
      </c>
      <c r="O83" s="14">
        <f t="shared" si="41"/>
        <v>0</v>
      </c>
      <c r="P83" s="14">
        <f t="shared" si="41"/>
        <v>0</v>
      </c>
      <c r="Q83" s="14">
        <f t="shared" si="41"/>
        <v>0</v>
      </c>
      <c r="R83" s="14">
        <f t="shared" si="41"/>
        <v>0</v>
      </c>
      <c r="S83" s="14">
        <f t="shared" si="41"/>
        <v>0</v>
      </c>
      <c r="T83" s="14">
        <f t="shared" si="41"/>
        <v>0</v>
      </c>
      <c r="U83" s="14">
        <f t="shared" si="41"/>
        <v>0</v>
      </c>
      <c r="V83" s="14">
        <f t="shared" si="41"/>
        <v>0</v>
      </c>
      <c r="W83" s="14">
        <f t="shared" si="41"/>
        <v>0</v>
      </c>
      <c r="X83" s="14">
        <f t="shared" si="41"/>
        <v>0</v>
      </c>
      <c r="Y83" s="14">
        <f t="shared" si="41"/>
        <v>0</v>
      </c>
      <c r="Z83" s="14">
        <f t="shared" si="41"/>
        <v>0</v>
      </c>
      <c r="AA83" s="14">
        <f t="shared" si="41"/>
        <v>0</v>
      </c>
      <c r="AB83" s="14">
        <f t="shared" si="41"/>
        <v>0</v>
      </c>
      <c r="AC83" s="14">
        <f t="shared" si="41"/>
        <v>0</v>
      </c>
      <c r="AD83" s="14">
        <f t="shared" si="41"/>
        <v>0</v>
      </c>
      <c r="AE83" s="14">
        <f t="shared" si="41"/>
        <v>0</v>
      </c>
      <c r="AF83" s="14">
        <f t="shared" si="41"/>
        <v>0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>
        <f t="shared" si="29"/>
        <v>0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0</v>
      </c>
      <c r="I84" s="14">
        <f t="shared" si="43"/>
        <v>0</v>
      </c>
      <c r="J84" s="14">
        <f t="shared" si="43"/>
        <v>0</v>
      </c>
      <c r="K84" s="14">
        <f t="shared" si="43"/>
        <v>0</v>
      </c>
      <c r="L84" s="14">
        <f t="shared" si="43"/>
        <v>0</v>
      </c>
      <c r="M84" s="14">
        <f t="shared" si="43"/>
        <v>0</v>
      </c>
      <c r="N84" s="14">
        <f t="shared" si="43"/>
        <v>0</v>
      </c>
      <c r="O84" s="14">
        <f t="shared" si="43"/>
        <v>0</v>
      </c>
      <c r="P84" s="14">
        <f t="shared" si="43"/>
        <v>0</v>
      </c>
      <c r="Q84" s="14">
        <f t="shared" si="43"/>
        <v>0</v>
      </c>
      <c r="R84" s="14">
        <f t="shared" si="43"/>
        <v>0</v>
      </c>
      <c r="S84" s="14">
        <f t="shared" si="43"/>
        <v>0</v>
      </c>
      <c r="T84" s="14">
        <f t="shared" si="43"/>
        <v>0</v>
      </c>
      <c r="U84" s="14">
        <f t="shared" si="43"/>
        <v>0</v>
      </c>
      <c r="V84" s="14">
        <f t="shared" si="43"/>
        <v>0</v>
      </c>
      <c r="W84" s="14">
        <f t="shared" si="43"/>
        <v>0</v>
      </c>
      <c r="X84" s="14">
        <f t="shared" si="43"/>
        <v>0</v>
      </c>
      <c r="Y84" s="14">
        <f t="shared" si="43"/>
        <v>0</v>
      </c>
      <c r="Z84" s="14">
        <f t="shared" si="43"/>
        <v>0</v>
      </c>
      <c r="AA84" s="14">
        <f t="shared" si="43"/>
        <v>0</v>
      </c>
      <c r="AB84" s="14">
        <f t="shared" si="43"/>
        <v>0</v>
      </c>
      <c r="AC84" s="14">
        <f t="shared" si="43"/>
        <v>0</v>
      </c>
      <c r="AD84" s="14">
        <f t="shared" si="43"/>
        <v>0</v>
      </c>
      <c r="AE84" s="14">
        <f t="shared" si="43"/>
        <v>0</v>
      </c>
      <c r="AF84" s="14">
        <f t="shared" si="43"/>
        <v>0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0</v>
      </c>
      <c r="C85" s="5">
        <f t="shared" si="35"/>
        <v>0</v>
      </c>
      <c r="D85" s="5">
        <f t="shared" si="35"/>
        <v>0</v>
      </c>
      <c r="E85" s="6">
        <f t="shared" si="29"/>
        <v>0</v>
      </c>
      <c r="F85" s="14">
        <f t="shared" ref="F85" si="44">F9*$C$78</f>
        <v>0</v>
      </c>
      <c r="G85" s="14">
        <f t="shared" ref="G85:BR85" si="45">G9*$C$78</f>
        <v>0</v>
      </c>
      <c r="H85" s="14">
        <f t="shared" si="45"/>
        <v>0</v>
      </c>
      <c r="I85" s="14">
        <f t="shared" si="45"/>
        <v>0</v>
      </c>
      <c r="J85" s="14">
        <f t="shared" si="45"/>
        <v>0</v>
      </c>
      <c r="K85" s="14">
        <f t="shared" si="45"/>
        <v>0</v>
      </c>
      <c r="L85" s="14">
        <f t="shared" si="45"/>
        <v>0</v>
      </c>
      <c r="M85" s="14">
        <f t="shared" si="45"/>
        <v>0</v>
      </c>
      <c r="N85" s="14">
        <f t="shared" si="45"/>
        <v>0</v>
      </c>
      <c r="O85" s="14">
        <f t="shared" si="45"/>
        <v>0</v>
      </c>
      <c r="P85" s="14">
        <f t="shared" si="45"/>
        <v>0</v>
      </c>
      <c r="Q85" s="14">
        <f t="shared" si="45"/>
        <v>0</v>
      </c>
      <c r="R85" s="14">
        <f t="shared" si="45"/>
        <v>0</v>
      </c>
      <c r="S85" s="14">
        <f t="shared" si="45"/>
        <v>0</v>
      </c>
      <c r="T85" s="14">
        <f t="shared" si="45"/>
        <v>0</v>
      </c>
      <c r="U85" s="14">
        <f t="shared" si="45"/>
        <v>0</v>
      </c>
      <c r="V85" s="14">
        <f t="shared" si="45"/>
        <v>0</v>
      </c>
      <c r="W85" s="14">
        <f t="shared" si="45"/>
        <v>0</v>
      </c>
      <c r="X85" s="14">
        <f t="shared" si="45"/>
        <v>0</v>
      </c>
      <c r="Y85" s="14">
        <f t="shared" si="45"/>
        <v>0</v>
      </c>
      <c r="Z85" s="14">
        <f t="shared" si="45"/>
        <v>0</v>
      </c>
      <c r="AA85" s="14">
        <f t="shared" si="45"/>
        <v>0</v>
      </c>
      <c r="AB85" s="14">
        <f t="shared" si="45"/>
        <v>0</v>
      </c>
      <c r="AC85" s="14">
        <f t="shared" si="45"/>
        <v>0</v>
      </c>
      <c r="AD85" s="14">
        <f t="shared" si="45"/>
        <v>0</v>
      </c>
      <c r="AE85" s="14">
        <f t="shared" si="45"/>
        <v>0</v>
      </c>
      <c r="AF85" s="14">
        <f t="shared" si="45"/>
        <v>0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0</v>
      </c>
      <c r="C86" s="5">
        <f t="shared" si="35"/>
        <v>0</v>
      </c>
      <c r="D86" s="5">
        <f t="shared" si="35"/>
        <v>0</v>
      </c>
      <c r="E86" s="6">
        <f t="shared" si="29"/>
        <v>0</v>
      </c>
      <c r="F86" s="14">
        <f t="shared" ref="F86" si="46">F10*$C$78</f>
        <v>0</v>
      </c>
      <c r="G86" s="14">
        <f t="shared" ref="G86:BR86" si="47">G10*$C$78</f>
        <v>0</v>
      </c>
      <c r="H86" s="14">
        <f t="shared" si="47"/>
        <v>0</v>
      </c>
      <c r="I86" s="14">
        <f t="shared" si="47"/>
        <v>0</v>
      </c>
      <c r="J86" s="14">
        <f t="shared" si="47"/>
        <v>0</v>
      </c>
      <c r="K86" s="14">
        <f t="shared" si="47"/>
        <v>0</v>
      </c>
      <c r="L86" s="14">
        <f t="shared" si="47"/>
        <v>0</v>
      </c>
      <c r="M86" s="14">
        <f t="shared" si="47"/>
        <v>0</v>
      </c>
      <c r="N86" s="14">
        <f t="shared" si="47"/>
        <v>0</v>
      </c>
      <c r="O86" s="14">
        <f t="shared" si="47"/>
        <v>0</v>
      </c>
      <c r="P86" s="14">
        <f t="shared" si="47"/>
        <v>0</v>
      </c>
      <c r="Q86" s="14">
        <f t="shared" si="47"/>
        <v>0</v>
      </c>
      <c r="R86" s="14">
        <f t="shared" si="47"/>
        <v>0</v>
      </c>
      <c r="S86" s="14">
        <f t="shared" si="47"/>
        <v>0</v>
      </c>
      <c r="T86" s="14">
        <f t="shared" si="47"/>
        <v>0</v>
      </c>
      <c r="U86" s="14">
        <f t="shared" si="47"/>
        <v>0</v>
      </c>
      <c r="V86" s="14">
        <f t="shared" si="47"/>
        <v>0</v>
      </c>
      <c r="W86" s="14">
        <f t="shared" si="47"/>
        <v>0</v>
      </c>
      <c r="X86" s="14">
        <f t="shared" si="47"/>
        <v>0</v>
      </c>
      <c r="Y86" s="14">
        <f t="shared" si="47"/>
        <v>0</v>
      </c>
      <c r="Z86" s="14">
        <f t="shared" si="47"/>
        <v>0</v>
      </c>
      <c r="AA86" s="14">
        <f t="shared" si="47"/>
        <v>0</v>
      </c>
      <c r="AB86" s="14">
        <f t="shared" si="47"/>
        <v>0</v>
      </c>
      <c r="AC86" s="14">
        <f t="shared" si="47"/>
        <v>0</v>
      </c>
      <c r="AD86" s="14">
        <f t="shared" si="47"/>
        <v>0</v>
      </c>
      <c r="AE86" s="14">
        <f t="shared" si="47"/>
        <v>0</v>
      </c>
      <c r="AF86" s="14">
        <f t="shared" si="47"/>
        <v>0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0</v>
      </c>
      <c r="C87" s="5">
        <f t="shared" si="35"/>
        <v>0</v>
      </c>
      <c r="D87" s="5">
        <f t="shared" si="35"/>
        <v>0</v>
      </c>
      <c r="E87" s="6">
        <f t="shared" si="29"/>
        <v>0</v>
      </c>
      <c r="F87" s="14">
        <f t="shared" ref="F87" si="48">F11*$C$78</f>
        <v>0</v>
      </c>
      <c r="G87" s="14">
        <f t="shared" ref="G87:BR87" si="49">G11*$C$78</f>
        <v>0</v>
      </c>
      <c r="H87" s="14">
        <f t="shared" si="49"/>
        <v>0</v>
      </c>
      <c r="I87" s="14">
        <f t="shared" si="49"/>
        <v>0</v>
      </c>
      <c r="J87" s="14">
        <f t="shared" si="49"/>
        <v>0</v>
      </c>
      <c r="K87" s="14">
        <f t="shared" si="49"/>
        <v>0</v>
      </c>
      <c r="L87" s="14">
        <f t="shared" si="49"/>
        <v>0</v>
      </c>
      <c r="M87" s="14">
        <f t="shared" si="49"/>
        <v>0</v>
      </c>
      <c r="N87" s="14">
        <f t="shared" si="49"/>
        <v>0</v>
      </c>
      <c r="O87" s="14">
        <f t="shared" si="49"/>
        <v>0</v>
      </c>
      <c r="P87" s="14">
        <f t="shared" si="49"/>
        <v>0</v>
      </c>
      <c r="Q87" s="14">
        <f t="shared" si="49"/>
        <v>0</v>
      </c>
      <c r="R87" s="14">
        <f t="shared" si="49"/>
        <v>0</v>
      </c>
      <c r="S87" s="14">
        <f t="shared" si="49"/>
        <v>0</v>
      </c>
      <c r="T87" s="14">
        <f t="shared" si="49"/>
        <v>0</v>
      </c>
      <c r="U87" s="14">
        <f t="shared" si="49"/>
        <v>0</v>
      </c>
      <c r="V87" s="14">
        <f t="shared" si="49"/>
        <v>0</v>
      </c>
      <c r="W87" s="14">
        <f t="shared" si="49"/>
        <v>0</v>
      </c>
      <c r="X87" s="14">
        <f t="shared" si="49"/>
        <v>0</v>
      </c>
      <c r="Y87" s="14">
        <f t="shared" si="49"/>
        <v>0</v>
      </c>
      <c r="Z87" s="14">
        <f t="shared" si="49"/>
        <v>0</v>
      </c>
      <c r="AA87" s="14">
        <f t="shared" si="49"/>
        <v>0</v>
      </c>
      <c r="AB87" s="14">
        <f t="shared" si="49"/>
        <v>0</v>
      </c>
      <c r="AC87" s="14">
        <f t="shared" si="49"/>
        <v>0</v>
      </c>
      <c r="AD87" s="14">
        <f t="shared" si="49"/>
        <v>0</v>
      </c>
      <c r="AE87" s="14">
        <f t="shared" si="49"/>
        <v>0</v>
      </c>
      <c r="AF87" s="14">
        <f t="shared" si="49"/>
        <v>0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0</v>
      </c>
      <c r="C88" s="5">
        <f t="shared" si="35"/>
        <v>0</v>
      </c>
      <c r="D88" s="5">
        <f t="shared" si="35"/>
        <v>0</v>
      </c>
      <c r="E88" s="6">
        <f t="shared" si="29"/>
        <v>0</v>
      </c>
      <c r="F88" s="14">
        <f t="shared" ref="F88" si="50">F12*$C$78</f>
        <v>0</v>
      </c>
      <c r="G88" s="14">
        <f t="shared" ref="G88:BR88" si="51">G12*$C$78</f>
        <v>0</v>
      </c>
      <c r="H88" s="14">
        <f t="shared" si="51"/>
        <v>0</v>
      </c>
      <c r="I88" s="14">
        <f t="shared" si="51"/>
        <v>0</v>
      </c>
      <c r="J88" s="14">
        <f t="shared" si="51"/>
        <v>0</v>
      </c>
      <c r="K88" s="14">
        <f t="shared" si="51"/>
        <v>0</v>
      </c>
      <c r="L88" s="14">
        <f t="shared" si="51"/>
        <v>0</v>
      </c>
      <c r="M88" s="14">
        <f t="shared" si="51"/>
        <v>0</v>
      </c>
      <c r="N88" s="14">
        <f t="shared" si="51"/>
        <v>0</v>
      </c>
      <c r="O88" s="14">
        <f t="shared" si="51"/>
        <v>0</v>
      </c>
      <c r="P88" s="14">
        <f t="shared" si="51"/>
        <v>0</v>
      </c>
      <c r="Q88" s="14">
        <f t="shared" si="51"/>
        <v>0</v>
      </c>
      <c r="R88" s="14">
        <f t="shared" si="51"/>
        <v>0</v>
      </c>
      <c r="S88" s="14">
        <f t="shared" si="51"/>
        <v>0</v>
      </c>
      <c r="T88" s="14">
        <f t="shared" si="51"/>
        <v>0</v>
      </c>
      <c r="U88" s="14">
        <f t="shared" si="51"/>
        <v>0</v>
      </c>
      <c r="V88" s="14">
        <f t="shared" si="51"/>
        <v>0</v>
      </c>
      <c r="W88" s="14">
        <f t="shared" si="51"/>
        <v>0</v>
      </c>
      <c r="X88" s="14">
        <f t="shared" si="51"/>
        <v>0</v>
      </c>
      <c r="Y88" s="14">
        <f t="shared" si="51"/>
        <v>0</v>
      </c>
      <c r="Z88" s="14">
        <f t="shared" si="51"/>
        <v>0</v>
      </c>
      <c r="AA88" s="14">
        <f t="shared" si="51"/>
        <v>0</v>
      </c>
      <c r="AB88" s="14">
        <f t="shared" si="51"/>
        <v>0</v>
      </c>
      <c r="AC88" s="14">
        <f t="shared" si="51"/>
        <v>0</v>
      </c>
      <c r="AD88" s="14">
        <f t="shared" si="51"/>
        <v>0</v>
      </c>
      <c r="AE88" s="14">
        <f t="shared" si="51"/>
        <v>0</v>
      </c>
      <c r="AF88" s="14">
        <f t="shared" si="51"/>
        <v>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0</v>
      </c>
      <c r="C89" s="5">
        <f t="shared" si="35"/>
        <v>0</v>
      </c>
      <c r="D89" s="5">
        <f t="shared" si="35"/>
        <v>0</v>
      </c>
      <c r="E89" s="6">
        <f t="shared" si="29"/>
        <v>0</v>
      </c>
      <c r="F89" s="14">
        <f t="shared" ref="F89" si="52">F13*$C$78</f>
        <v>0</v>
      </c>
      <c r="G89" s="14">
        <f t="shared" ref="G89:BR89" si="53">G13*$C$78</f>
        <v>0</v>
      </c>
      <c r="H89" s="14">
        <f t="shared" si="53"/>
        <v>0</v>
      </c>
      <c r="I89" s="14">
        <f t="shared" si="53"/>
        <v>0</v>
      </c>
      <c r="J89" s="14">
        <f t="shared" si="53"/>
        <v>0</v>
      </c>
      <c r="K89" s="14">
        <f t="shared" si="53"/>
        <v>0</v>
      </c>
      <c r="L89" s="14">
        <f t="shared" si="53"/>
        <v>0</v>
      </c>
      <c r="M89" s="14">
        <f t="shared" si="53"/>
        <v>0</v>
      </c>
      <c r="N89" s="14">
        <f t="shared" si="53"/>
        <v>0</v>
      </c>
      <c r="O89" s="14">
        <f t="shared" si="53"/>
        <v>0</v>
      </c>
      <c r="P89" s="14">
        <f t="shared" si="53"/>
        <v>0</v>
      </c>
      <c r="Q89" s="14">
        <f t="shared" si="53"/>
        <v>0</v>
      </c>
      <c r="R89" s="14">
        <f t="shared" si="53"/>
        <v>0</v>
      </c>
      <c r="S89" s="14">
        <f t="shared" si="53"/>
        <v>0</v>
      </c>
      <c r="T89" s="14">
        <f t="shared" si="53"/>
        <v>0</v>
      </c>
      <c r="U89" s="14">
        <f t="shared" si="53"/>
        <v>0</v>
      </c>
      <c r="V89" s="14">
        <f t="shared" si="53"/>
        <v>0</v>
      </c>
      <c r="W89" s="14">
        <f t="shared" si="53"/>
        <v>0</v>
      </c>
      <c r="X89" s="14">
        <f t="shared" si="53"/>
        <v>0</v>
      </c>
      <c r="Y89" s="14">
        <f t="shared" si="53"/>
        <v>0</v>
      </c>
      <c r="Z89" s="14">
        <f t="shared" si="53"/>
        <v>0</v>
      </c>
      <c r="AA89" s="14">
        <f t="shared" si="53"/>
        <v>0</v>
      </c>
      <c r="AB89" s="14">
        <f t="shared" si="53"/>
        <v>0</v>
      </c>
      <c r="AC89" s="14">
        <f t="shared" si="53"/>
        <v>0</v>
      </c>
      <c r="AD89" s="14">
        <f t="shared" si="53"/>
        <v>0</v>
      </c>
      <c r="AE89" s="14">
        <f t="shared" si="53"/>
        <v>0</v>
      </c>
      <c r="AF89" s="14">
        <f t="shared" si="53"/>
        <v>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0</v>
      </c>
      <c r="C90" s="5">
        <f t="shared" si="35"/>
        <v>0</v>
      </c>
      <c r="D90" s="5">
        <f t="shared" si="35"/>
        <v>0</v>
      </c>
      <c r="E90" s="6">
        <f t="shared" si="29"/>
        <v>0</v>
      </c>
      <c r="F90" s="14">
        <f t="shared" ref="F90" si="54">F14*$C$78</f>
        <v>0</v>
      </c>
      <c r="G90" s="14">
        <f t="shared" ref="G90:BR90" si="55">G14*$C$78</f>
        <v>0</v>
      </c>
      <c r="H90" s="14">
        <f t="shared" si="55"/>
        <v>0</v>
      </c>
      <c r="I90" s="14">
        <f t="shared" si="55"/>
        <v>0</v>
      </c>
      <c r="J90" s="14">
        <f t="shared" si="55"/>
        <v>0</v>
      </c>
      <c r="K90" s="14">
        <f t="shared" si="55"/>
        <v>0</v>
      </c>
      <c r="L90" s="14">
        <f t="shared" si="55"/>
        <v>0</v>
      </c>
      <c r="M90" s="14">
        <f t="shared" si="55"/>
        <v>0</v>
      </c>
      <c r="N90" s="14">
        <f t="shared" si="55"/>
        <v>0</v>
      </c>
      <c r="O90" s="14">
        <f t="shared" si="55"/>
        <v>0</v>
      </c>
      <c r="P90" s="14">
        <f t="shared" si="55"/>
        <v>0</v>
      </c>
      <c r="Q90" s="14">
        <f t="shared" si="55"/>
        <v>0</v>
      </c>
      <c r="R90" s="14">
        <f t="shared" si="55"/>
        <v>0</v>
      </c>
      <c r="S90" s="14">
        <f t="shared" si="55"/>
        <v>0</v>
      </c>
      <c r="T90" s="14">
        <f t="shared" si="55"/>
        <v>0</v>
      </c>
      <c r="U90" s="14">
        <f t="shared" si="55"/>
        <v>0</v>
      </c>
      <c r="V90" s="14">
        <f t="shared" si="55"/>
        <v>0</v>
      </c>
      <c r="W90" s="14">
        <f t="shared" si="55"/>
        <v>0</v>
      </c>
      <c r="X90" s="14">
        <f t="shared" si="55"/>
        <v>0</v>
      </c>
      <c r="Y90" s="14">
        <f t="shared" si="55"/>
        <v>0</v>
      </c>
      <c r="Z90" s="14">
        <f t="shared" si="55"/>
        <v>0</v>
      </c>
      <c r="AA90" s="14">
        <f t="shared" si="55"/>
        <v>0</v>
      </c>
      <c r="AB90" s="14">
        <f t="shared" si="55"/>
        <v>0</v>
      </c>
      <c r="AC90" s="14">
        <f t="shared" si="55"/>
        <v>0</v>
      </c>
      <c r="AD90" s="14">
        <f t="shared" si="55"/>
        <v>0</v>
      </c>
      <c r="AE90" s="14">
        <f t="shared" si="55"/>
        <v>0</v>
      </c>
      <c r="AF90" s="14">
        <f t="shared" si="55"/>
        <v>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0</v>
      </c>
      <c r="E91" s="6">
        <f t="shared" si="29"/>
        <v>0</v>
      </c>
      <c r="F91" s="14">
        <f t="shared" ref="F91" si="56">F15*$C$78</f>
        <v>0</v>
      </c>
      <c r="G91" s="14">
        <f t="shared" ref="G91:BR91" si="57">G15*$C$78</f>
        <v>0</v>
      </c>
      <c r="H91" s="14">
        <f t="shared" si="57"/>
        <v>0</v>
      </c>
      <c r="I91" s="14">
        <f t="shared" si="57"/>
        <v>0</v>
      </c>
      <c r="J91" s="14">
        <f t="shared" si="57"/>
        <v>0</v>
      </c>
      <c r="K91" s="14">
        <f t="shared" si="57"/>
        <v>0</v>
      </c>
      <c r="L91" s="14">
        <f t="shared" si="57"/>
        <v>0</v>
      </c>
      <c r="M91" s="14">
        <f t="shared" si="57"/>
        <v>0</v>
      </c>
      <c r="N91" s="14">
        <f t="shared" si="57"/>
        <v>0</v>
      </c>
      <c r="O91" s="14">
        <f t="shared" si="57"/>
        <v>0</v>
      </c>
      <c r="P91" s="14">
        <f t="shared" si="57"/>
        <v>0</v>
      </c>
      <c r="Q91" s="14">
        <f t="shared" si="57"/>
        <v>0</v>
      </c>
      <c r="R91" s="14">
        <f t="shared" si="57"/>
        <v>0</v>
      </c>
      <c r="S91" s="14">
        <f t="shared" si="57"/>
        <v>0</v>
      </c>
      <c r="T91" s="14">
        <f t="shared" si="57"/>
        <v>0</v>
      </c>
      <c r="U91" s="14">
        <f t="shared" si="57"/>
        <v>0</v>
      </c>
      <c r="V91" s="14">
        <f t="shared" si="57"/>
        <v>0</v>
      </c>
      <c r="W91" s="14">
        <f t="shared" si="57"/>
        <v>0</v>
      </c>
      <c r="X91" s="14">
        <f t="shared" si="57"/>
        <v>0</v>
      </c>
      <c r="Y91" s="14">
        <f t="shared" si="57"/>
        <v>0</v>
      </c>
      <c r="Z91" s="14">
        <f t="shared" si="57"/>
        <v>0</v>
      </c>
      <c r="AA91" s="14">
        <f t="shared" si="57"/>
        <v>0</v>
      </c>
      <c r="AB91" s="14">
        <f t="shared" si="57"/>
        <v>0</v>
      </c>
      <c r="AC91" s="14">
        <f t="shared" si="57"/>
        <v>0</v>
      </c>
      <c r="AD91" s="14">
        <f t="shared" si="57"/>
        <v>0</v>
      </c>
      <c r="AE91" s="14">
        <f t="shared" si="57"/>
        <v>0</v>
      </c>
      <c r="AF91" s="14">
        <f t="shared" si="57"/>
        <v>0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0</v>
      </c>
      <c r="C92" s="5">
        <f t="shared" si="35"/>
        <v>0</v>
      </c>
      <c r="D92" s="5">
        <f t="shared" si="35"/>
        <v>0</v>
      </c>
      <c r="E92" s="6">
        <f t="shared" si="29"/>
        <v>0</v>
      </c>
      <c r="F92" s="14">
        <f t="shared" ref="F92" si="58">F16*$C$78</f>
        <v>0</v>
      </c>
      <c r="G92" s="14">
        <f t="shared" ref="G92:BR92" si="59">G16*$C$78</f>
        <v>0</v>
      </c>
      <c r="H92" s="14">
        <f t="shared" si="59"/>
        <v>0</v>
      </c>
      <c r="I92" s="14">
        <f t="shared" si="59"/>
        <v>0</v>
      </c>
      <c r="J92" s="14">
        <f t="shared" si="59"/>
        <v>0</v>
      </c>
      <c r="K92" s="14">
        <f t="shared" si="59"/>
        <v>0</v>
      </c>
      <c r="L92" s="14">
        <f t="shared" si="59"/>
        <v>0</v>
      </c>
      <c r="M92" s="14">
        <f t="shared" si="59"/>
        <v>0</v>
      </c>
      <c r="N92" s="14">
        <f t="shared" si="59"/>
        <v>0</v>
      </c>
      <c r="O92" s="14">
        <f t="shared" si="59"/>
        <v>0</v>
      </c>
      <c r="P92" s="14">
        <f t="shared" si="59"/>
        <v>0</v>
      </c>
      <c r="Q92" s="14">
        <f t="shared" si="59"/>
        <v>0</v>
      </c>
      <c r="R92" s="14">
        <f t="shared" si="59"/>
        <v>0</v>
      </c>
      <c r="S92" s="14">
        <f t="shared" si="59"/>
        <v>0</v>
      </c>
      <c r="T92" s="14">
        <f t="shared" si="59"/>
        <v>0</v>
      </c>
      <c r="U92" s="14">
        <f t="shared" si="59"/>
        <v>0</v>
      </c>
      <c r="V92" s="14">
        <f t="shared" si="59"/>
        <v>0</v>
      </c>
      <c r="W92" s="14">
        <f t="shared" si="59"/>
        <v>0</v>
      </c>
      <c r="X92" s="14">
        <f t="shared" si="59"/>
        <v>0</v>
      </c>
      <c r="Y92" s="14">
        <f t="shared" si="59"/>
        <v>0</v>
      </c>
      <c r="Z92" s="14">
        <f t="shared" si="59"/>
        <v>0</v>
      </c>
      <c r="AA92" s="14">
        <f t="shared" si="59"/>
        <v>0</v>
      </c>
      <c r="AB92" s="14">
        <f t="shared" si="59"/>
        <v>0</v>
      </c>
      <c r="AC92" s="14">
        <f t="shared" si="59"/>
        <v>0</v>
      </c>
      <c r="AD92" s="14">
        <f t="shared" si="59"/>
        <v>0</v>
      </c>
      <c r="AE92" s="14">
        <f t="shared" si="59"/>
        <v>0</v>
      </c>
      <c r="AF92" s="14">
        <f t="shared" si="59"/>
        <v>0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0</v>
      </c>
      <c r="C93" s="5">
        <f t="shared" si="35"/>
        <v>0</v>
      </c>
      <c r="D93" s="5">
        <f t="shared" si="35"/>
        <v>0</v>
      </c>
      <c r="E93" s="6">
        <f t="shared" si="29"/>
        <v>0</v>
      </c>
      <c r="F93" s="14">
        <f t="shared" ref="F93" si="60">F17*$C$78</f>
        <v>0</v>
      </c>
      <c r="G93" s="14">
        <f t="shared" ref="G93:BR93" si="61">G17*$C$78</f>
        <v>0</v>
      </c>
      <c r="H93" s="14">
        <f t="shared" si="61"/>
        <v>0</v>
      </c>
      <c r="I93" s="14">
        <f t="shared" si="61"/>
        <v>0</v>
      </c>
      <c r="J93" s="14">
        <f t="shared" si="61"/>
        <v>0</v>
      </c>
      <c r="K93" s="14">
        <f t="shared" si="61"/>
        <v>0</v>
      </c>
      <c r="L93" s="14">
        <f t="shared" si="61"/>
        <v>0</v>
      </c>
      <c r="M93" s="14">
        <f t="shared" si="61"/>
        <v>0</v>
      </c>
      <c r="N93" s="14">
        <f t="shared" si="61"/>
        <v>0</v>
      </c>
      <c r="O93" s="14">
        <f t="shared" si="61"/>
        <v>0</v>
      </c>
      <c r="P93" s="14">
        <f t="shared" si="61"/>
        <v>0</v>
      </c>
      <c r="Q93" s="14">
        <f t="shared" si="61"/>
        <v>0</v>
      </c>
      <c r="R93" s="14">
        <f t="shared" si="61"/>
        <v>0</v>
      </c>
      <c r="S93" s="14">
        <f t="shared" si="61"/>
        <v>0</v>
      </c>
      <c r="T93" s="14">
        <f t="shared" si="61"/>
        <v>0</v>
      </c>
      <c r="U93" s="14">
        <f t="shared" si="61"/>
        <v>0</v>
      </c>
      <c r="V93" s="14">
        <f t="shared" si="61"/>
        <v>0</v>
      </c>
      <c r="W93" s="14">
        <f t="shared" si="61"/>
        <v>0</v>
      </c>
      <c r="X93" s="14">
        <f t="shared" si="61"/>
        <v>0</v>
      </c>
      <c r="Y93" s="14">
        <f t="shared" si="61"/>
        <v>0</v>
      </c>
      <c r="Z93" s="14">
        <f t="shared" si="61"/>
        <v>0</v>
      </c>
      <c r="AA93" s="14">
        <f t="shared" si="61"/>
        <v>0</v>
      </c>
      <c r="AB93" s="14">
        <f t="shared" si="61"/>
        <v>0</v>
      </c>
      <c r="AC93" s="14">
        <f t="shared" si="61"/>
        <v>0</v>
      </c>
      <c r="AD93" s="14">
        <f t="shared" si="61"/>
        <v>0</v>
      </c>
      <c r="AE93" s="14">
        <f t="shared" si="61"/>
        <v>0</v>
      </c>
      <c r="AF93" s="14">
        <f t="shared" si="61"/>
        <v>0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0</v>
      </c>
      <c r="D94" s="5">
        <f t="shared" si="35"/>
        <v>0</v>
      </c>
      <c r="E94" s="6">
        <f t="shared" si="29"/>
        <v>0</v>
      </c>
      <c r="F94" s="14">
        <f t="shared" ref="F94" si="62">F18*$C$78</f>
        <v>0</v>
      </c>
      <c r="G94" s="14">
        <f t="shared" ref="G94:BR94" si="63">G18*$C$78</f>
        <v>0</v>
      </c>
      <c r="H94" s="14">
        <f t="shared" si="63"/>
        <v>0</v>
      </c>
      <c r="I94" s="14">
        <f t="shared" si="63"/>
        <v>0</v>
      </c>
      <c r="J94" s="14">
        <f t="shared" si="63"/>
        <v>0</v>
      </c>
      <c r="K94" s="14">
        <f t="shared" si="63"/>
        <v>0</v>
      </c>
      <c r="L94" s="14">
        <f t="shared" si="63"/>
        <v>0</v>
      </c>
      <c r="M94" s="14">
        <f t="shared" si="63"/>
        <v>0</v>
      </c>
      <c r="N94" s="14">
        <f t="shared" si="63"/>
        <v>0</v>
      </c>
      <c r="O94" s="14">
        <f t="shared" si="63"/>
        <v>0</v>
      </c>
      <c r="P94" s="14">
        <f t="shared" si="63"/>
        <v>0</v>
      </c>
      <c r="Q94" s="14">
        <f t="shared" si="63"/>
        <v>0</v>
      </c>
      <c r="R94" s="14">
        <f t="shared" si="63"/>
        <v>0</v>
      </c>
      <c r="S94" s="14">
        <f t="shared" si="63"/>
        <v>0</v>
      </c>
      <c r="T94" s="14">
        <f t="shared" si="63"/>
        <v>0</v>
      </c>
      <c r="U94" s="14">
        <f t="shared" si="63"/>
        <v>0</v>
      </c>
      <c r="V94" s="14">
        <f t="shared" si="63"/>
        <v>0</v>
      </c>
      <c r="W94" s="14">
        <f t="shared" si="63"/>
        <v>0</v>
      </c>
      <c r="X94" s="14">
        <f t="shared" si="63"/>
        <v>0</v>
      </c>
      <c r="Y94" s="14">
        <f t="shared" si="63"/>
        <v>0</v>
      </c>
      <c r="Z94" s="14">
        <f t="shared" si="63"/>
        <v>0</v>
      </c>
      <c r="AA94" s="14">
        <f t="shared" si="63"/>
        <v>0</v>
      </c>
      <c r="AB94" s="14">
        <f t="shared" si="63"/>
        <v>0</v>
      </c>
      <c r="AC94" s="14">
        <f t="shared" si="63"/>
        <v>0</v>
      </c>
      <c r="AD94" s="14">
        <f t="shared" si="63"/>
        <v>0</v>
      </c>
      <c r="AE94" s="14">
        <f t="shared" si="63"/>
        <v>0</v>
      </c>
      <c r="AF94" s="14">
        <f t="shared" si="63"/>
        <v>0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0</v>
      </c>
      <c r="C95" s="5">
        <f t="shared" si="35"/>
        <v>0</v>
      </c>
      <c r="D95" s="5">
        <f t="shared" si="35"/>
        <v>0</v>
      </c>
      <c r="E95" s="6">
        <f t="shared" si="29"/>
        <v>0</v>
      </c>
      <c r="F95" s="14">
        <f t="shared" ref="F95" si="64">F19*$C$78</f>
        <v>0</v>
      </c>
      <c r="G95" s="14">
        <f t="shared" ref="G95:BR95" si="65">G19*$C$78</f>
        <v>0</v>
      </c>
      <c r="H95" s="14">
        <f t="shared" si="65"/>
        <v>0</v>
      </c>
      <c r="I95" s="14">
        <f t="shared" si="65"/>
        <v>0</v>
      </c>
      <c r="J95" s="14">
        <f t="shared" si="65"/>
        <v>0</v>
      </c>
      <c r="K95" s="14">
        <f t="shared" si="65"/>
        <v>0</v>
      </c>
      <c r="L95" s="14">
        <f t="shared" si="65"/>
        <v>0</v>
      </c>
      <c r="M95" s="14">
        <f t="shared" si="65"/>
        <v>0</v>
      </c>
      <c r="N95" s="14">
        <f t="shared" si="65"/>
        <v>0</v>
      </c>
      <c r="O95" s="14">
        <f t="shared" si="65"/>
        <v>0</v>
      </c>
      <c r="P95" s="14">
        <f t="shared" si="65"/>
        <v>0</v>
      </c>
      <c r="Q95" s="14">
        <f t="shared" si="65"/>
        <v>0</v>
      </c>
      <c r="R95" s="14">
        <f t="shared" si="65"/>
        <v>0</v>
      </c>
      <c r="S95" s="14">
        <f t="shared" si="65"/>
        <v>0</v>
      </c>
      <c r="T95" s="14">
        <f t="shared" si="65"/>
        <v>0</v>
      </c>
      <c r="U95" s="14">
        <f t="shared" si="65"/>
        <v>0</v>
      </c>
      <c r="V95" s="14">
        <f t="shared" si="65"/>
        <v>0</v>
      </c>
      <c r="W95" s="14">
        <f t="shared" si="65"/>
        <v>0</v>
      </c>
      <c r="X95" s="14">
        <f t="shared" si="65"/>
        <v>0</v>
      </c>
      <c r="Y95" s="14">
        <f t="shared" si="65"/>
        <v>0</v>
      </c>
      <c r="Z95" s="14">
        <f t="shared" si="65"/>
        <v>0</v>
      </c>
      <c r="AA95" s="14">
        <f t="shared" si="65"/>
        <v>0</v>
      </c>
      <c r="AB95" s="14">
        <f t="shared" si="65"/>
        <v>0</v>
      </c>
      <c r="AC95" s="14">
        <f t="shared" si="65"/>
        <v>0</v>
      </c>
      <c r="AD95" s="14">
        <f t="shared" si="65"/>
        <v>0</v>
      </c>
      <c r="AE95" s="14">
        <f t="shared" si="65"/>
        <v>0</v>
      </c>
      <c r="AF95" s="14">
        <f t="shared" si="65"/>
        <v>0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0</v>
      </c>
      <c r="D96" s="5">
        <f t="shared" si="35"/>
        <v>0</v>
      </c>
      <c r="E96" s="6">
        <f t="shared" si="29"/>
        <v>0</v>
      </c>
      <c r="F96" s="14">
        <f t="shared" ref="F96" si="66">F20*$C$78</f>
        <v>0</v>
      </c>
      <c r="G96" s="14">
        <f t="shared" ref="G96:BR96" si="67">G20*$C$78</f>
        <v>0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0</v>
      </c>
      <c r="N96" s="14">
        <f t="shared" si="67"/>
        <v>0</v>
      </c>
      <c r="O96" s="14">
        <f t="shared" si="67"/>
        <v>0</v>
      </c>
      <c r="P96" s="14">
        <f t="shared" si="67"/>
        <v>0</v>
      </c>
      <c r="Q96" s="14">
        <f t="shared" si="67"/>
        <v>0</v>
      </c>
      <c r="R96" s="14">
        <f t="shared" si="67"/>
        <v>0</v>
      </c>
      <c r="S96" s="14">
        <f t="shared" si="67"/>
        <v>0</v>
      </c>
      <c r="T96" s="14">
        <f t="shared" si="67"/>
        <v>0</v>
      </c>
      <c r="U96" s="14">
        <f t="shared" si="67"/>
        <v>0</v>
      </c>
      <c r="V96" s="14">
        <f t="shared" si="67"/>
        <v>0</v>
      </c>
      <c r="W96" s="14">
        <f t="shared" si="67"/>
        <v>0</v>
      </c>
      <c r="X96" s="14">
        <f t="shared" si="67"/>
        <v>0</v>
      </c>
      <c r="Y96" s="14">
        <f t="shared" si="67"/>
        <v>0</v>
      </c>
      <c r="Z96" s="14">
        <f t="shared" si="67"/>
        <v>0</v>
      </c>
      <c r="AA96" s="14">
        <f t="shared" si="67"/>
        <v>0</v>
      </c>
      <c r="AB96" s="14">
        <f t="shared" si="67"/>
        <v>0</v>
      </c>
      <c r="AC96" s="14">
        <f t="shared" si="67"/>
        <v>0</v>
      </c>
      <c r="AD96" s="14">
        <f t="shared" si="67"/>
        <v>0</v>
      </c>
      <c r="AE96" s="14">
        <f t="shared" si="67"/>
        <v>0</v>
      </c>
      <c r="AF96" s="14">
        <f t="shared" si="67"/>
        <v>0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>
        <f t="shared" si="29"/>
        <v>0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0</v>
      </c>
      <c r="O97" s="14">
        <f t="shared" si="70"/>
        <v>0</v>
      </c>
      <c r="P97" s="14">
        <f t="shared" si="70"/>
        <v>0</v>
      </c>
      <c r="Q97" s="14">
        <f t="shared" si="70"/>
        <v>0</v>
      </c>
      <c r="R97" s="14">
        <f t="shared" si="70"/>
        <v>0</v>
      </c>
      <c r="S97" s="14">
        <f t="shared" si="70"/>
        <v>0</v>
      </c>
      <c r="T97" s="14">
        <f t="shared" si="70"/>
        <v>0</v>
      </c>
      <c r="U97" s="14">
        <f t="shared" si="70"/>
        <v>0</v>
      </c>
      <c r="V97" s="14">
        <f t="shared" si="70"/>
        <v>0</v>
      </c>
      <c r="W97" s="14">
        <f t="shared" si="70"/>
        <v>0</v>
      </c>
      <c r="X97" s="14">
        <f t="shared" si="70"/>
        <v>0</v>
      </c>
      <c r="Y97" s="14">
        <f t="shared" si="70"/>
        <v>0</v>
      </c>
      <c r="Z97" s="14">
        <f t="shared" si="70"/>
        <v>0</v>
      </c>
      <c r="AA97" s="14">
        <f t="shared" si="70"/>
        <v>0</v>
      </c>
      <c r="AB97" s="14">
        <f t="shared" si="70"/>
        <v>0</v>
      </c>
      <c r="AC97" s="14">
        <f t="shared" si="70"/>
        <v>0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>
        <f t="shared" si="29"/>
        <v>0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0</v>
      </c>
      <c r="N98" s="14">
        <f t="shared" si="72"/>
        <v>0</v>
      </c>
      <c r="O98" s="14">
        <f t="shared" si="72"/>
        <v>0</v>
      </c>
      <c r="P98" s="14">
        <f t="shared" si="72"/>
        <v>0</v>
      </c>
      <c r="Q98" s="14">
        <f t="shared" si="72"/>
        <v>0</v>
      </c>
      <c r="R98" s="14">
        <f t="shared" si="72"/>
        <v>0</v>
      </c>
      <c r="S98" s="14">
        <f t="shared" si="72"/>
        <v>0</v>
      </c>
      <c r="T98" s="14">
        <f t="shared" si="72"/>
        <v>0</v>
      </c>
      <c r="U98" s="14">
        <f t="shared" si="72"/>
        <v>0</v>
      </c>
      <c r="V98" s="14">
        <f t="shared" si="72"/>
        <v>0</v>
      </c>
      <c r="W98" s="14">
        <f t="shared" si="72"/>
        <v>0</v>
      </c>
      <c r="X98" s="14">
        <f t="shared" si="72"/>
        <v>0</v>
      </c>
      <c r="Y98" s="14">
        <f t="shared" si="72"/>
        <v>0</v>
      </c>
      <c r="Z98" s="14">
        <f t="shared" si="72"/>
        <v>0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0</v>
      </c>
      <c r="O99" s="14">
        <f t="shared" si="74"/>
        <v>0</v>
      </c>
      <c r="P99" s="14">
        <f t="shared" si="74"/>
        <v>0</v>
      </c>
      <c r="Q99" s="14">
        <f t="shared" si="74"/>
        <v>0</v>
      </c>
      <c r="R99" s="14">
        <f t="shared" si="74"/>
        <v>0</v>
      </c>
      <c r="S99" s="14">
        <f t="shared" si="74"/>
        <v>0</v>
      </c>
      <c r="T99" s="14">
        <f t="shared" si="74"/>
        <v>0</v>
      </c>
      <c r="U99" s="14">
        <f t="shared" si="74"/>
        <v>0</v>
      </c>
      <c r="V99" s="14">
        <f t="shared" si="74"/>
        <v>0</v>
      </c>
      <c r="W99" s="14">
        <f t="shared" si="74"/>
        <v>0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0</v>
      </c>
      <c r="O100" s="14">
        <f t="shared" si="76"/>
        <v>0</v>
      </c>
      <c r="P100" s="14">
        <f t="shared" si="76"/>
        <v>0</v>
      </c>
      <c r="Q100" s="14">
        <f t="shared" si="76"/>
        <v>0</v>
      </c>
      <c r="R100" s="14">
        <f t="shared" si="76"/>
        <v>0</v>
      </c>
      <c r="S100" s="14">
        <f t="shared" si="76"/>
        <v>0</v>
      </c>
      <c r="T100" s="14">
        <f t="shared" si="76"/>
        <v>0</v>
      </c>
      <c r="U100" s="14">
        <f t="shared" si="76"/>
        <v>0</v>
      </c>
      <c r="V100" s="14">
        <f t="shared" si="76"/>
        <v>0</v>
      </c>
      <c r="W100" s="14">
        <f t="shared" si="76"/>
        <v>0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>
        <f t="shared" ref="F101" si="77">F25*$C$78</f>
        <v>0</v>
      </c>
      <c r="G101" s="14">
        <f t="shared" ref="G101:BR101" si="78">G25*$C$78</f>
        <v>0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0</v>
      </c>
      <c r="N101" s="14">
        <f t="shared" si="78"/>
        <v>0</v>
      </c>
      <c r="O101" s="14">
        <f t="shared" si="78"/>
        <v>0</v>
      </c>
      <c r="P101" s="14">
        <f t="shared" si="78"/>
        <v>0</v>
      </c>
      <c r="Q101" s="14">
        <f t="shared" si="78"/>
        <v>0</v>
      </c>
      <c r="R101" s="14">
        <f t="shared" si="78"/>
        <v>0</v>
      </c>
      <c r="S101" s="14">
        <f t="shared" si="78"/>
        <v>0</v>
      </c>
      <c r="T101" s="14">
        <f t="shared" si="78"/>
        <v>0</v>
      </c>
      <c r="U101" s="14">
        <f t="shared" si="78"/>
        <v>0</v>
      </c>
      <c r="V101" s="14">
        <f t="shared" si="78"/>
        <v>0</v>
      </c>
      <c r="W101" s="14">
        <f t="shared" si="78"/>
        <v>0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58"/>
      <c r="B113" s="158"/>
      <c r="C113" s="21" t="s">
        <v>10</v>
      </c>
      <c r="D113" s="15" t="s">
        <v>11</v>
      </c>
      <c r="E113" s="15"/>
      <c r="F113" s="4">
        <f t="shared" ref="F113:AL113" si="93">F3</f>
        <v>0</v>
      </c>
      <c r="G113" s="4">
        <f t="shared" si="93"/>
        <v>0</v>
      </c>
      <c r="H113" s="4">
        <f t="shared" si="93"/>
        <v>0</v>
      </c>
      <c r="I113" s="4">
        <f t="shared" si="93"/>
        <v>0</v>
      </c>
      <c r="J113" s="4">
        <f t="shared" si="93"/>
        <v>0</v>
      </c>
      <c r="K113" s="4">
        <f t="shared" si="93"/>
        <v>0</v>
      </c>
      <c r="L113" s="4">
        <f t="shared" si="93"/>
        <v>0</v>
      </c>
      <c r="M113" s="4">
        <f t="shared" si="93"/>
        <v>0</v>
      </c>
      <c r="N113" s="4">
        <f t="shared" si="93"/>
        <v>0</v>
      </c>
      <c r="O113" s="4">
        <f t="shared" si="93"/>
        <v>0</v>
      </c>
      <c r="P113" s="4">
        <f t="shared" si="93"/>
        <v>0</v>
      </c>
      <c r="Q113" s="4">
        <f t="shared" si="93"/>
        <v>0</v>
      </c>
      <c r="R113" s="4">
        <f t="shared" si="93"/>
        <v>0</v>
      </c>
      <c r="S113" s="4">
        <f t="shared" si="93"/>
        <v>0</v>
      </c>
      <c r="T113" s="4">
        <f t="shared" si="93"/>
        <v>0</v>
      </c>
      <c r="U113" s="4">
        <f t="shared" si="93"/>
        <v>0</v>
      </c>
      <c r="V113" s="4">
        <f t="shared" si="93"/>
        <v>0</v>
      </c>
      <c r="W113" s="4">
        <f t="shared" si="93"/>
        <v>0</v>
      </c>
      <c r="X113" s="4">
        <f t="shared" si="93"/>
        <v>0</v>
      </c>
      <c r="Y113" s="4">
        <f t="shared" si="93"/>
        <v>0</v>
      </c>
      <c r="Z113" s="4">
        <f t="shared" si="93"/>
        <v>0</v>
      </c>
      <c r="AA113" s="4">
        <f t="shared" si="93"/>
        <v>0</v>
      </c>
      <c r="AB113" s="4">
        <f t="shared" si="93"/>
        <v>0</v>
      </c>
      <c r="AC113" s="4">
        <f t="shared" si="93"/>
        <v>0</v>
      </c>
      <c r="AD113" s="4">
        <f t="shared" si="93"/>
        <v>0</v>
      </c>
      <c r="AE113" s="4">
        <f t="shared" si="93"/>
        <v>0</v>
      </c>
      <c r="AF113" s="4">
        <f t="shared" si="93"/>
        <v>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 t="e">
        <f t="shared" ref="F114:BQ114" ca="1" si="95">F$113*$B$2*SUMPRODUCT(F$85:F$94,F$51:F$60)/1000</f>
        <v>#N/A</v>
      </c>
      <c r="G114" s="46" t="e">
        <f t="shared" ca="1" si="95"/>
        <v>#N/A</v>
      </c>
      <c r="H114" s="46" t="e">
        <f t="shared" ca="1" si="95"/>
        <v>#N/A</v>
      </c>
      <c r="I114" s="46" t="e">
        <f t="shared" ca="1" si="95"/>
        <v>#N/A</v>
      </c>
      <c r="J114" s="46" t="e">
        <f t="shared" ca="1" si="95"/>
        <v>#N/A</v>
      </c>
      <c r="K114" s="46" t="e">
        <f t="shared" ca="1" si="95"/>
        <v>#N/A</v>
      </c>
      <c r="L114" s="46" t="e">
        <f t="shared" ca="1" si="95"/>
        <v>#N/A</v>
      </c>
      <c r="M114" s="46" t="e">
        <f t="shared" ca="1" si="95"/>
        <v>#N/A</v>
      </c>
      <c r="N114" s="46" t="e">
        <f t="shared" ca="1" si="95"/>
        <v>#N/A</v>
      </c>
      <c r="O114" s="46" t="e">
        <f t="shared" ca="1" si="95"/>
        <v>#N/A</v>
      </c>
      <c r="P114" s="46" t="e">
        <f t="shared" ca="1" si="95"/>
        <v>#N/A</v>
      </c>
      <c r="Q114" s="46" t="e">
        <f t="shared" ca="1" si="95"/>
        <v>#N/A</v>
      </c>
      <c r="R114" s="46" t="e">
        <f t="shared" ca="1" si="95"/>
        <v>#N/A</v>
      </c>
      <c r="S114" s="46" t="e">
        <f t="shared" ca="1" si="95"/>
        <v>#N/A</v>
      </c>
      <c r="T114" s="46" t="e">
        <f t="shared" ca="1" si="95"/>
        <v>#N/A</v>
      </c>
      <c r="U114" s="46" t="e">
        <f t="shared" ca="1" si="95"/>
        <v>#N/A</v>
      </c>
      <c r="V114" s="46" t="e">
        <f t="shared" ca="1" si="95"/>
        <v>#N/A</v>
      </c>
      <c r="W114" s="46" t="e">
        <f t="shared" ca="1" si="95"/>
        <v>#N/A</v>
      </c>
      <c r="X114" s="46" t="e">
        <f t="shared" ca="1" si="95"/>
        <v>#N/A</v>
      </c>
      <c r="Y114" s="46" t="e">
        <f t="shared" ca="1" si="95"/>
        <v>#N/A</v>
      </c>
      <c r="Z114" s="46" t="e">
        <f t="shared" ca="1" si="95"/>
        <v>#N/A</v>
      </c>
      <c r="AA114" s="46" t="e">
        <f t="shared" ca="1" si="95"/>
        <v>#N/A</v>
      </c>
      <c r="AB114" s="46" t="e">
        <f t="shared" ca="1" si="95"/>
        <v>#N/A</v>
      </c>
      <c r="AC114" s="46" t="e">
        <f t="shared" ca="1" si="95"/>
        <v>#N/A</v>
      </c>
      <c r="AD114" s="46" t="e">
        <f t="shared" ca="1" si="95"/>
        <v>#N/A</v>
      </c>
      <c r="AE114" s="46" t="e">
        <f t="shared" ca="1" si="95"/>
        <v>#N/A</v>
      </c>
      <c r="AF114" s="46" t="e">
        <f t="shared" ca="1" si="95"/>
        <v>#N/A</v>
      </c>
      <c r="AG114" s="46" t="e">
        <f t="shared" ca="1" si="95"/>
        <v>#N/A</v>
      </c>
      <c r="AH114" s="46" t="e">
        <f t="shared" ca="1" si="95"/>
        <v>#N/A</v>
      </c>
      <c r="AI114" s="46" t="e">
        <f t="shared" ca="1" si="95"/>
        <v>#N/A</v>
      </c>
      <c r="AJ114" s="46" t="e">
        <f t="shared" ca="1" si="95"/>
        <v>#N/A</v>
      </c>
      <c r="AK114" s="46" t="e">
        <f t="shared" ca="1" si="95"/>
        <v>#N/A</v>
      </c>
      <c r="AL114" s="46" t="e">
        <f t="shared" ca="1" si="95"/>
        <v>#N/A</v>
      </c>
      <c r="AM114" s="46" t="e">
        <f t="shared" ca="1" si="95"/>
        <v>#N/A</v>
      </c>
      <c r="AN114" s="46" t="e">
        <f t="shared" ca="1" si="95"/>
        <v>#N/A</v>
      </c>
      <c r="AO114" s="46" t="e">
        <f t="shared" ca="1" si="95"/>
        <v>#N/A</v>
      </c>
      <c r="AP114" s="46" t="e">
        <f t="shared" ca="1" si="95"/>
        <v>#N/A</v>
      </c>
      <c r="AQ114" s="46" t="e">
        <f t="shared" ca="1" si="95"/>
        <v>#N/A</v>
      </c>
      <c r="AR114" s="46" t="e">
        <f t="shared" ca="1" si="95"/>
        <v>#N/A</v>
      </c>
      <c r="AS114" s="46" t="e">
        <f t="shared" ca="1" si="95"/>
        <v>#N/A</v>
      </c>
      <c r="AT114" s="46" t="e">
        <f t="shared" ca="1" si="95"/>
        <v>#N/A</v>
      </c>
      <c r="AU114" s="46" t="e">
        <f t="shared" ca="1" si="95"/>
        <v>#N/A</v>
      </c>
      <c r="AV114" s="46" t="e">
        <f t="shared" ca="1" si="95"/>
        <v>#N/A</v>
      </c>
      <c r="AW114" s="46" t="e">
        <f t="shared" ca="1" si="95"/>
        <v>#N/A</v>
      </c>
      <c r="AX114" s="46" t="e">
        <f t="shared" ca="1" si="95"/>
        <v>#N/A</v>
      </c>
      <c r="AY114" s="46" t="e">
        <f t="shared" ca="1" si="95"/>
        <v>#N/A</v>
      </c>
      <c r="AZ114" s="46" t="e">
        <f t="shared" ca="1" si="95"/>
        <v>#N/A</v>
      </c>
      <c r="BA114" s="46" t="e">
        <f t="shared" ca="1" si="95"/>
        <v>#N/A</v>
      </c>
      <c r="BB114" s="46" t="e">
        <f t="shared" ca="1" si="95"/>
        <v>#N/A</v>
      </c>
      <c r="BC114" s="46" t="e">
        <f t="shared" ca="1" si="95"/>
        <v>#N/A</v>
      </c>
      <c r="BD114" s="46" t="e">
        <f t="shared" ca="1" si="95"/>
        <v>#N/A</v>
      </c>
      <c r="BE114" s="46" t="e">
        <f t="shared" ca="1" si="95"/>
        <v>#N/A</v>
      </c>
      <c r="BF114" s="46" t="e">
        <f t="shared" ca="1" si="95"/>
        <v>#N/A</v>
      </c>
      <c r="BG114" s="46" t="e">
        <f t="shared" ca="1" si="95"/>
        <v>#N/A</v>
      </c>
      <c r="BH114" s="46" t="e">
        <f t="shared" ca="1" si="95"/>
        <v>#N/A</v>
      </c>
      <c r="BI114" s="46" t="e">
        <f t="shared" ca="1" si="95"/>
        <v>#N/A</v>
      </c>
      <c r="BJ114" s="46" t="e">
        <f t="shared" ca="1" si="95"/>
        <v>#N/A</v>
      </c>
      <c r="BK114" s="46" t="e">
        <f t="shared" ca="1" si="95"/>
        <v>#N/A</v>
      </c>
      <c r="BL114" s="46" t="e">
        <f t="shared" ca="1" si="95"/>
        <v>#N/A</v>
      </c>
      <c r="BM114" s="46" t="e">
        <f t="shared" ca="1" si="95"/>
        <v>#N/A</v>
      </c>
      <c r="BN114" s="46" t="e">
        <f t="shared" ca="1" si="95"/>
        <v>#N/A</v>
      </c>
      <c r="BO114" s="46" t="e">
        <f t="shared" ca="1" si="95"/>
        <v>#N/A</v>
      </c>
      <c r="BP114" s="46" t="e">
        <f t="shared" ca="1" si="95"/>
        <v>#N/A</v>
      </c>
      <c r="BQ114" s="46" t="e">
        <f t="shared" ca="1" si="95"/>
        <v>#N/A</v>
      </c>
      <c r="BR114" s="46" t="e">
        <f t="shared" ref="BR114" ca="1" si="96">BR$113*$B$2*SUMPRODUCT(BR$85:BR$94,BR$51:BR$60)/1000</f>
        <v>#N/A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0</v>
      </c>
      <c r="E115" s="17" t="s">
        <v>35</v>
      </c>
      <c r="F115" s="14" t="e">
        <f t="shared" ref="F115:BQ115" ca="1" si="97">F$113*$B$2*SUMPRODUCT(F$100:F$101,F$65:F$66)/1000</f>
        <v>#N/A</v>
      </c>
      <c r="G115" s="14" t="e">
        <f t="shared" ca="1" si="97"/>
        <v>#N/A</v>
      </c>
      <c r="H115" s="14" t="e">
        <f t="shared" ca="1" si="97"/>
        <v>#N/A</v>
      </c>
      <c r="I115" s="14" t="e">
        <f t="shared" ca="1" si="97"/>
        <v>#N/A</v>
      </c>
      <c r="J115" s="14" t="e">
        <f t="shared" ca="1" si="97"/>
        <v>#N/A</v>
      </c>
      <c r="K115" s="14" t="e">
        <f t="shared" ca="1" si="97"/>
        <v>#N/A</v>
      </c>
      <c r="L115" s="14" t="e">
        <f t="shared" ca="1" si="97"/>
        <v>#N/A</v>
      </c>
      <c r="M115" s="14" t="e">
        <f t="shared" ca="1" si="97"/>
        <v>#N/A</v>
      </c>
      <c r="N115" s="14" t="e">
        <f t="shared" ca="1" si="97"/>
        <v>#N/A</v>
      </c>
      <c r="O115" s="14" t="e">
        <f t="shared" ca="1" si="97"/>
        <v>#N/A</v>
      </c>
      <c r="P115" s="14" t="e">
        <f t="shared" ca="1" si="97"/>
        <v>#N/A</v>
      </c>
      <c r="Q115" s="14" t="e">
        <f t="shared" ca="1" si="97"/>
        <v>#N/A</v>
      </c>
      <c r="R115" s="14" t="e">
        <f t="shared" ca="1" si="97"/>
        <v>#N/A</v>
      </c>
      <c r="S115" s="14" t="e">
        <f t="shared" ca="1" si="97"/>
        <v>#N/A</v>
      </c>
      <c r="T115" s="14" t="e">
        <f t="shared" ca="1" si="97"/>
        <v>#N/A</v>
      </c>
      <c r="U115" s="14" t="e">
        <f t="shared" ca="1" si="97"/>
        <v>#N/A</v>
      </c>
      <c r="V115" s="14" t="e">
        <f t="shared" ca="1" si="97"/>
        <v>#N/A</v>
      </c>
      <c r="W115" s="14" t="e">
        <f t="shared" ca="1" si="97"/>
        <v>#N/A</v>
      </c>
      <c r="X115" s="14" t="e">
        <f t="shared" ca="1" si="97"/>
        <v>#N/A</v>
      </c>
      <c r="Y115" s="14" t="e">
        <f t="shared" ca="1" si="97"/>
        <v>#N/A</v>
      </c>
      <c r="Z115" s="14" t="e">
        <f t="shared" ca="1" si="97"/>
        <v>#N/A</v>
      </c>
      <c r="AA115" s="14" t="e">
        <f t="shared" ca="1" si="97"/>
        <v>#N/A</v>
      </c>
      <c r="AB115" s="14" t="e">
        <f t="shared" ca="1" si="97"/>
        <v>#N/A</v>
      </c>
      <c r="AC115" s="14" t="e">
        <f t="shared" ca="1" si="97"/>
        <v>#N/A</v>
      </c>
      <c r="AD115" s="14" t="e">
        <f t="shared" ca="1" si="97"/>
        <v>#N/A</v>
      </c>
      <c r="AE115" s="14" t="e">
        <f t="shared" ca="1" si="97"/>
        <v>#N/A</v>
      </c>
      <c r="AF115" s="14" t="e">
        <f t="shared" ca="1" si="97"/>
        <v>#N/A</v>
      </c>
      <c r="AG115" s="14" t="e">
        <f t="shared" ca="1" si="97"/>
        <v>#N/A</v>
      </c>
      <c r="AH115" s="14" t="e">
        <f t="shared" ca="1" si="97"/>
        <v>#N/A</v>
      </c>
      <c r="AI115" s="14" t="e">
        <f t="shared" ca="1" si="97"/>
        <v>#N/A</v>
      </c>
      <c r="AJ115" s="14" t="e">
        <f t="shared" ca="1" si="97"/>
        <v>#N/A</v>
      </c>
      <c r="AK115" s="14" t="e">
        <f t="shared" ca="1" si="97"/>
        <v>#N/A</v>
      </c>
      <c r="AL115" s="14" t="e">
        <f t="shared" ca="1" si="97"/>
        <v>#N/A</v>
      </c>
      <c r="AM115" s="14" t="e">
        <f t="shared" ca="1" si="97"/>
        <v>#N/A</v>
      </c>
      <c r="AN115" s="14" t="e">
        <f t="shared" ca="1" si="97"/>
        <v>#N/A</v>
      </c>
      <c r="AO115" s="14" t="e">
        <f t="shared" ca="1" si="97"/>
        <v>#N/A</v>
      </c>
      <c r="AP115" s="14" t="e">
        <f t="shared" ca="1" si="97"/>
        <v>#N/A</v>
      </c>
      <c r="AQ115" s="14" t="e">
        <f t="shared" ca="1" si="97"/>
        <v>#N/A</v>
      </c>
      <c r="AR115" s="14" t="e">
        <f t="shared" ca="1" si="97"/>
        <v>#N/A</v>
      </c>
      <c r="AS115" s="14" t="e">
        <f t="shared" ca="1" si="97"/>
        <v>#N/A</v>
      </c>
      <c r="AT115" s="14" t="e">
        <f t="shared" ca="1" si="97"/>
        <v>#N/A</v>
      </c>
      <c r="AU115" s="14" t="e">
        <f t="shared" ca="1" si="97"/>
        <v>#N/A</v>
      </c>
      <c r="AV115" s="14" t="e">
        <f t="shared" ca="1" si="97"/>
        <v>#N/A</v>
      </c>
      <c r="AW115" s="14" t="e">
        <f t="shared" ca="1" si="97"/>
        <v>#N/A</v>
      </c>
      <c r="AX115" s="14" t="e">
        <f t="shared" ca="1" si="97"/>
        <v>#N/A</v>
      </c>
      <c r="AY115" s="14" t="e">
        <f t="shared" ca="1" si="97"/>
        <v>#N/A</v>
      </c>
      <c r="AZ115" s="14" t="e">
        <f t="shared" ca="1" si="97"/>
        <v>#N/A</v>
      </c>
      <c r="BA115" s="14" t="e">
        <f t="shared" ca="1" si="97"/>
        <v>#N/A</v>
      </c>
      <c r="BB115" s="14" t="e">
        <f t="shared" ca="1" si="97"/>
        <v>#N/A</v>
      </c>
      <c r="BC115" s="14" t="e">
        <f t="shared" ca="1" si="97"/>
        <v>#N/A</v>
      </c>
      <c r="BD115" s="14" t="e">
        <f t="shared" ca="1" si="97"/>
        <v>#N/A</v>
      </c>
      <c r="BE115" s="14" t="e">
        <f t="shared" ca="1" si="97"/>
        <v>#N/A</v>
      </c>
      <c r="BF115" s="14" t="e">
        <f t="shared" ca="1" si="97"/>
        <v>#N/A</v>
      </c>
      <c r="BG115" s="14" t="e">
        <f t="shared" ca="1" si="97"/>
        <v>#N/A</v>
      </c>
      <c r="BH115" s="14" t="e">
        <f t="shared" ca="1" si="97"/>
        <v>#N/A</v>
      </c>
      <c r="BI115" s="14" t="e">
        <f t="shared" ca="1" si="97"/>
        <v>#N/A</v>
      </c>
      <c r="BJ115" s="14" t="e">
        <f t="shared" ca="1" si="97"/>
        <v>#N/A</v>
      </c>
      <c r="BK115" s="14" t="e">
        <f t="shared" ca="1" si="97"/>
        <v>#N/A</v>
      </c>
      <c r="BL115" s="14" t="e">
        <f t="shared" ca="1" si="97"/>
        <v>#N/A</v>
      </c>
      <c r="BM115" s="14" t="e">
        <f t="shared" ca="1" si="97"/>
        <v>#N/A</v>
      </c>
      <c r="BN115" s="14" t="e">
        <f t="shared" ca="1" si="97"/>
        <v>#N/A</v>
      </c>
      <c r="BO115" s="14" t="e">
        <f t="shared" ca="1" si="97"/>
        <v>#N/A</v>
      </c>
      <c r="BP115" s="14" t="e">
        <f t="shared" ca="1" si="97"/>
        <v>#N/A</v>
      </c>
      <c r="BQ115" s="14" t="e">
        <f t="shared" ca="1" si="97"/>
        <v>#N/A</v>
      </c>
      <c r="BR115" s="14" t="e">
        <f t="shared" ref="BR115" ca="1" si="98">BR$113*$B$2*SUMPRODUCT(BR$100:BR$101,BR$65:BR$66)/1000</f>
        <v>#N/A</v>
      </c>
      <c r="BS115" s="98"/>
    </row>
    <row r="116" spans="1:71" ht="21" hidden="1" customHeight="1" outlineLevel="1" thickBot="1" x14ac:dyDescent="0.4">
      <c r="E116" s="17" t="s">
        <v>13</v>
      </c>
      <c r="F116" s="14" t="e">
        <f t="shared" ref="F116:BQ116" ca="1" si="99">F$113*$B$2*SUMPRODUCT(F$82:F$83,F$48:F$49)/1000</f>
        <v>#N/A</v>
      </c>
      <c r="G116" s="14" t="e">
        <f t="shared" ca="1" si="99"/>
        <v>#N/A</v>
      </c>
      <c r="H116" s="14" t="e">
        <f t="shared" ca="1" si="99"/>
        <v>#N/A</v>
      </c>
      <c r="I116" s="14" t="e">
        <f t="shared" ca="1" si="99"/>
        <v>#N/A</v>
      </c>
      <c r="J116" s="14" t="e">
        <f t="shared" ca="1" si="99"/>
        <v>#N/A</v>
      </c>
      <c r="K116" s="14" t="e">
        <f t="shared" ca="1" si="99"/>
        <v>#N/A</v>
      </c>
      <c r="L116" s="14" t="e">
        <f t="shared" ca="1" si="99"/>
        <v>#N/A</v>
      </c>
      <c r="M116" s="14" t="e">
        <f t="shared" ca="1" si="99"/>
        <v>#N/A</v>
      </c>
      <c r="N116" s="14" t="e">
        <f t="shared" ca="1" si="99"/>
        <v>#N/A</v>
      </c>
      <c r="O116" s="14" t="e">
        <f t="shared" ca="1" si="99"/>
        <v>#N/A</v>
      </c>
      <c r="P116" s="14" t="e">
        <f t="shared" ca="1" si="99"/>
        <v>#N/A</v>
      </c>
      <c r="Q116" s="14" t="e">
        <f t="shared" ca="1" si="99"/>
        <v>#N/A</v>
      </c>
      <c r="R116" s="14" t="e">
        <f t="shared" ca="1" si="99"/>
        <v>#N/A</v>
      </c>
      <c r="S116" s="14" t="e">
        <f t="shared" ca="1" si="99"/>
        <v>#N/A</v>
      </c>
      <c r="T116" s="14" t="e">
        <f t="shared" ca="1" si="99"/>
        <v>#N/A</v>
      </c>
      <c r="U116" s="14" t="e">
        <f t="shared" ca="1" si="99"/>
        <v>#N/A</v>
      </c>
      <c r="V116" s="14" t="e">
        <f t="shared" ca="1" si="99"/>
        <v>#N/A</v>
      </c>
      <c r="W116" s="14" t="e">
        <f t="shared" ca="1" si="99"/>
        <v>#N/A</v>
      </c>
      <c r="X116" s="14" t="e">
        <f t="shared" ca="1" si="99"/>
        <v>#N/A</v>
      </c>
      <c r="Y116" s="14" t="e">
        <f t="shared" ca="1" si="99"/>
        <v>#N/A</v>
      </c>
      <c r="Z116" s="14" t="e">
        <f t="shared" ca="1" si="99"/>
        <v>#N/A</v>
      </c>
      <c r="AA116" s="14" t="e">
        <f t="shared" ca="1" si="99"/>
        <v>#N/A</v>
      </c>
      <c r="AB116" s="14" t="e">
        <f t="shared" ca="1" si="99"/>
        <v>#N/A</v>
      </c>
      <c r="AC116" s="14" t="e">
        <f t="shared" ca="1" si="99"/>
        <v>#N/A</v>
      </c>
      <c r="AD116" s="14" t="e">
        <f t="shared" ca="1" si="99"/>
        <v>#N/A</v>
      </c>
      <c r="AE116" s="14" t="e">
        <f t="shared" ca="1" si="99"/>
        <v>#N/A</v>
      </c>
      <c r="AF116" s="14" t="e">
        <f t="shared" ca="1" si="99"/>
        <v>#N/A</v>
      </c>
      <c r="AG116" s="14" t="e">
        <f t="shared" ca="1" si="99"/>
        <v>#N/A</v>
      </c>
      <c r="AH116" s="14" t="e">
        <f t="shared" ca="1" si="99"/>
        <v>#N/A</v>
      </c>
      <c r="AI116" s="14" t="e">
        <f t="shared" ca="1" si="99"/>
        <v>#N/A</v>
      </c>
      <c r="AJ116" s="14" t="e">
        <f t="shared" ca="1" si="99"/>
        <v>#N/A</v>
      </c>
      <c r="AK116" s="14" t="e">
        <f t="shared" ca="1" si="99"/>
        <v>#N/A</v>
      </c>
      <c r="AL116" s="14" t="e">
        <f t="shared" ca="1" si="99"/>
        <v>#N/A</v>
      </c>
      <c r="AM116" s="14" t="e">
        <f t="shared" ca="1" si="99"/>
        <v>#N/A</v>
      </c>
      <c r="AN116" s="14" t="e">
        <f t="shared" ca="1" si="99"/>
        <v>#N/A</v>
      </c>
      <c r="AO116" s="14" t="e">
        <f t="shared" ca="1" si="99"/>
        <v>#N/A</v>
      </c>
      <c r="AP116" s="14" t="e">
        <f t="shared" ca="1" si="99"/>
        <v>#N/A</v>
      </c>
      <c r="AQ116" s="14" t="e">
        <f t="shared" ca="1" si="99"/>
        <v>#N/A</v>
      </c>
      <c r="AR116" s="14" t="e">
        <f t="shared" ca="1" si="99"/>
        <v>#N/A</v>
      </c>
      <c r="AS116" s="14" t="e">
        <f t="shared" ca="1" si="99"/>
        <v>#N/A</v>
      </c>
      <c r="AT116" s="14" t="e">
        <f t="shared" ca="1" si="99"/>
        <v>#N/A</v>
      </c>
      <c r="AU116" s="14" t="e">
        <f t="shared" ca="1" si="99"/>
        <v>#N/A</v>
      </c>
      <c r="AV116" s="14" t="e">
        <f t="shared" ca="1" si="99"/>
        <v>#N/A</v>
      </c>
      <c r="AW116" s="14" t="e">
        <f t="shared" ca="1" si="99"/>
        <v>#N/A</v>
      </c>
      <c r="AX116" s="14" t="e">
        <f t="shared" ca="1" si="99"/>
        <v>#N/A</v>
      </c>
      <c r="AY116" s="14" t="e">
        <f t="shared" ca="1" si="99"/>
        <v>#N/A</v>
      </c>
      <c r="AZ116" s="14" t="e">
        <f t="shared" ca="1" si="99"/>
        <v>#N/A</v>
      </c>
      <c r="BA116" s="14" t="e">
        <f t="shared" ca="1" si="99"/>
        <v>#N/A</v>
      </c>
      <c r="BB116" s="14" t="e">
        <f t="shared" ca="1" si="99"/>
        <v>#N/A</v>
      </c>
      <c r="BC116" s="14" t="e">
        <f t="shared" ca="1" si="99"/>
        <v>#N/A</v>
      </c>
      <c r="BD116" s="14" t="e">
        <f t="shared" ca="1" si="99"/>
        <v>#N/A</v>
      </c>
      <c r="BE116" s="14" t="e">
        <f t="shared" ca="1" si="99"/>
        <v>#N/A</v>
      </c>
      <c r="BF116" s="14" t="e">
        <f t="shared" ca="1" si="99"/>
        <v>#N/A</v>
      </c>
      <c r="BG116" s="14" t="e">
        <f t="shared" ca="1" si="99"/>
        <v>#N/A</v>
      </c>
      <c r="BH116" s="14" t="e">
        <f t="shared" ca="1" si="99"/>
        <v>#N/A</v>
      </c>
      <c r="BI116" s="14" t="e">
        <f t="shared" ca="1" si="99"/>
        <v>#N/A</v>
      </c>
      <c r="BJ116" s="14" t="e">
        <f t="shared" ca="1" si="99"/>
        <v>#N/A</v>
      </c>
      <c r="BK116" s="14" t="e">
        <f t="shared" ca="1" si="99"/>
        <v>#N/A</v>
      </c>
      <c r="BL116" s="14" t="e">
        <f t="shared" ca="1" si="99"/>
        <v>#N/A</v>
      </c>
      <c r="BM116" s="14" t="e">
        <f t="shared" ca="1" si="99"/>
        <v>#N/A</v>
      </c>
      <c r="BN116" s="14" t="e">
        <f t="shared" ca="1" si="99"/>
        <v>#N/A</v>
      </c>
      <c r="BO116" s="14" t="e">
        <f t="shared" ca="1" si="99"/>
        <v>#N/A</v>
      </c>
      <c r="BP116" s="14" t="e">
        <f t="shared" ca="1" si="99"/>
        <v>#N/A</v>
      </c>
      <c r="BQ116" s="14" t="e">
        <f t="shared" ca="1" si="99"/>
        <v>#N/A</v>
      </c>
      <c r="BR116" s="14" t="e">
        <f t="shared" ref="BR116" ca="1" si="100">BR$113*$B$2*SUMPRODUCT(BR$82:BR$83,BR$48:BR$49)/1000</f>
        <v>#N/A</v>
      </c>
      <c r="BS116" s="98"/>
    </row>
    <row r="117" spans="1:71" ht="21" hidden="1" customHeight="1" outlineLevel="1" thickBot="1" x14ac:dyDescent="0.4">
      <c r="E117" s="17" t="s">
        <v>34</v>
      </c>
      <c r="F117" s="14" t="e">
        <f ca="1">F116+F114</f>
        <v>#N/A</v>
      </c>
      <c r="G117" s="14" t="e">
        <f t="shared" ref="G117:AL117" ca="1" si="101">G116+G114</f>
        <v>#N/A</v>
      </c>
      <c r="H117" s="14" t="e">
        <f t="shared" ca="1" si="101"/>
        <v>#N/A</v>
      </c>
      <c r="I117" s="14" t="e">
        <f t="shared" ca="1" si="101"/>
        <v>#N/A</v>
      </c>
      <c r="J117" s="14" t="e">
        <f t="shared" ca="1" si="101"/>
        <v>#N/A</v>
      </c>
      <c r="K117" s="14" t="e">
        <f t="shared" ca="1" si="101"/>
        <v>#N/A</v>
      </c>
      <c r="L117" s="14" t="e">
        <f t="shared" ca="1" si="101"/>
        <v>#N/A</v>
      </c>
      <c r="M117" s="14" t="e">
        <f t="shared" ca="1" si="101"/>
        <v>#N/A</v>
      </c>
      <c r="N117" s="14" t="e">
        <f t="shared" ca="1" si="101"/>
        <v>#N/A</v>
      </c>
      <c r="O117" s="14" t="e">
        <f t="shared" ca="1" si="101"/>
        <v>#N/A</v>
      </c>
      <c r="P117" s="14" t="e">
        <f t="shared" ca="1" si="101"/>
        <v>#N/A</v>
      </c>
      <c r="Q117" s="14" t="e">
        <f t="shared" ca="1" si="101"/>
        <v>#N/A</v>
      </c>
      <c r="R117" s="14" t="e">
        <f t="shared" ca="1" si="101"/>
        <v>#N/A</v>
      </c>
      <c r="S117" s="14" t="e">
        <f t="shared" ca="1" si="101"/>
        <v>#N/A</v>
      </c>
      <c r="T117" s="14" t="e">
        <f t="shared" ca="1" si="101"/>
        <v>#N/A</v>
      </c>
      <c r="U117" s="14" t="e">
        <f t="shared" ca="1" si="101"/>
        <v>#N/A</v>
      </c>
      <c r="V117" s="14" t="e">
        <f t="shared" ca="1" si="101"/>
        <v>#N/A</v>
      </c>
      <c r="W117" s="14" t="e">
        <f t="shared" ca="1" si="101"/>
        <v>#N/A</v>
      </c>
      <c r="X117" s="14" t="e">
        <f t="shared" ca="1" si="101"/>
        <v>#N/A</v>
      </c>
      <c r="Y117" s="14" t="e">
        <f t="shared" ca="1" si="101"/>
        <v>#N/A</v>
      </c>
      <c r="Z117" s="14" t="e">
        <f t="shared" ca="1" si="101"/>
        <v>#N/A</v>
      </c>
      <c r="AA117" s="14" t="e">
        <f t="shared" ca="1" si="101"/>
        <v>#N/A</v>
      </c>
      <c r="AB117" s="14" t="e">
        <f t="shared" ca="1" si="101"/>
        <v>#N/A</v>
      </c>
      <c r="AC117" s="14" t="e">
        <f t="shared" ca="1" si="101"/>
        <v>#N/A</v>
      </c>
      <c r="AD117" s="14" t="e">
        <f t="shared" ca="1" si="101"/>
        <v>#N/A</v>
      </c>
      <c r="AE117" s="14" t="e">
        <f t="shared" ca="1" si="101"/>
        <v>#N/A</v>
      </c>
      <c r="AF117" s="14" t="e">
        <f t="shared" ca="1" si="101"/>
        <v>#N/A</v>
      </c>
      <c r="AG117" s="14" t="e">
        <f t="shared" ca="1" si="101"/>
        <v>#N/A</v>
      </c>
      <c r="AH117" s="14" t="e">
        <f t="shared" ca="1" si="101"/>
        <v>#N/A</v>
      </c>
      <c r="AI117" s="14" t="e">
        <f t="shared" ca="1" si="101"/>
        <v>#N/A</v>
      </c>
      <c r="AJ117" s="14" t="e">
        <f t="shared" ca="1" si="101"/>
        <v>#N/A</v>
      </c>
      <c r="AK117" s="14" t="e">
        <f t="shared" ca="1" si="101"/>
        <v>#N/A</v>
      </c>
      <c r="AL117" s="14" t="e">
        <f t="shared" ca="1" si="101"/>
        <v>#N/A</v>
      </c>
      <c r="AM117" s="14" t="e">
        <f t="shared" ref="AM117:BR117" ca="1" si="102">AM116+AM114</f>
        <v>#N/A</v>
      </c>
      <c r="AN117" s="14" t="e">
        <f t="shared" ca="1" si="102"/>
        <v>#N/A</v>
      </c>
      <c r="AO117" s="14" t="e">
        <f t="shared" ca="1" si="102"/>
        <v>#N/A</v>
      </c>
      <c r="AP117" s="14" t="e">
        <f t="shared" ca="1" si="102"/>
        <v>#N/A</v>
      </c>
      <c r="AQ117" s="14" t="e">
        <f t="shared" ca="1" si="102"/>
        <v>#N/A</v>
      </c>
      <c r="AR117" s="14" t="e">
        <f t="shared" ca="1" si="102"/>
        <v>#N/A</v>
      </c>
      <c r="AS117" s="14" t="e">
        <f t="shared" ca="1" si="102"/>
        <v>#N/A</v>
      </c>
      <c r="AT117" s="14" t="e">
        <f t="shared" ca="1" si="102"/>
        <v>#N/A</v>
      </c>
      <c r="AU117" s="14" t="e">
        <f t="shared" ca="1" si="102"/>
        <v>#N/A</v>
      </c>
      <c r="AV117" s="14" t="e">
        <f t="shared" ca="1" si="102"/>
        <v>#N/A</v>
      </c>
      <c r="AW117" s="14" t="e">
        <f t="shared" ca="1" si="102"/>
        <v>#N/A</v>
      </c>
      <c r="AX117" s="14" t="e">
        <f t="shared" ca="1" si="102"/>
        <v>#N/A</v>
      </c>
      <c r="AY117" s="14" t="e">
        <f t="shared" ca="1" si="102"/>
        <v>#N/A</v>
      </c>
      <c r="AZ117" s="14" t="e">
        <f t="shared" ca="1" si="102"/>
        <v>#N/A</v>
      </c>
      <c r="BA117" s="14" t="e">
        <f t="shared" ca="1" si="102"/>
        <v>#N/A</v>
      </c>
      <c r="BB117" s="14" t="e">
        <f t="shared" ca="1" si="102"/>
        <v>#N/A</v>
      </c>
      <c r="BC117" s="14" t="e">
        <f t="shared" ca="1" si="102"/>
        <v>#N/A</v>
      </c>
      <c r="BD117" s="14" t="e">
        <f t="shared" ca="1" si="102"/>
        <v>#N/A</v>
      </c>
      <c r="BE117" s="14" t="e">
        <f t="shared" ca="1" si="102"/>
        <v>#N/A</v>
      </c>
      <c r="BF117" s="14" t="e">
        <f t="shared" ca="1" si="102"/>
        <v>#N/A</v>
      </c>
      <c r="BG117" s="14" t="e">
        <f t="shared" ca="1" si="102"/>
        <v>#N/A</v>
      </c>
      <c r="BH117" s="14" t="e">
        <f t="shared" ca="1" si="102"/>
        <v>#N/A</v>
      </c>
      <c r="BI117" s="14" t="e">
        <f t="shared" ca="1" si="102"/>
        <v>#N/A</v>
      </c>
      <c r="BJ117" s="14" t="e">
        <f t="shared" ca="1" si="102"/>
        <v>#N/A</v>
      </c>
      <c r="BK117" s="14" t="e">
        <f t="shared" ca="1" si="102"/>
        <v>#N/A</v>
      </c>
      <c r="BL117" s="14" t="e">
        <f t="shared" ca="1" si="102"/>
        <v>#N/A</v>
      </c>
      <c r="BM117" s="14" t="e">
        <f t="shared" ca="1" si="102"/>
        <v>#N/A</v>
      </c>
      <c r="BN117" s="14" t="e">
        <f t="shared" ca="1" si="102"/>
        <v>#N/A</v>
      </c>
      <c r="BO117" s="14" t="e">
        <f t="shared" ca="1" si="102"/>
        <v>#N/A</v>
      </c>
      <c r="BP117" s="14" t="e">
        <f t="shared" ca="1" si="102"/>
        <v>#N/A</v>
      </c>
      <c r="BQ117" s="14" t="e">
        <f t="shared" ca="1" si="102"/>
        <v>#N/A</v>
      </c>
      <c r="BR117" s="14" t="e">
        <f t="shared" ca="1" si="102"/>
        <v>#N/A</v>
      </c>
      <c r="BS117" s="98"/>
    </row>
    <row r="118" spans="1:71" ht="21" hidden="1" customHeight="1" outlineLevel="1" thickBot="1" x14ac:dyDescent="0.4">
      <c r="E118" s="17" t="s">
        <v>36</v>
      </c>
      <c r="F118" s="14" t="e">
        <f ca="1">F116+F115</f>
        <v>#N/A</v>
      </c>
      <c r="G118" s="14" t="e">
        <f t="shared" ref="G118:AL118" ca="1" si="103">G116+G115</f>
        <v>#N/A</v>
      </c>
      <c r="H118" s="14" t="e">
        <f t="shared" ca="1" si="103"/>
        <v>#N/A</v>
      </c>
      <c r="I118" s="14" t="e">
        <f t="shared" ca="1" si="103"/>
        <v>#N/A</v>
      </c>
      <c r="J118" s="14" t="e">
        <f t="shared" ca="1" si="103"/>
        <v>#N/A</v>
      </c>
      <c r="K118" s="14" t="e">
        <f t="shared" ca="1" si="103"/>
        <v>#N/A</v>
      </c>
      <c r="L118" s="14" t="e">
        <f t="shared" ca="1" si="103"/>
        <v>#N/A</v>
      </c>
      <c r="M118" s="14" t="e">
        <f t="shared" ca="1" si="103"/>
        <v>#N/A</v>
      </c>
      <c r="N118" s="14" t="e">
        <f t="shared" ca="1" si="103"/>
        <v>#N/A</v>
      </c>
      <c r="O118" s="14" t="e">
        <f t="shared" ca="1" si="103"/>
        <v>#N/A</v>
      </c>
      <c r="P118" s="14" t="e">
        <f t="shared" ca="1" si="103"/>
        <v>#N/A</v>
      </c>
      <c r="Q118" s="14" t="e">
        <f t="shared" ca="1" si="103"/>
        <v>#N/A</v>
      </c>
      <c r="R118" s="14" t="e">
        <f t="shared" ca="1" si="103"/>
        <v>#N/A</v>
      </c>
      <c r="S118" s="14" t="e">
        <f t="shared" ca="1" si="103"/>
        <v>#N/A</v>
      </c>
      <c r="T118" s="14" t="e">
        <f t="shared" ca="1" si="103"/>
        <v>#N/A</v>
      </c>
      <c r="U118" s="14" t="e">
        <f t="shared" ca="1" si="103"/>
        <v>#N/A</v>
      </c>
      <c r="V118" s="14" t="e">
        <f t="shared" ca="1" si="103"/>
        <v>#N/A</v>
      </c>
      <c r="W118" s="14" t="e">
        <f t="shared" ca="1" si="103"/>
        <v>#N/A</v>
      </c>
      <c r="X118" s="14" t="e">
        <f t="shared" ca="1" si="103"/>
        <v>#N/A</v>
      </c>
      <c r="Y118" s="14" t="e">
        <f t="shared" ca="1" si="103"/>
        <v>#N/A</v>
      </c>
      <c r="Z118" s="14" t="e">
        <f t="shared" ca="1" si="103"/>
        <v>#N/A</v>
      </c>
      <c r="AA118" s="14" t="e">
        <f t="shared" ca="1" si="103"/>
        <v>#N/A</v>
      </c>
      <c r="AB118" s="14" t="e">
        <f t="shared" ca="1" si="103"/>
        <v>#N/A</v>
      </c>
      <c r="AC118" s="14" t="e">
        <f t="shared" ca="1" si="103"/>
        <v>#N/A</v>
      </c>
      <c r="AD118" s="14" t="e">
        <f t="shared" ca="1" si="103"/>
        <v>#N/A</v>
      </c>
      <c r="AE118" s="14" t="e">
        <f t="shared" ca="1" si="103"/>
        <v>#N/A</v>
      </c>
      <c r="AF118" s="14" t="e">
        <f t="shared" ca="1" si="103"/>
        <v>#N/A</v>
      </c>
      <c r="AG118" s="14" t="e">
        <f t="shared" ca="1" si="103"/>
        <v>#N/A</v>
      </c>
      <c r="AH118" s="14" t="e">
        <f t="shared" ca="1" si="103"/>
        <v>#N/A</v>
      </c>
      <c r="AI118" s="14" t="e">
        <f t="shared" ca="1" si="103"/>
        <v>#N/A</v>
      </c>
      <c r="AJ118" s="14" t="e">
        <f t="shared" ca="1" si="103"/>
        <v>#N/A</v>
      </c>
      <c r="AK118" s="14" t="e">
        <f t="shared" ca="1" si="103"/>
        <v>#N/A</v>
      </c>
      <c r="AL118" s="14" t="e">
        <f t="shared" ca="1" si="103"/>
        <v>#N/A</v>
      </c>
      <c r="AM118" s="14" t="e">
        <f t="shared" ref="AM118:BR118" ca="1" si="104">AM116+AM115</f>
        <v>#N/A</v>
      </c>
      <c r="AN118" s="14" t="e">
        <f t="shared" ca="1" si="104"/>
        <v>#N/A</v>
      </c>
      <c r="AO118" s="14" t="e">
        <f t="shared" ca="1" si="104"/>
        <v>#N/A</v>
      </c>
      <c r="AP118" s="14" t="e">
        <f t="shared" ca="1" si="104"/>
        <v>#N/A</v>
      </c>
      <c r="AQ118" s="14" t="e">
        <f t="shared" ca="1" si="104"/>
        <v>#N/A</v>
      </c>
      <c r="AR118" s="14" t="e">
        <f t="shared" ca="1" si="104"/>
        <v>#N/A</v>
      </c>
      <c r="AS118" s="14" t="e">
        <f t="shared" ca="1" si="104"/>
        <v>#N/A</v>
      </c>
      <c r="AT118" s="14" t="e">
        <f t="shared" ca="1" si="104"/>
        <v>#N/A</v>
      </c>
      <c r="AU118" s="14" t="e">
        <f t="shared" ca="1" si="104"/>
        <v>#N/A</v>
      </c>
      <c r="AV118" s="14" t="e">
        <f t="shared" ca="1" si="104"/>
        <v>#N/A</v>
      </c>
      <c r="AW118" s="14" t="e">
        <f t="shared" ca="1" si="104"/>
        <v>#N/A</v>
      </c>
      <c r="AX118" s="14" t="e">
        <f t="shared" ca="1" si="104"/>
        <v>#N/A</v>
      </c>
      <c r="AY118" s="14" t="e">
        <f t="shared" ca="1" si="104"/>
        <v>#N/A</v>
      </c>
      <c r="AZ118" s="14" t="e">
        <f t="shared" ca="1" si="104"/>
        <v>#N/A</v>
      </c>
      <c r="BA118" s="14" t="e">
        <f t="shared" ca="1" si="104"/>
        <v>#N/A</v>
      </c>
      <c r="BB118" s="14" t="e">
        <f t="shared" ca="1" si="104"/>
        <v>#N/A</v>
      </c>
      <c r="BC118" s="14" t="e">
        <f t="shared" ca="1" si="104"/>
        <v>#N/A</v>
      </c>
      <c r="BD118" s="14" t="e">
        <f t="shared" ca="1" si="104"/>
        <v>#N/A</v>
      </c>
      <c r="BE118" s="14" t="e">
        <f t="shared" ca="1" si="104"/>
        <v>#N/A</v>
      </c>
      <c r="BF118" s="14" t="e">
        <f t="shared" ca="1" si="104"/>
        <v>#N/A</v>
      </c>
      <c r="BG118" s="14" t="e">
        <f t="shared" ca="1" si="104"/>
        <v>#N/A</v>
      </c>
      <c r="BH118" s="14" t="e">
        <f t="shared" ca="1" si="104"/>
        <v>#N/A</v>
      </c>
      <c r="BI118" s="14" t="e">
        <f t="shared" ca="1" si="104"/>
        <v>#N/A</v>
      </c>
      <c r="BJ118" s="14" t="e">
        <f t="shared" ca="1" si="104"/>
        <v>#N/A</v>
      </c>
      <c r="BK118" s="14" t="e">
        <f t="shared" ca="1" si="104"/>
        <v>#N/A</v>
      </c>
      <c r="BL118" s="14" t="e">
        <f t="shared" ca="1" si="104"/>
        <v>#N/A</v>
      </c>
      <c r="BM118" s="14" t="e">
        <f t="shared" ca="1" si="104"/>
        <v>#N/A</v>
      </c>
      <c r="BN118" s="14" t="e">
        <f t="shared" ca="1" si="104"/>
        <v>#N/A</v>
      </c>
      <c r="BO118" s="14" t="e">
        <f t="shared" ca="1" si="104"/>
        <v>#N/A</v>
      </c>
      <c r="BP118" s="14" t="e">
        <f t="shared" ca="1" si="104"/>
        <v>#N/A</v>
      </c>
      <c r="BQ118" s="14" t="e">
        <f t="shared" ca="1" si="104"/>
        <v>#N/A</v>
      </c>
      <c r="BR118" s="14" t="e">
        <f t="shared" ca="1" si="104"/>
        <v>#N/A</v>
      </c>
      <c r="BS118" s="98"/>
    </row>
    <row r="119" spans="1:71" ht="21" hidden="1" customHeight="1" outlineLevel="1" x14ac:dyDescent="0.35">
      <c r="E119" s="80" t="s">
        <v>38</v>
      </c>
      <c r="F119" s="81" t="e">
        <f ca="1">SUM(F114:F116)</f>
        <v>#N/A</v>
      </c>
      <c r="G119" s="81" t="e">
        <f t="shared" ref="G119:AL119" ca="1" si="105">SUM(G114:G116)</f>
        <v>#N/A</v>
      </c>
      <c r="H119" s="81" t="e">
        <f t="shared" ca="1" si="105"/>
        <v>#N/A</v>
      </c>
      <c r="I119" s="81" t="e">
        <f t="shared" ca="1" si="105"/>
        <v>#N/A</v>
      </c>
      <c r="J119" s="81" t="e">
        <f t="shared" ca="1" si="105"/>
        <v>#N/A</v>
      </c>
      <c r="K119" s="81" t="e">
        <f t="shared" ca="1" si="105"/>
        <v>#N/A</v>
      </c>
      <c r="L119" s="81" t="e">
        <f t="shared" ca="1" si="105"/>
        <v>#N/A</v>
      </c>
      <c r="M119" s="81" t="e">
        <f t="shared" ca="1" si="105"/>
        <v>#N/A</v>
      </c>
      <c r="N119" s="81" t="e">
        <f t="shared" ca="1" si="105"/>
        <v>#N/A</v>
      </c>
      <c r="O119" s="81" t="e">
        <f t="shared" ca="1" si="105"/>
        <v>#N/A</v>
      </c>
      <c r="P119" s="81" t="e">
        <f t="shared" ca="1" si="105"/>
        <v>#N/A</v>
      </c>
      <c r="Q119" s="81" t="e">
        <f t="shared" ca="1" si="105"/>
        <v>#N/A</v>
      </c>
      <c r="R119" s="81" t="e">
        <f t="shared" ca="1" si="105"/>
        <v>#N/A</v>
      </c>
      <c r="S119" s="81" t="e">
        <f t="shared" ca="1" si="105"/>
        <v>#N/A</v>
      </c>
      <c r="T119" s="81" t="e">
        <f t="shared" ca="1" si="105"/>
        <v>#N/A</v>
      </c>
      <c r="U119" s="81" t="e">
        <f t="shared" ca="1" si="105"/>
        <v>#N/A</v>
      </c>
      <c r="V119" s="81" t="e">
        <f t="shared" ca="1" si="105"/>
        <v>#N/A</v>
      </c>
      <c r="W119" s="81" t="e">
        <f t="shared" ca="1" si="105"/>
        <v>#N/A</v>
      </c>
      <c r="X119" s="81" t="e">
        <f t="shared" ca="1" si="105"/>
        <v>#N/A</v>
      </c>
      <c r="Y119" s="81" t="e">
        <f t="shared" ca="1" si="105"/>
        <v>#N/A</v>
      </c>
      <c r="Z119" s="81" t="e">
        <f t="shared" ca="1" si="105"/>
        <v>#N/A</v>
      </c>
      <c r="AA119" s="81" t="e">
        <f t="shared" ca="1" si="105"/>
        <v>#N/A</v>
      </c>
      <c r="AB119" s="81" t="e">
        <f t="shared" ca="1" si="105"/>
        <v>#N/A</v>
      </c>
      <c r="AC119" s="81" t="e">
        <f t="shared" ca="1" si="105"/>
        <v>#N/A</v>
      </c>
      <c r="AD119" s="81" t="e">
        <f t="shared" ca="1" si="105"/>
        <v>#N/A</v>
      </c>
      <c r="AE119" s="81" t="e">
        <f t="shared" ca="1" si="105"/>
        <v>#N/A</v>
      </c>
      <c r="AF119" s="81" t="e">
        <f t="shared" ca="1" si="105"/>
        <v>#N/A</v>
      </c>
      <c r="AG119" s="81" t="e">
        <f t="shared" ca="1" si="105"/>
        <v>#N/A</v>
      </c>
      <c r="AH119" s="81" t="e">
        <f t="shared" ca="1" si="105"/>
        <v>#N/A</v>
      </c>
      <c r="AI119" s="81" t="e">
        <f t="shared" ca="1" si="105"/>
        <v>#N/A</v>
      </c>
      <c r="AJ119" s="81" t="e">
        <f t="shared" ca="1" si="105"/>
        <v>#N/A</v>
      </c>
      <c r="AK119" s="81" t="e">
        <f t="shared" ca="1" si="105"/>
        <v>#N/A</v>
      </c>
      <c r="AL119" s="81" t="e">
        <f t="shared" ca="1" si="105"/>
        <v>#N/A</v>
      </c>
      <c r="AM119" s="81" t="e">
        <f t="shared" ref="AM119:BR119" ca="1" si="106">SUM(AM114:AM116)</f>
        <v>#N/A</v>
      </c>
      <c r="AN119" s="81" t="e">
        <f t="shared" ca="1" si="106"/>
        <v>#N/A</v>
      </c>
      <c r="AO119" s="81" t="e">
        <f t="shared" ca="1" si="106"/>
        <v>#N/A</v>
      </c>
      <c r="AP119" s="81" t="e">
        <f t="shared" ca="1" si="106"/>
        <v>#N/A</v>
      </c>
      <c r="AQ119" s="81" t="e">
        <f t="shared" ca="1" si="106"/>
        <v>#N/A</v>
      </c>
      <c r="AR119" s="81" t="e">
        <f t="shared" ca="1" si="106"/>
        <v>#N/A</v>
      </c>
      <c r="AS119" s="81" t="e">
        <f t="shared" ca="1" si="106"/>
        <v>#N/A</v>
      </c>
      <c r="AT119" s="81" t="e">
        <f t="shared" ca="1" si="106"/>
        <v>#N/A</v>
      </c>
      <c r="AU119" s="81" t="e">
        <f t="shared" ca="1" si="106"/>
        <v>#N/A</v>
      </c>
      <c r="AV119" s="81" t="e">
        <f t="shared" ca="1" si="106"/>
        <v>#N/A</v>
      </c>
      <c r="AW119" s="81" t="e">
        <f t="shared" ca="1" si="106"/>
        <v>#N/A</v>
      </c>
      <c r="AX119" s="81" t="e">
        <f t="shared" ca="1" si="106"/>
        <v>#N/A</v>
      </c>
      <c r="AY119" s="81" t="e">
        <f t="shared" ca="1" si="106"/>
        <v>#N/A</v>
      </c>
      <c r="AZ119" s="81" t="e">
        <f t="shared" ca="1" si="106"/>
        <v>#N/A</v>
      </c>
      <c r="BA119" s="81" t="e">
        <f t="shared" ca="1" si="106"/>
        <v>#N/A</v>
      </c>
      <c r="BB119" s="81" t="e">
        <f t="shared" ca="1" si="106"/>
        <v>#N/A</v>
      </c>
      <c r="BC119" s="81" t="e">
        <f t="shared" ca="1" si="106"/>
        <v>#N/A</v>
      </c>
      <c r="BD119" s="81" t="e">
        <f t="shared" ca="1" si="106"/>
        <v>#N/A</v>
      </c>
      <c r="BE119" s="81" t="e">
        <f t="shared" ca="1" si="106"/>
        <v>#N/A</v>
      </c>
      <c r="BF119" s="81" t="e">
        <f t="shared" ca="1" si="106"/>
        <v>#N/A</v>
      </c>
      <c r="BG119" s="81" t="e">
        <f t="shared" ca="1" si="106"/>
        <v>#N/A</v>
      </c>
      <c r="BH119" s="81" t="e">
        <f t="shared" ca="1" si="106"/>
        <v>#N/A</v>
      </c>
      <c r="BI119" s="81" t="e">
        <f t="shared" ca="1" si="106"/>
        <v>#N/A</v>
      </c>
      <c r="BJ119" s="81" t="e">
        <f t="shared" ca="1" si="106"/>
        <v>#N/A</v>
      </c>
      <c r="BK119" s="81" t="e">
        <f t="shared" ca="1" si="106"/>
        <v>#N/A</v>
      </c>
      <c r="BL119" s="81" t="e">
        <f t="shared" ca="1" si="106"/>
        <v>#N/A</v>
      </c>
      <c r="BM119" s="81" t="e">
        <f t="shared" ca="1" si="106"/>
        <v>#N/A</v>
      </c>
      <c r="BN119" s="81" t="e">
        <f t="shared" ca="1" si="106"/>
        <v>#N/A</v>
      </c>
      <c r="BO119" s="81" t="e">
        <f t="shared" ca="1" si="106"/>
        <v>#N/A</v>
      </c>
      <c r="BP119" s="81" t="e">
        <f t="shared" ca="1" si="106"/>
        <v>#N/A</v>
      </c>
      <c r="BQ119" s="81" t="e">
        <f t="shared" ca="1" si="106"/>
        <v>#N/A</v>
      </c>
      <c r="BR119" s="81" t="e">
        <f t="shared" ca="1" si="106"/>
        <v>#N/A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5">
        <f ca="1"/>
        <v>0</v>
      </c>
      <c r="V122" s="56">
        <f ca="1"/>
        <v>0</v>
      </c>
      <c r="W122" s="58">
        <f ca="1"/>
        <v>0</v>
      </c>
      <c r="X122" s="53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 t="str">
        <f ca="1"/>
        <v xml:space="preserve">Раствор 1(тв): </v>
      </c>
      <c r="G123" s="47" t="str">
        <f ca="1"/>
        <v xml:space="preserve">Раствор 1(тв): </v>
      </c>
      <c r="H123" s="47" t="str">
        <f ca="1"/>
        <v xml:space="preserve">Раствор 1(тв): </v>
      </c>
      <c r="I123" s="47" t="str">
        <f ca="1"/>
        <v xml:space="preserve">Раствор 1(тв): </v>
      </c>
      <c r="J123" s="47" t="str">
        <f ca="1"/>
        <v xml:space="preserve">Раствор 1(тв): </v>
      </c>
      <c r="K123" s="47" t="str">
        <f ca="1"/>
        <v xml:space="preserve">Раствор 1(тв): </v>
      </c>
      <c r="L123" s="47" t="str">
        <f ca="1"/>
        <v xml:space="preserve">Раствор 1(тв): </v>
      </c>
      <c r="M123" s="47" t="str">
        <f ca="1"/>
        <v xml:space="preserve">Раствор 1(тв): </v>
      </c>
      <c r="N123" s="47" t="str">
        <f ca="1"/>
        <v xml:space="preserve">Раствор 1(тв): </v>
      </c>
      <c r="O123" s="47" t="str">
        <f ca="1"/>
        <v xml:space="preserve">Раствор 1(тв): </v>
      </c>
      <c r="P123" s="47" t="str">
        <f ca="1"/>
        <v xml:space="preserve">Раствор 1(тв): </v>
      </c>
      <c r="Q123" s="47" t="str">
        <f ca="1"/>
        <v xml:space="preserve">Раствор 1(тв): </v>
      </c>
      <c r="R123" s="47" t="str">
        <f ca="1"/>
        <v xml:space="preserve">Раствор 1(тв): </v>
      </c>
      <c r="S123" s="47" t="str">
        <f ca="1"/>
        <v xml:space="preserve">Раствор 1(тв): </v>
      </c>
      <c r="T123" s="47" t="str">
        <f ca="1"/>
        <v xml:space="preserve">Раствор 1(тв): </v>
      </c>
      <c r="U123" s="47" t="str">
        <f ca="1"/>
        <v xml:space="preserve">Раствор 1(тв): </v>
      </c>
      <c r="V123" s="47" t="str">
        <f ca="1"/>
        <v xml:space="preserve">Раствор 1(тв): </v>
      </c>
      <c r="W123" s="47" t="str">
        <f ca="1"/>
        <v xml:space="preserve">Раствор 1(тв): </v>
      </c>
      <c r="X123" s="47" t="str">
        <f ca="1"/>
        <v xml:space="preserve">Раствор 1(тв): </v>
      </c>
      <c r="Y123" s="47" t="str">
        <f ca="1"/>
        <v xml:space="preserve">Раствор 1(тв): </v>
      </c>
      <c r="Z123" s="47" t="str">
        <f ca="1"/>
        <v xml:space="preserve">Раствор 1(тв): </v>
      </c>
      <c r="AA123" s="47" t="str">
        <f ca="1"/>
        <v xml:space="preserve">Раствор 1(тв): </v>
      </c>
      <c r="AB123" s="47" t="str">
        <f ca="1"/>
        <v xml:space="preserve">Раствор 1(тв): </v>
      </c>
      <c r="AC123" s="47" t="str">
        <f ca="1"/>
        <v xml:space="preserve">Раствор 1(тв): </v>
      </c>
      <c r="AD123" s="47" t="str">
        <f ca="1"/>
        <v xml:space="preserve">Раствор 1(тв): </v>
      </c>
      <c r="AE123" s="47" t="str">
        <f ca="1"/>
        <v xml:space="preserve">Раствор 1(тв): </v>
      </c>
      <c r="AF123" s="47" t="str">
        <f ca="1"/>
        <v xml:space="preserve">Раствор 1(тв): </v>
      </c>
      <c r="AG123" s="47" t="str">
        <f ca="1"/>
        <v xml:space="preserve">Раствор 1(тв): </v>
      </c>
      <c r="AH123" s="47" t="str">
        <f ca="1"/>
        <v xml:space="preserve">Раствор 1(тв): </v>
      </c>
      <c r="AI123" s="47" t="str">
        <f ca="1"/>
        <v xml:space="preserve">Раствор 1(тв): </v>
      </c>
      <c r="AJ123" s="47" t="str">
        <f ca="1"/>
        <v xml:space="preserve">Раствор 1(тв): </v>
      </c>
      <c r="AK123" s="47" t="str">
        <f ca="1"/>
        <v xml:space="preserve">Раствор 1(тв): </v>
      </c>
      <c r="AL123" s="47" t="str">
        <f ca="1"/>
        <v xml:space="preserve">Раствор 1(тв): </v>
      </c>
      <c r="AM123" s="47" t="str">
        <f ca="1"/>
        <v xml:space="preserve">Раствор 1(тв): </v>
      </c>
      <c r="AN123" s="47" t="str">
        <f ca="1"/>
        <v xml:space="preserve">Раствор 1(тв): </v>
      </c>
      <c r="AO123" s="47" t="str">
        <f ca="1"/>
        <v xml:space="preserve">Раствор 1(тв): </v>
      </c>
      <c r="AP123" s="47" t="str">
        <f ca="1"/>
        <v xml:space="preserve">Раствор 1(тв): </v>
      </c>
      <c r="AQ123" s="47" t="str">
        <f ca="1"/>
        <v xml:space="preserve">Раствор 1(тв): </v>
      </c>
      <c r="AR123" s="47" t="str">
        <f ca="1"/>
        <v xml:space="preserve">Раствор 1(тв): </v>
      </c>
      <c r="AS123" s="47" t="str">
        <f ca="1"/>
        <v xml:space="preserve">Раствор 1(тв): </v>
      </c>
      <c r="AT123" s="47" t="str">
        <f ca="1"/>
        <v xml:space="preserve">Раствор 1(тв): </v>
      </c>
      <c r="AU123" s="47" t="str">
        <f ca="1"/>
        <v xml:space="preserve">Раствор 1(тв): </v>
      </c>
      <c r="AV123" s="47" t="str">
        <f ca="1"/>
        <v xml:space="preserve">Раствор 1(тв): </v>
      </c>
      <c r="AW123" s="47" t="str">
        <f ca="1"/>
        <v xml:space="preserve">Раствор 1(тв): </v>
      </c>
      <c r="AX123" s="47" t="str">
        <f ca="1"/>
        <v xml:space="preserve">Раствор 1(тв): </v>
      </c>
      <c r="AY123" s="47" t="str">
        <f ca="1"/>
        <v xml:space="preserve">Раствор 1(тв): </v>
      </c>
      <c r="AZ123" s="47" t="str">
        <f ca="1"/>
        <v xml:space="preserve">Раствор 1(тв): </v>
      </c>
      <c r="BA123" s="47" t="str">
        <f ca="1"/>
        <v xml:space="preserve">Раствор 1(тв): </v>
      </c>
      <c r="BB123" s="47" t="str">
        <f ca="1"/>
        <v xml:space="preserve">Раствор 1(тв): </v>
      </c>
      <c r="BC123" s="47" t="str">
        <f ca="1"/>
        <v xml:space="preserve">Раствор 1(тв): </v>
      </c>
      <c r="BD123" s="47" t="str">
        <f ca="1"/>
        <v xml:space="preserve">Раствор 1(тв): </v>
      </c>
      <c r="BE123" s="47" t="str">
        <f ca="1"/>
        <v xml:space="preserve">Раствор 1(тв): </v>
      </c>
      <c r="BF123" s="47" t="str">
        <f ca="1"/>
        <v xml:space="preserve">Раствор 1(тв): </v>
      </c>
      <c r="BG123" s="47" t="str">
        <f ca="1"/>
        <v xml:space="preserve">Раствор 1(тв): </v>
      </c>
      <c r="BH123" s="47" t="str">
        <f ca="1"/>
        <v xml:space="preserve">Раствор 1(тв): </v>
      </c>
      <c r="BI123" s="47" t="str">
        <f ca="1"/>
        <v xml:space="preserve">Раствор 1(тв): </v>
      </c>
      <c r="BJ123" s="47" t="str">
        <f ca="1"/>
        <v xml:space="preserve">Раствор 1(тв): </v>
      </c>
      <c r="BK123" s="47" t="str">
        <f ca="1"/>
        <v xml:space="preserve">Раствор 1(тв): </v>
      </c>
      <c r="BL123" s="47" t="str">
        <f ca="1"/>
        <v xml:space="preserve">Раствор 1(тв): </v>
      </c>
      <c r="BM123" s="47" t="str">
        <f ca="1"/>
        <v xml:space="preserve">Раствор 1(тв): </v>
      </c>
      <c r="BN123" s="47" t="str">
        <f ca="1"/>
        <v xml:space="preserve">Раствор 1(тв): </v>
      </c>
      <c r="BO123" s="47" t="str">
        <f ca="1"/>
        <v xml:space="preserve">Раствор 1(тв): </v>
      </c>
      <c r="BP123" s="47" t="str">
        <f ca="1"/>
        <v xml:space="preserve">Раствор 1(тв): </v>
      </c>
      <c r="BQ123" s="47" t="str">
        <f ca="1"/>
        <v xml:space="preserve">Раствор 1(тв): </v>
      </c>
      <c r="BR123" s="47" t="str">
        <f ca="1"/>
        <v xml:space="preserve">Раствор 1(тв): 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 t="str">
        <f ca="1"/>
        <v xml:space="preserve">Раствор 3 (жид): </v>
      </c>
      <c r="G124" s="47" t="str">
        <f ca="1"/>
        <v xml:space="preserve">Раствор 3 (жид): </v>
      </c>
      <c r="H124" s="47" t="str">
        <f ca="1"/>
        <v xml:space="preserve">Раствор 3 (жид): </v>
      </c>
      <c r="I124" s="47" t="str">
        <f ca="1"/>
        <v xml:space="preserve">Раствор 3 (жид): </v>
      </c>
      <c r="J124" s="47" t="str">
        <f ca="1"/>
        <v xml:space="preserve">Раствор 3 (жид): </v>
      </c>
      <c r="K124" s="47" t="str">
        <f ca="1"/>
        <v xml:space="preserve">Раствор 3 (жид): </v>
      </c>
      <c r="L124" s="47" t="str">
        <f ca="1"/>
        <v xml:space="preserve">Раствор 3 (жид): </v>
      </c>
      <c r="M124" s="47" t="str">
        <f ca="1"/>
        <v xml:space="preserve">Раствор 3 (жид): </v>
      </c>
      <c r="N124" s="47" t="str">
        <f ca="1"/>
        <v xml:space="preserve">Раствор 3 (жид): </v>
      </c>
      <c r="O124" s="47" t="str">
        <f ca="1"/>
        <v xml:space="preserve">Раствор 3 (жид): </v>
      </c>
      <c r="P124" s="47" t="str">
        <f ca="1"/>
        <v xml:space="preserve">Раствор 3 (жид): </v>
      </c>
      <c r="Q124" s="47" t="str">
        <f ca="1"/>
        <v xml:space="preserve">Раствор 3 (жид): </v>
      </c>
      <c r="R124" s="47" t="str">
        <f ca="1"/>
        <v xml:space="preserve">Раствор 3 (жид): </v>
      </c>
      <c r="S124" s="47" t="str">
        <f ca="1"/>
        <v xml:space="preserve">Раствор 3 (жид): </v>
      </c>
      <c r="T124" s="47" t="str">
        <f ca="1"/>
        <v xml:space="preserve">Раствор 3 (жид): </v>
      </c>
      <c r="U124" s="47" t="str">
        <f ca="1"/>
        <v xml:space="preserve">Раствор 3 (жид): </v>
      </c>
      <c r="V124" s="47" t="str">
        <f ca="1"/>
        <v xml:space="preserve">Раствор 3 (жид): </v>
      </c>
      <c r="W124" s="47" t="str">
        <f ca="1"/>
        <v xml:space="preserve">Раствор 3 (жид): </v>
      </c>
      <c r="X124" s="47" t="str">
        <f ca="1"/>
        <v xml:space="preserve">Раствор 3 (жид): </v>
      </c>
      <c r="Y124" s="47" t="str">
        <f ca="1"/>
        <v xml:space="preserve">Раствор 3 (жид): </v>
      </c>
      <c r="Z124" s="47" t="str">
        <f ca="1"/>
        <v xml:space="preserve">Раствор 3 (жид): </v>
      </c>
      <c r="AA124" s="47" t="str">
        <f ca="1"/>
        <v xml:space="preserve">Раствор 3 (жид): </v>
      </c>
      <c r="AB124" s="47" t="str">
        <f ca="1"/>
        <v xml:space="preserve">Раствор 3 (жид): </v>
      </c>
      <c r="AC124" s="47" t="str">
        <f ca="1"/>
        <v xml:space="preserve">Раствор 3 (жид): </v>
      </c>
      <c r="AD124" s="47" t="str">
        <f ca="1"/>
        <v xml:space="preserve">Раствор 3 (жид): </v>
      </c>
      <c r="AE124" s="47" t="str">
        <f ca="1"/>
        <v xml:space="preserve">Раствор 3 (жид): </v>
      </c>
      <c r="AF124" s="47" t="str">
        <f ca="1"/>
        <v xml:space="preserve">Раствор 3 (жид): </v>
      </c>
      <c r="AG124" s="47" t="str">
        <f ca="1"/>
        <v xml:space="preserve">Раствор 3 (жид): </v>
      </c>
      <c r="AH124" s="47" t="str">
        <f ca="1"/>
        <v xml:space="preserve">Раствор 3 (жид): </v>
      </c>
      <c r="AI124" s="47" t="str">
        <f ca="1"/>
        <v xml:space="preserve">Раствор 3 (жид): </v>
      </c>
      <c r="AJ124" s="47" t="str">
        <f ca="1"/>
        <v xml:space="preserve">Раствор 3 (жид): </v>
      </c>
      <c r="AK124" s="47" t="str">
        <f ca="1"/>
        <v xml:space="preserve">Раствор 3 (жид): </v>
      </c>
      <c r="AL124" s="47" t="str">
        <f ca="1"/>
        <v xml:space="preserve">Раствор 3 (жид): </v>
      </c>
      <c r="AM124" s="47" t="str">
        <f ca="1"/>
        <v xml:space="preserve">Раствор 3 (жид): </v>
      </c>
      <c r="AN124" s="47" t="str">
        <f ca="1"/>
        <v xml:space="preserve">Раствор 3 (жид): </v>
      </c>
      <c r="AO124" s="47" t="str">
        <f ca="1"/>
        <v xml:space="preserve">Раствор 3 (жид): </v>
      </c>
      <c r="AP124" s="47" t="str">
        <f ca="1"/>
        <v xml:space="preserve">Раствор 3 (жид): </v>
      </c>
      <c r="AQ124" s="47" t="str">
        <f ca="1"/>
        <v xml:space="preserve">Раствор 3 (жид): </v>
      </c>
      <c r="AR124" s="47" t="str">
        <f ca="1"/>
        <v xml:space="preserve">Раствор 3 (жид): </v>
      </c>
      <c r="AS124" s="47" t="str">
        <f ca="1"/>
        <v xml:space="preserve">Раствор 3 (жид): </v>
      </c>
      <c r="AT124" s="47" t="str">
        <f ca="1"/>
        <v xml:space="preserve">Раствор 3 (жид): </v>
      </c>
      <c r="AU124" s="47" t="str">
        <f ca="1"/>
        <v xml:space="preserve">Раствор 3 (жид): </v>
      </c>
      <c r="AV124" s="47" t="str">
        <f ca="1"/>
        <v xml:space="preserve">Раствор 3 (жид): </v>
      </c>
      <c r="AW124" s="47" t="str">
        <f ca="1"/>
        <v xml:space="preserve">Раствор 3 (жид): </v>
      </c>
      <c r="AX124" s="47" t="str">
        <f ca="1"/>
        <v xml:space="preserve">Раствор 3 (жид): </v>
      </c>
      <c r="AY124" s="47" t="str">
        <f ca="1"/>
        <v xml:space="preserve">Раствор 3 (жид): </v>
      </c>
      <c r="AZ124" s="47" t="str">
        <f ca="1"/>
        <v xml:space="preserve">Раствор 3 (жид): </v>
      </c>
      <c r="BA124" s="47" t="str">
        <f ca="1"/>
        <v xml:space="preserve">Раствор 3 (жид): </v>
      </c>
      <c r="BB124" s="47" t="str">
        <f ca="1"/>
        <v xml:space="preserve">Раствор 3 (жид): </v>
      </c>
      <c r="BC124" s="47" t="str">
        <f ca="1"/>
        <v xml:space="preserve">Раствор 3 (жид): </v>
      </c>
      <c r="BD124" s="47" t="str">
        <f ca="1"/>
        <v xml:space="preserve">Раствор 3 (жид): </v>
      </c>
      <c r="BE124" s="47" t="str">
        <f ca="1"/>
        <v xml:space="preserve">Раствор 3 (жид): </v>
      </c>
      <c r="BF124" s="47" t="str">
        <f ca="1"/>
        <v xml:space="preserve">Раствор 3 (жид): </v>
      </c>
      <c r="BG124" s="47" t="str">
        <f ca="1"/>
        <v xml:space="preserve">Раствор 3 (жид): </v>
      </c>
      <c r="BH124" s="47" t="str">
        <f ca="1"/>
        <v xml:space="preserve">Раствор 3 (жид): </v>
      </c>
      <c r="BI124" s="47" t="str">
        <f ca="1"/>
        <v xml:space="preserve">Раствор 3 (жид): </v>
      </c>
      <c r="BJ124" s="47" t="str">
        <f ca="1"/>
        <v xml:space="preserve">Раствор 3 (жид): </v>
      </c>
      <c r="BK124" s="47" t="str">
        <f ca="1"/>
        <v xml:space="preserve">Раствор 3 (жид): </v>
      </c>
      <c r="BL124" s="47" t="str">
        <f ca="1"/>
        <v xml:space="preserve">Раствор 3 (жид): </v>
      </c>
      <c r="BM124" s="47" t="str">
        <f ca="1"/>
        <v xml:space="preserve">Раствор 3 (жид): </v>
      </c>
      <c r="BN124" s="47" t="str">
        <f ca="1"/>
        <v xml:space="preserve">Раствор 3 (жид): </v>
      </c>
      <c r="BO124" s="47" t="str">
        <f ca="1"/>
        <v xml:space="preserve">Раствор 3 (жид): </v>
      </c>
      <c r="BP124" s="47" t="str">
        <f ca="1"/>
        <v xml:space="preserve">Раствор 3 (жид): </v>
      </c>
      <c r="BQ124" s="47" t="str">
        <f ca="1"/>
        <v xml:space="preserve">Раствор 3 (жид): </v>
      </c>
      <c r="BR124" s="47" t="str">
        <f ca="1"/>
        <v xml:space="preserve">Раствор 3 (жид): 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 t="str">
        <f ca="1"/>
        <v xml:space="preserve">Газовая без Ar: </v>
      </c>
      <c r="G125" s="47" t="str">
        <f ca="1"/>
        <v xml:space="preserve">Газовая без Ar: </v>
      </c>
      <c r="H125" s="47" t="str">
        <f ca="1"/>
        <v xml:space="preserve">Газовая без Ar: </v>
      </c>
      <c r="I125" s="47" t="str">
        <f ca="1"/>
        <v xml:space="preserve">Газовая без Ar: </v>
      </c>
      <c r="J125" s="47" t="str">
        <f ca="1"/>
        <v xml:space="preserve">Газовая без Ar: </v>
      </c>
      <c r="K125" s="47" t="str">
        <f ca="1"/>
        <v xml:space="preserve">Газовая без Ar: </v>
      </c>
      <c r="L125" s="47" t="str">
        <f ca="1"/>
        <v xml:space="preserve">Газовая без Ar: </v>
      </c>
      <c r="M125" s="47" t="str">
        <f ca="1"/>
        <v xml:space="preserve">Газовая без Ar: </v>
      </c>
      <c r="N125" s="47" t="str">
        <f ca="1"/>
        <v xml:space="preserve">Газовая без Ar: </v>
      </c>
      <c r="O125" s="47" t="str">
        <f ca="1"/>
        <v xml:space="preserve">Газовая без Ar: </v>
      </c>
      <c r="P125" s="47" t="str">
        <f ca="1"/>
        <v xml:space="preserve">Газовая без Ar: </v>
      </c>
      <c r="Q125" s="47" t="str">
        <f ca="1"/>
        <v xml:space="preserve">Газовая без Ar: </v>
      </c>
      <c r="R125" s="47" t="str">
        <f ca="1"/>
        <v xml:space="preserve">Газовая без Ar: </v>
      </c>
      <c r="S125" s="47" t="str">
        <f ca="1"/>
        <v xml:space="preserve">Газовая без Ar: </v>
      </c>
      <c r="T125" s="47" t="str">
        <f ca="1"/>
        <v xml:space="preserve">Газовая без Ar: </v>
      </c>
      <c r="U125" s="47" t="str">
        <f ca="1"/>
        <v xml:space="preserve">Газовая без Ar: </v>
      </c>
      <c r="V125" s="47" t="str">
        <f ca="1"/>
        <v xml:space="preserve">Газовая без Ar: </v>
      </c>
      <c r="W125" s="47" t="str">
        <f ca="1"/>
        <v xml:space="preserve">Газовая без Ar: </v>
      </c>
      <c r="X125" s="47" t="str">
        <f ca="1"/>
        <v xml:space="preserve">Газовая без Ar: </v>
      </c>
      <c r="Y125" s="47" t="str">
        <f ca="1"/>
        <v xml:space="preserve">Газовая без Ar: </v>
      </c>
      <c r="Z125" s="47" t="str">
        <f ca="1"/>
        <v xml:space="preserve">Газовая без Ar: </v>
      </c>
      <c r="AA125" s="47" t="str">
        <f ca="1"/>
        <v xml:space="preserve">Газовая без Ar: </v>
      </c>
      <c r="AB125" s="47" t="str">
        <f ca="1"/>
        <v xml:space="preserve">Газовая без Ar: </v>
      </c>
      <c r="AC125" s="47" t="str">
        <f ca="1"/>
        <v xml:space="preserve">Газовая без Ar: </v>
      </c>
      <c r="AD125" s="47" t="str">
        <f ca="1"/>
        <v xml:space="preserve">Газовая без Ar: </v>
      </c>
      <c r="AE125" s="47" t="str">
        <f ca="1"/>
        <v xml:space="preserve">Газовая без Ar: </v>
      </c>
      <c r="AF125" s="47" t="str">
        <f ca="1"/>
        <v xml:space="preserve">Газовая без Ar: </v>
      </c>
      <c r="AG125" s="47" t="str">
        <f ca="1"/>
        <v xml:space="preserve">Газовая без Ar: </v>
      </c>
      <c r="AH125" s="47" t="str">
        <f ca="1"/>
        <v xml:space="preserve">Газовая без Ar: </v>
      </c>
      <c r="AI125" s="47" t="str">
        <f ca="1"/>
        <v xml:space="preserve">Газовая без Ar: </v>
      </c>
      <c r="AJ125" s="47" t="str">
        <f ca="1"/>
        <v xml:space="preserve">Газовая без Ar: </v>
      </c>
      <c r="AK125" s="47" t="str">
        <f ca="1"/>
        <v xml:space="preserve">Газовая без Ar: </v>
      </c>
      <c r="AL125" s="47" t="str">
        <f ca="1"/>
        <v xml:space="preserve">Газовая без Ar: </v>
      </c>
      <c r="AM125" s="47" t="str">
        <f ca="1"/>
        <v xml:space="preserve">Газовая без Ar: </v>
      </c>
      <c r="AN125" s="47" t="str">
        <f ca="1"/>
        <v xml:space="preserve">Газовая без Ar: </v>
      </c>
      <c r="AO125" s="47" t="str">
        <f ca="1"/>
        <v xml:space="preserve">Газовая без Ar: </v>
      </c>
      <c r="AP125" s="47" t="str">
        <f ca="1"/>
        <v xml:space="preserve">Газовая без Ar: </v>
      </c>
      <c r="AQ125" s="47" t="str">
        <f ca="1"/>
        <v xml:space="preserve">Газовая без Ar: </v>
      </c>
      <c r="AR125" s="47" t="str">
        <f ca="1"/>
        <v xml:space="preserve">Газовая без Ar: </v>
      </c>
      <c r="AS125" s="47" t="str">
        <f ca="1"/>
        <v xml:space="preserve">Газовая без Ar: </v>
      </c>
      <c r="AT125" s="47" t="str">
        <f ca="1"/>
        <v xml:space="preserve">Газовая без Ar: </v>
      </c>
      <c r="AU125" s="47" t="str">
        <f ca="1"/>
        <v xml:space="preserve">Газовая без Ar: </v>
      </c>
      <c r="AV125" s="47" t="str">
        <f ca="1"/>
        <v xml:space="preserve">Газовая без Ar: </v>
      </c>
      <c r="AW125" s="47" t="str">
        <f ca="1"/>
        <v xml:space="preserve">Газовая без Ar: </v>
      </c>
      <c r="AX125" s="47" t="str">
        <f ca="1"/>
        <v xml:space="preserve">Газовая без Ar: </v>
      </c>
      <c r="AY125" s="47" t="str">
        <f ca="1"/>
        <v xml:space="preserve">Газовая без Ar: </v>
      </c>
      <c r="AZ125" s="47" t="str">
        <f ca="1"/>
        <v xml:space="preserve">Газовая без Ar: </v>
      </c>
      <c r="BA125" s="47" t="str">
        <f ca="1"/>
        <v xml:space="preserve">Газовая без Ar: </v>
      </c>
      <c r="BB125" s="47" t="str">
        <f ca="1"/>
        <v xml:space="preserve">Газовая без Ar: </v>
      </c>
      <c r="BC125" s="47" t="str">
        <f ca="1"/>
        <v xml:space="preserve">Газовая без Ar: </v>
      </c>
      <c r="BD125" s="47" t="str">
        <f ca="1"/>
        <v xml:space="preserve">Газовая без Ar: </v>
      </c>
      <c r="BE125" s="47" t="str">
        <f ca="1"/>
        <v xml:space="preserve">Газовая без Ar: </v>
      </c>
      <c r="BF125" s="47" t="str">
        <f ca="1"/>
        <v xml:space="preserve">Газовая без Ar: </v>
      </c>
      <c r="BG125" s="47" t="str">
        <f ca="1"/>
        <v xml:space="preserve">Газовая без Ar: </v>
      </c>
      <c r="BH125" s="47" t="str">
        <f ca="1"/>
        <v xml:space="preserve">Газовая без Ar: </v>
      </c>
      <c r="BI125" s="47" t="str">
        <f ca="1"/>
        <v xml:space="preserve">Газовая без Ar: </v>
      </c>
      <c r="BJ125" s="47" t="str">
        <f ca="1"/>
        <v xml:space="preserve">Газовая без Ar: </v>
      </c>
      <c r="BK125" s="47" t="str">
        <f ca="1"/>
        <v xml:space="preserve">Газовая без Ar: </v>
      </c>
      <c r="BL125" s="47" t="str">
        <f ca="1"/>
        <v xml:space="preserve">Газовая без Ar: </v>
      </c>
      <c r="BM125" s="47" t="str">
        <f ca="1"/>
        <v xml:space="preserve">Газовая без Ar: </v>
      </c>
      <c r="BN125" s="47" t="str">
        <f ca="1"/>
        <v xml:space="preserve">Газовая без Ar: </v>
      </c>
      <c r="BO125" s="47" t="str">
        <f ca="1"/>
        <v xml:space="preserve">Газовая без Ar: </v>
      </c>
      <c r="BP125" s="47" t="str">
        <f ca="1"/>
        <v xml:space="preserve">Газовая без Ar: </v>
      </c>
      <c r="BQ125" s="47" t="str">
        <f ca="1"/>
        <v xml:space="preserve">Газовая без Ar: </v>
      </c>
      <c r="BR125" s="47" t="str">
        <f ca="1"/>
        <v xml:space="preserve">Газовая без Ar: 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 t="str">
        <f ca="1"/>
        <v xml:space="preserve">Раствор 1 + газовая без Ar: </v>
      </c>
      <c r="G126" s="47" t="str">
        <f ca="1"/>
        <v xml:space="preserve">Раствор 1 + газовая без Ar: </v>
      </c>
      <c r="H126" s="47" t="str">
        <f ca="1"/>
        <v xml:space="preserve">Раствор 1 + газовая без Ar: </v>
      </c>
      <c r="I126" s="47" t="str">
        <f ca="1"/>
        <v xml:space="preserve">Раствор 1 + газовая без Ar: </v>
      </c>
      <c r="J126" s="47" t="str">
        <f ca="1"/>
        <v xml:space="preserve">Раствор 1 + газовая без Ar: </v>
      </c>
      <c r="K126" s="47" t="str">
        <f ca="1"/>
        <v xml:space="preserve">Раствор 1 + газовая без Ar: </v>
      </c>
      <c r="L126" s="47" t="str">
        <f ca="1"/>
        <v xml:space="preserve">Раствор 1 + газовая без Ar: </v>
      </c>
      <c r="M126" s="47" t="str">
        <f ca="1"/>
        <v xml:space="preserve">Раствор 1 + газовая без Ar: </v>
      </c>
      <c r="N126" s="47" t="str">
        <f ca="1"/>
        <v xml:space="preserve">Раствор 1 + газовая без Ar: </v>
      </c>
      <c r="O126" s="47" t="str">
        <f ca="1"/>
        <v xml:space="preserve">Раствор 1 + газовая без Ar: </v>
      </c>
      <c r="P126" s="47" t="str">
        <f ca="1"/>
        <v xml:space="preserve">Раствор 1 + газовая без Ar: </v>
      </c>
      <c r="Q126" s="47" t="str">
        <f ca="1"/>
        <v xml:space="preserve">Раствор 1 + газовая без Ar: </v>
      </c>
      <c r="R126" s="47" t="str">
        <f ca="1"/>
        <v xml:space="preserve">Раствор 1 + газовая без Ar: </v>
      </c>
      <c r="S126" s="47" t="str">
        <f ca="1"/>
        <v xml:space="preserve">Раствор 1 + газовая без Ar: </v>
      </c>
      <c r="T126" s="47" t="str">
        <f ca="1"/>
        <v xml:space="preserve">Раствор 1 + газовая без Ar: </v>
      </c>
      <c r="U126" s="47" t="str">
        <f ca="1"/>
        <v xml:space="preserve">Раствор 1 + газовая без Ar: </v>
      </c>
      <c r="V126" s="47" t="str">
        <f ca="1"/>
        <v xml:space="preserve">Раствор 1 + газовая без Ar: </v>
      </c>
      <c r="W126" s="47" t="str">
        <f ca="1"/>
        <v xml:space="preserve">Раствор 1 + газовая без Ar: </v>
      </c>
      <c r="X126" s="47" t="str">
        <f ca="1"/>
        <v xml:space="preserve">Раствор 1 + газовая без Ar: </v>
      </c>
      <c r="Y126" s="47" t="str">
        <f ca="1"/>
        <v xml:space="preserve">Раствор 1 + газовая без Ar: </v>
      </c>
      <c r="Z126" s="47" t="str">
        <f ca="1"/>
        <v xml:space="preserve">Раствор 1 + газовая без Ar: </v>
      </c>
      <c r="AA126" s="47" t="str">
        <f ca="1"/>
        <v xml:space="preserve">Раствор 1 + газовая без Ar: </v>
      </c>
      <c r="AB126" s="47" t="str">
        <f ca="1"/>
        <v xml:space="preserve">Раствор 1 + газовая без Ar: </v>
      </c>
      <c r="AC126" s="47" t="str">
        <f ca="1"/>
        <v xml:space="preserve">Раствор 1 + газовая без Ar: </v>
      </c>
      <c r="AD126" s="47" t="str">
        <f ca="1"/>
        <v xml:space="preserve">Раствор 1 + газовая без Ar: </v>
      </c>
      <c r="AE126" s="47" t="str">
        <f ca="1"/>
        <v xml:space="preserve">Раствор 1 + газовая без Ar: </v>
      </c>
      <c r="AF126" s="47" t="str">
        <f ca="1"/>
        <v xml:space="preserve">Раствор 1 + газовая без Ar: </v>
      </c>
      <c r="AG126" s="47" t="str">
        <f ca="1"/>
        <v xml:space="preserve">Раствор 1 + газовая без Ar: </v>
      </c>
      <c r="AH126" s="47" t="str">
        <f ca="1"/>
        <v xml:space="preserve">Раствор 1 + газовая без Ar: </v>
      </c>
      <c r="AI126" s="47" t="str">
        <f ca="1"/>
        <v xml:space="preserve">Раствор 1 + газовая без Ar: </v>
      </c>
      <c r="AJ126" s="47" t="str">
        <f ca="1"/>
        <v xml:space="preserve">Раствор 1 + газовая без Ar: </v>
      </c>
      <c r="AK126" s="47" t="str">
        <f ca="1"/>
        <v xml:space="preserve">Раствор 1 + газовая без Ar: </v>
      </c>
      <c r="AL126" s="47" t="str">
        <f ca="1"/>
        <v xml:space="preserve">Раствор 1 + газовая без Ar: </v>
      </c>
      <c r="AM126" s="47" t="str">
        <f ca="1"/>
        <v xml:space="preserve">Раствор 1 + газовая без Ar: </v>
      </c>
      <c r="AN126" s="47" t="str">
        <f ca="1"/>
        <v xml:space="preserve">Раствор 1 + газовая без Ar: </v>
      </c>
      <c r="AO126" s="47" t="str">
        <f ca="1"/>
        <v xml:space="preserve">Раствор 1 + газовая без Ar: </v>
      </c>
      <c r="AP126" s="47" t="str">
        <f ca="1"/>
        <v xml:space="preserve">Раствор 1 + газовая без Ar: </v>
      </c>
      <c r="AQ126" s="47" t="str">
        <f ca="1"/>
        <v xml:space="preserve">Раствор 1 + газовая без Ar: </v>
      </c>
      <c r="AR126" s="47" t="str">
        <f ca="1"/>
        <v xml:space="preserve">Раствор 1 + газовая без Ar: </v>
      </c>
      <c r="AS126" s="47" t="str">
        <f ca="1"/>
        <v xml:space="preserve">Раствор 1 + газовая без Ar: </v>
      </c>
      <c r="AT126" s="47" t="str">
        <f ca="1"/>
        <v xml:space="preserve">Раствор 1 + газовая без Ar: </v>
      </c>
      <c r="AU126" s="47" t="str">
        <f ca="1"/>
        <v xml:space="preserve">Раствор 1 + газовая без Ar: </v>
      </c>
      <c r="AV126" s="47" t="str">
        <f ca="1"/>
        <v xml:space="preserve">Раствор 1 + газовая без Ar: </v>
      </c>
      <c r="AW126" s="47" t="str">
        <f ca="1"/>
        <v xml:space="preserve">Раствор 1 + газовая без Ar: </v>
      </c>
      <c r="AX126" s="47" t="str">
        <f ca="1"/>
        <v xml:space="preserve">Раствор 1 + газовая без Ar: </v>
      </c>
      <c r="AY126" s="47" t="str">
        <f ca="1"/>
        <v xml:space="preserve">Раствор 1 + газовая без Ar: </v>
      </c>
      <c r="AZ126" s="47" t="str">
        <f ca="1"/>
        <v xml:space="preserve">Раствор 1 + газовая без Ar: </v>
      </c>
      <c r="BA126" s="47" t="str">
        <f ca="1"/>
        <v xml:space="preserve">Раствор 1 + газовая без Ar: </v>
      </c>
      <c r="BB126" s="47" t="str">
        <f ca="1"/>
        <v xml:space="preserve">Раствор 1 + газовая без Ar: </v>
      </c>
      <c r="BC126" s="47" t="str">
        <f ca="1"/>
        <v xml:space="preserve">Раствор 1 + газовая без Ar: </v>
      </c>
      <c r="BD126" s="47" t="str">
        <f ca="1"/>
        <v xml:space="preserve">Раствор 1 + газовая без Ar: </v>
      </c>
      <c r="BE126" s="47" t="str">
        <f ca="1"/>
        <v xml:space="preserve">Раствор 1 + газовая без Ar: </v>
      </c>
      <c r="BF126" s="47" t="str">
        <f ca="1"/>
        <v xml:space="preserve">Раствор 1 + газовая без Ar: </v>
      </c>
      <c r="BG126" s="47" t="str">
        <f ca="1"/>
        <v xml:space="preserve">Раствор 1 + газовая без Ar: </v>
      </c>
      <c r="BH126" s="47" t="str">
        <f ca="1"/>
        <v xml:space="preserve">Раствор 1 + газовая без Ar: </v>
      </c>
      <c r="BI126" s="47" t="str">
        <f ca="1"/>
        <v xml:space="preserve">Раствор 1 + газовая без Ar: </v>
      </c>
      <c r="BJ126" s="47" t="str">
        <f ca="1"/>
        <v xml:space="preserve">Раствор 1 + газовая без Ar: </v>
      </c>
      <c r="BK126" s="47" t="str">
        <f ca="1"/>
        <v xml:space="preserve">Раствор 1 + газовая без Ar: </v>
      </c>
      <c r="BL126" s="47" t="str">
        <f ca="1"/>
        <v xml:space="preserve">Раствор 1 + газовая без Ar: </v>
      </c>
      <c r="BM126" s="47" t="str">
        <f ca="1"/>
        <v xml:space="preserve">Раствор 1 + газовая без Ar: </v>
      </c>
      <c r="BN126" s="47" t="str">
        <f ca="1"/>
        <v xml:space="preserve">Раствор 1 + газовая без Ar: </v>
      </c>
      <c r="BO126" s="47" t="str">
        <f ca="1"/>
        <v xml:space="preserve">Раствор 1 + газовая без Ar: </v>
      </c>
      <c r="BP126" s="47" t="str">
        <f ca="1"/>
        <v xml:space="preserve">Раствор 1 + газовая без Ar: </v>
      </c>
      <c r="BQ126" s="47" t="str">
        <f ca="1"/>
        <v xml:space="preserve">Раствор 1 + газовая без Ar: </v>
      </c>
      <c r="BR126" s="47" t="str">
        <f ca="1"/>
        <v xml:space="preserve">Раствор 1 + газовая без Ar: 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 t="str">
        <f ca="1"/>
        <v xml:space="preserve">Раствор 3 + газовая без Ar: </v>
      </c>
      <c r="G127" s="47" t="str">
        <f ca="1"/>
        <v xml:space="preserve">Раствор 3 + газовая без Ar: </v>
      </c>
      <c r="H127" s="47" t="str">
        <f ca="1"/>
        <v xml:space="preserve">Раствор 3 + газовая без Ar: </v>
      </c>
      <c r="I127" s="47" t="str">
        <f ca="1"/>
        <v xml:space="preserve">Раствор 3 + газовая без Ar: </v>
      </c>
      <c r="J127" s="47" t="str">
        <f ca="1"/>
        <v xml:space="preserve">Раствор 3 + газовая без Ar: </v>
      </c>
      <c r="K127" s="47" t="str">
        <f ca="1"/>
        <v xml:space="preserve">Раствор 3 + газовая без Ar: </v>
      </c>
      <c r="L127" s="47" t="str">
        <f ca="1"/>
        <v xml:space="preserve">Раствор 3 + газовая без Ar: </v>
      </c>
      <c r="M127" s="47" t="str">
        <f ca="1"/>
        <v xml:space="preserve">Раствор 3 + газовая без Ar: </v>
      </c>
      <c r="N127" s="47" t="str">
        <f ca="1"/>
        <v xml:space="preserve">Раствор 3 + газовая без Ar: </v>
      </c>
      <c r="O127" s="47" t="str">
        <f ca="1"/>
        <v xml:space="preserve">Раствор 3 + газовая без Ar: </v>
      </c>
      <c r="P127" s="47" t="str">
        <f ca="1"/>
        <v xml:space="preserve">Раствор 3 + газовая без Ar: </v>
      </c>
      <c r="Q127" s="47" t="str">
        <f ca="1"/>
        <v xml:space="preserve">Раствор 3 + газовая без Ar: </v>
      </c>
      <c r="R127" s="47" t="str">
        <f ca="1"/>
        <v xml:space="preserve">Раствор 3 + газовая без Ar: </v>
      </c>
      <c r="S127" s="47" t="str">
        <f ca="1"/>
        <v xml:space="preserve">Раствор 3 + газовая без Ar: </v>
      </c>
      <c r="T127" s="47" t="str">
        <f ca="1"/>
        <v xml:space="preserve">Раствор 3 + газовая без Ar: </v>
      </c>
      <c r="U127" s="47" t="str">
        <f ca="1"/>
        <v xml:space="preserve">Раствор 3 + газовая без Ar: </v>
      </c>
      <c r="V127" s="47" t="str">
        <f ca="1"/>
        <v xml:space="preserve">Раствор 3 + газовая без Ar: </v>
      </c>
      <c r="W127" s="47" t="str">
        <f ca="1"/>
        <v xml:space="preserve">Раствор 3 + газовая без Ar: </v>
      </c>
      <c r="X127" s="47" t="str">
        <f ca="1"/>
        <v xml:space="preserve">Раствор 3 + газовая без Ar: </v>
      </c>
      <c r="Y127" s="47" t="str">
        <f ca="1"/>
        <v xml:space="preserve">Раствор 3 + газовая без Ar: </v>
      </c>
      <c r="Z127" s="47" t="str">
        <f ca="1"/>
        <v xml:space="preserve">Раствор 3 + газовая без Ar: </v>
      </c>
      <c r="AA127" s="47" t="str">
        <f ca="1"/>
        <v xml:space="preserve">Раствор 3 + газовая без Ar: </v>
      </c>
      <c r="AB127" s="47" t="str">
        <f ca="1"/>
        <v xml:space="preserve">Раствор 3 + газовая без Ar: </v>
      </c>
      <c r="AC127" s="47" t="str">
        <f ca="1"/>
        <v xml:space="preserve">Раствор 3 + газовая без Ar: </v>
      </c>
      <c r="AD127" s="47" t="str">
        <f ca="1"/>
        <v xml:space="preserve">Раствор 3 + газовая без Ar: </v>
      </c>
      <c r="AE127" s="47" t="str">
        <f ca="1"/>
        <v xml:space="preserve">Раствор 3 + газовая без Ar: </v>
      </c>
      <c r="AF127" s="47" t="str">
        <f ca="1"/>
        <v xml:space="preserve">Раствор 3 + газовая без Ar: </v>
      </c>
      <c r="AG127" s="47" t="str">
        <f ca="1"/>
        <v xml:space="preserve">Раствор 3 + газовая без Ar: </v>
      </c>
      <c r="AH127" s="47" t="str">
        <f ca="1"/>
        <v xml:space="preserve">Раствор 3 + газовая без Ar: </v>
      </c>
      <c r="AI127" s="47" t="str">
        <f ca="1"/>
        <v xml:space="preserve">Раствор 3 + газовая без Ar: </v>
      </c>
      <c r="AJ127" s="47" t="str">
        <f ca="1"/>
        <v xml:space="preserve">Раствор 3 + газовая без Ar: </v>
      </c>
      <c r="AK127" s="47" t="str">
        <f ca="1"/>
        <v xml:space="preserve">Раствор 3 + газовая без Ar: </v>
      </c>
      <c r="AL127" s="47" t="str">
        <f ca="1"/>
        <v xml:space="preserve">Раствор 3 + газовая без Ar: </v>
      </c>
      <c r="AM127" s="47" t="str">
        <f ca="1"/>
        <v xml:space="preserve">Раствор 3 + газовая без Ar: </v>
      </c>
      <c r="AN127" s="47" t="str">
        <f ca="1"/>
        <v xml:space="preserve">Раствор 3 + газовая без Ar: </v>
      </c>
      <c r="AO127" s="47" t="str">
        <f ca="1"/>
        <v xml:space="preserve">Раствор 3 + газовая без Ar: </v>
      </c>
      <c r="AP127" s="47" t="str">
        <f ca="1"/>
        <v xml:space="preserve">Раствор 3 + газовая без Ar: </v>
      </c>
      <c r="AQ127" s="47" t="str">
        <f ca="1"/>
        <v xml:space="preserve">Раствор 3 + газовая без Ar: </v>
      </c>
      <c r="AR127" s="47" t="str">
        <f ca="1"/>
        <v xml:space="preserve">Раствор 3 + газовая без Ar: </v>
      </c>
      <c r="AS127" s="47" t="str">
        <f ca="1"/>
        <v xml:space="preserve">Раствор 3 + газовая без Ar: </v>
      </c>
      <c r="AT127" s="47" t="str">
        <f ca="1"/>
        <v xml:space="preserve">Раствор 3 + газовая без Ar: </v>
      </c>
      <c r="AU127" s="47" t="str">
        <f ca="1"/>
        <v xml:space="preserve">Раствор 3 + газовая без Ar: </v>
      </c>
      <c r="AV127" s="47" t="str">
        <f ca="1"/>
        <v xml:space="preserve">Раствор 3 + газовая без Ar: </v>
      </c>
      <c r="AW127" s="47" t="str">
        <f ca="1"/>
        <v xml:space="preserve">Раствор 3 + газовая без Ar: </v>
      </c>
      <c r="AX127" s="47" t="str">
        <f ca="1"/>
        <v xml:space="preserve">Раствор 3 + газовая без Ar: </v>
      </c>
      <c r="AY127" s="47" t="str">
        <f ca="1"/>
        <v xml:space="preserve">Раствор 3 + газовая без Ar: </v>
      </c>
      <c r="AZ127" s="47" t="str">
        <f ca="1"/>
        <v xml:space="preserve">Раствор 3 + газовая без Ar: </v>
      </c>
      <c r="BA127" s="47" t="str">
        <f ca="1"/>
        <v xml:space="preserve">Раствор 3 + газовая без Ar: </v>
      </c>
      <c r="BB127" s="47" t="str">
        <f ca="1"/>
        <v xml:space="preserve">Раствор 3 + газовая без Ar: </v>
      </c>
      <c r="BC127" s="47" t="str">
        <f ca="1"/>
        <v xml:space="preserve">Раствор 3 + газовая без Ar: </v>
      </c>
      <c r="BD127" s="47" t="str">
        <f ca="1"/>
        <v xml:space="preserve">Раствор 3 + газовая без Ar: </v>
      </c>
      <c r="BE127" s="47" t="str">
        <f ca="1"/>
        <v xml:space="preserve">Раствор 3 + газовая без Ar: </v>
      </c>
      <c r="BF127" s="47" t="str">
        <f ca="1"/>
        <v xml:space="preserve">Раствор 3 + газовая без Ar: </v>
      </c>
      <c r="BG127" s="47" t="str">
        <f ca="1"/>
        <v xml:space="preserve">Раствор 3 + газовая без Ar: </v>
      </c>
      <c r="BH127" s="47" t="str">
        <f ca="1"/>
        <v xml:space="preserve">Раствор 3 + газовая без Ar: </v>
      </c>
      <c r="BI127" s="47" t="str">
        <f ca="1"/>
        <v xml:space="preserve">Раствор 3 + газовая без Ar: </v>
      </c>
      <c r="BJ127" s="47" t="str">
        <f ca="1"/>
        <v xml:space="preserve">Раствор 3 + газовая без Ar: </v>
      </c>
      <c r="BK127" s="47" t="str">
        <f ca="1"/>
        <v xml:space="preserve">Раствор 3 + газовая без Ar: </v>
      </c>
      <c r="BL127" s="47" t="str">
        <f ca="1"/>
        <v xml:space="preserve">Раствор 3 + газовая без Ar: </v>
      </c>
      <c r="BM127" s="47" t="str">
        <f ca="1"/>
        <v xml:space="preserve">Раствор 3 + газовая без Ar: </v>
      </c>
      <c r="BN127" s="47" t="str">
        <f ca="1"/>
        <v xml:space="preserve">Раствор 3 + газовая без Ar: </v>
      </c>
      <c r="BO127" s="47" t="str">
        <f ca="1"/>
        <v xml:space="preserve">Раствор 3 + газовая без Ar: </v>
      </c>
      <c r="BP127" s="47" t="str">
        <f ca="1"/>
        <v xml:space="preserve">Раствор 3 + газовая без Ar: </v>
      </c>
      <c r="BQ127" s="47" t="str">
        <f ca="1"/>
        <v xml:space="preserve">Раствор 3 + газовая без Ar: </v>
      </c>
      <c r="BR127" s="47" t="str">
        <f ca="1"/>
        <v xml:space="preserve">Раствор 3 + газовая без Ar: </v>
      </c>
    </row>
    <row r="128" spans="1:71" ht="21" hidden="1" customHeight="1" outlineLevel="1" thickBot="1" x14ac:dyDescent="0.4">
      <c r="E128" s="17" t="str">
        <f ca="1"/>
        <v>Р1+Р3+газ без Ar</v>
      </c>
      <c r="F128" s="47" t="str">
        <f ca="1"/>
        <v>Р1+Р3+газ без Ar</v>
      </c>
      <c r="G128" s="47" t="str">
        <f ca="1"/>
        <v>Р1+Р3+газ без Ar</v>
      </c>
      <c r="H128" s="47" t="str">
        <f ca="1"/>
        <v>Р1+Р3+газ без Ar</v>
      </c>
      <c r="I128" s="47" t="str">
        <f ca="1"/>
        <v>Р1+Р3+газ без Ar</v>
      </c>
      <c r="J128" s="47" t="str">
        <f ca="1"/>
        <v>Р1+Р3+газ без Ar</v>
      </c>
      <c r="K128" s="47" t="str">
        <f ca="1"/>
        <v>Р1+Р3+газ без Ar</v>
      </c>
      <c r="L128" s="47" t="str">
        <f ca="1"/>
        <v>Р1+Р3+газ без Ar</v>
      </c>
      <c r="M128" s="47" t="str">
        <f ca="1"/>
        <v>Р1+Р3+газ без Ar</v>
      </c>
      <c r="N128" s="47" t="str">
        <f ca="1"/>
        <v>Р1+Р3+газ без Ar</v>
      </c>
      <c r="O128" s="47" t="str">
        <f ca="1"/>
        <v>Р1+Р3+газ без Ar</v>
      </c>
      <c r="P128" s="47" t="str">
        <f ca="1"/>
        <v>Р1+Р3+газ без Ar</v>
      </c>
      <c r="Q128" s="47" t="str">
        <f ca="1"/>
        <v>Р1+Р3+газ без Ar</v>
      </c>
      <c r="R128" s="47" t="str">
        <f ca="1"/>
        <v>Р1+Р3+газ без Ar</v>
      </c>
      <c r="S128" s="47" t="str">
        <f ca="1"/>
        <v>Р1+Р3+газ без Ar</v>
      </c>
      <c r="T128" s="47" t="str">
        <f ca="1"/>
        <v>Р1+Р3+газ без Ar</v>
      </c>
      <c r="U128" s="47" t="str">
        <f ca="1"/>
        <v>Р1+Р3+газ без Ar</v>
      </c>
      <c r="V128" s="47" t="str">
        <f ca="1"/>
        <v>Р1+Р3+газ без Ar</v>
      </c>
      <c r="W128" s="47" t="str">
        <f ca="1"/>
        <v>Р1+Р3+газ без Ar</v>
      </c>
      <c r="X128" s="47" t="str">
        <f ca="1"/>
        <v>Р1+Р3+газ без Ar</v>
      </c>
      <c r="Y128" s="47" t="str">
        <f ca="1"/>
        <v>Р1+Р3+газ без Ar</v>
      </c>
      <c r="Z128" s="47" t="str">
        <f ca="1"/>
        <v>Р1+Р3+газ без Ar</v>
      </c>
      <c r="AA128" s="47" t="str">
        <f ca="1"/>
        <v>Р1+Р3+газ без Ar</v>
      </c>
      <c r="AB128" s="47" t="str">
        <f ca="1"/>
        <v>Р1+Р3+газ без Ar</v>
      </c>
      <c r="AC128" s="47" t="str">
        <f ca="1"/>
        <v>Р1+Р3+газ без Ar</v>
      </c>
      <c r="AD128" s="47" t="str">
        <f ca="1"/>
        <v>Р1+Р3+газ без Ar</v>
      </c>
      <c r="AE128" s="47" t="str">
        <f ca="1"/>
        <v>Р1+Р3+газ без Ar</v>
      </c>
      <c r="AF128" s="47" t="str">
        <f ca="1"/>
        <v>Р1+Р3+газ без Ar</v>
      </c>
      <c r="AG128" s="47" t="str">
        <f ca="1"/>
        <v>Р1+Р3+газ без Ar</v>
      </c>
      <c r="AH128" s="47" t="str">
        <f ca="1"/>
        <v>Р1+Р3+газ без Ar</v>
      </c>
      <c r="AI128" s="47" t="str">
        <f ca="1"/>
        <v>Р1+Р3+газ без Ar</v>
      </c>
      <c r="AJ128" s="47" t="str">
        <f ca="1"/>
        <v>Р1+Р3+газ без Ar</v>
      </c>
      <c r="AK128" s="47" t="str">
        <f ca="1"/>
        <v>Р1+Р3+газ без Ar</v>
      </c>
      <c r="AL128" s="47" t="str">
        <f ca="1"/>
        <v>Р1+Р3+газ без Ar</v>
      </c>
      <c r="AM128" s="47" t="str">
        <f ca="1"/>
        <v>Р1+Р3+газ без Ar</v>
      </c>
      <c r="AN128" s="47" t="str">
        <f ca="1"/>
        <v>Р1+Р3+газ без Ar</v>
      </c>
      <c r="AO128" s="47" t="str">
        <f ca="1"/>
        <v>Р1+Р3+газ без Ar</v>
      </c>
      <c r="AP128" s="47" t="str">
        <f ca="1"/>
        <v>Р1+Р3+газ без Ar</v>
      </c>
      <c r="AQ128" s="47" t="str">
        <f ca="1"/>
        <v>Р1+Р3+газ без Ar</v>
      </c>
      <c r="AR128" s="47" t="str">
        <f ca="1"/>
        <v>Р1+Р3+газ без Ar</v>
      </c>
      <c r="AS128" s="47" t="str">
        <f ca="1"/>
        <v>Р1+Р3+газ без Ar</v>
      </c>
      <c r="AT128" s="47" t="str">
        <f ca="1"/>
        <v>Р1+Р3+газ без Ar</v>
      </c>
      <c r="AU128" s="47" t="str">
        <f ca="1"/>
        <v>Р1+Р3+газ без Ar</v>
      </c>
      <c r="AV128" s="47" t="str">
        <f ca="1"/>
        <v>Р1+Р3+газ без Ar</v>
      </c>
      <c r="AW128" s="47" t="str">
        <f ca="1"/>
        <v>Р1+Р3+газ без Ar</v>
      </c>
      <c r="AX128" s="47" t="str">
        <f ca="1"/>
        <v>Р1+Р3+газ без Ar</v>
      </c>
      <c r="AY128" s="47" t="str">
        <f ca="1"/>
        <v>Р1+Р3+газ без Ar</v>
      </c>
      <c r="AZ128" s="47" t="str">
        <f ca="1"/>
        <v>Р1+Р3+газ без Ar</v>
      </c>
      <c r="BA128" s="47" t="str">
        <f ca="1"/>
        <v>Р1+Р3+газ без Ar</v>
      </c>
      <c r="BB128" s="47" t="str">
        <f ca="1"/>
        <v>Р1+Р3+газ без Ar</v>
      </c>
      <c r="BC128" s="47" t="str">
        <f ca="1"/>
        <v>Р1+Р3+газ без Ar</v>
      </c>
      <c r="BD128" s="47" t="str">
        <f ca="1"/>
        <v>Р1+Р3+газ без Ar</v>
      </c>
      <c r="BE128" s="47" t="str">
        <f ca="1"/>
        <v>Р1+Р3+газ без Ar</v>
      </c>
      <c r="BF128" s="47" t="str">
        <f ca="1"/>
        <v>Р1+Р3+газ без Ar</v>
      </c>
      <c r="BG128" s="47" t="str">
        <f ca="1"/>
        <v>Р1+Р3+газ без Ar</v>
      </c>
      <c r="BH128" s="47" t="str">
        <f ca="1"/>
        <v>Р1+Р3+газ без Ar</v>
      </c>
      <c r="BI128" s="47" t="str">
        <f ca="1"/>
        <v>Р1+Р3+газ без Ar</v>
      </c>
      <c r="BJ128" s="47" t="str">
        <f ca="1"/>
        <v>Р1+Р3+газ без Ar</v>
      </c>
      <c r="BK128" s="47" t="str">
        <f ca="1"/>
        <v>Р1+Р3+газ без Ar</v>
      </c>
      <c r="BL128" s="47" t="str">
        <f ca="1"/>
        <v>Р1+Р3+газ без Ar</v>
      </c>
      <c r="BM128" s="47" t="str">
        <f ca="1"/>
        <v>Р1+Р3+газ без Ar</v>
      </c>
      <c r="BN128" s="47" t="str">
        <f ca="1"/>
        <v>Р1+Р3+газ без Ar</v>
      </c>
      <c r="BO128" s="47" t="str">
        <f ca="1"/>
        <v>Р1+Р3+газ без Ar</v>
      </c>
      <c r="BP128" s="47" t="str">
        <f ca="1"/>
        <v>Р1+Р3+газ без Ar</v>
      </c>
      <c r="BQ128" s="47" t="str">
        <f ca="1"/>
        <v>Р1+Р3+газ без Ar</v>
      </c>
      <c r="BR128" s="47" t="str">
        <f ca="1"/>
        <v>Р1+Р3+газ без Ar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AN20"/>
  <sheetViews>
    <sheetView topLeftCell="V1" workbookViewId="0">
      <selection activeCell="AA14" sqref="AA14"/>
    </sheetView>
  </sheetViews>
  <sheetFormatPr defaultRowHeight="21" x14ac:dyDescent="0.35"/>
  <sheetData>
    <row r="1" spans="1:40" x14ac:dyDescent="0.35">
      <c r="A1" s="108"/>
      <c r="B1" s="109"/>
      <c r="C1" s="110"/>
      <c r="D1" s="110"/>
      <c r="E1" s="109"/>
      <c r="F1" s="110"/>
      <c r="G1" s="110"/>
      <c r="H1" s="109"/>
      <c r="I1" s="110"/>
      <c r="J1" s="110"/>
      <c r="K1" s="109"/>
      <c r="L1" s="110"/>
      <c r="M1" s="110"/>
      <c r="N1" s="109"/>
      <c r="O1" s="110"/>
      <c r="P1" s="110"/>
      <c r="Q1" s="109"/>
      <c r="R1" s="110"/>
      <c r="S1" s="110"/>
      <c r="T1" s="109"/>
      <c r="U1" s="110"/>
      <c r="V1" s="110"/>
      <c r="W1" s="109"/>
      <c r="X1" s="110"/>
      <c r="Y1" s="110"/>
      <c r="Z1" s="109"/>
      <c r="AA1" s="110"/>
      <c r="AB1" s="110"/>
      <c r="AC1" s="109"/>
      <c r="AD1" s="110"/>
      <c r="AE1" s="110"/>
      <c r="AF1" s="109"/>
      <c r="AG1" s="110"/>
      <c r="AH1" s="110"/>
      <c r="AI1" s="109"/>
      <c r="AJ1" s="110"/>
      <c r="AK1" s="110"/>
      <c r="AL1" s="114"/>
      <c r="AM1" s="115"/>
      <c r="AN1" s="110"/>
    </row>
    <row r="2" spans="1:40" x14ac:dyDescent="0.35">
      <c r="A2" s="112"/>
      <c r="B2" s="116"/>
      <c r="C2" s="117"/>
      <c r="D2" s="117"/>
      <c r="E2" s="116"/>
      <c r="F2" s="117"/>
      <c r="G2" s="117"/>
      <c r="H2" s="116"/>
      <c r="I2" s="117"/>
      <c r="J2" s="117"/>
      <c r="K2" s="117"/>
      <c r="L2" s="117"/>
      <c r="M2" s="117"/>
      <c r="N2" s="116"/>
      <c r="O2" s="117"/>
      <c r="P2" s="117"/>
      <c r="Q2" s="116"/>
      <c r="R2" s="117"/>
      <c r="S2" s="117"/>
      <c r="T2" s="116"/>
      <c r="U2" s="117"/>
      <c r="V2" s="117"/>
      <c r="W2" s="116"/>
      <c r="X2" s="117"/>
      <c r="Y2" s="117"/>
      <c r="Z2" s="116"/>
      <c r="AA2" s="117"/>
      <c r="AB2" s="117"/>
      <c r="AC2" s="117"/>
      <c r="AD2" s="117"/>
      <c r="AE2" s="117"/>
      <c r="AF2" s="116"/>
      <c r="AG2" s="117"/>
      <c r="AH2" s="117"/>
      <c r="AI2" s="116"/>
      <c r="AJ2" s="117"/>
      <c r="AK2" s="117"/>
      <c r="AL2" s="117"/>
      <c r="AM2" s="117"/>
      <c r="AN2" s="117"/>
    </row>
    <row r="3" spans="1:40" x14ac:dyDescent="0.35">
      <c r="A3" s="108"/>
      <c r="B3" s="118"/>
      <c r="C3" s="119"/>
      <c r="D3" s="119"/>
      <c r="E3" s="118"/>
      <c r="F3" s="119"/>
      <c r="G3" s="119"/>
      <c r="H3" s="118"/>
      <c r="I3" s="119"/>
      <c r="J3" s="119"/>
      <c r="K3" s="119"/>
      <c r="L3" s="119"/>
      <c r="M3" s="119"/>
      <c r="N3" s="118"/>
      <c r="O3" s="119"/>
      <c r="P3" s="119"/>
      <c r="Q3" s="118"/>
      <c r="R3" s="119"/>
      <c r="S3" s="119"/>
      <c r="T3" s="118"/>
      <c r="U3" s="119"/>
      <c r="V3" s="119"/>
      <c r="W3" s="118"/>
      <c r="X3" s="119"/>
      <c r="Y3" s="119"/>
      <c r="Z3" s="118"/>
      <c r="AA3" s="119"/>
      <c r="AB3" s="119"/>
      <c r="AC3" s="118"/>
      <c r="AD3" s="119"/>
      <c r="AE3" s="119"/>
      <c r="AF3" s="118"/>
      <c r="AG3" s="119"/>
      <c r="AH3" s="119"/>
      <c r="AI3" s="118"/>
      <c r="AJ3" s="119"/>
      <c r="AK3" s="119"/>
      <c r="AL3" s="119"/>
      <c r="AM3" s="119"/>
      <c r="AN3" s="119"/>
    </row>
    <row r="4" spans="1:40" x14ac:dyDescent="0.35">
      <c r="A4" s="108"/>
      <c r="B4" s="118"/>
      <c r="C4" s="119"/>
      <c r="D4" s="119"/>
      <c r="E4" s="118"/>
      <c r="F4" s="119"/>
      <c r="G4" s="119"/>
      <c r="H4" s="118"/>
      <c r="I4" s="119"/>
      <c r="J4" s="119"/>
      <c r="K4" s="119"/>
      <c r="L4" s="119"/>
      <c r="M4" s="119"/>
      <c r="N4" s="118"/>
      <c r="O4" s="119"/>
      <c r="P4" s="119"/>
      <c r="Q4" s="118"/>
      <c r="R4" s="119"/>
      <c r="S4" s="119"/>
      <c r="T4" s="118"/>
      <c r="U4" s="119"/>
      <c r="V4" s="119"/>
      <c r="W4" s="118"/>
      <c r="X4" s="119"/>
      <c r="Y4" s="119"/>
      <c r="Z4" s="118"/>
      <c r="AA4" s="119"/>
      <c r="AB4" s="119"/>
      <c r="AC4" s="118"/>
      <c r="AD4" s="119"/>
      <c r="AE4" s="119"/>
      <c r="AF4" s="118"/>
      <c r="AG4" s="119"/>
      <c r="AH4" s="119"/>
      <c r="AI4" s="119"/>
      <c r="AJ4" s="119"/>
      <c r="AK4" s="119"/>
      <c r="AL4" s="119"/>
      <c r="AM4" s="119"/>
      <c r="AN4" s="119"/>
    </row>
    <row r="5" spans="1:40" x14ac:dyDescent="0.35">
      <c r="A5" s="108"/>
      <c r="B5" s="119"/>
      <c r="C5" s="119"/>
      <c r="D5" s="119"/>
      <c r="E5" s="118"/>
      <c r="F5" s="119"/>
      <c r="G5" s="119"/>
      <c r="H5" s="118"/>
      <c r="I5" s="119"/>
      <c r="J5" s="119"/>
      <c r="K5" s="119"/>
      <c r="L5" s="119"/>
      <c r="M5" s="119"/>
      <c r="N5" s="118"/>
      <c r="O5" s="119"/>
      <c r="P5" s="119"/>
      <c r="Q5" s="118"/>
      <c r="R5" s="119"/>
      <c r="S5" s="119"/>
      <c r="T5" s="118"/>
      <c r="U5" s="119"/>
      <c r="V5" s="119"/>
      <c r="W5" s="118"/>
      <c r="X5" s="119"/>
      <c r="Y5" s="119"/>
      <c r="Z5" s="118"/>
      <c r="AA5" s="119"/>
      <c r="AB5" s="119"/>
      <c r="AC5" s="118"/>
      <c r="AD5" s="119"/>
      <c r="AE5" s="119"/>
      <c r="AF5" s="118"/>
      <c r="AG5" s="119"/>
      <c r="AH5" s="119"/>
      <c r="AI5" s="118"/>
      <c r="AJ5" s="119"/>
      <c r="AK5" s="119"/>
      <c r="AL5" s="119"/>
      <c r="AM5" s="119"/>
      <c r="AN5" s="119"/>
    </row>
    <row r="6" spans="1:40" x14ac:dyDescent="0.35">
      <c r="A6" s="108"/>
      <c r="B6" s="119"/>
      <c r="C6" s="119"/>
      <c r="D6" s="119"/>
      <c r="E6" s="118"/>
      <c r="F6" s="119"/>
      <c r="G6" s="119"/>
      <c r="H6" s="119"/>
      <c r="I6" s="119"/>
      <c r="J6" s="119"/>
      <c r="K6" s="118"/>
      <c r="L6" s="119"/>
      <c r="M6" s="119"/>
      <c r="N6" s="118"/>
      <c r="O6" s="119"/>
      <c r="P6" s="119"/>
      <c r="Q6" s="118"/>
      <c r="R6" s="119"/>
      <c r="S6" s="119"/>
      <c r="T6" s="118"/>
      <c r="U6" s="119"/>
      <c r="V6" s="119"/>
      <c r="W6" s="118"/>
      <c r="X6" s="119"/>
      <c r="Y6" s="119"/>
      <c r="Z6" s="118"/>
      <c r="AA6" s="119"/>
      <c r="AB6" s="119"/>
      <c r="AC6" s="118"/>
      <c r="AD6" s="119"/>
      <c r="AE6" s="119"/>
      <c r="AF6" s="118"/>
      <c r="AG6" s="119"/>
      <c r="AH6" s="119"/>
      <c r="AI6" s="118"/>
      <c r="AJ6" s="119"/>
      <c r="AK6" s="119"/>
      <c r="AL6" s="118"/>
      <c r="AM6" s="119"/>
      <c r="AN6" s="119"/>
    </row>
    <row r="7" spans="1:40" x14ac:dyDescent="0.35">
      <c r="A7" s="113"/>
      <c r="B7" s="120"/>
      <c r="C7" s="120"/>
      <c r="D7" s="120"/>
      <c r="E7" s="121"/>
      <c r="F7" s="120"/>
      <c r="G7" s="120"/>
      <c r="H7" s="120"/>
      <c r="I7" s="120"/>
      <c r="J7" s="120"/>
      <c r="K7" s="121"/>
      <c r="L7" s="120"/>
      <c r="M7" s="120"/>
      <c r="N7" s="121"/>
      <c r="O7" s="120"/>
      <c r="P7" s="120"/>
      <c r="Q7" s="121"/>
      <c r="R7" s="120"/>
      <c r="S7" s="120"/>
      <c r="T7" s="121"/>
      <c r="U7" s="120"/>
      <c r="V7" s="120"/>
      <c r="W7" s="121"/>
      <c r="X7" s="120"/>
      <c r="Y7" s="120"/>
      <c r="Z7" s="120"/>
      <c r="AA7" s="120"/>
      <c r="AB7" s="120"/>
      <c r="AC7" s="121"/>
      <c r="AD7" s="120"/>
      <c r="AE7" s="120"/>
      <c r="AF7" s="121"/>
      <c r="AG7" s="120"/>
      <c r="AH7" s="120"/>
      <c r="AI7" s="121"/>
      <c r="AJ7" s="120"/>
      <c r="AK7" s="120"/>
      <c r="AL7" s="121"/>
      <c r="AM7" s="120"/>
      <c r="AN7" s="120"/>
    </row>
    <row r="8" spans="1:40" x14ac:dyDescent="0.35">
      <c r="A8" s="108"/>
      <c r="B8" s="119"/>
      <c r="C8" s="119"/>
      <c r="D8" s="119"/>
      <c r="E8" s="119"/>
      <c r="F8" s="119"/>
      <c r="G8" s="119"/>
      <c r="H8" s="118"/>
      <c r="I8" s="119"/>
      <c r="J8" s="119"/>
      <c r="K8" s="118"/>
      <c r="L8" s="119"/>
      <c r="M8" s="119"/>
      <c r="N8" s="118"/>
      <c r="O8" s="119"/>
      <c r="P8" s="119"/>
      <c r="Q8" s="118"/>
      <c r="R8" s="119"/>
      <c r="S8" s="119"/>
      <c r="T8" s="118"/>
      <c r="U8" s="119"/>
      <c r="V8" s="119"/>
      <c r="W8" s="118"/>
      <c r="X8" s="119"/>
      <c r="Y8" s="119"/>
      <c r="Z8" s="118"/>
      <c r="AA8" s="119"/>
      <c r="AB8" s="119"/>
      <c r="AC8" s="118"/>
      <c r="AD8" s="119"/>
      <c r="AE8" s="119"/>
      <c r="AF8" s="118"/>
      <c r="AG8" s="119"/>
      <c r="AH8" s="119"/>
      <c r="AI8" s="118"/>
      <c r="AJ8" s="119"/>
      <c r="AK8" s="119"/>
      <c r="AL8" s="118"/>
      <c r="AM8" s="119"/>
      <c r="AN8" s="119"/>
    </row>
    <row r="9" spans="1:40" x14ac:dyDescent="0.35">
      <c r="A9" s="108"/>
      <c r="B9" s="118"/>
      <c r="C9" s="119"/>
      <c r="D9" s="119"/>
      <c r="E9" s="120"/>
      <c r="F9" s="120"/>
      <c r="G9" s="120"/>
      <c r="H9" s="118"/>
      <c r="I9" s="119"/>
      <c r="J9" s="119"/>
      <c r="K9" s="121"/>
      <c r="L9" s="120"/>
      <c r="M9" s="120"/>
      <c r="N9" s="118"/>
      <c r="O9" s="119"/>
      <c r="P9" s="119"/>
      <c r="Q9" s="118"/>
      <c r="R9" s="119"/>
      <c r="S9" s="119"/>
      <c r="T9" s="118"/>
      <c r="U9" s="119"/>
      <c r="V9" s="119"/>
      <c r="W9" s="121"/>
      <c r="X9" s="120"/>
      <c r="Y9" s="120"/>
      <c r="Z9" s="119"/>
      <c r="AA9" s="119"/>
      <c r="AB9" s="119"/>
      <c r="AC9" s="118"/>
      <c r="AD9" s="119"/>
      <c r="AE9" s="119"/>
      <c r="AF9" s="119"/>
      <c r="AG9" s="119"/>
      <c r="AH9" s="119"/>
      <c r="AI9" s="118"/>
      <c r="AJ9" s="119"/>
      <c r="AK9" s="119"/>
      <c r="AL9" s="121"/>
      <c r="AM9" s="120"/>
      <c r="AN9" s="120"/>
    </row>
    <row r="10" spans="1:40" x14ac:dyDescent="0.35">
      <c r="A10" s="113"/>
      <c r="B10" s="121"/>
      <c r="C10" s="120"/>
      <c r="D10" s="120"/>
      <c r="E10" s="120"/>
      <c r="F10" s="120"/>
      <c r="G10" s="120"/>
      <c r="H10" s="121"/>
      <c r="I10" s="120"/>
      <c r="J10" s="120"/>
      <c r="K10" s="121"/>
      <c r="L10" s="120"/>
      <c r="M10" s="120"/>
      <c r="N10" s="121"/>
      <c r="O10" s="120"/>
      <c r="P10" s="120"/>
      <c r="Q10" s="121"/>
      <c r="R10" s="120"/>
      <c r="S10" s="120"/>
      <c r="T10" s="121"/>
      <c r="U10" s="120"/>
      <c r="V10" s="120"/>
      <c r="W10" s="121"/>
      <c r="X10" s="120"/>
      <c r="Y10" s="120"/>
      <c r="Z10" s="120"/>
      <c r="AA10" s="120"/>
      <c r="AB10" s="120"/>
      <c r="AC10" s="121"/>
      <c r="AD10" s="120"/>
      <c r="AE10" s="120"/>
      <c r="AF10" s="120"/>
      <c r="AG10" s="120"/>
      <c r="AH10" s="120"/>
      <c r="AI10" s="121"/>
      <c r="AJ10" s="120"/>
      <c r="AK10" s="120"/>
      <c r="AL10" s="121"/>
      <c r="AM10" s="120"/>
      <c r="AN10" s="120"/>
    </row>
    <row r="11" spans="1:40" x14ac:dyDescent="0.35">
      <c r="A11" s="113"/>
      <c r="B11" s="121"/>
      <c r="C11" s="120"/>
      <c r="D11" s="120"/>
      <c r="E11" s="121"/>
      <c r="F11" s="120"/>
      <c r="G11" s="120"/>
      <c r="H11" s="121"/>
      <c r="I11" s="120"/>
      <c r="J11" s="120"/>
      <c r="K11" s="121"/>
      <c r="L11" s="120"/>
      <c r="M11" s="120"/>
      <c r="N11" s="121"/>
      <c r="O11" s="120"/>
      <c r="P11" s="120"/>
      <c r="Q11" s="121"/>
      <c r="R11" s="120"/>
      <c r="S11" s="120"/>
      <c r="T11" s="121"/>
      <c r="U11" s="120"/>
      <c r="V11" s="120"/>
      <c r="W11" s="121"/>
      <c r="X11" s="120"/>
      <c r="Y11" s="120"/>
      <c r="Z11" s="121"/>
      <c r="AA11" s="120"/>
      <c r="AB11" s="120"/>
      <c r="AC11" s="121"/>
      <c r="AD11" s="120"/>
      <c r="AE11" s="120"/>
      <c r="AF11" s="120"/>
      <c r="AG11" s="120"/>
      <c r="AH11" s="120"/>
      <c r="AI11" s="121"/>
      <c r="AJ11" s="120"/>
      <c r="AK11" s="120"/>
      <c r="AL11" s="120"/>
      <c r="AM11" s="120"/>
      <c r="AN11" s="120"/>
    </row>
    <row r="12" spans="1:40" x14ac:dyDescent="0.35">
      <c r="A12" s="108"/>
      <c r="B12" s="118"/>
      <c r="C12" s="119"/>
      <c r="D12" s="119"/>
      <c r="E12" s="118"/>
      <c r="F12" s="119"/>
      <c r="G12" s="119"/>
      <c r="H12" s="118"/>
      <c r="I12" s="119"/>
      <c r="J12" s="119"/>
      <c r="K12" s="118"/>
      <c r="L12" s="119"/>
      <c r="M12" s="119"/>
      <c r="N12" s="118"/>
      <c r="O12" s="119"/>
      <c r="P12" s="119"/>
      <c r="Q12" s="118"/>
      <c r="R12" s="119"/>
      <c r="S12" s="119"/>
      <c r="T12" s="118"/>
      <c r="U12" s="119"/>
      <c r="V12" s="119"/>
      <c r="W12" s="118"/>
      <c r="X12" s="119"/>
      <c r="Y12" s="119"/>
      <c r="Z12" s="118"/>
      <c r="AA12" s="119"/>
      <c r="AB12" s="119"/>
      <c r="AC12" s="118"/>
      <c r="AD12" s="119"/>
      <c r="AE12" s="119"/>
      <c r="AF12" s="119"/>
      <c r="AG12" s="119"/>
      <c r="AH12" s="119"/>
      <c r="AI12" s="118"/>
      <c r="AJ12" s="119"/>
      <c r="AK12" s="119"/>
      <c r="AL12" s="118"/>
      <c r="AM12" s="119"/>
      <c r="AN12" s="119"/>
    </row>
    <row r="13" spans="1:40" x14ac:dyDescent="0.35">
      <c r="A13" s="108"/>
      <c r="B13" s="118"/>
      <c r="C13" s="119"/>
      <c r="D13" s="119"/>
      <c r="E13" s="118"/>
      <c r="F13" s="119"/>
      <c r="G13" s="119"/>
      <c r="H13" s="118"/>
      <c r="I13" s="119"/>
      <c r="J13" s="119"/>
      <c r="K13" s="118"/>
      <c r="L13" s="119"/>
      <c r="M13" s="119"/>
      <c r="N13" s="118"/>
      <c r="O13" s="119"/>
      <c r="P13" s="119"/>
      <c r="Q13" s="118"/>
      <c r="R13" s="119"/>
      <c r="S13" s="119"/>
      <c r="T13" s="118"/>
      <c r="U13" s="119"/>
      <c r="V13" s="119"/>
      <c r="W13" s="118"/>
      <c r="X13" s="119"/>
      <c r="Y13" s="119"/>
      <c r="Z13" s="118"/>
      <c r="AA13" s="119"/>
      <c r="AB13" s="119"/>
      <c r="AC13" s="118"/>
      <c r="AD13" s="119"/>
      <c r="AE13" s="119"/>
      <c r="AF13" s="118"/>
      <c r="AG13" s="119"/>
      <c r="AH13" s="119"/>
      <c r="AI13" s="118"/>
      <c r="AJ13" s="119"/>
      <c r="AK13" s="119"/>
      <c r="AL13" s="118"/>
      <c r="AM13" s="119"/>
      <c r="AN13" s="119"/>
    </row>
    <row r="14" spans="1:40" x14ac:dyDescent="0.35">
      <c r="A14" s="113"/>
      <c r="B14" s="121"/>
      <c r="C14" s="120"/>
      <c r="D14" s="120"/>
      <c r="E14" s="121"/>
      <c r="F14" s="120"/>
      <c r="G14" s="120"/>
      <c r="H14" s="118"/>
      <c r="I14" s="119"/>
      <c r="J14" s="119"/>
      <c r="K14" s="118"/>
      <c r="L14" s="119"/>
      <c r="M14" s="119"/>
      <c r="N14" s="121"/>
      <c r="O14" s="120"/>
      <c r="P14" s="120"/>
      <c r="Q14" s="118"/>
      <c r="R14" s="119"/>
      <c r="S14" s="119"/>
      <c r="T14" s="118"/>
      <c r="U14" s="119"/>
      <c r="V14" s="119"/>
      <c r="W14" s="118"/>
      <c r="X14" s="119"/>
      <c r="Y14" s="119"/>
      <c r="Z14" s="118"/>
      <c r="AA14" s="119"/>
      <c r="AB14" s="119"/>
      <c r="AC14" s="118"/>
      <c r="AD14" s="119"/>
      <c r="AE14" s="119"/>
      <c r="AF14" s="118"/>
      <c r="AG14" s="119"/>
      <c r="AH14" s="119"/>
      <c r="AI14" s="118"/>
      <c r="AJ14" s="119"/>
      <c r="AK14" s="119"/>
      <c r="AL14" s="121"/>
      <c r="AM14" s="120"/>
      <c r="AN14" s="120"/>
    </row>
    <row r="15" spans="1:40" x14ac:dyDescent="0.35">
      <c r="A15" s="108"/>
      <c r="B15" s="118"/>
      <c r="C15" s="119"/>
      <c r="D15" s="119"/>
      <c r="E15" s="118"/>
      <c r="F15" s="119"/>
      <c r="G15" s="119"/>
      <c r="H15" s="118"/>
      <c r="I15" s="119"/>
      <c r="J15" s="119"/>
      <c r="K15" s="118"/>
      <c r="L15" s="119"/>
      <c r="M15" s="119"/>
      <c r="N15" s="118"/>
      <c r="O15" s="119"/>
      <c r="P15" s="119"/>
      <c r="Q15" s="118"/>
      <c r="R15" s="119"/>
      <c r="S15" s="119"/>
      <c r="T15" s="118"/>
      <c r="U15" s="119"/>
      <c r="V15" s="119"/>
      <c r="W15" s="118"/>
      <c r="X15" s="119"/>
      <c r="Y15" s="119"/>
      <c r="Z15" s="118"/>
      <c r="AA15" s="119"/>
      <c r="AB15" s="119"/>
      <c r="AC15" s="118"/>
      <c r="AD15" s="119"/>
      <c r="AE15" s="119"/>
      <c r="AF15" s="118"/>
      <c r="AG15" s="119"/>
      <c r="AH15" s="119"/>
      <c r="AI15" s="118"/>
      <c r="AJ15" s="119"/>
      <c r="AK15" s="119"/>
      <c r="AL15" s="118"/>
      <c r="AM15" s="119"/>
      <c r="AN15" s="119"/>
    </row>
    <row r="16" spans="1:40" x14ac:dyDescent="0.35">
      <c r="A16" s="108"/>
      <c r="B16" s="118"/>
      <c r="C16" s="119"/>
      <c r="D16" s="119"/>
      <c r="E16" s="118"/>
      <c r="F16" s="119"/>
      <c r="G16" s="119"/>
      <c r="H16" s="118"/>
      <c r="I16" s="119"/>
      <c r="J16" s="119"/>
      <c r="K16" s="118"/>
      <c r="L16" s="119"/>
      <c r="M16" s="119"/>
      <c r="N16" s="118"/>
      <c r="O16" s="119"/>
      <c r="P16" s="119"/>
      <c r="Q16" s="118"/>
      <c r="R16" s="119"/>
      <c r="S16" s="119"/>
      <c r="T16" s="118"/>
      <c r="U16" s="119"/>
      <c r="V16" s="119"/>
      <c r="W16" s="118"/>
      <c r="X16" s="119"/>
      <c r="Y16" s="119"/>
      <c r="Z16" s="118"/>
      <c r="AA16" s="119"/>
      <c r="AB16" s="119"/>
      <c r="AC16" s="118"/>
      <c r="AD16" s="119"/>
      <c r="AE16" s="119"/>
      <c r="AF16" s="118"/>
      <c r="AG16" s="119"/>
      <c r="AH16" s="119"/>
      <c r="AI16" s="118"/>
      <c r="AJ16" s="119"/>
      <c r="AK16" s="119"/>
      <c r="AL16" s="118"/>
      <c r="AM16" s="119"/>
      <c r="AN16" s="119"/>
    </row>
    <row r="17" spans="1:40" x14ac:dyDescent="0.35">
      <c r="A17" s="108"/>
      <c r="B17" s="118"/>
      <c r="C17" s="119"/>
      <c r="D17" s="119"/>
      <c r="E17" s="118"/>
      <c r="F17" s="119"/>
      <c r="G17" s="119"/>
      <c r="H17" s="118"/>
      <c r="I17" s="119"/>
      <c r="J17" s="119"/>
      <c r="K17" s="118"/>
      <c r="L17" s="119"/>
      <c r="M17" s="119"/>
      <c r="N17" s="118"/>
      <c r="O17" s="119"/>
      <c r="P17" s="119"/>
      <c r="Q17" s="118"/>
      <c r="R17" s="119"/>
      <c r="S17" s="119"/>
      <c r="T17" s="118"/>
      <c r="U17" s="119"/>
      <c r="V17" s="119"/>
      <c r="W17" s="118"/>
      <c r="X17" s="119"/>
      <c r="Y17" s="119"/>
      <c r="Z17" s="118"/>
      <c r="AA17" s="119"/>
      <c r="AB17" s="119"/>
      <c r="AC17" s="118"/>
      <c r="AD17" s="119"/>
      <c r="AE17" s="119"/>
      <c r="AF17" s="118"/>
      <c r="AG17" s="119"/>
      <c r="AH17" s="119"/>
      <c r="AI17" s="118"/>
      <c r="AJ17" s="119"/>
      <c r="AK17" s="119"/>
      <c r="AL17" s="118"/>
      <c r="AM17" s="119"/>
      <c r="AN17" s="119"/>
    </row>
    <row r="18" spans="1:40" x14ac:dyDescent="0.35">
      <c r="A18" s="108"/>
      <c r="B18" s="118"/>
      <c r="C18" s="119"/>
      <c r="D18" s="119"/>
      <c r="E18" s="118"/>
      <c r="F18" s="119"/>
      <c r="G18" s="119"/>
      <c r="H18" s="118"/>
      <c r="I18" s="119"/>
      <c r="J18" s="119"/>
      <c r="K18" s="118"/>
      <c r="L18" s="119"/>
      <c r="M18" s="119"/>
      <c r="N18" s="118"/>
      <c r="O18" s="119"/>
      <c r="P18" s="119"/>
      <c r="Q18" s="118"/>
      <c r="R18" s="119"/>
      <c r="S18" s="119"/>
      <c r="T18" s="118"/>
      <c r="U18" s="119"/>
      <c r="V18" s="119"/>
      <c r="W18" s="118"/>
      <c r="X18" s="119"/>
      <c r="Y18" s="119"/>
      <c r="Z18" s="118"/>
      <c r="AA18" s="119"/>
      <c r="AB18" s="119"/>
      <c r="AC18" s="118"/>
      <c r="AD18" s="119"/>
      <c r="AE18" s="119"/>
      <c r="AF18" s="118"/>
      <c r="AG18" s="119"/>
      <c r="AH18" s="119"/>
      <c r="AI18" s="118"/>
      <c r="AJ18" s="119"/>
      <c r="AK18" s="119"/>
      <c r="AL18" s="118"/>
      <c r="AM18" s="119"/>
      <c r="AN18" s="119"/>
    </row>
    <row r="19" spans="1:40" x14ac:dyDescent="0.35">
      <c r="A19" s="108"/>
      <c r="B19" s="118"/>
      <c r="C19" s="119"/>
      <c r="D19" s="119"/>
      <c r="E19" s="118"/>
      <c r="F19" s="119"/>
      <c r="G19" s="119"/>
      <c r="H19" s="118"/>
      <c r="I19" s="119"/>
      <c r="J19" s="119"/>
      <c r="K19" s="118"/>
      <c r="L19" s="119"/>
      <c r="M19" s="119"/>
      <c r="N19" s="118"/>
      <c r="O19" s="119"/>
      <c r="P19" s="119"/>
      <c r="Q19" s="118"/>
      <c r="R19" s="119"/>
      <c r="S19" s="119"/>
      <c r="T19" s="118"/>
      <c r="U19" s="119"/>
      <c r="V19" s="119"/>
      <c r="W19" s="118"/>
      <c r="X19" s="119"/>
      <c r="Y19" s="119"/>
      <c r="Z19" s="118"/>
      <c r="AA19" s="119"/>
      <c r="AB19" s="119"/>
      <c r="AC19" s="118"/>
      <c r="AD19" s="119"/>
      <c r="AE19" s="119"/>
      <c r="AF19" s="118"/>
      <c r="AG19" s="119"/>
      <c r="AH19" s="119"/>
      <c r="AI19" s="118"/>
      <c r="AJ19" s="119"/>
      <c r="AK19" s="119"/>
      <c r="AL19" s="118"/>
      <c r="AM19" s="119"/>
      <c r="AN19" s="119"/>
    </row>
    <row r="20" spans="1:40" x14ac:dyDescent="0.35">
      <c r="A20" s="111"/>
      <c r="B20" s="122"/>
      <c r="C20" s="123"/>
      <c r="D20" s="123"/>
      <c r="E20" s="122"/>
      <c r="F20" s="123"/>
      <c r="G20" s="123"/>
      <c r="H20" s="122"/>
      <c r="I20" s="123"/>
      <c r="J20" s="123"/>
      <c r="K20" s="122"/>
      <c r="L20" s="123"/>
      <c r="M20" s="123"/>
      <c r="N20" s="122"/>
      <c r="O20" s="123"/>
      <c r="P20" s="123"/>
      <c r="Q20" s="122"/>
      <c r="R20" s="123"/>
      <c r="S20" s="123"/>
      <c r="T20" s="122"/>
      <c r="U20" s="123"/>
      <c r="V20" s="123"/>
      <c r="W20" s="122"/>
      <c r="X20" s="123"/>
      <c r="Y20" s="123"/>
      <c r="Z20" s="122"/>
      <c r="AA20" s="123"/>
      <c r="AB20" s="123"/>
      <c r="AC20" s="122"/>
      <c r="AD20" s="123"/>
      <c r="AE20" s="123"/>
      <c r="AF20" s="122"/>
      <c r="AG20" s="123"/>
      <c r="AH20" s="123"/>
      <c r="AI20" s="122"/>
      <c r="AJ20" s="123"/>
      <c r="AK20" s="123"/>
      <c r="AL20" s="122"/>
      <c r="AM20" s="123"/>
      <c r="AN20" s="123"/>
    </row>
  </sheetData>
  <conditionalFormatting sqref="B1:AN2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13" zoomScaleNormal="100" zoomScaleSheetLayoutView="25" workbookViewId="0">
      <selection activeCell="BS15" sqref="BS15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59" t="s">
        <v>0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66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487.9</v>
      </c>
      <c r="K3" s="3">
        <v>504.4</v>
      </c>
      <c r="L3" s="3">
        <v>520.9</v>
      </c>
      <c r="M3" s="3">
        <v>537.5</v>
      </c>
      <c r="N3" s="3">
        <v>554</v>
      </c>
      <c r="O3" s="3">
        <v>570.5</v>
      </c>
      <c r="P3" s="3">
        <v>587</v>
      </c>
      <c r="Q3" s="3">
        <v>603.5</v>
      </c>
      <c r="R3" s="3">
        <v>669.6</v>
      </c>
      <c r="S3" s="3">
        <v>735.7</v>
      </c>
      <c r="T3" s="3">
        <v>801.8</v>
      </c>
      <c r="U3" s="3">
        <v>867.8</v>
      </c>
      <c r="V3" s="3">
        <v>933.9</v>
      </c>
      <c r="W3" s="3">
        <v>1000</v>
      </c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0</v>
      </c>
      <c r="D4" s="41">
        <f t="shared" si="0"/>
        <v>1</v>
      </c>
      <c r="E4" s="45" t="s">
        <v>78</v>
      </c>
      <c r="F4" s="85">
        <v>0.08</v>
      </c>
      <c r="G4" s="85">
        <v>0.08</v>
      </c>
      <c r="H4" s="85">
        <v>0.08</v>
      </c>
      <c r="I4" s="85">
        <v>0.08</v>
      </c>
      <c r="J4" s="85">
        <v>0.08</v>
      </c>
      <c r="K4" s="85">
        <v>0.08</v>
      </c>
      <c r="L4" s="85">
        <v>0.08</v>
      </c>
      <c r="M4" s="85">
        <v>0.08</v>
      </c>
      <c r="N4" s="85">
        <v>0.08</v>
      </c>
      <c r="O4" s="85">
        <v>0.08</v>
      </c>
      <c r="P4" s="85">
        <v>0.08</v>
      </c>
      <c r="Q4" s="85">
        <v>0.08</v>
      </c>
      <c r="R4" s="85">
        <v>0.08</v>
      </c>
      <c r="S4" s="85">
        <v>7.9999000000000001E-2</v>
      </c>
      <c r="T4" s="85">
        <v>7.9994999999999997E-2</v>
      </c>
      <c r="U4" s="85">
        <v>7.9981999999999998E-2</v>
      </c>
      <c r="V4" s="85">
        <v>7.9953999999999997E-2</v>
      </c>
      <c r="W4" s="85">
        <v>7.9901E-2</v>
      </c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1</v>
      </c>
      <c r="D5" s="41">
        <f t="shared" si="0"/>
        <v>0</v>
      </c>
      <c r="E5" s="45" t="s">
        <v>56</v>
      </c>
      <c r="F5" s="85">
        <v>1.2480000000000001E-7</v>
      </c>
      <c r="G5" s="85">
        <v>1.4497999999999999E-7</v>
      </c>
      <c r="H5" s="85">
        <v>1.1901E-7</v>
      </c>
      <c r="I5" s="85">
        <v>1.1696999999999999E-7</v>
      </c>
      <c r="J5" s="85">
        <v>1.4616000000000001E-7</v>
      </c>
      <c r="K5" s="85">
        <v>1.3848000000000001E-7</v>
      </c>
      <c r="L5" s="85">
        <v>1.3294E-7</v>
      </c>
      <c r="M5" s="85">
        <v>1.289E-7</v>
      </c>
      <c r="N5" s="85">
        <v>1.2597999999999999E-7</v>
      </c>
      <c r="O5" s="85">
        <v>1.2445999999999999E-7</v>
      </c>
      <c r="P5" s="85">
        <v>1.2256999999999999E-7</v>
      </c>
      <c r="Q5" s="85">
        <v>1.2032999999999999E-7</v>
      </c>
      <c r="R5" s="85">
        <v>1.151E-7</v>
      </c>
      <c r="S5" s="85">
        <v>1.1756E-7</v>
      </c>
      <c r="T5" s="85">
        <v>1.3117999999999999E-7</v>
      </c>
      <c r="U5" s="85">
        <v>1.2918E-7</v>
      </c>
      <c r="V5" s="85">
        <v>1.3701999999999999E-7</v>
      </c>
      <c r="W5" s="85">
        <v>2.1261E-7</v>
      </c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4</v>
      </c>
      <c r="C6" s="41">
        <f t="shared" si="0"/>
        <v>0</v>
      </c>
      <c r="D6" s="41">
        <f t="shared" si="0"/>
        <v>0</v>
      </c>
      <c r="E6" s="45" t="s">
        <v>79</v>
      </c>
      <c r="F6" s="85">
        <v>8.6381000000000006E-25</v>
      </c>
      <c r="G6" s="85">
        <v>3.2597999999999998E-19</v>
      </c>
      <c r="H6" s="85">
        <v>1.3768E-15</v>
      </c>
      <c r="I6" s="85">
        <v>4.5987000000000004E-13</v>
      </c>
      <c r="J6" s="85">
        <v>1.5002E-12</v>
      </c>
      <c r="K6" s="85">
        <v>4.4914E-12</v>
      </c>
      <c r="L6" s="85">
        <v>1.2447E-11</v>
      </c>
      <c r="M6" s="85">
        <v>3.2169999999999997E-11</v>
      </c>
      <c r="N6" s="85">
        <v>7.8054E-11</v>
      </c>
      <c r="O6" s="85">
        <v>1.7882000000000001E-10</v>
      </c>
      <c r="P6" s="85">
        <v>3.8879999999999999E-10</v>
      </c>
      <c r="Q6" s="85">
        <v>8.0594999999999999E-10</v>
      </c>
      <c r="R6" s="85">
        <v>9.9398999999999996E-9</v>
      </c>
      <c r="S6" s="85">
        <v>7.3557000000000001E-8</v>
      </c>
      <c r="T6" s="85">
        <v>3.6923999999999999E-7</v>
      </c>
      <c r="U6" s="85">
        <v>1.3405999999999999E-6</v>
      </c>
      <c r="V6" s="85">
        <v>3.5520999999999998E-6</v>
      </c>
      <c r="W6" s="85">
        <v>6.6648000000000001E-6</v>
      </c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5</v>
      </c>
      <c r="C7" s="41">
        <f t="shared" si="0"/>
        <v>0</v>
      </c>
      <c r="D7" s="41">
        <f t="shared" si="0"/>
        <v>0</v>
      </c>
      <c r="E7" s="45" t="s">
        <v>80</v>
      </c>
      <c r="F7" s="85">
        <v>1.0378E-21</v>
      </c>
      <c r="G7" s="85">
        <v>1.2814E-16</v>
      </c>
      <c r="H7" s="85">
        <v>2.4167999999999999E-13</v>
      </c>
      <c r="I7" s="85">
        <v>4.3687E-11</v>
      </c>
      <c r="J7" s="85">
        <v>1.2493E-10</v>
      </c>
      <c r="K7" s="85">
        <v>3.3025000000000002E-10</v>
      </c>
      <c r="L7" s="85">
        <v>8.1345000000000002E-10</v>
      </c>
      <c r="M7" s="85">
        <v>1.8800000000000001E-9</v>
      </c>
      <c r="N7" s="85">
        <v>4.1016999999999996E-9</v>
      </c>
      <c r="O7" s="85">
        <v>8.4934999999999993E-9</v>
      </c>
      <c r="P7" s="85">
        <v>1.6770999999999998E-8</v>
      </c>
      <c r="Q7" s="85">
        <v>3.1712E-8</v>
      </c>
      <c r="R7" s="85">
        <v>2.8132999999999999E-7</v>
      </c>
      <c r="S7" s="85">
        <v>1.5732E-6</v>
      </c>
      <c r="T7" s="85">
        <v>6.1831000000000001E-6</v>
      </c>
      <c r="U7" s="85">
        <v>1.7938999999999999E-5</v>
      </c>
      <c r="V7" s="85">
        <v>3.7982999999999999E-5</v>
      </c>
      <c r="W7" s="85">
        <v>5.5568000000000001E-5</v>
      </c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0</v>
      </c>
      <c r="D8" s="41">
        <f t="shared" si="0"/>
        <v>0</v>
      </c>
      <c r="E8" s="45" t="s">
        <v>81</v>
      </c>
      <c r="F8" s="85">
        <v>1.6579999999999999E-19</v>
      </c>
      <c r="G8" s="85">
        <v>2.9483999999999999E-15</v>
      </c>
      <c r="H8" s="85">
        <v>1.422E-12</v>
      </c>
      <c r="I8" s="85">
        <v>9.2904000000000006E-11</v>
      </c>
      <c r="J8" s="85">
        <v>2.1412000000000001E-10</v>
      </c>
      <c r="K8" s="85">
        <v>4.6195999999999997E-10</v>
      </c>
      <c r="L8" s="85">
        <v>9.3944000000000001E-10</v>
      </c>
      <c r="M8" s="85">
        <v>1.8116E-9</v>
      </c>
      <c r="N8" s="85">
        <v>3.3297000000000002E-9</v>
      </c>
      <c r="O8" s="85">
        <v>5.8604999999999998E-9</v>
      </c>
      <c r="P8" s="85">
        <v>9.9168999999999999E-9</v>
      </c>
      <c r="Q8" s="85">
        <v>1.6190999999999999E-8</v>
      </c>
      <c r="R8" s="85">
        <v>8.5194000000000002E-8</v>
      </c>
      <c r="S8" s="85">
        <v>3.0718999999999999E-7</v>
      </c>
      <c r="T8" s="85">
        <v>8.2786999999999996E-7</v>
      </c>
      <c r="U8" s="85">
        <v>1.7149000000000001E-6</v>
      </c>
      <c r="V8" s="85">
        <v>2.6336999999999999E-6</v>
      </c>
      <c r="W8" s="85">
        <v>2.7618E-6</v>
      </c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45" t="s">
        <v>71</v>
      </c>
      <c r="F9" s="85">
        <v>5.92E-21</v>
      </c>
      <c r="G9" s="85">
        <v>1.8415999999999999E-16</v>
      </c>
      <c r="H9" s="85">
        <v>1.2191000000000001E-13</v>
      </c>
      <c r="I9" s="85">
        <v>9.6337E-12</v>
      </c>
      <c r="J9" s="85">
        <v>2.2992999999999999E-11</v>
      </c>
      <c r="K9" s="85">
        <v>5.1175E-11</v>
      </c>
      <c r="L9" s="85">
        <v>1.0700000000000001E-10</v>
      </c>
      <c r="M9" s="85">
        <v>2.1149999999999999E-10</v>
      </c>
      <c r="N9" s="85">
        <v>3.9742999999999999E-10</v>
      </c>
      <c r="O9" s="85">
        <v>7.1344999999999995E-10</v>
      </c>
      <c r="P9" s="85">
        <v>1.2286999999999999E-9</v>
      </c>
      <c r="Q9" s="85">
        <v>2.0380000000000002E-9</v>
      </c>
      <c r="R9" s="85">
        <v>1.1246E-8</v>
      </c>
      <c r="S9" s="85">
        <v>4.1723999999999997E-8</v>
      </c>
      <c r="T9" s="85">
        <v>1.1389999999999999E-7</v>
      </c>
      <c r="U9" s="85">
        <v>2.3447000000000001E-7</v>
      </c>
      <c r="V9" s="85">
        <v>3.4686999999999998E-7</v>
      </c>
      <c r="W9" s="85">
        <v>3.3353E-7</v>
      </c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3</v>
      </c>
      <c r="C10" s="41">
        <f t="shared" si="0"/>
        <v>0</v>
      </c>
      <c r="D10" s="41">
        <f t="shared" si="0"/>
        <v>0</v>
      </c>
      <c r="E10" s="45" t="s">
        <v>82</v>
      </c>
      <c r="F10" s="85">
        <v>1.9728000000000001E-26</v>
      </c>
      <c r="G10" s="85">
        <v>2.9865E-20</v>
      </c>
      <c r="H10" s="85">
        <v>3.4282000000000002E-16</v>
      </c>
      <c r="I10" s="85">
        <v>2.4458E-13</v>
      </c>
      <c r="J10" s="85">
        <v>9.3853000000000004E-13</v>
      </c>
      <c r="K10" s="85">
        <v>3.2754E-12</v>
      </c>
      <c r="L10" s="85">
        <v>1.0494E-11</v>
      </c>
      <c r="M10" s="85">
        <v>3.1119000000000003E-11</v>
      </c>
      <c r="N10" s="85">
        <v>8.6027999999999995E-11</v>
      </c>
      <c r="O10" s="85">
        <v>2.2312E-10</v>
      </c>
      <c r="P10" s="85">
        <v>5.4593E-10</v>
      </c>
      <c r="Q10" s="85">
        <v>1.2664999999999999E-9</v>
      </c>
      <c r="R10" s="85">
        <v>2.3365000000000001E-8</v>
      </c>
      <c r="S10" s="85">
        <v>2.4317000000000003E-7</v>
      </c>
      <c r="T10" s="85">
        <v>1.6413000000000001E-6</v>
      </c>
      <c r="U10" s="85">
        <v>7.7919999999999993E-6</v>
      </c>
      <c r="V10" s="85">
        <v>2.6840999999999999E-5</v>
      </c>
      <c r="W10" s="85">
        <v>6.6771000000000002E-5</v>
      </c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2</v>
      </c>
      <c r="C11" s="41">
        <f t="shared" si="0"/>
        <v>0</v>
      </c>
      <c r="D11" s="41">
        <f t="shared" si="0"/>
        <v>0</v>
      </c>
      <c r="E11" s="45" t="s">
        <v>83</v>
      </c>
      <c r="F11" s="85">
        <v>6.6000999999999998E-21</v>
      </c>
      <c r="G11" s="85">
        <v>7.7948999999999997E-16</v>
      </c>
      <c r="H11" s="85">
        <v>1.7713999999999999E-12</v>
      </c>
      <c r="I11" s="85">
        <v>4.1982999999999999E-10</v>
      </c>
      <c r="J11" s="85">
        <v>1.2914999999999999E-9</v>
      </c>
      <c r="K11" s="85">
        <v>3.6758000000000001E-9</v>
      </c>
      <c r="L11" s="85">
        <v>9.7531000000000002E-9</v>
      </c>
      <c r="M11" s="85">
        <v>2.4284999999999999E-8</v>
      </c>
      <c r="N11" s="85">
        <v>5.7081E-8</v>
      </c>
      <c r="O11" s="85">
        <v>1.2730000000000001E-7</v>
      </c>
      <c r="P11" s="85">
        <v>2.7058999999999999E-7</v>
      </c>
      <c r="Q11" s="85">
        <v>5.5044E-7</v>
      </c>
      <c r="R11" s="85">
        <v>6.4915999999999998E-6</v>
      </c>
      <c r="S11" s="85">
        <v>4.7651000000000002E-5</v>
      </c>
      <c r="T11" s="85">
        <v>2.4436E-4</v>
      </c>
      <c r="U11" s="85">
        <v>9.3941999999999995E-4</v>
      </c>
      <c r="V11" s="85">
        <v>2.7988000000000002E-3</v>
      </c>
      <c r="W11" s="85">
        <v>6.5037000000000003E-3</v>
      </c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2</v>
      </c>
      <c r="E13" s="45" t="s">
        <v>84</v>
      </c>
      <c r="F13" s="85">
        <v>0</v>
      </c>
      <c r="G13" s="85">
        <v>0</v>
      </c>
      <c r="H13" s="85">
        <v>1.7033E-30</v>
      </c>
      <c r="I13" s="85">
        <v>1.9629E-24</v>
      </c>
      <c r="J13" s="85">
        <v>3.5345999999999997E-23</v>
      </c>
      <c r="K13" s="85">
        <v>5.2392E-22</v>
      </c>
      <c r="L13" s="85">
        <v>6.5050000000000002E-21</v>
      </c>
      <c r="M13" s="85">
        <v>6.8691999999999999E-20</v>
      </c>
      <c r="N13" s="85">
        <v>6.2529999999999996E-19</v>
      </c>
      <c r="O13" s="85">
        <v>4.9653000000000001E-18</v>
      </c>
      <c r="P13" s="85">
        <v>3.4757999999999999E-17</v>
      </c>
      <c r="Q13" s="85">
        <v>2.1650999999999999E-16</v>
      </c>
      <c r="R13" s="85">
        <v>1.185E-13</v>
      </c>
      <c r="S13" s="85">
        <v>1.7155000000000001E-11</v>
      </c>
      <c r="T13" s="85">
        <v>8.7575E-10</v>
      </c>
      <c r="U13" s="85">
        <v>1.9566000000000001E-8</v>
      </c>
      <c r="V13" s="85">
        <v>2.301E-7</v>
      </c>
      <c r="W13" s="85">
        <v>1.6774E-6</v>
      </c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72</v>
      </c>
      <c r="F14" s="85">
        <v>5.3979000000000001E-22</v>
      </c>
      <c r="G14" s="85">
        <v>2.7796000000000002E-17</v>
      </c>
      <c r="H14" s="85">
        <v>4.7004999999999998E-14</v>
      </c>
      <c r="I14" s="85">
        <v>1.0418E-11</v>
      </c>
      <c r="J14" s="85">
        <v>3.2057999999999999E-11</v>
      </c>
      <c r="K14" s="85">
        <v>9.1611000000000003E-11</v>
      </c>
      <c r="L14" s="85">
        <v>2.4466000000000001E-10</v>
      </c>
      <c r="M14" s="85">
        <v>6.1412000000000005E-10</v>
      </c>
      <c r="N14" s="85">
        <v>1.4558999999999999E-9</v>
      </c>
      <c r="O14" s="85">
        <v>3.2743000000000002E-9</v>
      </c>
      <c r="P14" s="85">
        <v>7.0129999999999997E-9</v>
      </c>
      <c r="Q14" s="85">
        <v>1.4354000000000001E-8</v>
      </c>
      <c r="R14" s="85">
        <v>1.6952E-7</v>
      </c>
      <c r="S14" s="85">
        <v>1.1824000000000001E-6</v>
      </c>
      <c r="T14" s="85">
        <v>5.4283000000000002E-6</v>
      </c>
      <c r="U14" s="85">
        <v>1.7833999999999999E-5</v>
      </c>
      <c r="V14" s="85">
        <v>4.5255E-5</v>
      </c>
      <c r="W14" s="85">
        <v>9.5416999999999998E-5</v>
      </c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85</v>
      </c>
      <c r="F15" s="85">
        <v>4.7299000000000001E-17</v>
      </c>
      <c r="G15" s="85">
        <v>9.8783999999999996E-14</v>
      </c>
      <c r="H15" s="85">
        <v>1.7286E-11</v>
      </c>
      <c r="I15" s="85">
        <v>7.1430999999999999E-10</v>
      </c>
      <c r="J15" s="85">
        <v>1.5475000000000001E-9</v>
      </c>
      <c r="K15" s="85">
        <v>3.1868999999999998E-9</v>
      </c>
      <c r="L15" s="85">
        <v>6.2687999999999997E-9</v>
      </c>
      <c r="M15" s="85">
        <v>1.1828E-8</v>
      </c>
      <c r="N15" s="85">
        <v>2.1486000000000001E-8</v>
      </c>
      <c r="O15" s="85">
        <v>3.7698999999999999E-8</v>
      </c>
      <c r="P15" s="85">
        <v>6.4079000000000001E-8</v>
      </c>
      <c r="Q15" s="85">
        <v>1.0578E-7</v>
      </c>
      <c r="R15" s="85">
        <v>6.1266000000000003E-7</v>
      </c>
      <c r="S15" s="85">
        <v>2.5838000000000001E-6</v>
      </c>
      <c r="T15" s="85">
        <v>8.6036000000000001E-6</v>
      </c>
      <c r="U15" s="85">
        <v>2.4057999999999999E-5</v>
      </c>
      <c r="V15" s="85">
        <v>5.961E-5</v>
      </c>
      <c r="W15" s="85">
        <v>1.3742999999999999E-4</v>
      </c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 t="s">
        <v>86</v>
      </c>
      <c r="F16" s="85">
        <v>0.08</v>
      </c>
      <c r="G16" s="85">
        <v>0.08</v>
      </c>
      <c r="H16" s="85">
        <v>0.08</v>
      </c>
      <c r="I16" s="85">
        <v>0.08</v>
      </c>
      <c r="J16" s="85">
        <v>0.08</v>
      </c>
      <c r="K16" s="85">
        <v>0.08</v>
      </c>
      <c r="L16" s="85">
        <v>0.08</v>
      </c>
      <c r="M16" s="85">
        <v>0.08</v>
      </c>
      <c r="N16" s="85">
        <v>0.08</v>
      </c>
      <c r="O16" s="85">
        <v>0.08</v>
      </c>
      <c r="P16" s="85">
        <v>7.9999000000000001E-2</v>
      </c>
      <c r="Q16" s="85">
        <v>7.9999000000000001E-2</v>
      </c>
      <c r="R16" s="85">
        <v>7.9986000000000002E-2</v>
      </c>
      <c r="S16" s="85">
        <v>7.9898999999999998E-2</v>
      </c>
      <c r="T16" s="85">
        <v>7.9488000000000003E-2</v>
      </c>
      <c r="U16" s="85">
        <v>7.8050999999999995E-2</v>
      </c>
      <c r="V16" s="85">
        <v>7.4249999999999997E-2</v>
      </c>
      <c r="W16" s="85">
        <v>6.6802E-2</v>
      </c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1</v>
      </c>
      <c r="D17" s="41">
        <f t="shared" si="0"/>
        <v>0</v>
      </c>
      <c r="E17" s="45" t="s">
        <v>87</v>
      </c>
      <c r="F17" s="85">
        <v>0.24</v>
      </c>
      <c r="G17" s="85">
        <v>0.24</v>
      </c>
      <c r="H17" s="85">
        <v>0.24</v>
      </c>
      <c r="I17" s="85">
        <v>0.24</v>
      </c>
      <c r="J17" s="85">
        <v>0.24</v>
      </c>
      <c r="K17" s="85">
        <v>0.24</v>
      </c>
      <c r="L17" s="85">
        <v>0.24</v>
      </c>
      <c r="M17" s="85">
        <v>0.24</v>
      </c>
      <c r="N17" s="85">
        <v>0.24</v>
      </c>
      <c r="O17" s="85">
        <v>0.24</v>
      </c>
      <c r="P17" s="85">
        <v>0.24</v>
      </c>
      <c r="Q17" s="85">
        <v>0.24</v>
      </c>
      <c r="R17" s="85">
        <v>0.24</v>
      </c>
      <c r="S17" s="85">
        <v>0.24</v>
      </c>
      <c r="T17" s="85">
        <v>0.23999000000000001</v>
      </c>
      <c r="U17" s="85">
        <v>0.23998</v>
      </c>
      <c r="V17" s="85">
        <v>0.23993999999999999</v>
      </c>
      <c r="W17" s="85">
        <v>0.23985999999999999</v>
      </c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 t="s">
        <v>26</v>
      </c>
      <c r="F18" s="85">
        <v>-18.62</v>
      </c>
      <c r="G18" s="85">
        <v>-18.63</v>
      </c>
      <c r="H18" s="85">
        <v>-18.72</v>
      </c>
      <c r="I18" s="85">
        <v>-18.84</v>
      </c>
      <c r="J18" s="85">
        <v>-18.87</v>
      </c>
      <c r="K18" s="85">
        <v>-18.899999999999999</v>
      </c>
      <c r="L18" s="85">
        <v>-18.940000000000001</v>
      </c>
      <c r="M18" s="85">
        <v>-18.97</v>
      </c>
      <c r="N18" s="85">
        <v>-19.010000000000002</v>
      </c>
      <c r="O18" s="85">
        <v>-19.04</v>
      </c>
      <c r="P18" s="85">
        <v>-19.07</v>
      </c>
      <c r="Q18" s="85">
        <v>-19.11</v>
      </c>
      <c r="R18" s="85">
        <v>-19.25</v>
      </c>
      <c r="S18" s="85">
        <v>-19.38</v>
      </c>
      <c r="T18" s="85">
        <v>-19.52</v>
      </c>
      <c r="U18" s="85">
        <v>-19.649999999999999</v>
      </c>
      <c r="V18" s="85">
        <v>-19.78</v>
      </c>
      <c r="W18" s="85">
        <v>-19.91</v>
      </c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5</v>
      </c>
      <c r="F19" s="85">
        <v>-52.5</v>
      </c>
      <c r="G19" s="85">
        <v>-42.14</v>
      </c>
      <c r="H19" s="85">
        <v>-35.15</v>
      </c>
      <c r="I19" s="85">
        <v>-30.14</v>
      </c>
      <c r="J19" s="85">
        <v>-29.11</v>
      </c>
      <c r="K19" s="85">
        <v>-28.15</v>
      </c>
      <c r="L19" s="85">
        <v>-27.25</v>
      </c>
      <c r="M19" s="85">
        <v>-26.42</v>
      </c>
      <c r="N19" s="85">
        <v>-25.64</v>
      </c>
      <c r="O19" s="85">
        <v>-24.91</v>
      </c>
      <c r="P19" s="85">
        <v>-24.22</v>
      </c>
      <c r="Q19" s="85">
        <v>-23.59</v>
      </c>
      <c r="R19" s="85">
        <v>-21.41</v>
      </c>
      <c r="S19" s="85">
        <v>-19.73</v>
      </c>
      <c r="T19" s="85">
        <v>-18.45</v>
      </c>
      <c r="U19" s="85">
        <v>-17.489999999999998</v>
      </c>
      <c r="V19" s="85">
        <v>-16.760000000000002</v>
      </c>
      <c r="W19" s="85">
        <v>-16.190000000000001</v>
      </c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</v>
      </c>
      <c r="F20" s="85">
        <v>-27.89</v>
      </c>
      <c r="G20" s="85">
        <v>-23.3</v>
      </c>
      <c r="H20" s="85">
        <v>-20.3</v>
      </c>
      <c r="I20" s="85">
        <v>-18.22</v>
      </c>
      <c r="J20" s="85">
        <v>-17.8</v>
      </c>
      <c r="K20" s="85">
        <v>-17.399999999999999</v>
      </c>
      <c r="L20" s="85">
        <v>-17.04</v>
      </c>
      <c r="M20" s="85">
        <v>-16.7</v>
      </c>
      <c r="N20" s="85">
        <v>-16.39</v>
      </c>
      <c r="O20" s="85">
        <v>-16.09</v>
      </c>
      <c r="P20" s="85">
        <v>-15.82</v>
      </c>
      <c r="Q20" s="85">
        <v>-15.56</v>
      </c>
      <c r="R20" s="85">
        <v>-14.69</v>
      </c>
      <c r="S20" s="85">
        <v>-14</v>
      </c>
      <c r="T20" s="85">
        <v>-13.45</v>
      </c>
      <c r="U20" s="85">
        <v>-12.99</v>
      </c>
      <c r="V20" s="85">
        <v>-12.58</v>
      </c>
      <c r="W20" s="85">
        <v>-12.18</v>
      </c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7</v>
      </c>
      <c r="F21" s="85">
        <v>-5.5750000000000002</v>
      </c>
      <c r="G21" s="85">
        <v>-5.9269999999999996</v>
      </c>
      <c r="H21" s="85">
        <v>-6.3159999999999998</v>
      </c>
      <c r="I21" s="85">
        <v>-6.7</v>
      </c>
      <c r="J21" s="85">
        <v>-6.7930000000000001</v>
      </c>
      <c r="K21" s="85">
        <v>-6.8849999999999998</v>
      </c>
      <c r="L21" s="85">
        <v>-6.9749999999999996</v>
      </c>
      <c r="M21" s="85">
        <v>-7.0650000000000004</v>
      </c>
      <c r="N21" s="85">
        <v>-7.1520000000000001</v>
      </c>
      <c r="O21" s="85">
        <v>-7.2389999999999999</v>
      </c>
      <c r="P21" s="85">
        <v>-7.3230000000000004</v>
      </c>
      <c r="Q21" s="85">
        <v>-7.407</v>
      </c>
      <c r="R21" s="85">
        <v>-7.726</v>
      </c>
      <c r="S21" s="85">
        <v>-8.0250000000000004</v>
      </c>
      <c r="T21" s="85">
        <v>-8.3070000000000004</v>
      </c>
      <c r="U21" s="85">
        <v>-8.5820000000000007</v>
      </c>
      <c r="V21" s="85">
        <v>-8.8670000000000009</v>
      </c>
      <c r="W21" s="85">
        <v>-9.1820000000000004</v>
      </c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39" t="s">
        <v>26</v>
      </c>
      <c r="D34" s="44">
        <f t="shared" ref="D34:D37" si="4">MATCH(C34,$E$4:$E$33)</f>
        <v>15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-18.87</v>
      </c>
      <c r="K34" s="14">
        <f t="shared" ca="1" si="5"/>
        <v>-18.899999999999999</v>
      </c>
      <c r="L34" s="14">
        <f t="shared" ca="1" si="5"/>
        <v>-18.940000000000001</v>
      </c>
      <c r="M34" s="14">
        <f t="shared" ca="1" si="5"/>
        <v>-18.97</v>
      </c>
      <c r="N34" s="14">
        <f t="shared" ca="1" si="5"/>
        <v>-19.010000000000002</v>
      </c>
      <c r="O34" s="14">
        <f t="shared" ca="1" si="5"/>
        <v>-19.04</v>
      </c>
      <c r="P34" s="14">
        <f t="shared" ca="1" si="5"/>
        <v>-19.07</v>
      </c>
      <c r="Q34" s="14">
        <f t="shared" ca="1" si="5"/>
        <v>-19.11</v>
      </c>
      <c r="R34" s="14">
        <f t="shared" ca="1" si="5"/>
        <v>-19.25</v>
      </c>
      <c r="S34" s="14">
        <f t="shared" ca="1" si="5"/>
        <v>-19.38</v>
      </c>
      <c r="T34" s="14">
        <f t="shared" ca="1" si="5"/>
        <v>-19.52</v>
      </c>
      <c r="U34" s="14">
        <f t="shared" ca="1" si="5"/>
        <v>-19.649999999999999</v>
      </c>
      <c r="V34" s="14">
        <f t="shared" ca="1" si="5"/>
        <v>-19.78</v>
      </c>
      <c r="W34" s="14">
        <f t="shared" ca="1" si="5"/>
        <v>-19.91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39" t="s">
        <v>5</v>
      </c>
      <c r="D35" s="44">
        <f t="shared" si="4"/>
        <v>16</v>
      </c>
      <c r="E35" s="11" t="str">
        <f t="shared" ref="E35:E37" ca="1" si="7">OFFSET($E$3:$AL$3,$D35,0)</f>
        <v>H (Ga)</v>
      </c>
      <c r="F35" s="14">
        <f t="shared" ref="F35:U37" ca="1" si="8">OFFSET($E$3:$BR$3,$D35,0)</f>
        <v>-52.5</v>
      </c>
      <c r="G35" s="14">
        <f t="shared" ca="1" si="8"/>
        <v>-42.14</v>
      </c>
      <c r="H35" s="14">
        <f t="shared" ca="1" si="8"/>
        <v>-35.15</v>
      </c>
      <c r="I35" s="14">
        <f t="shared" ca="1" si="8"/>
        <v>-30.14</v>
      </c>
      <c r="J35" s="14">
        <f t="shared" ca="1" si="8"/>
        <v>-29.11</v>
      </c>
      <c r="K35" s="14">
        <f t="shared" ca="1" si="8"/>
        <v>-28.15</v>
      </c>
      <c r="L35" s="14">
        <f t="shared" ca="1" si="8"/>
        <v>-27.25</v>
      </c>
      <c r="M35" s="14">
        <f t="shared" ca="1" si="8"/>
        <v>-26.42</v>
      </c>
      <c r="N35" s="14">
        <f t="shared" ca="1" si="8"/>
        <v>-25.64</v>
      </c>
      <c r="O35" s="14">
        <f t="shared" ca="1" si="8"/>
        <v>-24.91</v>
      </c>
      <c r="P35" s="14">
        <f t="shared" ca="1" si="8"/>
        <v>-24.22</v>
      </c>
      <c r="Q35" s="14">
        <f t="shared" ca="1" si="8"/>
        <v>-23.59</v>
      </c>
      <c r="R35" s="14">
        <f t="shared" ca="1" si="8"/>
        <v>-21.41</v>
      </c>
      <c r="S35" s="14">
        <f t="shared" ca="1" si="8"/>
        <v>-19.73</v>
      </c>
      <c r="T35" s="14">
        <f t="shared" ca="1" si="8"/>
        <v>-18.45</v>
      </c>
      <c r="U35" s="14">
        <f t="shared" ca="1" si="8"/>
        <v>-17.489999999999998</v>
      </c>
      <c r="V35" s="14">
        <f t="shared" ca="1" si="5"/>
        <v>-16.760000000000002</v>
      </c>
      <c r="W35" s="14">
        <f t="shared" ca="1" si="5"/>
        <v>-16.190000000000001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39" t="s">
        <v>6</v>
      </c>
      <c r="D36" s="44">
        <f t="shared" si="4"/>
        <v>17</v>
      </c>
      <c r="E36" s="11" t="str">
        <f t="shared" ca="1" si="7"/>
        <v>H (Ge)</v>
      </c>
      <c r="F36" s="14">
        <f t="shared" ca="1" si="8"/>
        <v>-27.89</v>
      </c>
      <c r="G36" s="14">
        <f t="shared" ca="1" si="5"/>
        <v>-23.3</v>
      </c>
      <c r="H36" s="14">
        <f t="shared" ca="1" si="5"/>
        <v>-20.3</v>
      </c>
      <c r="I36" s="14">
        <f t="shared" ca="1" si="5"/>
        <v>-18.22</v>
      </c>
      <c r="J36" s="14">
        <f t="shared" ca="1" si="5"/>
        <v>-17.8</v>
      </c>
      <c r="K36" s="14">
        <f t="shared" ca="1" si="5"/>
        <v>-17.399999999999999</v>
      </c>
      <c r="L36" s="14">
        <f t="shared" ca="1" si="5"/>
        <v>-17.04</v>
      </c>
      <c r="M36" s="14">
        <f t="shared" ca="1" si="5"/>
        <v>-16.7</v>
      </c>
      <c r="N36" s="14">
        <f t="shared" ca="1" si="5"/>
        <v>-16.39</v>
      </c>
      <c r="O36" s="14">
        <f t="shared" ca="1" si="5"/>
        <v>-16.09</v>
      </c>
      <c r="P36" s="14">
        <f t="shared" ca="1" si="5"/>
        <v>-15.82</v>
      </c>
      <c r="Q36" s="14">
        <f t="shared" ca="1" si="5"/>
        <v>-15.56</v>
      </c>
      <c r="R36" s="14">
        <f t="shared" ca="1" si="5"/>
        <v>-14.69</v>
      </c>
      <c r="S36" s="14">
        <f t="shared" ca="1" si="5"/>
        <v>-14</v>
      </c>
      <c r="T36" s="14">
        <f t="shared" ca="1" si="5"/>
        <v>-13.45</v>
      </c>
      <c r="U36" s="14">
        <f t="shared" ca="1" si="5"/>
        <v>-12.99</v>
      </c>
      <c r="V36" s="14">
        <f t="shared" ca="1" si="5"/>
        <v>-12.58</v>
      </c>
      <c r="W36" s="14">
        <f t="shared" ca="1" si="5"/>
        <v>-12.18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39" t="s">
        <v>7</v>
      </c>
      <c r="D37" s="44">
        <f t="shared" si="4"/>
        <v>18</v>
      </c>
      <c r="E37" s="11" t="str">
        <f t="shared" ca="1" si="7"/>
        <v>H (Se)</v>
      </c>
      <c r="F37" s="14">
        <f t="shared" ca="1" si="8"/>
        <v>-5.5750000000000002</v>
      </c>
      <c r="G37" s="14">
        <f t="shared" ca="1" si="5"/>
        <v>-5.9269999999999996</v>
      </c>
      <c r="H37" s="14">
        <f t="shared" ca="1" si="5"/>
        <v>-6.3159999999999998</v>
      </c>
      <c r="I37" s="14">
        <f t="shared" ca="1" si="5"/>
        <v>-6.7</v>
      </c>
      <c r="J37" s="14">
        <f t="shared" ca="1" si="5"/>
        <v>-6.7930000000000001</v>
      </c>
      <c r="K37" s="14">
        <f t="shared" ca="1" si="5"/>
        <v>-6.8849999999999998</v>
      </c>
      <c r="L37" s="14">
        <f t="shared" ca="1" si="5"/>
        <v>-6.9749999999999996</v>
      </c>
      <c r="M37" s="14">
        <f t="shared" ca="1" si="5"/>
        <v>-7.0650000000000004</v>
      </c>
      <c r="N37" s="14">
        <f t="shared" ca="1" si="5"/>
        <v>-7.1520000000000001</v>
      </c>
      <c r="O37" s="14">
        <f t="shared" ca="1" si="5"/>
        <v>-7.2389999999999999</v>
      </c>
      <c r="P37" s="14">
        <f t="shared" ca="1" si="5"/>
        <v>-7.3230000000000004</v>
      </c>
      <c r="Q37" s="14">
        <f t="shared" ca="1" si="5"/>
        <v>-7.407</v>
      </c>
      <c r="R37" s="14">
        <f t="shared" ca="1" si="5"/>
        <v>-7.726</v>
      </c>
      <c r="S37" s="14">
        <f t="shared" ca="1" si="5"/>
        <v>-8.0250000000000004</v>
      </c>
      <c r="T37" s="14">
        <f t="shared" ca="1" si="5"/>
        <v>-8.3070000000000004</v>
      </c>
      <c r="U37" s="14">
        <f t="shared" ca="1" si="5"/>
        <v>-8.5820000000000007</v>
      </c>
      <c r="V37" s="14">
        <f t="shared" ca="1" si="5"/>
        <v>-8.8670000000000009</v>
      </c>
      <c r="W37" s="14">
        <f t="shared" ca="1" si="5"/>
        <v>-9.1820000000000004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487.9</v>
      </c>
      <c r="K40" s="8">
        <f t="shared" si="9"/>
        <v>504.4</v>
      </c>
      <c r="L40" s="8">
        <f t="shared" si="9"/>
        <v>520.9</v>
      </c>
      <c r="M40" s="8">
        <f t="shared" si="9"/>
        <v>537.5</v>
      </c>
      <c r="N40" s="8">
        <f t="shared" si="9"/>
        <v>554</v>
      </c>
      <c r="O40" s="8">
        <f t="shared" si="9"/>
        <v>570.5</v>
      </c>
      <c r="P40" s="8">
        <f t="shared" si="9"/>
        <v>587</v>
      </c>
      <c r="Q40" s="8">
        <f t="shared" si="9"/>
        <v>603.5</v>
      </c>
      <c r="R40" s="8">
        <f t="shared" si="9"/>
        <v>669.6</v>
      </c>
      <c r="S40" s="8">
        <f t="shared" si="9"/>
        <v>735.7</v>
      </c>
      <c r="T40" s="8">
        <f t="shared" si="9"/>
        <v>801.8</v>
      </c>
      <c r="U40" s="8">
        <f t="shared" si="9"/>
        <v>867.8</v>
      </c>
      <c r="V40" s="8">
        <f t="shared" si="9"/>
        <v>933.9</v>
      </c>
      <c r="W40" s="8">
        <f t="shared" si="9"/>
        <v>1000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-128.38480977300003</v>
      </c>
      <c r="G41" s="10">
        <f t="shared" ca="1" si="10"/>
        <v>-138.75957746560002</v>
      </c>
      <c r="H41" s="10">
        <f t="shared" ca="1" si="10"/>
        <v>-150.4600616967</v>
      </c>
      <c r="I41" s="10">
        <f t="shared" ca="1" si="10"/>
        <v>-163.31063749999998</v>
      </c>
      <c r="J41" s="10">
        <f t="shared" ca="1" si="10"/>
        <v>-166.68482012980004</v>
      </c>
      <c r="K41" s="10">
        <f t="shared" ca="1" si="10"/>
        <v>-170.07394003599998</v>
      </c>
      <c r="L41" s="10">
        <f t="shared" ca="1" si="10"/>
        <v>-173.558530357</v>
      </c>
      <c r="M41" s="10">
        <f t="shared" ca="1" si="10"/>
        <v>-177.13799743750005</v>
      </c>
      <c r="N41" s="10">
        <f t="shared" ca="1" si="10"/>
        <v>-180.75165374200003</v>
      </c>
      <c r="O41" s="10">
        <f t="shared" ca="1" si="10"/>
        <v>-184.38314742049999</v>
      </c>
      <c r="P41" s="10">
        <f t="shared" ca="1" si="10"/>
        <v>-188.09551346900002</v>
      </c>
      <c r="Q41" s="10">
        <f t="shared" ca="1" si="10"/>
        <v>-191.86731987800002</v>
      </c>
      <c r="R41" s="10">
        <f t="shared" ca="1" si="10"/>
        <v>-207.54484619040002</v>
      </c>
      <c r="S41" s="10">
        <f t="shared" ca="1" si="10"/>
        <v>-224.04450139400001</v>
      </c>
      <c r="T41" s="10">
        <f t="shared" ca="1" si="10"/>
        <v>-241.4230247454</v>
      </c>
      <c r="U41" s="10">
        <f t="shared" ca="1" si="10"/>
        <v>-259.63618643040002</v>
      </c>
      <c r="V41" s="10">
        <f t="shared" ca="1" si="10"/>
        <v>-278.76550125270001</v>
      </c>
      <c r="W41" s="10">
        <f t="shared" ca="1" si="10"/>
        <v>-298.82867300000009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487.9</v>
      </c>
      <c r="K45" s="3">
        <f t="shared" si="13"/>
        <v>504.4</v>
      </c>
      <c r="L45" s="3">
        <f t="shared" si="13"/>
        <v>520.9</v>
      </c>
      <c r="M45" s="3">
        <f t="shared" si="13"/>
        <v>537.5</v>
      </c>
      <c r="N45" s="3">
        <f t="shared" si="13"/>
        <v>554</v>
      </c>
      <c r="O45" s="3">
        <f t="shared" si="13"/>
        <v>570.5</v>
      </c>
      <c r="P45" s="3">
        <f t="shared" si="13"/>
        <v>587</v>
      </c>
      <c r="Q45" s="3">
        <f t="shared" si="13"/>
        <v>603.5</v>
      </c>
      <c r="R45" s="3">
        <f t="shared" si="13"/>
        <v>669.6</v>
      </c>
      <c r="S45" s="3">
        <f t="shared" si="13"/>
        <v>735.7</v>
      </c>
      <c r="T45" s="3">
        <f t="shared" si="13"/>
        <v>801.8</v>
      </c>
      <c r="U45" s="3">
        <f t="shared" si="13"/>
        <v>867.8</v>
      </c>
      <c r="V45" s="3">
        <f t="shared" si="13"/>
        <v>933.9</v>
      </c>
      <c r="W45" s="3">
        <f t="shared" si="13"/>
        <v>1000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0</v>
      </c>
      <c r="D46" s="5">
        <f t="shared" si="14"/>
        <v>1</v>
      </c>
      <c r="E46" s="6" t="str">
        <f t="shared" si="14"/>
        <v>*GaSe2</v>
      </c>
      <c r="F46" s="14">
        <f t="shared" ref="F46:U55" ca="1" si="15">$A46*H.Ar + $B46*H.Se + $C46*H.Ge + $D46*H.Ga</f>
        <v>-63.65</v>
      </c>
      <c r="G46" s="14">
        <f t="shared" ca="1" si="15"/>
        <v>-53.994</v>
      </c>
      <c r="H46" s="14">
        <f t="shared" ca="1" si="15"/>
        <v>-47.781999999999996</v>
      </c>
      <c r="I46" s="14">
        <f t="shared" ca="1" si="15"/>
        <v>-43.54</v>
      </c>
      <c r="J46" s="14">
        <f t="shared" ca="1" si="15"/>
        <v>-42.695999999999998</v>
      </c>
      <c r="K46" s="14">
        <f t="shared" ca="1" si="15"/>
        <v>-41.92</v>
      </c>
      <c r="L46" s="14">
        <f t="shared" ca="1" si="15"/>
        <v>-41.2</v>
      </c>
      <c r="M46" s="14">
        <f t="shared" ca="1" si="15"/>
        <v>-40.550000000000004</v>
      </c>
      <c r="N46" s="14">
        <f t="shared" ca="1" si="15"/>
        <v>-39.944000000000003</v>
      </c>
      <c r="O46" s="14">
        <f t="shared" ca="1" si="15"/>
        <v>-39.387999999999998</v>
      </c>
      <c r="P46" s="14">
        <f t="shared" ca="1" si="15"/>
        <v>-38.866</v>
      </c>
      <c r="Q46" s="14">
        <f t="shared" ca="1" si="15"/>
        <v>-38.403999999999996</v>
      </c>
      <c r="R46" s="14">
        <f t="shared" ca="1" si="15"/>
        <v>-36.862000000000002</v>
      </c>
      <c r="S46" s="14">
        <f t="shared" ca="1" si="15"/>
        <v>-35.78</v>
      </c>
      <c r="T46" s="14">
        <f t="shared" ca="1" si="15"/>
        <v>-35.064</v>
      </c>
      <c r="U46" s="14">
        <f t="shared" ca="1" si="15"/>
        <v>-34.653999999999996</v>
      </c>
      <c r="V46" s="14">
        <f t="shared" ref="G46:BR50" ca="1" si="16">$A46*H.Ar + $B46*H.Se + $C46*H.Ge + $D46*H.Ga</f>
        <v>-34.494</v>
      </c>
      <c r="W46" s="14">
        <f t="shared" ca="1" si="16"/>
        <v>-34.554000000000002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1</v>
      </c>
      <c r="C47" s="5">
        <f t="shared" si="14"/>
        <v>1</v>
      </c>
      <c r="D47" s="5">
        <f t="shared" si="14"/>
        <v>0</v>
      </c>
      <c r="E47" s="6" t="str">
        <f t="shared" si="14"/>
        <v>*GeSe[l]</v>
      </c>
      <c r="F47" s="14">
        <f t="shared" ca="1" si="15"/>
        <v>-33.465000000000003</v>
      </c>
      <c r="G47" s="14">
        <f t="shared" ca="1" si="16"/>
        <v>-29.227</v>
      </c>
      <c r="H47" s="14">
        <f t="shared" ca="1" si="16"/>
        <v>-26.616</v>
      </c>
      <c r="I47" s="14">
        <f t="shared" ca="1" si="16"/>
        <v>-24.919999999999998</v>
      </c>
      <c r="J47" s="14">
        <f t="shared" ca="1" si="16"/>
        <v>-24.593</v>
      </c>
      <c r="K47" s="14">
        <f t="shared" ca="1" si="16"/>
        <v>-24.284999999999997</v>
      </c>
      <c r="L47" s="14">
        <f t="shared" ca="1" si="16"/>
        <v>-24.015000000000001</v>
      </c>
      <c r="M47" s="14">
        <f t="shared" ca="1" si="16"/>
        <v>-23.765000000000001</v>
      </c>
      <c r="N47" s="14">
        <f t="shared" ca="1" si="16"/>
        <v>-23.542000000000002</v>
      </c>
      <c r="O47" s="14">
        <f t="shared" ca="1" si="16"/>
        <v>-23.329000000000001</v>
      </c>
      <c r="P47" s="14">
        <f t="shared" ca="1" si="16"/>
        <v>-23.143000000000001</v>
      </c>
      <c r="Q47" s="14">
        <f t="shared" ca="1" si="16"/>
        <v>-22.966999999999999</v>
      </c>
      <c r="R47" s="14">
        <f t="shared" ca="1" si="16"/>
        <v>-22.416</v>
      </c>
      <c r="S47" s="14">
        <f t="shared" ca="1" si="16"/>
        <v>-22.024999999999999</v>
      </c>
      <c r="T47" s="14">
        <f t="shared" ca="1" si="16"/>
        <v>-21.756999999999998</v>
      </c>
      <c r="U47" s="14">
        <f t="shared" ca="1" si="16"/>
        <v>-21.572000000000003</v>
      </c>
      <c r="V47" s="14">
        <f t="shared" ca="1" si="16"/>
        <v>-21.447000000000003</v>
      </c>
      <c r="W47" s="14">
        <f t="shared" ca="1" si="16"/>
        <v>-21.362000000000002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4</v>
      </c>
      <c r="C48" s="5">
        <f t="shared" si="14"/>
        <v>0</v>
      </c>
      <c r="D48" s="5">
        <f t="shared" si="14"/>
        <v>0</v>
      </c>
      <c r="E48" s="6" t="str">
        <f t="shared" si="14"/>
        <v>Se4</v>
      </c>
      <c r="F48" s="14">
        <f t="shared" ca="1" si="15"/>
        <v>-22.3</v>
      </c>
      <c r="G48" s="14">
        <f t="shared" ca="1" si="16"/>
        <v>-23.707999999999998</v>
      </c>
      <c r="H48" s="14">
        <f t="shared" ca="1" si="16"/>
        <v>-25.263999999999999</v>
      </c>
      <c r="I48" s="14">
        <f t="shared" ca="1" si="16"/>
        <v>-26.8</v>
      </c>
      <c r="J48" s="14">
        <f t="shared" ca="1" si="16"/>
        <v>-27.172000000000001</v>
      </c>
      <c r="K48" s="14">
        <f t="shared" ca="1" si="16"/>
        <v>-27.54</v>
      </c>
      <c r="L48" s="14">
        <f t="shared" ca="1" si="16"/>
        <v>-27.9</v>
      </c>
      <c r="M48" s="14">
        <f t="shared" ca="1" si="16"/>
        <v>-28.26</v>
      </c>
      <c r="N48" s="14">
        <f t="shared" ca="1" si="16"/>
        <v>-28.608000000000001</v>
      </c>
      <c r="O48" s="14">
        <f t="shared" ca="1" si="16"/>
        <v>-28.956</v>
      </c>
      <c r="P48" s="14">
        <f t="shared" ca="1" si="16"/>
        <v>-29.292000000000002</v>
      </c>
      <c r="Q48" s="14">
        <f t="shared" ca="1" si="16"/>
        <v>-29.628</v>
      </c>
      <c r="R48" s="14">
        <f t="shared" ca="1" si="16"/>
        <v>-30.904</v>
      </c>
      <c r="S48" s="14">
        <f t="shared" ca="1" si="16"/>
        <v>-32.1</v>
      </c>
      <c r="T48" s="14">
        <f t="shared" ca="1" si="16"/>
        <v>-33.228000000000002</v>
      </c>
      <c r="U48" s="14">
        <f t="shared" ca="1" si="16"/>
        <v>-34.328000000000003</v>
      </c>
      <c r="V48" s="14">
        <f t="shared" ca="1" si="16"/>
        <v>-35.468000000000004</v>
      </c>
      <c r="W48" s="14">
        <f t="shared" ca="1" si="16"/>
        <v>-36.728000000000002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5</v>
      </c>
      <c r="C49" s="5">
        <f t="shared" si="14"/>
        <v>0</v>
      </c>
      <c r="D49" s="5">
        <f t="shared" si="14"/>
        <v>0</v>
      </c>
      <c r="E49" s="6" t="str">
        <f t="shared" si="14"/>
        <v>Se5</v>
      </c>
      <c r="F49" s="14">
        <f t="shared" ca="1" si="15"/>
        <v>-27.875</v>
      </c>
      <c r="G49" s="14">
        <f t="shared" ca="1" si="16"/>
        <v>-29.634999999999998</v>
      </c>
      <c r="H49" s="14">
        <f t="shared" ca="1" si="16"/>
        <v>-31.58</v>
      </c>
      <c r="I49" s="14">
        <f t="shared" ca="1" si="16"/>
        <v>-33.5</v>
      </c>
      <c r="J49" s="14">
        <f t="shared" ca="1" si="16"/>
        <v>-33.965000000000003</v>
      </c>
      <c r="K49" s="14">
        <f t="shared" ca="1" si="16"/>
        <v>-34.424999999999997</v>
      </c>
      <c r="L49" s="14">
        <f t="shared" ca="1" si="16"/>
        <v>-34.875</v>
      </c>
      <c r="M49" s="14">
        <f t="shared" ca="1" si="16"/>
        <v>-35.325000000000003</v>
      </c>
      <c r="N49" s="14">
        <f t="shared" ca="1" si="16"/>
        <v>-35.76</v>
      </c>
      <c r="O49" s="14">
        <f t="shared" ca="1" si="16"/>
        <v>-36.195</v>
      </c>
      <c r="P49" s="14">
        <f t="shared" ca="1" si="16"/>
        <v>-36.615000000000002</v>
      </c>
      <c r="Q49" s="14">
        <f t="shared" ca="1" si="16"/>
        <v>-37.034999999999997</v>
      </c>
      <c r="R49" s="14">
        <f t="shared" ca="1" si="16"/>
        <v>-38.630000000000003</v>
      </c>
      <c r="S49" s="14">
        <f t="shared" ca="1" si="16"/>
        <v>-40.125</v>
      </c>
      <c r="T49" s="14">
        <f t="shared" ca="1" si="16"/>
        <v>-41.535000000000004</v>
      </c>
      <c r="U49" s="14">
        <f t="shared" ca="1" si="16"/>
        <v>-42.910000000000004</v>
      </c>
      <c r="V49" s="14">
        <f t="shared" ca="1" si="16"/>
        <v>-44.335000000000008</v>
      </c>
      <c r="W49" s="14">
        <f t="shared" ca="1" si="16"/>
        <v>-45.910000000000004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1</v>
      </c>
      <c r="C50" s="5">
        <f t="shared" si="14"/>
        <v>0</v>
      </c>
      <c r="D50" s="5">
        <f t="shared" si="14"/>
        <v>0</v>
      </c>
      <c r="E50" s="6" t="str">
        <f t="shared" si="14"/>
        <v>See</v>
      </c>
      <c r="F50" s="14">
        <f t="shared" ca="1" si="15"/>
        <v>-5.5750000000000002</v>
      </c>
      <c r="G50" s="14">
        <f t="shared" ca="1" si="16"/>
        <v>-5.9269999999999996</v>
      </c>
      <c r="H50" s="14">
        <f t="shared" ca="1" si="16"/>
        <v>-6.3159999999999998</v>
      </c>
      <c r="I50" s="14">
        <f t="shared" ca="1" si="16"/>
        <v>-6.7</v>
      </c>
      <c r="J50" s="14">
        <f t="shared" ca="1" si="16"/>
        <v>-6.7930000000000001</v>
      </c>
      <c r="K50" s="14">
        <f t="shared" ca="1" si="16"/>
        <v>-6.8849999999999998</v>
      </c>
      <c r="L50" s="14">
        <f t="shared" ca="1" si="16"/>
        <v>-6.9749999999999996</v>
      </c>
      <c r="M50" s="14">
        <f t="shared" ca="1" si="16"/>
        <v>-7.0650000000000004</v>
      </c>
      <c r="N50" s="14">
        <f t="shared" ca="1" si="16"/>
        <v>-7.1520000000000001</v>
      </c>
      <c r="O50" s="14">
        <f t="shared" ca="1" si="16"/>
        <v>-7.2389999999999999</v>
      </c>
      <c r="P50" s="14">
        <f t="shared" ca="1" si="16"/>
        <v>-7.3230000000000004</v>
      </c>
      <c r="Q50" s="14">
        <f t="shared" ca="1" si="16"/>
        <v>-7.407</v>
      </c>
      <c r="R50" s="14">
        <f t="shared" ca="1" si="16"/>
        <v>-7.726</v>
      </c>
      <c r="S50" s="14">
        <f t="shared" ca="1" si="16"/>
        <v>-8.0250000000000004</v>
      </c>
      <c r="T50" s="14">
        <f t="shared" ca="1" si="16"/>
        <v>-8.3070000000000004</v>
      </c>
      <c r="U50" s="14">
        <f t="shared" ref="G50:BR54" ca="1" si="17">$A50*H.Ar + $B50*H.Se + $C50*H.Ge + $D50*H.Ga</f>
        <v>-8.5820000000000007</v>
      </c>
      <c r="V50" s="14">
        <f t="shared" ca="1" si="17"/>
        <v>-8.8670000000000009</v>
      </c>
      <c r="W50" s="14">
        <f t="shared" ca="1" si="17"/>
        <v>-9.1820000000000004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Se?</v>
      </c>
      <c r="F51" s="14">
        <f t="shared" ca="1" si="15"/>
        <v>-5.5750000000000002</v>
      </c>
      <c r="G51" s="14">
        <f t="shared" ca="1" si="17"/>
        <v>-5.9269999999999996</v>
      </c>
      <c r="H51" s="14">
        <f t="shared" ca="1" si="17"/>
        <v>-6.3159999999999998</v>
      </c>
      <c r="I51" s="14">
        <f t="shared" ca="1" si="17"/>
        <v>-6.7</v>
      </c>
      <c r="J51" s="14">
        <f t="shared" ca="1" si="17"/>
        <v>-6.7930000000000001</v>
      </c>
      <c r="K51" s="14">
        <f t="shared" ca="1" si="17"/>
        <v>-6.8849999999999998</v>
      </c>
      <c r="L51" s="14">
        <f t="shared" ca="1" si="17"/>
        <v>-6.9749999999999996</v>
      </c>
      <c r="M51" s="14">
        <f t="shared" ca="1" si="17"/>
        <v>-7.0650000000000004</v>
      </c>
      <c r="N51" s="14">
        <f t="shared" ca="1" si="17"/>
        <v>-7.1520000000000001</v>
      </c>
      <c r="O51" s="14">
        <f t="shared" ca="1" si="17"/>
        <v>-7.2389999999999999</v>
      </c>
      <c r="P51" s="14">
        <f t="shared" ca="1" si="17"/>
        <v>-7.3230000000000004</v>
      </c>
      <c r="Q51" s="14">
        <f t="shared" ca="1" si="17"/>
        <v>-7.407</v>
      </c>
      <c r="R51" s="14">
        <f t="shared" ca="1" si="17"/>
        <v>-7.726</v>
      </c>
      <c r="S51" s="14">
        <f t="shared" ca="1" si="17"/>
        <v>-8.0250000000000004</v>
      </c>
      <c r="T51" s="14">
        <f t="shared" ca="1" si="17"/>
        <v>-8.3070000000000004</v>
      </c>
      <c r="U51" s="14">
        <f t="shared" ca="1" si="17"/>
        <v>-8.5820000000000007</v>
      </c>
      <c r="V51" s="14">
        <f t="shared" ca="1" si="17"/>
        <v>-8.8670000000000009</v>
      </c>
      <c r="W51" s="14">
        <f t="shared" ca="1" si="17"/>
        <v>-9.1820000000000004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3</v>
      </c>
      <c r="C52" s="5">
        <f t="shared" si="14"/>
        <v>0</v>
      </c>
      <c r="D52" s="5">
        <f t="shared" si="14"/>
        <v>0</v>
      </c>
      <c r="E52" s="6" t="str">
        <f t="shared" si="14"/>
        <v>Se3</v>
      </c>
      <c r="F52" s="14">
        <f t="shared" ca="1" si="15"/>
        <v>-16.725000000000001</v>
      </c>
      <c r="G52" s="14">
        <f t="shared" ca="1" si="17"/>
        <v>-17.780999999999999</v>
      </c>
      <c r="H52" s="14">
        <f t="shared" ca="1" si="17"/>
        <v>-18.948</v>
      </c>
      <c r="I52" s="14">
        <f t="shared" ca="1" si="17"/>
        <v>-20.100000000000001</v>
      </c>
      <c r="J52" s="14">
        <f t="shared" ca="1" si="17"/>
        <v>-20.379000000000001</v>
      </c>
      <c r="K52" s="14">
        <f t="shared" ca="1" si="17"/>
        <v>-20.655000000000001</v>
      </c>
      <c r="L52" s="14">
        <f t="shared" ca="1" si="17"/>
        <v>-20.924999999999997</v>
      </c>
      <c r="M52" s="14">
        <f t="shared" ca="1" si="17"/>
        <v>-21.195</v>
      </c>
      <c r="N52" s="14">
        <f t="shared" ca="1" si="17"/>
        <v>-21.456</v>
      </c>
      <c r="O52" s="14">
        <f t="shared" ca="1" si="17"/>
        <v>-21.716999999999999</v>
      </c>
      <c r="P52" s="14">
        <f t="shared" ca="1" si="17"/>
        <v>-21.969000000000001</v>
      </c>
      <c r="Q52" s="14">
        <f t="shared" ca="1" si="17"/>
        <v>-22.221</v>
      </c>
      <c r="R52" s="14">
        <f t="shared" ca="1" si="17"/>
        <v>-23.178000000000001</v>
      </c>
      <c r="S52" s="14">
        <f t="shared" ca="1" si="17"/>
        <v>-24.075000000000003</v>
      </c>
      <c r="T52" s="14">
        <f t="shared" ca="1" si="17"/>
        <v>-24.920999999999999</v>
      </c>
      <c r="U52" s="14">
        <f t="shared" ca="1" si="17"/>
        <v>-25.746000000000002</v>
      </c>
      <c r="V52" s="14">
        <f t="shared" ca="1" si="17"/>
        <v>-26.601000000000003</v>
      </c>
      <c r="W52" s="14">
        <f t="shared" ca="1" si="17"/>
        <v>-27.545999999999999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2</v>
      </c>
      <c r="C53" s="5">
        <f t="shared" si="14"/>
        <v>0</v>
      </c>
      <c r="D53" s="5">
        <f t="shared" si="14"/>
        <v>0</v>
      </c>
      <c r="E53" s="6" t="str">
        <f t="shared" si="14"/>
        <v>Se2</v>
      </c>
      <c r="F53" s="14">
        <f t="shared" ca="1" si="15"/>
        <v>-11.15</v>
      </c>
      <c r="G53" s="14">
        <f t="shared" ca="1" si="17"/>
        <v>-11.853999999999999</v>
      </c>
      <c r="H53" s="14">
        <f t="shared" ca="1" si="17"/>
        <v>-12.632</v>
      </c>
      <c r="I53" s="14">
        <f t="shared" ca="1" si="17"/>
        <v>-13.4</v>
      </c>
      <c r="J53" s="14">
        <f t="shared" ca="1" si="17"/>
        <v>-13.586</v>
      </c>
      <c r="K53" s="14">
        <f t="shared" ca="1" si="17"/>
        <v>-13.77</v>
      </c>
      <c r="L53" s="14">
        <f t="shared" ca="1" si="17"/>
        <v>-13.95</v>
      </c>
      <c r="M53" s="14">
        <f t="shared" ca="1" si="17"/>
        <v>-14.13</v>
      </c>
      <c r="N53" s="14">
        <f t="shared" ca="1" si="17"/>
        <v>-14.304</v>
      </c>
      <c r="O53" s="14">
        <f t="shared" ca="1" si="17"/>
        <v>-14.478</v>
      </c>
      <c r="P53" s="14">
        <f t="shared" ca="1" si="17"/>
        <v>-14.646000000000001</v>
      </c>
      <c r="Q53" s="14">
        <f t="shared" ca="1" si="17"/>
        <v>-14.814</v>
      </c>
      <c r="R53" s="14">
        <f t="shared" ca="1" si="17"/>
        <v>-15.452</v>
      </c>
      <c r="S53" s="14">
        <f t="shared" ca="1" si="17"/>
        <v>-16.05</v>
      </c>
      <c r="T53" s="14">
        <f t="shared" ca="1" si="17"/>
        <v>-16.614000000000001</v>
      </c>
      <c r="U53" s="14">
        <f t="shared" ca="1" si="17"/>
        <v>-17.164000000000001</v>
      </c>
      <c r="V53" s="14">
        <f t="shared" ca="1" si="17"/>
        <v>-17.734000000000002</v>
      </c>
      <c r="W53" s="14">
        <f t="shared" ca="1" si="17"/>
        <v>-18.364000000000001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-18.62</v>
      </c>
      <c r="G54" s="14">
        <f t="shared" ca="1" si="17"/>
        <v>-18.63</v>
      </c>
      <c r="H54" s="14">
        <f t="shared" ca="1" si="17"/>
        <v>-18.72</v>
      </c>
      <c r="I54" s="14">
        <f t="shared" ca="1" si="17"/>
        <v>-18.84</v>
      </c>
      <c r="J54" s="14">
        <f t="shared" ca="1" si="17"/>
        <v>-18.87</v>
      </c>
      <c r="K54" s="14">
        <f t="shared" ca="1" si="17"/>
        <v>-18.899999999999999</v>
      </c>
      <c r="L54" s="14">
        <f t="shared" ca="1" si="17"/>
        <v>-18.940000000000001</v>
      </c>
      <c r="M54" s="14">
        <f t="shared" ca="1" si="17"/>
        <v>-18.97</v>
      </c>
      <c r="N54" s="14">
        <f t="shared" ca="1" si="17"/>
        <v>-19.010000000000002</v>
      </c>
      <c r="O54" s="14">
        <f t="shared" ca="1" si="17"/>
        <v>-19.04</v>
      </c>
      <c r="P54" s="14">
        <f t="shared" ca="1" si="17"/>
        <v>-19.07</v>
      </c>
      <c r="Q54" s="14">
        <f t="shared" ca="1" si="17"/>
        <v>-19.11</v>
      </c>
      <c r="R54" s="14">
        <f t="shared" ca="1" si="17"/>
        <v>-19.25</v>
      </c>
      <c r="S54" s="14">
        <f t="shared" ca="1" si="17"/>
        <v>-19.38</v>
      </c>
      <c r="T54" s="14">
        <f t="shared" ref="G54:BR58" ca="1" si="18">$A54*H.Ar + $B54*H.Se + $C54*H.Ge + $D54*H.Ga</f>
        <v>-19.52</v>
      </c>
      <c r="U54" s="14">
        <f t="shared" ca="1" si="18"/>
        <v>-19.649999999999999</v>
      </c>
      <c r="V54" s="14">
        <f t="shared" ca="1" si="18"/>
        <v>-19.78</v>
      </c>
      <c r="W54" s="14">
        <f t="shared" ca="1" si="18"/>
        <v>-19.91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2</v>
      </c>
      <c r="E55" s="6" t="str">
        <f t="shared" si="14"/>
        <v>Ga2Se</v>
      </c>
      <c r="F55" s="14">
        <f t="shared" ca="1" si="15"/>
        <v>-110.575</v>
      </c>
      <c r="G55" s="14">
        <f t="shared" ca="1" si="18"/>
        <v>-90.206999999999994</v>
      </c>
      <c r="H55" s="14">
        <f t="shared" ca="1" si="18"/>
        <v>-76.616</v>
      </c>
      <c r="I55" s="14">
        <f t="shared" ca="1" si="18"/>
        <v>-66.98</v>
      </c>
      <c r="J55" s="14">
        <f t="shared" ca="1" si="18"/>
        <v>-65.013000000000005</v>
      </c>
      <c r="K55" s="14">
        <f t="shared" ca="1" si="18"/>
        <v>-63.184999999999995</v>
      </c>
      <c r="L55" s="14">
        <f t="shared" ca="1" si="18"/>
        <v>-61.475000000000001</v>
      </c>
      <c r="M55" s="14">
        <f t="shared" ca="1" si="18"/>
        <v>-59.905000000000001</v>
      </c>
      <c r="N55" s="14">
        <f t="shared" ca="1" si="18"/>
        <v>-58.432000000000002</v>
      </c>
      <c r="O55" s="14">
        <f t="shared" ca="1" si="18"/>
        <v>-57.058999999999997</v>
      </c>
      <c r="P55" s="14">
        <f t="shared" ca="1" si="18"/>
        <v>-55.762999999999998</v>
      </c>
      <c r="Q55" s="14">
        <f t="shared" ca="1" si="18"/>
        <v>-54.587000000000003</v>
      </c>
      <c r="R55" s="14">
        <f t="shared" ca="1" si="18"/>
        <v>-50.545999999999999</v>
      </c>
      <c r="S55" s="14">
        <f t="shared" ca="1" si="18"/>
        <v>-47.484999999999999</v>
      </c>
      <c r="T55" s="14">
        <f t="shared" ca="1" si="18"/>
        <v>-45.207000000000001</v>
      </c>
      <c r="U55" s="14">
        <f t="shared" ca="1" si="18"/>
        <v>-43.561999999999998</v>
      </c>
      <c r="V55" s="14">
        <f t="shared" ca="1" si="18"/>
        <v>-42.387</v>
      </c>
      <c r="W55" s="14">
        <f t="shared" ca="1" si="18"/>
        <v>-41.562000000000005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(l)Ga[l]</v>
      </c>
      <c r="F56" s="14">
        <f t="shared" ref="F56:U65" ca="1" si="20">$A56*H.Ar + $B56*H.Se + $C56*H.Ge + $D56*H.Ga</f>
        <v>-52.5</v>
      </c>
      <c r="G56" s="14">
        <f t="shared" ca="1" si="20"/>
        <v>-42.14</v>
      </c>
      <c r="H56" s="14">
        <f t="shared" ca="1" si="20"/>
        <v>-35.15</v>
      </c>
      <c r="I56" s="14">
        <f t="shared" ca="1" si="20"/>
        <v>-30.14</v>
      </c>
      <c r="J56" s="14">
        <f t="shared" ca="1" si="20"/>
        <v>-29.11</v>
      </c>
      <c r="K56" s="14">
        <f t="shared" ca="1" si="20"/>
        <v>-28.15</v>
      </c>
      <c r="L56" s="14">
        <f t="shared" ca="1" si="20"/>
        <v>-27.25</v>
      </c>
      <c r="M56" s="14">
        <f t="shared" ca="1" si="20"/>
        <v>-26.42</v>
      </c>
      <c r="N56" s="14">
        <f t="shared" ca="1" si="20"/>
        <v>-25.64</v>
      </c>
      <c r="O56" s="14">
        <f t="shared" ca="1" si="20"/>
        <v>-24.91</v>
      </c>
      <c r="P56" s="14">
        <f t="shared" ca="1" si="20"/>
        <v>-24.22</v>
      </c>
      <c r="Q56" s="14">
        <f t="shared" ca="1" si="20"/>
        <v>-23.59</v>
      </c>
      <c r="R56" s="14">
        <f t="shared" ca="1" si="20"/>
        <v>-21.41</v>
      </c>
      <c r="S56" s="14">
        <f t="shared" ca="1" si="20"/>
        <v>-19.73</v>
      </c>
      <c r="T56" s="14">
        <f t="shared" ca="1" si="20"/>
        <v>-18.45</v>
      </c>
      <c r="U56" s="14">
        <f t="shared" ca="1" si="20"/>
        <v>-17.489999999999998</v>
      </c>
      <c r="V56" s="14">
        <f t="shared" ca="1" si="18"/>
        <v>-16.760000000000002</v>
      </c>
      <c r="W56" s="14">
        <f t="shared" ca="1" si="18"/>
        <v>-16.190000000000001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(1)Ge[l]</v>
      </c>
      <c r="F57" s="14">
        <f t="shared" ca="1" si="20"/>
        <v>-27.89</v>
      </c>
      <c r="G57" s="14">
        <f t="shared" ca="1" si="18"/>
        <v>-23.3</v>
      </c>
      <c r="H57" s="14">
        <f t="shared" ca="1" si="18"/>
        <v>-20.3</v>
      </c>
      <c r="I57" s="14">
        <f t="shared" ca="1" si="18"/>
        <v>-18.22</v>
      </c>
      <c r="J57" s="14">
        <f t="shared" ca="1" si="18"/>
        <v>-17.8</v>
      </c>
      <c r="K57" s="14">
        <f t="shared" ca="1" si="18"/>
        <v>-17.399999999999999</v>
      </c>
      <c r="L57" s="14">
        <f t="shared" ca="1" si="18"/>
        <v>-17.04</v>
      </c>
      <c r="M57" s="14">
        <f t="shared" ca="1" si="18"/>
        <v>-16.7</v>
      </c>
      <c r="N57" s="14">
        <f t="shared" ca="1" si="18"/>
        <v>-16.39</v>
      </c>
      <c r="O57" s="14">
        <f t="shared" ca="1" si="18"/>
        <v>-16.09</v>
      </c>
      <c r="P57" s="14">
        <f t="shared" ca="1" si="18"/>
        <v>-15.82</v>
      </c>
      <c r="Q57" s="14">
        <f t="shared" ca="1" si="18"/>
        <v>-15.56</v>
      </c>
      <c r="R57" s="14">
        <f t="shared" ca="1" si="18"/>
        <v>-14.69</v>
      </c>
      <c r="S57" s="14">
        <f t="shared" ca="1" si="18"/>
        <v>-14</v>
      </c>
      <c r="T57" s="14">
        <f t="shared" ca="1" si="18"/>
        <v>-13.45</v>
      </c>
      <c r="U57" s="14">
        <f t="shared" ca="1" si="18"/>
        <v>-12.99</v>
      </c>
      <c r="V57" s="14">
        <f t="shared" ca="1" si="18"/>
        <v>-12.58</v>
      </c>
      <c r="W57" s="14">
        <f t="shared" ca="1" si="18"/>
        <v>-12.18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(1)se[l]</v>
      </c>
      <c r="F58" s="14">
        <f t="shared" ca="1" si="20"/>
        <v>0</v>
      </c>
      <c r="G58" s="14">
        <f t="shared" ca="1" si="18"/>
        <v>0</v>
      </c>
      <c r="H58" s="14">
        <f t="shared" ca="1" si="18"/>
        <v>0</v>
      </c>
      <c r="I58" s="14">
        <f t="shared" ca="1" si="18"/>
        <v>0</v>
      </c>
      <c r="J58" s="14">
        <f t="shared" ca="1" si="18"/>
        <v>0</v>
      </c>
      <c r="K58" s="14">
        <f t="shared" ca="1" si="18"/>
        <v>0</v>
      </c>
      <c r="L58" s="14">
        <f t="shared" ca="1" si="18"/>
        <v>0</v>
      </c>
      <c r="M58" s="14">
        <f t="shared" ca="1" si="18"/>
        <v>0</v>
      </c>
      <c r="N58" s="14">
        <f t="shared" ca="1" si="18"/>
        <v>0</v>
      </c>
      <c r="O58" s="14">
        <f t="shared" ca="1" si="18"/>
        <v>0</v>
      </c>
      <c r="P58" s="14">
        <f t="shared" ca="1" si="18"/>
        <v>0</v>
      </c>
      <c r="Q58" s="14">
        <f t="shared" ca="1" si="18"/>
        <v>0</v>
      </c>
      <c r="R58" s="14">
        <f t="shared" ca="1" si="18"/>
        <v>0</v>
      </c>
      <c r="S58" s="14">
        <f t="shared" ca="1" si="18"/>
        <v>0</v>
      </c>
      <c r="T58" s="14">
        <f t="shared" ca="1" si="18"/>
        <v>0</v>
      </c>
      <c r="U58" s="14">
        <f t="shared" ca="1" si="18"/>
        <v>0</v>
      </c>
      <c r="V58" s="14">
        <f t="shared" ca="1" si="18"/>
        <v>0</v>
      </c>
      <c r="W58" s="14">
        <f t="shared" ca="1" si="18"/>
        <v>0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1</v>
      </c>
      <c r="D59" s="5">
        <f t="shared" si="19"/>
        <v>0</v>
      </c>
      <c r="E59" s="6" t="str">
        <f t="shared" si="19"/>
        <v>(1)GeSe[l]</v>
      </c>
      <c r="F59" s="14">
        <f t="shared" ca="1" si="20"/>
        <v>-33.465000000000003</v>
      </c>
      <c r="G59" s="14">
        <f t="shared" ca="1" si="21"/>
        <v>-29.227</v>
      </c>
      <c r="H59" s="14">
        <f t="shared" ca="1" si="21"/>
        <v>-26.616</v>
      </c>
      <c r="I59" s="14">
        <f t="shared" ca="1" si="21"/>
        <v>-24.919999999999998</v>
      </c>
      <c r="J59" s="14">
        <f t="shared" ca="1" si="21"/>
        <v>-24.593</v>
      </c>
      <c r="K59" s="14">
        <f t="shared" ca="1" si="21"/>
        <v>-24.284999999999997</v>
      </c>
      <c r="L59" s="14">
        <f t="shared" ca="1" si="21"/>
        <v>-24.015000000000001</v>
      </c>
      <c r="M59" s="14">
        <f t="shared" ca="1" si="21"/>
        <v>-23.765000000000001</v>
      </c>
      <c r="N59" s="14">
        <f t="shared" ca="1" si="21"/>
        <v>-23.542000000000002</v>
      </c>
      <c r="O59" s="14">
        <f t="shared" ca="1" si="21"/>
        <v>-23.329000000000001</v>
      </c>
      <c r="P59" s="14">
        <f t="shared" ca="1" si="21"/>
        <v>-23.143000000000001</v>
      </c>
      <c r="Q59" s="14">
        <f t="shared" ca="1" si="21"/>
        <v>-22.966999999999999</v>
      </c>
      <c r="R59" s="14">
        <f t="shared" ca="1" si="21"/>
        <v>-22.416</v>
      </c>
      <c r="S59" s="14">
        <f t="shared" ca="1" si="21"/>
        <v>-22.024999999999999</v>
      </c>
      <c r="T59" s="14">
        <f t="shared" ca="1" si="21"/>
        <v>-21.756999999999998</v>
      </c>
      <c r="U59" s="14">
        <f t="shared" ca="1" si="21"/>
        <v>-21.572000000000003</v>
      </c>
      <c r="V59" s="14">
        <f t="shared" ca="1" si="21"/>
        <v>-21.447000000000003</v>
      </c>
      <c r="W59" s="14">
        <f t="shared" ca="1" si="21"/>
        <v>-21.362000000000002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H (Ar)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-18.87</v>
      </c>
      <c r="K60" s="14">
        <f t="shared" ca="1" si="21"/>
        <v>-18.899999999999999</v>
      </c>
      <c r="L60" s="14">
        <f t="shared" ca="1" si="21"/>
        <v>-18.940000000000001</v>
      </c>
      <c r="M60" s="14">
        <f t="shared" ca="1" si="21"/>
        <v>-18.97</v>
      </c>
      <c r="N60" s="14">
        <f t="shared" ca="1" si="21"/>
        <v>-19.010000000000002</v>
      </c>
      <c r="O60" s="14">
        <f t="shared" ca="1" si="21"/>
        <v>-19.04</v>
      </c>
      <c r="P60" s="14">
        <f t="shared" ca="1" si="21"/>
        <v>-19.07</v>
      </c>
      <c r="Q60" s="14">
        <f t="shared" ca="1" si="21"/>
        <v>-19.11</v>
      </c>
      <c r="R60" s="14">
        <f t="shared" ca="1" si="21"/>
        <v>-19.25</v>
      </c>
      <c r="S60" s="14">
        <f t="shared" ca="1" si="21"/>
        <v>-19.38</v>
      </c>
      <c r="T60" s="14">
        <f t="shared" ca="1" si="21"/>
        <v>-19.52</v>
      </c>
      <c r="U60" s="14">
        <f t="shared" ca="1" si="21"/>
        <v>-19.649999999999999</v>
      </c>
      <c r="V60" s="14">
        <f t="shared" ca="1" si="21"/>
        <v>-19.78</v>
      </c>
      <c r="W60" s="14">
        <f t="shared" ca="1" si="21"/>
        <v>-19.91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H (Ga)</v>
      </c>
      <c r="F61" s="14">
        <f t="shared" ca="1" si="20"/>
        <v>-52.5</v>
      </c>
      <c r="G61" s="14">
        <f t="shared" ca="1" si="21"/>
        <v>-42.14</v>
      </c>
      <c r="H61" s="14">
        <f t="shared" ca="1" si="21"/>
        <v>-35.15</v>
      </c>
      <c r="I61" s="14">
        <f t="shared" ca="1" si="21"/>
        <v>-30.14</v>
      </c>
      <c r="J61" s="14">
        <f t="shared" ca="1" si="21"/>
        <v>-29.11</v>
      </c>
      <c r="K61" s="14">
        <f t="shared" ca="1" si="21"/>
        <v>-28.15</v>
      </c>
      <c r="L61" s="14">
        <f t="shared" ca="1" si="21"/>
        <v>-27.25</v>
      </c>
      <c r="M61" s="14">
        <f t="shared" ca="1" si="21"/>
        <v>-26.42</v>
      </c>
      <c r="N61" s="14">
        <f t="shared" ca="1" si="21"/>
        <v>-25.64</v>
      </c>
      <c r="O61" s="14">
        <f t="shared" ca="1" si="21"/>
        <v>-24.91</v>
      </c>
      <c r="P61" s="14">
        <f t="shared" ca="1" si="21"/>
        <v>-24.22</v>
      </c>
      <c r="Q61" s="14">
        <f t="shared" ca="1" si="21"/>
        <v>-23.59</v>
      </c>
      <c r="R61" s="14">
        <f t="shared" ca="1" si="21"/>
        <v>-21.41</v>
      </c>
      <c r="S61" s="14">
        <f t="shared" ca="1" si="21"/>
        <v>-19.73</v>
      </c>
      <c r="T61" s="14">
        <f t="shared" ca="1" si="21"/>
        <v>-18.45</v>
      </c>
      <c r="U61" s="14">
        <f t="shared" ca="1" si="21"/>
        <v>-17.489999999999998</v>
      </c>
      <c r="V61" s="14">
        <f t="shared" ca="1" si="21"/>
        <v>-16.760000000000002</v>
      </c>
      <c r="W61" s="14">
        <f t="shared" ca="1" si="21"/>
        <v>-16.190000000000001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1</v>
      </c>
      <c r="D62" s="5">
        <f t="shared" si="19"/>
        <v>0</v>
      </c>
      <c r="E62" s="6" t="str">
        <f t="shared" si="19"/>
        <v>H (Ge)</v>
      </c>
      <c r="F62" s="14">
        <f t="shared" ca="1" si="20"/>
        <v>-27.89</v>
      </c>
      <c r="G62" s="14">
        <f t="shared" ca="1" si="21"/>
        <v>-23.3</v>
      </c>
      <c r="H62" s="14">
        <f t="shared" ca="1" si="21"/>
        <v>-20.3</v>
      </c>
      <c r="I62" s="14">
        <f t="shared" ca="1" si="21"/>
        <v>-18.22</v>
      </c>
      <c r="J62" s="14">
        <f t="shared" ca="1" si="21"/>
        <v>-17.8</v>
      </c>
      <c r="K62" s="14">
        <f t="shared" ca="1" si="21"/>
        <v>-17.399999999999999</v>
      </c>
      <c r="L62" s="14">
        <f t="shared" ca="1" si="21"/>
        <v>-17.04</v>
      </c>
      <c r="M62" s="14">
        <f t="shared" ca="1" si="21"/>
        <v>-16.7</v>
      </c>
      <c r="N62" s="14">
        <f t="shared" ca="1" si="21"/>
        <v>-16.39</v>
      </c>
      <c r="O62" s="14">
        <f t="shared" ca="1" si="21"/>
        <v>-16.09</v>
      </c>
      <c r="P62" s="14">
        <f t="shared" ca="1" si="21"/>
        <v>-15.82</v>
      </c>
      <c r="Q62" s="14">
        <f t="shared" ca="1" si="21"/>
        <v>-15.56</v>
      </c>
      <c r="R62" s="14">
        <f t="shared" ca="1" si="21"/>
        <v>-14.69</v>
      </c>
      <c r="S62" s="14">
        <f t="shared" ca="1" si="21"/>
        <v>-14</v>
      </c>
      <c r="T62" s="14">
        <f t="shared" ca="1" si="21"/>
        <v>-13.45</v>
      </c>
      <c r="U62" s="14">
        <f t="shared" ca="1" si="21"/>
        <v>-12.99</v>
      </c>
      <c r="V62" s="14">
        <f t="shared" ca="1" si="21"/>
        <v>-12.58</v>
      </c>
      <c r="W62" s="14">
        <f t="shared" ca="1" si="21"/>
        <v>-12.18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1</v>
      </c>
      <c r="C63" s="5">
        <f t="shared" si="19"/>
        <v>0</v>
      </c>
      <c r="D63" s="5">
        <f t="shared" si="19"/>
        <v>0</v>
      </c>
      <c r="E63" s="6" t="str">
        <f t="shared" si="19"/>
        <v>H (Se)</v>
      </c>
      <c r="F63" s="14">
        <f t="shared" ca="1" si="20"/>
        <v>-5.5750000000000002</v>
      </c>
      <c r="G63" s="14">
        <f t="shared" ca="1" si="22"/>
        <v>-5.9269999999999996</v>
      </c>
      <c r="H63" s="14">
        <f t="shared" ca="1" si="22"/>
        <v>-6.3159999999999998</v>
      </c>
      <c r="I63" s="14">
        <f t="shared" ca="1" si="22"/>
        <v>-6.7</v>
      </c>
      <c r="J63" s="14">
        <f t="shared" ca="1" si="22"/>
        <v>-6.7930000000000001</v>
      </c>
      <c r="K63" s="14">
        <f t="shared" ca="1" si="22"/>
        <v>-6.8849999999999998</v>
      </c>
      <c r="L63" s="14">
        <f t="shared" ca="1" si="22"/>
        <v>-6.9749999999999996</v>
      </c>
      <c r="M63" s="14">
        <f t="shared" ca="1" si="22"/>
        <v>-7.0650000000000004</v>
      </c>
      <c r="N63" s="14">
        <f t="shared" ca="1" si="22"/>
        <v>-7.1520000000000001</v>
      </c>
      <c r="O63" s="14">
        <f t="shared" ca="1" si="22"/>
        <v>-7.2389999999999999</v>
      </c>
      <c r="P63" s="14">
        <f t="shared" ca="1" si="22"/>
        <v>-7.3230000000000004</v>
      </c>
      <c r="Q63" s="14">
        <f t="shared" ca="1" si="22"/>
        <v>-7.407</v>
      </c>
      <c r="R63" s="14">
        <f t="shared" ca="1" si="22"/>
        <v>-7.726</v>
      </c>
      <c r="S63" s="14">
        <f t="shared" ca="1" si="22"/>
        <v>-8.0250000000000004</v>
      </c>
      <c r="T63" s="14">
        <f t="shared" ca="1" si="22"/>
        <v>-8.3070000000000004</v>
      </c>
      <c r="U63" s="14">
        <f t="shared" ca="1" si="22"/>
        <v>-8.5820000000000007</v>
      </c>
      <c r="V63" s="14">
        <f t="shared" ca="1" si="22"/>
        <v>-8.8670000000000009</v>
      </c>
      <c r="W63" s="14">
        <f t="shared" ca="1" si="22"/>
        <v>-9.1820000000000004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487.9</v>
      </c>
      <c r="K79" s="3">
        <f t="shared" si="30"/>
        <v>504.4</v>
      </c>
      <c r="L79" s="3">
        <f t="shared" si="30"/>
        <v>520.9</v>
      </c>
      <c r="M79" s="3">
        <f t="shared" si="30"/>
        <v>537.5</v>
      </c>
      <c r="N79" s="3">
        <f t="shared" si="30"/>
        <v>554</v>
      </c>
      <c r="O79" s="3">
        <f t="shared" si="30"/>
        <v>570.5</v>
      </c>
      <c r="P79" s="3">
        <f t="shared" si="30"/>
        <v>587</v>
      </c>
      <c r="Q79" s="3">
        <f t="shared" si="30"/>
        <v>603.5</v>
      </c>
      <c r="R79" s="3">
        <f t="shared" si="30"/>
        <v>669.6</v>
      </c>
      <c r="S79" s="3">
        <f t="shared" si="30"/>
        <v>735.7</v>
      </c>
      <c r="T79" s="3">
        <f t="shared" si="30"/>
        <v>801.8</v>
      </c>
      <c r="U79" s="3">
        <f t="shared" si="30"/>
        <v>867.8</v>
      </c>
      <c r="V79" s="3">
        <f t="shared" si="30"/>
        <v>933.9</v>
      </c>
      <c r="W79" s="3">
        <f t="shared" si="30"/>
        <v>1000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0</v>
      </c>
      <c r="D80" s="5">
        <f t="shared" si="31"/>
        <v>1</v>
      </c>
      <c r="E80" s="6" t="str">
        <f t="shared" si="28"/>
        <v>*GaSe2</v>
      </c>
      <c r="F80" s="14">
        <f t="shared" ref="F80" si="32">F4*$C$78</f>
        <v>0.33333333333333337</v>
      </c>
      <c r="G80" s="14">
        <f t="shared" ref="G80:BR80" si="33">G4*$C$78</f>
        <v>0.33333333333333337</v>
      </c>
      <c r="H80" s="14">
        <f t="shared" si="33"/>
        <v>0.33333333333333337</v>
      </c>
      <c r="I80" s="14">
        <f t="shared" si="33"/>
        <v>0.33333333333333337</v>
      </c>
      <c r="J80" s="14">
        <f t="shared" si="33"/>
        <v>0.33333333333333337</v>
      </c>
      <c r="K80" s="14">
        <f t="shared" si="33"/>
        <v>0.33333333333333337</v>
      </c>
      <c r="L80" s="14">
        <f t="shared" si="33"/>
        <v>0.33333333333333337</v>
      </c>
      <c r="M80" s="14">
        <f t="shared" si="33"/>
        <v>0.33333333333333337</v>
      </c>
      <c r="N80" s="14">
        <f t="shared" si="33"/>
        <v>0.33333333333333337</v>
      </c>
      <c r="O80" s="14">
        <f t="shared" si="33"/>
        <v>0.33333333333333337</v>
      </c>
      <c r="P80" s="14">
        <f t="shared" si="33"/>
        <v>0.33333333333333337</v>
      </c>
      <c r="Q80" s="14">
        <f t="shared" si="33"/>
        <v>0.33333333333333337</v>
      </c>
      <c r="R80" s="14">
        <f t="shared" si="33"/>
        <v>0.33333333333333337</v>
      </c>
      <c r="S80" s="14">
        <f t="shared" si="33"/>
        <v>0.33332916666666668</v>
      </c>
      <c r="T80" s="14">
        <f t="shared" si="33"/>
        <v>0.33331250000000001</v>
      </c>
      <c r="U80" s="14">
        <f t="shared" si="33"/>
        <v>0.33325833333333332</v>
      </c>
      <c r="V80" s="14">
        <f t="shared" si="33"/>
        <v>0.33314166666666667</v>
      </c>
      <c r="W80" s="14">
        <f t="shared" si="33"/>
        <v>0.33292083333333333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1</v>
      </c>
      <c r="C81" s="5">
        <f t="shared" si="34"/>
        <v>1</v>
      </c>
      <c r="D81" s="5">
        <f t="shared" si="34"/>
        <v>0</v>
      </c>
      <c r="E81" s="6" t="str">
        <f t="shared" si="28"/>
        <v>*GeSe[l]</v>
      </c>
      <c r="F81" s="14">
        <f t="shared" ref="F81" si="35">F5*$C$78</f>
        <v>5.200000000000001E-7</v>
      </c>
      <c r="G81" s="14">
        <f t="shared" ref="G81:BR81" si="36">G5*$C$78</f>
        <v>6.0408333333333337E-7</v>
      </c>
      <c r="H81" s="14">
        <f t="shared" si="36"/>
        <v>4.9587500000000004E-7</v>
      </c>
      <c r="I81" s="14">
        <f t="shared" si="36"/>
        <v>4.8737500000000003E-7</v>
      </c>
      <c r="J81" s="14">
        <f t="shared" si="36"/>
        <v>6.0900000000000012E-7</v>
      </c>
      <c r="K81" s="14">
        <f t="shared" si="36"/>
        <v>5.7700000000000004E-7</v>
      </c>
      <c r="L81" s="14">
        <f t="shared" si="36"/>
        <v>5.5391666666666671E-7</v>
      </c>
      <c r="M81" s="14">
        <f t="shared" si="36"/>
        <v>5.3708333333333331E-7</v>
      </c>
      <c r="N81" s="14">
        <f t="shared" si="36"/>
        <v>5.2491666666666665E-7</v>
      </c>
      <c r="O81" s="14">
        <f t="shared" si="36"/>
        <v>5.185833333333333E-7</v>
      </c>
      <c r="P81" s="14">
        <f t="shared" si="36"/>
        <v>5.1070833333333329E-7</v>
      </c>
      <c r="Q81" s="14">
        <f t="shared" si="36"/>
        <v>5.0137500000000003E-7</v>
      </c>
      <c r="R81" s="14">
        <f t="shared" si="36"/>
        <v>4.7958333333333344E-7</v>
      </c>
      <c r="S81" s="14">
        <f t="shared" si="36"/>
        <v>4.8983333333333336E-7</v>
      </c>
      <c r="T81" s="14">
        <f t="shared" si="36"/>
        <v>5.4658333333333328E-7</v>
      </c>
      <c r="U81" s="14">
        <f t="shared" si="36"/>
        <v>5.3824999999999999E-7</v>
      </c>
      <c r="V81" s="14">
        <f t="shared" si="36"/>
        <v>5.7091666666666671E-7</v>
      </c>
      <c r="W81" s="14">
        <f t="shared" si="36"/>
        <v>8.8587500000000001E-7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4</v>
      </c>
      <c r="C82" s="5">
        <f t="shared" si="34"/>
        <v>0</v>
      </c>
      <c r="D82" s="5">
        <f t="shared" si="34"/>
        <v>0</v>
      </c>
      <c r="E82" s="6" t="str">
        <f t="shared" si="28"/>
        <v>Se4</v>
      </c>
      <c r="F82" s="14">
        <f t="shared" ref="F82" si="37">F6*$C$78</f>
        <v>3.5992083333333341E-24</v>
      </c>
      <c r="G82" s="14">
        <f t="shared" ref="G82:BR82" si="38">G6*$C$78</f>
        <v>1.3582500000000001E-18</v>
      </c>
      <c r="H82" s="14">
        <f t="shared" si="38"/>
        <v>5.7366666666666675E-15</v>
      </c>
      <c r="I82" s="14">
        <f t="shared" si="38"/>
        <v>1.9161250000000002E-12</v>
      </c>
      <c r="J82" s="14">
        <f t="shared" si="38"/>
        <v>6.250833333333334E-12</v>
      </c>
      <c r="K82" s="14">
        <f t="shared" si="38"/>
        <v>1.8714166666666667E-11</v>
      </c>
      <c r="L82" s="14">
        <f t="shared" si="38"/>
        <v>5.1862500000000004E-11</v>
      </c>
      <c r="M82" s="14">
        <f t="shared" si="38"/>
        <v>1.3404166666666666E-10</v>
      </c>
      <c r="N82" s="14">
        <f t="shared" si="38"/>
        <v>3.2522500000000003E-10</v>
      </c>
      <c r="O82" s="14">
        <f t="shared" si="38"/>
        <v>7.4508333333333347E-10</v>
      </c>
      <c r="P82" s="14">
        <f t="shared" si="38"/>
        <v>1.62E-9</v>
      </c>
      <c r="Q82" s="14">
        <f t="shared" si="38"/>
        <v>3.3581250000000003E-9</v>
      </c>
      <c r="R82" s="14">
        <f t="shared" si="38"/>
        <v>4.1416249999999999E-8</v>
      </c>
      <c r="S82" s="14">
        <f t="shared" si="38"/>
        <v>3.0648750000000002E-7</v>
      </c>
      <c r="T82" s="14">
        <f t="shared" si="38"/>
        <v>1.5385E-6</v>
      </c>
      <c r="U82" s="14">
        <f t="shared" si="38"/>
        <v>5.5858333333333334E-6</v>
      </c>
      <c r="V82" s="14">
        <f t="shared" si="38"/>
        <v>1.4800416666666666E-5</v>
      </c>
      <c r="W82" s="14">
        <f t="shared" si="38"/>
        <v>2.7770000000000003E-5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5</v>
      </c>
      <c r="C83" s="5">
        <f t="shared" si="34"/>
        <v>0</v>
      </c>
      <c r="D83" s="5">
        <f t="shared" si="34"/>
        <v>0</v>
      </c>
      <c r="E83" s="6" t="str">
        <f t="shared" si="28"/>
        <v>Se5</v>
      </c>
      <c r="F83" s="14">
        <f t="shared" ref="F83" si="39">F7*$C$78</f>
        <v>4.3241666666666669E-21</v>
      </c>
      <c r="G83" s="14">
        <f t="shared" ref="G83:BR83" si="40">G7*$C$78</f>
        <v>5.3391666666666668E-16</v>
      </c>
      <c r="H83" s="14">
        <f t="shared" si="40"/>
        <v>1.0070000000000001E-12</v>
      </c>
      <c r="I83" s="14">
        <f t="shared" si="40"/>
        <v>1.8202916666666667E-10</v>
      </c>
      <c r="J83" s="14">
        <f t="shared" si="40"/>
        <v>5.2054166666666669E-10</v>
      </c>
      <c r="K83" s="14">
        <f t="shared" si="40"/>
        <v>1.3760416666666668E-9</v>
      </c>
      <c r="L83" s="14">
        <f t="shared" si="40"/>
        <v>3.3893750000000002E-9</v>
      </c>
      <c r="M83" s="14">
        <f t="shared" si="40"/>
        <v>7.833333333333334E-9</v>
      </c>
      <c r="N83" s="14">
        <f t="shared" si="40"/>
        <v>1.7090416666666668E-8</v>
      </c>
      <c r="O83" s="14">
        <f t="shared" si="40"/>
        <v>3.538958333333333E-8</v>
      </c>
      <c r="P83" s="14">
        <f t="shared" si="40"/>
        <v>6.9879166666666671E-8</v>
      </c>
      <c r="Q83" s="14">
        <f t="shared" si="40"/>
        <v>1.3213333333333335E-7</v>
      </c>
      <c r="R83" s="14">
        <f t="shared" si="40"/>
        <v>1.1722083333333333E-6</v>
      </c>
      <c r="S83" s="14">
        <f t="shared" si="40"/>
        <v>6.5550000000000008E-6</v>
      </c>
      <c r="T83" s="14">
        <f t="shared" si="40"/>
        <v>2.576291666666667E-5</v>
      </c>
      <c r="U83" s="14">
        <f t="shared" si="40"/>
        <v>7.4745833333333332E-5</v>
      </c>
      <c r="V83" s="14">
        <f t="shared" si="40"/>
        <v>1.582625E-4</v>
      </c>
      <c r="W83" s="14">
        <f t="shared" si="40"/>
        <v>2.3153333333333334E-4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1</v>
      </c>
      <c r="C84" s="5">
        <f t="shared" si="34"/>
        <v>0</v>
      </c>
      <c r="D84" s="5">
        <f t="shared" si="34"/>
        <v>0</v>
      </c>
      <c r="E84" s="6" t="str">
        <f t="shared" si="28"/>
        <v>See</v>
      </c>
      <c r="F84" s="14">
        <f t="shared" ref="F84" si="41">F8*$C$78</f>
        <v>6.9083333333333332E-19</v>
      </c>
      <c r="G84" s="14">
        <f t="shared" ref="G84:BR84" si="42">G8*$C$78</f>
        <v>1.2285000000000001E-14</v>
      </c>
      <c r="H84" s="14">
        <f t="shared" si="42"/>
        <v>5.9250000000000007E-12</v>
      </c>
      <c r="I84" s="14">
        <f t="shared" si="42"/>
        <v>3.8710000000000004E-10</v>
      </c>
      <c r="J84" s="14">
        <f t="shared" si="42"/>
        <v>8.9216666666666674E-10</v>
      </c>
      <c r="K84" s="14">
        <f t="shared" si="42"/>
        <v>1.9248333333333336E-9</v>
      </c>
      <c r="L84" s="14">
        <f t="shared" si="42"/>
        <v>3.9143333333333338E-9</v>
      </c>
      <c r="M84" s="14">
        <f t="shared" si="42"/>
        <v>7.5483333333333334E-9</v>
      </c>
      <c r="N84" s="14">
        <f t="shared" si="42"/>
        <v>1.3873750000000002E-8</v>
      </c>
      <c r="O84" s="14">
        <f t="shared" si="42"/>
        <v>2.4418750000000002E-8</v>
      </c>
      <c r="P84" s="14">
        <f t="shared" si="42"/>
        <v>4.1320416666666667E-8</v>
      </c>
      <c r="Q84" s="14">
        <f t="shared" si="42"/>
        <v>6.7462499999999999E-8</v>
      </c>
      <c r="R84" s="14">
        <f t="shared" si="42"/>
        <v>3.5497500000000004E-7</v>
      </c>
      <c r="S84" s="14">
        <f t="shared" si="42"/>
        <v>1.2799583333333333E-6</v>
      </c>
      <c r="T84" s="14">
        <f t="shared" si="42"/>
        <v>3.4494583333333334E-6</v>
      </c>
      <c r="U84" s="14">
        <f t="shared" si="42"/>
        <v>7.1454166666666678E-6</v>
      </c>
      <c r="V84" s="14">
        <f t="shared" si="42"/>
        <v>1.097375E-5</v>
      </c>
      <c r="W84" s="14">
        <f t="shared" si="42"/>
        <v>1.1507500000000001E-5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Se?</v>
      </c>
      <c r="F85" s="14">
        <f t="shared" ref="F85" si="43">F9*$C$78</f>
        <v>2.4666666666666669E-20</v>
      </c>
      <c r="G85" s="14">
        <f t="shared" ref="G85:BR85" si="44">G9*$C$78</f>
        <v>7.6733333333333341E-16</v>
      </c>
      <c r="H85" s="14">
        <f t="shared" si="44"/>
        <v>5.0795833333333337E-13</v>
      </c>
      <c r="I85" s="14">
        <f t="shared" si="44"/>
        <v>4.0140416666666671E-11</v>
      </c>
      <c r="J85" s="14">
        <f t="shared" si="44"/>
        <v>9.5804166666666676E-11</v>
      </c>
      <c r="K85" s="14">
        <f t="shared" si="44"/>
        <v>2.1322916666666667E-10</v>
      </c>
      <c r="L85" s="14">
        <f t="shared" si="44"/>
        <v>4.458333333333334E-10</v>
      </c>
      <c r="M85" s="14">
        <f t="shared" si="44"/>
        <v>8.8125000000000003E-10</v>
      </c>
      <c r="N85" s="14">
        <f t="shared" si="44"/>
        <v>1.6559583333333335E-9</v>
      </c>
      <c r="O85" s="14">
        <f t="shared" si="44"/>
        <v>2.9727083333333335E-9</v>
      </c>
      <c r="P85" s="14">
        <f t="shared" si="44"/>
        <v>5.1195833333333331E-9</v>
      </c>
      <c r="Q85" s="14">
        <f t="shared" si="44"/>
        <v>8.4916666666666683E-9</v>
      </c>
      <c r="R85" s="14">
        <f t="shared" si="44"/>
        <v>4.6858333333333338E-8</v>
      </c>
      <c r="S85" s="14">
        <f t="shared" si="44"/>
        <v>1.7385000000000001E-7</v>
      </c>
      <c r="T85" s="14">
        <f t="shared" si="44"/>
        <v>4.7458333333333332E-7</v>
      </c>
      <c r="U85" s="14">
        <f t="shared" si="44"/>
        <v>9.7695833333333337E-7</v>
      </c>
      <c r="V85" s="14">
        <f t="shared" si="44"/>
        <v>1.4452916666666666E-6</v>
      </c>
      <c r="W85" s="14">
        <f t="shared" si="44"/>
        <v>1.3897083333333334E-6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3</v>
      </c>
      <c r="C86" s="5">
        <f t="shared" si="34"/>
        <v>0</v>
      </c>
      <c r="D86" s="5">
        <f t="shared" si="34"/>
        <v>0</v>
      </c>
      <c r="E86" s="6" t="str">
        <f t="shared" si="28"/>
        <v>Se3</v>
      </c>
      <c r="F86" s="14">
        <f t="shared" ref="F86" si="45">F10*$C$78</f>
        <v>8.2200000000000008E-26</v>
      </c>
      <c r="G86" s="14">
        <f t="shared" ref="G86:BR86" si="46">G10*$C$78</f>
        <v>1.244375E-19</v>
      </c>
      <c r="H86" s="14">
        <f t="shared" si="46"/>
        <v>1.4284166666666669E-15</v>
      </c>
      <c r="I86" s="14">
        <f t="shared" si="46"/>
        <v>1.0190833333333334E-12</v>
      </c>
      <c r="J86" s="14">
        <f t="shared" si="46"/>
        <v>3.9105416666666668E-12</v>
      </c>
      <c r="K86" s="14">
        <f t="shared" si="46"/>
        <v>1.3647500000000001E-11</v>
      </c>
      <c r="L86" s="14">
        <f t="shared" si="46"/>
        <v>4.3725000000000003E-11</v>
      </c>
      <c r="M86" s="14">
        <f t="shared" si="46"/>
        <v>1.2966250000000002E-10</v>
      </c>
      <c r="N86" s="14">
        <f t="shared" si="46"/>
        <v>3.5844999999999999E-10</v>
      </c>
      <c r="O86" s="14">
        <f t="shared" si="46"/>
        <v>9.2966666666666677E-10</v>
      </c>
      <c r="P86" s="14">
        <f t="shared" si="46"/>
        <v>2.2747083333333337E-9</v>
      </c>
      <c r="Q86" s="14">
        <f t="shared" si="46"/>
        <v>5.277083333333333E-9</v>
      </c>
      <c r="R86" s="14">
        <f t="shared" si="46"/>
        <v>9.7354166666666684E-8</v>
      </c>
      <c r="S86" s="14">
        <f t="shared" si="46"/>
        <v>1.0132083333333335E-6</v>
      </c>
      <c r="T86" s="14">
        <f t="shared" si="46"/>
        <v>6.8387500000000004E-6</v>
      </c>
      <c r="U86" s="14">
        <f t="shared" si="46"/>
        <v>3.2466666666666665E-5</v>
      </c>
      <c r="V86" s="14">
        <f t="shared" si="46"/>
        <v>1.118375E-4</v>
      </c>
      <c r="W86" s="14">
        <f t="shared" si="46"/>
        <v>2.7821250000000002E-4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2</v>
      </c>
      <c r="C87" s="5">
        <f t="shared" si="34"/>
        <v>0</v>
      </c>
      <c r="D87" s="5">
        <f t="shared" si="34"/>
        <v>0</v>
      </c>
      <c r="E87" s="6" t="str">
        <f t="shared" si="28"/>
        <v>Se2</v>
      </c>
      <c r="F87" s="14">
        <f t="shared" ref="F87" si="47">F11*$C$78</f>
        <v>2.7500416666666668E-20</v>
      </c>
      <c r="G87" s="14">
        <f t="shared" ref="G87:BR87" si="48">G11*$C$78</f>
        <v>3.2478749999999999E-15</v>
      </c>
      <c r="H87" s="14">
        <f t="shared" si="48"/>
        <v>7.3808333333333342E-12</v>
      </c>
      <c r="I87" s="14">
        <f t="shared" si="48"/>
        <v>1.7492916666666667E-9</v>
      </c>
      <c r="J87" s="14">
        <f t="shared" si="48"/>
        <v>5.3812499999999998E-9</v>
      </c>
      <c r="K87" s="14">
        <f t="shared" si="48"/>
        <v>1.5315833333333335E-8</v>
      </c>
      <c r="L87" s="14">
        <f t="shared" si="48"/>
        <v>4.0637916666666667E-8</v>
      </c>
      <c r="M87" s="14">
        <f t="shared" si="48"/>
        <v>1.0118750000000001E-7</v>
      </c>
      <c r="N87" s="14">
        <f t="shared" si="48"/>
        <v>2.3783750000000003E-7</v>
      </c>
      <c r="O87" s="14">
        <f t="shared" si="48"/>
        <v>5.3041666666666674E-7</v>
      </c>
      <c r="P87" s="14">
        <f t="shared" si="48"/>
        <v>1.1274583333333335E-6</v>
      </c>
      <c r="Q87" s="14">
        <f t="shared" si="48"/>
        <v>2.2935000000000001E-6</v>
      </c>
      <c r="R87" s="14">
        <f t="shared" si="48"/>
        <v>2.7048333333333333E-5</v>
      </c>
      <c r="S87" s="14">
        <f t="shared" si="48"/>
        <v>1.9854583333333336E-4</v>
      </c>
      <c r="T87" s="14">
        <f t="shared" si="48"/>
        <v>1.0181666666666668E-3</v>
      </c>
      <c r="U87" s="14">
        <f t="shared" si="48"/>
        <v>3.9142500000000002E-3</v>
      </c>
      <c r="V87" s="14">
        <f t="shared" si="48"/>
        <v>1.1661666666666667E-2</v>
      </c>
      <c r="W87" s="14">
        <f t="shared" si="48"/>
        <v>2.7098750000000005E-2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>
        <f t="shared" ref="F88" si="49">F12*$C$78</f>
        <v>0.83333333333333348</v>
      </c>
      <c r="G88" s="14">
        <f t="shared" ref="G88:BR88" si="50">G12*$C$78</f>
        <v>0.83333333333333348</v>
      </c>
      <c r="H88" s="14">
        <f t="shared" si="50"/>
        <v>0.83333333333333348</v>
      </c>
      <c r="I88" s="14">
        <f t="shared" si="50"/>
        <v>0.83333333333333348</v>
      </c>
      <c r="J88" s="14">
        <f t="shared" si="50"/>
        <v>0.83333333333333348</v>
      </c>
      <c r="K88" s="14">
        <f t="shared" si="50"/>
        <v>0.83333333333333348</v>
      </c>
      <c r="L88" s="14">
        <f t="shared" si="50"/>
        <v>0.83333333333333348</v>
      </c>
      <c r="M88" s="14">
        <f t="shared" si="50"/>
        <v>0.83333333333333348</v>
      </c>
      <c r="N88" s="14">
        <f t="shared" si="50"/>
        <v>0.83333333333333348</v>
      </c>
      <c r="O88" s="14">
        <f t="shared" si="50"/>
        <v>0.83333333333333348</v>
      </c>
      <c r="P88" s="14">
        <f t="shared" si="50"/>
        <v>0.83333333333333348</v>
      </c>
      <c r="Q88" s="14">
        <f t="shared" si="50"/>
        <v>0.83333333333333348</v>
      </c>
      <c r="R88" s="14">
        <f t="shared" si="50"/>
        <v>0.83333333333333348</v>
      </c>
      <c r="S88" s="14">
        <f t="shared" si="50"/>
        <v>0.83333333333333348</v>
      </c>
      <c r="T88" s="14">
        <f t="shared" si="50"/>
        <v>0.83333333333333348</v>
      </c>
      <c r="U88" s="14">
        <f t="shared" si="50"/>
        <v>0.83333333333333348</v>
      </c>
      <c r="V88" s="14">
        <f t="shared" si="50"/>
        <v>0.83333333333333348</v>
      </c>
      <c r="W88" s="14">
        <f t="shared" si="50"/>
        <v>0.83333333333333348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2</v>
      </c>
      <c r="E89" s="6" t="str">
        <f t="shared" si="28"/>
        <v>Ga2Se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7.0970833333333342E-30</v>
      </c>
      <c r="I89" s="14">
        <f t="shared" si="52"/>
        <v>8.1787500000000001E-24</v>
      </c>
      <c r="J89" s="14">
        <f t="shared" si="52"/>
        <v>1.4727499999999999E-22</v>
      </c>
      <c r="K89" s="14">
        <f t="shared" si="52"/>
        <v>2.1830000000000001E-21</v>
      </c>
      <c r="L89" s="14">
        <f t="shared" si="52"/>
        <v>2.7104166666666669E-20</v>
      </c>
      <c r="M89" s="14">
        <f t="shared" si="52"/>
        <v>2.8621666666666667E-19</v>
      </c>
      <c r="N89" s="14">
        <f t="shared" si="52"/>
        <v>2.6054166666666668E-18</v>
      </c>
      <c r="O89" s="14">
        <f t="shared" si="52"/>
        <v>2.0688750000000003E-17</v>
      </c>
      <c r="P89" s="14">
        <f t="shared" si="52"/>
        <v>1.4482500000000002E-16</v>
      </c>
      <c r="Q89" s="14">
        <f t="shared" si="52"/>
        <v>9.0212500000000004E-16</v>
      </c>
      <c r="R89" s="14">
        <f t="shared" si="52"/>
        <v>4.9374999999999999E-13</v>
      </c>
      <c r="S89" s="14">
        <f t="shared" si="52"/>
        <v>7.1479166666666672E-11</v>
      </c>
      <c r="T89" s="14">
        <f t="shared" si="52"/>
        <v>3.6489583333333335E-9</v>
      </c>
      <c r="U89" s="14">
        <f t="shared" si="52"/>
        <v>8.152500000000001E-8</v>
      </c>
      <c r="V89" s="14">
        <f t="shared" si="52"/>
        <v>9.5875000000000014E-7</v>
      </c>
      <c r="W89" s="14">
        <f t="shared" si="52"/>
        <v>6.9891666666666674E-6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(l)Ga[l]</v>
      </c>
      <c r="F90" s="14">
        <f t="shared" ref="F90" si="53">F14*$C$78</f>
        <v>2.2491250000000001E-21</v>
      </c>
      <c r="G90" s="14">
        <f t="shared" ref="G90:BR90" si="54">G14*$C$78</f>
        <v>1.1581666666666668E-16</v>
      </c>
      <c r="H90" s="14">
        <f t="shared" si="54"/>
        <v>1.9585416666666667E-13</v>
      </c>
      <c r="I90" s="14">
        <f t="shared" si="54"/>
        <v>4.3408333333333336E-11</v>
      </c>
      <c r="J90" s="14">
        <f t="shared" si="54"/>
        <v>1.33575E-10</v>
      </c>
      <c r="K90" s="14">
        <f t="shared" si="54"/>
        <v>3.8171250000000004E-10</v>
      </c>
      <c r="L90" s="14">
        <f t="shared" si="54"/>
        <v>1.0194166666666667E-9</v>
      </c>
      <c r="M90" s="14">
        <f t="shared" si="54"/>
        <v>2.5588333333333336E-9</v>
      </c>
      <c r="N90" s="14">
        <f t="shared" si="54"/>
        <v>6.0662499999999998E-9</v>
      </c>
      <c r="O90" s="14">
        <f t="shared" si="54"/>
        <v>1.3642916666666668E-8</v>
      </c>
      <c r="P90" s="14">
        <f t="shared" si="54"/>
        <v>2.9220833333333333E-8</v>
      </c>
      <c r="Q90" s="14">
        <f t="shared" si="54"/>
        <v>5.9808333333333344E-8</v>
      </c>
      <c r="R90" s="14">
        <f t="shared" si="54"/>
        <v>7.0633333333333342E-7</v>
      </c>
      <c r="S90" s="14">
        <f t="shared" si="54"/>
        <v>4.9266666666666672E-6</v>
      </c>
      <c r="T90" s="14">
        <f t="shared" si="54"/>
        <v>2.2617916666666669E-5</v>
      </c>
      <c r="U90" s="14">
        <f t="shared" si="54"/>
        <v>7.4308333333333328E-5</v>
      </c>
      <c r="V90" s="14">
        <f t="shared" si="54"/>
        <v>1.8856250000000001E-4</v>
      </c>
      <c r="W90" s="14">
        <f t="shared" si="54"/>
        <v>3.9757083333333336E-4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(1)Ge[l]</v>
      </c>
      <c r="F91" s="14">
        <f t="shared" ref="F91" si="55">F15*$C$78</f>
        <v>1.9707916666666668E-16</v>
      </c>
      <c r="G91" s="14">
        <f t="shared" ref="G91:BR91" si="56">G15*$C$78</f>
        <v>4.1160000000000003E-13</v>
      </c>
      <c r="H91" s="14">
        <f t="shared" si="56"/>
        <v>7.2025000000000005E-11</v>
      </c>
      <c r="I91" s="14">
        <f t="shared" si="56"/>
        <v>2.9762916666666669E-9</v>
      </c>
      <c r="J91" s="14">
        <f t="shared" si="56"/>
        <v>6.4479166666666677E-9</v>
      </c>
      <c r="K91" s="14">
        <f t="shared" si="56"/>
        <v>1.3278750000000001E-8</v>
      </c>
      <c r="L91" s="14">
        <f t="shared" si="56"/>
        <v>2.6120000000000002E-8</v>
      </c>
      <c r="M91" s="14">
        <f t="shared" si="56"/>
        <v>4.9283333333333335E-8</v>
      </c>
      <c r="N91" s="14">
        <f t="shared" si="56"/>
        <v>8.9525000000000016E-8</v>
      </c>
      <c r="O91" s="14">
        <f t="shared" si="56"/>
        <v>1.5707916666666667E-7</v>
      </c>
      <c r="P91" s="14">
        <f t="shared" si="56"/>
        <v>2.6699583333333337E-7</v>
      </c>
      <c r="Q91" s="14">
        <f t="shared" si="56"/>
        <v>4.4075000000000003E-7</v>
      </c>
      <c r="R91" s="14">
        <f t="shared" si="56"/>
        <v>2.5527500000000003E-6</v>
      </c>
      <c r="S91" s="14">
        <f t="shared" si="56"/>
        <v>1.0765833333333335E-5</v>
      </c>
      <c r="T91" s="14">
        <f t="shared" si="56"/>
        <v>3.5848333333333334E-5</v>
      </c>
      <c r="U91" s="14">
        <f t="shared" si="56"/>
        <v>1.0024166666666667E-4</v>
      </c>
      <c r="V91" s="14">
        <f t="shared" si="56"/>
        <v>2.4837500000000001E-4</v>
      </c>
      <c r="W91" s="14">
        <f t="shared" si="56"/>
        <v>5.72625E-4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(1)se[l]</v>
      </c>
      <c r="F92" s="14">
        <f t="shared" ref="F92" si="57">F16*$C$78</f>
        <v>0.33333333333333337</v>
      </c>
      <c r="G92" s="14">
        <f t="shared" ref="G92:BR92" si="58">G16*$C$78</f>
        <v>0.33333333333333337</v>
      </c>
      <c r="H92" s="14">
        <f t="shared" si="58"/>
        <v>0.33333333333333337</v>
      </c>
      <c r="I92" s="14">
        <f t="shared" si="58"/>
        <v>0.33333333333333337</v>
      </c>
      <c r="J92" s="14">
        <f t="shared" si="58"/>
        <v>0.33333333333333337</v>
      </c>
      <c r="K92" s="14">
        <f t="shared" si="58"/>
        <v>0.33333333333333337</v>
      </c>
      <c r="L92" s="14">
        <f t="shared" si="58"/>
        <v>0.33333333333333337</v>
      </c>
      <c r="M92" s="14">
        <f t="shared" si="58"/>
        <v>0.33333333333333337</v>
      </c>
      <c r="N92" s="14">
        <f t="shared" si="58"/>
        <v>0.33333333333333337</v>
      </c>
      <c r="O92" s="14">
        <f t="shared" si="58"/>
        <v>0.33333333333333337</v>
      </c>
      <c r="P92" s="14">
        <f t="shared" si="58"/>
        <v>0.33332916666666668</v>
      </c>
      <c r="Q92" s="14">
        <f t="shared" si="58"/>
        <v>0.33332916666666668</v>
      </c>
      <c r="R92" s="14">
        <f t="shared" si="58"/>
        <v>0.33327500000000004</v>
      </c>
      <c r="S92" s="14">
        <f t="shared" si="58"/>
        <v>0.3329125</v>
      </c>
      <c r="T92" s="14">
        <f t="shared" si="58"/>
        <v>0.33120000000000005</v>
      </c>
      <c r="U92" s="14">
        <f t="shared" si="58"/>
        <v>0.32521250000000002</v>
      </c>
      <c r="V92" s="14">
        <f t="shared" si="58"/>
        <v>0.30937500000000001</v>
      </c>
      <c r="W92" s="14">
        <f t="shared" si="58"/>
        <v>0.27834166666666671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1</v>
      </c>
      <c r="D93" s="5">
        <f t="shared" si="34"/>
        <v>0</v>
      </c>
      <c r="E93" s="6" t="str">
        <f t="shared" si="28"/>
        <v>(1)GeSe[l]</v>
      </c>
      <c r="F93" s="14">
        <f t="shared" ref="F93" si="59">F17*$C$78</f>
        <v>1</v>
      </c>
      <c r="G93" s="14">
        <f t="shared" ref="G93:BR93" si="60">G17*$C$78</f>
        <v>1</v>
      </c>
      <c r="H93" s="14">
        <f t="shared" si="60"/>
        <v>1</v>
      </c>
      <c r="I93" s="14">
        <f t="shared" si="60"/>
        <v>1</v>
      </c>
      <c r="J93" s="14">
        <f t="shared" si="60"/>
        <v>1</v>
      </c>
      <c r="K93" s="14">
        <f t="shared" si="60"/>
        <v>1</v>
      </c>
      <c r="L93" s="14">
        <f t="shared" si="60"/>
        <v>1</v>
      </c>
      <c r="M93" s="14">
        <f t="shared" si="60"/>
        <v>1</v>
      </c>
      <c r="N93" s="14">
        <f t="shared" si="60"/>
        <v>1</v>
      </c>
      <c r="O93" s="14">
        <f t="shared" si="60"/>
        <v>1</v>
      </c>
      <c r="P93" s="14">
        <f t="shared" si="60"/>
        <v>1</v>
      </c>
      <c r="Q93" s="14">
        <f t="shared" si="60"/>
        <v>1</v>
      </c>
      <c r="R93" s="14">
        <f t="shared" si="60"/>
        <v>1</v>
      </c>
      <c r="S93" s="14">
        <f t="shared" si="60"/>
        <v>1</v>
      </c>
      <c r="T93" s="14">
        <f t="shared" si="60"/>
        <v>0.99995833333333339</v>
      </c>
      <c r="U93" s="14">
        <f t="shared" si="60"/>
        <v>0.99991666666666679</v>
      </c>
      <c r="V93" s="14">
        <f t="shared" si="60"/>
        <v>0.99975000000000003</v>
      </c>
      <c r="W93" s="14">
        <f t="shared" si="60"/>
        <v>0.99941666666666673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H (Ar)</v>
      </c>
      <c r="F94" s="14">
        <f t="shared" ref="F94" si="61">F18*$C$78</f>
        <v>-77.583333333333343</v>
      </c>
      <c r="G94" s="14">
        <f t="shared" ref="G94:BR94" si="62">G18*$C$78</f>
        <v>-77.625</v>
      </c>
      <c r="H94" s="14">
        <f t="shared" si="62"/>
        <v>-78</v>
      </c>
      <c r="I94" s="14">
        <f t="shared" si="62"/>
        <v>-78.5</v>
      </c>
      <c r="J94" s="14">
        <f t="shared" si="62"/>
        <v>-78.625000000000014</v>
      </c>
      <c r="K94" s="14">
        <f t="shared" si="62"/>
        <v>-78.75</v>
      </c>
      <c r="L94" s="14">
        <f t="shared" si="62"/>
        <v>-78.916666666666671</v>
      </c>
      <c r="M94" s="14">
        <f t="shared" si="62"/>
        <v>-79.041666666666671</v>
      </c>
      <c r="N94" s="14">
        <f t="shared" si="62"/>
        <v>-79.208333333333343</v>
      </c>
      <c r="O94" s="14">
        <f t="shared" si="62"/>
        <v>-79.333333333333329</v>
      </c>
      <c r="P94" s="14">
        <f t="shared" si="62"/>
        <v>-79.458333333333343</v>
      </c>
      <c r="Q94" s="14">
        <f t="shared" si="62"/>
        <v>-79.625</v>
      </c>
      <c r="R94" s="14">
        <f t="shared" si="62"/>
        <v>-80.208333333333343</v>
      </c>
      <c r="S94" s="14">
        <f t="shared" si="62"/>
        <v>-80.75</v>
      </c>
      <c r="T94" s="14">
        <f t="shared" si="62"/>
        <v>-81.333333333333343</v>
      </c>
      <c r="U94" s="14">
        <f t="shared" si="62"/>
        <v>-81.875</v>
      </c>
      <c r="V94" s="14">
        <f t="shared" si="62"/>
        <v>-82.416666666666671</v>
      </c>
      <c r="W94" s="14">
        <f t="shared" si="62"/>
        <v>-82.958333333333343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H (Ga)</v>
      </c>
      <c r="F95" s="14">
        <f t="shared" ref="F95" si="63">F19*$C$78</f>
        <v>-218.75000000000003</v>
      </c>
      <c r="G95" s="14">
        <f t="shared" ref="G95:BR95" si="64">G19*$C$78</f>
        <v>-175.58333333333334</v>
      </c>
      <c r="H95" s="14">
        <f t="shared" si="64"/>
        <v>-146.45833333333334</v>
      </c>
      <c r="I95" s="14">
        <f t="shared" si="64"/>
        <v>-125.58333333333334</v>
      </c>
      <c r="J95" s="14">
        <f t="shared" si="64"/>
        <v>-121.29166666666667</v>
      </c>
      <c r="K95" s="14">
        <f t="shared" si="64"/>
        <v>-117.29166666666667</v>
      </c>
      <c r="L95" s="14">
        <f t="shared" si="64"/>
        <v>-113.54166666666667</v>
      </c>
      <c r="M95" s="14">
        <f t="shared" si="64"/>
        <v>-110.08333333333334</v>
      </c>
      <c r="N95" s="14">
        <f t="shared" si="64"/>
        <v>-106.83333333333334</v>
      </c>
      <c r="O95" s="14">
        <f t="shared" si="64"/>
        <v>-103.79166666666667</v>
      </c>
      <c r="P95" s="14">
        <f t="shared" si="64"/>
        <v>-100.91666666666667</v>
      </c>
      <c r="Q95" s="14">
        <f t="shared" si="64"/>
        <v>-98.291666666666671</v>
      </c>
      <c r="R95" s="14">
        <f t="shared" si="64"/>
        <v>-89.208333333333343</v>
      </c>
      <c r="S95" s="14">
        <f t="shared" si="64"/>
        <v>-82.208333333333343</v>
      </c>
      <c r="T95" s="14">
        <f t="shared" si="64"/>
        <v>-76.875</v>
      </c>
      <c r="U95" s="14">
        <f t="shared" si="64"/>
        <v>-72.875</v>
      </c>
      <c r="V95" s="14">
        <f t="shared" si="64"/>
        <v>-69.833333333333343</v>
      </c>
      <c r="W95" s="14">
        <f t="shared" si="64"/>
        <v>-67.458333333333343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1</v>
      </c>
      <c r="D96" s="5">
        <f t="shared" si="34"/>
        <v>0</v>
      </c>
      <c r="E96" s="6" t="str">
        <f t="shared" si="28"/>
        <v>H (Ge)</v>
      </c>
      <c r="F96" s="14">
        <f t="shared" ref="F96" si="65">F20*$C$78</f>
        <v>-116.20833333333334</v>
      </c>
      <c r="G96" s="14">
        <f t="shared" ref="G96:BR96" si="66">G20*$C$78</f>
        <v>-97.083333333333343</v>
      </c>
      <c r="H96" s="14">
        <f t="shared" si="66"/>
        <v>-84.583333333333343</v>
      </c>
      <c r="I96" s="14">
        <f t="shared" si="66"/>
        <v>-75.916666666666671</v>
      </c>
      <c r="J96" s="14">
        <f t="shared" si="66"/>
        <v>-74.166666666666671</v>
      </c>
      <c r="K96" s="14">
        <f t="shared" si="66"/>
        <v>-72.5</v>
      </c>
      <c r="L96" s="14">
        <f t="shared" si="66"/>
        <v>-71</v>
      </c>
      <c r="M96" s="14">
        <f t="shared" si="66"/>
        <v>-69.583333333333329</v>
      </c>
      <c r="N96" s="14">
        <f t="shared" si="66"/>
        <v>-68.291666666666671</v>
      </c>
      <c r="O96" s="14">
        <f t="shared" si="66"/>
        <v>-67.041666666666671</v>
      </c>
      <c r="P96" s="14">
        <f t="shared" si="66"/>
        <v>-65.916666666666671</v>
      </c>
      <c r="Q96" s="14">
        <f t="shared" si="66"/>
        <v>-64.833333333333343</v>
      </c>
      <c r="R96" s="14">
        <f t="shared" si="66"/>
        <v>-61.208333333333336</v>
      </c>
      <c r="S96" s="14">
        <f t="shared" si="66"/>
        <v>-58.333333333333336</v>
      </c>
      <c r="T96" s="14">
        <f t="shared" si="66"/>
        <v>-56.041666666666664</v>
      </c>
      <c r="U96" s="14">
        <f t="shared" si="66"/>
        <v>-54.125000000000007</v>
      </c>
      <c r="V96" s="14">
        <f t="shared" si="66"/>
        <v>-52.416666666666671</v>
      </c>
      <c r="W96" s="14">
        <f t="shared" si="66"/>
        <v>-50.75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1</v>
      </c>
      <c r="C97" s="5">
        <f t="shared" si="67"/>
        <v>0</v>
      </c>
      <c r="D97" s="5">
        <f t="shared" si="67"/>
        <v>0</v>
      </c>
      <c r="E97" s="6" t="str">
        <f t="shared" si="28"/>
        <v>H (Se)</v>
      </c>
      <c r="F97" s="14">
        <f t="shared" ref="F97" si="68">F21*$C$78</f>
        <v>-23.229166666666668</v>
      </c>
      <c r="G97" s="14">
        <f t="shared" ref="G97:BR97" si="69">G21*$C$78</f>
        <v>-24.695833333333333</v>
      </c>
      <c r="H97" s="14">
        <f t="shared" si="69"/>
        <v>-26.316666666666666</v>
      </c>
      <c r="I97" s="14">
        <f t="shared" si="69"/>
        <v>-27.916666666666668</v>
      </c>
      <c r="J97" s="14">
        <f t="shared" si="69"/>
        <v>-28.304166666666671</v>
      </c>
      <c r="K97" s="14">
        <f t="shared" si="69"/>
        <v>-28.6875</v>
      </c>
      <c r="L97" s="14">
        <f t="shared" si="69"/>
        <v>-29.0625</v>
      </c>
      <c r="M97" s="14">
        <f t="shared" si="69"/>
        <v>-29.437500000000004</v>
      </c>
      <c r="N97" s="14">
        <f t="shared" si="69"/>
        <v>-29.800000000000004</v>
      </c>
      <c r="O97" s="14">
        <f t="shared" si="69"/>
        <v>-30.162500000000001</v>
      </c>
      <c r="P97" s="14">
        <f t="shared" si="69"/>
        <v>-30.512500000000003</v>
      </c>
      <c r="Q97" s="14">
        <f t="shared" si="69"/>
        <v>-30.862500000000001</v>
      </c>
      <c r="R97" s="14">
        <f t="shared" si="69"/>
        <v>-32.19166666666667</v>
      </c>
      <c r="S97" s="14">
        <f t="shared" si="69"/>
        <v>-33.437500000000007</v>
      </c>
      <c r="T97" s="14">
        <f t="shared" si="69"/>
        <v>-34.612500000000004</v>
      </c>
      <c r="U97" s="14">
        <f t="shared" si="69"/>
        <v>-35.75833333333334</v>
      </c>
      <c r="V97" s="14">
        <f t="shared" si="69"/>
        <v>-36.94583333333334</v>
      </c>
      <c r="W97" s="14">
        <f t="shared" si="69"/>
        <v>-38.25833333333334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58"/>
      <c r="B113" s="158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487.9</v>
      </c>
      <c r="K113" s="4">
        <f t="shared" si="92"/>
        <v>504.4</v>
      </c>
      <c r="L113" s="4">
        <f t="shared" si="92"/>
        <v>520.9</v>
      </c>
      <c r="M113" s="4">
        <f t="shared" si="92"/>
        <v>537.5</v>
      </c>
      <c r="N113" s="4">
        <f t="shared" si="92"/>
        <v>554</v>
      </c>
      <c r="O113" s="4">
        <f t="shared" si="92"/>
        <v>570.5</v>
      </c>
      <c r="P113" s="4">
        <f t="shared" si="92"/>
        <v>587</v>
      </c>
      <c r="Q113" s="4">
        <f t="shared" si="92"/>
        <v>603.5</v>
      </c>
      <c r="R113" s="4">
        <f t="shared" si="92"/>
        <v>669.6</v>
      </c>
      <c r="S113" s="4">
        <f t="shared" si="92"/>
        <v>735.7</v>
      </c>
      <c r="T113" s="4">
        <f t="shared" si="92"/>
        <v>801.8</v>
      </c>
      <c r="U113" s="4">
        <f t="shared" si="92"/>
        <v>867.8</v>
      </c>
      <c r="V113" s="4">
        <f t="shared" si="92"/>
        <v>933.9</v>
      </c>
      <c r="W113" s="4">
        <f t="shared" si="92"/>
        <v>1000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-1.2481201622721547E-14</v>
      </c>
      <c r="G114" s="46">
        <f t="shared" ref="G114:AL114" ca="1" si="93">G$113*$B$2*SUMPRODUCT(G$90:G$92,G$56:G$58)/1000</f>
        <v>-2.7061023943107197E-11</v>
      </c>
      <c r="H114" s="46">
        <f t="shared" ca="1" si="93"/>
        <v>-4.9503066819848812E-9</v>
      </c>
      <c r="I114" s="46">
        <f t="shared" ca="1" si="93"/>
        <v>-2.1767228577064841E-7</v>
      </c>
      <c r="J114" s="46">
        <f t="shared" ca="1" si="93"/>
        <v>-4.8136665475319315E-7</v>
      </c>
      <c r="K114" s="46">
        <f t="shared" ca="1" si="93"/>
        <v>-1.0140499597288174E-6</v>
      </c>
      <c r="L114" s="46">
        <f t="shared" ca="1" si="93"/>
        <v>-2.0479844684588243E-6</v>
      </c>
      <c r="M114" s="46">
        <f t="shared" ca="1" si="93"/>
        <v>-3.9802914429835636E-6</v>
      </c>
      <c r="N114" s="46">
        <f t="shared" ca="1" si="93"/>
        <v>-7.4752408852422014E-6</v>
      </c>
      <c r="O114" s="46">
        <f t="shared" ca="1" si="93"/>
        <v>-1.3600571971612655E-5</v>
      </c>
      <c r="P114" s="46">
        <f t="shared" ca="1" si="93"/>
        <v>-2.4069236688364003E-5</v>
      </c>
      <c r="Q114" s="46">
        <f t="shared" ca="1" si="93"/>
        <v>-4.1491936403161452E-5</v>
      </c>
      <c r="R114" s="46">
        <f t="shared" ca="1" si="93"/>
        <v>-2.9296990570056302E-4</v>
      </c>
      <c r="S114" s="46">
        <f t="shared" ca="1" si="93"/>
        <v>-1.5165504604807204E-3</v>
      </c>
      <c r="T114" s="46">
        <f t="shared" ca="1" si="93"/>
        <v>-5.996313849796606E-3</v>
      </c>
      <c r="U114" s="46">
        <f t="shared" ca="1" si="93"/>
        <v>-1.8772769918995201E-2</v>
      </c>
      <c r="V114" s="46">
        <f t="shared" ca="1" si="93"/>
        <v>-4.880142082869076E-2</v>
      </c>
      <c r="W114" s="46">
        <f t="shared" ca="1" si="93"/>
        <v>-0.1115077906630625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18</v>
      </c>
      <c r="E115" s="17" t="s">
        <v>13</v>
      </c>
      <c r="F115" s="14">
        <f ca="1">F$113*$B$2*SUMPRODUCT(F$80:F$88,F$46:F$54)/1000</f>
        <v>-83.410050344092411</v>
      </c>
      <c r="G115" s="14">
        <f t="shared" ref="G115:AL115" ca="1" si="94">G$113*$B$2*SUMPRODUCT(G$80:G$88,G$46:G$54)/1000</f>
        <v>-94.544242596748575</v>
      </c>
      <c r="H115" s="14">
        <f t="shared" ca="1" si="94"/>
        <v>-106.24295994566585</v>
      </c>
      <c r="I115" s="14">
        <f t="shared" ca="1" si="94"/>
        <v>-118.41985719456945</v>
      </c>
      <c r="J115" s="14">
        <f t="shared" ca="1" si="94"/>
        <v>-121.524961937811</v>
      </c>
      <c r="K115" s="14">
        <f t="shared" ca="1" si="94"/>
        <v>-124.65477989608307</v>
      </c>
      <c r="L115" s="14">
        <f t="shared" ca="1" si="94"/>
        <v>-127.83742441424967</v>
      </c>
      <c r="M115" s="14">
        <f t="shared" ca="1" si="94"/>
        <v>-131.05477293241688</v>
      </c>
      <c r="N115" s="14">
        <f t="shared" ca="1" si="94"/>
        <v>-134.30094075646667</v>
      </c>
      <c r="O115" s="14">
        <f t="shared" ca="1" si="94"/>
        <v>-137.54037258820969</v>
      </c>
      <c r="P115" s="14">
        <f t="shared" ca="1" si="94"/>
        <v>-140.79115284132018</v>
      </c>
      <c r="Q115" s="14">
        <f t="shared" ca="1" si="94"/>
        <v>-144.14327367498441</v>
      </c>
      <c r="R115" s="14">
        <f t="shared" ca="1" si="94"/>
        <v>-157.72124447079344</v>
      </c>
      <c r="S115" s="14">
        <f t="shared" ca="1" si="94"/>
        <v>-171.76487891339301</v>
      </c>
      <c r="T115" s="14">
        <f t="shared" ca="1" si="94"/>
        <v>-186.47844085831701</v>
      </c>
      <c r="U115" s="14">
        <f t="shared" ca="1" si="94"/>
        <v>-201.99466411637695</v>
      </c>
      <c r="V115" s="14">
        <f t="shared" ca="1" si="94"/>
        <v>-218.90969746503205</v>
      </c>
      <c r="W115" s="14">
        <f t="shared" ca="1" si="94"/>
        <v>-237.898674537895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-83.410050344092426</v>
      </c>
      <c r="G116" s="14">
        <f t="shared" ca="1" si="95"/>
        <v>-94.544242596775632</v>
      </c>
      <c r="H116" s="14">
        <f t="shared" ca="1" si="95"/>
        <v>-106.24295995061615</v>
      </c>
      <c r="I116" s="14">
        <f t="shared" ca="1" si="95"/>
        <v>-118.41985741224173</v>
      </c>
      <c r="J116" s="14">
        <f t="shared" ca="1" si="95"/>
        <v>-121.52496241917765</v>
      </c>
      <c r="K116" s="14">
        <f t="shared" ca="1" si="95"/>
        <v>-124.65478091013303</v>
      </c>
      <c r="L116" s="14">
        <f t="shared" ca="1" si="95"/>
        <v>-127.83742646223413</v>
      </c>
      <c r="M116" s="14">
        <f t="shared" ca="1" si="95"/>
        <v>-131.05477691270832</v>
      </c>
      <c r="N116" s="14">
        <f t="shared" ca="1" si="95"/>
        <v>-134.30094823170757</v>
      </c>
      <c r="O116" s="14">
        <f t="shared" ca="1" si="95"/>
        <v>-137.54038618878167</v>
      </c>
      <c r="P116" s="14">
        <f t="shared" ca="1" si="95"/>
        <v>-140.79117691055689</v>
      </c>
      <c r="Q116" s="14">
        <f t="shared" ca="1" si="95"/>
        <v>-144.14331516692081</v>
      </c>
      <c r="R116" s="14">
        <f t="shared" ca="1" si="95"/>
        <v>-157.72153744069914</v>
      </c>
      <c r="S116" s="14">
        <f t="shared" ca="1" si="95"/>
        <v>-171.76639546385348</v>
      </c>
      <c r="T116" s="14">
        <f t="shared" ca="1" si="95"/>
        <v>-186.48443717216682</v>
      </c>
      <c r="U116" s="14">
        <f t="shared" ca="1" si="95"/>
        <v>-202.01343688629595</v>
      </c>
      <c r="V116" s="14">
        <f t="shared" ca="1" si="95"/>
        <v>-218.95849888586073</v>
      </c>
      <c r="W116" s="14">
        <f t="shared" ca="1" si="95"/>
        <v>-238.01018232855807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487.9</v>
      </c>
      <c r="K122" s="4">
        <f ca="1"/>
        <v>504.4</v>
      </c>
      <c r="L122" s="4">
        <f ca="1"/>
        <v>520.9</v>
      </c>
      <c r="M122" s="4">
        <f ca="1"/>
        <v>537.5</v>
      </c>
      <c r="N122" s="4">
        <f ca="1"/>
        <v>554</v>
      </c>
      <c r="O122" s="4">
        <f ca="1"/>
        <v>570.5</v>
      </c>
      <c r="P122" s="4">
        <f ca="1"/>
        <v>587</v>
      </c>
      <c r="Q122" s="4">
        <f ca="1"/>
        <v>603.5</v>
      </c>
      <c r="R122" s="4">
        <f ca="1"/>
        <v>669.6</v>
      </c>
      <c r="S122" s="4">
        <f ca="1"/>
        <v>735.7</v>
      </c>
      <c r="T122" s="20">
        <f ca="1"/>
        <v>801.8</v>
      </c>
      <c r="U122" s="55">
        <f ca="1"/>
        <v>867.8</v>
      </c>
      <c r="V122" s="56">
        <f ca="1"/>
        <v>933.9</v>
      </c>
      <c r="W122" s="58">
        <f ca="1"/>
        <v>1000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-1.2481201622721547E-14</v>
      </c>
      <c r="G123" s="47">
        <f ca="1"/>
        <v>-2.7061023943107197E-11</v>
      </c>
      <c r="H123" s="47">
        <f ca="1"/>
        <v>-4.9503066819848812E-9</v>
      </c>
      <c r="I123" s="47">
        <f ca="1"/>
        <v>-2.1767228577064841E-7</v>
      </c>
      <c r="J123" s="47">
        <f ca="1"/>
        <v>-4.8136665475319315E-7</v>
      </c>
      <c r="K123" s="47">
        <f ca="1"/>
        <v>-1.0140499597288174E-6</v>
      </c>
      <c r="L123" s="47">
        <f ca="1"/>
        <v>-2.0479844684588243E-6</v>
      </c>
      <c r="M123" s="47">
        <f ca="1"/>
        <v>-3.9802914429835636E-6</v>
      </c>
      <c r="N123" s="47">
        <f ca="1"/>
        <v>-7.4752408852422014E-6</v>
      </c>
      <c r="O123" s="47">
        <f ca="1"/>
        <v>-1.3600571971612655E-5</v>
      </c>
      <c r="P123" s="47">
        <f ca="1"/>
        <v>-2.4069236688364003E-5</v>
      </c>
      <c r="Q123" s="47">
        <f ca="1"/>
        <v>-4.1491936403161452E-5</v>
      </c>
      <c r="R123" s="47">
        <f ca="1"/>
        <v>-2.9296990570056302E-4</v>
      </c>
      <c r="S123" s="47">
        <f ca="1"/>
        <v>-1.5165504604807204E-3</v>
      </c>
      <c r="T123" s="47">
        <f ca="1"/>
        <v>-5.996313849796606E-3</v>
      </c>
      <c r="U123" s="47">
        <f ca="1"/>
        <v>-1.8772769918995201E-2</v>
      </c>
      <c r="V123" s="47">
        <f ca="1"/>
        <v>-4.880142082869076E-2</v>
      </c>
      <c r="W123" s="47">
        <f ca="1"/>
        <v>-0.1115077906630625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-83.410050344092411</v>
      </c>
      <c r="G124" s="47">
        <f ca="1"/>
        <v>-94.544242596748575</v>
      </c>
      <c r="H124" s="47">
        <f ca="1"/>
        <v>-106.24295994566585</v>
      </c>
      <c r="I124" s="47">
        <f ca="1"/>
        <v>-118.41985719456945</v>
      </c>
      <c r="J124" s="47">
        <f ca="1"/>
        <v>-121.524961937811</v>
      </c>
      <c r="K124" s="47">
        <f ca="1"/>
        <v>-124.65477989608307</v>
      </c>
      <c r="L124" s="47">
        <f ca="1"/>
        <v>-127.83742441424967</v>
      </c>
      <c r="M124" s="47">
        <f ca="1"/>
        <v>-131.05477293241688</v>
      </c>
      <c r="N124" s="47">
        <f ca="1"/>
        <v>-134.30094075646667</v>
      </c>
      <c r="O124" s="47">
        <f ca="1"/>
        <v>-137.54037258820969</v>
      </c>
      <c r="P124" s="47">
        <f ca="1"/>
        <v>-140.79115284132018</v>
      </c>
      <c r="Q124" s="47">
        <f ca="1"/>
        <v>-144.14327367498441</v>
      </c>
      <c r="R124" s="47">
        <f ca="1"/>
        <v>-157.72124447079344</v>
      </c>
      <c r="S124" s="47">
        <f ca="1"/>
        <v>-171.76487891339301</v>
      </c>
      <c r="T124" s="47">
        <f ca="1"/>
        <v>-186.47844085831701</v>
      </c>
      <c r="U124" s="47">
        <f ca="1"/>
        <v>-201.99466411637695</v>
      </c>
      <c r="V124" s="47">
        <f ca="1"/>
        <v>-218.90969746503205</v>
      </c>
      <c r="W124" s="47">
        <f ca="1"/>
        <v>-237.898674537895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-83.410050344092426</v>
      </c>
      <c r="G125" s="47">
        <f ca="1"/>
        <v>-94.544242596775632</v>
      </c>
      <c r="H125" s="47">
        <f ca="1"/>
        <v>-106.24295995061615</v>
      </c>
      <c r="I125" s="47">
        <f ca="1"/>
        <v>-118.41985741224173</v>
      </c>
      <c r="J125" s="47">
        <f ca="1"/>
        <v>-121.52496241917765</v>
      </c>
      <c r="K125" s="47">
        <f ca="1"/>
        <v>-124.65478091013303</v>
      </c>
      <c r="L125" s="47">
        <f ca="1"/>
        <v>-127.83742646223413</v>
      </c>
      <c r="M125" s="47">
        <f ca="1"/>
        <v>-131.05477691270832</v>
      </c>
      <c r="N125" s="47">
        <f ca="1"/>
        <v>-134.30094823170757</v>
      </c>
      <c r="O125" s="47">
        <f ca="1"/>
        <v>-137.54038618878167</v>
      </c>
      <c r="P125" s="47">
        <f ca="1"/>
        <v>-140.79117691055689</v>
      </c>
      <c r="Q125" s="47">
        <f ca="1"/>
        <v>-144.14331516692081</v>
      </c>
      <c r="R125" s="47">
        <f ca="1"/>
        <v>-157.72153744069914</v>
      </c>
      <c r="S125" s="47">
        <f ca="1"/>
        <v>-171.76639546385348</v>
      </c>
      <c r="T125" s="47">
        <f ca="1"/>
        <v>-186.48443717216682</v>
      </c>
      <c r="U125" s="47">
        <f ca="1"/>
        <v>-202.01343688629595</v>
      </c>
      <c r="V125" s="47">
        <f ca="1"/>
        <v>-218.95849888586073</v>
      </c>
      <c r="W125" s="47">
        <f ca="1"/>
        <v>-238.01018232855807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S24"/>
  <sheetViews>
    <sheetView zoomScaleNormal="100" workbookViewId="0">
      <selection sqref="A1:S19"/>
    </sheetView>
  </sheetViews>
  <sheetFormatPr defaultRowHeight="21" x14ac:dyDescent="0.35"/>
  <cols>
    <col min="1" max="16384" width="8.7265625" style="107"/>
  </cols>
  <sheetData>
    <row r="1" spans="1:19" x14ac:dyDescent="0.35">
      <c r="A1" s="126" t="s">
        <v>66</v>
      </c>
      <c r="B1" s="128">
        <v>273.10000000000002</v>
      </c>
      <c r="C1" s="130">
        <v>339.2</v>
      </c>
      <c r="D1" s="130">
        <v>405.3</v>
      </c>
      <c r="E1" s="128">
        <v>471.4</v>
      </c>
      <c r="F1" s="130">
        <v>487.9</v>
      </c>
      <c r="G1" s="130">
        <v>504.4</v>
      </c>
      <c r="H1" s="128">
        <v>520.9</v>
      </c>
      <c r="I1" s="130">
        <v>537.5</v>
      </c>
      <c r="J1" s="130">
        <v>554</v>
      </c>
      <c r="K1" s="128">
        <v>570.5</v>
      </c>
      <c r="L1" s="130">
        <v>587</v>
      </c>
      <c r="M1" s="130">
        <v>603.5</v>
      </c>
      <c r="N1" s="128">
        <v>669.6</v>
      </c>
      <c r="O1" s="130">
        <v>735.7</v>
      </c>
      <c r="P1" s="130">
        <v>801.8</v>
      </c>
      <c r="Q1" s="128">
        <v>867.8</v>
      </c>
      <c r="R1" s="130">
        <v>933.9</v>
      </c>
      <c r="S1" s="130">
        <v>1000</v>
      </c>
    </row>
    <row r="2" spans="1:19" x14ac:dyDescent="0.35">
      <c r="A2" s="127" t="s">
        <v>57</v>
      </c>
      <c r="B2" s="131">
        <v>0.08</v>
      </c>
      <c r="C2" s="132">
        <v>0.08</v>
      </c>
      <c r="D2" s="132">
        <v>0.08</v>
      </c>
      <c r="E2" s="131">
        <v>0.08</v>
      </c>
      <c r="F2" s="132">
        <v>0.08</v>
      </c>
      <c r="G2" s="132">
        <v>0.08</v>
      </c>
      <c r="H2" s="131">
        <v>0.08</v>
      </c>
      <c r="I2" s="132">
        <v>0.08</v>
      </c>
      <c r="J2" s="132">
        <v>0.08</v>
      </c>
      <c r="K2" s="131">
        <v>0.08</v>
      </c>
      <c r="L2" s="132">
        <v>0.08</v>
      </c>
      <c r="M2" s="132">
        <v>0.08</v>
      </c>
      <c r="N2" s="131">
        <v>0.08</v>
      </c>
      <c r="O2" s="132">
        <v>7.9999000000000001E-2</v>
      </c>
      <c r="P2" s="132">
        <v>7.9994999999999997E-2</v>
      </c>
      <c r="Q2" s="132">
        <v>7.9981999999999998E-2</v>
      </c>
      <c r="R2" s="132">
        <v>7.9953999999999997E-2</v>
      </c>
      <c r="S2" s="132">
        <v>7.9901E-2</v>
      </c>
    </row>
    <row r="3" spans="1:19" x14ac:dyDescent="0.35">
      <c r="A3" s="125" t="s">
        <v>56</v>
      </c>
      <c r="B3" s="133">
        <v>1.2480000000000001E-7</v>
      </c>
      <c r="C3" s="134">
        <v>1.4497999999999999E-7</v>
      </c>
      <c r="D3" s="134">
        <v>1.1901E-7</v>
      </c>
      <c r="E3" s="135">
        <v>1.1696999999999999E-7</v>
      </c>
      <c r="F3" s="136">
        <v>1.4616000000000001E-7</v>
      </c>
      <c r="G3" s="136">
        <v>1.3848000000000001E-7</v>
      </c>
      <c r="H3" s="133">
        <v>1.3294E-7</v>
      </c>
      <c r="I3" s="134">
        <v>1.289E-7</v>
      </c>
      <c r="J3" s="134">
        <v>1.2597999999999999E-7</v>
      </c>
      <c r="K3" s="133">
        <v>1.2445999999999999E-7</v>
      </c>
      <c r="L3" s="134">
        <v>1.2256999999999999E-7</v>
      </c>
      <c r="M3" s="134">
        <v>1.2032999999999999E-7</v>
      </c>
      <c r="N3" s="133">
        <v>1.151E-7</v>
      </c>
      <c r="O3" s="134">
        <v>1.1756E-7</v>
      </c>
      <c r="P3" s="134">
        <v>1.3117999999999999E-7</v>
      </c>
      <c r="Q3" s="133">
        <v>1.2918E-7</v>
      </c>
      <c r="R3" s="134">
        <v>1.3701999999999999E-7</v>
      </c>
      <c r="S3" s="134">
        <v>2.1261E-7</v>
      </c>
    </row>
    <row r="4" spans="1:19" x14ac:dyDescent="0.35">
      <c r="A4" s="125" t="s">
        <v>58</v>
      </c>
      <c r="B4" s="133">
        <v>8.6381000000000006E-25</v>
      </c>
      <c r="C4" s="134">
        <v>3.2597999999999998E-19</v>
      </c>
      <c r="D4" s="134">
        <v>1.3768E-15</v>
      </c>
      <c r="E4" s="134">
        <v>4.5987000000000004E-13</v>
      </c>
      <c r="F4" s="134">
        <v>1.5002E-12</v>
      </c>
      <c r="G4" s="134">
        <v>4.4914E-12</v>
      </c>
      <c r="H4" s="135">
        <v>1.2447E-11</v>
      </c>
      <c r="I4" s="136">
        <v>3.2169999999999997E-11</v>
      </c>
      <c r="J4" s="136">
        <v>7.8054E-11</v>
      </c>
      <c r="K4" s="133">
        <v>1.7882000000000001E-10</v>
      </c>
      <c r="L4" s="134">
        <v>3.8879999999999999E-10</v>
      </c>
      <c r="M4" s="134">
        <v>8.0594999999999999E-10</v>
      </c>
      <c r="N4" s="133">
        <v>9.9398999999999996E-9</v>
      </c>
      <c r="O4" s="134">
        <v>7.3557000000000001E-8</v>
      </c>
      <c r="P4" s="134">
        <v>3.6923999999999999E-7</v>
      </c>
      <c r="Q4" s="135">
        <v>1.3405999999999999E-6</v>
      </c>
      <c r="R4" s="136">
        <v>3.5520999999999998E-6</v>
      </c>
      <c r="S4" s="136">
        <v>6.6648000000000001E-6</v>
      </c>
    </row>
    <row r="5" spans="1:19" x14ac:dyDescent="0.35">
      <c r="A5" s="125" t="s">
        <v>59</v>
      </c>
      <c r="B5" s="133">
        <v>1.0378E-21</v>
      </c>
      <c r="C5" s="134">
        <v>1.2814E-16</v>
      </c>
      <c r="D5" s="134">
        <v>2.4167999999999999E-13</v>
      </c>
      <c r="E5" s="134">
        <v>4.3687E-11</v>
      </c>
      <c r="F5" s="134">
        <v>1.2493E-10</v>
      </c>
      <c r="G5" s="134">
        <v>3.3025000000000002E-10</v>
      </c>
      <c r="H5" s="133">
        <v>8.1345000000000002E-10</v>
      </c>
      <c r="I5" s="134">
        <v>1.8800000000000001E-9</v>
      </c>
      <c r="J5" s="134">
        <v>4.1016999999999996E-9</v>
      </c>
      <c r="K5" s="133">
        <v>8.4934999999999993E-9</v>
      </c>
      <c r="L5" s="134">
        <v>1.6770999999999998E-8</v>
      </c>
      <c r="M5" s="134">
        <v>3.1712E-8</v>
      </c>
      <c r="N5" s="133">
        <v>2.8132999999999999E-7</v>
      </c>
      <c r="O5" s="134">
        <v>1.5732E-6</v>
      </c>
      <c r="P5" s="134">
        <v>6.1831000000000001E-6</v>
      </c>
      <c r="Q5" s="133">
        <v>1.7938999999999999E-5</v>
      </c>
      <c r="R5" s="134">
        <v>3.7982999999999999E-5</v>
      </c>
      <c r="S5" s="134">
        <v>5.5568000000000001E-5</v>
      </c>
    </row>
    <row r="6" spans="1:19" x14ac:dyDescent="0.35">
      <c r="A6" s="125" t="s">
        <v>77</v>
      </c>
      <c r="B6" s="133">
        <v>1.6579999999999999E-19</v>
      </c>
      <c r="C6" s="134">
        <v>2.9483999999999999E-15</v>
      </c>
      <c r="D6" s="134">
        <v>1.422E-12</v>
      </c>
      <c r="E6" s="133">
        <v>9.2904000000000006E-11</v>
      </c>
      <c r="F6" s="134">
        <v>2.1412000000000001E-10</v>
      </c>
      <c r="G6" s="134">
        <v>4.6195999999999997E-10</v>
      </c>
      <c r="H6" s="133">
        <v>9.3944000000000001E-10</v>
      </c>
      <c r="I6" s="134">
        <v>1.8116E-9</v>
      </c>
      <c r="J6" s="134">
        <v>3.3297000000000002E-9</v>
      </c>
      <c r="K6" s="133">
        <v>5.8604999999999998E-9</v>
      </c>
      <c r="L6" s="134">
        <v>9.9168999999999999E-9</v>
      </c>
      <c r="M6" s="134">
        <v>1.6190999999999999E-8</v>
      </c>
      <c r="N6" s="133">
        <v>8.5194000000000002E-8</v>
      </c>
      <c r="O6" s="134">
        <v>3.0718999999999999E-7</v>
      </c>
      <c r="P6" s="134">
        <v>8.2786999999999996E-7</v>
      </c>
      <c r="Q6" s="133">
        <v>1.7149000000000001E-6</v>
      </c>
      <c r="R6" s="134">
        <v>2.6336999999999999E-6</v>
      </c>
      <c r="S6" s="134">
        <v>2.7618E-6</v>
      </c>
    </row>
    <row r="7" spans="1:19" x14ac:dyDescent="0.35">
      <c r="A7" s="126" t="s">
        <v>71</v>
      </c>
      <c r="B7" s="135">
        <v>5.92E-21</v>
      </c>
      <c r="C7" s="136">
        <v>1.8415999999999999E-16</v>
      </c>
      <c r="D7" s="136">
        <v>1.2191000000000001E-13</v>
      </c>
      <c r="E7" s="135">
        <v>9.6337E-12</v>
      </c>
      <c r="F7" s="136">
        <v>2.2992999999999999E-11</v>
      </c>
      <c r="G7" s="136">
        <v>5.1175E-11</v>
      </c>
      <c r="H7" s="135">
        <v>1.0700000000000001E-10</v>
      </c>
      <c r="I7" s="136">
        <v>2.1149999999999999E-10</v>
      </c>
      <c r="J7" s="136">
        <v>3.9742999999999999E-10</v>
      </c>
      <c r="K7" s="135">
        <v>7.1344999999999995E-10</v>
      </c>
      <c r="L7" s="136">
        <v>1.2286999999999999E-9</v>
      </c>
      <c r="M7" s="136">
        <v>2.0380000000000002E-9</v>
      </c>
      <c r="N7" s="135">
        <v>1.1246E-8</v>
      </c>
      <c r="O7" s="136">
        <v>4.1723999999999997E-8</v>
      </c>
      <c r="P7" s="136">
        <v>1.1389999999999999E-7</v>
      </c>
      <c r="Q7" s="135">
        <v>2.3447000000000001E-7</v>
      </c>
      <c r="R7" s="136">
        <v>3.4686999999999998E-7</v>
      </c>
      <c r="S7" s="136">
        <v>3.3353E-7</v>
      </c>
    </row>
    <row r="8" spans="1:19" x14ac:dyDescent="0.35">
      <c r="A8" s="126" t="s">
        <v>60</v>
      </c>
      <c r="B8" s="135">
        <v>1.9728000000000001E-26</v>
      </c>
      <c r="C8" s="136">
        <v>2.9865E-20</v>
      </c>
      <c r="D8" s="136">
        <v>3.4282000000000002E-16</v>
      </c>
      <c r="E8" s="135">
        <v>2.4458E-13</v>
      </c>
      <c r="F8" s="136">
        <v>9.3853000000000004E-13</v>
      </c>
      <c r="G8" s="136">
        <v>3.2754E-12</v>
      </c>
      <c r="H8" s="135">
        <v>1.0494E-11</v>
      </c>
      <c r="I8" s="136">
        <v>3.1119000000000003E-11</v>
      </c>
      <c r="J8" s="136">
        <v>8.6027999999999995E-11</v>
      </c>
      <c r="K8" s="135">
        <v>2.2312E-10</v>
      </c>
      <c r="L8" s="136">
        <v>5.4593E-10</v>
      </c>
      <c r="M8" s="136">
        <v>1.2664999999999999E-9</v>
      </c>
      <c r="N8" s="135">
        <v>2.3365000000000001E-8</v>
      </c>
      <c r="O8" s="136">
        <v>2.4317000000000003E-7</v>
      </c>
      <c r="P8" s="136">
        <v>1.6413000000000001E-6</v>
      </c>
      <c r="Q8" s="135">
        <v>7.7919999999999993E-6</v>
      </c>
      <c r="R8" s="136">
        <v>2.6840999999999999E-5</v>
      </c>
      <c r="S8" s="136">
        <v>6.6771000000000002E-5</v>
      </c>
    </row>
    <row r="9" spans="1:19" x14ac:dyDescent="0.35">
      <c r="A9" s="126" t="s">
        <v>61</v>
      </c>
      <c r="B9" s="135">
        <v>6.6000999999999998E-21</v>
      </c>
      <c r="C9" s="136">
        <v>7.7948999999999997E-16</v>
      </c>
      <c r="D9" s="136">
        <v>1.7713999999999999E-12</v>
      </c>
      <c r="E9" s="135">
        <v>4.1982999999999999E-10</v>
      </c>
      <c r="F9" s="136">
        <v>1.2914999999999999E-9</v>
      </c>
      <c r="G9" s="136">
        <v>3.6758000000000001E-9</v>
      </c>
      <c r="H9" s="135">
        <v>9.7531000000000002E-9</v>
      </c>
      <c r="I9" s="136">
        <v>2.4284999999999999E-8</v>
      </c>
      <c r="J9" s="136">
        <v>5.7081E-8</v>
      </c>
      <c r="K9" s="135">
        <v>1.2730000000000001E-7</v>
      </c>
      <c r="L9" s="136">
        <v>2.7058999999999999E-7</v>
      </c>
      <c r="M9" s="136">
        <v>5.5044E-7</v>
      </c>
      <c r="N9" s="135">
        <v>6.4915999999999998E-6</v>
      </c>
      <c r="O9" s="136">
        <v>4.7651000000000002E-5</v>
      </c>
      <c r="P9" s="136">
        <v>2.4436E-4</v>
      </c>
      <c r="Q9" s="135">
        <v>9.3941999999999995E-4</v>
      </c>
      <c r="R9" s="136">
        <v>2.7988000000000002E-3</v>
      </c>
      <c r="S9" s="136">
        <v>6.5037000000000003E-3</v>
      </c>
    </row>
    <row r="10" spans="1:19" x14ac:dyDescent="0.35">
      <c r="A10" s="126" t="s">
        <v>1</v>
      </c>
      <c r="B10" s="135">
        <v>0.2</v>
      </c>
      <c r="C10" s="136">
        <v>0.2</v>
      </c>
      <c r="D10" s="136">
        <v>0.2</v>
      </c>
      <c r="E10" s="135">
        <v>0.2</v>
      </c>
      <c r="F10" s="136">
        <v>0.2</v>
      </c>
      <c r="G10" s="136">
        <v>0.2</v>
      </c>
      <c r="H10" s="135">
        <v>0.2</v>
      </c>
      <c r="I10" s="136">
        <v>0.2</v>
      </c>
      <c r="J10" s="136">
        <v>0.2</v>
      </c>
      <c r="K10" s="135">
        <v>0.2</v>
      </c>
      <c r="L10" s="136">
        <v>0.2</v>
      </c>
      <c r="M10" s="136">
        <v>0.2</v>
      </c>
      <c r="N10" s="135">
        <v>0.2</v>
      </c>
      <c r="O10" s="136">
        <v>0.2</v>
      </c>
      <c r="P10" s="136">
        <v>0.2</v>
      </c>
      <c r="Q10" s="135">
        <v>0.2</v>
      </c>
      <c r="R10" s="136">
        <v>0.2</v>
      </c>
      <c r="S10" s="136">
        <v>0.2</v>
      </c>
    </row>
    <row r="11" spans="1:19" x14ac:dyDescent="0.35">
      <c r="A11" s="125" t="s">
        <v>62</v>
      </c>
      <c r="B11" s="133">
        <v>0</v>
      </c>
      <c r="C11" s="134">
        <v>0</v>
      </c>
      <c r="D11" s="134">
        <v>1.7033E-30</v>
      </c>
      <c r="E11" s="135">
        <v>1.9629E-24</v>
      </c>
      <c r="F11" s="136">
        <v>3.5345999999999997E-23</v>
      </c>
      <c r="G11" s="136">
        <v>5.2392E-22</v>
      </c>
      <c r="H11" s="133">
        <v>6.5050000000000002E-21</v>
      </c>
      <c r="I11" s="134">
        <v>6.8691999999999999E-20</v>
      </c>
      <c r="J11" s="134">
        <v>6.2529999999999996E-19</v>
      </c>
      <c r="K11" s="135">
        <v>4.9653000000000001E-18</v>
      </c>
      <c r="L11" s="136">
        <v>3.4757999999999999E-17</v>
      </c>
      <c r="M11" s="136">
        <v>2.1650999999999999E-16</v>
      </c>
      <c r="N11" s="133">
        <v>1.185E-13</v>
      </c>
      <c r="O11" s="134">
        <v>1.7155000000000001E-11</v>
      </c>
      <c r="P11" s="134">
        <v>8.7575E-10</v>
      </c>
      <c r="Q11" s="135">
        <v>1.9566000000000001E-8</v>
      </c>
      <c r="R11" s="136">
        <v>2.301E-7</v>
      </c>
      <c r="S11" s="136">
        <v>1.6774E-6</v>
      </c>
    </row>
    <row r="12" spans="1:19" x14ac:dyDescent="0.35">
      <c r="A12" s="125" t="s">
        <v>72</v>
      </c>
      <c r="B12" s="133">
        <v>5.3979000000000001E-22</v>
      </c>
      <c r="C12" s="134">
        <v>2.7796000000000002E-17</v>
      </c>
      <c r="D12" s="134">
        <v>4.7004999999999998E-14</v>
      </c>
      <c r="E12" s="133">
        <v>1.0418E-11</v>
      </c>
      <c r="F12" s="134">
        <v>3.2057999999999999E-11</v>
      </c>
      <c r="G12" s="134">
        <v>9.1611000000000003E-11</v>
      </c>
      <c r="H12" s="133">
        <v>2.4466000000000001E-10</v>
      </c>
      <c r="I12" s="134">
        <v>6.1412000000000005E-10</v>
      </c>
      <c r="J12" s="134">
        <v>1.4558999999999999E-9</v>
      </c>
      <c r="K12" s="133">
        <v>3.2743000000000002E-9</v>
      </c>
      <c r="L12" s="134">
        <v>7.0129999999999997E-9</v>
      </c>
      <c r="M12" s="134">
        <v>1.4354000000000001E-8</v>
      </c>
      <c r="N12" s="133">
        <v>1.6952E-7</v>
      </c>
      <c r="O12" s="134">
        <v>1.1824000000000001E-6</v>
      </c>
      <c r="P12" s="134">
        <v>5.4283000000000002E-6</v>
      </c>
      <c r="Q12" s="133">
        <v>1.7833999999999999E-5</v>
      </c>
      <c r="R12" s="134">
        <v>4.5255E-5</v>
      </c>
      <c r="S12" s="134">
        <v>9.5416999999999998E-5</v>
      </c>
    </row>
    <row r="13" spans="1:19" x14ac:dyDescent="0.35">
      <c r="A13" s="125" t="s">
        <v>73</v>
      </c>
      <c r="B13" s="133">
        <v>4.7299000000000001E-17</v>
      </c>
      <c r="C13" s="134">
        <v>9.8783999999999996E-14</v>
      </c>
      <c r="D13" s="134">
        <v>1.7286E-11</v>
      </c>
      <c r="E13" s="133">
        <v>7.1430999999999999E-10</v>
      </c>
      <c r="F13" s="134">
        <v>1.5475000000000001E-9</v>
      </c>
      <c r="G13" s="134">
        <v>3.1868999999999998E-9</v>
      </c>
      <c r="H13" s="133">
        <v>6.2687999999999997E-9</v>
      </c>
      <c r="I13" s="134">
        <v>1.1828E-8</v>
      </c>
      <c r="J13" s="134">
        <v>2.1486000000000001E-8</v>
      </c>
      <c r="K13" s="133">
        <v>3.7698999999999999E-8</v>
      </c>
      <c r="L13" s="134">
        <v>6.4079000000000001E-8</v>
      </c>
      <c r="M13" s="134">
        <v>1.0578E-7</v>
      </c>
      <c r="N13" s="133">
        <v>6.1266000000000003E-7</v>
      </c>
      <c r="O13" s="134">
        <v>2.5838000000000001E-6</v>
      </c>
      <c r="P13" s="134">
        <v>8.6036000000000001E-6</v>
      </c>
      <c r="Q13" s="133">
        <v>2.4057999999999999E-5</v>
      </c>
      <c r="R13" s="134">
        <v>5.961E-5</v>
      </c>
      <c r="S13" s="134">
        <v>1.3742999999999999E-4</v>
      </c>
    </row>
    <row r="14" spans="1:19" x14ac:dyDescent="0.35">
      <c r="A14" s="126" t="s">
        <v>74</v>
      </c>
      <c r="B14" s="135">
        <v>0.08</v>
      </c>
      <c r="C14" s="136">
        <v>0.08</v>
      </c>
      <c r="D14" s="136">
        <v>0.08</v>
      </c>
      <c r="E14" s="135">
        <v>0.08</v>
      </c>
      <c r="F14" s="136">
        <v>0.08</v>
      </c>
      <c r="G14" s="136">
        <v>0.08</v>
      </c>
      <c r="H14" s="135">
        <v>0.08</v>
      </c>
      <c r="I14" s="136">
        <v>0.08</v>
      </c>
      <c r="J14" s="136">
        <v>0.08</v>
      </c>
      <c r="K14" s="135">
        <v>0.08</v>
      </c>
      <c r="L14" s="136">
        <v>7.9999000000000001E-2</v>
      </c>
      <c r="M14" s="136">
        <v>7.9999000000000001E-2</v>
      </c>
      <c r="N14" s="135">
        <v>7.9986000000000002E-2</v>
      </c>
      <c r="O14" s="136">
        <v>7.9898999999999998E-2</v>
      </c>
      <c r="P14" s="136">
        <v>7.9488000000000003E-2</v>
      </c>
      <c r="Q14" s="135">
        <v>7.8050999999999995E-2</v>
      </c>
      <c r="R14" s="136">
        <v>7.4249999999999997E-2</v>
      </c>
      <c r="S14" s="136">
        <v>6.6802E-2</v>
      </c>
    </row>
    <row r="15" spans="1:19" x14ac:dyDescent="0.35">
      <c r="A15" s="126" t="s">
        <v>75</v>
      </c>
      <c r="B15" s="135">
        <v>0.24</v>
      </c>
      <c r="C15" s="136">
        <v>0.24</v>
      </c>
      <c r="D15" s="136">
        <v>0.24</v>
      </c>
      <c r="E15" s="135">
        <v>0.24</v>
      </c>
      <c r="F15" s="136">
        <v>0.24</v>
      </c>
      <c r="G15" s="136">
        <v>0.24</v>
      </c>
      <c r="H15" s="135">
        <v>0.24</v>
      </c>
      <c r="I15" s="136">
        <v>0.24</v>
      </c>
      <c r="J15" s="136">
        <v>0.24</v>
      </c>
      <c r="K15" s="135">
        <v>0.24</v>
      </c>
      <c r="L15" s="136">
        <v>0.24</v>
      </c>
      <c r="M15" s="136">
        <v>0.24</v>
      </c>
      <c r="N15" s="135">
        <v>0.24</v>
      </c>
      <c r="O15" s="136">
        <v>0.24</v>
      </c>
      <c r="P15" s="136">
        <v>0.23999000000000001</v>
      </c>
      <c r="Q15" s="135">
        <v>0.23998</v>
      </c>
      <c r="R15" s="136">
        <v>0.23993999999999999</v>
      </c>
      <c r="S15" s="136">
        <v>0.23985999999999999</v>
      </c>
    </row>
    <row r="16" spans="1:19" x14ac:dyDescent="0.35">
      <c r="A16" s="125" t="s">
        <v>76</v>
      </c>
      <c r="B16" s="133">
        <v>-18.62</v>
      </c>
      <c r="C16" s="134">
        <v>-18.63</v>
      </c>
      <c r="D16" s="134">
        <v>-18.72</v>
      </c>
      <c r="E16" s="133">
        <v>-18.84</v>
      </c>
      <c r="F16" s="134">
        <v>-18.87</v>
      </c>
      <c r="G16" s="134">
        <v>-18.899999999999999</v>
      </c>
      <c r="H16" s="133">
        <v>-18.940000000000001</v>
      </c>
      <c r="I16" s="134">
        <v>-18.97</v>
      </c>
      <c r="J16" s="134">
        <v>-19.010000000000002</v>
      </c>
      <c r="K16" s="133">
        <v>-19.04</v>
      </c>
      <c r="L16" s="134">
        <v>-19.07</v>
      </c>
      <c r="M16" s="134">
        <v>-19.11</v>
      </c>
      <c r="N16" s="133">
        <v>-19.25</v>
      </c>
      <c r="O16" s="134">
        <v>-19.38</v>
      </c>
      <c r="P16" s="134">
        <v>-19.52</v>
      </c>
      <c r="Q16" s="133">
        <v>-19.649999999999999</v>
      </c>
      <c r="R16" s="134">
        <v>-19.78</v>
      </c>
      <c r="S16" s="134">
        <v>-19.91</v>
      </c>
    </row>
    <row r="17" spans="1:19" x14ac:dyDescent="0.35">
      <c r="A17" s="125" t="s">
        <v>63</v>
      </c>
      <c r="B17" s="133">
        <v>-52.5</v>
      </c>
      <c r="C17" s="134">
        <v>-42.14</v>
      </c>
      <c r="D17" s="134">
        <v>-35.15</v>
      </c>
      <c r="E17" s="133">
        <v>-30.14</v>
      </c>
      <c r="F17" s="134">
        <v>-29.11</v>
      </c>
      <c r="G17" s="134">
        <v>-28.15</v>
      </c>
      <c r="H17" s="133">
        <v>-27.25</v>
      </c>
      <c r="I17" s="134">
        <v>-26.42</v>
      </c>
      <c r="J17" s="134">
        <v>-25.64</v>
      </c>
      <c r="K17" s="133">
        <v>-24.91</v>
      </c>
      <c r="L17" s="134">
        <v>-24.22</v>
      </c>
      <c r="M17" s="134">
        <v>-23.59</v>
      </c>
      <c r="N17" s="133">
        <v>-21.41</v>
      </c>
      <c r="O17" s="134">
        <v>-19.73</v>
      </c>
      <c r="P17" s="134">
        <v>-18.45</v>
      </c>
      <c r="Q17" s="133">
        <v>-17.489999999999998</v>
      </c>
      <c r="R17" s="134">
        <v>-16.760000000000002</v>
      </c>
      <c r="S17" s="134">
        <v>-16.190000000000001</v>
      </c>
    </row>
    <row r="18" spans="1:19" x14ac:dyDescent="0.35">
      <c r="A18" s="125" t="s">
        <v>53</v>
      </c>
      <c r="B18" s="133">
        <v>-27.89</v>
      </c>
      <c r="C18" s="134">
        <v>-23.3</v>
      </c>
      <c r="D18" s="134">
        <v>-20.3</v>
      </c>
      <c r="E18" s="133">
        <v>-18.22</v>
      </c>
      <c r="F18" s="134">
        <v>-17.8</v>
      </c>
      <c r="G18" s="134">
        <v>-17.399999999999999</v>
      </c>
      <c r="H18" s="133">
        <v>-17.04</v>
      </c>
      <c r="I18" s="134">
        <v>-16.7</v>
      </c>
      <c r="J18" s="134">
        <v>-16.39</v>
      </c>
      <c r="K18" s="133">
        <v>-16.09</v>
      </c>
      <c r="L18" s="134">
        <v>-15.82</v>
      </c>
      <c r="M18" s="134">
        <v>-15.56</v>
      </c>
      <c r="N18" s="133">
        <v>-14.69</v>
      </c>
      <c r="O18" s="134">
        <v>-14</v>
      </c>
      <c r="P18" s="134">
        <v>-13.45</v>
      </c>
      <c r="Q18" s="133">
        <v>-12.99</v>
      </c>
      <c r="R18" s="134">
        <v>-12.58</v>
      </c>
      <c r="S18" s="134">
        <v>-12.18</v>
      </c>
    </row>
    <row r="19" spans="1:19" x14ac:dyDescent="0.35">
      <c r="A19" s="125" t="s">
        <v>64</v>
      </c>
      <c r="B19" s="133">
        <v>-5.5750000000000002</v>
      </c>
      <c r="C19" s="134">
        <v>-5.9269999999999996</v>
      </c>
      <c r="D19" s="134">
        <v>-6.3159999999999998</v>
      </c>
      <c r="E19" s="133">
        <v>-6.7</v>
      </c>
      <c r="F19" s="134">
        <v>-6.7930000000000001</v>
      </c>
      <c r="G19" s="134">
        <v>-6.8849999999999998</v>
      </c>
      <c r="H19" s="133">
        <v>-6.9749999999999996</v>
      </c>
      <c r="I19" s="134">
        <v>-7.0650000000000004</v>
      </c>
      <c r="J19" s="134">
        <v>-7.1520000000000001</v>
      </c>
      <c r="K19" s="133">
        <v>-7.2389999999999999</v>
      </c>
      <c r="L19" s="134">
        <v>-7.3230000000000004</v>
      </c>
      <c r="M19" s="134">
        <v>-7.407</v>
      </c>
      <c r="N19" s="133">
        <v>-7.726</v>
      </c>
      <c r="O19" s="134">
        <v>-8.0250000000000004</v>
      </c>
      <c r="P19" s="134">
        <v>-8.3070000000000004</v>
      </c>
      <c r="Q19" s="133">
        <v>-8.5820000000000007</v>
      </c>
      <c r="R19" s="134">
        <v>-8.8670000000000009</v>
      </c>
      <c r="S19" s="134">
        <v>-9.1820000000000004</v>
      </c>
    </row>
    <row r="20" spans="1:19" x14ac:dyDescent="0.35">
      <c r="A20" s="129" t="s">
        <v>54</v>
      </c>
      <c r="B20" s="137">
        <v>0.2</v>
      </c>
      <c r="C20" s="138">
        <v>0.2</v>
      </c>
      <c r="D20" s="138">
        <v>0.2</v>
      </c>
      <c r="E20" s="137">
        <v>0.2</v>
      </c>
      <c r="F20" s="138">
        <v>0.2</v>
      </c>
      <c r="G20" s="138">
        <v>0.2</v>
      </c>
      <c r="H20" s="137">
        <v>0.2</v>
      </c>
      <c r="I20" s="138">
        <v>0.2</v>
      </c>
      <c r="J20" s="138">
        <v>0.2</v>
      </c>
      <c r="K20" s="137">
        <v>0.2</v>
      </c>
      <c r="L20" s="138">
        <v>0.2</v>
      </c>
      <c r="M20" s="138">
        <v>0.2</v>
      </c>
      <c r="N20" s="137">
        <v>0.20000999999999999</v>
      </c>
      <c r="O20" s="138">
        <v>0.20005000000000001</v>
      </c>
      <c r="P20" s="138">
        <v>0.20025000000000001</v>
      </c>
      <c r="Q20" s="137">
        <v>0.20097000000000001</v>
      </c>
      <c r="R20" s="138">
        <v>0.20286999999999999</v>
      </c>
      <c r="S20" s="138">
        <v>0.20663999999999999</v>
      </c>
    </row>
    <row r="21" spans="1:19" x14ac:dyDescent="0.35"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</row>
    <row r="22" spans="1:19" x14ac:dyDescent="0.35"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</row>
    <row r="23" spans="1:19" x14ac:dyDescent="0.35">
      <c r="A23" s="124"/>
      <c r="B23" s="124"/>
      <c r="C23" s="124"/>
      <c r="D23" s="124"/>
    </row>
    <row r="24" spans="1:19" x14ac:dyDescent="0.35">
      <c r="A24" s="124"/>
      <c r="B24" s="124"/>
      <c r="C24" s="124"/>
      <c r="D24" s="124"/>
    </row>
  </sheetData>
  <conditionalFormatting sqref="B1:S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A13" zoomScaleNormal="100" zoomScaleSheetLayoutView="25" workbookViewId="0">
      <selection activeCell="F29" sqref="F29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60" t="s">
        <v>24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60"/>
      <c r="AT1" s="160"/>
      <c r="AU1" s="160"/>
      <c r="AV1" s="160"/>
      <c r="AW1" s="160"/>
      <c r="AX1" s="160"/>
      <c r="AY1" s="160"/>
      <c r="AZ1" s="160"/>
      <c r="BA1" s="160"/>
      <c r="BB1" s="160"/>
      <c r="BC1" s="160"/>
      <c r="BD1" s="160"/>
      <c r="BE1" s="160"/>
      <c r="BF1" s="160"/>
      <c r="BG1" s="160"/>
      <c r="BH1" s="160"/>
      <c r="BI1" s="160"/>
      <c r="BJ1" s="160"/>
      <c r="BK1" s="160"/>
      <c r="BL1" s="160"/>
      <c r="BM1" s="160"/>
      <c r="BN1" s="160"/>
      <c r="BO1" s="160"/>
      <c r="BP1" s="160"/>
      <c r="BQ1" s="160"/>
      <c r="BR1" s="160"/>
      <c r="BS1" s="160"/>
      <c r="BT1" s="160"/>
      <c r="BU1" s="160"/>
      <c r="BV1" s="160"/>
      <c r="BW1" s="160"/>
      <c r="BX1" s="160"/>
      <c r="BY1" s="160"/>
      <c r="BZ1" s="160"/>
      <c r="CA1" s="160"/>
      <c r="CB1" s="160"/>
      <c r="CC1" s="160"/>
      <c r="CD1" s="160"/>
      <c r="CE1" s="160"/>
      <c r="CF1" s="160"/>
      <c r="CG1" s="160"/>
      <c r="CH1" s="160"/>
      <c r="CI1" s="160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66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554</v>
      </c>
      <c r="U3" s="3">
        <v>570.5</v>
      </c>
      <c r="V3" s="3">
        <v>587</v>
      </c>
      <c r="W3" s="3">
        <v>603.5</v>
      </c>
      <c r="X3" s="3">
        <v>620.1</v>
      </c>
      <c r="Y3" s="3">
        <v>636.6</v>
      </c>
      <c r="Z3" s="3">
        <v>653.1</v>
      </c>
      <c r="AA3" s="3">
        <v>669.6</v>
      </c>
      <c r="AB3" s="3">
        <v>735.7</v>
      </c>
      <c r="AC3" s="3">
        <v>752.2</v>
      </c>
      <c r="AD3" s="3">
        <v>768.7</v>
      </c>
      <c r="AE3" s="3">
        <v>785.2</v>
      </c>
      <c r="AF3" s="3">
        <v>801.8</v>
      </c>
      <c r="AG3" s="3">
        <v>818.3</v>
      </c>
      <c r="AH3" s="3">
        <v>834.8</v>
      </c>
      <c r="AI3" s="3">
        <v>851.3</v>
      </c>
      <c r="AJ3" s="3">
        <v>867.8</v>
      </c>
      <c r="AK3" s="3">
        <v>933.9</v>
      </c>
      <c r="AL3" s="3">
        <v>950.4</v>
      </c>
      <c r="AM3" s="3">
        <v>967</v>
      </c>
      <c r="AN3" s="3">
        <v>983.5</v>
      </c>
      <c r="AO3" s="3">
        <v>1000</v>
      </c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90</v>
      </c>
      <c r="F4" s="85">
        <v>0.12</v>
      </c>
      <c r="G4" s="85">
        <v>0.12</v>
      </c>
      <c r="H4" s="85">
        <v>0.12</v>
      </c>
      <c r="I4" s="85">
        <v>0.12</v>
      </c>
      <c r="J4" s="85">
        <v>0.12</v>
      </c>
      <c r="K4" s="85">
        <v>0.12</v>
      </c>
      <c r="L4" s="85">
        <v>0.12</v>
      </c>
      <c r="M4" s="85">
        <v>1.3890000000000001E-7</v>
      </c>
      <c r="N4" s="85">
        <v>6.8952000000000001E-10</v>
      </c>
      <c r="O4" s="85">
        <v>6.0562999999999998E-33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>
        <v>0</v>
      </c>
      <c r="AH4" s="85">
        <v>0</v>
      </c>
      <c r="AI4" s="85">
        <v>0</v>
      </c>
      <c r="AJ4" s="85">
        <v>0</v>
      </c>
      <c r="AK4" s="85">
        <v>0</v>
      </c>
      <c r="AL4" s="85">
        <v>0</v>
      </c>
      <c r="AM4" s="85">
        <v>0</v>
      </c>
      <c r="AN4" s="85">
        <v>0</v>
      </c>
      <c r="AO4" s="85">
        <v>0</v>
      </c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49</v>
      </c>
      <c r="F5" s="85">
        <v>5.4661999999999999E-21</v>
      </c>
      <c r="G5" s="85">
        <v>4.9838000000000002E-16</v>
      </c>
      <c r="H5" s="85">
        <v>1.6037E-11</v>
      </c>
      <c r="I5" s="85">
        <v>3.7202000000000002E-10</v>
      </c>
      <c r="J5" s="85">
        <v>1.1706000000000001E-8</v>
      </c>
      <c r="K5" s="85">
        <v>2.1127999999999999E-10</v>
      </c>
      <c r="L5" s="85">
        <v>1.2829E-8</v>
      </c>
      <c r="M5" s="85">
        <v>0.12</v>
      </c>
      <c r="N5" s="85">
        <v>0.12</v>
      </c>
      <c r="O5" s="85">
        <v>0.12</v>
      </c>
      <c r="P5" s="85">
        <v>0.12</v>
      </c>
      <c r="Q5" s="85">
        <v>0.12</v>
      </c>
      <c r="R5" s="85">
        <v>0.36</v>
      </c>
      <c r="S5" s="85">
        <v>0.36</v>
      </c>
      <c r="T5" s="85">
        <v>0.36</v>
      </c>
      <c r="U5" s="85">
        <v>0.36</v>
      </c>
      <c r="V5" s="85">
        <v>0.36</v>
      </c>
      <c r="W5" s="85">
        <v>0.4</v>
      </c>
      <c r="X5" s="85">
        <v>0.4</v>
      </c>
      <c r="Y5" s="85">
        <v>0.4</v>
      </c>
      <c r="Z5" s="85">
        <v>0.4</v>
      </c>
      <c r="AA5" s="85">
        <v>0.4</v>
      </c>
      <c r="AB5" s="85">
        <v>0.4</v>
      </c>
      <c r="AC5" s="85">
        <v>0.4</v>
      </c>
      <c r="AD5" s="85">
        <v>0.4</v>
      </c>
      <c r="AE5" s="85">
        <v>0.4</v>
      </c>
      <c r="AF5" s="85">
        <v>0.4</v>
      </c>
      <c r="AG5" s="85">
        <v>0.47826000000000002</v>
      </c>
      <c r="AH5" s="85">
        <v>0.48</v>
      </c>
      <c r="AI5" s="85">
        <v>0.48</v>
      </c>
      <c r="AJ5" s="85">
        <v>0.48</v>
      </c>
      <c r="AK5" s="85">
        <v>0.48</v>
      </c>
      <c r="AL5" s="85">
        <v>0.48</v>
      </c>
      <c r="AM5" s="85">
        <v>0.48</v>
      </c>
      <c r="AN5" s="85">
        <v>0.48</v>
      </c>
      <c r="AO5" s="85">
        <v>0.48</v>
      </c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1</v>
      </c>
      <c r="D6" s="41">
        <f t="shared" si="0"/>
        <v>0</v>
      </c>
      <c r="E6" s="45" t="s">
        <v>50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5.3754999999999999E-11</v>
      </c>
      <c r="P6" s="85">
        <v>2.0972000000000002E-9</v>
      </c>
      <c r="Q6" s="85">
        <v>2.8223999999999998E-8</v>
      </c>
      <c r="R6" s="85">
        <v>0.24</v>
      </c>
      <c r="S6" s="85">
        <v>0.24</v>
      </c>
      <c r="T6" s="85">
        <v>0.24</v>
      </c>
      <c r="U6" s="85">
        <v>0.24</v>
      </c>
      <c r="V6" s="85">
        <v>0.24</v>
      </c>
      <c r="W6" s="85">
        <v>0.24</v>
      </c>
      <c r="X6" s="85">
        <v>0.24</v>
      </c>
      <c r="Y6" s="85">
        <v>0.24</v>
      </c>
      <c r="Z6" s="85">
        <v>0.24</v>
      </c>
      <c r="AA6" s="85">
        <v>0.24</v>
      </c>
      <c r="AB6" s="85">
        <v>0.24</v>
      </c>
      <c r="AC6" s="85">
        <v>0.24</v>
      </c>
      <c r="AD6" s="85">
        <v>0.24</v>
      </c>
      <c r="AE6" s="85">
        <v>0.24</v>
      </c>
      <c r="AF6" s="85">
        <v>0.24</v>
      </c>
      <c r="AG6" s="85">
        <v>0.22377</v>
      </c>
      <c r="AH6" s="85">
        <v>0.22109000000000001</v>
      </c>
      <c r="AI6" s="85">
        <v>0.21848999999999999</v>
      </c>
      <c r="AJ6" s="85">
        <v>0.21556</v>
      </c>
      <c r="AK6" s="85">
        <v>0.19954</v>
      </c>
      <c r="AL6" s="85">
        <v>0.19405</v>
      </c>
      <c r="AM6" s="85">
        <v>0.18773999999999999</v>
      </c>
      <c r="AN6" s="85">
        <v>0.18042</v>
      </c>
      <c r="AO6" s="85">
        <v>0.17186999999999999</v>
      </c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91</v>
      </c>
      <c r="F7" s="85">
        <v>0.04</v>
      </c>
      <c r="G7" s="85">
        <v>0.04</v>
      </c>
      <c r="H7" s="85">
        <v>0.04</v>
      </c>
      <c r="I7" s="85">
        <v>0.04</v>
      </c>
      <c r="J7" s="85">
        <v>0.04</v>
      </c>
      <c r="K7" s="85">
        <v>0.04</v>
      </c>
      <c r="L7" s="85">
        <v>0.04</v>
      </c>
      <c r="M7" s="85">
        <v>0.04</v>
      </c>
      <c r="N7" s="85">
        <v>0.04</v>
      </c>
      <c r="O7" s="85">
        <v>0.04</v>
      </c>
      <c r="P7" s="85">
        <v>0.04</v>
      </c>
      <c r="Q7" s="85">
        <v>0.04</v>
      </c>
      <c r="R7" s="85">
        <v>0.04</v>
      </c>
      <c r="S7" s="85">
        <v>0.04</v>
      </c>
      <c r="T7" s="85">
        <v>0.04</v>
      </c>
      <c r="U7" s="85">
        <v>0.04</v>
      </c>
      <c r="V7" s="85">
        <v>0.04</v>
      </c>
      <c r="W7" s="85">
        <v>1.424E-7</v>
      </c>
      <c r="X7" s="85">
        <v>1.0972000000000001E-9</v>
      </c>
      <c r="Y7" s="85">
        <v>9.6229000000000004E-11</v>
      </c>
      <c r="Z7" s="85">
        <v>5.8271000000000005E-11</v>
      </c>
      <c r="AA7" s="85">
        <v>2.1642E-12</v>
      </c>
      <c r="AB7" s="85">
        <v>1.2818E-25</v>
      </c>
      <c r="AC7" s="85">
        <v>1.7417000000000001E-30</v>
      </c>
      <c r="AD7" s="85">
        <v>0</v>
      </c>
      <c r="AE7" s="85">
        <v>0</v>
      </c>
      <c r="AF7" s="85">
        <v>0</v>
      </c>
      <c r="AG7" s="85">
        <v>0</v>
      </c>
      <c r="AH7" s="85">
        <v>0</v>
      </c>
      <c r="AI7" s="85">
        <v>0</v>
      </c>
      <c r="AJ7" s="85">
        <v>0</v>
      </c>
      <c r="AK7" s="85">
        <v>0</v>
      </c>
      <c r="AL7" s="85">
        <v>0</v>
      </c>
      <c r="AM7" s="85">
        <v>0</v>
      </c>
      <c r="AN7" s="85">
        <v>0</v>
      </c>
      <c r="AO7" s="85">
        <v>0</v>
      </c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1</v>
      </c>
      <c r="E8" s="45" t="s">
        <v>65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1.1518E-26</v>
      </c>
      <c r="AC8" s="85">
        <v>7.3034000000000001E-24</v>
      </c>
      <c r="AD8" s="85">
        <v>1.4869000000000001E-21</v>
      </c>
      <c r="AE8" s="85">
        <v>3.3623999999999998E-20</v>
      </c>
      <c r="AF8" s="85">
        <v>1.6026E-18</v>
      </c>
      <c r="AG8" s="85">
        <v>1.9519E-19</v>
      </c>
      <c r="AH8" s="85">
        <v>5.4532999999999998E-9</v>
      </c>
      <c r="AI8" s="85">
        <v>7.5101000000000005E-8</v>
      </c>
      <c r="AJ8" s="85">
        <v>1.0739E-7</v>
      </c>
      <c r="AK8" s="85">
        <v>5.0096000000000001E-8</v>
      </c>
      <c r="AL8" s="85">
        <v>3.4189000000000003E-8</v>
      </c>
      <c r="AM8" s="85">
        <v>2.7929999999999999E-8</v>
      </c>
      <c r="AN8" s="85">
        <v>1.2218000000000001E-8</v>
      </c>
      <c r="AO8" s="85">
        <v>4.2837E-9</v>
      </c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1</v>
      </c>
      <c r="D9" s="41">
        <f t="shared" si="0"/>
        <v>0</v>
      </c>
      <c r="E9" s="45" t="s">
        <v>88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9.1062000000000004E-35</v>
      </c>
      <c r="P9" s="85">
        <v>0</v>
      </c>
      <c r="Q9" s="85">
        <v>0</v>
      </c>
      <c r="R9" s="85">
        <v>0</v>
      </c>
      <c r="S9" s="85">
        <v>0</v>
      </c>
      <c r="T9" s="85">
        <v>2.7983E-34</v>
      </c>
      <c r="U9" s="85">
        <v>0</v>
      </c>
      <c r="V9" s="85">
        <v>0</v>
      </c>
      <c r="W9" s="85">
        <v>0</v>
      </c>
      <c r="X9" s="85">
        <v>7.4050999999999994E-36</v>
      </c>
      <c r="Y9" s="85">
        <v>2.9571999999999999E-22</v>
      </c>
      <c r="Z9" s="85">
        <v>1.8627000000000001E-15</v>
      </c>
      <c r="AA9" s="85">
        <v>3.2047E-13</v>
      </c>
      <c r="AB9" s="85">
        <v>1.1559999999999999E-12</v>
      </c>
      <c r="AC9" s="85">
        <v>6.4177E-13</v>
      </c>
      <c r="AD9" s="85">
        <v>5.5436999999999999E-14</v>
      </c>
      <c r="AE9" s="85">
        <v>1.7165999999999999E-17</v>
      </c>
      <c r="AF9" s="85">
        <v>3.0215000000000002E-26</v>
      </c>
      <c r="AG9" s="85">
        <v>0</v>
      </c>
      <c r="AH9" s="85">
        <v>7.9163000000000003E-17</v>
      </c>
      <c r="AI9" s="85">
        <v>1.9423000000000001E-10</v>
      </c>
      <c r="AJ9" s="85">
        <v>2.0087E-10</v>
      </c>
      <c r="AK9" s="85">
        <v>1.3303999999999999E-10</v>
      </c>
      <c r="AL9" s="85">
        <v>6.1639999999999996E-10</v>
      </c>
      <c r="AM9" s="85">
        <v>2.6624999999999999E-9</v>
      </c>
      <c r="AN9" s="85">
        <v>4.5917000000000002E-9</v>
      </c>
      <c r="AO9" s="85">
        <v>8.7147999999999997E-9</v>
      </c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0</v>
      </c>
      <c r="D10" s="41">
        <f t="shared" si="0"/>
        <v>1</v>
      </c>
      <c r="E10" s="45" t="s">
        <v>51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0</v>
      </c>
      <c r="O10" s="85">
        <v>9.6539999999999995E-15</v>
      </c>
      <c r="P10" s="85">
        <v>2.215E-16</v>
      </c>
      <c r="Q10" s="85">
        <v>5.8126E-28</v>
      </c>
      <c r="R10" s="85">
        <v>0</v>
      </c>
      <c r="S10" s="85">
        <v>4.9714999999999998E-17</v>
      </c>
      <c r="T10" s="85">
        <v>1.165E-9</v>
      </c>
      <c r="U10" s="85">
        <v>9.8125999999999998E-9</v>
      </c>
      <c r="V10" s="85">
        <v>1.4137E-7</v>
      </c>
      <c r="W10" s="85">
        <v>0.08</v>
      </c>
      <c r="X10" s="85">
        <v>0.08</v>
      </c>
      <c r="Y10" s="85">
        <v>0.08</v>
      </c>
      <c r="Z10" s="85">
        <v>0.08</v>
      </c>
      <c r="AA10" s="85">
        <v>0.08</v>
      </c>
      <c r="AB10" s="85">
        <v>0.08</v>
      </c>
      <c r="AC10" s="85">
        <v>0.08</v>
      </c>
      <c r="AD10" s="85">
        <v>0.08</v>
      </c>
      <c r="AE10" s="85">
        <v>0.08</v>
      </c>
      <c r="AF10" s="85">
        <v>0.08</v>
      </c>
      <c r="AG10" s="85">
        <v>1.7325999999999999E-3</v>
      </c>
      <c r="AH10" s="85">
        <v>8.9316000000000001E-9</v>
      </c>
      <c r="AI10" s="85">
        <v>4.5513000000000001E-10</v>
      </c>
      <c r="AJ10" s="85">
        <v>1.2547E-14</v>
      </c>
      <c r="AK10" s="85">
        <v>0</v>
      </c>
      <c r="AL10" s="85">
        <v>0</v>
      </c>
      <c r="AM10" s="85">
        <v>0</v>
      </c>
      <c r="AN10" s="85">
        <v>0</v>
      </c>
      <c r="AO10" s="85">
        <v>0</v>
      </c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1</v>
      </c>
      <c r="D11" s="41">
        <f t="shared" si="0"/>
        <v>0</v>
      </c>
      <c r="E11" s="45" t="s">
        <v>67</v>
      </c>
      <c r="F11" s="85">
        <v>0.12</v>
      </c>
      <c r="G11" s="85">
        <v>0.12</v>
      </c>
      <c r="H11" s="85">
        <v>0.12</v>
      </c>
      <c r="I11" s="85">
        <v>0.12</v>
      </c>
      <c r="J11" s="85">
        <v>0.12</v>
      </c>
      <c r="K11" s="85">
        <v>0.12</v>
      </c>
      <c r="L11" s="85">
        <v>0.12</v>
      </c>
      <c r="M11" s="85">
        <v>0.24</v>
      </c>
      <c r="N11" s="85">
        <v>0.24</v>
      </c>
      <c r="O11" s="85">
        <v>0.24</v>
      </c>
      <c r="P11" s="85">
        <v>0.24</v>
      </c>
      <c r="Q11" s="85">
        <v>0.24</v>
      </c>
      <c r="R11" s="85">
        <v>1.9229999999999999E-7</v>
      </c>
      <c r="S11" s="85">
        <v>4.4481999999999996E-9</v>
      </c>
      <c r="T11" s="85">
        <v>6.2589000000000005E-11</v>
      </c>
      <c r="U11" s="85">
        <v>6.6348000000000001E-22</v>
      </c>
      <c r="V11" s="85">
        <v>0</v>
      </c>
      <c r="W11" s="85">
        <v>0</v>
      </c>
      <c r="X11" s="85">
        <v>0</v>
      </c>
      <c r="Y11" s="85">
        <v>1.8674999999999999E-26</v>
      </c>
      <c r="Z11" s="85">
        <v>7.2121999999999998E-21</v>
      </c>
      <c r="AA11" s="85">
        <v>1.0888999999999999E-20</v>
      </c>
      <c r="AB11" s="85">
        <v>1.1313999999999999E-34</v>
      </c>
      <c r="AC11" s="85">
        <v>0</v>
      </c>
      <c r="AD11" s="85">
        <v>0</v>
      </c>
      <c r="AE11" s="85">
        <v>0</v>
      </c>
      <c r="AF11" s="85">
        <v>0</v>
      </c>
      <c r="AG11" s="85">
        <v>0</v>
      </c>
      <c r="AH11" s="85">
        <v>0</v>
      </c>
      <c r="AI11" s="85">
        <v>0</v>
      </c>
      <c r="AJ11" s="85">
        <v>0</v>
      </c>
      <c r="AK11" s="85">
        <v>0</v>
      </c>
      <c r="AL11" s="85">
        <v>0</v>
      </c>
      <c r="AM11" s="85">
        <v>0</v>
      </c>
      <c r="AN11" s="85">
        <v>0</v>
      </c>
      <c r="AO11" s="85">
        <v>0</v>
      </c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2</v>
      </c>
      <c r="E12" s="45" t="s">
        <v>84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0</v>
      </c>
      <c r="L12" s="85">
        <v>0</v>
      </c>
      <c r="M12" s="85">
        <v>0</v>
      </c>
      <c r="N12" s="85">
        <v>0</v>
      </c>
      <c r="O12" s="85">
        <v>6.7158000000000004E-32</v>
      </c>
      <c r="P12" s="85">
        <v>7.8559999999999994E-30</v>
      </c>
      <c r="Q12" s="85">
        <v>6.8758000000000001E-28</v>
      </c>
      <c r="R12" s="85">
        <v>4.6262E-26</v>
      </c>
      <c r="S12" s="85">
        <v>2.4502999999999999E-24</v>
      </c>
      <c r="T12" s="85">
        <v>1.0432999999999999E-22</v>
      </c>
      <c r="U12" s="85">
        <v>3.6384000000000001E-21</v>
      </c>
      <c r="V12" s="85">
        <v>1.0564E-19</v>
      </c>
      <c r="W12" s="85">
        <v>2.1632000000000002E-18</v>
      </c>
      <c r="X12" s="85">
        <v>2.2930999999999999E-17</v>
      </c>
      <c r="Y12" s="85">
        <v>2.164E-16</v>
      </c>
      <c r="Z12" s="85">
        <v>1.8337999999999999E-15</v>
      </c>
      <c r="AA12" s="85">
        <v>1.4064E-14</v>
      </c>
      <c r="AB12" s="85">
        <v>2.0505000000000001E-11</v>
      </c>
      <c r="AC12" s="85">
        <v>1.0499E-10</v>
      </c>
      <c r="AD12" s="85">
        <v>5.0348E-10</v>
      </c>
      <c r="AE12" s="85">
        <v>2.2703999999999999E-9</v>
      </c>
      <c r="AF12" s="85">
        <v>9.6634000000000004E-9</v>
      </c>
      <c r="AG12" s="85">
        <v>3.7783000000000002E-8</v>
      </c>
      <c r="AH12" s="85">
        <v>3.7529999999999999E-8</v>
      </c>
      <c r="AI12" s="85">
        <v>3.6855000000000001E-8</v>
      </c>
      <c r="AJ12" s="85">
        <v>3.5753999999999997E-8</v>
      </c>
      <c r="AK12" s="85">
        <v>2.8010999999999999E-8</v>
      </c>
      <c r="AL12" s="85">
        <v>2.5524999999999999E-8</v>
      </c>
      <c r="AM12" s="85">
        <v>2.2941E-8</v>
      </c>
      <c r="AN12" s="85">
        <v>2.0319999999999999E-8</v>
      </c>
      <c r="AO12" s="85">
        <v>1.7716999999999999E-8</v>
      </c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5">
        <v>0.2</v>
      </c>
      <c r="G13" s="85">
        <v>0.2</v>
      </c>
      <c r="H13" s="85">
        <v>0.2</v>
      </c>
      <c r="I13" s="85">
        <v>0.2</v>
      </c>
      <c r="J13" s="85">
        <v>0.2</v>
      </c>
      <c r="K13" s="85">
        <v>0.2</v>
      </c>
      <c r="L13" s="85">
        <v>0.2</v>
      </c>
      <c r="M13" s="85">
        <v>0.2</v>
      </c>
      <c r="N13" s="85">
        <v>0.2</v>
      </c>
      <c r="O13" s="85">
        <v>0.2</v>
      </c>
      <c r="P13" s="85">
        <v>0.2</v>
      </c>
      <c r="Q13" s="85">
        <v>0.2</v>
      </c>
      <c r="R13" s="85">
        <v>0.2</v>
      </c>
      <c r="S13" s="85">
        <v>0.2</v>
      </c>
      <c r="T13" s="85">
        <v>0.2</v>
      </c>
      <c r="U13" s="85">
        <v>0.2</v>
      </c>
      <c r="V13" s="85">
        <v>0.2</v>
      </c>
      <c r="W13" s="85">
        <v>0.2</v>
      </c>
      <c r="X13" s="85">
        <v>0.2</v>
      </c>
      <c r="Y13" s="85">
        <v>0.2</v>
      </c>
      <c r="Z13" s="85">
        <v>0.2</v>
      </c>
      <c r="AA13" s="85">
        <v>0.2</v>
      </c>
      <c r="AB13" s="85">
        <v>0.2</v>
      </c>
      <c r="AC13" s="85">
        <v>0.2</v>
      </c>
      <c r="AD13" s="85">
        <v>0.2</v>
      </c>
      <c r="AE13" s="85">
        <v>0.2</v>
      </c>
      <c r="AF13" s="85">
        <v>0.2</v>
      </c>
      <c r="AG13" s="85">
        <v>0.2</v>
      </c>
      <c r="AH13" s="85">
        <v>0.2</v>
      </c>
      <c r="AI13" s="85">
        <v>0.2</v>
      </c>
      <c r="AJ13" s="85">
        <v>0.2</v>
      </c>
      <c r="AK13" s="85">
        <v>0.2</v>
      </c>
      <c r="AL13" s="85">
        <v>0.2</v>
      </c>
      <c r="AM13" s="85">
        <v>0.2</v>
      </c>
      <c r="AN13" s="85">
        <v>0.2</v>
      </c>
      <c r="AO13" s="85">
        <v>0.2</v>
      </c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92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85">
        <v>0</v>
      </c>
      <c r="O14" s="85">
        <v>9.2753999999999991E-22</v>
      </c>
      <c r="P14" s="85">
        <v>1.2598000000000001E-23</v>
      </c>
      <c r="Q14" s="85">
        <v>0</v>
      </c>
      <c r="R14" s="85">
        <v>0</v>
      </c>
      <c r="S14" s="85">
        <v>1.075E-35</v>
      </c>
      <c r="T14" s="85">
        <v>5.1984999999999998E-28</v>
      </c>
      <c r="U14" s="85">
        <v>0</v>
      </c>
      <c r="V14" s="85">
        <v>0</v>
      </c>
      <c r="W14" s="85">
        <v>0</v>
      </c>
      <c r="X14" s="85">
        <v>1.518E-34</v>
      </c>
      <c r="Y14" s="85">
        <v>1.1489999999999999E-21</v>
      </c>
      <c r="Z14" s="85">
        <v>4.4020000000000001E-15</v>
      </c>
      <c r="AA14" s="85">
        <v>7.4308E-13</v>
      </c>
      <c r="AB14" s="85">
        <v>4.3881999999999999E-11</v>
      </c>
      <c r="AC14" s="85">
        <v>1.8361E-10</v>
      </c>
      <c r="AD14" s="85">
        <v>6.8502999999999996E-10</v>
      </c>
      <c r="AE14" s="85">
        <v>1.3372000000000001E-9</v>
      </c>
      <c r="AF14" s="85">
        <v>2.3686999999999999E-8</v>
      </c>
      <c r="AG14" s="85">
        <v>7.8268000000000004E-2</v>
      </c>
      <c r="AH14" s="85">
        <v>0.08</v>
      </c>
      <c r="AI14" s="85">
        <v>0.08</v>
      </c>
      <c r="AJ14" s="85">
        <v>0.08</v>
      </c>
      <c r="AK14" s="85">
        <v>0.08</v>
      </c>
      <c r="AL14" s="85">
        <v>0.08</v>
      </c>
      <c r="AM14" s="85">
        <v>0.08</v>
      </c>
      <c r="AN14" s="85">
        <v>0.08</v>
      </c>
      <c r="AO14" s="85">
        <v>0.08</v>
      </c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1</v>
      </c>
      <c r="D15" s="41">
        <f t="shared" si="0"/>
        <v>0</v>
      </c>
      <c r="E15" s="45" t="s">
        <v>87</v>
      </c>
      <c r="F15" s="85">
        <v>1.1339999999999999E-28</v>
      </c>
      <c r="G15" s="85">
        <v>9.9659000000000007E-27</v>
      </c>
      <c r="H15" s="85">
        <v>5.6602000000000001E-25</v>
      </c>
      <c r="I15" s="85">
        <v>1.4090999999999999E-32</v>
      </c>
      <c r="J15" s="85">
        <v>0</v>
      </c>
      <c r="K15" s="85">
        <v>1.0263000000000001E-30</v>
      </c>
      <c r="L15" s="85">
        <v>0</v>
      </c>
      <c r="M15" s="85">
        <v>0</v>
      </c>
      <c r="N15" s="85">
        <v>4.1975999999999999E-33</v>
      </c>
      <c r="O15" s="85">
        <v>4.9404000000000002E-12</v>
      </c>
      <c r="P15" s="85">
        <v>9.5248999999999998E-15</v>
      </c>
      <c r="Q15" s="85">
        <v>5.3538E-29</v>
      </c>
      <c r="R15" s="85">
        <v>0</v>
      </c>
      <c r="S15" s="85">
        <v>1.6988000000000001E-29</v>
      </c>
      <c r="T15" s="85">
        <v>8.8894000000000001E-23</v>
      </c>
      <c r="U15" s="85">
        <v>1.7912000000000001E-34</v>
      </c>
      <c r="V15" s="85">
        <v>0</v>
      </c>
      <c r="W15" s="85">
        <v>0</v>
      </c>
      <c r="X15" s="85">
        <v>1.4560999999999999E-32</v>
      </c>
      <c r="Y15" s="85">
        <v>2.6026E-20</v>
      </c>
      <c r="Z15" s="85">
        <v>2.4966000000000001E-14</v>
      </c>
      <c r="AA15" s="85">
        <v>1.1142E-12</v>
      </c>
      <c r="AB15" s="85">
        <v>5.1652E-13</v>
      </c>
      <c r="AC15" s="85">
        <v>7.1352999999999999E-13</v>
      </c>
      <c r="AD15" s="85">
        <v>9.1139000000000002E-13</v>
      </c>
      <c r="AE15" s="85">
        <v>6.3024000000000005E-13</v>
      </c>
      <c r="AF15" s="85">
        <v>4.0841999999999999E-12</v>
      </c>
      <c r="AG15" s="85">
        <v>5.1673999999999999E-6</v>
      </c>
      <c r="AH15" s="85">
        <v>4.0241000000000001E-6</v>
      </c>
      <c r="AI15" s="85">
        <v>3.0925999999999998E-6</v>
      </c>
      <c r="AJ15" s="85">
        <v>2.3978000000000001E-6</v>
      </c>
      <c r="AK15" s="85">
        <v>9.4526999999999999E-7</v>
      </c>
      <c r="AL15" s="85">
        <v>7.6555999999999998E-7</v>
      </c>
      <c r="AM15" s="85">
        <v>6.2565999999999995E-7</v>
      </c>
      <c r="AN15" s="85">
        <v>5.1615000000000003E-7</v>
      </c>
      <c r="AO15" s="85">
        <v>4.3001999999999998E-7</v>
      </c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85</v>
      </c>
      <c r="F16" s="85">
        <v>2.1403999999999999E-36</v>
      </c>
      <c r="G16" s="85">
        <v>5.2692999999999997E-34</v>
      </c>
      <c r="H16" s="85">
        <v>7.4656999999999998E-32</v>
      </c>
      <c r="I16" s="85">
        <v>0</v>
      </c>
      <c r="J16" s="85">
        <v>0</v>
      </c>
      <c r="K16" s="85">
        <v>8.2000999999999998E-36</v>
      </c>
      <c r="L16" s="85">
        <v>0</v>
      </c>
      <c r="M16" s="85">
        <v>0</v>
      </c>
      <c r="N16" s="85">
        <v>0</v>
      </c>
      <c r="O16" s="85">
        <v>4.0425999999999999E-14</v>
      </c>
      <c r="P16" s="85">
        <v>1.9737999999999999E-16</v>
      </c>
      <c r="Q16" s="85">
        <v>2.6717E-30</v>
      </c>
      <c r="R16" s="85">
        <v>0</v>
      </c>
      <c r="S16" s="85">
        <v>4.3027000000000003E-30</v>
      </c>
      <c r="T16" s="85">
        <v>4.7812000000000001E-23</v>
      </c>
      <c r="U16" s="85">
        <v>1.9754E-34</v>
      </c>
      <c r="V16" s="85">
        <v>0</v>
      </c>
      <c r="W16" s="85">
        <v>0</v>
      </c>
      <c r="X16" s="85">
        <v>1.1523E-31</v>
      </c>
      <c r="Y16" s="85">
        <v>3.7651999999999999E-19</v>
      </c>
      <c r="Z16" s="85">
        <v>6.4488999999999999E-13</v>
      </c>
      <c r="AA16" s="85">
        <v>5.0274E-11</v>
      </c>
      <c r="AB16" s="85">
        <v>1.7922E-10</v>
      </c>
      <c r="AC16" s="85">
        <v>3.954E-10</v>
      </c>
      <c r="AD16" s="85">
        <v>7.9486999999999997E-10</v>
      </c>
      <c r="AE16" s="85">
        <v>8.5324000000000004E-10</v>
      </c>
      <c r="AF16" s="85">
        <v>8.4726999999999995E-9</v>
      </c>
      <c r="AG16" s="85">
        <v>1.6226000000000001E-2</v>
      </c>
      <c r="AH16" s="85">
        <v>1.8908999999999999E-2</v>
      </c>
      <c r="AI16" s="85">
        <v>2.1510000000000001E-2</v>
      </c>
      <c r="AJ16" s="85">
        <v>2.4433E-2</v>
      </c>
      <c r="AK16" s="85">
        <v>4.0459000000000002E-2</v>
      </c>
      <c r="AL16" s="85">
        <v>4.5946000000000001E-2</v>
      </c>
      <c r="AM16" s="85">
        <v>5.2259E-2</v>
      </c>
      <c r="AN16" s="85">
        <v>5.9575000000000003E-2</v>
      </c>
      <c r="AO16" s="85">
        <v>6.8126000000000006E-2</v>
      </c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 t="s">
        <v>26</v>
      </c>
      <c r="F17" s="85">
        <v>-18.62</v>
      </c>
      <c r="G17" s="85">
        <v>-18.61</v>
      </c>
      <c r="H17" s="85">
        <v>-18.61</v>
      </c>
      <c r="I17" s="85">
        <v>-18.62</v>
      </c>
      <c r="J17" s="85">
        <v>-18.63</v>
      </c>
      <c r="K17" s="85">
        <v>-18.649999999999999</v>
      </c>
      <c r="L17" s="85">
        <v>-18.670000000000002</v>
      </c>
      <c r="M17" s="85">
        <v>-18.690000000000001</v>
      </c>
      <c r="N17" s="85">
        <v>-18.72</v>
      </c>
      <c r="O17" s="85">
        <v>-18.84</v>
      </c>
      <c r="P17" s="85">
        <v>-18.87</v>
      </c>
      <c r="Q17" s="85">
        <v>-18.899999999999999</v>
      </c>
      <c r="R17" s="85">
        <v>-18.940000000000001</v>
      </c>
      <c r="S17" s="85">
        <v>-18.97</v>
      </c>
      <c r="T17" s="85">
        <v>-19.010000000000002</v>
      </c>
      <c r="U17" s="85">
        <v>-19.04</v>
      </c>
      <c r="V17" s="85">
        <v>-19.07</v>
      </c>
      <c r="W17" s="85">
        <v>-19.11</v>
      </c>
      <c r="X17" s="85">
        <v>-19.14</v>
      </c>
      <c r="Y17" s="85">
        <v>-19.18</v>
      </c>
      <c r="Z17" s="85">
        <v>-19.21</v>
      </c>
      <c r="AA17" s="85">
        <v>-19.25</v>
      </c>
      <c r="AB17" s="85">
        <v>-19.38</v>
      </c>
      <c r="AC17" s="85">
        <v>-19.420000000000002</v>
      </c>
      <c r="AD17" s="85">
        <v>-19.45</v>
      </c>
      <c r="AE17" s="85">
        <v>-19.48</v>
      </c>
      <c r="AF17" s="85">
        <v>-19.510000000000002</v>
      </c>
      <c r="AG17" s="85">
        <v>-19.55</v>
      </c>
      <c r="AH17" s="85">
        <v>-19.579999999999998</v>
      </c>
      <c r="AI17" s="85">
        <v>-19.61</v>
      </c>
      <c r="AJ17" s="85">
        <v>-19.64</v>
      </c>
      <c r="AK17" s="85">
        <v>-19.760000000000002</v>
      </c>
      <c r="AL17" s="85">
        <v>-19.79</v>
      </c>
      <c r="AM17" s="85">
        <v>-19.82</v>
      </c>
      <c r="AN17" s="85">
        <v>-19.850000000000001</v>
      </c>
      <c r="AO17" s="85">
        <v>-19.88</v>
      </c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5</v>
      </c>
      <c r="F18" s="85">
        <v>-64.92</v>
      </c>
      <c r="G18" s="85">
        <v>-61.45</v>
      </c>
      <c r="H18" s="85">
        <v>-58.36</v>
      </c>
      <c r="I18" s="85">
        <v>-55.6</v>
      </c>
      <c r="J18" s="85">
        <v>-53.11</v>
      </c>
      <c r="K18" s="85">
        <v>-48.02</v>
      </c>
      <c r="L18" s="85">
        <v>-46.01</v>
      </c>
      <c r="M18" s="85">
        <v>-43.86</v>
      </c>
      <c r="N18" s="85">
        <v>-40.98</v>
      </c>
      <c r="O18" s="85">
        <v>-31.32</v>
      </c>
      <c r="P18" s="85">
        <v>-29.28</v>
      </c>
      <c r="Q18" s="85">
        <v>-27.35</v>
      </c>
      <c r="R18" s="85">
        <v>-25.53</v>
      </c>
      <c r="S18" s="85">
        <v>-23.81</v>
      </c>
      <c r="T18" s="85">
        <v>-22.18</v>
      </c>
      <c r="U18" s="85">
        <v>-20.63</v>
      </c>
      <c r="V18" s="85">
        <v>-19.16</v>
      </c>
      <c r="W18" s="85">
        <v>-17.850000000000001</v>
      </c>
      <c r="X18" s="85">
        <v>-16.850000000000001</v>
      </c>
      <c r="Y18" s="85">
        <v>-15.9</v>
      </c>
      <c r="Z18" s="85">
        <v>-15</v>
      </c>
      <c r="AA18" s="85">
        <v>-14.13</v>
      </c>
      <c r="AB18" s="85">
        <v>-11</v>
      </c>
      <c r="AC18" s="85">
        <v>-10.29</v>
      </c>
      <c r="AD18" s="85">
        <v>-9.6059999999999999</v>
      </c>
      <c r="AE18" s="85">
        <v>-8.9480000000000004</v>
      </c>
      <c r="AF18" s="85">
        <v>-8.3130000000000006</v>
      </c>
      <c r="AG18" s="85">
        <v>-7.7149999999999999</v>
      </c>
      <c r="AH18" s="85">
        <v>-7.7969999999999997</v>
      </c>
      <c r="AI18" s="85">
        <v>-7.8789999999999996</v>
      </c>
      <c r="AJ18" s="85">
        <v>-7.9630000000000001</v>
      </c>
      <c r="AK18" s="85">
        <v>-8.3190000000000008</v>
      </c>
      <c r="AL18" s="85">
        <v>-8.4149999999999991</v>
      </c>
      <c r="AM18" s="85">
        <v>-8.5139999999999993</v>
      </c>
      <c r="AN18" s="85">
        <v>-8.6180000000000003</v>
      </c>
      <c r="AO18" s="85">
        <v>-8.7260000000000009</v>
      </c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6</v>
      </c>
      <c r="F19" s="85">
        <v>-15.86</v>
      </c>
      <c r="G19" s="85">
        <v>-15.23</v>
      </c>
      <c r="H19" s="85">
        <v>-14.68</v>
      </c>
      <c r="I19" s="85">
        <v>-14.19</v>
      </c>
      <c r="J19" s="85">
        <v>-13.76</v>
      </c>
      <c r="K19" s="85">
        <v>-11.49</v>
      </c>
      <c r="L19" s="85">
        <v>-11.16</v>
      </c>
      <c r="M19" s="85">
        <v>-10.67</v>
      </c>
      <c r="N19" s="85">
        <v>-9.6129999999999995</v>
      </c>
      <c r="O19" s="85">
        <v>-6.0380000000000003</v>
      </c>
      <c r="P19" s="85">
        <v>-5.2729999999999997</v>
      </c>
      <c r="Q19" s="85">
        <v>-4.55</v>
      </c>
      <c r="R19" s="85">
        <v>-4.1150000000000002</v>
      </c>
      <c r="S19" s="85">
        <v>-4.1550000000000002</v>
      </c>
      <c r="T19" s="85">
        <v>-4.1950000000000003</v>
      </c>
      <c r="U19" s="85">
        <v>-4.2359999999999998</v>
      </c>
      <c r="V19" s="85">
        <v>-4.2759999999999998</v>
      </c>
      <c r="W19" s="85">
        <v>-4.3170000000000002</v>
      </c>
      <c r="X19" s="85">
        <v>-4.3579999999999997</v>
      </c>
      <c r="Y19" s="85">
        <v>-4.399</v>
      </c>
      <c r="Z19" s="85">
        <v>-4.4400000000000004</v>
      </c>
      <c r="AA19" s="85">
        <v>-4.4809999999999999</v>
      </c>
      <c r="AB19" s="85">
        <v>-4.6429999999999998</v>
      </c>
      <c r="AC19" s="85">
        <v>-4.6829999999999998</v>
      </c>
      <c r="AD19" s="85">
        <v>-4.7220000000000004</v>
      </c>
      <c r="AE19" s="85">
        <v>-4.7619999999999996</v>
      </c>
      <c r="AF19" s="85">
        <v>-4.8010000000000002</v>
      </c>
      <c r="AG19" s="85">
        <v>-4.84</v>
      </c>
      <c r="AH19" s="85">
        <v>-4.8780000000000001</v>
      </c>
      <c r="AI19" s="85">
        <v>-4.9169999999999998</v>
      </c>
      <c r="AJ19" s="85">
        <v>-4.9550000000000001</v>
      </c>
      <c r="AK19" s="85">
        <v>-5.1040000000000001</v>
      </c>
      <c r="AL19" s="85">
        <v>-5.141</v>
      </c>
      <c r="AM19" s="85">
        <v>-5.1769999999999996</v>
      </c>
      <c r="AN19" s="85">
        <v>-5.2130000000000001</v>
      </c>
      <c r="AO19" s="85">
        <v>-5.2489999999999997</v>
      </c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7</v>
      </c>
      <c r="F20" s="85">
        <v>-23.95</v>
      </c>
      <c r="G20" s="85">
        <v>-22.83</v>
      </c>
      <c r="H20" s="85">
        <v>-21.83</v>
      </c>
      <c r="I20" s="85">
        <v>-20.95</v>
      </c>
      <c r="J20" s="85">
        <v>-20.149999999999999</v>
      </c>
      <c r="K20" s="85">
        <v>-21.33</v>
      </c>
      <c r="L20" s="85">
        <v>-20.67</v>
      </c>
      <c r="M20" s="85">
        <v>-20.28</v>
      </c>
      <c r="N20" s="85">
        <v>-20.53</v>
      </c>
      <c r="O20" s="85">
        <v>-21.53</v>
      </c>
      <c r="P20" s="85">
        <v>-21.78</v>
      </c>
      <c r="Q20" s="85">
        <v>-22.02</v>
      </c>
      <c r="R20" s="85">
        <v>-22.27</v>
      </c>
      <c r="S20" s="85">
        <v>-22.52</v>
      </c>
      <c r="T20" s="85">
        <v>-22.76</v>
      </c>
      <c r="U20" s="85">
        <v>-23</v>
      </c>
      <c r="V20" s="85">
        <v>-23.24</v>
      </c>
      <c r="W20" s="85">
        <v>-23.48</v>
      </c>
      <c r="X20" s="85">
        <v>-23.72</v>
      </c>
      <c r="Y20" s="85">
        <v>-23.95</v>
      </c>
      <c r="Z20" s="85">
        <v>-24.18</v>
      </c>
      <c r="AA20" s="85">
        <v>-24.41</v>
      </c>
      <c r="AB20" s="85">
        <v>-25.31</v>
      </c>
      <c r="AC20" s="85">
        <v>-25.53</v>
      </c>
      <c r="AD20" s="85">
        <v>-25.75</v>
      </c>
      <c r="AE20" s="85">
        <v>-25.97</v>
      </c>
      <c r="AF20" s="85">
        <v>-26.18</v>
      </c>
      <c r="AG20" s="85">
        <v>-26.39</v>
      </c>
      <c r="AH20" s="85">
        <v>-26.6</v>
      </c>
      <c r="AI20" s="85">
        <v>-26.81</v>
      </c>
      <c r="AJ20" s="85">
        <v>-27.02</v>
      </c>
      <c r="AK20" s="85">
        <v>-27.83</v>
      </c>
      <c r="AL20" s="85">
        <v>-28.03</v>
      </c>
      <c r="AM20" s="85">
        <v>-28.23</v>
      </c>
      <c r="AN20" s="85">
        <v>-28.42</v>
      </c>
      <c r="AO20" s="85">
        <v>-28.62</v>
      </c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1</v>
      </c>
      <c r="AG33" s="106">
        <f t="shared" si="3"/>
        <v>1</v>
      </c>
      <c r="AH33" s="106">
        <f t="shared" si="3"/>
        <v>1</v>
      </c>
      <c r="AI33" s="106">
        <f t="shared" si="3"/>
        <v>1</v>
      </c>
      <c r="AJ33" s="106">
        <f t="shared" si="3"/>
        <v>1</v>
      </c>
      <c r="AK33" s="106">
        <f t="shared" si="3"/>
        <v>1</v>
      </c>
      <c r="AL33" s="106">
        <f t="shared" si="3"/>
        <v>1</v>
      </c>
      <c r="AM33" s="106">
        <f t="shared" si="3"/>
        <v>1</v>
      </c>
      <c r="AN33" s="106">
        <f t="shared" si="3"/>
        <v>1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14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-18.61</v>
      </c>
      <c r="H34" s="14">
        <f t="shared" ca="1" si="4"/>
        <v>-18.61</v>
      </c>
      <c r="I34" s="14">
        <f t="shared" ca="1" si="4"/>
        <v>-18.62</v>
      </c>
      <c r="J34" s="14">
        <f t="shared" ca="1" si="4"/>
        <v>-18.63</v>
      </c>
      <c r="K34" s="14">
        <f t="shared" ca="1" si="4"/>
        <v>-18.649999999999999</v>
      </c>
      <c r="L34" s="14">
        <f t="shared" ca="1" si="4"/>
        <v>-18.670000000000002</v>
      </c>
      <c r="M34" s="14">
        <f t="shared" ca="1" si="4"/>
        <v>-18.690000000000001</v>
      </c>
      <c r="N34" s="14">
        <f t="shared" ca="1" si="4"/>
        <v>-18.72</v>
      </c>
      <c r="O34" s="14">
        <f t="shared" ca="1" si="4"/>
        <v>-18.84</v>
      </c>
      <c r="P34" s="14">
        <f t="shared" ca="1" si="4"/>
        <v>-18.87</v>
      </c>
      <c r="Q34" s="14">
        <f t="shared" ca="1" si="4"/>
        <v>-18.899999999999999</v>
      </c>
      <c r="R34" s="14">
        <f t="shared" ca="1" si="4"/>
        <v>-18.940000000000001</v>
      </c>
      <c r="S34" s="14">
        <f t="shared" ca="1" si="4"/>
        <v>-18.97</v>
      </c>
      <c r="T34" s="14">
        <f t="shared" ca="1" si="4"/>
        <v>-19.010000000000002</v>
      </c>
      <c r="U34" s="14">
        <f t="shared" ca="1" si="4"/>
        <v>-19.04</v>
      </c>
      <c r="V34" s="14">
        <f t="shared" ca="1" si="4"/>
        <v>-19.07</v>
      </c>
      <c r="W34" s="14">
        <f t="shared" ca="1" si="4"/>
        <v>-19.11</v>
      </c>
      <c r="X34" s="14">
        <f t="shared" ca="1" si="4"/>
        <v>-19.14</v>
      </c>
      <c r="Y34" s="14">
        <f t="shared" ca="1" si="4"/>
        <v>-19.18</v>
      </c>
      <c r="Z34" s="14">
        <f t="shared" ca="1" si="4"/>
        <v>-19.21</v>
      </c>
      <c r="AA34" s="14">
        <f t="shared" ca="1" si="4"/>
        <v>-19.25</v>
      </c>
      <c r="AB34" s="14">
        <f t="shared" ca="1" si="4"/>
        <v>-19.38</v>
      </c>
      <c r="AC34" s="14">
        <f t="shared" ca="1" si="4"/>
        <v>-19.420000000000002</v>
      </c>
      <c r="AD34" s="14">
        <f t="shared" ca="1" si="4"/>
        <v>-19.45</v>
      </c>
      <c r="AE34" s="14">
        <f t="shared" ca="1" si="4"/>
        <v>-19.48</v>
      </c>
      <c r="AF34" s="14">
        <f t="shared" ca="1" si="4"/>
        <v>-19.510000000000002</v>
      </c>
      <c r="AG34" s="14">
        <f t="shared" ca="1" si="4"/>
        <v>-19.55</v>
      </c>
      <c r="AH34" s="14">
        <f t="shared" ca="1" si="4"/>
        <v>-19.579999999999998</v>
      </c>
      <c r="AI34" s="14">
        <f t="shared" ca="1" si="4"/>
        <v>-19.61</v>
      </c>
      <c r="AJ34" s="14">
        <f t="shared" ca="1" si="4"/>
        <v>-19.64</v>
      </c>
      <c r="AK34" s="14">
        <f t="shared" ca="1" si="4"/>
        <v>-19.760000000000002</v>
      </c>
      <c r="AL34" s="14">
        <f t="shared" ca="1" si="4"/>
        <v>-19.79</v>
      </c>
      <c r="AM34" s="14">
        <f t="shared" ca="1" si="4"/>
        <v>-19.82</v>
      </c>
      <c r="AN34" s="14">
        <f t="shared" ca="1" si="4"/>
        <v>-19.850000000000001</v>
      </c>
      <c r="AO34" s="14">
        <f t="shared" ca="1" si="4"/>
        <v>-19.88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15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-61.45</v>
      </c>
      <c r="H35" s="14">
        <f t="shared" ca="1" si="8"/>
        <v>-58.36</v>
      </c>
      <c r="I35" s="14">
        <f t="shared" ca="1" si="8"/>
        <v>-55.6</v>
      </c>
      <c r="J35" s="14">
        <f t="shared" ca="1" si="8"/>
        <v>-53.11</v>
      </c>
      <c r="K35" s="14">
        <f t="shared" ca="1" si="8"/>
        <v>-48.02</v>
      </c>
      <c r="L35" s="14">
        <f t="shared" ca="1" si="8"/>
        <v>-46.01</v>
      </c>
      <c r="M35" s="14">
        <f t="shared" ca="1" si="8"/>
        <v>-43.86</v>
      </c>
      <c r="N35" s="14">
        <f t="shared" ca="1" si="8"/>
        <v>-40.98</v>
      </c>
      <c r="O35" s="14">
        <f t="shared" ca="1" si="8"/>
        <v>-31.32</v>
      </c>
      <c r="P35" s="14">
        <f t="shared" ca="1" si="8"/>
        <v>-29.28</v>
      </c>
      <c r="Q35" s="14">
        <f t="shared" ca="1" si="8"/>
        <v>-27.35</v>
      </c>
      <c r="R35" s="14">
        <f t="shared" ca="1" si="8"/>
        <v>-25.53</v>
      </c>
      <c r="S35" s="14">
        <f t="shared" ca="1" si="8"/>
        <v>-23.81</v>
      </c>
      <c r="T35" s="14">
        <f t="shared" ca="1" si="8"/>
        <v>-22.18</v>
      </c>
      <c r="U35" s="14">
        <f t="shared" ca="1" si="8"/>
        <v>-20.63</v>
      </c>
      <c r="V35" s="14">
        <f t="shared" ca="1" si="4"/>
        <v>-19.16</v>
      </c>
      <c r="W35" s="14">
        <f t="shared" ca="1" si="4"/>
        <v>-17.850000000000001</v>
      </c>
      <c r="X35" s="14">
        <f t="shared" ca="1" si="4"/>
        <v>-16.850000000000001</v>
      </c>
      <c r="Y35" s="14">
        <f t="shared" ca="1" si="4"/>
        <v>-15.9</v>
      </c>
      <c r="Z35" s="14">
        <f t="shared" ca="1" si="4"/>
        <v>-15</v>
      </c>
      <c r="AA35" s="14">
        <f t="shared" ca="1" si="4"/>
        <v>-14.13</v>
      </c>
      <c r="AB35" s="14">
        <f t="shared" ca="1" si="4"/>
        <v>-11</v>
      </c>
      <c r="AC35" s="14">
        <f t="shared" ca="1" si="4"/>
        <v>-10.29</v>
      </c>
      <c r="AD35" s="14">
        <f t="shared" ca="1" si="4"/>
        <v>-9.6059999999999999</v>
      </c>
      <c r="AE35" s="14">
        <f t="shared" ca="1" si="4"/>
        <v>-8.9480000000000004</v>
      </c>
      <c r="AF35" s="14">
        <f t="shared" ca="1" si="4"/>
        <v>-8.3130000000000006</v>
      </c>
      <c r="AG35" s="14">
        <f t="shared" ca="1" si="4"/>
        <v>-7.7149999999999999</v>
      </c>
      <c r="AH35" s="14">
        <f t="shared" ca="1" si="4"/>
        <v>-7.7969999999999997</v>
      </c>
      <c r="AI35" s="14">
        <f t="shared" ca="1" si="4"/>
        <v>-7.8789999999999996</v>
      </c>
      <c r="AJ35" s="14">
        <f t="shared" ca="1" si="4"/>
        <v>-7.9630000000000001</v>
      </c>
      <c r="AK35" s="14">
        <f t="shared" ca="1" si="4"/>
        <v>-8.3190000000000008</v>
      </c>
      <c r="AL35" s="14">
        <f t="shared" ca="1" si="4"/>
        <v>-8.4149999999999991</v>
      </c>
      <c r="AM35" s="14">
        <f t="shared" ca="1" si="4"/>
        <v>-8.5139999999999993</v>
      </c>
      <c r="AN35" s="14">
        <f t="shared" ca="1" si="4"/>
        <v>-8.6180000000000003</v>
      </c>
      <c r="AO35" s="14">
        <f t="shared" ca="1" si="4"/>
        <v>-8.7260000000000009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16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-15.23</v>
      </c>
      <c r="H36" s="14">
        <f t="shared" ca="1" si="4"/>
        <v>-14.68</v>
      </c>
      <c r="I36" s="14">
        <f t="shared" ca="1" si="4"/>
        <v>-14.19</v>
      </c>
      <c r="J36" s="14">
        <f t="shared" ca="1" si="4"/>
        <v>-13.76</v>
      </c>
      <c r="K36" s="14">
        <f t="shared" ca="1" si="4"/>
        <v>-11.49</v>
      </c>
      <c r="L36" s="14">
        <f t="shared" ca="1" si="4"/>
        <v>-11.16</v>
      </c>
      <c r="M36" s="14">
        <f t="shared" ca="1" si="4"/>
        <v>-10.67</v>
      </c>
      <c r="N36" s="14">
        <f t="shared" ca="1" si="4"/>
        <v>-9.6129999999999995</v>
      </c>
      <c r="O36" s="14">
        <f t="shared" ca="1" si="4"/>
        <v>-6.0380000000000003</v>
      </c>
      <c r="P36" s="14">
        <f t="shared" ca="1" si="4"/>
        <v>-5.2729999999999997</v>
      </c>
      <c r="Q36" s="14">
        <f t="shared" ca="1" si="4"/>
        <v>-4.55</v>
      </c>
      <c r="R36" s="14">
        <f t="shared" ca="1" si="4"/>
        <v>-4.1150000000000002</v>
      </c>
      <c r="S36" s="14">
        <f t="shared" ca="1" si="4"/>
        <v>-4.1550000000000002</v>
      </c>
      <c r="T36" s="14">
        <f t="shared" ca="1" si="4"/>
        <v>-4.1950000000000003</v>
      </c>
      <c r="U36" s="14">
        <f t="shared" ca="1" si="4"/>
        <v>-4.2359999999999998</v>
      </c>
      <c r="V36" s="14">
        <f t="shared" ca="1" si="4"/>
        <v>-4.2759999999999998</v>
      </c>
      <c r="W36" s="14">
        <f t="shared" ca="1" si="4"/>
        <v>-4.3170000000000002</v>
      </c>
      <c r="X36" s="14">
        <f t="shared" ca="1" si="4"/>
        <v>-4.3579999999999997</v>
      </c>
      <c r="Y36" s="14">
        <f t="shared" ca="1" si="4"/>
        <v>-4.399</v>
      </c>
      <c r="Z36" s="14">
        <f t="shared" ca="1" si="4"/>
        <v>-4.4400000000000004</v>
      </c>
      <c r="AA36" s="14">
        <f t="shared" ca="1" si="4"/>
        <v>-4.4809999999999999</v>
      </c>
      <c r="AB36" s="14">
        <f t="shared" ca="1" si="4"/>
        <v>-4.6429999999999998</v>
      </c>
      <c r="AC36" s="14">
        <f t="shared" ca="1" si="4"/>
        <v>-4.6829999999999998</v>
      </c>
      <c r="AD36" s="14">
        <f t="shared" ca="1" si="4"/>
        <v>-4.7220000000000004</v>
      </c>
      <c r="AE36" s="14">
        <f t="shared" ca="1" si="4"/>
        <v>-4.7619999999999996</v>
      </c>
      <c r="AF36" s="14">
        <f t="shared" ca="1" si="4"/>
        <v>-4.8010000000000002</v>
      </c>
      <c r="AG36" s="14">
        <f t="shared" ca="1" si="4"/>
        <v>-4.84</v>
      </c>
      <c r="AH36" s="14">
        <f t="shared" ca="1" si="4"/>
        <v>-4.8780000000000001</v>
      </c>
      <c r="AI36" s="14">
        <f t="shared" ca="1" si="4"/>
        <v>-4.9169999999999998</v>
      </c>
      <c r="AJ36" s="14">
        <f t="shared" ca="1" si="4"/>
        <v>-4.9550000000000001</v>
      </c>
      <c r="AK36" s="14">
        <f t="shared" ca="1" si="4"/>
        <v>-5.1040000000000001</v>
      </c>
      <c r="AL36" s="14">
        <f t="shared" ca="1" si="4"/>
        <v>-5.141</v>
      </c>
      <c r="AM36" s="14">
        <f t="shared" ca="1" si="4"/>
        <v>-5.1769999999999996</v>
      </c>
      <c r="AN36" s="14">
        <f t="shared" ca="1" si="4"/>
        <v>-5.2130000000000001</v>
      </c>
      <c r="AO36" s="14">
        <f t="shared" ca="1" si="4"/>
        <v>-5.2489999999999997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17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-22.83</v>
      </c>
      <c r="H37" s="14">
        <f t="shared" ca="1" si="4"/>
        <v>-21.83</v>
      </c>
      <c r="I37" s="14">
        <f t="shared" ca="1" si="4"/>
        <v>-20.95</v>
      </c>
      <c r="J37" s="14">
        <f t="shared" ca="1" si="4"/>
        <v>-20.149999999999999</v>
      </c>
      <c r="K37" s="14">
        <f t="shared" ca="1" si="4"/>
        <v>-21.33</v>
      </c>
      <c r="L37" s="14">
        <f t="shared" ca="1" si="4"/>
        <v>-20.67</v>
      </c>
      <c r="M37" s="14">
        <f t="shared" ca="1" si="4"/>
        <v>-20.28</v>
      </c>
      <c r="N37" s="14">
        <f t="shared" ca="1" si="4"/>
        <v>-20.53</v>
      </c>
      <c r="O37" s="14">
        <f t="shared" ca="1" si="4"/>
        <v>-21.53</v>
      </c>
      <c r="P37" s="14">
        <f t="shared" ca="1" si="4"/>
        <v>-21.78</v>
      </c>
      <c r="Q37" s="14">
        <f t="shared" ca="1" si="4"/>
        <v>-22.02</v>
      </c>
      <c r="R37" s="14">
        <f t="shared" ca="1" si="4"/>
        <v>-22.27</v>
      </c>
      <c r="S37" s="14">
        <f t="shared" ca="1" si="4"/>
        <v>-22.52</v>
      </c>
      <c r="T37" s="14">
        <f t="shared" ca="1" si="4"/>
        <v>-22.76</v>
      </c>
      <c r="U37" s="14">
        <f t="shared" ca="1" si="4"/>
        <v>-23</v>
      </c>
      <c r="V37" s="14">
        <f t="shared" ca="1" si="4"/>
        <v>-23.24</v>
      </c>
      <c r="W37" s="14">
        <f t="shared" ca="1" si="4"/>
        <v>-23.48</v>
      </c>
      <c r="X37" s="14">
        <f t="shared" ca="1" si="4"/>
        <v>-23.72</v>
      </c>
      <c r="Y37" s="14">
        <f t="shared" ca="1" si="4"/>
        <v>-23.95</v>
      </c>
      <c r="Z37" s="14">
        <f t="shared" ca="1" si="4"/>
        <v>-24.18</v>
      </c>
      <c r="AA37" s="14">
        <f t="shared" ca="1" si="4"/>
        <v>-24.41</v>
      </c>
      <c r="AB37" s="14">
        <f t="shared" ca="1" si="4"/>
        <v>-25.31</v>
      </c>
      <c r="AC37" s="14">
        <f t="shared" ca="1" si="4"/>
        <v>-25.53</v>
      </c>
      <c r="AD37" s="14">
        <f t="shared" ca="1" si="4"/>
        <v>-25.75</v>
      </c>
      <c r="AE37" s="14">
        <f t="shared" ca="1" si="4"/>
        <v>-25.97</v>
      </c>
      <c r="AF37" s="14">
        <f t="shared" ca="1" si="4"/>
        <v>-26.18</v>
      </c>
      <c r="AG37" s="14">
        <f t="shared" ca="1" si="4"/>
        <v>-26.39</v>
      </c>
      <c r="AH37" s="14">
        <f t="shared" ca="1" si="4"/>
        <v>-26.6</v>
      </c>
      <c r="AI37" s="14">
        <f t="shared" ca="1" si="4"/>
        <v>-26.81</v>
      </c>
      <c r="AJ37" s="14">
        <f t="shared" ca="1" si="4"/>
        <v>-27.02</v>
      </c>
      <c r="AK37" s="14">
        <f t="shared" ca="1" si="4"/>
        <v>-27.83</v>
      </c>
      <c r="AL37" s="14">
        <f t="shared" ca="1" si="4"/>
        <v>-28.03</v>
      </c>
      <c r="AM37" s="14">
        <f t="shared" ca="1" si="4"/>
        <v>-28.23</v>
      </c>
      <c r="AN37" s="14">
        <f t="shared" ca="1" si="4"/>
        <v>-28.42</v>
      </c>
      <c r="AO37" s="14">
        <f t="shared" ca="1" si="4"/>
        <v>-28.62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487.9</v>
      </c>
      <c r="Q40" s="8">
        <f t="shared" si="9"/>
        <v>504.4</v>
      </c>
      <c r="R40" s="8">
        <f t="shared" si="9"/>
        <v>520.9</v>
      </c>
      <c r="S40" s="8">
        <f t="shared" si="9"/>
        <v>537.5</v>
      </c>
      <c r="T40" s="8">
        <f t="shared" si="9"/>
        <v>554</v>
      </c>
      <c r="U40" s="8">
        <f t="shared" si="9"/>
        <v>570.5</v>
      </c>
      <c r="V40" s="8">
        <f t="shared" si="9"/>
        <v>587</v>
      </c>
      <c r="W40" s="8">
        <f t="shared" si="9"/>
        <v>603.5</v>
      </c>
      <c r="X40" s="8">
        <f t="shared" si="9"/>
        <v>620.1</v>
      </c>
      <c r="Y40" s="8">
        <f t="shared" si="9"/>
        <v>636.6</v>
      </c>
      <c r="Z40" s="8">
        <f t="shared" si="9"/>
        <v>653.1</v>
      </c>
      <c r="AA40" s="8">
        <f t="shared" si="9"/>
        <v>669.6</v>
      </c>
      <c r="AB40" s="8">
        <f t="shared" si="9"/>
        <v>735.7</v>
      </c>
      <c r="AC40" s="8">
        <f t="shared" si="9"/>
        <v>752.2</v>
      </c>
      <c r="AD40" s="8">
        <f t="shared" si="9"/>
        <v>768.7</v>
      </c>
      <c r="AE40" s="8">
        <f t="shared" si="9"/>
        <v>785.2</v>
      </c>
      <c r="AF40" s="8">
        <f t="shared" si="9"/>
        <v>801.8</v>
      </c>
      <c r="AG40" s="8">
        <f t="shared" si="9"/>
        <v>818.3</v>
      </c>
      <c r="AH40" s="8">
        <f t="shared" si="9"/>
        <v>834.8</v>
      </c>
      <c r="AI40" s="8">
        <f t="shared" si="9"/>
        <v>851.3</v>
      </c>
      <c r="AJ40" s="8">
        <f t="shared" si="9"/>
        <v>867.8</v>
      </c>
      <c r="AK40" s="8">
        <f t="shared" si="9"/>
        <v>933.9</v>
      </c>
      <c r="AL40" s="8">
        <f t="shared" si="9"/>
        <v>950.4</v>
      </c>
      <c r="AM40" s="8">
        <f t="shared" si="9"/>
        <v>967</v>
      </c>
      <c r="AN40" s="8">
        <f t="shared" si="9"/>
        <v>983.5</v>
      </c>
      <c r="AO40" s="8">
        <f t="shared" si="9"/>
        <v>1000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-193.91692173000007</v>
      </c>
      <c r="G41" s="10">
        <f t="shared" ca="1" si="10"/>
        <v>-196.00481462600001</v>
      </c>
      <c r="H41" s="10">
        <f t="shared" ca="1" si="10"/>
        <v>-198.05403955399998</v>
      </c>
      <c r="I41" s="10">
        <f t="shared" ca="1" si="10"/>
        <v>-200.2210560035</v>
      </c>
      <c r="J41" s="10">
        <f t="shared" ca="1" si="10"/>
        <v>-202.39257891199998</v>
      </c>
      <c r="K41" s="10">
        <f t="shared" ca="1" si="10"/>
        <v>-207.48607209850002</v>
      </c>
      <c r="L41" s="10">
        <f t="shared" ca="1" si="10"/>
        <v>-209.98761136950006</v>
      </c>
      <c r="M41" s="10">
        <f t="shared" ca="1" si="10"/>
        <v>-212.87181996000001</v>
      </c>
      <c r="N41" s="10">
        <f t="shared" ca="1" si="10"/>
        <v>-216.79364406105003</v>
      </c>
      <c r="O41" s="10">
        <f t="shared" ca="1" si="10"/>
        <v>-233.35652965140002</v>
      </c>
      <c r="P41" s="10">
        <f t="shared" ca="1" si="10"/>
        <v>-237.69097411815005</v>
      </c>
      <c r="Q41" s="10">
        <f t="shared" ca="1" si="10"/>
        <v>-242.01216915200001</v>
      </c>
      <c r="R41" s="10">
        <f t="shared" ca="1" si="10"/>
        <v>-247.58293265325</v>
      </c>
      <c r="S41" s="10">
        <f t="shared" ca="1" si="10"/>
        <v>-255.32391784374997</v>
      </c>
      <c r="T41" s="10">
        <f t="shared" ca="1" si="10"/>
        <v>-263.05428957499998</v>
      </c>
      <c r="U41" s="10">
        <f t="shared" ca="1" si="10"/>
        <v>-270.90949382350004</v>
      </c>
      <c r="V41" s="10">
        <f t="shared" ca="1" si="10"/>
        <v>-278.89115607399998</v>
      </c>
      <c r="W41" s="10">
        <f t="shared" ca="1" si="10"/>
        <v>-287.15368352025001</v>
      </c>
      <c r="X41" s="10">
        <f t="shared" ca="1" si="10"/>
        <v>-296.0197699446</v>
      </c>
      <c r="Y41" s="10">
        <f t="shared" ca="1" si="10"/>
        <v>-304.87212330929998</v>
      </c>
      <c r="Z41" s="10">
        <f t="shared" ca="1" si="10"/>
        <v>-313.86555711000005</v>
      </c>
      <c r="AA41" s="10">
        <f t="shared" ca="1" si="10"/>
        <v>-322.96981488120002</v>
      </c>
      <c r="AB41" s="10">
        <f t="shared" ca="1" si="10"/>
        <v>-360.47145392195</v>
      </c>
      <c r="AC41" s="10">
        <f t="shared" ca="1" si="10"/>
        <v>-370.07781797370006</v>
      </c>
      <c r="AD41" s="10">
        <f t="shared" ca="1" si="10"/>
        <v>-379.79994785760005</v>
      </c>
      <c r="AE41" s="10">
        <f t="shared" ca="1" si="10"/>
        <v>-389.65405601720005</v>
      </c>
      <c r="AF41" s="10">
        <f t="shared" ca="1" si="10"/>
        <v>-399.54063950520003</v>
      </c>
      <c r="AG41" s="10">
        <f t="shared" ca="1" si="10"/>
        <v>-409.52937410875001</v>
      </c>
      <c r="AH41" s="10">
        <f t="shared" ca="1" si="10"/>
        <v>-421.15569549420013</v>
      </c>
      <c r="AI41" s="10">
        <f t="shared" ca="1" si="10"/>
        <v>-432.92226004550002</v>
      </c>
      <c r="AJ41" s="10">
        <f t="shared" ca="1" si="10"/>
        <v>-444.81985889959998</v>
      </c>
      <c r="AK41" s="10">
        <f t="shared" ca="1" si="10"/>
        <v>-493.35918515234999</v>
      </c>
      <c r="AL41" s="10">
        <f t="shared" ca="1" si="10"/>
        <v>-505.78186380480003</v>
      </c>
      <c r="AM41" s="10">
        <f t="shared" ca="1" si="10"/>
        <v>-518.38683371249999</v>
      </c>
      <c r="AN41" s="10">
        <f t="shared" ca="1" si="10"/>
        <v>-530.91735198424999</v>
      </c>
      <c r="AO41" s="10">
        <f t="shared" ca="1" si="10"/>
        <v>-543.74889950000011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487.9</v>
      </c>
      <c r="Q45" s="3">
        <f t="shared" si="13"/>
        <v>504.4</v>
      </c>
      <c r="R45" s="3">
        <f t="shared" si="13"/>
        <v>520.9</v>
      </c>
      <c r="S45" s="3">
        <f t="shared" si="13"/>
        <v>537.5</v>
      </c>
      <c r="T45" s="3">
        <f t="shared" si="13"/>
        <v>554</v>
      </c>
      <c r="U45" s="3">
        <f t="shared" si="13"/>
        <v>570.5</v>
      </c>
      <c r="V45" s="3">
        <f t="shared" si="13"/>
        <v>587</v>
      </c>
      <c r="W45" s="3">
        <f t="shared" si="13"/>
        <v>603.5</v>
      </c>
      <c r="X45" s="3">
        <f t="shared" si="13"/>
        <v>620.1</v>
      </c>
      <c r="Y45" s="3">
        <f t="shared" si="13"/>
        <v>636.6</v>
      </c>
      <c r="Z45" s="3">
        <f t="shared" si="13"/>
        <v>653.1</v>
      </c>
      <c r="AA45" s="3">
        <f t="shared" si="13"/>
        <v>669.6</v>
      </c>
      <c r="AB45" s="3">
        <f t="shared" si="13"/>
        <v>735.7</v>
      </c>
      <c r="AC45" s="3">
        <f t="shared" si="13"/>
        <v>752.2</v>
      </c>
      <c r="AD45" s="3">
        <f t="shared" si="13"/>
        <v>768.7</v>
      </c>
      <c r="AE45" s="3">
        <f t="shared" si="13"/>
        <v>785.2</v>
      </c>
      <c r="AF45" s="3">
        <f t="shared" si="13"/>
        <v>801.8</v>
      </c>
      <c r="AG45" s="3">
        <f t="shared" si="13"/>
        <v>818.3</v>
      </c>
      <c r="AH45" s="3">
        <f t="shared" si="13"/>
        <v>834.8</v>
      </c>
      <c r="AI45" s="3">
        <f t="shared" si="13"/>
        <v>851.3</v>
      </c>
      <c r="AJ45" s="3">
        <f t="shared" si="13"/>
        <v>867.8</v>
      </c>
      <c r="AK45" s="3">
        <f t="shared" si="13"/>
        <v>933.9</v>
      </c>
      <c r="AL45" s="3">
        <f t="shared" si="13"/>
        <v>950.4</v>
      </c>
      <c r="AM45" s="3">
        <f t="shared" si="13"/>
        <v>967</v>
      </c>
      <c r="AN45" s="3">
        <f t="shared" si="13"/>
        <v>983.5</v>
      </c>
      <c r="AO45" s="3">
        <f t="shared" si="13"/>
        <v>1000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-60.89</v>
      </c>
      <c r="H46" s="14">
        <f t="shared" ca="1" si="15"/>
        <v>-58.339999999999996</v>
      </c>
      <c r="I46" s="14">
        <f t="shared" ca="1" si="15"/>
        <v>-56.089999999999996</v>
      </c>
      <c r="J46" s="14">
        <f t="shared" ca="1" si="15"/>
        <v>-54.059999999999995</v>
      </c>
      <c r="K46" s="14">
        <f t="shared" ca="1" si="15"/>
        <v>-54.15</v>
      </c>
      <c r="L46" s="14">
        <f t="shared" ca="1" si="15"/>
        <v>-52.5</v>
      </c>
      <c r="M46" s="14">
        <f t="shared" ca="1" si="15"/>
        <v>-51.230000000000004</v>
      </c>
      <c r="N46" s="14">
        <f t="shared" ca="1" si="15"/>
        <v>-50.673000000000002</v>
      </c>
      <c r="O46" s="14">
        <f t="shared" ca="1" si="15"/>
        <v>-49.097999999999999</v>
      </c>
      <c r="P46" s="14">
        <f t="shared" ca="1" si="15"/>
        <v>-48.832999999999998</v>
      </c>
      <c r="Q46" s="14">
        <f t="shared" ca="1" si="15"/>
        <v>-48.589999999999996</v>
      </c>
      <c r="R46" s="14">
        <f t="shared" ca="1" si="15"/>
        <v>-48.655000000000001</v>
      </c>
      <c r="S46" s="14">
        <f t="shared" ca="1" si="15"/>
        <v>-49.195</v>
      </c>
      <c r="T46" s="14">
        <f t="shared" ca="1" si="15"/>
        <v>-49.715000000000003</v>
      </c>
      <c r="U46" s="14">
        <f t="shared" ca="1" si="15"/>
        <v>-50.235999999999997</v>
      </c>
      <c r="V46" s="14">
        <f t="shared" ref="G46:BR50" ca="1" si="16">$A46*H.Ar + $B46*H.Se + $C46*H.Ge + $D46*H.Ga</f>
        <v>-50.756</v>
      </c>
      <c r="W46" s="14">
        <f t="shared" ca="1" si="16"/>
        <v>-51.277000000000001</v>
      </c>
      <c r="X46" s="14">
        <f t="shared" ca="1" si="16"/>
        <v>-51.797999999999995</v>
      </c>
      <c r="Y46" s="14">
        <f t="shared" ca="1" si="16"/>
        <v>-52.298999999999999</v>
      </c>
      <c r="Z46" s="14">
        <f t="shared" ca="1" si="16"/>
        <v>-52.8</v>
      </c>
      <c r="AA46" s="14">
        <f t="shared" ca="1" si="16"/>
        <v>-53.301000000000002</v>
      </c>
      <c r="AB46" s="14">
        <f t="shared" ca="1" si="16"/>
        <v>-55.262999999999998</v>
      </c>
      <c r="AC46" s="14">
        <f t="shared" ca="1" si="16"/>
        <v>-55.743000000000002</v>
      </c>
      <c r="AD46" s="14">
        <f t="shared" ca="1" si="16"/>
        <v>-56.222000000000001</v>
      </c>
      <c r="AE46" s="14">
        <f t="shared" ca="1" si="16"/>
        <v>-56.701999999999998</v>
      </c>
      <c r="AF46" s="14">
        <f t="shared" ca="1" si="16"/>
        <v>-57.161000000000001</v>
      </c>
      <c r="AG46" s="14">
        <f t="shared" ca="1" si="16"/>
        <v>-57.620000000000005</v>
      </c>
      <c r="AH46" s="14">
        <f t="shared" ca="1" si="16"/>
        <v>-58.078000000000003</v>
      </c>
      <c r="AI46" s="14">
        <f t="shared" ca="1" si="16"/>
        <v>-58.536999999999999</v>
      </c>
      <c r="AJ46" s="14">
        <f t="shared" ca="1" si="16"/>
        <v>-58.994999999999997</v>
      </c>
      <c r="AK46" s="14">
        <f t="shared" ca="1" si="16"/>
        <v>-60.763999999999996</v>
      </c>
      <c r="AL46" s="14">
        <f t="shared" ca="1" si="16"/>
        <v>-61.201000000000001</v>
      </c>
      <c r="AM46" s="14">
        <f t="shared" ca="1" si="16"/>
        <v>-61.637</v>
      </c>
      <c r="AN46" s="14">
        <f t="shared" ca="1" si="16"/>
        <v>-62.053000000000004</v>
      </c>
      <c r="AO46" s="14">
        <f t="shared" ca="1" si="16"/>
        <v>-62.489000000000004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1</v>
      </c>
      <c r="C47" s="5">
        <f t="shared" si="14"/>
        <v>0</v>
      </c>
      <c r="D47" s="5">
        <f t="shared" si="14"/>
        <v>0</v>
      </c>
      <c r="E47" s="6" t="str">
        <f t="shared" si="14"/>
        <v>*Se[M]</v>
      </c>
      <c r="F47" s="14">
        <f t="shared" ca="1" si="15"/>
        <v>-23.95</v>
      </c>
      <c r="G47" s="14">
        <f t="shared" ca="1" si="16"/>
        <v>-22.83</v>
      </c>
      <c r="H47" s="14">
        <f t="shared" ca="1" si="16"/>
        <v>-21.83</v>
      </c>
      <c r="I47" s="14">
        <f t="shared" ca="1" si="16"/>
        <v>-20.95</v>
      </c>
      <c r="J47" s="14">
        <f t="shared" ca="1" si="16"/>
        <v>-20.149999999999999</v>
      </c>
      <c r="K47" s="14">
        <f t="shared" ca="1" si="16"/>
        <v>-21.33</v>
      </c>
      <c r="L47" s="14">
        <f t="shared" ca="1" si="16"/>
        <v>-20.67</v>
      </c>
      <c r="M47" s="14">
        <f t="shared" ca="1" si="16"/>
        <v>-20.28</v>
      </c>
      <c r="N47" s="14">
        <f t="shared" ca="1" si="16"/>
        <v>-20.53</v>
      </c>
      <c r="O47" s="14">
        <f t="shared" ca="1" si="16"/>
        <v>-21.53</v>
      </c>
      <c r="P47" s="14">
        <f t="shared" ca="1" si="16"/>
        <v>-21.78</v>
      </c>
      <c r="Q47" s="14">
        <f t="shared" ca="1" si="16"/>
        <v>-22.02</v>
      </c>
      <c r="R47" s="14">
        <f t="shared" ca="1" si="16"/>
        <v>-22.27</v>
      </c>
      <c r="S47" s="14">
        <f t="shared" ca="1" si="16"/>
        <v>-22.52</v>
      </c>
      <c r="T47" s="14">
        <f t="shared" ca="1" si="16"/>
        <v>-22.76</v>
      </c>
      <c r="U47" s="14">
        <f t="shared" ca="1" si="16"/>
        <v>-23</v>
      </c>
      <c r="V47" s="14">
        <f t="shared" ca="1" si="16"/>
        <v>-23.24</v>
      </c>
      <c r="W47" s="14">
        <f t="shared" ca="1" si="16"/>
        <v>-23.48</v>
      </c>
      <c r="X47" s="14">
        <f t="shared" ca="1" si="16"/>
        <v>-23.72</v>
      </c>
      <c r="Y47" s="14">
        <f t="shared" ca="1" si="16"/>
        <v>-23.95</v>
      </c>
      <c r="Z47" s="14">
        <f t="shared" ca="1" si="16"/>
        <v>-24.18</v>
      </c>
      <c r="AA47" s="14">
        <f t="shared" ca="1" si="16"/>
        <v>-24.41</v>
      </c>
      <c r="AB47" s="14">
        <f t="shared" ca="1" si="16"/>
        <v>-25.31</v>
      </c>
      <c r="AC47" s="14">
        <f t="shared" ca="1" si="16"/>
        <v>-25.53</v>
      </c>
      <c r="AD47" s="14">
        <f t="shared" ca="1" si="16"/>
        <v>-25.75</v>
      </c>
      <c r="AE47" s="14">
        <f t="shared" ca="1" si="16"/>
        <v>-25.97</v>
      </c>
      <c r="AF47" s="14">
        <f t="shared" ca="1" si="16"/>
        <v>-26.18</v>
      </c>
      <c r="AG47" s="14">
        <f t="shared" ca="1" si="16"/>
        <v>-26.39</v>
      </c>
      <c r="AH47" s="14">
        <f t="shared" ca="1" si="16"/>
        <v>-26.6</v>
      </c>
      <c r="AI47" s="14">
        <f t="shared" ca="1" si="16"/>
        <v>-26.81</v>
      </c>
      <c r="AJ47" s="14">
        <f t="shared" ca="1" si="16"/>
        <v>-27.02</v>
      </c>
      <c r="AK47" s="14">
        <f t="shared" ca="1" si="16"/>
        <v>-27.83</v>
      </c>
      <c r="AL47" s="14">
        <f t="shared" ca="1" si="16"/>
        <v>-28.03</v>
      </c>
      <c r="AM47" s="14">
        <f t="shared" ca="1" si="16"/>
        <v>-28.23</v>
      </c>
      <c r="AN47" s="14">
        <f t="shared" ca="1" si="16"/>
        <v>-28.42</v>
      </c>
      <c r="AO47" s="14">
        <f t="shared" ca="1" si="16"/>
        <v>-28.62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1</v>
      </c>
      <c r="D48" s="5">
        <f t="shared" si="14"/>
        <v>0</v>
      </c>
      <c r="E48" s="6" t="str">
        <f t="shared" si="14"/>
        <v>*Ge</v>
      </c>
      <c r="F48" s="14">
        <f t="shared" ca="1" si="15"/>
        <v>-15.86</v>
      </c>
      <c r="G48" s="14">
        <f t="shared" ca="1" si="16"/>
        <v>-15.23</v>
      </c>
      <c r="H48" s="14">
        <f t="shared" ca="1" si="16"/>
        <v>-14.68</v>
      </c>
      <c r="I48" s="14">
        <f t="shared" ca="1" si="16"/>
        <v>-14.19</v>
      </c>
      <c r="J48" s="14">
        <f t="shared" ca="1" si="16"/>
        <v>-13.76</v>
      </c>
      <c r="K48" s="14">
        <f t="shared" ca="1" si="16"/>
        <v>-11.49</v>
      </c>
      <c r="L48" s="14">
        <f t="shared" ca="1" si="16"/>
        <v>-11.16</v>
      </c>
      <c r="M48" s="14">
        <f t="shared" ca="1" si="16"/>
        <v>-10.67</v>
      </c>
      <c r="N48" s="14">
        <f t="shared" ca="1" si="16"/>
        <v>-9.6129999999999995</v>
      </c>
      <c r="O48" s="14">
        <f t="shared" ca="1" si="16"/>
        <v>-6.0380000000000003</v>
      </c>
      <c r="P48" s="14">
        <f t="shared" ca="1" si="16"/>
        <v>-5.2729999999999997</v>
      </c>
      <c r="Q48" s="14">
        <f t="shared" ca="1" si="16"/>
        <v>-4.55</v>
      </c>
      <c r="R48" s="14">
        <f t="shared" ca="1" si="16"/>
        <v>-4.1150000000000002</v>
      </c>
      <c r="S48" s="14">
        <f t="shared" ca="1" si="16"/>
        <v>-4.1550000000000002</v>
      </c>
      <c r="T48" s="14">
        <f t="shared" ca="1" si="16"/>
        <v>-4.1950000000000003</v>
      </c>
      <c r="U48" s="14">
        <f t="shared" ca="1" si="16"/>
        <v>-4.2359999999999998</v>
      </c>
      <c r="V48" s="14">
        <f t="shared" ca="1" si="16"/>
        <v>-4.2759999999999998</v>
      </c>
      <c r="W48" s="14">
        <f t="shared" ca="1" si="16"/>
        <v>-4.3170000000000002</v>
      </c>
      <c r="X48" s="14">
        <f t="shared" ca="1" si="16"/>
        <v>-4.3579999999999997</v>
      </c>
      <c r="Y48" s="14">
        <f t="shared" ca="1" si="16"/>
        <v>-4.399</v>
      </c>
      <c r="Z48" s="14">
        <f t="shared" ca="1" si="16"/>
        <v>-4.4400000000000004</v>
      </c>
      <c r="AA48" s="14">
        <f t="shared" ca="1" si="16"/>
        <v>-4.4809999999999999</v>
      </c>
      <c r="AB48" s="14">
        <f t="shared" ca="1" si="16"/>
        <v>-4.6429999999999998</v>
      </c>
      <c r="AC48" s="14">
        <f t="shared" ca="1" si="16"/>
        <v>-4.6829999999999998</v>
      </c>
      <c r="AD48" s="14">
        <f t="shared" ca="1" si="16"/>
        <v>-4.7220000000000004</v>
      </c>
      <c r="AE48" s="14">
        <f t="shared" ca="1" si="16"/>
        <v>-4.7619999999999996</v>
      </c>
      <c r="AF48" s="14">
        <f t="shared" ca="1" si="16"/>
        <v>-4.8010000000000002</v>
      </c>
      <c r="AG48" s="14">
        <f t="shared" ca="1" si="16"/>
        <v>-4.84</v>
      </c>
      <c r="AH48" s="14">
        <f t="shared" ca="1" si="16"/>
        <v>-4.8780000000000001</v>
      </c>
      <c r="AI48" s="14">
        <f t="shared" ca="1" si="16"/>
        <v>-4.9169999999999998</v>
      </c>
      <c r="AJ48" s="14">
        <f t="shared" ca="1" si="16"/>
        <v>-4.9550000000000001</v>
      </c>
      <c r="AK48" s="14">
        <f t="shared" ca="1" si="16"/>
        <v>-5.1040000000000001</v>
      </c>
      <c r="AL48" s="14">
        <f t="shared" ca="1" si="16"/>
        <v>-5.141</v>
      </c>
      <c r="AM48" s="14">
        <f t="shared" ca="1" si="16"/>
        <v>-5.1769999999999996</v>
      </c>
      <c r="AN48" s="14">
        <f t="shared" ca="1" si="16"/>
        <v>-5.2130000000000001</v>
      </c>
      <c r="AO48" s="14">
        <f t="shared" ca="1" si="16"/>
        <v>-5.2489999999999997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3</v>
      </c>
      <c r="C49" s="5">
        <f t="shared" si="14"/>
        <v>0</v>
      </c>
      <c r="D49" s="5">
        <f t="shared" si="14"/>
        <v>2</v>
      </c>
      <c r="E49" s="6" t="str">
        <f t="shared" si="14"/>
        <v>*Ga2Se3</v>
      </c>
      <c r="F49" s="14">
        <f t="shared" ca="1" si="15"/>
        <v>-201.69</v>
      </c>
      <c r="G49" s="14">
        <f t="shared" ca="1" si="16"/>
        <v>-191.39</v>
      </c>
      <c r="H49" s="14">
        <f t="shared" ca="1" si="16"/>
        <v>-182.20999999999998</v>
      </c>
      <c r="I49" s="14">
        <f t="shared" ca="1" si="16"/>
        <v>-174.05</v>
      </c>
      <c r="J49" s="14">
        <f t="shared" ca="1" si="16"/>
        <v>-166.67</v>
      </c>
      <c r="K49" s="14">
        <f t="shared" ca="1" si="16"/>
        <v>-160.03</v>
      </c>
      <c r="L49" s="14">
        <f t="shared" ca="1" si="16"/>
        <v>-154.03</v>
      </c>
      <c r="M49" s="14">
        <f t="shared" ca="1" si="16"/>
        <v>-148.56</v>
      </c>
      <c r="N49" s="14">
        <f t="shared" ca="1" si="16"/>
        <v>-143.55000000000001</v>
      </c>
      <c r="O49" s="14">
        <f t="shared" ca="1" si="16"/>
        <v>-127.23</v>
      </c>
      <c r="P49" s="14">
        <f t="shared" ca="1" si="16"/>
        <v>-123.9</v>
      </c>
      <c r="Q49" s="14">
        <f t="shared" ca="1" si="16"/>
        <v>-120.76</v>
      </c>
      <c r="R49" s="14">
        <f t="shared" ca="1" si="16"/>
        <v>-117.87</v>
      </c>
      <c r="S49" s="14">
        <f t="shared" ca="1" si="16"/>
        <v>-115.18</v>
      </c>
      <c r="T49" s="14">
        <f t="shared" ca="1" si="16"/>
        <v>-112.64</v>
      </c>
      <c r="U49" s="14">
        <f t="shared" ca="1" si="16"/>
        <v>-110.25999999999999</v>
      </c>
      <c r="V49" s="14">
        <f t="shared" ca="1" si="16"/>
        <v>-108.03999999999999</v>
      </c>
      <c r="W49" s="14">
        <f t="shared" ca="1" si="16"/>
        <v>-106.14</v>
      </c>
      <c r="X49" s="14">
        <f t="shared" ca="1" si="16"/>
        <v>-104.86</v>
      </c>
      <c r="Y49" s="14">
        <f t="shared" ca="1" si="16"/>
        <v>-103.64999999999999</v>
      </c>
      <c r="Z49" s="14">
        <f t="shared" ca="1" si="16"/>
        <v>-102.53999999999999</v>
      </c>
      <c r="AA49" s="14">
        <f t="shared" ca="1" si="16"/>
        <v>-101.49000000000001</v>
      </c>
      <c r="AB49" s="14">
        <f t="shared" ca="1" si="16"/>
        <v>-97.929999999999993</v>
      </c>
      <c r="AC49" s="14">
        <f t="shared" ca="1" si="16"/>
        <v>-97.17</v>
      </c>
      <c r="AD49" s="14">
        <f t="shared" ca="1" si="16"/>
        <v>-96.462000000000003</v>
      </c>
      <c r="AE49" s="14">
        <f t="shared" ca="1" si="16"/>
        <v>-95.805999999999997</v>
      </c>
      <c r="AF49" s="14">
        <f t="shared" ca="1" si="16"/>
        <v>-95.165999999999997</v>
      </c>
      <c r="AG49" s="14">
        <f t="shared" ca="1" si="16"/>
        <v>-94.6</v>
      </c>
      <c r="AH49" s="14">
        <f t="shared" ca="1" si="16"/>
        <v>-95.394000000000005</v>
      </c>
      <c r="AI49" s="14">
        <f t="shared" ca="1" si="16"/>
        <v>-96.187999999999988</v>
      </c>
      <c r="AJ49" s="14">
        <f t="shared" ca="1" si="16"/>
        <v>-96.986000000000004</v>
      </c>
      <c r="AK49" s="14">
        <f t="shared" ca="1" si="16"/>
        <v>-100.128</v>
      </c>
      <c r="AL49" s="14">
        <f t="shared" ca="1" si="16"/>
        <v>-100.92</v>
      </c>
      <c r="AM49" s="14">
        <f t="shared" ca="1" si="16"/>
        <v>-101.71799999999999</v>
      </c>
      <c r="AN49" s="14">
        <f t="shared" ca="1" si="16"/>
        <v>-102.49600000000001</v>
      </c>
      <c r="AO49" s="14">
        <f t="shared" ca="1" si="16"/>
        <v>-103.312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1</v>
      </c>
      <c r="E50" s="6" t="str">
        <f t="shared" si="14"/>
        <v>*Ga[l]</v>
      </c>
      <c r="F50" s="14">
        <f t="shared" ca="1" si="15"/>
        <v>-64.92</v>
      </c>
      <c r="G50" s="14">
        <f t="shared" ca="1" si="16"/>
        <v>-61.45</v>
      </c>
      <c r="H50" s="14">
        <f t="shared" ca="1" si="16"/>
        <v>-58.36</v>
      </c>
      <c r="I50" s="14">
        <f t="shared" ca="1" si="16"/>
        <v>-55.6</v>
      </c>
      <c r="J50" s="14">
        <f t="shared" ca="1" si="16"/>
        <v>-53.11</v>
      </c>
      <c r="K50" s="14">
        <f t="shared" ca="1" si="16"/>
        <v>-48.02</v>
      </c>
      <c r="L50" s="14">
        <f t="shared" ca="1" si="16"/>
        <v>-46.01</v>
      </c>
      <c r="M50" s="14">
        <f t="shared" ca="1" si="16"/>
        <v>-43.86</v>
      </c>
      <c r="N50" s="14">
        <f t="shared" ca="1" si="16"/>
        <v>-40.98</v>
      </c>
      <c r="O50" s="14">
        <f t="shared" ca="1" si="16"/>
        <v>-31.32</v>
      </c>
      <c r="P50" s="14">
        <f t="shared" ca="1" si="16"/>
        <v>-29.28</v>
      </c>
      <c r="Q50" s="14">
        <f t="shared" ca="1" si="16"/>
        <v>-27.35</v>
      </c>
      <c r="R50" s="14">
        <f t="shared" ca="1" si="16"/>
        <v>-25.53</v>
      </c>
      <c r="S50" s="14">
        <f t="shared" ca="1" si="16"/>
        <v>-23.81</v>
      </c>
      <c r="T50" s="14">
        <f t="shared" ca="1" si="16"/>
        <v>-22.18</v>
      </c>
      <c r="U50" s="14">
        <f t="shared" ref="G50:BR54" ca="1" si="17">$A50*H.Ar + $B50*H.Se + $C50*H.Ge + $D50*H.Ga</f>
        <v>-20.63</v>
      </c>
      <c r="V50" s="14">
        <f t="shared" ca="1" si="17"/>
        <v>-19.16</v>
      </c>
      <c r="W50" s="14">
        <f t="shared" ca="1" si="17"/>
        <v>-17.850000000000001</v>
      </c>
      <c r="X50" s="14">
        <f t="shared" ca="1" si="17"/>
        <v>-16.850000000000001</v>
      </c>
      <c r="Y50" s="14">
        <f t="shared" ca="1" si="17"/>
        <v>-15.9</v>
      </c>
      <c r="Z50" s="14">
        <f t="shared" ca="1" si="17"/>
        <v>-15</v>
      </c>
      <c r="AA50" s="14">
        <f t="shared" ca="1" si="17"/>
        <v>-14.13</v>
      </c>
      <c r="AB50" s="14">
        <f t="shared" ca="1" si="17"/>
        <v>-11</v>
      </c>
      <c r="AC50" s="14">
        <f t="shared" ca="1" si="17"/>
        <v>-10.29</v>
      </c>
      <c r="AD50" s="14">
        <f t="shared" ca="1" si="17"/>
        <v>-9.6059999999999999</v>
      </c>
      <c r="AE50" s="14">
        <f t="shared" ca="1" si="17"/>
        <v>-8.9480000000000004</v>
      </c>
      <c r="AF50" s="14">
        <f t="shared" ca="1" si="17"/>
        <v>-8.3130000000000006</v>
      </c>
      <c r="AG50" s="14">
        <f t="shared" ca="1" si="17"/>
        <v>-7.7149999999999999</v>
      </c>
      <c r="AH50" s="14">
        <f t="shared" ca="1" si="17"/>
        <v>-7.7969999999999997</v>
      </c>
      <c r="AI50" s="14">
        <f t="shared" ca="1" si="17"/>
        <v>-7.8789999999999996</v>
      </c>
      <c r="AJ50" s="14">
        <f t="shared" ca="1" si="17"/>
        <v>-7.9630000000000001</v>
      </c>
      <c r="AK50" s="14">
        <f t="shared" ca="1" si="17"/>
        <v>-8.3190000000000008</v>
      </c>
      <c r="AL50" s="14">
        <f t="shared" ca="1" si="17"/>
        <v>-8.4149999999999991</v>
      </c>
      <c r="AM50" s="14">
        <f t="shared" ca="1" si="17"/>
        <v>-8.5139999999999993</v>
      </c>
      <c r="AN50" s="14">
        <f t="shared" ca="1" si="17"/>
        <v>-8.6180000000000003</v>
      </c>
      <c r="AO50" s="14">
        <f t="shared" ca="1" si="17"/>
        <v>-8.7260000000000009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1</v>
      </c>
      <c r="D51" s="5">
        <f t="shared" si="14"/>
        <v>0</v>
      </c>
      <c r="E51" s="6" t="str">
        <f t="shared" si="14"/>
        <v>*Ge[l]</v>
      </c>
      <c r="F51" s="14">
        <f t="shared" ca="1" si="15"/>
        <v>-15.86</v>
      </c>
      <c r="G51" s="14">
        <f t="shared" ca="1" si="17"/>
        <v>-15.23</v>
      </c>
      <c r="H51" s="14">
        <f t="shared" ca="1" si="17"/>
        <v>-14.68</v>
      </c>
      <c r="I51" s="14">
        <f t="shared" ca="1" si="17"/>
        <v>-14.19</v>
      </c>
      <c r="J51" s="14">
        <f t="shared" ca="1" si="17"/>
        <v>-13.76</v>
      </c>
      <c r="K51" s="14">
        <f t="shared" ca="1" si="17"/>
        <v>-11.49</v>
      </c>
      <c r="L51" s="14">
        <f t="shared" ca="1" si="17"/>
        <v>-11.16</v>
      </c>
      <c r="M51" s="14">
        <f t="shared" ca="1" si="17"/>
        <v>-10.67</v>
      </c>
      <c r="N51" s="14">
        <f t="shared" ca="1" si="17"/>
        <v>-9.6129999999999995</v>
      </c>
      <c r="O51" s="14">
        <f t="shared" ca="1" si="17"/>
        <v>-6.0380000000000003</v>
      </c>
      <c r="P51" s="14">
        <f t="shared" ca="1" si="17"/>
        <v>-5.2729999999999997</v>
      </c>
      <c r="Q51" s="14">
        <f t="shared" ca="1" si="17"/>
        <v>-4.55</v>
      </c>
      <c r="R51" s="14">
        <f t="shared" ca="1" si="17"/>
        <v>-4.1150000000000002</v>
      </c>
      <c r="S51" s="14">
        <f t="shared" ca="1" si="17"/>
        <v>-4.1550000000000002</v>
      </c>
      <c r="T51" s="14">
        <f t="shared" ca="1" si="17"/>
        <v>-4.1950000000000003</v>
      </c>
      <c r="U51" s="14">
        <f t="shared" ca="1" si="17"/>
        <v>-4.2359999999999998</v>
      </c>
      <c r="V51" s="14">
        <f t="shared" ca="1" si="17"/>
        <v>-4.2759999999999998</v>
      </c>
      <c r="W51" s="14">
        <f t="shared" ca="1" si="17"/>
        <v>-4.3170000000000002</v>
      </c>
      <c r="X51" s="14">
        <f t="shared" ca="1" si="17"/>
        <v>-4.3579999999999997</v>
      </c>
      <c r="Y51" s="14">
        <f t="shared" ca="1" si="17"/>
        <v>-4.399</v>
      </c>
      <c r="Z51" s="14">
        <f t="shared" ca="1" si="17"/>
        <v>-4.4400000000000004</v>
      </c>
      <c r="AA51" s="14">
        <f t="shared" ca="1" si="17"/>
        <v>-4.4809999999999999</v>
      </c>
      <c r="AB51" s="14">
        <f t="shared" ca="1" si="17"/>
        <v>-4.6429999999999998</v>
      </c>
      <c r="AC51" s="14">
        <f t="shared" ca="1" si="17"/>
        <v>-4.6829999999999998</v>
      </c>
      <c r="AD51" s="14">
        <f t="shared" ca="1" si="17"/>
        <v>-4.7220000000000004</v>
      </c>
      <c r="AE51" s="14">
        <f t="shared" ca="1" si="17"/>
        <v>-4.7619999999999996</v>
      </c>
      <c r="AF51" s="14">
        <f t="shared" ca="1" si="17"/>
        <v>-4.8010000000000002</v>
      </c>
      <c r="AG51" s="14">
        <f t="shared" ca="1" si="17"/>
        <v>-4.84</v>
      </c>
      <c r="AH51" s="14">
        <f t="shared" ca="1" si="17"/>
        <v>-4.8780000000000001</v>
      </c>
      <c r="AI51" s="14">
        <f t="shared" ca="1" si="17"/>
        <v>-4.9169999999999998</v>
      </c>
      <c r="AJ51" s="14">
        <f t="shared" ca="1" si="17"/>
        <v>-4.9550000000000001</v>
      </c>
      <c r="AK51" s="14">
        <f t="shared" ca="1" si="17"/>
        <v>-5.1040000000000001</v>
      </c>
      <c r="AL51" s="14">
        <f t="shared" ca="1" si="17"/>
        <v>-5.141</v>
      </c>
      <c r="AM51" s="14">
        <f t="shared" ca="1" si="17"/>
        <v>-5.1769999999999996</v>
      </c>
      <c r="AN51" s="14">
        <f t="shared" ca="1" si="17"/>
        <v>-5.2130000000000001</v>
      </c>
      <c r="AO51" s="14">
        <f t="shared" ca="1" si="17"/>
        <v>-5.2489999999999997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0</v>
      </c>
      <c r="D52" s="5">
        <f t="shared" si="14"/>
        <v>1</v>
      </c>
      <c r="E52" s="6" t="str">
        <f t="shared" si="14"/>
        <v>*GaSe</v>
      </c>
      <c r="F52" s="14">
        <f t="shared" ca="1" si="15"/>
        <v>-88.87</v>
      </c>
      <c r="G52" s="14">
        <f t="shared" ca="1" si="17"/>
        <v>-84.28</v>
      </c>
      <c r="H52" s="14">
        <f t="shared" ca="1" si="17"/>
        <v>-80.19</v>
      </c>
      <c r="I52" s="14">
        <f t="shared" ca="1" si="17"/>
        <v>-76.55</v>
      </c>
      <c r="J52" s="14">
        <f t="shared" ca="1" si="17"/>
        <v>-73.259999999999991</v>
      </c>
      <c r="K52" s="14">
        <f t="shared" ca="1" si="17"/>
        <v>-69.349999999999994</v>
      </c>
      <c r="L52" s="14">
        <f t="shared" ca="1" si="17"/>
        <v>-66.680000000000007</v>
      </c>
      <c r="M52" s="14">
        <f t="shared" ca="1" si="17"/>
        <v>-64.14</v>
      </c>
      <c r="N52" s="14">
        <f t="shared" ca="1" si="17"/>
        <v>-61.51</v>
      </c>
      <c r="O52" s="14">
        <f t="shared" ca="1" si="17"/>
        <v>-52.85</v>
      </c>
      <c r="P52" s="14">
        <f t="shared" ca="1" si="17"/>
        <v>-51.06</v>
      </c>
      <c r="Q52" s="14">
        <f t="shared" ca="1" si="17"/>
        <v>-49.370000000000005</v>
      </c>
      <c r="R52" s="14">
        <f t="shared" ca="1" si="17"/>
        <v>-47.8</v>
      </c>
      <c r="S52" s="14">
        <f t="shared" ca="1" si="17"/>
        <v>-46.33</v>
      </c>
      <c r="T52" s="14">
        <f t="shared" ca="1" si="17"/>
        <v>-44.94</v>
      </c>
      <c r="U52" s="14">
        <f t="shared" ca="1" si="17"/>
        <v>-43.629999999999995</v>
      </c>
      <c r="V52" s="14">
        <f t="shared" ca="1" si="17"/>
        <v>-42.4</v>
      </c>
      <c r="W52" s="14">
        <f t="shared" ca="1" si="17"/>
        <v>-41.33</v>
      </c>
      <c r="X52" s="14">
        <f t="shared" ca="1" si="17"/>
        <v>-40.57</v>
      </c>
      <c r="Y52" s="14">
        <f t="shared" ca="1" si="17"/>
        <v>-39.85</v>
      </c>
      <c r="Z52" s="14">
        <f t="shared" ca="1" si="17"/>
        <v>-39.18</v>
      </c>
      <c r="AA52" s="14">
        <f t="shared" ca="1" si="17"/>
        <v>-38.54</v>
      </c>
      <c r="AB52" s="14">
        <f t="shared" ca="1" si="17"/>
        <v>-36.31</v>
      </c>
      <c r="AC52" s="14">
        <f t="shared" ca="1" si="17"/>
        <v>-35.82</v>
      </c>
      <c r="AD52" s="14">
        <f t="shared" ca="1" si="17"/>
        <v>-35.356000000000002</v>
      </c>
      <c r="AE52" s="14">
        <f t="shared" ca="1" si="17"/>
        <v>-34.917999999999999</v>
      </c>
      <c r="AF52" s="14">
        <f t="shared" ca="1" si="17"/>
        <v>-34.493000000000002</v>
      </c>
      <c r="AG52" s="14">
        <f t="shared" ca="1" si="17"/>
        <v>-34.105000000000004</v>
      </c>
      <c r="AH52" s="14">
        <f t="shared" ca="1" si="17"/>
        <v>-34.396999999999998</v>
      </c>
      <c r="AI52" s="14">
        <f t="shared" ca="1" si="17"/>
        <v>-34.689</v>
      </c>
      <c r="AJ52" s="14">
        <f t="shared" ca="1" si="17"/>
        <v>-34.982999999999997</v>
      </c>
      <c r="AK52" s="14">
        <f t="shared" ca="1" si="17"/>
        <v>-36.149000000000001</v>
      </c>
      <c r="AL52" s="14">
        <f t="shared" ca="1" si="17"/>
        <v>-36.445</v>
      </c>
      <c r="AM52" s="14">
        <f t="shared" ca="1" si="17"/>
        <v>-36.744</v>
      </c>
      <c r="AN52" s="14">
        <f t="shared" ca="1" si="17"/>
        <v>-37.038000000000004</v>
      </c>
      <c r="AO52" s="14">
        <f t="shared" ca="1" si="17"/>
        <v>-37.346000000000004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1</v>
      </c>
      <c r="D53" s="5">
        <f t="shared" si="14"/>
        <v>0</v>
      </c>
      <c r="E53" s="6" t="str">
        <f t="shared" si="14"/>
        <v>*GeSe</v>
      </c>
      <c r="F53" s="14">
        <f t="shared" ca="1" si="15"/>
        <v>-39.81</v>
      </c>
      <c r="G53" s="14">
        <f t="shared" ca="1" si="17"/>
        <v>-38.06</v>
      </c>
      <c r="H53" s="14">
        <f t="shared" ca="1" si="17"/>
        <v>-36.51</v>
      </c>
      <c r="I53" s="14">
        <f t="shared" ca="1" si="17"/>
        <v>-35.14</v>
      </c>
      <c r="J53" s="14">
        <f t="shared" ca="1" si="17"/>
        <v>-33.909999999999997</v>
      </c>
      <c r="K53" s="14">
        <f t="shared" ca="1" si="17"/>
        <v>-32.82</v>
      </c>
      <c r="L53" s="14">
        <f t="shared" ca="1" si="17"/>
        <v>-31.830000000000002</v>
      </c>
      <c r="M53" s="14">
        <f t="shared" ca="1" si="17"/>
        <v>-30.950000000000003</v>
      </c>
      <c r="N53" s="14">
        <f t="shared" ca="1" si="17"/>
        <v>-30.143000000000001</v>
      </c>
      <c r="O53" s="14">
        <f t="shared" ca="1" si="17"/>
        <v>-27.568000000000001</v>
      </c>
      <c r="P53" s="14">
        <f t="shared" ca="1" si="17"/>
        <v>-27.053000000000001</v>
      </c>
      <c r="Q53" s="14">
        <f t="shared" ca="1" si="17"/>
        <v>-26.57</v>
      </c>
      <c r="R53" s="14">
        <f t="shared" ca="1" si="17"/>
        <v>-26.384999999999998</v>
      </c>
      <c r="S53" s="14">
        <f t="shared" ca="1" si="17"/>
        <v>-26.675000000000001</v>
      </c>
      <c r="T53" s="14">
        <f t="shared" ca="1" si="17"/>
        <v>-26.955000000000002</v>
      </c>
      <c r="U53" s="14">
        <f t="shared" ca="1" si="17"/>
        <v>-27.236000000000001</v>
      </c>
      <c r="V53" s="14">
        <f t="shared" ca="1" si="17"/>
        <v>-27.515999999999998</v>
      </c>
      <c r="W53" s="14">
        <f t="shared" ca="1" si="17"/>
        <v>-27.797000000000001</v>
      </c>
      <c r="X53" s="14">
        <f t="shared" ca="1" si="17"/>
        <v>-28.077999999999999</v>
      </c>
      <c r="Y53" s="14">
        <f t="shared" ca="1" si="17"/>
        <v>-28.349</v>
      </c>
      <c r="Z53" s="14">
        <f t="shared" ca="1" si="17"/>
        <v>-28.62</v>
      </c>
      <c r="AA53" s="14">
        <f t="shared" ca="1" si="17"/>
        <v>-28.890999999999998</v>
      </c>
      <c r="AB53" s="14">
        <f t="shared" ca="1" si="17"/>
        <v>-29.952999999999999</v>
      </c>
      <c r="AC53" s="14">
        <f t="shared" ca="1" si="17"/>
        <v>-30.213000000000001</v>
      </c>
      <c r="AD53" s="14">
        <f t="shared" ca="1" si="17"/>
        <v>-30.472000000000001</v>
      </c>
      <c r="AE53" s="14">
        <f t="shared" ca="1" si="17"/>
        <v>-30.731999999999999</v>
      </c>
      <c r="AF53" s="14">
        <f t="shared" ca="1" si="17"/>
        <v>-30.981000000000002</v>
      </c>
      <c r="AG53" s="14">
        <f t="shared" ca="1" si="17"/>
        <v>-31.23</v>
      </c>
      <c r="AH53" s="14">
        <f t="shared" ca="1" si="17"/>
        <v>-31.478000000000002</v>
      </c>
      <c r="AI53" s="14">
        <f t="shared" ca="1" si="17"/>
        <v>-31.726999999999997</v>
      </c>
      <c r="AJ53" s="14">
        <f t="shared" ca="1" si="17"/>
        <v>-31.975000000000001</v>
      </c>
      <c r="AK53" s="14">
        <f t="shared" ca="1" si="17"/>
        <v>-32.933999999999997</v>
      </c>
      <c r="AL53" s="14">
        <f t="shared" ca="1" si="17"/>
        <v>-33.170999999999999</v>
      </c>
      <c r="AM53" s="14">
        <f t="shared" ca="1" si="17"/>
        <v>-33.406999999999996</v>
      </c>
      <c r="AN53" s="14">
        <f t="shared" ca="1" si="17"/>
        <v>-33.633000000000003</v>
      </c>
      <c r="AO53" s="14">
        <f t="shared" ca="1" si="17"/>
        <v>-33.869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2</v>
      </c>
      <c r="E54" s="6" t="str">
        <f t="shared" si="14"/>
        <v>Ga2Se</v>
      </c>
      <c r="F54" s="14">
        <f t="shared" ca="1" si="15"/>
        <v>-153.79</v>
      </c>
      <c r="G54" s="14">
        <f t="shared" ca="1" si="17"/>
        <v>-145.73000000000002</v>
      </c>
      <c r="H54" s="14">
        <f t="shared" ca="1" si="17"/>
        <v>-138.55000000000001</v>
      </c>
      <c r="I54" s="14">
        <f t="shared" ca="1" si="17"/>
        <v>-132.15</v>
      </c>
      <c r="J54" s="14">
        <f t="shared" ca="1" si="17"/>
        <v>-126.37</v>
      </c>
      <c r="K54" s="14">
        <f t="shared" ca="1" si="17"/>
        <v>-117.37</v>
      </c>
      <c r="L54" s="14">
        <f t="shared" ca="1" si="17"/>
        <v>-112.69</v>
      </c>
      <c r="M54" s="14">
        <f t="shared" ca="1" si="17"/>
        <v>-108</v>
      </c>
      <c r="N54" s="14">
        <f t="shared" ca="1" si="17"/>
        <v>-102.49</v>
      </c>
      <c r="O54" s="14">
        <f t="shared" ca="1" si="17"/>
        <v>-84.17</v>
      </c>
      <c r="P54" s="14">
        <f t="shared" ca="1" si="17"/>
        <v>-80.34</v>
      </c>
      <c r="Q54" s="14">
        <f t="shared" ca="1" si="17"/>
        <v>-76.72</v>
      </c>
      <c r="R54" s="14">
        <f t="shared" ca="1" si="17"/>
        <v>-73.33</v>
      </c>
      <c r="S54" s="14">
        <f t="shared" ca="1" si="17"/>
        <v>-70.14</v>
      </c>
      <c r="T54" s="14">
        <f t="shared" ref="G54:BR58" ca="1" si="18">$A54*H.Ar + $B54*H.Se + $C54*H.Ge + $D54*H.Ga</f>
        <v>-67.12</v>
      </c>
      <c r="U54" s="14">
        <f t="shared" ca="1" si="18"/>
        <v>-64.259999999999991</v>
      </c>
      <c r="V54" s="14">
        <f t="shared" ca="1" si="18"/>
        <v>-61.56</v>
      </c>
      <c r="W54" s="14">
        <f t="shared" ca="1" si="18"/>
        <v>-59.180000000000007</v>
      </c>
      <c r="X54" s="14">
        <f t="shared" ca="1" si="18"/>
        <v>-57.42</v>
      </c>
      <c r="Y54" s="14">
        <f t="shared" ca="1" si="18"/>
        <v>-55.75</v>
      </c>
      <c r="Z54" s="14">
        <f t="shared" ca="1" si="18"/>
        <v>-54.18</v>
      </c>
      <c r="AA54" s="14">
        <f t="shared" ca="1" si="18"/>
        <v>-52.67</v>
      </c>
      <c r="AB54" s="14">
        <f t="shared" ca="1" si="18"/>
        <v>-47.31</v>
      </c>
      <c r="AC54" s="14">
        <f t="shared" ca="1" si="18"/>
        <v>-46.11</v>
      </c>
      <c r="AD54" s="14">
        <f t="shared" ca="1" si="18"/>
        <v>-44.962000000000003</v>
      </c>
      <c r="AE54" s="14">
        <f t="shared" ca="1" si="18"/>
        <v>-43.866</v>
      </c>
      <c r="AF54" s="14">
        <f t="shared" ca="1" si="18"/>
        <v>-42.805999999999997</v>
      </c>
      <c r="AG54" s="14">
        <f t="shared" ca="1" si="18"/>
        <v>-41.82</v>
      </c>
      <c r="AH54" s="14">
        <f t="shared" ca="1" si="18"/>
        <v>-42.194000000000003</v>
      </c>
      <c r="AI54" s="14">
        <f t="shared" ca="1" si="18"/>
        <v>-42.567999999999998</v>
      </c>
      <c r="AJ54" s="14">
        <f t="shared" ca="1" si="18"/>
        <v>-42.945999999999998</v>
      </c>
      <c r="AK54" s="14">
        <f t="shared" ca="1" si="18"/>
        <v>-44.468000000000004</v>
      </c>
      <c r="AL54" s="14">
        <f t="shared" ca="1" si="18"/>
        <v>-44.86</v>
      </c>
      <c r="AM54" s="14">
        <f t="shared" ca="1" si="18"/>
        <v>-45.257999999999996</v>
      </c>
      <c r="AN54" s="14">
        <f t="shared" ca="1" si="18"/>
        <v>-45.656000000000006</v>
      </c>
      <c r="AO54" s="14">
        <f t="shared" ca="1" si="18"/>
        <v>-46.072000000000003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-18.62</v>
      </c>
      <c r="G55" s="14">
        <f t="shared" ca="1" si="18"/>
        <v>-18.61</v>
      </c>
      <c r="H55" s="14">
        <f t="shared" ca="1" si="18"/>
        <v>-18.61</v>
      </c>
      <c r="I55" s="14">
        <f t="shared" ca="1" si="18"/>
        <v>-18.62</v>
      </c>
      <c r="J55" s="14">
        <f t="shared" ca="1" si="18"/>
        <v>-18.63</v>
      </c>
      <c r="K55" s="14">
        <f t="shared" ca="1" si="18"/>
        <v>-18.649999999999999</v>
      </c>
      <c r="L55" s="14">
        <f t="shared" ca="1" si="18"/>
        <v>-18.670000000000002</v>
      </c>
      <c r="M55" s="14">
        <f t="shared" ca="1" si="18"/>
        <v>-18.690000000000001</v>
      </c>
      <c r="N55" s="14">
        <f t="shared" ca="1" si="18"/>
        <v>-18.72</v>
      </c>
      <c r="O55" s="14">
        <f t="shared" ca="1" si="18"/>
        <v>-18.84</v>
      </c>
      <c r="P55" s="14">
        <f t="shared" ca="1" si="18"/>
        <v>-18.87</v>
      </c>
      <c r="Q55" s="14">
        <f t="shared" ca="1" si="18"/>
        <v>-18.899999999999999</v>
      </c>
      <c r="R55" s="14">
        <f t="shared" ca="1" si="18"/>
        <v>-18.940000000000001</v>
      </c>
      <c r="S55" s="14">
        <f t="shared" ca="1" si="18"/>
        <v>-18.97</v>
      </c>
      <c r="T55" s="14">
        <f t="shared" ca="1" si="18"/>
        <v>-19.010000000000002</v>
      </c>
      <c r="U55" s="14">
        <f t="shared" ca="1" si="18"/>
        <v>-19.04</v>
      </c>
      <c r="V55" s="14">
        <f t="shared" ca="1" si="18"/>
        <v>-19.07</v>
      </c>
      <c r="W55" s="14">
        <f t="shared" ca="1" si="18"/>
        <v>-19.11</v>
      </c>
      <c r="X55" s="14">
        <f t="shared" ca="1" si="18"/>
        <v>-19.14</v>
      </c>
      <c r="Y55" s="14">
        <f t="shared" ca="1" si="18"/>
        <v>-19.18</v>
      </c>
      <c r="Z55" s="14">
        <f t="shared" ca="1" si="18"/>
        <v>-19.21</v>
      </c>
      <c r="AA55" s="14">
        <f t="shared" ca="1" si="18"/>
        <v>-19.25</v>
      </c>
      <c r="AB55" s="14">
        <f t="shared" ca="1" si="18"/>
        <v>-19.38</v>
      </c>
      <c r="AC55" s="14">
        <f t="shared" ca="1" si="18"/>
        <v>-19.420000000000002</v>
      </c>
      <c r="AD55" s="14">
        <f t="shared" ca="1" si="18"/>
        <v>-19.45</v>
      </c>
      <c r="AE55" s="14">
        <f t="shared" ca="1" si="18"/>
        <v>-19.48</v>
      </c>
      <c r="AF55" s="14">
        <f t="shared" ca="1" si="18"/>
        <v>-19.510000000000002</v>
      </c>
      <c r="AG55" s="14">
        <f t="shared" ca="1" si="18"/>
        <v>-19.55</v>
      </c>
      <c r="AH55" s="14">
        <f t="shared" ca="1" si="18"/>
        <v>-19.579999999999998</v>
      </c>
      <c r="AI55" s="14">
        <f t="shared" ca="1" si="18"/>
        <v>-19.61</v>
      </c>
      <c r="AJ55" s="14">
        <f t="shared" ca="1" si="18"/>
        <v>-19.64</v>
      </c>
      <c r="AK55" s="14">
        <f t="shared" ca="1" si="18"/>
        <v>-19.760000000000002</v>
      </c>
      <c r="AL55" s="14">
        <f t="shared" ca="1" si="18"/>
        <v>-19.79</v>
      </c>
      <c r="AM55" s="14">
        <f t="shared" ca="1" si="18"/>
        <v>-19.82</v>
      </c>
      <c r="AN55" s="14">
        <f t="shared" ca="1" si="18"/>
        <v>-19.850000000000001</v>
      </c>
      <c r="AO55" s="14">
        <f t="shared" ca="1" si="18"/>
        <v>-19.88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(1)Ga[l]</v>
      </c>
      <c r="F56" s="14">
        <f t="shared" ref="F56:U65" ca="1" si="20">$A56*H.Ar + $B56*H.Se + $C56*H.Ge + $D56*H.Ga</f>
        <v>-64.92</v>
      </c>
      <c r="G56" s="14">
        <f t="shared" ca="1" si="20"/>
        <v>-61.45</v>
      </c>
      <c r="H56" s="14">
        <f t="shared" ca="1" si="20"/>
        <v>-58.36</v>
      </c>
      <c r="I56" s="14">
        <f t="shared" ca="1" si="20"/>
        <v>-55.6</v>
      </c>
      <c r="J56" s="14">
        <f t="shared" ca="1" si="20"/>
        <v>-53.11</v>
      </c>
      <c r="K56" s="14">
        <f t="shared" ca="1" si="20"/>
        <v>-48.02</v>
      </c>
      <c r="L56" s="14">
        <f t="shared" ca="1" si="20"/>
        <v>-46.01</v>
      </c>
      <c r="M56" s="14">
        <f t="shared" ca="1" si="20"/>
        <v>-43.86</v>
      </c>
      <c r="N56" s="14">
        <f t="shared" ca="1" si="20"/>
        <v>-40.98</v>
      </c>
      <c r="O56" s="14">
        <f t="shared" ca="1" si="20"/>
        <v>-31.32</v>
      </c>
      <c r="P56" s="14">
        <f t="shared" ca="1" si="20"/>
        <v>-29.28</v>
      </c>
      <c r="Q56" s="14">
        <f t="shared" ca="1" si="20"/>
        <v>-27.35</v>
      </c>
      <c r="R56" s="14">
        <f t="shared" ca="1" si="20"/>
        <v>-25.53</v>
      </c>
      <c r="S56" s="14">
        <f t="shared" ca="1" si="20"/>
        <v>-23.81</v>
      </c>
      <c r="T56" s="14">
        <f t="shared" ca="1" si="20"/>
        <v>-22.18</v>
      </c>
      <c r="U56" s="14">
        <f t="shared" ca="1" si="20"/>
        <v>-20.63</v>
      </c>
      <c r="V56" s="14">
        <f t="shared" ca="1" si="18"/>
        <v>-19.16</v>
      </c>
      <c r="W56" s="14">
        <f t="shared" ca="1" si="18"/>
        <v>-17.850000000000001</v>
      </c>
      <c r="X56" s="14">
        <f t="shared" ca="1" si="18"/>
        <v>-16.850000000000001</v>
      </c>
      <c r="Y56" s="14">
        <f t="shared" ca="1" si="18"/>
        <v>-15.9</v>
      </c>
      <c r="Z56" s="14">
        <f t="shared" ca="1" si="18"/>
        <v>-15</v>
      </c>
      <c r="AA56" s="14">
        <f t="shared" ca="1" si="18"/>
        <v>-14.13</v>
      </c>
      <c r="AB56" s="14">
        <f t="shared" ca="1" si="18"/>
        <v>-11</v>
      </c>
      <c r="AC56" s="14">
        <f t="shared" ca="1" si="18"/>
        <v>-10.29</v>
      </c>
      <c r="AD56" s="14">
        <f t="shared" ca="1" si="18"/>
        <v>-9.6059999999999999</v>
      </c>
      <c r="AE56" s="14">
        <f t="shared" ca="1" si="18"/>
        <v>-8.9480000000000004</v>
      </c>
      <c r="AF56" s="14">
        <f t="shared" ca="1" si="18"/>
        <v>-8.3130000000000006</v>
      </c>
      <c r="AG56" s="14">
        <f t="shared" ca="1" si="18"/>
        <v>-7.7149999999999999</v>
      </c>
      <c r="AH56" s="14">
        <f t="shared" ca="1" si="18"/>
        <v>-7.7969999999999997</v>
      </c>
      <c r="AI56" s="14">
        <f t="shared" ca="1" si="18"/>
        <v>-7.8789999999999996</v>
      </c>
      <c r="AJ56" s="14">
        <f t="shared" ca="1" si="18"/>
        <v>-7.9630000000000001</v>
      </c>
      <c r="AK56" s="14">
        <f t="shared" ca="1" si="18"/>
        <v>-8.3190000000000008</v>
      </c>
      <c r="AL56" s="14">
        <f t="shared" ca="1" si="18"/>
        <v>-8.4149999999999991</v>
      </c>
      <c r="AM56" s="14">
        <f t="shared" ca="1" si="18"/>
        <v>-8.5139999999999993</v>
      </c>
      <c r="AN56" s="14">
        <f t="shared" ca="1" si="18"/>
        <v>-8.6180000000000003</v>
      </c>
      <c r="AO56" s="14">
        <f t="shared" ca="1" si="18"/>
        <v>-8.7260000000000009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1</v>
      </c>
      <c r="D57" s="5">
        <f t="shared" si="19"/>
        <v>0</v>
      </c>
      <c r="E57" s="6" t="str">
        <f t="shared" si="19"/>
        <v>(1)GeSe[l]</v>
      </c>
      <c r="F57" s="14">
        <f t="shared" ca="1" si="20"/>
        <v>-39.81</v>
      </c>
      <c r="G57" s="14">
        <f t="shared" ca="1" si="18"/>
        <v>-38.06</v>
      </c>
      <c r="H57" s="14">
        <f t="shared" ca="1" si="18"/>
        <v>-36.51</v>
      </c>
      <c r="I57" s="14">
        <f t="shared" ca="1" si="18"/>
        <v>-35.14</v>
      </c>
      <c r="J57" s="14">
        <f t="shared" ca="1" si="18"/>
        <v>-33.909999999999997</v>
      </c>
      <c r="K57" s="14">
        <f t="shared" ca="1" si="18"/>
        <v>-32.82</v>
      </c>
      <c r="L57" s="14">
        <f t="shared" ca="1" si="18"/>
        <v>-31.830000000000002</v>
      </c>
      <c r="M57" s="14">
        <f t="shared" ca="1" si="18"/>
        <v>-30.950000000000003</v>
      </c>
      <c r="N57" s="14">
        <f t="shared" ca="1" si="18"/>
        <v>-30.143000000000001</v>
      </c>
      <c r="O57" s="14">
        <f t="shared" ca="1" si="18"/>
        <v>-27.568000000000001</v>
      </c>
      <c r="P57" s="14">
        <f t="shared" ca="1" si="18"/>
        <v>-27.053000000000001</v>
      </c>
      <c r="Q57" s="14">
        <f t="shared" ca="1" si="18"/>
        <v>-26.57</v>
      </c>
      <c r="R57" s="14">
        <f t="shared" ca="1" si="18"/>
        <v>-26.384999999999998</v>
      </c>
      <c r="S57" s="14">
        <f t="shared" ca="1" si="18"/>
        <v>-26.675000000000001</v>
      </c>
      <c r="T57" s="14">
        <f t="shared" ca="1" si="18"/>
        <v>-26.955000000000002</v>
      </c>
      <c r="U57" s="14">
        <f t="shared" ca="1" si="18"/>
        <v>-27.236000000000001</v>
      </c>
      <c r="V57" s="14">
        <f t="shared" ca="1" si="18"/>
        <v>-27.515999999999998</v>
      </c>
      <c r="W57" s="14">
        <f t="shared" ca="1" si="18"/>
        <v>-27.797000000000001</v>
      </c>
      <c r="X57" s="14">
        <f t="shared" ca="1" si="18"/>
        <v>-28.077999999999999</v>
      </c>
      <c r="Y57" s="14">
        <f t="shared" ca="1" si="18"/>
        <v>-28.349</v>
      </c>
      <c r="Z57" s="14">
        <f t="shared" ca="1" si="18"/>
        <v>-28.62</v>
      </c>
      <c r="AA57" s="14">
        <f t="shared" ca="1" si="18"/>
        <v>-28.890999999999998</v>
      </c>
      <c r="AB57" s="14">
        <f t="shared" ca="1" si="18"/>
        <v>-29.952999999999999</v>
      </c>
      <c r="AC57" s="14">
        <f t="shared" ca="1" si="18"/>
        <v>-30.213000000000001</v>
      </c>
      <c r="AD57" s="14">
        <f t="shared" ca="1" si="18"/>
        <v>-30.472000000000001</v>
      </c>
      <c r="AE57" s="14">
        <f t="shared" ca="1" si="18"/>
        <v>-30.731999999999999</v>
      </c>
      <c r="AF57" s="14">
        <f t="shared" ca="1" si="18"/>
        <v>-30.981000000000002</v>
      </c>
      <c r="AG57" s="14">
        <f t="shared" ca="1" si="18"/>
        <v>-31.23</v>
      </c>
      <c r="AH57" s="14">
        <f t="shared" ca="1" si="18"/>
        <v>-31.478000000000002</v>
      </c>
      <c r="AI57" s="14">
        <f t="shared" ca="1" si="18"/>
        <v>-31.726999999999997</v>
      </c>
      <c r="AJ57" s="14">
        <f t="shared" ca="1" si="18"/>
        <v>-31.975000000000001</v>
      </c>
      <c r="AK57" s="14">
        <f t="shared" ca="1" si="18"/>
        <v>-32.933999999999997</v>
      </c>
      <c r="AL57" s="14">
        <f t="shared" ca="1" si="18"/>
        <v>-33.170999999999999</v>
      </c>
      <c r="AM57" s="14">
        <f t="shared" ca="1" si="18"/>
        <v>-33.406999999999996</v>
      </c>
      <c r="AN57" s="14">
        <f t="shared" ca="1" si="18"/>
        <v>-33.633000000000003</v>
      </c>
      <c r="AO57" s="14">
        <f t="shared" ca="1" si="18"/>
        <v>-33.869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1</v>
      </c>
      <c r="D58" s="5">
        <f t="shared" si="19"/>
        <v>0</v>
      </c>
      <c r="E58" s="6" t="str">
        <f t="shared" si="19"/>
        <v>(1)Ge[l]</v>
      </c>
      <c r="F58" s="14">
        <f t="shared" ca="1" si="20"/>
        <v>-15.86</v>
      </c>
      <c r="G58" s="14">
        <f t="shared" ca="1" si="18"/>
        <v>-15.23</v>
      </c>
      <c r="H58" s="14">
        <f t="shared" ca="1" si="18"/>
        <v>-14.68</v>
      </c>
      <c r="I58" s="14">
        <f t="shared" ca="1" si="18"/>
        <v>-14.19</v>
      </c>
      <c r="J58" s="14">
        <f t="shared" ca="1" si="18"/>
        <v>-13.76</v>
      </c>
      <c r="K58" s="14">
        <f t="shared" ca="1" si="18"/>
        <v>-11.49</v>
      </c>
      <c r="L58" s="14">
        <f t="shared" ca="1" si="18"/>
        <v>-11.16</v>
      </c>
      <c r="M58" s="14">
        <f t="shared" ca="1" si="18"/>
        <v>-10.67</v>
      </c>
      <c r="N58" s="14">
        <f t="shared" ca="1" si="18"/>
        <v>-9.6129999999999995</v>
      </c>
      <c r="O58" s="14">
        <f t="shared" ca="1" si="18"/>
        <v>-6.0380000000000003</v>
      </c>
      <c r="P58" s="14">
        <f t="shared" ca="1" si="18"/>
        <v>-5.2729999999999997</v>
      </c>
      <c r="Q58" s="14">
        <f t="shared" ca="1" si="18"/>
        <v>-4.55</v>
      </c>
      <c r="R58" s="14">
        <f t="shared" ca="1" si="18"/>
        <v>-4.1150000000000002</v>
      </c>
      <c r="S58" s="14">
        <f t="shared" ca="1" si="18"/>
        <v>-4.1550000000000002</v>
      </c>
      <c r="T58" s="14">
        <f t="shared" ca="1" si="18"/>
        <v>-4.1950000000000003</v>
      </c>
      <c r="U58" s="14">
        <f t="shared" ca="1" si="18"/>
        <v>-4.2359999999999998</v>
      </c>
      <c r="V58" s="14">
        <f t="shared" ca="1" si="18"/>
        <v>-4.2759999999999998</v>
      </c>
      <c r="W58" s="14">
        <f t="shared" ca="1" si="18"/>
        <v>-4.3170000000000002</v>
      </c>
      <c r="X58" s="14">
        <f t="shared" ca="1" si="18"/>
        <v>-4.3579999999999997</v>
      </c>
      <c r="Y58" s="14">
        <f t="shared" ca="1" si="18"/>
        <v>-4.399</v>
      </c>
      <c r="Z58" s="14">
        <f t="shared" ca="1" si="18"/>
        <v>-4.4400000000000004</v>
      </c>
      <c r="AA58" s="14">
        <f t="shared" ca="1" si="18"/>
        <v>-4.4809999999999999</v>
      </c>
      <c r="AB58" s="14">
        <f t="shared" ca="1" si="18"/>
        <v>-4.6429999999999998</v>
      </c>
      <c r="AC58" s="14">
        <f t="shared" ca="1" si="18"/>
        <v>-4.6829999999999998</v>
      </c>
      <c r="AD58" s="14">
        <f t="shared" ca="1" si="18"/>
        <v>-4.7220000000000004</v>
      </c>
      <c r="AE58" s="14">
        <f t="shared" ca="1" si="18"/>
        <v>-4.7619999999999996</v>
      </c>
      <c r="AF58" s="14">
        <f t="shared" ca="1" si="18"/>
        <v>-4.8010000000000002</v>
      </c>
      <c r="AG58" s="14">
        <f t="shared" ca="1" si="18"/>
        <v>-4.84</v>
      </c>
      <c r="AH58" s="14">
        <f t="shared" ref="G58:BR62" ca="1" si="21">$A58*H.Ar + $B58*H.Se + $C58*H.Ge + $D58*H.Ga</f>
        <v>-4.8780000000000001</v>
      </c>
      <c r="AI58" s="14">
        <f t="shared" ca="1" si="21"/>
        <v>-4.9169999999999998</v>
      </c>
      <c r="AJ58" s="14">
        <f t="shared" ca="1" si="21"/>
        <v>-4.9550000000000001</v>
      </c>
      <c r="AK58" s="14">
        <f t="shared" ca="1" si="21"/>
        <v>-5.1040000000000001</v>
      </c>
      <c r="AL58" s="14">
        <f t="shared" ca="1" si="21"/>
        <v>-5.141</v>
      </c>
      <c r="AM58" s="14">
        <f t="shared" ca="1" si="21"/>
        <v>-5.1769999999999996</v>
      </c>
      <c r="AN58" s="14">
        <f t="shared" ca="1" si="21"/>
        <v>-5.2130000000000001</v>
      </c>
      <c r="AO58" s="14">
        <f t="shared" ca="1" si="21"/>
        <v>-5.2489999999999997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1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 t="str">
        <f t="shared" si="19"/>
        <v>H (Ar)</v>
      </c>
      <c r="F59" s="14">
        <f t="shared" ca="1" si="20"/>
        <v>-18.62</v>
      </c>
      <c r="G59" s="14">
        <f t="shared" ca="1" si="21"/>
        <v>-18.61</v>
      </c>
      <c r="H59" s="14">
        <f t="shared" ca="1" si="21"/>
        <v>-18.61</v>
      </c>
      <c r="I59" s="14">
        <f t="shared" ca="1" si="21"/>
        <v>-18.62</v>
      </c>
      <c r="J59" s="14">
        <f t="shared" ca="1" si="21"/>
        <v>-18.63</v>
      </c>
      <c r="K59" s="14">
        <f t="shared" ca="1" si="21"/>
        <v>-18.649999999999999</v>
      </c>
      <c r="L59" s="14">
        <f t="shared" ca="1" si="21"/>
        <v>-18.670000000000002</v>
      </c>
      <c r="M59" s="14">
        <f t="shared" ca="1" si="21"/>
        <v>-18.690000000000001</v>
      </c>
      <c r="N59" s="14">
        <f t="shared" ca="1" si="21"/>
        <v>-18.72</v>
      </c>
      <c r="O59" s="14">
        <f t="shared" ca="1" si="21"/>
        <v>-18.84</v>
      </c>
      <c r="P59" s="14">
        <f t="shared" ca="1" si="21"/>
        <v>-18.87</v>
      </c>
      <c r="Q59" s="14">
        <f t="shared" ca="1" si="21"/>
        <v>-18.899999999999999</v>
      </c>
      <c r="R59" s="14">
        <f t="shared" ca="1" si="21"/>
        <v>-18.940000000000001</v>
      </c>
      <c r="S59" s="14">
        <f t="shared" ca="1" si="21"/>
        <v>-18.97</v>
      </c>
      <c r="T59" s="14">
        <f t="shared" ca="1" si="21"/>
        <v>-19.010000000000002</v>
      </c>
      <c r="U59" s="14">
        <f t="shared" ca="1" si="21"/>
        <v>-19.04</v>
      </c>
      <c r="V59" s="14">
        <f t="shared" ca="1" si="21"/>
        <v>-19.07</v>
      </c>
      <c r="W59" s="14">
        <f t="shared" ca="1" si="21"/>
        <v>-19.11</v>
      </c>
      <c r="X59" s="14">
        <f t="shared" ca="1" si="21"/>
        <v>-19.14</v>
      </c>
      <c r="Y59" s="14">
        <f t="shared" ca="1" si="21"/>
        <v>-19.18</v>
      </c>
      <c r="Z59" s="14">
        <f t="shared" ca="1" si="21"/>
        <v>-19.21</v>
      </c>
      <c r="AA59" s="14">
        <f t="shared" ca="1" si="21"/>
        <v>-19.25</v>
      </c>
      <c r="AB59" s="14">
        <f t="shared" ca="1" si="21"/>
        <v>-19.38</v>
      </c>
      <c r="AC59" s="14">
        <f t="shared" ca="1" si="21"/>
        <v>-19.420000000000002</v>
      </c>
      <c r="AD59" s="14">
        <f t="shared" ca="1" si="21"/>
        <v>-19.45</v>
      </c>
      <c r="AE59" s="14">
        <f t="shared" ca="1" si="21"/>
        <v>-19.48</v>
      </c>
      <c r="AF59" s="14">
        <f t="shared" ca="1" si="21"/>
        <v>-19.510000000000002</v>
      </c>
      <c r="AG59" s="14">
        <f t="shared" ca="1" si="21"/>
        <v>-19.55</v>
      </c>
      <c r="AH59" s="14">
        <f t="shared" ca="1" si="21"/>
        <v>-19.579999999999998</v>
      </c>
      <c r="AI59" s="14">
        <f t="shared" ca="1" si="21"/>
        <v>-19.61</v>
      </c>
      <c r="AJ59" s="14">
        <f t="shared" ca="1" si="21"/>
        <v>-19.64</v>
      </c>
      <c r="AK59" s="14">
        <f t="shared" ca="1" si="21"/>
        <v>-19.760000000000002</v>
      </c>
      <c r="AL59" s="14">
        <f t="shared" ca="1" si="21"/>
        <v>-19.79</v>
      </c>
      <c r="AM59" s="14">
        <f t="shared" ca="1" si="21"/>
        <v>-19.82</v>
      </c>
      <c r="AN59" s="14">
        <f t="shared" ca="1" si="21"/>
        <v>-19.850000000000001</v>
      </c>
      <c r="AO59" s="14">
        <f t="shared" ca="1" si="21"/>
        <v>-19.88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1</v>
      </c>
      <c r="E60" s="6" t="str">
        <f t="shared" si="19"/>
        <v>H (Ga)</v>
      </c>
      <c r="F60" s="14">
        <f t="shared" ca="1" si="20"/>
        <v>-64.92</v>
      </c>
      <c r="G60" s="14">
        <f t="shared" ca="1" si="21"/>
        <v>-61.45</v>
      </c>
      <c r="H60" s="14">
        <f t="shared" ca="1" si="21"/>
        <v>-58.36</v>
      </c>
      <c r="I60" s="14">
        <f t="shared" ca="1" si="21"/>
        <v>-55.6</v>
      </c>
      <c r="J60" s="14">
        <f t="shared" ca="1" si="21"/>
        <v>-53.11</v>
      </c>
      <c r="K60" s="14">
        <f t="shared" ca="1" si="21"/>
        <v>-48.02</v>
      </c>
      <c r="L60" s="14">
        <f t="shared" ca="1" si="21"/>
        <v>-46.01</v>
      </c>
      <c r="M60" s="14">
        <f t="shared" ca="1" si="21"/>
        <v>-43.86</v>
      </c>
      <c r="N60" s="14">
        <f t="shared" ca="1" si="21"/>
        <v>-40.98</v>
      </c>
      <c r="O60" s="14">
        <f t="shared" ca="1" si="21"/>
        <v>-31.32</v>
      </c>
      <c r="P60" s="14">
        <f t="shared" ca="1" si="21"/>
        <v>-29.28</v>
      </c>
      <c r="Q60" s="14">
        <f t="shared" ca="1" si="21"/>
        <v>-27.35</v>
      </c>
      <c r="R60" s="14">
        <f t="shared" ca="1" si="21"/>
        <v>-25.53</v>
      </c>
      <c r="S60" s="14">
        <f t="shared" ca="1" si="21"/>
        <v>-23.81</v>
      </c>
      <c r="T60" s="14">
        <f t="shared" ca="1" si="21"/>
        <v>-22.18</v>
      </c>
      <c r="U60" s="14">
        <f t="shared" ca="1" si="21"/>
        <v>-20.63</v>
      </c>
      <c r="V60" s="14">
        <f t="shared" ca="1" si="21"/>
        <v>-19.16</v>
      </c>
      <c r="W60" s="14">
        <f t="shared" ca="1" si="21"/>
        <v>-17.850000000000001</v>
      </c>
      <c r="X60" s="14">
        <f t="shared" ca="1" si="21"/>
        <v>-16.850000000000001</v>
      </c>
      <c r="Y60" s="14">
        <f t="shared" ca="1" si="21"/>
        <v>-15.9</v>
      </c>
      <c r="Z60" s="14">
        <f t="shared" ca="1" si="21"/>
        <v>-15</v>
      </c>
      <c r="AA60" s="14">
        <f t="shared" ca="1" si="21"/>
        <v>-14.13</v>
      </c>
      <c r="AB60" s="14">
        <f t="shared" ca="1" si="21"/>
        <v>-11</v>
      </c>
      <c r="AC60" s="14">
        <f t="shared" ca="1" si="21"/>
        <v>-10.29</v>
      </c>
      <c r="AD60" s="14">
        <f t="shared" ca="1" si="21"/>
        <v>-9.6059999999999999</v>
      </c>
      <c r="AE60" s="14">
        <f t="shared" ca="1" si="21"/>
        <v>-8.9480000000000004</v>
      </c>
      <c r="AF60" s="14">
        <f t="shared" ca="1" si="21"/>
        <v>-8.3130000000000006</v>
      </c>
      <c r="AG60" s="14">
        <f t="shared" ca="1" si="21"/>
        <v>-7.7149999999999999</v>
      </c>
      <c r="AH60" s="14">
        <f t="shared" ca="1" si="21"/>
        <v>-7.7969999999999997</v>
      </c>
      <c r="AI60" s="14">
        <f t="shared" ca="1" si="21"/>
        <v>-7.8789999999999996</v>
      </c>
      <c r="AJ60" s="14">
        <f t="shared" ca="1" si="21"/>
        <v>-7.9630000000000001</v>
      </c>
      <c r="AK60" s="14">
        <f t="shared" ca="1" si="21"/>
        <v>-8.3190000000000008</v>
      </c>
      <c r="AL60" s="14">
        <f t="shared" ca="1" si="21"/>
        <v>-8.4149999999999991</v>
      </c>
      <c r="AM60" s="14">
        <f t="shared" ca="1" si="21"/>
        <v>-8.5139999999999993</v>
      </c>
      <c r="AN60" s="14">
        <f t="shared" ca="1" si="21"/>
        <v>-8.6180000000000003</v>
      </c>
      <c r="AO60" s="14">
        <f t="shared" ca="1" si="21"/>
        <v>-8.7260000000000009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H (Ge)</v>
      </c>
      <c r="F61" s="14">
        <f t="shared" ca="1" si="20"/>
        <v>-15.86</v>
      </c>
      <c r="G61" s="14">
        <f t="shared" ca="1" si="21"/>
        <v>-15.23</v>
      </c>
      <c r="H61" s="14">
        <f t="shared" ca="1" si="21"/>
        <v>-14.68</v>
      </c>
      <c r="I61" s="14">
        <f t="shared" ca="1" si="21"/>
        <v>-14.19</v>
      </c>
      <c r="J61" s="14">
        <f t="shared" ca="1" si="21"/>
        <v>-13.76</v>
      </c>
      <c r="K61" s="14">
        <f t="shared" ca="1" si="21"/>
        <v>-11.49</v>
      </c>
      <c r="L61" s="14">
        <f t="shared" ca="1" si="21"/>
        <v>-11.16</v>
      </c>
      <c r="M61" s="14">
        <f t="shared" ca="1" si="21"/>
        <v>-10.67</v>
      </c>
      <c r="N61" s="14">
        <f t="shared" ca="1" si="21"/>
        <v>-9.6129999999999995</v>
      </c>
      <c r="O61" s="14">
        <f t="shared" ca="1" si="21"/>
        <v>-6.0380000000000003</v>
      </c>
      <c r="P61" s="14">
        <f t="shared" ca="1" si="21"/>
        <v>-5.2729999999999997</v>
      </c>
      <c r="Q61" s="14">
        <f t="shared" ca="1" si="21"/>
        <v>-4.55</v>
      </c>
      <c r="R61" s="14">
        <f t="shared" ca="1" si="21"/>
        <v>-4.1150000000000002</v>
      </c>
      <c r="S61" s="14">
        <f t="shared" ca="1" si="21"/>
        <v>-4.1550000000000002</v>
      </c>
      <c r="T61" s="14">
        <f t="shared" ca="1" si="21"/>
        <v>-4.1950000000000003</v>
      </c>
      <c r="U61" s="14">
        <f t="shared" ca="1" si="21"/>
        <v>-4.2359999999999998</v>
      </c>
      <c r="V61" s="14">
        <f t="shared" ca="1" si="21"/>
        <v>-4.2759999999999998</v>
      </c>
      <c r="W61" s="14">
        <f t="shared" ca="1" si="21"/>
        <v>-4.3170000000000002</v>
      </c>
      <c r="X61" s="14">
        <f t="shared" ca="1" si="21"/>
        <v>-4.3579999999999997</v>
      </c>
      <c r="Y61" s="14">
        <f t="shared" ca="1" si="21"/>
        <v>-4.399</v>
      </c>
      <c r="Z61" s="14">
        <f t="shared" ca="1" si="21"/>
        <v>-4.4400000000000004</v>
      </c>
      <c r="AA61" s="14">
        <f t="shared" ca="1" si="21"/>
        <v>-4.4809999999999999</v>
      </c>
      <c r="AB61" s="14">
        <f t="shared" ca="1" si="21"/>
        <v>-4.6429999999999998</v>
      </c>
      <c r="AC61" s="14">
        <f t="shared" ca="1" si="21"/>
        <v>-4.6829999999999998</v>
      </c>
      <c r="AD61" s="14">
        <f t="shared" ca="1" si="21"/>
        <v>-4.7220000000000004</v>
      </c>
      <c r="AE61" s="14">
        <f t="shared" ca="1" si="21"/>
        <v>-4.7619999999999996</v>
      </c>
      <c r="AF61" s="14">
        <f t="shared" ca="1" si="21"/>
        <v>-4.8010000000000002</v>
      </c>
      <c r="AG61" s="14">
        <f t="shared" ca="1" si="21"/>
        <v>-4.84</v>
      </c>
      <c r="AH61" s="14">
        <f t="shared" ca="1" si="21"/>
        <v>-4.8780000000000001</v>
      </c>
      <c r="AI61" s="14">
        <f t="shared" ca="1" si="21"/>
        <v>-4.9169999999999998</v>
      </c>
      <c r="AJ61" s="14">
        <f t="shared" ca="1" si="21"/>
        <v>-4.9550000000000001</v>
      </c>
      <c r="AK61" s="14">
        <f t="shared" ca="1" si="21"/>
        <v>-5.1040000000000001</v>
      </c>
      <c r="AL61" s="14">
        <f t="shared" ca="1" si="21"/>
        <v>-5.141</v>
      </c>
      <c r="AM61" s="14">
        <f t="shared" ca="1" si="21"/>
        <v>-5.1769999999999996</v>
      </c>
      <c r="AN61" s="14">
        <f t="shared" ca="1" si="21"/>
        <v>-5.2130000000000001</v>
      </c>
      <c r="AO61" s="14">
        <f t="shared" ca="1" si="21"/>
        <v>-5.2489999999999997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H (Se)</v>
      </c>
      <c r="F62" s="14">
        <f t="shared" ca="1" si="20"/>
        <v>-23.95</v>
      </c>
      <c r="G62" s="14">
        <f t="shared" ca="1" si="21"/>
        <v>-22.83</v>
      </c>
      <c r="H62" s="14">
        <f t="shared" ca="1" si="21"/>
        <v>-21.83</v>
      </c>
      <c r="I62" s="14">
        <f t="shared" ca="1" si="21"/>
        <v>-20.95</v>
      </c>
      <c r="J62" s="14">
        <f t="shared" ca="1" si="21"/>
        <v>-20.149999999999999</v>
      </c>
      <c r="K62" s="14">
        <f t="shared" ca="1" si="21"/>
        <v>-21.33</v>
      </c>
      <c r="L62" s="14">
        <f t="shared" ca="1" si="21"/>
        <v>-20.67</v>
      </c>
      <c r="M62" s="14">
        <f t="shared" ca="1" si="21"/>
        <v>-20.28</v>
      </c>
      <c r="N62" s="14">
        <f t="shared" ca="1" si="21"/>
        <v>-20.53</v>
      </c>
      <c r="O62" s="14">
        <f t="shared" ca="1" si="21"/>
        <v>-21.53</v>
      </c>
      <c r="P62" s="14">
        <f t="shared" ca="1" si="21"/>
        <v>-21.78</v>
      </c>
      <c r="Q62" s="14">
        <f t="shared" ca="1" si="21"/>
        <v>-22.02</v>
      </c>
      <c r="R62" s="14">
        <f t="shared" ca="1" si="21"/>
        <v>-22.27</v>
      </c>
      <c r="S62" s="14">
        <f t="shared" ca="1" si="21"/>
        <v>-22.52</v>
      </c>
      <c r="T62" s="14">
        <f t="shared" ca="1" si="21"/>
        <v>-22.76</v>
      </c>
      <c r="U62" s="14">
        <f t="shared" ca="1" si="21"/>
        <v>-23</v>
      </c>
      <c r="V62" s="14">
        <f t="shared" ca="1" si="21"/>
        <v>-23.24</v>
      </c>
      <c r="W62" s="14">
        <f t="shared" ca="1" si="21"/>
        <v>-23.48</v>
      </c>
      <c r="X62" s="14">
        <f t="shared" ca="1" si="21"/>
        <v>-23.72</v>
      </c>
      <c r="Y62" s="14">
        <f t="shared" ca="1" si="21"/>
        <v>-23.95</v>
      </c>
      <c r="Z62" s="14">
        <f t="shared" ca="1" si="21"/>
        <v>-24.18</v>
      </c>
      <c r="AA62" s="14">
        <f t="shared" ca="1" si="21"/>
        <v>-24.41</v>
      </c>
      <c r="AB62" s="14">
        <f t="shared" ca="1" si="21"/>
        <v>-25.31</v>
      </c>
      <c r="AC62" s="14">
        <f t="shared" ca="1" si="21"/>
        <v>-25.53</v>
      </c>
      <c r="AD62" s="14">
        <f t="shared" ca="1" si="21"/>
        <v>-25.75</v>
      </c>
      <c r="AE62" s="14">
        <f t="shared" ca="1" si="21"/>
        <v>-25.97</v>
      </c>
      <c r="AF62" s="14">
        <f t="shared" ca="1" si="21"/>
        <v>-26.18</v>
      </c>
      <c r="AG62" s="14">
        <f t="shared" ref="G62:BR66" ca="1" si="22">$A62*H.Ar + $B62*H.Se + $C62*H.Ge + $D62*H.Ga</f>
        <v>-26.39</v>
      </c>
      <c r="AH62" s="14">
        <f t="shared" ca="1" si="22"/>
        <v>-26.6</v>
      </c>
      <c r="AI62" s="14">
        <f t="shared" ca="1" si="22"/>
        <v>-26.81</v>
      </c>
      <c r="AJ62" s="14">
        <f t="shared" ca="1" si="22"/>
        <v>-27.02</v>
      </c>
      <c r="AK62" s="14">
        <f t="shared" ca="1" si="22"/>
        <v>-27.83</v>
      </c>
      <c r="AL62" s="14">
        <f t="shared" ca="1" si="22"/>
        <v>-28.03</v>
      </c>
      <c r="AM62" s="14">
        <f t="shared" ca="1" si="22"/>
        <v>-28.23</v>
      </c>
      <c r="AN62" s="14">
        <f t="shared" ca="1" si="22"/>
        <v>-28.42</v>
      </c>
      <c r="AO62" s="14">
        <f t="shared" ca="1" si="22"/>
        <v>-28.62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487.9</v>
      </c>
      <c r="Q79" s="3">
        <f t="shared" si="30"/>
        <v>504.4</v>
      </c>
      <c r="R79" s="3">
        <f t="shared" si="30"/>
        <v>520.9</v>
      </c>
      <c r="S79" s="3">
        <f t="shared" si="30"/>
        <v>537.5</v>
      </c>
      <c r="T79" s="3">
        <f t="shared" si="30"/>
        <v>554</v>
      </c>
      <c r="U79" s="3">
        <f t="shared" si="30"/>
        <v>570.5</v>
      </c>
      <c r="V79" s="3">
        <f t="shared" si="30"/>
        <v>587</v>
      </c>
      <c r="W79" s="3">
        <f t="shared" si="30"/>
        <v>603.5</v>
      </c>
      <c r="X79" s="3">
        <f t="shared" si="30"/>
        <v>620.1</v>
      </c>
      <c r="Y79" s="3">
        <f t="shared" si="30"/>
        <v>636.6</v>
      </c>
      <c r="Z79" s="3">
        <f t="shared" si="30"/>
        <v>653.1</v>
      </c>
      <c r="AA79" s="3">
        <f t="shared" si="30"/>
        <v>669.6</v>
      </c>
      <c r="AB79" s="3">
        <f t="shared" si="30"/>
        <v>735.7</v>
      </c>
      <c r="AC79" s="3">
        <f t="shared" si="30"/>
        <v>752.2</v>
      </c>
      <c r="AD79" s="3">
        <f t="shared" si="30"/>
        <v>768.7</v>
      </c>
      <c r="AE79" s="3">
        <f t="shared" si="30"/>
        <v>785.2</v>
      </c>
      <c r="AF79" s="3">
        <f t="shared" si="30"/>
        <v>801.8</v>
      </c>
      <c r="AG79" s="3">
        <f t="shared" si="30"/>
        <v>818.3</v>
      </c>
      <c r="AH79" s="3">
        <f t="shared" si="30"/>
        <v>834.8</v>
      </c>
      <c r="AI79" s="3">
        <f t="shared" si="30"/>
        <v>851.3</v>
      </c>
      <c r="AJ79" s="3">
        <f t="shared" si="30"/>
        <v>867.8</v>
      </c>
      <c r="AK79" s="3">
        <f t="shared" si="30"/>
        <v>933.9</v>
      </c>
      <c r="AL79" s="3">
        <f t="shared" si="30"/>
        <v>950.4</v>
      </c>
      <c r="AM79" s="3">
        <f t="shared" si="30"/>
        <v>967</v>
      </c>
      <c r="AN79" s="3">
        <f t="shared" si="30"/>
        <v>983.5</v>
      </c>
      <c r="AO79" s="3">
        <f t="shared" si="30"/>
        <v>1000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5.7875000000000007E-7</v>
      </c>
      <c r="N80" s="14">
        <f t="shared" si="33"/>
        <v>2.8730000000000003E-9</v>
      </c>
      <c r="O80" s="14">
        <f t="shared" si="33"/>
        <v>2.5234583333333336E-32</v>
      </c>
      <c r="P80" s="14">
        <f t="shared" si="33"/>
        <v>0</v>
      </c>
      <c r="Q80" s="14">
        <f t="shared" si="33"/>
        <v>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1</v>
      </c>
      <c r="C81" s="5">
        <f t="shared" si="34"/>
        <v>0</v>
      </c>
      <c r="D81" s="5">
        <f t="shared" si="34"/>
        <v>0</v>
      </c>
      <c r="E81" s="6" t="str">
        <f t="shared" si="28"/>
        <v>*Se[M]</v>
      </c>
      <c r="F81" s="14">
        <f t="shared" ref="F81" si="35">F5*$C$78</f>
        <v>2.2775833333333335E-20</v>
      </c>
      <c r="G81" s="14">
        <f t="shared" ref="G81:BR81" si="36">G5*$C$78</f>
        <v>2.0765833333333334E-15</v>
      </c>
      <c r="H81" s="14">
        <f t="shared" si="36"/>
        <v>6.6820833333333344E-11</v>
      </c>
      <c r="I81" s="14">
        <f t="shared" si="36"/>
        <v>1.5500833333333336E-9</v>
      </c>
      <c r="J81" s="14">
        <f t="shared" si="36"/>
        <v>4.8775000000000005E-8</v>
      </c>
      <c r="K81" s="14">
        <f t="shared" si="36"/>
        <v>8.803333333333334E-10</v>
      </c>
      <c r="L81" s="14">
        <f t="shared" si="36"/>
        <v>5.3454166666666675E-8</v>
      </c>
      <c r="M81" s="14">
        <f t="shared" si="36"/>
        <v>0.5</v>
      </c>
      <c r="N81" s="14">
        <f t="shared" si="36"/>
        <v>0.5</v>
      </c>
      <c r="O81" s="14">
        <f t="shared" si="36"/>
        <v>0.5</v>
      </c>
      <c r="P81" s="14">
        <f t="shared" si="36"/>
        <v>0.5</v>
      </c>
      <c r="Q81" s="14">
        <f t="shared" si="36"/>
        <v>0.5</v>
      </c>
      <c r="R81" s="14">
        <f t="shared" si="36"/>
        <v>1.5</v>
      </c>
      <c r="S81" s="14">
        <f t="shared" si="36"/>
        <v>1.5</v>
      </c>
      <c r="T81" s="14">
        <f t="shared" si="36"/>
        <v>1.5</v>
      </c>
      <c r="U81" s="14">
        <f t="shared" si="36"/>
        <v>1.5</v>
      </c>
      <c r="V81" s="14">
        <f t="shared" si="36"/>
        <v>1.5</v>
      </c>
      <c r="W81" s="14">
        <f t="shared" si="36"/>
        <v>1.666666666666667</v>
      </c>
      <c r="X81" s="14">
        <f t="shared" si="36"/>
        <v>1.666666666666667</v>
      </c>
      <c r="Y81" s="14">
        <f t="shared" si="36"/>
        <v>1.666666666666667</v>
      </c>
      <c r="Z81" s="14">
        <f t="shared" si="36"/>
        <v>1.666666666666667</v>
      </c>
      <c r="AA81" s="14">
        <f t="shared" si="36"/>
        <v>1.666666666666667</v>
      </c>
      <c r="AB81" s="14">
        <f t="shared" si="36"/>
        <v>1.666666666666667</v>
      </c>
      <c r="AC81" s="14">
        <f t="shared" si="36"/>
        <v>1.666666666666667</v>
      </c>
      <c r="AD81" s="14">
        <f t="shared" si="36"/>
        <v>1.666666666666667</v>
      </c>
      <c r="AE81" s="14">
        <f t="shared" si="36"/>
        <v>1.666666666666667</v>
      </c>
      <c r="AF81" s="14">
        <f t="shared" si="36"/>
        <v>1.666666666666667</v>
      </c>
      <c r="AG81" s="14">
        <f t="shared" si="36"/>
        <v>1.9927500000000002</v>
      </c>
      <c r="AH81" s="14">
        <f t="shared" si="36"/>
        <v>2</v>
      </c>
      <c r="AI81" s="14">
        <f t="shared" si="36"/>
        <v>2</v>
      </c>
      <c r="AJ81" s="14">
        <f t="shared" si="36"/>
        <v>2</v>
      </c>
      <c r="AK81" s="14">
        <f t="shared" si="36"/>
        <v>2</v>
      </c>
      <c r="AL81" s="14">
        <f t="shared" si="36"/>
        <v>2</v>
      </c>
      <c r="AM81" s="14">
        <f t="shared" si="36"/>
        <v>2</v>
      </c>
      <c r="AN81" s="14">
        <f t="shared" si="36"/>
        <v>2</v>
      </c>
      <c r="AO81" s="14">
        <f t="shared" si="36"/>
        <v>2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1</v>
      </c>
      <c r="D82" s="5">
        <f t="shared" si="34"/>
        <v>0</v>
      </c>
      <c r="E82" s="6" t="str">
        <f t="shared" si="28"/>
        <v>*Ge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0</v>
      </c>
      <c r="O82" s="14">
        <f t="shared" si="38"/>
        <v>2.2397916666666669E-10</v>
      </c>
      <c r="P82" s="14">
        <f t="shared" si="38"/>
        <v>8.7383333333333345E-9</v>
      </c>
      <c r="Q82" s="14">
        <f t="shared" si="38"/>
        <v>1.1760000000000001E-7</v>
      </c>
      <c r="R82" s="14">
        <f t="shared" si="38"/>
        <v>1</v>
      </c>
      <c r="S82" s="14">
        <f t="shared" si="38"/>
        <v>1</v>
      </c>
      <c r="T82" s="14">
        <f t="shared" si="38"/>
        <v>1</v>
      </c>
      <c r="U82" s="14">
        <f t="shared" si="38"/>
        <v>1</v>
      </c>
      <c r="V82" s="14">
        <f t="shared" si="38"/>
        <v>1</v>
      </c>
      <c r="W82" s="14">
        <f t="shared" si="38"/>
        <v>1</v>
      </c>
      <c r="X82" s="14">
        <f t="shared" si="38"/>
        <v>1</v>
      </c>
      <c r="Y82" s="14">
        <f t="shared" si="38"/>
        <v>1</v>
      </c>
      <c r="Z82" s="14">
        <f t="shared" si="38"/>
        <v>1</v>
      </c>
      <c r="AA82" s="14">
        <f t="shared" si="38"/>
        <v>1</v>
      </c>
      <c r="AB82" s="14">
        <f t="shared" si="38"/>
        <v>1</v>
      </c>
      <c r="AC82" s="14">
        <f t="shared" si="38"/>
        <v>1</v>
      </c>
      <c r="AD82" s="14">
        <f t="shared" si="38"/>
        <v>1</v>
      </c>
      <c r="AE82" s="14">
        <f t="shared" si="38"/>
        <v>1</v>
      </c>
      <c r="AF82" s="14">
        <f t="shared" si="38"/>
        <v>1</v>
      </c>
      <c r="AG82" s="14">
        <f t="shared" si="38"/>
        <v>0.93237500000000006</v>
      </c>
      <c r="AH82" s="14">
        <f t="shared" si="38"/>
        <v>0.92120833333333341</v>
      </c>
      <c r="AI82" s="14">
        <f t="shared" si="38"/>
        <v>0.91037500000000005</v>
      </c>
      <c r="AJ82" s="14">
        <f t="shared" si="38"/>
        <v>0.89816666666666678</v>
      </c>
      <c r="AK82" s="14">
        <f t="shared" si="38"/>
        <v>0.83141666666666669</v>
      </c>
      <c r="AL82" s="14">
        <f t="shared" si="38"/>
        <v>0.80854166666666671</v>
      </c>
      <c r="AM82" s="14">
        <f t="shared" si="38"/>
        <v>0.78225</v>
      </c>
      <c r="AN82" s="14">
        <f t="shared" si="38"/>
        <v>0.75175000000000003</v>
      </c>
      <c r="AO82" s="14">
        <f t="shared" si="38"/>
        <v>0.71612500000000001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3</v>
      </c>
      <c r="C83" s="5">
        <f t="shared" si="34"/>
        <v>0</v>
      </c>
      <c r="D83" s="5">
        <f t="shared" si="34"/>
        <v>2</v>
      </c>
      <c r="E83" s="6" t="str">
        <f t="shared" si="28"/>
        <v>*Ga2Se3</v>
      </c>
      <c r="F83" s="14">
        <f t="shared" ref="F83" si="39">F7*$C$78</f>
        <v>0.16666666666666669</v>
      </c>
      <c r="G83" s="14">
        <f t="shared" ref="G83:BR83" si="40">G7*$C$78</f>
        <v>0.16666666666666669</v>
      </c>
      <c r="H83" s="14">
        <f t="shared" si="40"/>
        <v>0.16666666666666669</v>
      </c>
      <c r="I83" s="14">
        <f t="shared" si="40"/>
        <v>0.16666666666666669</v>
      </c>
      <c r="J83" s="14">
        <f t="shared" si="40"/>
        <v>0.16666666666666669</v>
      </c>
      <c r="K83" s="14">
        <f t="shared" si="40"/>
        <v>0.16666666666666669</v>
      </c>
      <c r="L83" s="14">
        <f t="shared" si="40"/>
        <v>0.16666666666666669</v>
      </c>
      <c r="M83" s="14">
        <f t="shared" si="40"/>
        <v>0.16666666666666669</v>
      </c>
      <c r="N83" s="14">
        <f t="shared" si="40"/>
        <v>0.16666666666666669</v>
      </c>
      <c r="O83" s="14">
        <f t="shared" si="40"/>
        <v>0.16666666666666669</v>
      </c>
      <c r="P83" s="14">
        <f t="shared" si="40"/>
        <v>0.16666666666666669</v>
      </c>
      <c r="Q83" s="14">
        <f t="shared" si="40"/>
        <v>0.16666666666666669</v>
      </c>
      <c r="R83" s="14">
        <f t="shared" si="40"/>
        <v>0.16666666666666669</v>
      </c>
      <c r="S83" s="14">
        <f t="shared" si="40"/>
        <v>0.16666666666666669</v>
      </c>
      <c r="T83" s="14">
        <f t="shared" si="40"/>
        <v>0.16666666666666669</v>
      </c>
      <c r="U83" s="14">
        <f t="shared" si="40"/>
        <v>0.16666666666666669</v>
      </c>
      <c r="V83" s="14">
        <f t="shared" si="40"/>
        <v>0.16666666666666669</v>
      </c>
      <c r="W83" s="14">
        <f t="shared" si="40"/>
        <v>5.9333333333333341E-7</v>
      </c>
      <c r="X83" s="14">
        <f t="shared" si="40"/>
        <v>4.5716666666666677E-9</v>
      </c>
      <c r="Y83" s="14">
        <f t="shared" si="40"/>
        <v>4.0095416666666672E-10</v>
      </c>
      <c r="Z83" s="14">
        <f t="shared" si="40"/>
        <v>2.4279583333333336E-10</v>
      </c>
      <c r="AA83" s="14">
        <f t="shared" si="40"/>
        <v>9.0175000000000011E-12</v>
      </c>
      <c r="AB83" s="14">
        <f t="shared" si="40"/>
        <v>5.3408333333333334E-25</v>
      </c>
      <c r="AC83" s="14">
        <f t="shared" si="40"/>
        <v>7.2570833333333345E-30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1</v>
      </c>
      <c r="E84" s="6" t="str">
        <f t="shared" si="28"/>
        <v>*Ga[l]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0</v>
      </c>
      <c r="K84" s="14">
        <f t="shared" si="42"/>
        <v>0</v>
      </c>
      <c r="L84" s="14">
        <f t="shared" si="42"/>
        <v>0</v>
      </c>
      <c r="M84" s="14">
        <f t="shared" si="42"/>
        <v>0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4.7991666666666669E-26</v>
      </c>
      <c r="AC84" s="14">
        <f t="shared" si="42"/>
        <v>3.0430833333333339E-23</v>
      </c>
      <c r="AD84" s="14">
        <f t="shared" si="42"/>
        <v>6.1954166666666678E-21</v>
      </c>
      <c r="AE84" s="14">
        <f t="shared" si="42"/>
        <v>1.401E-19</v>
      </c>
      <c r="AF84" s="14">
        <f t="shared" si="42"/>
        <v>6.6775000000000009E-18</v>
      </c>
      <c r="AG84" s="14">
        <f t="shared" si="42"/>
        <v>8.1329166666666676E-19</v>
      </c>
      <c r="AH84" s="14">
        <f t="shared" si="42"/>
        <v>2.2722083333333336E-8</v>
      </c>
      <c r="AI84" s="14">
        <f t="shared" si="42"/>
        <v>3.1292083333333338E-7</v>
      </c>
      <c r="AJ84" s="14">
        <f t="shared" si="42"/>
        <v>4.4745833333333335E-7</v>
      </c>
      <c r="AK84" s="14">
        <f t="shared" si="42"/>
        <v>2.0873333333333336E-7</v>
      </c>
      <c r="AL84" s="14">
        <f t="shared" si="42"/>
        <v>1.4245416666666668E-7</v>
      </c>
      <c r="AM84" s="14">
        <f t="shared" si="42"/>
        <v>1.1637500000000001E-7</v>
      </c>
      <c r="AN84" s="14">
        <f t="shared" si="42"/>
        <v>5.0908333333333338E-8</v>
      </c>
      <c r="AO84" s="14">
        <f t="shared" si="42"/>
        <v>1.7848750000000003E-8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1</v>
      </c>
      <c r="D85" s="5">
        <f t="shared" si="34"/>
        <v>0</v>
      </c>
      <c r="E85" s="6" t="str">
        <f t="shared" si="28"/>
        <v>*Ge[l]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0</v>
      </c>
      <c r="O85" s="14">
        <f t="shared" si="44"/>
        <v>3.7942500000000002E-34</v>
      </c>
      <c r="P85" s="14">
        <f t="shared" si="44"/>
        <v>0</v>
      </c>
      <c r="Q85" s="14">
        <f t="shared" si="44"/>
        <v>0</v>
      </c>
      <c r="R85" s="14">
        <f t="shared" si="44"/>
        <v>0</v>
      </c>
      <c r="S85" s="14">
        <f t="shared" si="44"/>
        <v>0</v>
      </c>
      <c r="T85" s="14">
        <f t="shared" si="44"/>
        <v>1.1659583333333334E-33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3.0854583333333332E-35</v>
      </c>
      <c r="Y85" s="14">
        <f t="shared" si="44"/>
        <v>1.2321666666666668E-21</v>
      </c>
      <c r="Z85" s="14">
        <f t="shared" si="44"/>
        <v>7.7612500000000004E-15</v>
      </c>
      <c r="AA85" s="14">
        <f t="shared" si="44"/>
        <v>1.3352916666666667E-12</v>
      </c>
      <c r="AB85" s="14">
        <f t="shared" si="44"/>
        <v>4.8166666666666667E-12</v>
      </c>
      <c r="AC85" s="14">
        <f t="shared" si="44"/>
        <v>2.674041666666667E-12</v>
      </c>
      <c r="AD85" s="14">
        <f t="shared" si="44"/>
        <v>2.3098750000000003E-13</v>
      </c>
      <c r="AE85" s="14">
        <f t="shared" si="44"/>
        <v>7.1525000000000001E-17</v>
      </c>
      <c r="AF85" s="14">
        <f t="shared" si="44"/>
        <v>1.2589583333333336E-25</v>
      </c>
      <c r="AG85" s="14">
        <f t="shared" si="44"/>
        <v>0</v>
      </c>
      <c r="AH85" s="14">
        <f t="shared" si="44"/>
        <v>3.2984583333333337E-16</v>
      </c>
      <c r="AI85" s="14">
        <f t="shared" si="44"/>
        <v>8.0929166666666675E-10</v>
      </c>
      <c r="AJ85" s="14">
        <f t="shared" si="44"/>
        <v>8.3695833333333343E-10</v>
      </c>
      <c r="AK85" s="14">
        <f t="shared" si="44"/>
        <v>5.5433333333333328E-10</v>
      </c>
      <c r="AL85" s="14">
        <f t="shared" si="44"/>
        <v>2.5683333333333333E-9</v>
      </c>
      <c r="AM85" s="14">
        <f t="shared" si="44"/>
        <v>1.109375E-8</v>
      </c>
      <c r="AN85" s="14">
        <f t="shared" si="44"/>
        <v>1.9132083333333335E-8</v>
      </c>
      <c r="AO85" s="14">
        <f t="shared" si="44"/>
        <v>3.6311666666666665E-8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0</v>
      </c>
      <c r="D86" s="5">
        <f t="shared" si="34"/>
        <v>1</v>
      </c>
      <c r="E86" s="6" t="str">
        <f t="shared" si="28"/>
        <v>*GaSe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0</v>
      </c>
      <c r="J86" s="14">
        <f t="shared" si="46"/>
        <v>0</v>
      </c>
      <c r="K86" s="14">
        <f t="shared" si="46"/>
        <v>0</v>
      </c>
      <c r="L86" s="14">
        <f t="shared" si="46"/>
        <v>0</v>
      </c>
      <c r="M86" s="14">
        <f t="shared" si="46"/>
        <v>0</v>
      </c>
      <c r="N86" s="14">
        <f t="shared" si="46"/>
        <v>0</v>
      </c>
      <c r="O86" s="14">
        <f t="shared" si="46"/>
        <v>4.0225E-14</v>
      </c>
      <c r="P86" s="14">
        <f t="shared" si="46"/>
        <v>9.2291666666666669E-16</v>
      </c>
      <c r="Q86" s="14">
        <f t="shared" si="46"/>
        <v>2.4219166666666667E-27</v>
      </c>
      <c r="R86" s="14">
        <f t="shared" si="46"/>
        <v>0</v>
      </c>
      <c r="S86" s="14">
        <f t="shared" si="46"/>
        <v>2.0714583333333334E-16</v>
      </c>
      <c r="T86" s="14">
        <f t="shared" si="46"/>
        <v>4.8541666666666671E-9</v>
      </c>
      <c r="U86" s="14">
        <f t="shared" si="46"/>
        <v>4.0885833333333335E-8</v>
      </c>
      <c r="V86" s="14">
        <f t="shared" si="46"/>
        <v>5.8904166666666675E-7</v>
      </c>
      <c r="W86" s="14">
        <f t="shared" si="46"/>
        <v>0.33333333333333337</v>
      </c>
      <c r="X86" s="14">
        <f t="shared" si="46"/>
        <v>0.33333333333333337</v>
      </c>
      <c r="Y86" s="14">
        <f t="shared" si="46"/>
        <v>0.33333333333333337</v>
      </c>
      <c r="Z86" s="14">
        <f t="shared" si="46"/>
        <v>0.33333333333333337</v>
      </c>
      <c r="AA86" s="14">
        <f t="shared" si="46"/>
        <v>0.33333333333333337</v>
      </c>
      <c r="AB86" s="14">
        <f t="shared" si="46"/>
        <v>0.33333333333333337</v>
      </c>
      <c r="AC86" s="14">
        <f t="shared" si="46"/>
        <v>0.33333333333333337</v>
      </c>
      <c r="AD86" s="14">
        <f t="shared" si="46"/>
        <v>0.33333333333333337</v>
      </c>
      <c r="AE86" s="14">
        <f t="shared" si="46"/>
        <v>0.33333333333333337</v>
      </c>
      <c r="AF86" s="14">
        <f t="shared" si="46"/>
        <v>0.33333333333333337</v>
      </c>
      <c r="AG86" s="14">
        <f t="shared" si="46"/>
        <v>7.2191666666666671E-3</v>
      </c>
      <c r="AH86" s="14">
        <f t="shared" si="46"/>
        <v>3.7215000000000006E-8</v>
      </c>
      <c r="AI86" s="14">
        <f t="shared" si="46"/>
        <v>1.8963750000000001E-9</v>
      </c>
      <c r="AJ86" s="14">
        <f t="shared" si="46"/>
        <v>5.2279166666666671E-14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1</v>
      </c>
      <c r="D87" s="5">
        <f t="shared" si="34"/>
        <v>0</v>
      </c>
      <c r="E87" s="6" t="str">
        <f t="shared" si="28"/>
        <v>*GeSe</v>
      </c>
      <c r="F87" s="14">
        <f t="shared" ref="F87" si="47">F11*$C$78</f>
        <v>0.5</v>
      </c>
      <c r="G87" s="14">
        <f t="shared" ref="G87:BR87" si="48">G11*$C$78</f>
        <v>0.5</v>
      </c>
      <c r="H87" s="14">
        <f t="shared" si="48"/>
        <v>0.5</v>
      </c>
      <c r="I87" s="14">
        <f t="shared" si="48"/>
        <v>0.5</v>
      </c>
      <c r="J87" s="14">
        <f t="shared" si="48"/>
        <v>0.5</v>
      </c>
      <c r="K87" s="14">
        <f t="shared" si="48"/>
        <v>0.5</v>
      </c>
      <c r="L87" s="14">
        <f t="shared" si="48"/>
        <v>0.5</v>
      </c>
      <c r="M87" s="14">
        <f t="shared" si="48"/>
        <v>1</v>
      </c>
      <c r="N87" s="14">
        <f t="shared" si="48"/>
        <v>1</v>
      </c>
      <c r="O87" s="14">
        <f t="shared" si="48"/>
        <v>1</v>
      </c>
      <c r="P87" s="14">
        <f t="shared" si="48"/>
        <v>1</v>
      </c>
      <c r="Q87" s="14">
        <f t="shared" si="48"/>
        <v>1</v>
      </c>
      <c r="R87" s="14">
        <f t="shared" si="48"/>
        <v>8.0125000000000006E-7</v>
      </c>
      <c r="S87" s="14">
        <f t="shared" si="48"/>
        <v>1.8534166666666667E-8</v>
      </c>
      <c r="T87" s="14">
        <f t="shared" si="48"/>
        <v>2.6078750000000002E-10</v>
      </c>
      <c r="U87" s="14">
        <f t="shared" si="48"/>
        <v>2.7645000000000004E-21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7.7812499999999998E-26</v>
      </c>
      <c r="Z87" s="14">
        <f t="shared" si="48"/>
        <v>3.0050833333333332E-20</v>
      </c>
      <c r="AA87" s="14">
        <f t="shared" si="48"/>
        <v>4.5370833333333333E-20</v>
      </c>
      <c r="AB87" s="14">
        <f t="shared" si="48"/>
        <v>4.7141666666666671E-34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2</v>
      </c>
      <c r="E88" s="6" t="str">
        <f t="shared" si="28"/>
        <v>Ga2Se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0</v>
      </c>
      <c r="J88" s="14">
        <f t="shared" si="50"/>
        <v>0</v>
      </c>
      <c r="K88" s="14">
        <f t="shared" si="50"/>
        <v>0</v>
      </c>
      <c r="L88" s="14">
        <f t="shared" si="50"/>
        <v>0</v>
      </c>
      <c r="M88" s="14">
        <f t="shared" si="50"/>
        <v>0</v>
      </c>
      <c r="N88" s="14">
        <f t="shared" si="50"/>
        <v>0</v>
      </c>
      <c r="O88" s="14">
        <f t="shared" si="50"/>
        <v>2.7982500000000002E-31</v>
      </c>
      <c r="P88" s="14">
        <f t="shared" si="50"/>
        <v>3.2733333333333334E-29</v>
      </c>
      <c r="Q88" s="14">
        <f t="shared" si="50"/>
        <v>2.864916666666667E-27</v>
      </c>
      <c r="R88" s="14">
        <f t="shared" si="50"/>
        <v>1.9275833333333334E-25</v>
      </c>
      <c r="S88" s="14">
        <f t="shared" si="50"/>
        <v>1.0209583333333334E-23</v>
      </c>
      <c r="T88" s="14">
        <f t="shared" si="50"/>
        <v>4.3470833333333339E-22</v>
      </c>
      <c r="U88" s="14">
        <f t="shared" si="50"/>
        <v>1.5160000000000003E-20</v>
      </c>
      <c r="V88" s="14">
        <f t="shared" si="50"/>
        <v>4.4016666666666667E-19</v>
      </c>
      <c r="W88" s="14">
        <f t="shared" si="50"/>
        <v>9.0133333333333347E-18</v>
      </c>
      <c r="X88" s="14">
        <f t="shared" si="50"/>
        <v>9.5545833333333339E-17</v>
      </c>
      <c r="Y88" s="14">
        <f t="shared" si="50"/>
        <v>9.0166666666666679E-16</v>
      </c>
      <c r="Z88" s="14">
        <f t="shared" si="50"/>
        <v>7.6408333333333343E-15</v>
      </c>
      <c r="AA88" s="14">
        <f t="shared" si="50"/>
        <v>5.8599999999999998E-14</v>
      </c>
      <c r="AB88" s="14">
        <f t="shared" si="50"/>
        <v>8.5437500000000009E-11</v>
      </c>
      <c r="AC88" s="14">
        <f t="shared" si="50"/>
        <v>4.3745833333333336E-10</v>
      </c>
      <c r="AD88" s="14">
        <f t="shared" si="50"/>
        <v>2.0978333333333337E-9</v>
      </c>
      <c r="AE88" s="14">
        <f t="shared" si="50"/>
        <v>9.46E-9</v>
      </c>
      <c r="AF88" s="14">
        <f t="shared" si="50"/>
        <v>4.0264166666666674E-8</v>
      </c>
      <c r="AG88" s="14">
        <f t="shared" si="50"/>
        <v>1.574291666666667E-7</v>
      </c>
      <c r="AH88" s="14">
        <f t="shared" si="50"/>
        <v>1.56375E-7</v>
      </c>
      <c r="AI88" s="14">
        <f t="shared" si="50"/>
        <v>1.5356250000000002E-7</v>
      </c>
      <c r="AJ88" s="14">
        <f t="shared" si="50"/>
        <v>1.48975E-7</v>
      </c>
      <c r="AK88" s="14">
        <f t="shared" si="50"/>
        <v>1.1671250000000001E-7</v>
      </c>
      <c r="AL88" s="14">
        <f t="shared" si="50"/>
        <v>1.0635416666666667E-7</v>
      </c>
      <c r="AM88" s="14">
        <f t="shared" si="50"/>
        <v>9.5587500000000008E-8</v>
      </c>
      <c r="AN88" s="14">
        <f t="shared" si="50"/>
        <v>8.466666666666667E-8</v>
      </c>
      <c r="AO88" s="14">
        <f t="shared" si="50"/>
        <v>7.3820833333333338E-8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0.83333333333333348</v>
      </c>
      <c r="G89" s="14">
        <f t="shared" ref="G89:BR89" si="52">G13*$C$78</f>
        <v>0.83333333333333348</v>
      </c>
      <c r="H89" s="14">
        <f t="shared" si="52"/>
        <v>0.83333333333333348</v>
      </c>
      <c r="I89" s="14">
        <f t="shared" si="52"/>
        <v>0.83333333333333348</v>
      </c>
      <c r="J89" s="14">
        <f t="shared" si="52"/>
        <v>0.83333333333333348</v>
      </c>
      <c r="K89" s="14">
        <f t="shared" si="52"/>
        <v>0.83333333333333348</v>
      </c>
      <c r="L89" s="14">
        <f t="shared" si="52"/>
        <v>0.83333333333333348</v>
      </c>
      <c r="M89" s="14">
        <f t="shared" si="52"/>
        <v>0.83333333333333348</v>
      </c>
      <c r="N89" s="14">
        <f t="shared" si="52"/>
        <v>0.83333333333333348</v>
      </c>
      <c r="O89" s="14">
        <f t="shared" si="52"/>
        <v>0.83333333333333348</v>
      </c>
      <c r="P89" s="14">
        <f t="shared" si="52"/>
        <v>0.83333333333333348</v>
      </c>
      <c r="Q89" s="14">
        <f t="shared" si="52"/>
        <v>0.83333333333333348</v>
      </c>
      <c r="R89" s="14">
        <f t="shared" si="52"/>
        <v>0.83333333333333348</v>
      </c>
      <c r="S89" s="14">
        <f t="shared" si="52"/>
        <v>0.83333333333333348</v>
      </c>
      <c r="T89" s="14">
        <f t="shared" si="52"/>
        <v>0.83333333333333348</v>
      </c>
      <c r="U89" s="14">
        <f t="shared" si="52"/>
        <v>0.83333333333333348</v>
      </c>
      <c r="V89" s="14">
        <f t="shared" si="52"/>
        <v>0.83333333333333348</v>
      </c>
      <c r="W89" s="14">
        <f t="shared" si="52"/>
        <v>0.83333333333333348</v>
      </c>
      <c r="X89" s="14">
        <f t="shared" si="52"/>
        <v>0.83333333333333348</v>
      </c>
      <c r="Y89" s="14">
        <f t="shared" si="52"/>
        <v>0.83333333333333348</v>
      </c>
      <c r="Z89" s="14">
        <f t="shared" si="52"/>
        <v>0.83333333333333348</v>
      </c>
      <c r="AA89" s="14">
        <f t="shared" si="52"/>
        <v>0.83333333333333348</v>
      </c>
      <c r="AB89" s="14">
        <f t="shared" si="52"/>
        <v>0.83333333333333348</v>
      </c>
      <c r="AC89" s="14">
        <f t="shared" si="52"/>
        <v>0.83333333333333348</v>
      </c>
      <c r="AD89" s="14">
        <f t="shared" si="52"/>
        <v>0.83333333333333348</v>
      </c>
      <c r="AE89" s="14">
        <f t="shared" si="52"/>
        <v>0.83333333333333348</v>
      </c>
      <c r="AF89" s="14">
        <f t="shared" si="52"/>
        <v>0.83333333333333348</v>
      </c>
      <c r="AG89" s="14">
        <f t="shared" si="52"/>
        <v>0.83333333333333348</v>
      </c>
      <c r="AH89" s="14">
        <f t="shared" si="52"/>
        <v>0.83333333333333348</v>
      </c>
      <c r="AI89" s="14">
        <f t="shared" si="52"/>
        <v>0.83333333333333348</v>
      </c>
      <c r="AJ89" s="14">
        <f t="shared" si="52"/>
        <v>0.83333333333333348</v>
      </c>
      <c r="AK89" s="14">
        <f t="shared" si="52"/>
        <v>0.83333333333333348</v>
      </c>
      <c r="AL89" s="14">
        <f t="shared" si="52"/>
        <v>0.83333333333333348</v>
      </c>
      <c r="AM89" s="14">
        <f t="shared" si="52"/>
        <v>0.83333333333333348</v>
      </c>
      <c r="AN89" s="14">
        <f t="shared" si="52"/>
        <v>0.83333333333333348</v>
      </c>
      <c r="AO89" s="14">
        <f t="shared" si="52"/>
        <v>0.83333333333333348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(1)Ga[l]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0</v>
      </c>
      <c r="N90" s="14">
        <f t="shared" si="54"/>
        <v>0</v>
      </c>
      <c r="O90" s="14">
        <f t="shared" si="54"/>
        <v>3.8647499999999995E-21</v>
      </c>
      <c r="P90" s="14">
        <f t="shared" si="54"/>
        <v>5.2491666666666674E-23</v>
      </c>
      <c r="Q90" s="14">
        <f t="shared" si="54"/>
        <v>0</v>
      </c>
      <c r="R90" s="14">
        <f t="shared" si="54"/>
        <v>0</v>
      </c>
      <c r="S90" s="14">
        <f t="shared" si="54"/>
        <v>4.4791666666666672E-35</v>
      </c>
      <c r="T90" s="14">
        <f t="shared" si="54"/>
        <v>2.1660416666666667E-27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6.3250000000000002E-34</v>
      </c>
      <c r="Y90" s="14">
        <f t="shared" si="54"/>
        <v>4.7875000000000002E-21</v>
      </c>
      <c r="Z90" s="14">
        <f t="shared" si="54"/>
        <v>1.8341666666666667E-14</v>
      </c>
      <c r="AA90" s="14">
        <f t="shared" si="54"/>
        <v>3.0961666666666669E-12</v>
      </c>
      <c r="AB90" s="14">
        <f t="shared" si="54"/>
        <v>1.8284166666666668E-10</v>
      </c>
      <c r="AC90" s="14">
        <f t="shared" si="54"/>
        <v>7.6504166666666673E-10</v>
      </c>
      <c r="AD90" s="14">
        <f t="shared" si="54"/>
        <v>2.8542916666666667E-9</v>
      </c>
      <c r="AE90" s="14">
        <f t="shared" si="54"/>
        <v>5.5716666666666676E-9</v>
      </c>
      <c r="AF90" s="14">
        <f t="shared" si="54"/>
        <v>9.8695833333333341E-8</v>
      </c>
      <c r="AG90" s="14">
        <f t="shared" si="54"/>
        <v>0.32611666666666672</v>
      </c>
      <c r="AH90" s="14">
        <f t="shared" si="54"/>
        <v>0.33333333333333337</v>
      </c>
      <c r="AI90" s="14">
        <f t="shared" si="54"/>
        <v>0.33333333333333337</v>
      </c>
      <c r="AJ90" s="14">
        <f t="shared" si="54"/>
        <v>0.33333333333333337</v>
      </c>
      <c r="AK90" s="14">
        <f t="shared" si="54"/>
        <v>0.33333333333333337</v>
      </c>
      <c r="AL90" s="14">
        <f t="shared" si="54"/>
        <v>0.33333333333333337</v>
      </c>
      <c r="AM90" s="14">
        <f t="shared" si="54"/>
        <v>0.33333333333333337</v>
      </c>
      <c r="AN90" s="14">
        <f t="shared" si="54"/>
        <v>0.33333333333333337</v>
      </c>
      <c r="AO90" s="14">
        <f t="shared" si="54"/>
        <v>0.33333333333333337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1</v>
      </c>
      <c r="D91" s="5">
        <f t="shared" si="34"/>
        <v>0</v>
      </c>
      <c r="E91" s="6" t="str">
        <f t="shared" si="28"/>
        <v>(1)GeSe[l]</v>
      </c>
      <c r="F91" s="14">
        <f t="shared" ref="F91" si="55">F15*$C$78</f>
        <v>4.7250000000000003E-28</v>
      </c>
      <c r="G91" s="14">
        <f t="shared" ref="G91:BR91" si="56">G15*$C$78</f>
        <v>4.1524583333333341E-26</v>
      </c>
      <c r="H91" s="14">
        <f t="shared" si="56"/>
        <v>2.3584166666666669E-24</v>
      </c>
      <c r="I91" s="14">
        <f t="shared" si="56"/>
        <v>5.8712500000000002E-32</v>
      </c>
      <c r="J91" s="14">
        <f t="shared" si="56"/>
        <v>0</v>
      </c>
      <c r="K91" s="14">
        <f t="shared" si="56"/>
        <v>4.2762500000000007E-30</v>
      </c>
      <c r="L91" s="14">
        <f t="shared" si="56"/>
        <v>0</v>
      </c>
      <c r="M91" s="14">
        <f t="shared" si="56"/>
        <v>0</v>
      </c>
      <c r="N91" s="14">
        <f t="shared" si="56"/>
        <v>1.749E-32</v>
      </c>
      <c r="O91" s="14">
        <f t="shared" si="56"/>
        <v>2.0585000000000002E-11</v>
      </c>
      <c r="P91" s="14">
        <f t="shared" si="56"/>
        <v>3.9687083333333334E-14</v>
      </c>
      <c r="Q91" s="14">
        <f t="shared" si="56"/>
        <v>2.2307500000000001E-28</v>
      </c>
      <c r="R91" s="14">
        <f t="shared" si="56"/>
        <v>0</v>
      </c>
      <c r="S91" s="14">
        <f t="shared" si="56"/>
        <v>7.0783333333333347E-29</v>
      </c>
      <c r="T91" s="14">
        <f t="shared" si="56"/>
        <v>3.7039166666666669E-22</v>
      </c>
      <c r="U91" s="14">
        <f t="shared" si="56"/>
        <v>7.4633333333333345E-34</v>
      </c>
      <c r="V91" s="14">
        <f t="shared" si="56"/>
        <v>0</v>
      </c>
      <c r="W91" s="14">
        <f t="shared" si="56"/>
        <v>0</v>
      </c>
      <c r="X91" s="14">
        <f t="shared" si="56"/>
        <v>6.0670833333333335E-32</v>
      </c>
      <c r="Y91" s="14">
        <f t="shared" si="56"/>
        <v>1.0844166666666666E-19</v>
      </c>
      <c r="Z91" s="14">
        <f t="shared" si="56"/>
        <v>1.0402500000000002E-13</v>
      </c>
      <c r="AA91" s="14">
        <f t="shared" si="56"/>
        <v>4.6425000000000009E-12</v>
      </c>
      <c r="AB91" s="14">
        <f t="shared" si="56"/>
        <v>2.1521666666666669E-12</v>
      </c>
      <c r="AC91" s="14">
        <f t="shared" si="56"/>
        <v>2.9730416666666668E-12</v>
      </c>
      <c r="AD91" s="14">
        <f t="shared" si="56"/>
        <v>3.7974583333333338E-12</v>
      </c>
      <c r="AE91" s="14">
        <f t="shared" si="56"/>
        <v>2.6260000000000003E-12</v>
      </c>
      <c r="AF91" s="14">
        <f t="shared" si="56"/>
        <v>1.7017500000000001E-11</v>
      </c>
      <c r="AG91" s="14">
        <f t="shared" si="56"/>
        <v>2.1530833333333334E-5</v>
      </c>
      <c r="AH91" s="14">
        <f t="shared" si="56"/>
        <v>1.6767083333333334E-5</v>
      </c>
      <c r="AI91" s="14">
        <f t="shared" si="56"/>
        <v>1.2885833333333333E-5</v>
      </c>
      <c r="AJ91" s="14">
        <f t="shared" si="56"/>
        <v>9.9908333333333344E-6</v>
      </c>
      <c r="AK91" s="14">
        <f t="shared" si="56"/>
        <v>3.9386249999999999E-6</v>
      </c>
      <c r="AL91" s="14">
        <f t="shared" si="56"/>
        <v>3.1898333333333333E-6</v>
      </c>
      <c r="AM91" s="14">
        <f t="shared" si="56"/>
        <v>2.6069166666666667E-6</v>
      </c>
      <c r="AN91" s="14">
        <f t="shared" si="56"/>
        <v>2.1506250000000003E-6</v>
      </c>
      <c r="AO91" s="14">
        <f t="shared" si="56"/>
        <v>1.79175E-6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1</v>
      </c>
      <c r="D92" s="5">
        <f t="shared" si="34"/>
        <v>0</v>
      </c>
      <c r="E92" s="6" t="str">
        <f t="shared" si="28"/>
        <v>(1)Ge[l]</v>
      </c>
      <c r="F92" s="14">
        <f t="shared" ref="F92" si="57">F16*$C$78</f>
        <v>8.9183333333333331E-36</v>
      </c>
      <c r="G92" s="14">
        <f t="shared" ref="G92:BR92" si="58">G16*$C$78</f>
        <v>2.1955416666666668E-33</v>
      </c>
      <c r="H92" s="14">
        <f t="shared" si="58"/>
        <v>3.1107083333333333E-31</v>
      </c>
      <c r="I92" s="14">
        <f t="shared" si="58"/>
        <v>0</v>
      </c>
      <c r="J92" s="14">
        <f t="shared" si="58"/>
        <v>0</v>
      </c>
      <c r="K92" s="14">
        <f t="shared" si="58"/>
        <v>3.4167083333333333E-35</v>
      </c>
      <c r="L92" s="14">
        <f t="shared" si="58"/>
        <v>0</v>
      </c>
      <c r="M92" s="14">
        <f t="shared" si="58"/>
        <v>0</v>
      </c>
      <c r="N92" s="14">
        <f t="shared" si="58"/>
        <v>0</v>
      </c>
      <c r="O92" s="14">
        <f t="shared" si="58"/>
        <v>1.6844166666666668E-13</v>
      </c>
      <c r="P92" s="14">
        <f t="shared" si="58"/>
        <v>8.2241666666666664E-16</v>
      </c>
      <c r="Q92" s="14">
        <f t="shared" si="58"/>
        <v>1.1132083333333334E-29</v>
      </c>
      <c r="R92" s="14">
        <f t="shared" si="58"/>
        <v>0</v>
      </c>
      <c r="S92" s="14">
        <f t="shared" si="58"/>
        <v>1.792791666666667E-29</v>
      </c>
      <c r="T92" s="14">
        <f t="shared" si="58"/>
        <v>1.9921666666666667E-22</v>
      </c>
      <c r="U92" s="14">
        <f t="shared" si="58"/>
        <v>8.2308333333333333E-34</v>
      </c>
      <c r="V92" s="14">
        <f t="shared" si="58"/>
        <v>0</v>
      </c>
      <c r="W92" s="14">
        <f t="shared" si="58"/>
        <v>0</v>
      </c>
      <c r="X92" s="14">
        <f t="shared" si="58"/>
        <v>4.8012500000000001E-31</v>
      </c>
      <c r="Y92" s="14">
        <f t="shared" si="58"/>
        <v>1.5688333333333334E-18</v>
      </c>
      <c r="Z92" s="14">
        <f t="shared" si="58"/>
        <v>2.6870416666666666E-12</v>
      </c>
      <c r="AA92" s="14">
        <f t="shared" si="58"/>
        <v>2.0947500000000002E-10</v>
      </c>
      <c r="AB92" s="14">
        <f t="shared" si="58"/>
        <v>7.4675000000000003E-10</v>
      </c>
      <c r="AC92" s="14">
        <f t="shared" si="58"/>
        <v>1.6475000000000002E-9</v>
      </c>
      <c r="AD92" s="14">
        <f t="shared" si="58"/>
        <v>3.3119583333333336E-9</v>
      </c>
      <c r="AE92" s="14">
        <f t="shared" si="58"/>
        <v>3.555166666666667E-9</v>
      </c>
      <c r="AF92" s="14">
        <f t="shared" si="58"/>
        <v>3.5302916666666666E-8</v>
      </c>
      <c r="AG92" s="14">
        <f t="shared" si="58"/>
        <v>6.760833333333334E-2</v>
      </c>
      <c r="AH92" s="14">
        <f t="shared" si="58"/>
        <v>7.8787499999999996E-2</v>
      </c>
      <c r="AI92" s="14">
        <f t="shared" si="58"/>
        <v>8.962500000000001E-2</v>
      </c>
      <c r="AJ92" s="14">
        <f t="shared" si="58"/>
        <v>0.10180416666666667</v>
      </c>
      <c r="AK92" s="14">
        <f t="shared" si="58"/>
        <v>0.1685791666666667</v>
      </c>
      <c r="AL92" s="14">
        <f t="shared" si="58"/>
        <v>0.19144166666666668</v>
      </c>
      <c r="AM92" s="14">
        <f t="shared" si="58"/>
        <v>0.21774583333333336</v>
      </c>
      <c r="AN92" s="14">
        <f t="shared" si="58"/>
        <v>0.2482291666666667</v>
      </c>
      <c r="AO92" s="14">
        <f t="shared" si="58"/>
        <v>0.28385833333333338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1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 t="str">
        <f t="shared" si="28"/>
        <v>H (Ar)</v>
      </c>
      <c r="F93" s="14">
        <f t="shared" ref="F93" si="59">F17*$C$78</f>
        <v>-77.583333333333343</v>
      </c>
      <c r="G93" s="14">
        <f t="shared" ref="G93:BR93" si="60">G17*$C$78</f>
        <v>-77.541666666666671</v>
      </c>
      <c r="H93" s="14">
        <f t="shared" si="60"/>
        <v>-77.541666666666671</v>
      </c>
      <c r="I93" s="14">
        <f t="shared" si="60"/>
        <v>-77.583333333333343</v>
      </c>
      <c r="J93" s="14">
        <f t="shared" si="60"/>
        <v>-77.625</v>
      </c>
      <c r="K93" s="14">
        <f t="shared" si="60"/>
        <v>-77.708333333333329</v>
      </c>
      <c r="L93" s="14">
        <f t="shared" si="60"/>
        <v>-77.791666666666686</v>
      </c>
      <c r="M93" s="14">
        <f t="shared" si="60"/>
        <v>-77.875000000000014</v>
      </c>
      <c r="N93" s="14">
        <f t="shared" si="60"/>
        <v>-78</v>
      </c>
      <c r="O93" s="14">
        <f t="shared" si="60"/>
        <v>-78.5</v>
      </c>
      <c r="P93" s="14">
        <f t="shared" si="60"/>
        <v>-78.625000000000014</v>
      </c>
      <c r="Q93" s="14">
        <f t="shared" si="60"/>
        <v>-78.75</v>
      </c>
      <c r="R93" s="14">
        <f t="shared" si="60"/>
        <v>-78.916666666666671</v>
      </c>
      <c r="S93" s="14">
        <f t="shared" si="60"/>
        <v>-79.041666666666671</v>
      </c>
      <c r="T93" s="14">
        <f t="shared" si="60"/>
        <v>-79.208333333333343</v>
      </c>
      <c r="U93" s="14">
        <f t="shared" si="60"/>
        <v>-79.333333333333329</v>
      </c>
      <c r="V93" s="14">
        <f t="shared" si="60"/>
        <v>-79.458333333333343</v>
      </c>
      <c r="W93" s="14">
        <f t="shared" si="60"/>
        <v>-79.625</v>
      </c>
      <c r="X93" s="14">
        <f t="shared" si="60"/>
        <v>-79.750000000000014</v>
      </c>
      <c r="Y93" s="14">
        <f t="shared" si="60"/>
        <v>-79.916666666666671</v>
      </c>
      <c r="Z93" s="14">
        <f t="shared" si="60"/>
        <v>-80.041666666666671</v>
      </c>
      <c r="AA93" s="14">
        <f t="shared" si="60"/>
        <v>-80.208333333333343</v>
      </c>
      <c r="AB93" s="14">
        <f t="shared" si="60"/>
        <v>-80.75</v>
      </c>
      <c r="AC93" s="14">
        <f t="shared" si="60"/>
        <v>-80.916666666666686</v>
      </c>
      <c r="AD93" s="14">
        <f t="shared" si="60"/>
        <v>-81.041666666666671</v>
      </c>
      <c r="AE93" s="14">
        <f t="shared" si="60"/>
        <v>-81.166666666666671</v>
      </c>
      <c r="AF93" s="14">
        <f t="shared" si="60"/>
        <v>-81.291666666666686</v>
      </c>
      <c r="AG93" s="14">
        <f t="shared" si="60"/>
        <v>-81.458333333333343</v>
      </c>
      <c r="AH93" s="14">
        <f t="shared" si="60"/>
        <v>-81.583333333333329</v>
      </c>
      <c r="AI93" s="14">
        <f t="shared" si="60"/>
        <v>-81.708333333333343</v>
      </c>
      <c r="AJ93" s="14">
        <f t="shared" si="60"/>
        <v>-81.833333333333343</v>
      </c>
      <c r="AK93" s="14">
        <f t="shared" si="60"/>
        <v>-82.333333333333343</v>
      </c>
      <c r="AL93" s="14">
        <f t="shared" si="60"/>
        <v>-82.458333333333329</v>
      </c>
      <c r="AM93" s="14">
        <f t="shared" si="60"/>
        <v>-82.583333333333343</v>
      </c>
      <c r="AN93" s="14">
        <f t="shared" si="60"/>
        <v>-82.708333333333343</v>
      </c>
      <c r="AO93" s="14">
        <f t="shared" si="60"/>
        <v>-82.833333333333329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1</v>
      </c>
      <c r="E94" s="6" t="str">
        <f t="shared" si="28"/>
        <v>H (Ga)</v>
      </c>
      <c r="F94" s="14">
        <f t="shared" ref="F94" si="61">F18*$C$78</f>
        <v>-270.5</v>
      </c>
      <c r="G94" s="14">
        <f t="shared" ref="G94:BR94" si="62">G18*$C$78</f>
        <v>-256.04166666666669</v>
      </c>
      <c r="H94" s="14">
        <f t="shared" si="62"/>
        <v>-243.16666666666669</v>
      </c>
      <c r="I94" s="14">
        <f t="shared" si="62"/>
        <v>-231.66666666666669</v>
      </c>
      <c r="J94" s="14">
        <f t="shared" si="62"/>
        <v>-221.29166666666669</v>
      </c>
      <c r="K94" s="14">
        <f t="shared" si="62"/>
        <v>-200.08333333333337</v>
      </c>
      <c r="L94" s="14">
        <f t="shared" si="62"/>
        <v>-191.70833333333334</v>
      </c>
      <c r="M94" s="14">
        <f t="shared" si="62"/>
        <v>-182.75</v>
      </c>
      <c r="N94" s="14">
        <f t="shared" si="62"/>
        <v>-170.75</v>
      </c>
      <c r="O94" s="14">
        <f t="shared" si="62"/>
        <v>-130.5</v>
      </c>
      <c r="P94" s="14">
        <f t="shared" si="62"/>
        <v>-122.00000000000001</v>
      </c>
      <c r="Q94" s="14">
        <f t="shared" si="62"/>
        <v>-113.95833333333334</v>
      </c>
      <c r="R94" s="14">
        <f t="shared" si="62"/>
        <v>-106.37500000000001</v>
      </c>
      <c r="S94" s="14">
        <f t="shared" si="62"/>
        <v>-99.208333333333329</v>
      </c>
      <c r="T94" s="14">
        <f t="shared" si="62"/>
        <v>-92.416666666666671</v>
      </c>
      <c r="U94" s="14">
        <f t="shared" si="62"/>
        <v>-85.958333333333329</v>
      </c>
      <c r="V94" s="14">
        <f t="shared" si="62"/>
        <v>-79.833333333333343</v>
      </c>
      <c r="W94" s="14">
        <f t="shared" si="62"/>
        <v>-74.375000000000014</v>
      </c>
      <c r="X94" s="14">
        <f t="shared" si="62"/>
        <v>-70.208333333333343</v>
      </c>
      <c r="Y94" s="14">
        <f t="shared" si="62"/>
        <v>-66.25</v>
      </c>
      <c r="Z94" s="14">
        <f t="shared" si="62"/>
        <v>-62.500000000000007</v>
      </c>
      <c r="AA94" s="14">
        <f t="shared" si="62"/>
        <v>-58.875000000000007</v>
      </c>
      <c r="AB94" s="14">
        <f t="shared" si="62"/>
        <v>-45.833333333333336</v>
      </c>
      <c r="AC94" s="14">
        <f t="shared" si="62"/>
        <v>-42.875</v>
      </c>
      <c r="AD94" s="14">
        <f t="shared" si="62"/>
        <v>-40.025000000000006</v>
      </c>
      <c r="AE94" s="14">
        <f t="shared" si="62"/>
        <v>-37.283333333333339</v>
      </c>
      <c r="AF94" s="14">
        <f t="shared" si="62"/>
        <v>-34.637500000000003</v>
      </c>
      <c r="AG94" s="14">
        <f t="shared" si="62"/>
        <v>-32.145833333333336</v>
      </c>
      <c r="AH94" s="14">
        <f t="shared" si="62"/>
        <v>-32.487500000000004</v>
      </c>
      <c r="AI94" s="14">
        <f t="shared" si="62"/>
        <v>-32.829166666666666</v>
      </c>
      <c r="AJ94" s="14">
        <f t="shared" si="62"/>
        <v>-33.179166666666667</v>
      </c>
      <c r="AK94" s="14">
        <f t="shared" si="62"/>
        <v>-34.662500000000009</v>
      </c>
      <c r="AL94" s="14">
        <f t="shared" si="62"/>
        <v>-35.0625</v>
      </c>
      <c r="AM94" s="14">
        <f t="shared" si="62"/>
        <v>-35.475000000000001</v>
      </c>
      <c r="AN94" s="14">
        <f t="shared" si="62"/>
        <v>-35.908333333333339</v>
      </c>
      <c r="AO94" s="14">
        <f t="shared" si="62"/>
        <v>-36.358333333333341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H (Ge)</v>
      </c>
      <c r="F95" s="14">
        <f t="shared" ref="F95" si="63">F19*$C$78</f>
        <v>-66.083333333333329</v>
      </c>
      <c r="G95" s="14">
        <f t="shared" ref="G95:BR95" si="64">G19*$C$78</f>
        <v>-63.458333333333343</v>
      </c>
      <c r="H95" s="14">
        <f t="shared" si="64"/>
        <v>-61.166666666666671</v>
      </c>
      <c r="I95" s="14">
        <f t="shared" si="64"/>
        <v>-59.125</v>
      </c>
      <c r="J95" s="14">
        <f t="shared" si="64"/>
        <v>-57.333333333333336</v>
      </c>
      <c r="K95" s="14">
        <f t="shared" si="64"/>
        <v>-47.875000000000007</v>
      </c>
      <c r="L95" s="14">
        <f t="shared" si="64"/>
        <v>-46.500000000000007</v>
      </c>
      <c r="M95" s="14">
        <f t="shared" si="64"/>
        <v>-44.458333333333336</v>
      </c>
      <c r="N95" s="14">
        <f t="shared" si="64"/>
        <v>-40.054166666666667</v>
      </c>
      <c r="O95" s="14">
        <f t="shared" si="64"/>
        <v>-25.158333333333335</v>
      </c>
      <c r="P95" s="14">
        <f t="shared" si="64"/>
        <v>-21.970833333333335</v>
      </c>
      <c r="Q95" s="14">
        <f t="shared" si="64"/>
        <v>-18.958333333333336</v>
      </c>
      <c r="R95" s="14">
        <f t="shared" si="64"/>
        <v>-17.145833333333336</v>
      </c>
      <c r="S95" s="14">
        <f t="shared" si="64"/>
        <v>-17.312500000000004</v>
      </c>
      <c r="T95" s="14">
        <f t="shared" si="64"/>
        <v>-17.479166666666668</v>
      </c>
      <c r="U95" s="14">
        <f t="shared" si="64"/>
        <v>-17.649999999999999</v>
      </c>
      <c r="V95" s="14">
        <f t="shared" si="64"/>
        <v>-17.816666666666666</v>
      </c>
      <c r="W95" s="14">
        <f t="shared" si="64"/>
        <v>-17.987500000000001</v>
      </c>
      <c r="X95" s="14">
        <f t="shared" si="64"/>
        <v>-18.158333333333331</v>
      </c>
      <c r="Y95" s="14">
        <f t="shared" si="64"/>
        <v>-18.329166666666669</v>
      </c>
      <c r="Z95" s="14">
        <f t="shared" si="64"/>
        <v>-18.500000000000004</v>
      </c>
      <c r="AA95" s="14">
        <f t="shared" si="64"/>
        <v>-18.670833333333334</v>
      </c>
      <c r="AB95" s="14">
        <f t="shared" si="64"/>
        <v>-19.345833333333335</v>
      </c>
      <c r="AC95" s="14">
        <f t="shared" si="64"/>
        <v>-19.512499999999999</v>
      </c>
      <c r="AD95" s="14">
        <f t="shared" si="64"/>
        <v>-19.675000000000004</v>
      </c>
      <c r="AE95" s="14">
        <f t="shared" si="64"/>
        <v>-19.841666666666665</v>
      </c>
      <c r="AF95" s="14">
        <f t="shared" si="64"/>
        <v>-20.00416666666667</v>
      </c>
      <c r="AG95" s="14">
        <f t="shared" si="64"/>
        <v>-20.166666666666668</v>
      </c>
      <c r="AH95" s="14">
        <f t="shared" si="64"/>
        <v>-20.325000000000003</v>
      </c>
      <c r="AI95" s="14">
        <f t="shared" si="64"/>
        <v>-20.487500000000001</v>
      </c>
      <c r="AJ95" s="14">
        <f t="shared" si="64"/>
        <v>-20.645833333333336</v>
      </c>
      <c r="AK95" s="14">
        <f t="shared" si="64"/>
        <v>-21.266666666666669</v>
      </c>
      <c r="AL95" s="14">
        <f t="shared" si="64"/>
        <v>-21.420833333333334</v>
      </c>
      <c r="AM95" s="14">
        <f t="shared" si="64"/>
        <v>-21.570833333333333</v>
      </c>
      <c r="AN95" s="14">
        <f t="shared" si="64"/>
        <v>-21.720833333333335</v>
      </c>
      <c r="AO95" s="14">
        <f t="shared" si="64"/>
        <v>-21.870833333333334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H (Se)</v>
      </c>
      <c r="F96" s="14">
        <f t="shared" ref="F96" si="65">F20*$C$78</f>
        <v>-99.791666666666671</v>
      </c>
      <c r="G96" s="14">
        <f t="shared" ref="G96:BR96" si="66">G20*$C$78</f>
        <v>-95.125</v>
      </c>
      <c r="H96" s="14">
        <f t="shared" si="66"/>
        <v>-90.958333333333329</v>
      </c>
      <c r="I96" s="14">
        <f t="shared" si="66"/>
        <v>-87.291666666666671</v>
      </c>
      <c r="J96" s="14">
        <f t="shared" si="66"/>
        <v>-83.958333333333329</v>
      </c>
      <c r="K96" s="14">
        <f t="shared" si="66"/>
        <v>-88.875</v>
      </c>
      <c r="L96" s="14">
        <f t="shared" si="66"/>
        <v>-86.125000000000014</v>
      </c>
      <c r="M96" s="14">
        <f t="shared" si="66"/>
        <v>-84.500000000000014</v>
      </c>
      <c r="N96" s="14">
        <f t="shared" si="66"/>
        <v>-85.541666666666671</v>
      </c>
      <c r="O96" s="14">
        <f t="shared" si="66"/>
        <v>-89.708333333333343</v>
      </c>
      <c r="P96" s="14">
        <f t="shared" si="66"/>
        <v>-90.750000000000014</v>
      </c>
      <c r="Q96" s="14">
        <f t="shared" si="66"/>
        <v>-91.75</v>
      </c>
      <c r="R96" s="14">
        <f t="shared" si="66"/>
        <v>-92.791666666666671</v>
      </c>
      <c r="S96" s="14">
        <f t="shared" si="66"/>
        <v>-93.833333333333343</v>
      </c>
      <c r="T96" s="14">
        <f t="shared" si="66"/>
        <v>-94.833333333333343</v>
      </c>
      <c r="U96" s="14">
        <f t="shared" si="66"/>
        <v>-95.833333333333343</v>
      </c>
      <c r="V96" s="14">
        <f t="shared" si="66"/>
        <v>-96.833333333333329</v>
      </c>
      <c r="W96" s="14">
        <f t="shared" si="66"/>
        <v>-97.833333333333343</v>
      </c>
      <c r="X96" s="14">
        <f t="shared" si="66"/>
        <v>-98.833333333333329</v>
      </c>
      <c r="Y96" s="14">
        <f t="shared" si="66"/>
        <v>-99.791666666666671</v>
      </c>
      <c r="Z96" s="14">
        <f t="shared" si="66"/>
        <v>-100.75</v>
      </c>
      <c r="AA96" s="14">
        <f t="shared" si="66"/>
        <v>-101.70833333333334</v>
      </c>
      <c r="AB96" s="14">
        <f t="shared" si="66"/>
        <v>-105.45833333333333</v>
      </c>
      <c r="AC96" s="14">
        <f t="shared" si="66"/>
        <v>-106.37500000000001</v>
      </c>
      <c r="AD96" s="14">
        <f t="shared" si="66"/>
        <v>-107.29166666666667</v>
      </c>
      <c r="AE96" s="14">
        <f t="shared" si="66"/>
        <v>-108.20833333333334</v>
      </c>
      <c r="AF96" s="14">
        <f t="shared" si="66"/>
        <v>-109.08333333333334</v>
      </c>
      <c r="AG96" s="14">
        <f t="shared" si="66"/>
        <v>-109.95833333333334</v>
      </c>
      <c r="AH96" s="14">
        <f t="shared" si="66"/>
        <v>-110.83333333333334</v>
      </c>
      <c r="AI96" s="14">
        <f t="shared" si="66"/>
        <v>-111.70833333333334</v>
      </c>
      <c r="AJ96" s="14">
        <f t="shared" si="66"/>
        <v>-112.58333333333334</v>
      </c>
      <c r="AK96" s="14">
        <f t="shared" si="66"/>
        <v>-115.95833333333333</v>
      </c>
      <c r="AL96" s="14">
        <f t="shared" si="66"/>
        <v>-116.79166666666669</v>
      </c>
      <c r="AM96" s="14">
        <f t="shared" si="66"/>
        <v>-117.62500000000001</v>
      </c>
      <c r="AN96" s="14">
        <f t="shared" si="66"/>
        <v>-118.41666666666669</v>
      </c>
      <c r="AO96" s="14">
        <f t="shared" si="66"/>
        <v>-119.25000000000001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58"/>
      <c r="B113" s="158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487.9</v>
      </c>
      <c r="Q113" s="4">
        <f t="shared" si="92"/>
        <v>504.4</v>
      </c>
      <c r="R113" s="4">
        <f t="shared" si="92"/>
        <v>520.9</v>
      </c>
      <c r="S113" s="4">
        <f t="shared" si="92"/>
        <v>537.5</v>
      </c>
      <c r="T113" s="4">
        <f t="shared" si="92"/>
        <v>554</v>
      </c>
      <c r="U113" s="4">
        <f t="shared" si="92"/>
        <v>570.5</v>
      </c>
      <c r="V113" s="4">
        <f t="shared" si="92"/>
        <v>587</v>
      </c>
      <c r="W113" s="4">
        <f t="shared" si="92"/>
        <v>603.5</v>
      </c>
      <c r="X113" s="4">
        <f t="shared" si="92"/>
        <v>620.1</v>
      </c>
      <c r="Y113" s="4">
        <f t="shared" si="92"/>
        <v>636.6</v>
      </c>
      <c r="Z113" s="4">
        <f t="shared" si="92"/>
        <v>653.1</v>
      </c>
      <c r="AA113" s="4">
        <f t="shared" si="92"/>
        <v>669.6</v>
      </c>
      <c r="AB113" s="4">
        <f t="shared" si="92"/>
        <v>735.7</v>
      </c>
      <c r="AC113" s="4">
        <f t="shared" si="92"/>
        <v>752.2</v>
      </c>
      <c r="AD113" s="4">
        <f t="shared" si="92"/>
        <v>768.7</v>
      </c>
      <c r="AE113" s="4">
        <f t="shared" si="92"/>
        <v>785.2</v>
      </c>
      <c r="AF113" s="4">
        <f t="shared" si="92"/>
        <v>801.8</v>
      </c>
      <c r="AG113" s="4">
        <f t="shared" si="92"/>
        <v>818.3</v>
      </c>
      <c r="AH113" s="4">
        <f t="shared" si="92"/>
        <v>834.8</v>
      </c>
      <c r="AI113" s="4">
        <f t="shared" si="92"/>
        <v>851.3</v>
      </c>
      <c r="AJ113" s="4">
        <f t="shared" si="92"/>
        <v>867.8</v>
      </c>
      <c r="AK113" s="4">
        <f t="shared" si="92"/>
        <v>933.9</v>
      </c>
      <c r="AL113" s="4">
        <f t="shared" si="92"/>
        <v>950.4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-4.2712188864738761E-26</v>
      </c>
      <c r="G114" s="46">
        <f t="shared" ca="1" si="93"/>
        <v>-3.8067880746155854E-24</v>
      </c>
      <c r="H114" s="46">
        <f t="shared" ca="1" si="93"/>
        <v>-2.1921672851517075E-22</v>
      </c>
      <c r="I114" s="46">
        <f t="shared" ca="1" si="93"/>
        <v>-5.5356348322188388E-30</v>
      </c>
      <c r="J114" s="46">
        <f t="shared" ca="1" si="93"/>
        <v>0</v>
      </c>
      <c r="K114" s="46">
        <f t="shared" ca="1" si="93"/>
        <v>-4.1507030747741635E-28</v>
      </c>
      <c r="L114" s="46">
        <f t="shared" ca="1" si="93"/>
        <v>0</v>
      </c>
      <c r="M114" s="46">
        <f t="shared" ca="1" si="93"/>
        <v>0</v>
      </c>
      <c r="N114" s="46">
        <f t="shared" ca="1" si="93"/>
        <v>-1.7765974090775296E-30</v>
      </c>
      <c r="O114" s="46">
        <f t="shared" ca="1" si="93"/>
        <v>-2.2242410277530106E-9</v>
      </c>
      <c r="P114" s="46">
        <f t="shared" ca="1" si="93"/>
        <v>-4.3554353532794779E-12</v>
      </c>
      <c r="Q114" s="46">
        <f t="shared" ca="1" si="93"/>
        <v>-2.4857283849022954E-26</v>
      </c>
      <c r="R114" s="46">
        <f t="shared" ca="1" si="93"/>
        <v>0</v>
      </c>
      <c r="S114" s="46">
        <f t="shared" ca="1" si="93"/>
        <v>-8.4382092396339228E-27</v>
      </c>
      <c r="T114" s="46">
        <f t="shared" ca="1" si="93"/>
        <v>-4.5988424916018344E-20</v>
      </c>
      <c r="U114" s="46">
        <f t="shared" ca="1" si="93"/>
        <v>-9.6420182856613036E-32</v>
      </c>
      <c r="V114" s="46">
        <f t="shared" ca="1" si="93"/>
        <v>0</v>
      </c>
      <c r="W114" s="46">
        <f t="shared" ca="1" si="93"/>
        <v>0</v>
      </c>
      <c r="X114" s="46">
        <f t="shared" ca="1" si="93"/>
        <v>-8.8379713832269296E-30</v>
      </c>
      <c r="Y114" s="46">
        <f t="shared" ca="1" si="93"/>
        <v>-1.6674751879332759E-17</v>
      </c>
      <c r="Z114" s="46">
        <f t="shared" ca="1" si="93"/>
        <v>-1.7660750616483978E-11</v>
      </c>
      <c r="AA114" s="46">
        <f t="shared" ca="1" si="93"/>
        <v>-9.9030103808523308E-10</v>
      </c>
      <c r="AB114" s="46">
        <f t="shared" ca="1" si="93"/>
        <v>-1.2697146191844748E-8</v>
      </c>
      <c r="AC114" s="46">
        <f t="shared" ca="1" si="93"/>
        <v>-4.9796322649784002E-8</v>
      </c>
      <c r="AD114" s="46">
        <f t="shared" ca="1" si="93"/>
        <v>-1.7597986803405315E-7</v>
      </c>
      <c r="AE114" s="46">
        <f t="shared" ca="1" si="93"/>
        <v>-3.260092835715694E-7</v>
      </c>
      <c r="AF114" s="46">
        <f t="shared" ca="1" si="93"/>
        <v>-5.4731553139899481E-6</v>
      </c>
      <c r="AG114" s="46">
        <f t="shared" ca="1" si="93"/>
        <v>-17.122755889043216</v>
      </c>
      <c r="AH114" s="46">
        <f t="shared" ca="1" si="93"/>
        <v>-18.043178406043666</v>
      </c>
      <c r="AI114" s="46">
        <f t="shared" ca="1" si="93"/>
        <v>-18.592432613259973</v>
      </c>
      <c r="AJ114" s="46">
        <f t="shared" ca="1" si="93"/>
        <v>-19.154177599819963</v>
      </c>
      <c r="AK114" s="46">
        <f t="shared" ca="1" si="93"/>
        <v>-21.533106951133941</v>
      </c>
      <c r="AL114" s="46">
        <f t="shared" ca="1" si="93"/>
        <v>-22.166228864981417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33</v>
      </c>
      <c r="E115" s="17" t="s">
        <v>13</v>
      </c>
      <c r="F115" s="14">
        <f t="shared" ref="F115:AL115" ca="1" si="94">F$113*$B$2*SUMPRODUCT(F$87:F$88,F$53:F$54)/1000</f>
        <v>-45.198083454750012</v>
      </c>
      <c r="G115" s="14">
        <f t="shared" ca="1" si="94"/>
        <v>-45.837763669500006</v>
      </c>
      <c r="H115" s="14">
        <f t="shared" ca="1" si="94"/>
        <v>-46.475402674499996</v>
      </c>
      <c r="I115" s="14">
        <f t="shared" ca="1" si="94"/>
        <v>-47.141876365500011</v>
      </c>
      <c r="J115" s="14">
        <f t="shared" ca="1" si="94"/>
        <v>-47.817820271999999</v>
      </c>
      <c r="K115" s="14">
        <f t="shared" ca="1" si="94"/>
        <v>-48.532044136499998</v>
      </c>
      <c r="L115" s="14">
        <f t="shared" ca="1" si="94"/>
        <v>-49.26469709025001</v>
      </c>
      <c r="M115" s="14">
        <f t="shared" ca="1" si="94"/>
        <v>-100.05137172000002</v>
      </c>
      <c r="N115" s="14">
        <f t="shared" ca="1" si="94"/>
        <v>-101.57789645955002</v>
      </c>
      <c r="O115" s="14">
        <f t="shared" ca="1" si="94"/>
        <v>-108.0515437104</v>
      </c>
      <c r="P115" s="14">
        <f t="shared" ca="1" si="94"/>
        <v>-109.74440501114999</v>
      </c>
      <c r="Q115" s="14">
        <f t="shared" ca="1" si="94"/>
        <v>-111.43016406600002</v>
      </c>
      <c r="R115" s="14">
        <f t="shared" ca="1" si="94"/>
        <v>-9.1562077093367811E-5</v>
      </c>
      <c r="S115" s="14">
        <f t="shared" ca="1" si="94"/>
        <v>-2.209490295430863E-6</v>
      </c>
      <c r="T115" s="14">
        <f t="shared" ca="1" si="94"/>
        <v>-3.2379639529814963E-8</v>
      </c>
      <c r="U115" s="14">
        <f t="shared" ca="1" si="94"/>
        <v>-4.9781055418851646E-18</v>
      </c>
      <c r="V115" s="14">
        <f t="shared" ca="1" si="94"/>
        <v>-1.3224827040759E-16</v>
      </c>
      <c r="W115" s="14">
        <f t="shared" ca="1" si="94"/>
        <v>-2.6765404147768007E-15</v>
      </c>
      <c r="X115" s="14">
        <f t="shared" ca="1" si="94"/>
        <v>-2.8286082894535542E-14</v>
      </c>
      <c r="Y115" s="14">
        <f t="shared" ca="1" si="94"/>
        <v>-2.6606862079505094E-13</v>
      </c>
      <c r="Z115" s="14">
        <f t="shared" ca="1" si="94"/>
        <v>-2.2480007461407862E-12</v>
      </c>
      <c r="AA115" s="14">
        <f t="shared" ca="1" si="94"/>
        <v>-1.7183542502792858E-11</v>
      </c>
      <c r="AB115" s="14">
        <f t="shared" ca="1" si="94"/>
        <v>-2.4725118040849414E-8</v>
      </c>
      <c r="AC115" s="14">
        <f t="shared" ca="1" si="94"/>
        <v>-1.261540748264059E-7</v>
      </c>
      <c r="AD115" s="14">
        <f t="shared" ca="1" si="94"/>
        <v>-6.0285049495126159E-7</v>
      </c>
      <c r="AE115" s="14">
        <f t="shared" ca="1" si="94"/>
        <v>-2.7091658920051446E-6</v>
      </c>
      <c r="AF115" s="14">
        <f t="shared" ca="1" si="94"/>
        <v>-1.1490146124086571E-5</v>
      </c>
      <c r="AG115" s="14">
        <f t="shared" ca="1" si="94"/>
        <v>-4.4793800751791978E-5</v>
      </c>
      <c r="AH115" s="14">
        <f t="shared" ca="1" si="94"/>
        <v>-4.5796954597744052E-5</v>
      </c>
      <c r="AI115" s="14">
        <f t="shared" ca="1" si="94"/>
        <v>-4.6268688640171733E-5</v>
      </c>
      <c r="AJ115" s="14">
        <f t="shared" ca="1" si="94"/>
        <v>-4.6162773880391081E-5</v>
      </c>
      <c r="AK115" s="14">
        <f t="shared" ca="1" si="94"/>
        <v>-4.0299669256275251E-5</v>
      </c>
      <c r="AL115" s="14">
        <f t="shared" ca="1" si="94"/>
        <v>-3.7701301559130006E-5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-80.43162251225003</v>
      </c>
      <c r="G116" s="14">
        <f t="shared" ca="1" si="95"/>
        <v>-83.192851333250019</v>
      </c>
      <c r="H116" s="14">
        <f t="shared" ca="1" si="95"/>
        <v>-85.958066957</v>
      </c>
      <c r="I116" s="14">
        <f t="shared" ca="1" si="95"/>
        <v>-88.774476343000032</v>
      </c>
      <c r="J116" s="14">
        <f t="shared" ca="1" si="95"/>
        <v>-91.602642432000025</v>
      </c>
      <c r="K116" s="14">
        <f t="shared" ca="1" si="95"/>
        <v>-94.496020530250007</v>
      </c>
      <c r="L116" s="14">
        <f t="shared" ca="1" si="95"/>
        <v>-97.425336669000032</v>
      </c>
      <c r="M116" s="14">
        <f t="shared" ca="1" si="95"/>
        <v>-150.40032534000005</v>
      </c>
      <c r="N116" s="14">
        <f t="shared" ca="1" si="95"/>
        <v>-154.14781931955002</v>
      </c>
      <c r="O116" s="14">
        <f t="shared" ca="1" si="95"/>
        <v>-169.58699192040001</v>
      </c>
      <c r="P116" s="14">
        <f t="shared" ca="1" si="95"/>
        <v>-173.53514055990001</v>
      </c>
      <c r="Q116" s="14">
        <f t="shared" ca="1" si="95"/>
        <v>-177.48304641600004</v>
      </c>
      <c r="R116" s="14">
        <f t="shared" ca="1" si="95"/>
        <v>-68.358072034577106</v>
      </c>
      <c r="S116" s="14">
        <f t="shared" ca="1" si="95"/>
        <v>-70.648135490740316</v>
      </c>
      <c r="T116" s="14">
        <f t="shared" ca="1" si="95"/>
        <v>-72.970407807379658</v>
      </c>
      <c r="U116" s="14">
        <f t="shared" ca="1" si="95"/>
        <v>-75.262299700000014</v>
      </c>
      <c r="V116" s="14">
        <f t="shared" ca="1" si="95"/>
        <v>-77.561051087500019</v>
      </c>
      <c r="W116" s="14">
        <f t="shared" ca="1" si="95"/>
        <v>-79.908476943750017</v>
      </c>
      <c r="X116" s="14">
        <f t="shared" ca="1" si="95"/>
        <v>-82.23535212750005</v>
      </c>
      <c r="Y116" s="14">
        <f t="shared" ca="1" si="95"/>
        <v>-84.599954355000278</v>
      </c>
      <c r="Z116" s="14">
        <f t="shared" ca="1" si="95"/>
        <v>-86.928450866252277</v>
      </c>
      <c r="AA116" s="14">
        <f t="shared" ca="1" si="95"/>
        <v>-89.310201750017214</v>
      </c>
      <c r="AB116" s="14">
        <f t="shared" ca="1" si="95"/>
        <v>-98.789189072225142</v>
      </c>
      <c r="AC116" s="14">
        <f t="shared" ca="1" si="95"/>
        <v>-101.21326779115411</v>
      </c>
      <c r="AD116" s="14">
        <f t="shared" ca="1" si="95"/>
        <v>-103.59323153410051</v>
      </c>
      <c r="AE116" s="14">
        <f t="shared" ca="1" si="95"/>
        <v>-105.98005636916594</v>
      </c>
      <c r="AF116" s="14">
        <f t="shared" ca="1" si="95"/>
        <v>-108.38726533264614</v>
      </c>
      <c r="AG116" s="14">
        <f t="shared" ca="1" si="95"/>
        <v>-110.84455903755079</v>
      </c>
      <c r="AH116" s="14">
        <f t="shared" ca="1" si="95"/>
        <v>-113.25312518695458</v>
      </c>
      <c r="AI116" s="14">
        <f t="shared" ca="1" si="95"/>
        <v>-115.66855026743865</v>
      </c>
      <c r="AJ116" s="14">
        <f t="shared" ca="1" si="95"/>
        <v>-118.09083423277394</v>
      </c>
      <c r="AK116" s="14">
        <f t="shared" ca="1" si="95"/>
        <v>-127.86225048966931</v>
      </c>
      <c r="AL116" s="14">
        <f t="shared" ca="1" si="95"/>
        <v>-130.31885006130156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-45.198083454750012</v>
      </c>
      <c r="G117" s="14">
        <f t="shared" ref="G117:AL117" ca="1" si="96">G115+G114</f>
        <v>-45.837763669500006</v>
      </c>
      <c r="H117" s="14">
        <f t="shared" ca="1" si="96"/>
        <v>-46.475402674499996</v>
      </c>
      <c r="I117" s="14">
        <f t="shared" ca="1" si="96"/>
        <v>-47.141876365500011</v>
      </c>
      <c r="J117" s="14">
        <f t="shared" ca="1" si="96"/>
        <v>-47.817820271999999</v>
      </c>
      <c r="K117" s="14">
        <f t="shared" ca="1" si="96"/>
        <v>-48.532044136499998</v>
      </c>
      <c r="L117" s="14">
        <f t="shared" ca="1" si="96"/>
        <v>-49.26469709025001</v>
      </c>
      <c r="M117" s="14">
        <f t="shared" ca="1" si="96"/>
        <v>-100.05137172000002</v>
      </c>
      <c r="N117" s="14">
        <f t="shared" ca="1" si="96"/>
        <v>-101.57789645955002</v>
      </c>
      <c r="O117" s="14">
        <f t="shared" ca="1" si="96"/>
        <v>-108.05154371262424</v>
      </c>
      <c r="P117" s="14">
        <f t="shared" ca="1" si="96"/>
        <v>-109.74440501115434</v>
      </c>
      <c r="Q117" s="14">
        <f t="shared" ca="1" si="96"/>
        <v>-111.43016406600002</v>
      </c>
      <c r="R117" s="14">
        <f t="shared" ca="1" si="96"/>
        <v>-9.1562077093367811E-5</v>
      </c>
      <c r="S117" s="14">
        <f t="shared" ca="1" si="96"/>
        <v>-2.209490295430863E-6</v>
      </c>
      <c r="T117" s="14">
        <f t="shared" ca="1" si="96"/>
        <v>-3.2379639529860954E-8</v>
      </c>
      <c r="U117" s="14">
        <f t="shared" ca="1" si="96"/>
        <v>-4.9781055418852609E-18</v>
      </c>
      <c r="V117" s="14">
        <f t="shared" ca="1" si="96"/>
        <v>-1.3224827040759E-16</v>
      </c>
      <c r="W117" s="14">
        <f t="shared" ca="1" si="96"/>
        <v>-2.6765404147768007E-15</v>
      </c>
      <c r="X117" s="14">
        <f t="shared" ca="1" si="96"/>
        <v>-2.8286082894535551E-14</v>
      </c>
      <c r="Y117" s="14">
        <f t="shared" ca="1" si="96"/>
        <v>-2.6608529554693027E-13</v>
      </c>
      <c r="Z117" s="14">
        <f t="shared" ca="1" si="96"/>
        <v>-1.9908751362624764E-11</v>
      </c>
      <c r="AA117" s="14">
        <f t="shared" ca="1" si="96"/>
        <v>-1.007484580588026E-9</v>
      </c>
      <c r="AB117" s="14">
        <f t="shared" ca="1" si="96"/>
        <v>-3.7422264232694159E-8</v>
      </c>
      <c r="AC117" s="14">
        <f t="shared" ca="1" si="96"/>
        <v>-1.759503974761899E-7</v>
      </c>
      <c r="AD117" s="14">
        <f t="shared" ca="1" si="96"/>
        <v>-7.7883036298531476E-7</v>
      </c>
      <c r="AE117" s="14">
        <f t="shared" ca="1" si="96"/>
        <v>-3.0351751755767138E-6</v>
      </c>
      <c r="AF117" s="14">
        <f t="shared" ca="1" si="96"/>
        <v>-1.6963301438076519E-5</v>
      </c>
      <c r="AG117" s="14">
        <f t="shared" ca="1" si="96"/>
        <v>-17.122800682843966</v>
      </c>
      <c r="AH117" s="14">
        <f t="shared" ca="1" si="96"/>
        <v>-18.043224202998264</v>
      </c>
      <c r="AI117" s="14">
        <f t="shared" ca="1" si="96"/>
        <v>-18.592478881948612</v>
      </c>
      <c r="AJ117" s="14">
        <f t="shared" ca="1" si="96"/>
        <v>-19.154223762593844</v>
      </c>
      <c r="AK117" s="14">
        <f t="shared" ca="1" si="96"/>
        <v>-21.533147250803196</v>
      </c>
      <c r="AL117" s="14">
        <f t="shared" ca="1" si="96"/>
        <v>-22.166266566282975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752.2</v>
      </c>
      <c r="AD122" s="4">
        <f ca="1"/>
        <v>768.7</v>
      </c>
      <c r="AE122" s="4">
        <f ca="1"/>
        <v>785.2</v>
      </c>
      <c r="AF122" s="4">
        <f ca="1"/>
        <v>801.8</v>
      </c>
      <c r="AG122" s="4">
        <f ca="1"/>
        <v>818.3</v>
      </c>
      <c r="AH122" s="4">
        <f ca="1"/>
        <v>834.8</v>
      </c>
      <c r="AI122" s="4">
        <f ca="1"/>
        <v>851.3</v>
      </c>
      <c r="AJ122" s="4">
        <f ca="1"/>
        <v>867.8</v>
      </c>
      <c r="AK122" s="4">
        <f ca="1"/>
        <v>933.9</v>
      </c>
      <c r="AL122" s="4">
        <f ca="1"/>
        <v>950.4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-4.2712188864738761E-26</v>
      </c>
      <c r="G123" s="47">
        <f ca="1"/>
        <v>-3.8067880746155854E-24</v>
      </c>
      <c r="H123" s="47">
        <f ca="1"/>
        <v>-2.1921672851517075E-22</v>
      </c>
      <c r="I123" s="47">
        <f ca="1"/>
        <v>-5.5356348322188388E-30</v>
      </c>
      <c r="J123" s="47">
        <f ca="1"/>
        <v>0</v>
      </c>
      <c r="K123" s="47">
        <f ca="1"/>
        <v>-4.1507030747741635E-28</v>
      </c>
      <c r="L123" s="47">
        <f ca="1"/>
        <v>0</v>
      </c>
      <c r="M123" s="47">
        <f ca="1"/>
        <v>0</v>
      </c>
      <c r="N123" s="47">
        <f ca="1"/>
        <v>-1.7765974090775296E-30</v>
      </c>
      <c r="O123" s="47">
        <f ca="1"/>
        <v>-2.2242410277530106E-9</v>
      </c>
      <c r="P123" s="47">
        <f ca="1"/>
        <v>-4.3554353532794779E-12</v>
      </c>
      <c r="Q123" s="47">
        <f ca="1"/>
        <v>-2.4857283849022954E-26</v>
      </c>
      <c r="R123" s="47">
        <f ca="1"/>
        <v>0</v>
      </c>
      <c r="S123" s="47">
        <f ca="1"/>
        <v>-8.4382092396339228E-27</v>
      </c>
      <c r="T123" s="47">
        <f ca="1"/>
        <v>-4.5988424916018344E-20</v>
      </c>
      <c r="U123" s="47">
        <f ca="1"/>
        <v>-9.6420182856613036E-32</v>
      </c>
      <c r="V123" s="47">
        <f ca="1"/>
        <v>0</v>
      </c>
      <c r="W123" s="47">
        <f ca="1"/>
        <v>0</v>
      </c>
      <c r="X123" s="47">
        <f ca="1"/>
        <v>-8.8379713832269296E-30</v>
      </c>
      <c r="Y123" s="47">
        <f ca="1"/>
        <v>-1.6674751879332759E-17</v>
      </c>
      <c r="Z123" s="47">
        <f ca="1"/>
        <v>-1.7660750616483978E-11</v>
      </c>
      <c r="AA123" s="47">
        <f ca="1"/>
        <v>-9.9030103808523308E-10</v>
      </c>
      <c r="AB123" s="47">
        <f ca="1"/>
        <v>-1.2697146191844748E-8</v>
      </c>
      <c r="AC123" s="47">
        <f ca="1"/>
        <v>-4.9796322649784002E-8</v>
      </c>
      <c r="AD123" s="47">
        <f ca="1"/>
        <v>-1.7597986803405315E-7</v>
      </c>
      <c r="AE123" s="47">
        <f ca="1"/>
        <v>-3.260092835715694E-7</v>
      </c>
      <c r="AF123" s="47">
        <f ca="1"/>
        <v>-5.4731553139899481E-6</v>
      </c>
      <c r="AG123" s="47">
        <f ca="1"/>
        <v>-17.122755889043216</v>
      </c>
      <c r="AH123" s="47">
        <f ca="1"/>
        <v>-18.043178406043666</v>
      </c>
      <c r="AI123" s="47">
        <f ca="1"/>
        <v>-18.592432613259973</v>
      </c>
      <c r="AJ123" s="47">
        <f ca="1"/>
        <v>-19.154177599819963</v>
      </c>
      <c r="AK123" s="47">
        <f ca="1"/>
        <v>-21.533106951133941</v>
      </c>
      <c r="AL123" s="47">
        <f ca="1"/>
        <v>-22.166228864981417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-45.198083454750012</v>
      </c>
      <c r="G124" s="47">
        <f ca="1"/>
        <v>-45.837763669500006</v>
      </c>
      <c r="H124" s="47">
        <f ca="1"/>
        <v>-46.475402674499996</v>
      </c>
      <c r="I124" s="47">
        <f ca="1"/>
        <v>-47.141876365500011</v>
      </c>
      <c r="J124" s="47">
        <f ca="1"/>
        <v>-47.817820271999999</v>
      </c>
      <c r="K124" s="47">
        <f ca="1"/>
        <v>-48.532044136499998</v>
      </c>
      <c r="L124" s="47">
        <f ca="1"/>
        <v>-49.26469709025001</v>
      </c>
      <c r="M124" s="47">
        <f ca="1"/>
        <v>-100.05137172000002</v>
      </c>
      <c r="N124" s="47">
        <f ca="1"/>
        <v>-101.57789645955002</v>
      </c>
      <c r="O124" s="47">
        <f ca="1"/>
        <v>-108.0515437104</v>
      </c>
      <c r="P124" s="47">
        <f ca="1"/>
        <v>-109.74440501114999</v>
      </c>
      <c r="Q124" s="47">
        <f ca="1"/>
        <v>-111.43016406600002</v>
      </c>
      <c r="R124" s="47">
        <f ca="1"/>
        <v>-9.1562077093367811E-5</v>
      </c>
      <c r="S124" s="47">
        <f ca="1"/>
        <v>-2.209490295430863E-6</v>
      </c>
      <c r="T124" s="47">
        <f ca="1"/>
        <v>-3.2379639529814963E-8</v>
      </c>
      <c r="U124" s="47">
        <f ca="1"/>
        <v>-4.9781055418851646E-18</v>
      </c>
      <c r="V124" s="47">
        <f ca="1"/>
        <v>-1.3224827040759E-16</v>
      </c>
      <c r="W124" s="47">
        <f ca="1"/>
        <v>-2.6765404147768007E-15</v>
      </c>
      <c r="X124" s="47">
        <f ca="1"/>
        <v>-2.8286082894535542E-14</v>
      </c>
      <c r="Y124" s="47">
        <f ca="1"/>
        <v>-2.6606862079505094E-13</v>
      </c>
      <c r="Z124" s="47">
        <f ca="1"/>
        <v>-2.2480007461407862E-12</v>
      </c>
      <c r="AA124" s="47">
        <f ca="1"/>
        <v>-1.7183542502792858E-11</v>
      </c>
      <c r="AB124" s="47">
        <f ca="1"/>
        <v>-2.4725118040849414E-8</v>
      </c>
      <c r="AC124" s="47">
        <f ca="1"/>
        <v>-1.261540748264059E-7</v>
      </c>
      <c r="AD124" s="47">
        <f ca="1"/>
        <v>-6.0285049495126159E-7</v>
      </c>
      <c r="AE124" s="47">
        <f ca="1"/>
        <v>-2.7091658920051446E-6</v>
      </c>
      <c r="AF124" s="47">
        <f ca="1"/>
        <v>-1.1490146124086571E-5</v>
      </c>
      <c r="AG124" s="47">
        <f ca="1"/>
        <v>-4.4793800751791978E-5</v>
      </c>
      <c r="AH124" s="47">
        <f ca="1"/>
        <v>-4.5796954597744052E-5</v>
      </c>
      <c r="AI124" s="47">
        <f ca="1"/>
        <v>-4.6268688640171733E-5</v>
      </c>
      <c r="AJ124" s="47">
        <f ca="1"/>
        <v>-4.6162773880391081E-5</v>
      </c>
      <c r="AK124" s="47">
        <f ca="1"/>
        <v>-4.0299669256275251E-5</v>
      </c>
      <c r="AL124" s="47">
        <f ca="1"/>
        <v>-3.7701301559130006E-5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-80.43162251225003</v>
      </c>
      <c r="G125" s="47">
        <f ca="1"/>
        <v>-83.192851333250019</v>
      </c>
      <c r="H125" s="47">
        <f ca="1"/>
        <v>-85.958066957</v>
      </c>
      <c r="I125" s="47">
        <f ca="1"/>
        <v>-88.774476343000032</v>
      </c>
      <c r="J125" s="47">
        <f ca="1"/>
        <v>-91.602642432000025</v>
      </c>
      <c r="K125" s="47">
        <f ca="1"/>
        <v>-94.496020530250007</v>
      </c>
      <c r="L125" s="47">
        <f ca="1"/>
        <v>-97.425336669000032</v>
      </c>
      <c r="M125" s="47">
        <f ca="1"/>
        <v>-150.40032534000005</v>
      </c>
      <c r="N125" s="47">
        <f ca="1"/>
        <v>-154.14781931955002</v>
      </c>
      <c r="O125" s="47">
        <f ca="1"/>
        <v>-169.58699192040001</v>
      </c>
      <c r="P125" s="47">
        <f ca="1"/>
        <v>-173.53514055990001</v>
      </c>
      <c r="Q125" s="47">
        <f ca="1"/>
        <v>-177.48304641600004</v>
      </c>
      <c r="R125" s="47">
        <f ca="1"/>
        <v>-68.358072034577106</v>
      </c>
      <c r="S125" s="47">
        <f ca="1"/>
        <v>-70.648135490740316</v>
      </c>
      <c r="T125" s="47">
        <f ca="1"/>
        <v>-72.970407807379658</v>
      </c>
      <c r="U125" s="47">
        <f ca="1"/>
        <v>-75.262299700000014</v>
      </c>
      <c r="V125" s="47">
        <f ca="1"/>
        <v>-77.561051087500019</v>
      </c>
      <c r="W125" s="47">
        <f ca="1"/>
        <v>-79.908476943750017</v>
      </c>
      <c r="X125" s="47">
        <f ca="1"/>
        <v>-82.23535212750005</v>
      </c>
      <c r="Y125" s="47">
        <f ca="1"/>
        <v>-84.599954355000278</v>
      </c>
      <c r="Z125" s="47">
        <f ca="1"/>
        <v>-86.928450866252277</v>
      </c>
      <c r="AA125" s="47">
        <f ca="1"/>
        <v>-89.310201750017214</v>
      </c>
      <c r="AB125" s="47">
        <f ca="1"/>
        <v>-98.789189072225142</v>
      </c>
      <c r="AC125" s="47">
        <f ca="1"/>
        <v>-101.21326779115411</v>
      </c>
      <c r="AD125" s="47">
        <f ca="1"/>
        <v>-103.59323153410051</v>
      </c>
      <c r="AE125" s="47">
        <f ca="1"/>
        <v>-105.98005636916594</v>
      </c>
      <c r="AF125" s="47">
        <f ca="1"/>
        <v>-108.38726533264614</v>
      </c>
      <c r="AG125" s="47">
        <f ca="1"/>
        <v>-110.84455903755079</v>
      </c>
      <c r="AH125" s="47">
        <f ca="1"/>
        <v>-113.25312518695458</v>
      </c>
      <c r="AI125" s="47">
        <f ca="1"/>
        <v>-115.66855026743865</v>
      </c>
      <c r="AJ125" s="47">
        <f ca="1"/>
        <v>-118.09083423277394</v>
      </c>
      <c r="AK125" s="47">
        <f ca="1"/>
        <v>-127.86225048966931</v>
      </c>
      <c r="AL125" s="47">
        <f ca="1"/>
        <v>-130.31885006130156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-45.198083454750012</v>
      </c>
      <c r="G126" s="47">
        <f ca="1"/>
        <v>-45.837763669500006</v>
      </c>
      <c r="H126" s="47">
        <f ca="1"/>
        <v>-46.475402674499996</v>
      </c>
      <c r="I126" s="47">
        <f ca="1"/>
        <v>-47.141876365500011</v>
      </c>
      <c r="J126" s="47">
        <f ca="1"/>
        <v>-47.817820271999999</v>
      </c>
      <c r="K126" s="47">
        <f ca="1"/>
        <v>-48.532044136499998</v>
      </c>
      <c r="L126" s="47">
        <f ca="1"/>
        <v>-49.26469709025001</v>
      </c>
      <c r="M126" s="47">
        <f ca="1"/>
        <v>-100.05137172000002</v>
      </c>
      <c r="N126" s="47">
        <f ca="1"/>
        <v>-101.57789645955002</v>
      </c>
      <c r="O126" s="47">
        <f ca="1"/>
        <v>-108.05154371262424</v>
      </c>
      <c r="P126" s="47">
        <f ca="1"/>
        <v>-109.74440501115434</v>
      </c>
      <c r="Q126" s="47">
        <f ca="1"/>
        <v>-111.43016406600002</v>
      </c>
      <c r="R126" s="47">
        <f ca="1"/>
        <v>-9.1562077093367811E-5</v>
      </c>
      <c r="S126" s="47">
        <f ca="1"/>
        <v>-2.209490295430863E-6</v>
      </c>
      <c r="T126" s="47">
        <f ca="1"/>
        <v>-3.2379639529860954E-8</v>
      </c>
      <c r="U126" s="47">
        <f ca="1"/>
        <v>-4.9781055418852609E-18</v>
      </c>
      <c r="V126" s="47">
        <f ca="1"/>
        <v>-1.3224827040759E-16</v>
      </c>
      <c r="W126" s="47">
        <f ca="1"/>
        <v>-2.6765404147768007E-15</v>
      </c>
      <c r="X126" s="47">
        <f ca="1"/>
        <v>-2.8286082894535551E-14</v>
      </c>
      <c r="Y126" s="47">
        <f ca="1"/>
        <v>-2.6608529554693027E-13</v>
      </c>
      <c r="Z126" s="47">
        <f ca="1"/>
        <v>-1.9908751362624764E-11</v>
      </c>
      <c r="AA126" s="47">
        <f ca="1"/>
        <v>-1.007484580588026E-9</v>
      </c>
      <c r="AB126" s="47">
        <f ca="1"/>
        <v>-3.7422264232694159E-8</v>
      </c>
      <c r="AC126" s="47">
        <f ca="1"/>
        <v>-1.759503974761899E-7</v>
      </c>
      <c r="AD126" s="47">
        <f ca="1"/>
        <v>-7.7883036298531476E-7</v>
      </c>
      <c r="AE126" s="47">
        <f ca="1"/>
        <v>-3.0351751755767138E-6</v>
      </c>
      <c r="AF126" s="47">
        <f ca="1"/>
        <v>-1.6963301438076519E-5</v>
      </c>
      <c r="AG126" s="47">
        <f ca="1"/>
        <v>-17.122800682843966</v>
      </c>
      <c r="AH126" s="47">
        <f ca="1"/>
        <v>-18.043224202998264</v>
      </c>
      <c r="AI126" s="47">
        <f ca="1"/>
        <v>-18.592478881948612</v>
      </c>
      <c r="AJ126" s="47">
        <f ca="1"/>
        <v>-19.154223762593844</v>
      </c>
      <c r="AK126" s="47">
        <f ca="1"/>
        <v>-21.533147250803196</v>
      </c>
      <c r="AL126" s="47">
        <f ca="1"/>
        <v>-22.166266566282975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BA20"/>
  <sheetViews>
    <sheetView topLeftCell="V1" zoomScale="115" zoomScaleNormal="115" workbookViewId="0">
      <selection sqref="A1:AK18"/>
    </sheetView>
  </sheetViews>
  <sheetFormatPr defaultRowHeight="21" x14ac:dyDescent="0.35"/>
  <cols>
    <col min="1" max="16384" width="8.7265625" style="107"/>
  </cols>
  <sheetData>
    <row r="1" spans="1:53" x14ac:dyDescent="0.35">
      <c r="A1" s="140" t="s">
        <v>66</v>
      </c>
      <c r="B1" s="141">
        <v>273.10000000000002</v>
      </c>
      <c r="C1" s="142">
        <v>289.7</v>
      </c>
      <c r="D1" s="142">
        <v>306.2</v>
      </c>
      <c r="E1" s="141">
        <v>322.7</v>
      </c>
      <c r="F1" s="142">
        <v>339.2</v>
      </c>
      <c r="G1" s="142">
        <v>355.7</v>
      </c>
      <c r="H1" s="141">
        <v>372.3</v>
      </c>
      <c r="I1" s="142">
        <v>388.8</v>
      </c>
      <c r="J1" s="142">
        <v>405.3</v>
      </c>
      <c r="K1" s="141">
        <v>471.4</v>
      </c>
      <c r="L1" s="142">
        <v>487.9</v>
      </c>
      <c r="M1" s="142">
        <v>504.4</v>
      </c>
      <c r="N1" s="141">
        <v>520.9</v>
      </c>
      <c r="O1" s="142">
        <v>537.5</v>
      </c>
      <c r="P1" s="142">
        <v>554</v>
      </c>
      <c r="Q1" s="141">
        <v>570.5</v>
      </c>
      <c r="R1" s="142">
        <v>587</v>
      </c>
      <c r="S1" s="142">
        <v>603.5</v>
      </c>
      <c r="T1" s="141">
        <v>620.1</v>
      </c>
      <c r="U1" s="142">
        <v>636.6</v>
      </c>
      <c r="V1" s="142">
        <v>653.1</v>
      </c>
      <c r="W1" s="141">
        <v>669.6</v>
      </c>
      <c r="X1" s="142">
        <v>735.7</v>
      </c>
      <c r="Y1" s="142">
        <v>752.2</v>
      </c>
      <c r="Z1" s="141">
        <v>768.7</v>
      </c>
      <c r="AA1" s="142">
        <v>785.2</v>
      </c>
      <c r="AB1" s="142">
        <v>801.8</v>
      </c>
      <c r="AC1" s="141">
        <v>818.3</v>
      </c>
      <c r="AD1" s="142">
        <v>834.8</v>
      </c>
      <c r="AE1" s="142">
        <v>851.3</v>
      </c>
      <c r="AF1" s="141">
        <v>867.8</v>
      </c>
      <c r="AG1" s="142">
        <v>933.9</v>
      </c>
      <c r="AH1" s="142">
        <v>950.4</v>
      </c>
      <c r="AI1" s="147">
        <v>967</v>
      </c>
      <c r="AJ1" s="142">
        <v>983.5</v>
      </c>
      <c r="AK1" s="142">
        <v>1000</v>
      </c>
      <c r="AL1" s="141"/>
      <c r="AM1" s="142"/>
      <c r="AN1" s="142"/>
      <c r="AO1" s="140"/>
      <c r="AP1" s="141"/>
      <c r="AQ1" s="142"/>
      <c r="AR1" s="142"/>
      <c r="AS1" s="140"/>
      <c r="AT1" s="141"/>
      <c r="AU1" s="142"/>
      <c r="AV1" s="142"/>
      <c r="AW1" s="140"/>
      <c r="AX1" s="141"/>
      <c r="AY1" s="142"/>
      <c r="AZ1" s="142"/>
      <c r="BA1" s="161"/>
    </row>
    <row r="2" spans="1:53" x14ac:dyDescent="0.35">
      <c r="A2" s="144" t="s">
        <v>68</v>
      </c>
      <c r="B2" s="148">
        <v>0.12</v>
      </c>
      <c r="C2" s="149">
        <v>0.12</v>
      </c>
      <c r="D2" s="149">
        <v>0.12</v>
      </c>
      <c r="E2" s="148">
        <v>0.12</v>
      </c>
      <c r="F2" s="149">
        <v>0.12</v>
      </c>
      <c r="G2" s="149">
        <v>0.12</v>
      </c>
      <c r="H2" s="148">
        <v>0.12</v>
      </c>
      <c r="I2" s="149">
        <v>1.3890000000000001E-7</v>
      </c>
      <c r="J2" s="149">
        <v>6.8952000000000001E-10</v>
      </c>
      <c r="K2" s="148">
        <v>6.0562999999999998E-33</v>
      </c>
      <c r="L2" s="149">
        <v>0</v>
      </c>
      <c r="M2" s="149">
        <v>0</v>
      </c>
      <c r="N2" s="148">
        <v>0</v>
      </c>
      <c r="O2" s="149">
        <v>0</v>
      </c>
      <c r="P2" s="149">
        <v>0</v>
      </c>
      <c r="Q2" s="148">
        <v>0</v>
      </c>
      <c r="R2" s="149">
        <v>0</v>
      </c>
      <c r="S2" s="149">
        <v>0</v>
      </c>
      <c r="T2" s="149">
        <v>0</v>
      </c>
      <c r="U2" s="149">
        <v>0</v>
      </c>
      <c r="V2" s="149">
        <v>0</v>
      </c>
      <c r="W2" s="149">
        <v>0</v>
      </c>
      <c r="X2" s="149">
        <v>0</v>
      </c>
      <c r="Y2" s="149">
        <v>0</v>
      </c>
      <c r="Z2" s="149">
        <v>0</v>
      </c>
      <c r="AA2" s="149">
        <v>0</v>
      </c>
      <c r="AB2" s="149">
        <v>0</v>
      </c>
      <c r="AC2" s="149">
        <v>0</v>
      </c>
      <c r="AD2" s="149">
        <v>0</v>
      </c>
      <c r="AE2" s="149">
        <v>0</v>
      </c>
      <c r="AF2" s="149">
        <v>0</v>
      </c>
      <c r="AG2" s="149">
        <v>0</v>
      </c>
      <c r="AH2" s="149">
        <v>0</v>
      </c>
      <c r="AI2" s="149">
        <v>0</v>
      </c>
      <c r="AJ2" s="149">
        <v>0</v>
      </c>
      <c r="AK2" s="149">
        <v>0</v>
      </c>
      <c r="AL2" s="164"/>
      <c r="AM2" s="164"/>
      <c r="AN2" s="164"/>
      <c r="AO2" s="144"/>
      <c r="AP2" s="164"/>
      <c r="AQ2" s="164"/>
      <c r="AR2" s="164"/>
      <c r="AS2" s="144"/>
      <c r="AT2" s="164"/>
      <c r="AU2" s="164"/>
      <c r="AV2" s="164"/>
      <c r="AW2" s="144"/>
      <c r="AX2" s="164"/>
      <c r="AY2" s="164"/>
      <c r="AZ2" s="164"/>
      <c r="BA2" s="165"/>
    </row>
    <row r="3" spans="1:53" x14ac:dyDescent="0.35">
      <c r="A3" s="140" t="s">
        <v>49</v>
      </c>
      <c r="B3" s="150">
        <v>5.4661999999999999E-21</v>
      </c>
      <c r="C3" s="151">
        <v>4.9838000000000002E-16</v>
      </c>
      <c r="D3" s="151">
        <v>1.6037E-11</v>
      </c>
      <c r="E3" s="150">
        <v>3.7202000000000002E-10</v>
      </c>
      <c r="F3" s="151">
        <v>1.1706000000000001E-8</v>
      </c>
      <c r="G3" s="151">
        <v>2.1127999999999999E-10</v>
      </c>
      <c r="H3" s="150">
        <v>1.2829E-8</v>
      </c>
      <c r="I3" s="151">
        <v>0.12</v>
      </c>
      <c r="J3" s="151">
        <v>0.12</v>
      </c>
      <c r="K3" s="150">
        <v>0.12</v>
      </c>
      <c r="L3" s="151">
        <v>0.12</v>
      </c>
      <c r="M3" s="151">
        <v>0.12</v>
      </c>
      <c r="N3" s="150">
        <v>0.36</v>
      </c>
      <c r="O3" s="151">
        <v>0.36</v>
      </c>
      <c r="P3" s="151">
        <v>0.36</v>
      </c>
      <c r="Q3" s="150">
        <v>0.36</v>
      </c>
      <c r="R3" s="151">
        <v>0.36</v>
      </c>
      <c r="S3" s="151">
        <v>0.4</v>
      </c>
      <c r="T3" s="151">
        <v>0.4</v>
      </c>
      <c r="U3" s="151">
        <v>0.4</v>
      </c>
      <c r="V3" s="151">
        <v>0.4</v>
      </c>
      <c r="W3" s="151">
        <v>0.4</v>
      </c>
      <c r="X3" s="151">
        <v>0.4</v>
      </c>
      <c r="Y3" s="151">
        <v>0.4</v>
      </c>
      <c r="Z3" s="151">
        <v>0.4</v>
      </c>
      <c r="AA3" s="151">
        <v>0.4</v>
      </c>
      <c r="AB3" s="151">
        <v>0.4</v>
      </c>
      <c r="AC3" s="151">
        <v>0.47826000000000002</v>
      </c>
      <c r="AD3" s="151">
        <v>0.48</v>
      </c>
      <c r="AE3" s="151">
        <v>0.48</v>
      </c>
      <c r="AF3" s="151">
        <v>0.48</v>
      </c>
      <c r="AG3" s="151">
        <v>0.48</v>
      </c>
      <c r="AH3" s="151">
        <v>0.48</v>
      </c>
      <c r="AI3" s="151">
        <v>0.48</v>
      </c>
      <c r="AJ3" s="151">
        <v>0.48</v>
      </c>
      <c r="AK3" s="151">
        <v>0.48</v>
      </c>
      <c r="AL3" s="145"/>
      <c r="AM3" s="145"/>
      <c r="AN3" s="145"/>
      <c r="AO3" s="140"/>
      <c r="AP3" s="145"/>
      <c r="AQ3" s="145"/>
      <c r="AR3" s="145"/>
      <c r="AS3" s="140"/>
      <c r="AT3" s="145"/>
      <c r="AU3" s="145"/>
      <c r="AV3" s="145"/>
      <c r="AW3" s="140"/>
      <c r="AX3" s="145"/>
      <c r="AY3" s="145"/>
      <c r="AZ3" s="145"/>
      <c r="BA3" s="161"/>
    </row>
    <row r="4" spans="1:53" x14ac:dyDescent="0.35">
      <c r="A4" s="140" t="s">
        <v>50</v>
      </c>
      <c r="B4" s="150">
        <v>0</v>
      </c>
      <c r="C4" s="151">
        <v>0</v>
      </c>
      <c r="D4" s="151">
        <v>0</v>
      </c>
      <c r="E4" s="150">
        <v>0</v>
      </c>
      <c r="F4" s="151">
        <v>0</v>
      </c>
      <c r="G4" s="151">
        <v>0</v>
      </c>
      <c r="H4" s="150">
        <v>0</v>
      </c>
      <c r="I4" s="151">
        <v>0</v>
      </c>
      <c r="J4" s="151">
        <v>0</v>
      </c>
      <c r="K4" s="150">
        <v>5.3754999999999999E-11</v>
      </c>
      <c r="L4" s="151">
        <v>2.0972000000000002E-9</v>
      </c>
      <c r="M4" s="151">
        <v>2.8223999999999998E-8</v>
      </c>
      <c r="N4" s="150">
        <v>0.24</v>
      </c>
      <c r="O4" s="151">
        <v>0.24</v>
      </c>
      <c r="P4" s="151">
        <v>0.24</v>
      </c>
      <c r="Q4" s="150">
        <v>0.24</v>
      </c>
      <c r="R4" s="151">
        <v>0.24</v>
      </c>
      <c r="S4" s="151">
        <v>0.24</v>
      </c>
      <c r="T4" s="150">
        <v>0.24</v>
      </c>
      <c r="U4" s="151">
        <v>0.24</v>
      </c>
      <c r="V4" s="151">
        <v>0.24</v>
      </c>
      <c r="W4" s="150">
        <v>0.24</v>
      </c>
      <c r="X4" s="151">
        <v>0.24</v>
      </c>
      <c r="Y4" s="151">
        <v>0.24</v>
      </c>
      <c r="Z4" s="150">
        <v>0.24</v>
      </c>
      <c r="AA4" s="151">
        <v>0.24</v>
      </c>
      <c r="AB4" s="151">
        <v>0.24</v>
      </c>
      <c r="AC4" s="150">
        <v>0.22377</v>
      </c>
      <c r="AD4" s="151">
        <v>0.22109000000000001</v>
      </c>
      <c r="AE4" s="151">
        <v>0.21848999999999999</v>
      </c>
      <c r="AF4" s="150">
        <v>0.21556</v>
      </c>
      <c r="AG4" s="151">
        <v>0.19954</v>
      </c>
      <c r="AH4" s="151">
        <v>0.19405</v>
      </c>
      <c r="AI4" s="150">
        <v>0.18773999999999999</v>
      </c>
      <c r="AJ4" s="151">
        <v>0.18042</v>
      </c>
      <c r="AK4" s="151">
        <v>0.17186999999999999</v>
      </c>
      <c r="AL4" s="141"/>
      <c r="AM4" s="145"/>
      <c r="AN4" s="145"/>
      <c r="AO4" s="140"/>
      <c r="AP4" s="141"/>
      <c r="AQ4" s="145"/>
      <c r="AR4" s="145"/>
      <c r="AS4" s="140"/>
      <c r="AT4" s="141"/>
      <c r="AU4" s="145"/>
      <c r="AV4" s="145"/>
      <c r="AW4" s="140"/>
      <c r="AX4" s="141"/>
      <c r="AY4" s="145"/>
      <c r="AZ4" s="145"/>
      <c r="BA4" s="161"/>
    </row>
    <row r="5" spans="1:53" x14ac:dyDescent="0.35">
      <c r="A5" s="140" t="s">
        <v>69</v>
      </c>
      <c r="B5" s="150">
        <v>0.04</v>
      </c>
      <c r="C5" s="151">
        <v>0.04</v>
      </c>
      <c r="D5" s="151">
        <v>0.04</v>
      </c>
      <c r="E5" s="150">
        <v>0.04</v>
      </c>
      <c r="F5" s="151">
        <v>0.04</v>
      </c>
      <c r="G5" s="151">
        <v>0.04</v>
      </c>
      <c r="H5" s="150">
        <v>0.04</v>
      </c>
      <c r="I5" s="151">
        <v>0.04</v>
      </c>
      <c r="J5" s="151">
        <v>0.04</v>
      </c>
      <c r="K5" s="150">
        <v>0.04</v>
      </c>
      <c r="L5" s="151">
        <v>0.04</v>
      </c>
      <c r="M5" s="151">
        <v>0.04</v>
      </c>
      <c r="N5" s="150">
        <v>0.04</v>
      </c>
      <c r="O5" s="151">
        <v>0.04</v>
      </c>
      <c r="P5" s="151">
        <v>0.04</v>
      </c>
      <c r="Q5" s="150">
        <v>0.04</v>
      </c>
      <c r="R5" s="151">
        <v>0.04</v>
      </c>
      <c r="S5" s="151">
        <v>1.424E-7</v>
      </c>
      <c r="T5" s="150">
        <v>1.0972000000000001E-9</v>
      </c>
      <c r="U5" s="151">
        <v>9.6229000000000004E-11</v>
      </c>
      <c r="V5" s="151">
        <v>5.8271000000000005E-11</v>
      </c>
      <c r="W5" s="150">
        <v>2.1642E-12</v>
      </c>
      <c r="X5" s="151">
        <v>1.2818E-25</v>
      </c>
      <c r="Y5" s="151">
        <v>1.7417000000000001E-30</v>
      </c>
      <c r="Z5" s="150">
        <v>0</v>
      </c>
      <c r="AA5" s="151">
        <v>0</v>
      </c>
      <c r="AB5" s="151">
        <v>0</v>
      </c>
      <c r="AC5" s="150">
        <v>0</v>
      </c>
      <c r="AD5" s="151">
        <v>0</v>
      </c>
      <c r="AE5" s="151">
        <v>0</v>
      </c>
      <c r="AF5" s="150">
        <v>0</v>
      </c>
      <c r="AG5" s="151">
        <v>0</v>
      </c>
      <c r="AH5" s="151">
        <v>0</v>
      </c>
      <c r="AI5" s="150">
        <v>0</v>
      </c>
      <c r="AJ5" s="151">
        <v>0</v>
      </c>
      <c r="AK5" s="151">
        <v>0</v>
      </c>
      <c r="AL5" s="141"/>
      <c r="AM5" s="145"/>
      <c r="AN5" s="145"/>
      <c r="AO5" s="140"/>
      <c r="AP5" s="141"/>
      <c r="AQ5" s="145"/>
      <c r="AR5" s="145"/>
      <c r="AS5" s="140"/>
      <c r="AT5" s="141"/>
      <c r="AU5" s="145"/>
      <c r="AV5" s="145"/>
      <c r="AW5" s="140"/>
      <c r="AX5" s="141"/>
      <c r="AY5" s="145"/>
      <c r="AZ5" s="145"/>
      <c r="BA5" s="161"/>
    </row>
    <row r="6" spans="1:53" x14ac:dyDescent="0.35">
      <c r="A6" s="140" t="s">
        <v>65</v>
      </c>
      <c r="B6" s="150">
        <v>0</v>
      </c>
      <c r="C6" s="151">
        <v>0</v>
      </c>
      <c r="D6" s="151">
        <v>0</v>
      </c>
      <c r="E6" s="150">
        <v>0</v>
      </c>
      <c r="F6" s="151">
        <v>0</v>
      </c>
      <c r="G6" s="151">
        <v>0</v>
      </c>
      <c r="H6" s="150">
        <v>0</v>
      </c>
      <c r="I6" s="151">
        <v>0</v>
      </c>
      <c r="J6" s="151">
        <v>0</v>
      </c>
      <c r="K6" s="150">
        <v>0</v>
      </c>
      <c r="L6" s="151">
        <v>0</v>
      </c>
      <c r="M6" s="151">
        <v>0</v>
      </c>
      <c r="N6" s="150">
        <v>0</v>
      </c>
      <c r="O6" s="151">
        <v>0</v>
      </c>
      <c r="P6" s="151">
        <v>0</v>
      </c>
      <c r="Q6" s="150">
        <v>0</v>
      </c>
      <c r="R6" s="151">
        <v>0</v>
      </c>
      <c r="S6" s="151">
        <v>0</v>
      </c>
      <c r="T6" s="150">
        <v>0</v>
      </c>
      <c r="U6" s="151">
        <v>0</v>
      </c>
      <c r="V6" s="151">
        <v>0</v>
      </c>
      <c r="W6" s="150">
        <v>0</v>
      </c>
      <c r="X6" s="151">
        <v>1.1518E-26</v>
      </c>
      <c r="Y6" s="151">
        <v>7.3034000000000001E-24</v>
      </c>
      <c r="Z6" s="150">
        <v>1.4869000000000001E-21</v>
      </c>
      <c r="AA6" s="151">
        <v>3.3623999999999998E-20</v>
      </c>
      <c r="AB6" s="151">
        <v>1.6026E-18</v>
      </c>
      <c r="AC6" s="150">
        <v>1.9519E-19</v>
      </c>
      <c r="AD6" s="151">
        <v>5.4532999999999998E-9</v>
      </c>
      <c r="AE6" s="151">
        <v>7.5101000000000005E-8</v>
      </c>
      <c r="AF6" s="150">
        <v>1.0739E-7</v>
      </c>
      <c r="AG6" s="151">
        <v>5.0096000000000001E-8</v>
      </c>
      <c r="AH6" s="151">
        <v>3.4189000000000003E-8</v>
      </c>
      <c r="AI6" s="150">
        <v>2.7929999999999999E-8</v>
      </c>
      <c r="AJ6" s="151">
        <v>1.2218000000000001E-8</v>
      </c>
      <c r="AK6" s="151">
        <v>4.2837E-9</v>
      </c>
      <c r="AL6" s="145"/>
      <c r="AM6" s="145"/>
      <c r="AN6" s="145"/>
      <c r="AO6" s="140"/>
      <c r="AP6" s="141"/>
      <c r="AQ6" s="145"/>
      <c r="AR6" s="145"/>
      <c r="AS6" s="140"/>
      <c r="AT6" s="141"/>
      <c r="AU6" s="145"/>
      <c r="AV6" s="145"/>
      <c r="AW6" s="140"/>
      <c r="AX6" s="141"/>
      <c r="AY6" s="145"/>
      <c r="AZ6" s="145"/>
      <c r="BA6" s="161"/>
    </row>
    <row r="7" spans="1:53" x14ac:dyDescent="0.35">
      <c r="A7" s="140" t="s">
        <v>88</v>
      </c>
      <c r="B7" s="150">
        <v>0</v>
      </c>
      <c r="C7" s="151">
        <v>0</v>
      </c>
      <c r="D7" s="151">
        <v>0</v>
      </c>
      <c r="E7" s="150">
        <v>0</v>
      </c>
      <c r="F7" s="151">
        <v>0</v>
      </c>
      <c r="G7" s="151">
        <v>0</v>
      </c>
      <c r="H7" s="150">
        <v>0</v>
      </c>
      <c r="I7" s="151">
        <v>0</v>
      </c>
      <c r="J7" s="151">
        <v>0</v>
      </c>
      <c r="K7" s="150">
        <v>9.1062000000000004E-35</v>
      </c>
      <c r="L7" s="151">
        <v>0</v>
      </c>
      <c r="M7" s="151">
        <v>0</v>
      </c>
      <c r="N7" s="150">
        <v>0</v>
      </c>
      <c r="O7" s="151">
        <v>0</v>
      </c>
      <c r="P7" s="151">
        <v>2.7983E-34</v>
      </c>
      <c r="Q7" s="150">
        <v>0</v>
      </c>
      <c r="R7" s="151">
        <v>0</v>
      </c>
      <c r="S7" s="151">
        <v>0</v>
      </c>
      <c r="T7" s="150">
        <v>7.4050999999999994E-36</v>
      </c>
      <c r="U7" s="151">
        <v>2.9571999999999999E-22</v>
      </c>
      <c r="V7" s="151">
        <v>1.8627000000000001E-15</v>
      </c>
      <c r="W7" s="150">
        <v>3.2047E-13</v>
      </c>
      <c r="X7" s="151">
        <v>1.1559999999999999E-12</v>
      </c>
      <c r="Y7" s="151">
        <v>6.4177E-13</v>
      </c>
      <c r="Z7" s="150">
        <v>5.5436999999999999E-14</v>
      </c>
      <c r="AA7" s="151">
        <v>1.7165999999999999E-17</v>
      </c>
      <c r="AB7" s="151">
        <v>3.0215000000000002E-26</v>
      </c>
      <c r="AC7" s="150">
        <v>0</v>
      </c>
      <c r="AD7" s="151">
        <v>7.9163000000000003E-17</v>
      </c>
      <c r="AE7" s="151">
        <v>1.9423000000000001E-10</v>
      </c>
      <c r="AF7" s="150">
        <v>2.0087E-10</v>
      </c>
      <c r="AG7" s="151">
        <v>1.3303999999999999E-10</v>
      </c>
      <c r="AH7" s="151">
        <v>6.1639999999999996E-10</v>
      </c>
      <c r="AI7" s="150">
        <v>2.6624999999999999E-9</v>
      </c>
      <c r="AJ7" s="151">
        <v>4.5917000000000002E-9</v>
      </c>
      <c r="AK7" s="151">
        <v>8.7147999999999997E-9</v>
      </c>
      <c r="AL7" s="141"/>
      <c r="AM7" s="145"/>
      <c r="AN7" s="145"/>
      <c r="AO7" s="140"/>
      <c r="AP7" s="141"/>
      <c r="AQ7" s="145"/>
      <c r="AR7" s="145"/>
      <c r="AS7" s="140"/>
      <c r="AT7" s="141"/>
      <c r="AU7" s="145"/>
      <c r="AV7" s="145"/>
      <c r="AW7" s="140"/>
      <c r="AX7" s="141"/>
      <c r="AY7" s="145"/>
      <c r="AZ7" s="145"/>
      <c r="BA7" s="163"/>
    </row>
    <row r="8" spans="1:53" x14ac:dyDescent="0.35">
      <c r="A8" s="140" t="s">
        <v>51</v>
      </c>
      <c r="B8" s="150">
        <v>0</v>
      </c>
      <c r="C8" s="151">
        <v>0</v>
      </c>
      <c r="D8" s="151">
        <v>0</v>
      </c>
      <c r="E8" s="150">
        <v>0</v>
      </c>
      <c r="F8" s="151">
        <v>0</v>
      </c>
      <c r="G8" s="151">
        <v>0</v>
      </c>
      <c r="H8" s="150">
        <v>0</v>
      </c>
      <c r="I8" s="151">
        <v>0</v>
      </c>
      <c r="J8" s="151">
        <v>0</v>
      </c>
      <c r="K8" s="150">
        <v>9.6539999999999995E-15</v>
      </c>
      <c r="L8" s="151">
        <v>2.215E-16</v>
      </c>
      <c r="M8" s="151">
        <v>5.8126E-28</v>
      </c>
      <c r="N8" s="150">
        <v>0</v>
      </c>
      <c r="O8" s="151">
        <v>4.9714999999999998E-17</v>
      </c>
      <c r="P8" s="151">
        <v>1.165E-9</v>
      </c>
      <c r="Q8" s="150">
        <v>9.8125999999999998E-9</v>
      </c>
      <c r="R8" s="151">
        <v>1.4137E-7</v>
      </c>
      <c r="S8" s="151">
        <v>0.08</v>
      </c>
      <c r="T8" s="150">
        <v>0.08</v>
      </c>
      <c r="U8" s="151">
        <v>0.08</v>
      </c>
      <c r="V8" s="151">
        <v>0.08</v>
      </c>
      <c r="W8" s="150">
        <v>0.08</v>
      </c>
      <c r="X8" s="151">
        <v>0.08</v>
      </c>
      <c r="Y8" s="151">
        <v>0.08</v>
      </c>
      <c r="Z8" s="150">
        <v>0.08</v>
      </c>
      <c r="AA8" s="151">
        <v>0.08</v>
      </c>
      <c r="AB8" s="151">
        <v>0.08</v>
      </c>
      <c r="AC8" s="150">
        <v>1.7325999999999999E-3</v>
      </c>
      <c r="AD8" s="151">
        <v>8.9316000000000001E-9</v>
      </c>
      <c r="AE8" s="151">
        <v>4.5513000000000001E-10</v>
      </c>
      <c r="AF8" s="150">
        <v>1.2547E-14</v>
      </c>
      <c r="AG8" s="151">
        <v>0</v>
      </c>
      <c r="AH8" s="151">
        <v>0</v>
      </c>
      <c r="AI8" s="150">
        <v>0</v>
      </c>
      <c r="AJ8" s="151">
        <v>0</v>
      </c>
      <c r="AK8" s="151">
        <v>0</v>
      </c>
      <c r="AL8" s="141"/>
      <c r="AM8" s="145"/>
      <c r="AN8" s="145"/>
      <c r="AO8" s="140"/>
      <c r="AP8" s="141"/>
      <c r="AQ8" s="145"/>
      <c r="AR8" s="145"/>
      <c r="AS8" s="140"/>
      <c r="AT8" s="145"/>
      <c r="AU8" s="145"/>
      <c r="AV8" s="145"/>
      <c r="AW8" s="140"/>
      <c r="AX8" s="141"/>
      <c r="AY8" s="145"/>
      <c r="AZ8" s="145"/>
      <c r="BA8" s="161"/>
    </row>
    <row r="9" spans="1:53" x14ac:dyDescent="0.35">
      <c r="A9" s="140" t="s">
        <v>67</v>
      </c>
      <c r="B9" s="150">
        <v>0.12</v>
      </c>
      <c r="C9" s="151">
        <v>0.12</v>
      </c>
      <c r="D9" s="151">
        <v>0.12</v>
      </c>
      <c r="E9" s="150">
        <v>0.12</v>
      </c>
      <c r="F9" s="151">
        <v>0.12</v>
      </c>
      <c r="G9" s="151">
        <v>0.12</v>
      </c>
      <c r="H9" s="150">
        <v>0.12</v>
      </c>
      <c r="I9" s="151">
        <v>0.24</v>
      </c>
      <c r="J9" s="151">
        <v>0.24</v>
      </c>
      <c r="K9" s="150">
        <v>0.24</v>
      </c>
      <c r="L9" s="151">
        <v>0.24</v>
      </c>
      <c r="M9" s="151">
        <v>0.24</v>
      </c>
      <c r="N9" s="152">
        <v>1.9229999999999999E-7</v>
      </c>
      <c r="O9" s="153">
        <v>4.4481999999999996E-9</v>
      </c>
      <c r="P9" s="153">
        <v>6.2589000000000005E-11</v>
      </c>
      <c r="Q9" s="150">
        <v>6.6348000000000001E-22</v>
      </c>
      <c r="R9" s="151">
        <v>0</v>
      </c>
      <c r="S9" s="151">
        <v>0</v>
      </c>
      <c r="T9" s="150">
        <v>0</v>
      </c>
      <c r="U9" s="151">
        <v>1.8674999999999999E-26</v>
      </c>
      <c r="V9" s="151">
        <v>7.2121999999999998E-21</v>
      </c>
      <c r="W9" s="152">
        <v>1.0888999999999999E-20</v>
      </c>
      <c r="X9" s="153">
        <v>1.1313999999999999E-34</v>
      </c>
      <c r="Y9" s="153">
        <v>0</v>
      </c>
      <c r="Z9" s="150">
        <v>0</v>
      </c>
      <c r="AA9" s="151">
        <v>0</v>
      </c>
      <c r="AB9" s="151">
        <v>0</v>
      </c>
      <c r="AC9" s="150">
        <v>0</v>
      </c>
      <c r="AD9" s="151">
        <v>0</v>
      </c>
      <c r="AE9" s="151">
        <v>0</v>
      </c>
      <c r="AF9" s="150">
        <v>0</v>
      </c>
      <c r="AG9" s="151">
        <v>0</v>
      </c>
      <c r="AH9" s="151">
        <v>0</v>
      </c>
      <c r="AI9" s="150">
        <v>0</v>
      </c>
      <c r="AJ9" s="151">
        <v>0</v>
      </c>
      <c r="AK9" s="151">
        <v>0</v>
      </c>
      <c r="AL9" s="141"/>
      <c r="AM9" s="145"/>
      <c r="AN9" s="145"/>
      <c r="AO9" s="140"/>
      <c r="AP9" s="141"/>
      <c r="AQ9" s="145"/>
      <c r="AR9" s="145"/>
      <c r="AS9" s="140"/>
      <c r="AT9" s="141"/>
      <c r="AU9" s="145"/>
      <c r="AV9" s="145"/>
      <c r="AW9" s="140"/>
      <c r="AX9" s="141"/>
      <c r="AY9" s="145"/>
      <c r="AZ9" s="145"/>
      <c r="BA9" s="163"/>
    </row>
    <row r="10" spans="1:53" x14ac:dyDescent="0.35">
      <c r="A10" s="146" t="s">
        <v>62</v>
      </c>
      <c r="B10" s="152">
        <v>0</v>
      </c>
      <c r="C10" s="153">
        <v>0</v>
      </c>
      <c r="D10" s="153">
        <v>0</v>
      </c>
      <c r="E10" s="152">
        <v>0</v>
      </c>
      <c r="F10" s="153">
        <v>0</v>
      </c>
      <c r="G10" s="153">
        <v>0</v>
      </c>
      <c r="H10" s="152">
        <v>0</v>
      </c>
      <c r="I10" s="153">
        <v>0</v>
      </c>
      <c r="J10" s="153">
        <v>0</v>
      </c>
      <c r="K10" s="152">
        <v>6.7158000000000004E-32</v>
      </c>
      <c r="L10" s="153">
        <v>7.8559999999999994E-30</v>
      </c>
      <c r="M10" s="153">
        <v>6.8758000000000001E-28</v>
      </c>
      <c r="N10" s="153">
        <v>4.6262E-26</v>
      </c>
      <c r="O10" s="153">
        <v>2.4502999999999999E-24</v>
      </c>
      <c r="P10" s="153">
        <v>1.0432999999999999E-22</v>
      </c>
      <c r="Q10" s="152">
        <v>3.6384000000000001E-21</v>
      </c>
      <c r="R10" s="153">
        <v>1.0564E-19</v>
      </c>
      <c r="S10" s="153">
        <v>2.1632000000000002E-18</v>
      </c>
      <c r="T10" s="152">
        <v>2.2930999999999999E-17</v>
      </c>
      <c r="U10" s="153">
        <v>2.164E-16</v>
      </c>
      <c r="V10" s="153">
        <v>1.8337999999999999E-15</v>
      </c>
      <c r="W10" s="152">
        <v>1.4064E-14</v>
      </c>
      <c r="X10" s="153">
        <v>2.0505000000000001E-11</v>
      </c>
      <c r="Y10" s="153">
        <v>1.0499E-10</v>
      </c>
      <c r="Z10" s="152">
        <v>5.0348E-10</v>
      </c>
      <c r="AA10" s="153">
        <v>2.2703999999999999E-9</v>
      </c>
      <c r="AB10" s="153">
        <v>9.6634000000000004E-9</v>
      </c>
      <c r="AC10" s="152">
        <v>3.7783000000000002E-8</v>
      </c>
      <c r="AD10" s="153">
        <v>3.7529999999999999E-8</v>
      </c>
      <c r="AE10" s="153">
        <v>3.6855000000000001E-8</v>
      </c>
      <c r="AF10" s="152">
        <v>3.5753999999999997E-8</v>
      </c>
      <c r="AG10" s="153">
        <v>2.8010999999999999E-8</v>
      </c>
      <c r="AH10" s="153">
        <v>2.5524999999999999E-8</v>
      </c>
      <c r="AI10" s="152">
        <v>2.2941E-8</v>
      </c>
      <c r="AJ10" s="153">
        <v>2.0319999999999999E-8</v>
      </c>
      <c r="AK10" s="153">
        <v>1.7716999999999999E-8</v>
      </c>
      <c r="AL10" s="166"/>
      <c r="AM10" s="167"/>
      <c r="AN10" s="167"/>
      <c r="AO10" s="146"/>
      <c r="AP10" s="166"/>
      <c r="AQ10" s="167"/>
      <c r="AR10" s="167"/>
      <c r="AS10" s="146"/>
      <c r="AT10" s="166"/>
      <c r="AU10" s="167"/>
      <c r="AV10" s="167"/>
      <c r="AW10" s="146"/>
      <c r="AX10" s="166"/>
      <c r="AY10" s="167"/>
      <c r="AZ10" s="167"/>
      <c r="BA10" s="168"/>
    </row>
    <row r="11" spans="1:53" x14ac:dyDescent="0.35">
      <c r="A11" s="146" t="s">
        <v>1</v>
      </c>
      <c r="B11" s="152">
        <v>0.2</v>
      </c>
      <c r="C11" s="153">
        <v>0.2</v>
      </c>
      <c r="D11" s="153">
        <v>0.2</v>
      </c>
      <c r="E11" s="152">
        <v>0.2</v>
      </c>
      <c r="F11" s="153">
        <v>0.2</v>
      </c>
      <c r="G11" s="153">
        <v>0.2</v>
      </c>
      <c r="H11" s="152">
        <v>0.2</v>
      </c>
      <c r="I11" s="153">
        <v>0.2</v>
      </c>
      <c r="J11" s="153">
        <v>0.2</v>
      </c>
      <c r="K11" s="152">
        <v>0.2</v>
      </c>
      <c r="L11" s="153">
        <v>0.2</v>
      </c>
      <c r="M11" s="153">
        <v>0.2</v>
      </c>
      <c r="N11" s="152">
        <v>0.2</v>
      </c>
      <c r="O11" s="153">
        <v>0.2</v>
      </c>
      <c r="P11" s="153">
        <v>0.2</v>
      </c>
      <c r="Q11" s="152">
        <v>0.2</v>
      </c>
      <c r="R11" s="153">
        <v>0.2</v>
      </c>
      <c r="S11" s="153">
        <v>0.2</v>
      </c>
      <c r="T11" s="152">
        <v>0.2</v>
      </c>
      <c r="U11" s="153">
        <v>0.2</v>
      </c>
      <c r="V11" s="153">
        <v>0.2</v>
      </c>
      <c r="W11" s="152">
        <v>0.2</v>
      </c>
      <c r="X11" s="153">
        <v>0.2</v>
      </c>
      <c r="Y11" s="153">
        <v>0.2</v>
      </c>
      <c r="Z11" s="152">
        <v>0.2</v>
      </c>
      <c r="AA11" s="153">
        <v>0.2</v>
      </c>
      <c r="AB11" s="153">
        <v>0.2</v>
      </c>
      <c r="AC11" s="152">
        <v>0.2</v>
      </c>
      <c r="AD11" s="153">
        <v>0.2</v>
      </c>
      <c r="AE11" s="153">
        <v>0.2</v>
      </c>
      <c r="AF11" s="152">
        <v>0.2</v>
      </c>
      <c r="AG11" s="153">
        <v>0.2</v>
      </c>
      <c r="AH11" s="153">
        <v>0.2</v>
      </c>
      <c r="AI11" s="152">
        <v>0.2</v>
      </c>
      <c r="AJ11" s="153">
        <v>0.2</v>
      </c>
      <c r="AK11" s="153">
        <v>0.2</v>
      </c>
      <c r="AL11" s="166"/>
      <c r="AM11" s="167"/>
      <c r="AN11" s="167"/>
      <c r="AO11" s="146"/>
      <c r="AP11" s="166"/>
      <c r="AQ11" s="167"/>
      <c r="AR11" s="167"/>
      <c r="AS11" s="146"/>
      <c r="AT11" s="166"/>
      <c r="AU11" s="167"/>
      <c r="AV11" s="167"/>
      <c r="AW11" s="146"/>
      <c r="AX11" s="166"/>
      <c r="AY11" s="167"/>
      <c r="AZ11" s="167"/>
      <c r="BA11" s="169"/>
    </row>
    <row r="12" spans="1:53" x14ac:dyDescent="0.35">
      <c r="A12" s="140" t="s">
        <v>89</v>
      </c>
      <c r="B12" s="150">
        <v>0</v>
      </c>
      <c r="C12" s="151">
        <v>0</v>
      </c>
      <c r="D12" s="151">
        <v>0</v>
      </c>
      <c r="E12" s="152">
        <v>0</v>
      </c>
      <c r="F12" s="153">
        <v>0</v>
      </c>
      <c r="G12" s="153">
        <v>0</v>
      </c>
      <c r="H12" s="150">
        <v>0</v>
      </c>
      <c r="I12" s="151">
        <v>0</v>
      </c>
      <c r="J12" s="151">
        <v>0</v>
      </c>
      <c r="K12" s="150">
        <v>9.2753999999999991E-22</v>
      </c>
      <c r="L12" s="151">
        <v>1.2598000000000001E-23</v>
      </c>
      <c r="M12" s="151">
        <v>0</v>
      </c>
      <c r="N12" s="150">
        <v>0</v>
      </c>
      <c r="O12" s="151">
        <v>1.075E-35</v>
      </c>
      <c r="P12" s="151">
        <v>5.1984999999999998E-28</v>
      </c>
      <c r="Q12" s="150">
        <v>0</v>
      </c>
      <c r="R12" s="151">
        <v>0</v>
      </c>
      <c r="S12" s="151">
        <v>0</v>
      </c>
      <c r="T12" s="152">
        <v>1.518E-34</v>
      </c>
      <c r="U12" s="153">
        <v>1.1489999999999999E-21</v>
      </c>
      <c r="V12" s="153">
        <v>4.4020000000000001E-15</v>
      </c>
      <c r="W12" s="150">
        <v>7.4308E-13</v>
      </c>
      <c r="X12" s="151">
        <v>4.3881999999999999E-11</v>
      </c>
      <c r="Y12" s="151">
        <v>1.8361E-10</v>
      </c>
      <c r="Z12" s="150">
        <v>6.8502999999999996E-10</v>
      </c>
      <c r="AA12" s="151">
        <v>1.3372000000000001E-9</v>
      </c>
      <c r="AB12" s="151">
        <v>2.3686999999999999E-8</v>
      </c>
      <c r="AC12" s="150">
        <v>7.8268000000000004E-2</v>
      </c>
      <c r="AD12" s="151">
        <v>0.08</v>
      </c>
      <c r="AE12" s="151">
        <v>0.08</v>
      </c>
      <c r="AF12" s="150">
        <v>0.08</v>
      </c>
      <c r="AG12" s="151">
        <v>0.08</v>
      </c>
      <c r="AH12" s="151">
        <v>0.08</v>
      </c>
      <c r="AI12" s="150">
        <v>0.08</v>
      </c>
      <c r="AJ12" s="151">
        <v>0.08</v>
      </c>
      <c r="AK12" s="151">
        <v>0.08</v>
      </c>
      <c r="AL12" s="166"/>
      <c r="AM12" s="167"/>
      <c r="AN12" s="167"/>
      <c r="AO12" s="140"/>
      <c r="AP12" s="141"/>
      <c r="AQ12" s="145"/>
      <c r="AR12" s="145"/>
      <c r="AS12" s="140"/>
      <c r="AT12" s="141"/>
      <c r="AU12" s="145"/>
      <c r="AV12" s="145"/>
      <c r="AW12" s="140"/>
      <c r="AX12" s="141"/>
      <c r="AY12" s="145"/>
      <c r="AZ12" s="145"/>
      <c r="BA12" s="170"/>
    </row>
    <row r="13" spans="1:53" x14ac:dyDescent="0.35">
      <c r="A13" s="140" t="s">
        <v>75</v>
      </c>
      <c r="B13" s="150">
        <v>1.1339999999999999E-28</v>
      </c>
      <c r="C13" s="151">
        <v>9.9659000000000007E-27</v>
      </c>
      <c r="D13" s="151">
        <v>5.6602000000000001E-25</v>
      </c>
      <c r="E13" s="150">
        <v>1.4090999999999999E-32</v>
      </c>
      <c r="F13" s="151">
        <v>0</v>
      </c>
      <c r="G13" s="151">
        <v>1.0263000000000001E-30</v>
      </c>
      <c r="H13" s="150">
        <v>0</v>
      </c>
      <c r="I13" s="151">
        <v>0</v>
      </c>
      <c r="J13" s="151">
        <v>4.1975999999999999E-33</v>
      </c>
      <c r="K13" s="150">
        <v>4.9404000000000002E-12</v>
      </c>
      <c r="L13" s="151">
        <v>9.5248999999999998E-15</v>
      </c>
      <c r="M13" s="151">
        <v>5.3538E-29</v>
      </c>
      <c r="N13" s="150">
        <v>0</v>
      </c>
      <c r="O13" s="151">
        <v>1.6988000000000001E-29</v>
      </c>
      <c r="P13" s="151">
        <v>8.8894000000000001E-23</v>
      </c>
      <c r="Q13" s="150">
        <v>1.7912000000000001E-34</v>
      </c>
      <c r="R13" s="151">
        <v>0</v>
      </c>
      <c r="S13" s="151">
        <v>0</v>
      </c>
      <c r="T13" s="150">
        <v>1.4560999999999999E-32</v>
      </c>
      <c r="U13" s="151">
        <v>2.6026E-20</v>
      </c>
      <c r="V13" s="151">
        <v>2.4966000000000001E-14</v>
      </c>
      <c r="W13" s="150">
        <v>1.1142E-12</v>
      </c>
      <c r="X13" s="151">
        <v>5.1652E-13</v>
      </c>
      <c r="Y13" s="151">
        <v>7.1352999999999999E-13</v>
      </c>
      <c r="Z13" s="150">
        <v>9.1139000000000002E-13</v>
      </c>
      <c r="AA13" s="151">
        <v>6.3024000000000005E-13</v>
      </c>
      <c r="AB13" s="151">
        <v>4.0841999999999999E-12</v>
      </c>
      <c r="AC13" s="150">
        <v>5.1673999999999999E-6</v>
      </c>
      <c r="AD13" s="151">
        <v>4.0241000000000001E-6</v>
      </c>
      <c r="AE13" s="151">
        <v>3.0925999999999998E-6</v>
      </c>
      <c r="AF13" s="150">
        <v>2.3978000000000001E-6</v>
      </c>
      <c r="AG13" s="151">
        <v>9.4526999999999999E-7</v>
      </c>
      <c r="AH13" s="151">
        <v>7.6555999999999998E-7</v>
      </c>
      <c r="AI13" s="150">
        <v>6.2565999999999995E-7</v>
      </c>
      <c r="AJ13" s="151">
        <v>5.1615000000000003E-7</v>
      </c>
      <c r="AK13" s="151">
        <v>4.3001999999999998E-7</v>
      </c>
      <c r="AL13" s="145"/>
      <c r="AM13" s="145"/>
      <c r="AN13" s="145"/>
      <c r="AO13" s="140"/>
      <c r="AP13" s="141"/>
      <c r="AQ13" s="145"/>
      <c r="AR13" s="145"/>
      <c r="AS13" s="140"/>
      <c r="AT13" s="141"/>
      <c r="AU13" s="145"/>
      <c r="AV13" s="145"/>
      <c r="AW13" s="140"/>
      <c r="AX13" s="141"/>
      <c r="AY13" s="145"/>
      <c r="AZ13" s="145"/>
      <c r="BA13" s="161"/>
    </row>
    <row r="14" spans="1:53" x14ac:dyDescent="0.35">
      <c r="A14" s="140" t="s">
        <v>73</v>
      </c>
      <c r="B14" s="150">
        <v>2.1403999999999999E-36</v>
      </c>
      <c r="C14" s="151">
        <v>5.2692999999999997E-34</v>
      </c>
      <c r="D14" s="151">
        <v>7.4656999999999998E-32</v>
      </c>
      <c r="E14" s="150">
        <v>0</v>
      </c>
      <c r="F14" s="151">
        <v>0</v>
      </c>
      <c r="G14" s="151">
        <v>8.2000999999999998E-36</v>
      </c>
      <c r="H14" s="152">
        <v>0</v>
      </c>
      <c r="I14" s="153">
        <v>0</v>
      </c>
      <c r="J14" s="153">
        <v>0</v>
      </c>
      <c r="K14" s="150">
        <v>4.0425999999999999E-14</v>
      </c>
      <c r="L14" s="151">
        <v>1.9737999999999999E-16</v>
      </c>
      <c r="M14" s="151">
        <v>2.6717E-30</v>
      </c>
      <c r="N14" s="150">
        <v>0</v>
      </c>
      <c r="O14" s="151">
        <v>4.3027000000000003E-30</v>
      </c>
      <c r="P14" s="151">
        <v>4.7812000000000001E-23</v>
      </c>
      <c r="Q14" s="150">
        <v>1.9754E-34</v>
      </c>
      <c r="R14" s="151">
        <v>0</v>
      </c>
      <c r="S14" s="151">
        <v>0</v>
      </c>
      <c r="T14" s="150">
        <v>1.1523E-31</v>
      </c>
      <c r="U14" s="151">
        <v>3.7651999999999999E-19</v>
      </c>
      <c r="V14" s="151">
        <v>6.4488999999999999E-13</v>
      </c>
      <c r="W14" s="150">
        <v>5.0274E-11</v>
      </c>
      <c r="X14" s="151">
        <v>1.7922E-10</v>
      </c>
      <c r="Y14" s="151">
        <v>3.954E-10</v>
      </c>
      <c r="Z14" s="150">
        <v>7.9486999999999997E-10</v>
      </c>
      <c r="AA14" s="151">
        <v>8.5324000000000004E-10</v>
      </c>
      <c r="AB14" s="151">
        <v>8.4726999999999995E-9</v>
      </c>
      <c r="AC14" s="150">
        <v>1.6226000000000001E-2</v>
      </c>
      <c r="AD14" s="151">
        <v>1.8908999999999999E-2</v>
      </c>
      <c r="AE14" s="151">
        <v>2.1510000000000001E-2</v>
      </c>
      <c r="AF14" s="150">
        <v>2.4433E-2</v>
      </c>
      <c r="AG14" s="151">
        <v>4.0459000000000002E-2</v>
      </c>
      <c r="AH14" s="151">
        <v>4.5946000000000001E-2</v>
      </c>
      <c r="AI14" s="150">
        <v>5.2259E-2</v>
      </c>
      <c r="AJ14" s="151">
        <v>5.9575000000000003E-2</v>
      </c>
      <c r="AK14" s="151">
        <v>6.8126000000000006E-2</v>
      </c>
      <c r="AL14" s="141"/>
      <c r="AM14" s="145"/>
      <c r="AN14" s="145"/>
      <c r="AO14" s="140"/>
      <c r="AP14" s="141"/>
      <c r="AQ14" s="145"/>
      <c r="AR14" s="145"/>
      <c r="AS14" s="140"/>
      <c r="AT14" s="141"/>
      <c r="AU14" s="145"/>
      <c r="AV14" s="145"/>
      <c r="AW14" s="140"/>
      <c r="AX14" s="141"/>
      <c r="AY14" s="145"/>
      <c r="AZ14" s="145"/>
      <c r="BA14" s="163"/>
    </row>
    <row r="15" spans="1:53" x14ac:dyDescent="0.35">
      <c r="A15" s="140" t="s">
        <v>52</v>
      </c>
      <c r="B15" s="150">
        <v>-18.62</v>
      </c>
      <c r="C15" s="151">
        <v>-18.61</v>
      </c>
      <c r="D15" s="151">
        <v>-18.61</v>
      </c>
      <c r="E15" s="150">
        <v>-18.62</v>
      </c>
      <c r="F15" s="151">
        <v>-18.63</v>
      </c>
      <c r="G15" s="151">
        <v>-18.649999999999999</v>
      </c>
      <c r="H15" s="150">
        <v>-18.670000000000002</v>
      </c>
      <c r="I15" s="151">
        <v>-18.690000000000001</v>
      </c>
      <c r="J15" s="151">
        <v>-18.72</v>
      </c>
      <c r="K15" s="150">
        <v>-18.84</v>
      </c>
      <c r="L15" s="151">
        <v>-18.87</v>
      </c>
      <c r="M15" s="151">
        <v>-18.899999999999999</v>
      </c>
      <c r="N15" s="150">
        <v>-18.940000000000001</v>
      </c>
      <c r="O15" s="151">
        <v>-18.97</v>
      </c>
      <c r="P15" s="151">
        <v>-19.010000000000002</v>
      </c>
      <c r="Q15" s="150">
        <v>-19.04</v>
      </c>
      <c r="R15" s="151">
        <v>-19.07</v>
      </c>
      <c r="S15" s="151">
        <v>-19.11</v>
      </c>
      <c r="T15" s="150">
        <v>-19.14</v>
      </c>
      <c r="U15" s="151">
        <v>-19.18</v>
      </c>
      <c r="V15" s="151">
        <v>-19.21</v>
      </c>
      <c r="W15" s="150">
        <v>-19.25</v>
      </c>
      <c r="X15" s="151">
        <v>-19.38</v>
      </c>
      <c r="Y15" s="151">
        <v>-19.420000000000002</v>
      </c>
      <c r="Z15" s="150">
        <v>-19.45</v>
      </c>
      <c r="AA15" s="151">
        <v>-19.48</v>
      </c>
      <c r="AB15" s="151">
        <v>-19.510000000000002</v>
      </c>
      <c r="AC15" s="150">
        <v>-19.55</v>
      </c>
      <c r="AD15" s="151">
        <v>-19.579999999999998</v>
      </c>
      <c r="AE15" s="151">
        <v>-19.61</v>
      </c>
      <c r="AF15" s="150">
        <v>-19.64</v>
      </c>
      <c r="AG15" s="151">
        <v>-19.760000000000002</v>
      </c>
      <c r="AH15" s="151">
        <v>-19.79</v>
      </c>
      <c r="AI15" s="150">
        <v>-19.82</v>
      </c>
      <c r="AJ15" s="151">
        <v>-19.850000000000001</v>
      </c>
      <c r="AK15" s="151">
        <v>-19.88</v>
      </c>
      <c r="AL15" s="141"/>
      <c r="AM15" s="145"/>
      <c r="AN15" s="145"/>
      <c r="AO15" s="140"/>
      <c r="AP15" s="141"/>
      <c r="AQ15" s="145"/>
      <c r="AR15" s="145"/>
      <c r="AS15" s="140"/>
      <c r="AT15" s="141"/>
      <c r="AU15" s="145"/>
      <c r="AV15" s="145"/>
      <c r="AW15" s="140"/>
      <c r="AX15" s="141"/>
      <c r="AY15" s="145"/>
      <c r="AZ15" s="145"/>
      <c r="BA15" s="161"/>
    </row>
    <row r="16" spans="1:53" x14ac:dyDescent="0.35">
      <c r="A16" s="140" t="s">
        <v>63</v>
      </c>
      <c r="B16" s="150">
        <v>-64.92</v>
      </c>
      <c r="C16" s="151">
        <v>-61.45</v>
      </c>
      <c r="D16" s="151">
        <v>-58.36</v>
      </c>
      <c r="E16" s="150">
        <v>-55.6</v>
      </c>
      <c r="F16" s="151">
        <v>-53.11</v>
      </c>
      <c r="G16" s="151">
        <v>-48.02</v>
      </c>
      <c r="H16" s="150">
        <v>-46.01</v>
      </c>
      <c r="I16" s="151">
        <v>-43.86</v>
      </c>
      <c r="J16" s="151">
        <v>-40.98</v>
      </c>
      <c r="K16" s="150">
        <v>-31.32</v>
      </c>
      <c r="L16" s="151">
        <v>-29.28</v>
      </c>
      <c r="M16" s="151">
        <v>-27.35</v>
      </c>
      <c r="N16" s="150">
        <v>-25.53</v>
      </c>
      <c r="O16" s="151">
        <v>-23.81</v>
      </c>
      <c r="P16" s="151">
        <v>-22.18</v>
      </c>
      <c r="Q16" s="150">
        <v>-20.63</v>
      </c>
      <c r="R16" s="151">
        <v>-19.16</v>
      </c>
      <c r="S16" s="151">
        <v>-17.850000000000001</v>
      </c>
      <c r="T16" s="150">
        <v>-16.850000000000001</v>
      </c>
      <c r="U16" s="151">
        <v>-15.9</v>
      </c>
      <c r="V16" s="151">
        <v>-15</v>
      </c>
      <c r="W16" s="150">
        <v>-14.13</v>
      </c>
      <c r="X16" s="151">
        <v>-11</v>
      </c>
      <c r="Y16" s="151">
        <v>-10.29</v>
      </c>
      <c r="Z16" s="150">
        <v>-9.6059999999999999</v>
      </c>
      <c r="AA16" s="151">
        <v>-8.9480000000000004</v>
      </c>
      <c r="AB16" s="151">
        <v>-8.3130000000000006</v>
      </c>
      <c r="AC16" s="150">
        <v>-7.7149999999999999</v>
      </c>
      <c r="AD16" s="151">
        <v>-7.7969999999999997</v>
      </c>
      <c r="AE16" s="151">
        <v>-7.8789999999999996</v>
      </c>
      <c r="AF16" s="150">
        <v>-7.9630000000000001</v>
      </c>
      <c r="AG16" s="151">
        <v>-8.3190000000000008</v>
      </c>
      <c r="AH16" s="151">
        <v>-8.4149999999999991</v>
      </c>
      <c r="AI16" s="150">
        <v>-8.5139999999999993</v>
      </c>
      <c r="AJ16" s="151">
        <v>-8.6180000000000003</v>
      </c>
      <c r="AK16" s="151">
        <v>-8.7260000000000009</v>
      </c>
      <c r="AL16" s="141"/>
      <c r="AM16" s="145"/>
      <c r="AN16" s="145"/>
      <c r="AO16" s="140"/>
      <c r="AP16" s="141"/>
      <c r="AQ16" s="145"/>
      <c r="AR16" s="145"/>
      <c r="AS16" s="140"/>
      <c r="AT16" s="141"/>
      <c r="AU16" s="145"/>
      <c r="AV16" s="145"/>
      <c r="AW16" s="140"/>
      <c r="AX16" s="141"/>
      <c r="AY16" s="145"/>
      <c r="AZ16" s="145"/>
      <c r="BA16" s="171"/>
    </row>
    <row r="17" spans="1:53" x14ac:dyDescent="0.35">
      <c r="A17" s="140" t="s">
        <v>53</v>
      </c>
      <c r="B17" s="150">
        <v>-15.86</v>
      </c>
      <c r="C17" s="151">
        <v>-15.23</v>
      </c>
      <c r="D17" s="151">
        <v>-14.68</v>
      </c>
      <c r="E17" s="150">
        <v>-14.19</v>
      </c>
      <c r="F17" s="151">
        <v>-13.76</v>
      </c>
      <c r="G17" s="151">
        <v>-11.49</v>
      </c>
      <c r="H17" s="150">
        <v>-11.16</v>
      </c>
      <c r="I17" s="151">
        <v>-10.67</v>
      </c>
      <c r="J17" s="151">
        <v>-9.6129999999999995</v>
      </c>
      <c r="K17" s="150">
        <v>-6.0380000000000003</v>
      </c>
      <c r="L17" s="151">
        <v>-5.2729999999999997</v>
      </c>
      <c r="M17" s="151">
        <v>-4.55</v>
      </c>
      <c r="N17" s="150">
        <v>-4.1150000000000002</v>
      </c>
      <c r="O17" s="151">
        <v>-4.1550000000000002</v>
      </c>
      <c r="P17" s="151">
        <v>-4.1950000000000003</v>
      </c>
      <c r="Q17" s="150">
        <v>-4.2359999999999998</v>
      </c>
      <c r="R17" s="151">
        <v>-4.2759999999999998</v>
      </c>
      <c r="S17" s="151">
        <v>-4.3170000000000002</v>
      </c>
      <c r="T17" s="150">
        <v>-4.3579999999999997</v>
      </c>
      <c r="U17" s="151">
        <v>-4.399</v>
      </c>
      <c r="V17" s="151">
        <v>-4.4400000000000004</v>
      </c>
      <c r="W17" s="150">
        <v>-4.4809999999999999</v>
      </c>
      <c r="X17" s="151">
        <v>-4.6429999999999998</v>
      </c>
      <c r="Y17" s="151">
        <v>-4.6829999999999998</v>
      </c>
      <c r="Z17" s="150">
        <v>-4.7220000000000004</v>
      </c>
      <c r="AA17" s="151">
        <v>-4.7619999999999996</v>
      </c>
      <c r="AB17" s="151">
        <v>-4.8010000000000002</v>
      </c>
      <c r="AC17" s="150">
        <v>-4.84</v>
      </c>
      <c r="AD17" s="151">
        <v>-4.8780000000000001</v>
      </c>
      <c r="AE17" s="151">
        <v>-4.9169999999999998</v>
      </c>
      <c r="AF17" s="150">
        <v>-4.9550000000000001</v>
      </c>
      <c r="AG17" s="151">
        <v>-5.1040000000000001</v>
      </c>
      <c r="AH17" s="151">
        <v>-5.141</v>
      </c>
      <c r="AI17" s="150">
        <v>-5.1769999999999996</v>
      </c>
      <c r="AJ17" s="151">
        <v>-5.2130000000000001</v>
      </c>
      <c r="AK17" s="151">
        <v>-5.2489999999999997</v>
      </c>
      <c r="AL17" s="141"/>
      <c r="AM17" s="145"/>
      <c r="AN17" s="145"/>
      <c r="AO17" s="140"/>
      <c r="AP17" s="141"/>
      <c r="AQ17" s="145"/>
      <c r="AR17" s="145"/>
      <c r="AS17" s="140"/>
      <c r="AT17" s="141"/>
      <c r="AU17" s="145"/>
      <c r="AV17" s="145"/>
      <c r="AW17" s="140"/>
      <c r="AX17" s="141"/>
      <c r="AY17" s="145"/>
      <c r="AZ17" s="145"/>
      <c r="BA17" s="161"/>
    </row>
    <row r="18" spans="1:53" x14ac:dyDescent="0.35">
      <c r="A18" s="140" t="s">
        <v>64</v>
      </c>
      <c r="B18" s="150">
        <v>-23.95</v>
      </c>
      <c r="C18" s="151">
        <v>-22.83</v>
      </c>
      <c r="D18" s="151">
        <v>-21.83</v>
      </c>
      <c r="E18" s="150">
        <v>-20.95</v>
      </c>
      <c r="F18" s="151">
        <v>-20.149999999999999</v>
      </c>
      <c r="G18" s="151">
        <v>-21.33</v>
      </c>
      <c r="H18" s="150">
        <v>-20.67</v>
      </c>
      <c r="I18" s="151">
        <v>-20.28</v>
      </c>
      <c r="J18" s="151">
        <v>-20.53</v>
      </c>
      <c r="K18" s="150">
        <v>-21.53</v>
      </c>
      <c r="L18" s="151">
        <v>-21.78</v>
      </c>
      <c r="M18" s="151">
        <v>-22.02</v>
      </c>
      <c r="N18" s="150">
        <v>-22.27</v>
      </c>
      <c r="O18" s="151">
        <v>-22.52</v>
      </c>
      <c r="P18" s="151">
        <v>-22.76</v>
      </c>
      <c r="Q18" s="150">
        <v>-23</v>
      </c>
      <c r="R18" s="151">
        <v>-23.24</v>
      </c>
      <c r="S18" s="151">
        <v>-23.48</v>
      </c>
      <c r="T18" s="150">
        <v>-23.72</v>
      </c>
      <c r="U18" s="151">
        <v>-23.95</v>
      </c>
      <c r="V18" s="151">
        <v>-24.18</v>
      </c>
      <c r="W18" s="150">
        <v>-24.41</v>
      </c>
      <c r="X18" s="151">
        <v>-25.31</v>
      </c>
      <c r="Y18" s="151">
        <v>-25.53</v>
      </c>
      <c r="Z18" s="150">
        <v>-25.75</v>
      </c>
      <c r="AA18" s="151">
        <v>-25.97</v>
      </c>
      <c r="AB18" s="151">
        <v>-26.18</v>
      </c>
      <c r="AC18" s="150">
        <v>-26.39</v>
      </c>
      <c r="AD18" s="151">
        <v>-26.6</v>
      </c>
      <c r="AE18" s="151">
        <v>-26.81</v>
      </c>
      <c r="AF18" s="150">
        <v>-27.02</v>
      </c>
      <c r="AG18" s="151">
        <v>-27.83</v>
      </c>
      <c r="AH18" s="151">
        <v>-28.03</v>
      </c>
      <c r="AI18" s="150">
        <v>-28.23</v>
      </c>
      <c r="AJ18" s="151">
        <v>-28.42</v>
      </c>
      <c r="AK18" s="151">
        <v>-28.62</v>
      </c>
      <c r="AL18" s="141"/>
      <c r="AM18" s="145"/>
      <c r="AN18" s="145"/>
      <c r="AO18" s="140"/>
      <c r="AP18" s="141"/>
      <c r="AQ18" s="145"/>
      <c r="AR18" s="145"/>
      <c r="AS18" s="140"/>
      <c r="AT18" s="141"/>
      <c r="AU18" s="145"/>
      <c r="AV18" s="145"/>
      <c r="AW18" s="140"/>
      <c r="AX18" s="141"/>
      <c r="AY18" s="145"/>
      <c r="AZ18" s="145"/>
      <c r="BA18" s="161"/>
    </row>
    <row r="19" spans="1:53" x14ac:dyDescent="0.35">
      <c r="A19" s="140" t="s">
        <v>54</v>
      </c>
      <c r="B19" s="150">
        <v>0.2</v>
      </c>
      <c r="C19" s="151">
        <v>0.2</v>
      </c>
      <c r="D19" s="151">
        <v>0.2</v>
      </c>
      <c r="E19" s="150">
        <v>0.2</v>
      </c>
      <c r="F19" s="151">
        <v>0.2</v>
      </c>
      <c r="G19" s="151">
        <v>0.2</v>
      </c>
      <c r="H19" s="150">
        <v>0.2</v>
      </c>
      <c r="I19" s="151">
        <v>0.2</v>
      </c>
      <c r="J19" s="151">
        <v>0.2</v>
      </c>
      <c r="K19" s="150">
        <v>0.2</v>
      </c>
      <c r="L19" s="151">
        <v>0.2</v>
      </c>
      <c r="M19" s="151">
        <v>0.2</v>
      </c>
      <c r="N19" s="150">
        <v>0.2</v>
      </c>
      <c r="O19" s="151">
        <v>0.2</v>
      </c>
      <c r="P19" s="151">
        <v>0.2</v>
      </c>
      <c r="Q19" s="150">
        <v>0.2</v>
      </c>
      <c r="R19" s="151">
        <v>0.2</v>
      </c>
      <c r="S19" s="151">
        <v>0.2</v>
      </c>
      <c r="T19" s="150">
        <v>0.2</v>
      </c>
      <c r="U19" s="151">
        <v>0.2</v>
      </c>
      <c r="V19" s="151">
        <v>0.2</v>
      </c>
      <c r="W19" s="150">
        <v>0.2</v>
      </c>
      <c r="X19" s="151">
        <v>0.2</v>
      </c>
      <c r="Y19" s="151">
        <v>0.2</v>
      </c>
      <c r="Z19" s="150">
        <v>0.2</v>
      </c>
      <c r="AA19" s="151">
        <v>0.2</v>
      </c>
      <c r="AB19" s="151">
        <v>0.2</v>
      </c>
      <c r="AC19" s="150">
        <v>0.2</v>
      </c>
      <c r="AD19" s="151">
        <v>0.2</v>
      </c>
      <c r="AE19" s="151">
        <v>0.2</v>
      </c>
      <c r="AF19" s="150">
        <v>0.2</v>
      </c>
      <c r="AG19" s="151">
        <v>0.2</v>
      </c>
      <c r="AH19" s="151">
        <v>0.2</v>
      </c>
      <c r="AI19" s="150">
        <v>0.2</v>
      </c>
      <c r="AJ19" s="151">
        <v>0.2</v>
      </c>
      <c r="AK19" s="151">
        <v>0.2</v>
      </c>
      <c r="AL19" s="141"/>
      <c r="AM19" s="145"/>
      <c r="AN19" s="145"/>
      <c r="AO19" s="140"/>
      <c r="AP19" s="141"/>
      <c r="AQ19" s="145"/>
      <c r="AR19" s="145"/>
      <c r="AS19" s="140"/>
      <c r="AT19" s="141"/>
      <c r="AU19" s="145"/>
      <c r="AV19" s="145"/>
      <c r="AW19" s="140"/>
      <c r="AX19" s="141"/>
      <c r="AY19" s="145"/>
      <c r="AZ19" s="145"/>
      <c r="BA19" s="163"/>
    </row>
    <row r="20" spans="1:53" x14ac:dyDescent="0.35">
      <c r="A20" s="143" t="s">
        <v>55</v>
      </c>
      <c r="B20" s="154">
        <v>8.3924000000000001E-26</v>
      </c>
      <c r="C20" s="155">
        <v>4.5821000000000003E-24</v>
      </c>
      <c r="D20" s="155">
        <v>1.6933000000000001E-22</v>
      </c>
      <c r="E20" s="154">
        <v>2.9087E-30</v>
      </c>
      <c r="F20" s="155">
        <v>0</v>
      </c>
      <c r="G20" s="155">
        <v>1.0688E-28</v>
      </c>
      <c r="H20" s="154">
        <v>0</v>
      </c>
      <c r="I20" s="155">
        <v>0</v>
      </c>
      <c r="J20" s="155">
        <v>1.8899999999999999E-31</v>
      </c>
      <c r="K20" s="154">
        <v>9.1774000000000005E-11</v>
      </c>
      <c r="L20" s="155">
        <v>1.484E-13</v>
      </c>
      <c r="M20" s="155">
        <v>7.0221999999999999E-28</v>
      </c>
      <c r="N20" s="154">
        <v>0</v>
      </c>
      <c r="O20" s="155">
        <v>4.1374E-28</v>
      </c>
      <c r="P20" s="155">
        <v>3.6079E-21</v>
      </c>
      <c r="Q20" s="154">
        <v>1.1866E-32</v>
      </c>
      <c r="R20" s="155">
        <v>0</v>
      </c>
      <c r="S20" s="155">
        <v>0</v>
      </c>
      <c r="T20" s="154">
        <v>3.7485000000000003E-30</v>
      </c>
      <c r="U20" s="155">
        <v>1.0187E-17</v>
      </c>
      <c r="V20" s="155">
        <v>1.4596000000000001E-11</v>
      </c>
      <c r="W20" s="154">
        <v>9.6129999999999998E-10</v>
      </c>
      <c r="X20" s="155">
        <v>1.9086999999999998E-9</v>
      </c>
      <c r="Y20" s="155">
        <v>3.6951000000000002E-9</v>
      </c>
      <c r="Z20" s="154">
        <v>6.553E-9</v>
      </c>
      <c r="AA20" s="155">
        <v>6.2352000000000001E-9</v>
      </c>
      <c r="AB20" s="155">
        <v>5.5136999999999999E-8</v>
      </c>
      <c r="AC20" s="154">
        <v>9.4465999999999994E-2</v>
      </c>
      <c r="AD20" s="155">
        <v>9.8913000000000001E-2</v>
      </c>
      <c r="AE20" s="155">
        <v>0.10151</v>
      </c>
      <c r="AF20" s="154">
        <v>0.10444000000000001</v>
      </c>
      <c r="AG20" s="155">
        <v>0.12046</v>
      </c>
      <c r="AH20" s="155">
        <v>0.12595000000000001</v>
      </c>
      <c r="AI20" s="154">
        <v>0.13225999999999999</v>
      </c>
      <c r="AJ20" s="155">
        <v>0.13958000000000001</v>
      </c>
      <c r="AK20" s="155">
        <v>0.14813000000000001</v>
      </c>
      <c r="AL20" s="162"/>
      <c r="AM20" s="172"/>
      <c r="AN20" s="172"/>
      <c r="AO20" s="143"/>
      <c r="AP20" s="162"/>
      <c r="AQ20" s="172"/>
      <c r="AR20" s="172"/>
      <c r="AS20" s="143"/>
      <c r="AT20" s="162"/>
      <c r="AU20" s="172"/>
      <c r="AV20" s="172"/>
      <c r="AW20" s="143"/>
      <c r="AX20" s="162"/>
      <c r="AY20" s="172"/>
      <c r="AZ20" s="172"/>
      <c r="BA20" s="173"/>
    </row>
  </sheetData>
  <conditionalFormatting sqref="B1:AK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zoomScale="55" zoomScaleNormal="55" workbookViewId="0">
      <pane ySplit="1" topLeftCell="A97" activePane="bottomLeft" state="frozen"/>
      <selection pane="bottomLeft" activeCell="BW168" sqref="BW168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487.9</v>
      </c>
      <c r="G2" s="4">
        <f>IFERROR(FLUID!K45,0)</f>
        <v>504.4</v>
      </c>
      <c r="H2" s="4">
        <f>IFERROR(FLUID!L45,0)</f>
        <v>520.9</v>
      </c>
      <c r="I2" s="4">
        <f>IFERROR(FLUID!M45,0)</f>
        <v>537.5</v>
      </c>
      <c r="J2" s="4">
        <f>IFERROR(FLUID!N45,0)</f>
        <v>554</v>
      </c>
      <c r="K2" s="4">
        <f>IFERROR(FLUID!O45,0)</f>
        <v>570.5</v>
      </c>
      <c r="L2" s="4">
        <f>IFERROR(FLUID!P45,0)</f>
        <v>587</v>
      </c>
      <c r="M2" s="4">
        <f>IFERROR(FLUID!Q45,0)</f>
        <v>603.5</v>
      </c>
      <c r="N2" s="4">
        <f>IFERROR(FLUID!R45,0)</f>
        <v>669.6</v>
      </c>
      <c r="O2" s="4">
        <f>IFERROR(FLUID!S45,0)</f>
        <v>735.7</v>
      </c>
      <c r="P2" s="4">
        <f>IFERROR(FLUID!T45,0)</f>
        <v>801.8</v>
      </c>
      <c r="Q2" s="4">
        <f>IFERROR(FLUID!U45,0)</f>
        <v>867.8</v>
      </c>
      <c r="R2" s="4">
        <f>IFERROR(FLUID!V45,0)</f>
        <v>933.9</v>
      </c>
      <c r="S2" s="4">
        <f>IFERROR(FLUID!W45,0)</f>
        <v>1000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*GaSe2</v>
      </c>
      <c r="B3" s="16">
        <f ca="1">IFERROR(FLUID!F46,0)</f>
        <v>-63.65</v>
      </c>
      <c r="C3" s="16">
        <f ca="1">IFERROR(FLUID!G46,0)</f>
        <v>-53.994</v>
      </c>
      <c r="D3" s="16">
        <f ca="1">IFERROR(FLUID!H46,0)</f>
        <v>-47.781999999999996</v>
      </c>
      <c r="E3" s="16">
        <f ca="1">IFERROR(FLUID!I46,0)</f>
        <v>-43.54</v>
      </c>
      <c r="F3" s="16">
        <f ca="1">IFERROR(FLUID!J46,0)</f>
        <v>-42.695999999999998</v>
      </c>
      <c r="G3" s="16">
        <f ca="1">IFERROR(FLUID!K46,0)</f>
        <v>-41.92</v>
      </c>
      <c r="H3" s="16">
        <f ca="1">IFERROR(FLUID!L46,0)</f>
        <v>-41.2</v>
      </c>
      <c r="I3" s="16">
        <f ca="1">IFERROR(FLUID!M46,0)</f>
        <v>-40.550000000000004</v>
      </c>
      <c r="J3" s="16">
        <f ca="1">IFERROR(FLUID!N46,0)</f>
        <v>-39.944000000000003</v>
      </c>
      <c r="K3" s="16">
        <f ca="1">IFERROR(FLUID!O46,0)</f>
        <v>-39.387999999999998</v>
      </c>
      <c r="L3" s="16">
        <f ca="1">IFERROR(FLUID!P46,0)</f>
        <v>-38.866</v>
      </c>
      <c r="M3" s="16">
        <f ca="1">IFERROR(FLUID!Q46,0)</f>
        <v>-38.403999999999996</v>
      </c>
      <c r="N3" s="16">
        <f ca="1">IFERROR(FLUID!R46,0)</f>
        <v>-36.862000000000002</v>
      </c>
      <c r="O3" s="16">
        <f ca="1">IFERROR(FLUID!S46,0)</f>
        <v>-35.78</v>
      </c>
      <c r="P3" s="16">
        <f ca="1">IFERROR(FLUID!T46,0)</f>
        <v>-35.064</v>
      </c>
      <c r="Q3" s="16">
        <f ca="1">IFERROR(FLUID!U46,0)</f>
        <v>-34.653999999999996</v>
      </c>
      <c r="R3" s="16">
        <f ca="1">IFERROR(FLUID!V46,0)</f>
        <v>-34.494</v>
      </c>
      <c r="S3" s="16">
        <f ca="1">IFERROR(FLUID!W46,0)</f>
        <v>-34.554000000000002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*GeSe[l]</v>
      </c>
      <c r="B4" s="16">
        <f ca="1">IFERROR(FLUID!F47,0)</f>
        <v>-33.465000000000003</v>
      </c>
      <c r="C4" s="16">
        <f ca="1">IFERROR(FLUID!G47,0)</f>
        <v>-29.227</v>
      </c>
      <c r="D4" s="16">
        <f ca="1">IFERROR(FLUID!H47,0)</f>
        <v>-26.616</v>
      </c>
      <c r="E4" s="16">
        <f ca="1">IFERROR(FLUID!I47,0)</f>
        <v>-24.919999999999998</v>
      </c>
      <c r="F4" s="16">
        <f ca="1">IFERROR(FLUID!J47,0)</f>
        <v>-24.593</v>
      </c>
      <c r="G4" s="16">
        <f ca="1">IFERROR(FLUID!K47,0)</f>
        <v>-24.284999999999997</v>
      </c>
      <c r="H4" s="16">
        <f ca="1">IFERROR(FLUID!L47,0)</f>
        <v>-24.015000000000001</v>
      </c>
      <c r="I4" s="16">
        <f ca="1">IFERROR(FLUID!M47,0)</f>
        <v>-23.765000000000001</v>
      </c>
      <c r="J4" s="16">
        <f ca="1">IFERROR(FLUID!N47,0)</f>
        <v>-23.542000000000002</v>
      </c>
      <c r="K4" s="16">
        <f ca="1">IFERROR(FLUID!O47,0)</f>
        <v>-23.329000000000001</v>
      </c>
      <c r="L4" s="16">
        <f ca="1">IFERROR(FLUID!P47,0)</f>
        <v>-23.143000000000001</v>
      </c>
      <c r="M4" s="16">
        <f ca="1">IFERROR(FLUID!Q47,0)</f>
        <v>-22.966999999999999</v>
      </c>
      <c r="N4" s="16">
        <f ca="1">IFERROR(FLUID!R47,0)</f>
        <v>-22.416</v>
      </c>
      <c r="O4" s="16">
        <f ca="1">IFERROR(FLUID!S47,0)</f>
        <v>-22.024999999999999</v>
      </c>
      <c r="P4" s="16">
        <f ca="1">IFERROR(FLUID!T47,0)</f>
        <v>-21.756999999999998</v>
      </c>
      <c r="Q4" s="16">
        <f ca="1">IFERROR(FLUID!U47,0)</f>
        <v>-21.572000000000003</v>
      </c>
      <c r="R4" s="16">
        <f ca="1">IFERROR(FLUID!V47,0)</f>
        <v>-21.447000000000003</v>
      </c>
      <c r="S4" s="16">
        <f ca="1">IFERROR(FLUID!W47,0)</f>
        <v>-21.362000000000002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Se4</v>
      </c>
      <c r="B5" s="16">
        <f ca="1">IFERROR(FLUID!F48,0)</f>
        <v>-22.3</v>
      </c>
      <c r="C5" s="16">
        <f ca="1">IFERROR(FLUID!G48,0)</f>
        <v>-23.707999999999998</v>
      </c>
      <c r="D5" s="16">
        <f ca="1">IFERROR(FLUID!H48,0)</f>
        <v>-25.263999999999999</v>
      </c>
      <c r="E5" s="16">
        <f ca="1">IFERROR(FLUID!I48,0)</f>
        <v>-26.8</v>
      </c>
      <c r="F5" s="16">
        <f ca="1">IFERROR(FLUID!J48,0)</f>
        <v>-27.172000000000001</v>
      </c>
      <c r="G5" s="16">
        <f ca="1">IFERROR(FLUID!K48,0)</f>
        <v>-27.54</v>
      </c>
      <c r="H5" s="16">
        <f ca="1">IFERROR(FLUID!L48,0)</f>
        <v>-27.9</v>
      </c>
      <c r="I5" s="16">
        <f ca="1">IFERROR(FLUID!M48,0)</f>
        <v>-28.26</v>
      </c>
      <c r="J5" s="16">
        <f ca="1">IFERROR(FLUID!N48,0)</f>
        <v>-28.608000000000001</v>
      </c>
      <c r="K5" s="16">
        <f ca="1">IFERROR(FLUID!O48,0)</f>
        <v>-28.956</v>
      </c>
      <c r="L5" s="16">
        <f ca="1">IFERROR(FLUID!P48,0)</f>
        <v>-29.292000000000002</v>
      </c>
      <c r="M5" s="16">
        <f ca="1">IFERROR(FLUID!Q48,0)</f>
        <v>-29.628</v>
      </c>
      <c r="N5" s="16">
        <f ca="1">IFERROR(FLUID!R48,0)</f>
        <v>-30.904</v>
      </c>
      <c r="O5" s="16">
        <f ca="1">IFERROR(FLUID!S48,0)</f>
        <v>-32.1</v>
      </c>
      <c r="P5" s="16">
        <f ca="1">IFERROR(FLUID!T48,0)</f>
        <v>-33.228000000000002</v>
      </c>
      <c r="Q5" s="16">
        <f ca="1">IFERROR(FLUID!U48,0)</f>
        <v>-34.328000000000003</v>
      </c>
      <c r="R5" s="16">
        <f ca="1">IFERROR(FLUID!V48,0)</f>
        <v>-35.468000000000004</v>
      </c>
      <c r="S5" s="16">
        <f ca="1">IFERROR(FLUID!W48,0)</f>
        <v>-36.728000000000002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Se5</v>
      </c>
      <c r="B6" s="16">
        <f ca="1">IFERROR(FLUID!F49,0)</f>
        <v>-27.875</v>
      </c>
      <c r="C6" s="16">
        <f ca="1">IFERROR(FLUID!G49,0)</f>
        <v>-29.634999999999998</v>
      </c>
      <c r="D6" s="16">
        <f ca="1">IFERROR(FLUID!H49,0)</f>
        <v>-31.58</v>
      </c>
      <c r="E6" s="16">
        <f ca="1">IFERROR(FLUID!I49,0)</f>
        <v>-33.5</v>
      </c>
      <c r="F6" s="16">
        <f ca="1">IFERROR(FLUID!J49,0)</f>
        <v>-33.965000000000003</v>
      </c>
      <c r="G6" s="16">
        <f ca="1">IFERROR(FLUID!K49,0)</f>
        <v>-34.424999999999997</v>
      </c>
      <c r="H6" s="16">
        <f ca="1">IFERROR(FLUID!L49,0)</f>
        <v>-34.875</v>
      </c>
      <c r="I6" s="16">
        <f ca="1">IFERROR(FLUID!M49,0)</f>
        <v>-35.325000000000003</v>
      </c>
      <c r="J6" s="16">
        <f ca="1">IFERROR(FLUID!N49,0)</f>
        <v>-35.76</v>
      </c>
      <c r="K6" s="16">
        <f ca="1">IFERROR(FLUID!O49,0)</f>
        <v>-36.195</v>
      </c>
      <c r="L6" s="16">
        <f ca="1">IFERROR(FLUID!P49,0)</f>
        <v>-36.615000000000002</v>
      </c>
      <c r="M6" s="16">
        <f ca="1">IFERROR(FLUID!Q49,0)</f>
        <v>-37.034999999999997</v>
      </c>
      <c r="N6" s="16">
        <f ca="1">IFERROR(FLUID!R49,0)</f>
        <v>-38.630000000000003</v>
      </c>
      <c r="O6" s="16">
        <f ca="1">IFERROR(FLUID!S49,0)</f>
        <v>-40.125</v>
      </c>
      <c r="P6" s="16">
        <f ca="1">IFERROR(FLUID!T49,0)</f>
        <v>-41.535000000000004</v>
      </c>
      <c r="Q6" s="16">
        <f ca="1">IFERROR(FLUID!U49,0)</f>
        <v>-42.910000000000004</v>
      </c>
      <c r="R6" s="16">
        <f ca="1">IFERROR(FLUID!V49,0)</f>
        <v>-44.335000000000008</v>
      </c>
      <c r="S6" s="16">
        <f ca="1">IFERROR(FLUID!W49,0)</f>
        <v>-45.910000000000004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See</v>
      </c>
      <c r="B7" s="16">
        <f ca="1">IFERROR(FLUID!F50,0)</f>
        <v>-5.5750000000000002</v>
      </c>
      <c r="C7" s="16">
        <f ca="1">IFERROR(FLUID!G50,0)</f>
        <v>-5.9269999999999996</v>
      </c>
      <c r="D7" s="16">
        <f ca="1">IFERROR(FLUID!H50,0)</f>
        <v>-6.3159999999999998</v>
      </c>
      <c r="E7" s="16">
        <f ca="1">IFERROR(FLUID!I50,0)</f>
        <v>-6.7</v>
      </c>
      <c r="F7" s="16">
        <f ca="1">IFERROR(FLUID!J50,0)</f>
        <v>-6.7930000000000001</v>
      </c>
      <c r="G7" s="16">
        <f ca="1">IFERROR(FLUID!K50,0)</f>
        <v>-6.8849999999999998</v>
      </c>
      <c r="H7" s="16">
        <f ca="1">IFERROR(FLUID!L50,0)</f>
        <v>-6.9749999999999996</v>
      </c>
      <c r="I7" s="16">
        <f ca="1">IFERROR(FLUID!M50,0)</f>
        <v>-7.0650000000000004</v>
      </c>
      <c r="J7" s="16">
        <f ca="1">IFERROR(FLUID!N50,0)</f>
        <v>-7.1520000000000001</v>
      </c>
      <c r="K7" s="16">
        <f ca="1">IFERROR(FLUID!O50,0)</f>
        <v>-7.2389999999999999</v>
      </c>
      <c r="L7" s="16">
        <f ca="1">IFERROR(FLUID!P50,0)</f>
        <v>-7.3230000000000004</v>
      </c>
      <c r="M7" s="16">
        <f ca="1">IFERROR(FLUID!Q50,0)</f>
        <v>-7.407</v>
      </c>
      <c r="N7" s="16">
        <f ca="1">IFERROR(FLUID!R50,0)</f>
        <v>-7.726</v>
      </c>
      <c r="O7" s="16">
        <f ca="1">IFERROR(FLUID!S50,0)</f>
        <v>-8.0250000000000004</v>
      </c>
      <c r="P7" s="16">
        <f ca="1">IFERROR(FLUID!T50,0)</f>
        <v>-8.3070000000000004</v>
      </c>
      <c r="Q7" s="16">
        <f ca="1">IFERROR(FLUID!U50,0)</f>
        <v>-8.5820000000000007</v>
      </c>
      <c r="R7" s="16">
        <f ca="1">IFERROR(FLUID!V50,0)</f>
        <v>-8.8670000000000009</v>
      </c>
      <c r="S7" s="16">
        <f ca="1">IFERROR(FLUID!W50,0)</f>
        <v>-9.1820000000000004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Se?</v>
      </c>
      <c r="B8" s="16">
        <f ca="1">IFERROR(FLUID!F51,0)</f>
        <v>-5.5750000000000002</v>
      </c>
      <c r="C8" s="16">
        <f ca="1">IFERROR(FLUID!G51,0)</f>
        <v>-5.9269999999999996</v>
      </c>
      <c r="D8" s="16">
        <f ca="1">IFERROR(FLUID!H51,0)</f>
        <v>-6.3159999999999998</v>
      </c>
      <c r="E8" s="16">
        <f ca="1">IFERROR(FLUID!I51,0)</f>
        <v>-6.7</v>
      </c>
      <c r="F8" s="16">
        <f ca="1">IFERROR(FLUID!J51,0)</f>
        <v>-6.7930000000000001</v>
      </c>
      <c r="G8" s="16">
        <f ca="1">IFERROR(FLUID!K51,0)</f>
        <v>-6.8849999999999998</v>
      </c>
      <c r="H8" s="16">
        <f ca="1">IFERROR(FLUID!L51,0)</f>
        <v>-6.9749999999999996</v>
      </c>
      <c r="I8" s="16">
        <f ca="1">IFERROR(FLUID!M51,0)</f>
        <v>-7.0650000000000004</v>
      </c>
      <c r="J8" s="16">
        <f ca="1">IFERROR(FLUID!N51,0)</f>
        <v>-7.1520000000000001</v>
      </c>
      <c r="K8" s="16">
        <f ca="1">IFERROR(FLUID!O51,0)</f>
        <v>-7.2389999999999999</v>
      </c>
      <c r="L8" s="16">
        <f ca="1">IFERROR(FLUID!P51,0)</f>
        <v>-7.3230000000000004</v>
      </c>
      <c r="M8" s="16">
        <f ca="1">IFERROR(FLUID!Q51,0)</f>
        <v>-7.407</v>
      </c>
      <c r="N8" s="16">
        <f ca="1">IFERROR(FLUID!R51,0)</f>
        <v>-7.726</v>
      </c>
      <c r="O8" s="16">
        <f ca="1">IFERROR(FLUID!S51,0)</f>
        <v>-8.0250000000000004</v>
      </c>
      <c r="P8" s="16">
        <f ca="1">IFERROR(FLUID!T51,0)</f>
        <v>-8.3070000000000004</v>
      </c>
      <c r="Q8" s="16">
        <f ca="1">IFERROR(FLUID!U51,0)</f>
        <v>-8.5820000000000007</v>
      </c>
      <c r="R8" s="16">
        <f ca="1">IFERROR(FLUID!V51,0)</f>
        <v>-8.8670000000000009</v>
      </c>
      <c r="S8" s="16">
        <f ca="1">IFERROR(FLUID!W51,0)</f>
        <v>-9.1820000000000004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Se3</v>
      </c>
      <c r="B9" s="16">
        <f ca="1">IFERROR(FLUID!F52,0)</f>
        <v>-16.725000000000001</v>
      </c>
      <c r="C9" s="16">
        <f ca="1">IFERROR(FLUID!G52,0)</f>
        <v>-17.780999999999999</v>
      </c>
      <c r="D9" s="16">
        <f ca="1">IFERROR(FLUID!H52,0)</f>
        <v>-18.948</v>
      </c>
      <c r="E9" s="16">
        <f ca="1">IFERROR(FLUID!I52,0)</f>
        <v>-20.100000000000001</v>
      </c>
      <c r="F9" s="16">
        <f ca="1">IFERROR(FLUID!J52,0)</f>
        <v>-20.379000000000001</v>
      </c>
      <c r="G9" s="16">
        <f ca="1">IFERROR(FLUID!K52,0)</f>
        <v>-20.655000000000001</v>
      </c>
      <c r="H9" s="16">
        <f ca="1">IFERROR(FLUID!L52,0)</f>
        <v>-20.924999999999997</v>
      </c>
      <c r="I9" s="16">
        <f ca="1">IFERROR(FLUID!M52,0)</f>
        <v>-21.195</v>
      </c>
      <c r="J9" s="16">
        <f ca="1">IFERROR(FLUID!N52,0)</f>
        <v>-21.456</v>
      </c>
      <c r="K9" s="16">
        <f ca="1">IFERROR(FLUID!O52,0)</f>
        <v>-21.716999999999999</v>
      </c>
      <c r="L9" s="16">
        <f ca="1">IFERROR(FLUID!P52,0)</f>
        <v>-21.969000000000001</v>
      </c>
      <c r="M9" s="16">
        <f ca="1">IFERROR(FLUID!Q52,0)</f>
        <v>-22.221</v>
      </c>
      <c r="N9" s="16">
        <f ca="1">IFERROR(FLUID!R52,0)</f>
        <v>-23.178000000000001</v>
      </c>
      <c r="O9" s="16">
        <f ca="1">IFERROR(FLUID!S52,0)</f>
        <v>-24.075000000000003</v>
      </c>
      <c r="P9" s="16">
        <f ca="1">IFERROR(FLUID!T52,0)</f>
        <v>-24.920999999999999</v>
      </c>
      <c r="Q9" s="16">
        <f ca="1">IFERROR(FLUID!U52,0)</f>
        <v>-25.746000000000002</v>
      </c>
      <c r="R9" s="16">
        <f ca="1">IFERROR(FLUID!V52,0)</f>
        <v>-26.601000000000003</v>
      </c>
      <c r="S9" s="16">
        <f ca="1">IFERROR(FLUID!W52,0)</f>
        <v>-27.545999999999999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Se2</v>
      </c>
      <c r="B10" s="16">
        <f ca="1">IFERROR(FLUID!F53,0)</f>
        <v>-11.15</v>
      </c>
      <c r="C10" s="16">
        <f ca="1">IFERROR(FLUID!G53,0)</f>
        <v>-11.853999999999999</v>
      </c>
      <c r="D10" s="16">
        <f ca="1">IFERROR(FLUID!H53,0)</f>
        <v>-12.632</v>
      </c>
      <c r="E10" s="16">
        <f ca="1">IFERROR(FLUID!I53,0)</f>
        <v>-13.4</v>
      </c>
      <c r="F10" s="16">
        <f ca="1">IFERROR(FLUID!J53,0)</f>
        <v>-13.586</v>
      </c>
      <c r="G10" s="16">
        <f ca="1">IFERROR(FLUID!K53,0)</f>
        <v>-13.77</v>
      </c>
      <c r="H10" s="16">
        <f ca="1">IFERROR(FLUID!L53,0)</f>
        <v>-13.95</v>
      </c>
      <c r="I10" s="16">
        <f ca="1">IFERROR(FLUID!M53,0)</f>
        <v>-14.13</v>
      </c>
      <c r="J10" s="16">
        <f ca="1">IFERROR(FLUID!N53,0)</f>
        <v>-14.304</v>
      </c>
      <c r="K10" s="16">
        <f ca="1">IFERROR(FLUID!O53,0)</f>
        <v>-14.478</v>
      </c>
      <c r="L10" s="16">
        <f ca="1">IFERROR(FLUID!P53,0)</f>
        <v>-14.646000000000001</v>
      </c>
      <c r="M10" s="16">
        <f ca="1">IFERROR(FLUID!Q53,0)</f>
        <v>-14.814</v>
      </c>
      <c r="N10" s="16">
        <f ca="1">IFERROR(FLUID!R53,0)</f>
        <v>-15.452</v>
      </c>
      <c r="O10" s="16">
        <f ca="1">IFERROR(FLUID!S53,0)</f>
        <v>-16.05</v>
      </c>
      <c r="P10" s="16">
        <f ca="1">IFERROR(FLUID!T53,0)</f>
        <v>-16.614000000000001</v>
      </c>
      <c r="Q10" s="16">
        <f ca="1">IFERROR(FLUID!U53,0)</f>
        <v>-17.164000000000001</v>
      </c>
      <c r="R10" s="16">
        <f ca="1">IFERROR(FLUID!V53,0)</f>
        <v>-17.734000000000002</v>
      </c>
      <c r="S10" s="16">
        <f ca="1">IFERROR(FLUID!W53,0)</f>
        <v>-18.364000000000001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Ar</v>
      </c>
      <c r="B11" s="16">
        <f ca="1">IFERROR(FLUID!F54,0)</f>
        <v>-18.62</v>
      </c>
      <c r="C11" s="16">
        <f ca="1">IFERROR(FLUID!G54,0)</f>
        <v>-18.63</v>
      </c>
      <c r="D11" s="16">
        <f ca="1">IFERROR(FLUID!H54,0)</f>
        <v>-18.72</v>
      </c>
      <c r="E11" s="16">
        <f ca="1">IFERROR(FLUID!I54,0)</f>
        <v>-18.84</v>
      </c>
      <c r="F11" s="16">
        <f ca="1">IFERROR(FLUID!J54,0)</f>
        <v>-18.87</v>
      </c>
      <c r="G11" s="16">
        <f ca="1">IFERROR(FLUID!K54,0)</f>
        <v>-18.899999999999999</v>
      </c>
      <c r="H11" s="16">
        <f ca="1">IFERROR(FLUID!L54,0)</f>
        <v>-18.940000000000001</v>
      </c>
      <c r="I11" s="16">
        <f ca="1">IFERROR(FLUID!M54,0)</f>
        <v>-18.97</v>
      </c>
      <c r="J11" s="16">
        <f ca="1">IFERROR(FLUID!N54,0)</f>
        <v>-19.010000000000002</v>
      </c>
      <c r="K11" s="16">
        <f ca="1">IFERROR(FLUID!O54,0)</f>
        <v>-19.04</v>
      </c>
      <c r="L11" s="16">
        <f ca="1">IFERROR(FLUID!P54,0)</f>
        <v>-19.07</v>
      </c>
      <c r="M11" s="16">
        <f ca="1">IFERROR(FLUID!Q54,0)</f>
        <v>-19.11</v>
      </c>
      <c r="N11" s="16">
        <f ca="1">IFERROR(FLUID!R54,0)</f>
        <v>-19.25</v>
      </c>
      <c r="O11" s="16">
        <f ca="1">IFERROR(FLUID!S54,0)</f>
        <v>-19.38</v>
      </c>
      <c r="P11" s="16">
        <f ca="1">IFERROR(FLUID!T54,0)</f>
        <v>-19.52</v>
      </c>
      <c r="Q11" s="16">
        <f ca="1">IFERROR(FLUID!U54,0)</f>
        <v>-19.649999999999999</v>
      </c>
      <c r="R11" s="16">
        <f ca="1">IFERROR(FLUID!V54,0)</f>
        <v>-19.78</v>
      </c>
      <c r="S11" s="16">
        <f ca="1">IFERROR(FLUID!W54,0)</f>
        <v>-19.91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Ga2Se</v>
      </c>
      <c r="B12" s="16">
        <f ca="1">IFERROR(FLUID!F55,0)</f>
        <v>-110.575</v>
      </c>
      <c r="C12" s="16">
        <f ca="1">IFERROR(FLUID!G55,0)</f>
        <v>-90.206999999999994</v>
      </c>
      <c r="D12" s="16">
        <f ca="1">IFERROR(FLUID!H55,0)</f>
        <v>-76.616</v>
      </c>
      <c r="E12" s="16">
        <f ca="1">IFERROR(FLUID!I55,0)</f>
        <v>-66.98</v>
      </c>
      <c r="F12" s="16">
        <f ca="1">IFERROR(FLUID!J55,0)</f>
        <v>-65.013000000000005</v>
      </c>
      <c r="G12" s="16">
        <f ca="1">IFERROR(FLUID!K55,0)</f>
        <v>-63.184999999999995</v>
      </c>
      <c r="H12" s="16">
        <f ca="1">IFERROR(FLUID!L55,0)</f>
        <v>-61.475000000000001</v>
      </c>
      <c r="I12" s="16">
        <f ca="1">IFERROR(FLUID!M55,0)</f>
        <v>-59.905000000000001</v>
      </c>
      <c r="J12" s="16">
        <f ca="1">IFERROR(FLUID!N55,0)</f>
        <v>-58.432000000000002</v>
      </c>
      <c r="K12" s="16">
        <f ca="1">IFERROR(FLUID!O55,0)</f>
        <v>-57.058999999999997</v>
      </c>
      <c r="L12" s="16">
        <f ca="1">IFERROR(FLUID!P55,0)</f>
        <v>-55.762999999999998</v>
      </c>
      <c r="M12" s="16">
        <f ca="1">IFERROR(FLUID!Q55,0)</f>
        <v>-54.587000000000003</v>
      </c>
      <c r="N12" s="16">
        <f ca="1">IFERROR(FLUID!R55,0)</f>
        <v>-50.545999999999999</v>
      </c>
      <c r="O12" s="16">
        <f ca="1">IFERROR(FLUID!S55,0)</f>
        <v>-47.484999999999999</v>
      </c>
      <c r="P12" s="16">
        <f ca="1">IFERROR(FLUID!T55,0)</f>
        <v>-45.207000000000001</v>
      </c>
      <c r="Q12" s="16">
        <f ca="1">IFERROR(FLUID!U55,0)</f>
        <v>-43.561999999999998</v>
      </c>
      <c r="R12" s="16">
        <f ca="1">IFERROR(FLUID!V55,0)</f>
        <v>-42.387</v>
      </c>
      <c r="S12" s="16">
        <f ca="1">IFERROR(FLUID!W55,0)</f>
        <v>-41.562000000000005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(l)Ga[l]</v>
      </c>
      <c r="B13" s="16">
        <f ca="1">IFERROR(FLUID!F56,0)</f>
        <v>-52.5</v>
      </c>
      <c r="C13" s="16">
        <f ca="1">IFERROR(FLUID!G56,0)</f>
        <v>-42.14</v>
      </c>
      <c r="D13" s="16">
        <f ca="1">IFERROR(FLUID!H56,0)</f>
        <v>-35.15</v>
      </c>
      <c r="E13" s="16">
        <f ca="1">IFERROR(FLUID!I56,0)</f>
        <v>-30.14</v>
      </c>
      <c r="F13" s="16">
        <f ca="1">IFERROR(FLUID!J56,0)</f>
        <v>-29.11</v>
      </c>
      <c r="G13" s="16">
        <f ca="1">IFERROR(FLUID!K56,0)</f>
        <v>-28.15</v>
      </c>
      <c r="H13" s="16">
        <f ca="1">IFERROR(FLUID!L56,0)</f>
        <v>-27.25</v>
      </c>
      <c r="I13" s="16">
        <f ca="1">IFERROR(FLUID!M56,0)</f>
        <v>-26.42</v>
      </c>
      <c r="J13" s="16">
        <f ca="1">IFERROR(FLUID!N56,0)</f>
        <v>-25.64</v>
      </c>
      <c r="K13" s="16">
        <f ca="1">IFERROR(FLUID!O56,0)</f>
        <v>-24.91</v>
      </c>
      <c r="L13" s="16">
        <f ca="1">IFERROR(FLUID!P56,0)</f>
        <v>-24.22</v>
      </c>
      <c r="M13" s="16">
        <f ca="1">IFERROR(FLUID!Q56,0)</f>
        <v>-23.59</v>
      </c>
      <c r="N13" s="16">
        <f ca="1">IFERROR(FLUID!R56,0)</f>
        <v>-21.41</v>
      </c>
      <c r="O13" s="16">
        <f ca="1">IFERROR(FLUID!S56,0)</f>
        <v>-19.73</v>
      </c>
      <c r="P13" s="16">
        <f ca="1">IFERROR(FLUID!T56,0)</f>
        <v>-18.45</v>
      </c>
      <c r="Q13" s="16">
        <f ca="1">IFERROR(FLUID!U56,0)</f>
        <v>-17.489999999999998</v>
      </c>
      <c r="R13" s="16">
        <f ca="1">IFERROR(FLUID!V56,0)</f>
        <v>-16.760000000000002</v>
      </c>
      <c r="S13" s="16">
        <f ca="1">IFERROR(FLUID!W56,0)</f>
        <v>-16.190000000000001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(1)Ge[l]</v>
      </c>
      <c r="B14" s="16">
        <f ca="1">IFERROR(FLUID!F57,0)</f>
        <v>-27.89</v>
      </c>
      <c r="C14" s="16">
        <f ca="1">IFERROR(FLUID!G57,0)</f>
        <v>-23.3</v>
      </c>
      <c r="D14" s="16">
        <f ca="1">IFERROR(FLUID!H57,0)</f>
        <v>-20.3</v>
      </c>
      <c r="E14" s="16">
        <f ca="1">IFERROR(FLUID!I57,0)</f>
        <v>-18.22</v>
      </c>
      <c r="F14" s="16">
        <f ca="1">IFERROR(FLUID!J57,0)</f>
        <v>-17.8</v>
      </c>
      <c r="G14" s="16">
        <f ca="1">IFERROR(FLUID!K57,0)</f>
        <v>-17.399999999999999</v>
      </c>
      <c r="H14" s="16">
        <f ca="1">IFERROR(FLUID!L57,0)</f>
        <v>-17.04</v>
      </c>
      <c r="I14" s="16">
        <f ca="1">IFERROR(FLUID!M57,0)</f>
        <v>-16.7</v>
      </c>
      <c r="J14" s="16">
        <f ca="1">IFERROR(FLUID!N57,0)</f>
        <v>-16.39</v>
      </c>
      <c r="K14" s="16">
        <f ca="1">IFERROR(FLUID!O57,0)</f>
        <v>-16.09</v>
      </c>
      <c r="L14" s="16">
        <f ca="1">IFERROR(FLUID!P57,0)</f>
        <v>-15.82</v>
      </c>
      <c r="M14" s="16">
        <f ca="1">IFERROR(FLUID!Q57,0)</f>
        <v>-15.56</v>
      </c>
      <c r="N14" s="16">
        <f ca="1">IFERROR(FLUID!R57,0)</f>
        <v>-14.69</v>
      </c>
      <c r="O14" s="16">
        <f ca="1">IFERROR(FLUID!S57,0)</f>
        <v>-14</v>
      </c>
      <c r="P14" s="16">
        <f ca="1">IFERROR(FLUID!T57,0)</f>
        <v>-13.45</v>
      </c>
      <c r="Q14" s="16">
        <f ca="1">IFERROR(FLUID!U57,0)</f>
        <v>-12.99</v>
      </c>
      <c r="R14" s="16">
        <f ca="1">IFERROR(FLUID!V57,0)</f>
        <v>-12.58</v>
      </c>
      <c r="S14" s="16">
        <f ca="1">IFERROR(FLUID!W57,0)</f>
        <v>-12.18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(1)se[l]</v>
      </c>
      <c r="B15" s="16">
        <f ca="1">IFERROR(FLUID!F58,0)</f>
        <v>0</v>
      </c>
      <c r="C15" s="16">
        <f ca="1">IFERROR(FLUID!G58,0)</f>
        <v>0</v>
      </c>
      <c r="D15" s="16">
        <f ca="1">IFERROR(FLUID!H58,0)</f>
        <v>0</v>
      </c>
      <c r="E15" s="16">
        <f ca="1">IFERROR(FLUID!I58,0)</f>
        <v>0</v>
      </c>
      <c r="F15" s="16">
        <f ca="1">IFERROR(FLUID!J58,0)</f>
        <v>0</v>
      </c>
      <c r="G15" s="16">
        <f ca="1">IFERROR(FLUID!K58,0)</f>
        <v>0</v>
      </c>
      <c r="H15" s="16">
        <f ca="1">IFERROR(FLUID!L58,0)</f>
        <v>0</v>
      </c>
      <c r="I15" s="16">
        <f ca="1">IFERROR(FLUID!M58,0)</f>
        <v>0</v>
      </c>
      <c r="J15" s="16">
        <f ca="1">IFERROR(FLUID!N58,0)</f>
        <v>0</v>
      </c>
      <c r="K15" s="16">
        <f ca="1">IFERROR(FLUID!O58,0)</f>
        <v>0</v>
      </c>
      <c r="L15" s="16">
        <f ca="1">IFERROR(FLUID!P58,0)</f>
        <v>0</v>
      </c>
      <c r="M15" s="16">
        <f ca="1">IFERROR(FLUID!Q58,0)</f>
        <v>0</v>
      </c>
      <c r="N15" s="16">
        <f ca="1">IFERROR(FLUID!R58,0)</f>
        <v>0</v>
      </c>
      <c r="O15" s="16">
        <f ca="1">IFERROR(FLUID!S58,0)</f>
        <v>0</v>
      </c>
      <c r="P15" s="16">
        <f ca="1">IFERROR(FLUID!T58,0)</f>
        <v>0</v>
      </c>
      <c r="Q15" s="16">
        <f ca="1">IFERROR(FLUID!U58,0)</f>
        <v>0</v>
      </c>
      <c r="R15" s="16">
        <f ca="1">IFERROR(FLUID!V58,0)</f>
        <v>0</v>
      </c>
      <c r="S15" s="16">
        <f ca="1">IFERROR(FLUID!W58,0)</f>
        <v>0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(1)GeSe[l]</v>
      </c>
      <c r="B16" s="16">
        <f ca="1">IFERROR(FLUID!F59,0)</f>
        <v>-33.465000000000003</v>
      </c>
      <c r="C16" s="16">
        <f ca="1">IFERROR(FLUID!G59,0)</f>
        <v>-29.227</v>
      </c>
      <c r="D16" s="16">
        <f ca="1">IFERROR(FLUID!H59,0)</f>
        <v>-26.616</v>
      </c>
      <c r="E16" s="16">
        <f ca="1">IFERROR(FLUID!I59,0)</f>
        <v>-24.919999999999998</v>
      </c>
      <c r="F16" s="16">
        <f ca="1">IFERROR(FLUID!J59,0)</f>
        <v>-24.593</v>
      </c>
      <c r="G16" s="16">
        <f ca="1">IFERROR(FLUID!K59,0)</f>
        <v>-24.284999999999997</v>
      </c>
      <c r="H16" s="16">
        <f ca="1">IFERROR(FLUID!L59,0)</f>
        <v>-24.015000000000001</v>
      </c>
      <c r="I16" s="16">
        <f ca="1">IFERROR(FLUID!M59,0)</f>
        <v>-23.765000000000001</v>
      </c>
      <c r="J16" s="16">
        <f ca="1">IFERROR(FLUID!N59,0)</f>
        <v>-23.542000000000002</v>
      </c>
      <c r="K16" s="16">
        <f ca="1">IFERROR(FLUID!O59,0)</f>
        <v>-23.329000000000001</v>
      </c>
      <c r="L16" s="16">
        <f ca="1">IFERROR(FLUID!P59,0)</f>
        <v>-23.143000000000001</v>
      </c>
      <c r="M16" s="16">
        <f ca="1">IFERROR(FLUID!Q59,0)</f>
        <v>-22.966999999999999</v>
      </c>
      <c r="N16" s="16">
        <f ca="1">IFERROR(FLUID!R59,0)</f>
        <v>-22.416</v>
      </c>
      <c r="O16" s="16">
        <f ca="1">IFERROR(FLUID!S59,0)</f>
        <v>-22.024999999999999</v>
      </c>
      <c r="P16" s="16">
        <f ca="1">IFERROR(FLUID!T59,0)</f>
        <v>-21.756999999999998</v>
      </c>
      <c r="Q16" s="16">
        <f ca="1">IFERROR(FLUID!U59,0)</f>
        <v>-21.572000000000003</v>
      </c>
      <c r="R16" s="16">
        <f ca="1">IFERROR(FLUID!V59,0)</f>
        <v>-21.447000000000003</v>
      </c>
      <c r="S16" s="16">
        <f ca="1">IFERROR(FLUID!W59,0)</f>
        <v>-21.362000000000002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H (Ar)</v>
      </c>
      <c r="B17" s="16">
        <f ca="1">IFERROR(FLUID!F60,0)</f>
        <v>-18.62</v>
      </c>
      <c r="C17" s="16">
        <f ca="1">IFERROR(FLUID!G60,0)</f>
        <v>-18.63</v>
      </c>
      <c r="D17" s="16">
        <f ca="1">IFERROR(FLUID!H60,0)</f>
        <v>-18.72</v>
      </c>
      <c r="E17" s="16">
        <f ca="1">IFERROR(FLUID!I60,0)</f>
        <v>-18.84</v>
      </c>
      <c r="F17" s="16">
        <f ca="1">IFERROR(FLUID!J60,0)</f>
        <v>-18.87</v>
      </c>
      <c r="G17" s="16">
        <f ca="1">IFERROR(FLUID!K60,0)</f>
        <v>-18.899999999999999</v>
      </c>
      <c r="H17" s="16">
        <f ca="1">IFERROR(FLUID!L60,0)</f>
        <v>-18.940000000000001</v>
      </c>
      <c r="I17" s="16">
        <f ca="1">IFERROR(FLUID!M60,0)</f>
        <v>-18.97</v>
      </c>
      <c r="J17" s="16">
        <f ca="1">IFERROR(FLUID!N60,0)</f>
        <v>-19.010000000000002</v>
      </c>
      <c r="K17" s="16">
        <f ca="1">IFERROR(FLUID!O60,0)</f>
        <v>-19.04</v>
      </c>
      <c r="L17" s="16">
        <f ca="1">IFERROR(FLUID!P60,0)</f>
        <v>-19.07</v>
      </c>
      <c r="M17" s="16">
        <f ca="1">IFERROR(FLUID!Q60,0)</f>
        <v>-19.11</v>
      </c>
      <c r="N17" s="16">
        <f ca="1">IFERROR(FLUID!R60,0)</f>
        <v>-19.25</v>
      </c>
      <c r="O17" s="16">
        <f ca="1">IFERROR(FLUID!S60,0)</f>
        <v>-19.38</v>
      </c>
      <c r="P17" s="16">
        <f ca="1">IFERROR(FLUID!T60,0)</f>
        <v>-19.52</v>
      </c>
      <c r="Q17" s="16">
        <f ca="1">IFERROR(FLUID!U60,0)</f>
        <v>-19.649999999999999</v>
      </c>
      <c r="R17" s="16">
        <f ca="1">IFERROR(FLUID!V60,0)</f>
        <v>-19.78</v>
      </c>
      <c r="S17" s="16">
        <f ca="1">IFERROR(FLUID!W60,0)</f>
        <v>-19.91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(Ga)</v>
      </c>
      <c r="B18" s="16">
        <f ca="1">IFERROR(FLUID!F61,0)</f>
        <v>-52.5</v>
      </c>
      <c r="C18" s="16">
        <f ca="1">IFERROR(FLUID!G61,0)</f>
        <v>-42.14</v>
      </c>
      <c r="D18" s="16">
        <f ca="1">IFERROR(FLUID!H61,0)</f>
        <v>-35.15</v>
      </c>
      <c r="E18" s="16">
        <f ca="1">IFERROR(FLUID!I61,0)</f>
        <v>-30.14</v>
      </c>
      <c r="F18" s="16">
        <f ca="1">IFERROR(FLUID!J61,0)</f>
        <v>-29.11</v>
      </c>
      <c r="G18" s="16">
        <f ca="1">IFERROR(FLUID!K61,0)</f>
        <v>-28.15</v>
      </c>
      <c r="H18" s="16">
        <f ca="1">IFERROR(FLUID!L61,0)</f>
        <v>-27.25</v>
      </c>
      <c r="I18" s="16">
        <f ca="1">IFERROR(FLUID!M61,0)</f>
        <v>-26.42</v>
      </c>
      <c r="J18" s="16">
        <f ca="1">IFERROR(FLUID!N61,0)</f>
        <v>-25.64</v>
      </c>
      <c r="K18" s="16">
        <f ca="1">IFERROR(FLUID!O61,0)</f>
        <v>-24.91</v>
      </c>
      <c r="L18" s="16">
        <f ca="1">IFERROR(FLUID!P61,0)</f>
        <v>-24.22</v>
      </c>
      <c r="M18" s="16">
        <f ca="1">IFERROR(FLUID!Q61,0)</f>
        <v>-23.59</v>
      </c>
      <c r="N18" s="16">
        <f ca="1">IFERROR(FLUID!R61,0)</f>
        <v>-21.41</v>
      </c>
      <c r="O18" s="16">
        <f ca="1">IFERROR(FLUID!S61,0)</f>
        <v>-19.73</v>
      </c>
      <c r="P18" s="16">
        <f ca="1">IFERROR(FLUID!T61,0)</f>
        <v>-18.45</v>
      </c>
      <c r="Q18" s="16">
        <f ca="1">IFERROR(FLUID!U61,0)</f>
        <v>-17.489999999999998</v>
      </c>
      <c r="R18" s="16">
        <f ca="1">IFERROR(FLUID!V61,0)</f>
        <v>-16.760000000000002</v>
      </c>
      <c r="S18" s="16">
        <f ca="1">IFERROR(FLUID!W61,0)</f>
        <v>-16.190000000000001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(Ge)</v>
      </c>
      <c r="B19" s="16">
        <f ca="1">IFERROR(FLUID!F62,0)</f>
        <v>-27.89</v>
      </c>
      <c r="C19" s="16">
        <f ca="1">IFERROR(FLUID!G62,0)</f>
        <v>-23.3</v>
      </c>
      <c r="D19" s="16">
        <f ca="1">IFERROR(FLUID!H62,0)</f>
        <v>-20.3</v>
      </c>
      <c r="E19" s="16">
        <f ca="1">IFERROR(FLUID!I62,0)</f>
        <v>-18.22</v>
      </c>
      <c r="F19" s="16">
        <f ca="1">IFERROR(FLUID!J62,0)</f>
        <v>-17.8</v>
      </c>
      <c r="G19" s="16">
        <f ca="1">IFERROR(FLUID!K62,0)</f>
        <v>-17.399999999999999</v>
      </c>
      <c r="H19" s="16">
        <f ca="1">IFERROR(FLUID!L62,0)</f>
        <v>-17.04</v>
      </c>
      <c r="I19" s="16">
        <f ca="1">IFERROR(FLUID!M62,0)</f>
        <v>-16.7</v>
      </c>
      <c r="J19" s="16">
        <f ca="1">IFERROR(FLUID!N62,0)</f>
        <v>-16.39</v>
      </c>
      <c r="K19" s="16">
        <f ca="1">IFERROR(FLUID!O62,0)</f>
        <v>-16.09</v>
      </c>
      <c r="L19" s="16">
        <f ca="1">IFERROR(FLUID!P62,0)</f>
        <v>-15.82</v>
      </c>
      <c r="M19" s="16">
        <f ca="1">IFERROR(FLUID!Q62,0)</f>
        <v>-15.56</v>
      </c>
      <c r="N19" s="16">
        <f ca="1">IFERROR(FLUID!R62,0)</f>
        <v>-14.69</v>
      </c>
      <c r="O19" s="16">
        <f ca="1">IFERROR(FLUID!S62,0)</f>
        <v>-14</v>
      </c>
      <c r="P19" s="16">
        <f ca="1">IFERROR(FLUID!T62,0)</f>
        <v>-13.45</v>
      </c>
      <c r="Q19" s="16">
        <f ca="1">IFERROR(FLUID!U62,0)</f>
        <v>-12.99</v>
      </c>
      <c r="R19" s="16">
        <f ca="1">IFERROR(FLUID!V62,0)</f>
        <v>-12.58</v>
      </c>
      <c r="S19" s="16">
        <f ca="1">IFERROR(FLUID!W62,0)</f>
        <v>-12.18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(Se)</v>
      </c>
      <c r="B20" s="16">
        <f ca="1">IFERROR(FLUID!F63,0)</f>
        <v>-5.5750000000000002</v>
      </c>
      <c r="C20" s="16">
        <f ca="1">IFERROR(FLUID!G63,0)</f>
        <v>-5.9269999999999996</v>
      </c>
      <c r="D20" s="16">
        <f ca="1">IFERROR(FLUID!H63,0)</f>
        <v>-6.3159999999999998</v>
      </c>
      <c r="E20" s="16">
        <f ca="1">IFERROR(FLUID!I63,0)</f>
        <v>-6.7</v>
      </c>
      <c r="F20" s="16">
        <f ca="1">IFERROR(FLUID!J63,0)</f>
        <v>-6.7930000000000001</v>
      </c>
      <c r="G20" s="16">
        <f ca="1">IFERROR(FLUID!K63,0)</f>
        <v>-6.8849999999999998</v>
      </c>
      <c r="H20" s="16">
        <f ca="1">IFERROR(FLUID!L63,0)</f>
        <v>-6.9749999999999996</v>
      </c>
      <c r="I20" s="16">
        <f ca="1">IFERROR(FLUID!M63,0)</f>
        <v>-7.0650000000000004</v>
      </c>
      <c r="J20" s="16">
        <f ca="1">IFERROR(FLUID!N63,0)</f>
        <v>-7.1520000000000001</v>
      </c>
      <c r="K20" s="16">
        <f ca="1">IFERROR(FLUID!O63,0)</f>
        <v>-7.2389999999999999</v>
      </c>
      <c r="L20" s="16">
        <f ca="1">IFERROR(FLUID!P63,0)</f>
        <v>-7.3230000000000004</v>
      </c>
      <c r="M20" s="16">
        <f ca="1">IFERROR(FLUID!Q63,0)</f>
        <v>-7.407</v>
      </c>
      <c r="N20" s="16">
        <f ca="1">IFERROR(FLUID!R63,0)</f>
        <v>-7.726</v>
      </c>
      <c r="O20" s="16">
        <f ca="1">IFERROR(FLUID!S63,0)</f>
        <v>-8.0250000000000004</v>
      </c>
      <c r="P20" s="16">
        <f ca="1">IFERROR(FLUID!T63,0)</f>
        <v>-8.3070000000000004</v>
      </c>
      <c r="Q20" s="16">
        <f ca="1">IFERROR(FLUID!U63,0)</f>
        <v>-8.5820000000000007</v>
      </c>
      <c r="R20" s="16">
        <f ca="1">IFERROR(FLUID!V63,0)</f>
        <v>-8.8670000000000009</v>
      </c>
      <c r="S20" s="16">
        <f ca="1">IFERROR(FLUID!W63,0)</f>
        <v>-9.1820000000000004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-61.637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355.7</v>
      </c>
      <c r="H34" s="4">
        <f>IFERROR(SOLID!L45,0)</f>
        <v>372.3</v>
      </c>
      <c r="I34" s="4">
        <f>IFERROR(SOLID!M45,0)</f>
        <v>388.8</v>
      </c>
      <c r="J34" s="4">
        <f>IFERROR(SOLID!N45,0)</f>
        <v>405.3</v>
      </c>
      <c r="K34" s="4">
        <f>IFERROR(SOLID!O45,0)</f>
        <v>471.4</v>
      </c>
      <c r="L34" s="4">
        <f>IFERROR(SOLID!P45,0)</f>
        <v>487.9</v>
      </c>
      <c r="M34" s="4">
        <f>IFERROR(SOLID!Q45,0)</f>
        <v>504.4</v>
      </c>
      <c r="N34" s="4">
        <f>IFERROR(SOLID!R45,0)</f>
        <v>520.9</v>
      </c>
      <c r="O34" s="4">
        <f>IFERROR(SOLID!S45,0)</f>
        <v>537.5</v>
      </c>
      <c r="P34" s="4">
        <f>IFERROR(SOLID!T45,0)</f>
        <v>554</v>
      </c>
      <c r="Q34" s="4">
        <f>IFERROR(SOLID!U45,0)</f>
        <v>570.5</v>
      </c>
      <c r="R34" s="4">
        <f>IFERROR(SOLID!V45,0)</f>
        <v>587</v>
      </c>
      <c r="S34" s="4">
        <f>IFERROR(SOLID!W45,0)</f>
        <v>603.5</v>
      </c>
      <c r="T34" s="4">
        <f>IFERROR(SOLID!X45,0)</f>
        <v>620.1</v>
      </c>
      <c r="U34" s="4">
        <f>IFERROR(SOLID!Y45,0)</f>
        <v>636.6</v>
      </c>
      <c r="V34" s="4">
        <f>IFERROR(SOLID!Z45,0)</f>
        <v>653.1</v>
      </c>
      <c r="W34" s="4">
        <f>IFERROR(SOLID!AA45,0)</f>
        <v>669.6</v>
      </c>
      <c r="X34" s="4">
        <f>IFERROR(SOLID!AB45,0)</f>
        <v>735.7</v>
      </c>
      <c r="Y34" s="4">
        <f>IFERROR(SOLID!AC45,0)</f>
        <v>752.2</v>
      </c>
      <c r="Z34" s="4">
        <f>IFERROR(SOLID!AD45,0)</f>
        <v>768.7</v>
      </c>
      <c r="AA34" s="4">
        <f>IFERROR(SOLID!AE45,0)</f>
        <v>785.2</v>
      </c>
      <c r="AB34" s="4">
        <f>IFERROR(SOLID!AF45,0)</f>
        <v>801.8</v>
      </c>
      <c r="AC34" s="4">
        <f>IFERROR(SOLID!AG45,0)</f>
        <v>818.3</v>
      </c>
      <c r="AD34" s="4">
        <f>IFERROR(SOLID!AH45,0)</f>
        <v>834.8</v>
      </c>
      <c r="AE34" s="4">
        <f>IFERROR(SOLID!AI45,0)</f>
        <v>851.3</v>
      </c>
      <c r="AF34" s="4">
        <f>IFERROR(SOLID!AJ45,0)</f>
        <v>867.8</v>
      </c>
      <c r="AG34" s="4">
        <f>IFERROR(SOLID!AK45,0)</f>
        <v>933.9</v>
      </c>
      <c r="AH34" s="4">
        <f>IFERROR(SOLID!AL45,0)</f>
        <v>950.4</v>
      </c>
      <c r="AI34" s="4">
        <f>IFERROR(SOLID!AM45,0)</f>
        <v>967</v>
      </c>
      <c r="AJ34" s="4">
        <f>IFERROR(SOLID!AN45,0)</f>
        <v>983.5</v>
      </c>
      <c r="AK34" s="4">
        <f>IFERROR(SOLID!AO45,0)</f>
        <v>1000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-60.89</v>
      </c>
      <c r="D35" s="16">
        <f ca="1">IFERROR(SOLID!H46,0)</f>
        <v>-58.339999999999996</v>
      </c>
      <c r="E35" s="16">
        <f ca="1">IFERROR(SOLID!I46,0)</f>
        <v>-56.089999999999996</v>
      </c>
      <c r="F35" s="16">
        <f ca="1">IFERROR(SOLID!J46,0)</f>
        <v>-54.059999999999995</v>
      </c>
      <c r="G35" s="16">
        <f ca="1">IFERROR(SOLID!K46,0)</f>
        <v>-54.15</v>
      </c>
      <c r="H35" s="16">
        <f ca="1">IFERROR(SOLID!L46,0)</f>
        <v>-52.5</v>
      </c>
      <c r="I35" s="16">
        <f ca="1">IFERROR(SOLID!M46,0)</f>
        <v>-51.230000000000004</v>
      </c>
      <c r="J35" s="16">
        <f ca="1">IFERROR(SOLID!N46,0)</f>
        <v>-50.673000000000002</v>
      </c>
      <c r="K35" s="16">
        <f ca="1">IFERROR(SOLID!O46,0)</f>
        <v>-49.097999999999999</v>
      </c>
      <c r="L35" s="16">
        <f ca="1">IFERROR(SOLID!P46,0)</f>
        <v>-48.832999999999998</v>
      </c>
      <c r="M35" s="16">
        <f ca="1">IFERROR(SOLID!Q46,0)</f>
        <v>-48.589999999999996</v>
      </c>
      <c r="N35" s="16">
        <f ca="1">IFERROR(SOLID!R46,0)</f>
        <v>-48.655000000000001</v>
      </c>
      <c r="O35" s="16">
        <f ca="1">IFERROR(SOLID!S46,0)</f>
        <v>-49.195</v>
      </c>
      <c r="P35" s="16">
        <f ca="1">IFERROR(SOLID!T46,0)</f>
        <v>-49.715000000000003</v>
      </c>
      <c r="Q35" s="16">
        <f ca="1">IFERROR(SOLID!U46,0)</f>
        <v>-50.235999999999997</v>
      </c>
      <c r="R35" s="16">
        <f ca="1">IFERROR(SOLID!V46,0)</f>
        <v>-50.756</v>
      </c>
      <c r="S35" s="16">
        <f ca="1">IFERROR(SOLID!W46,0)</f>
        <v>-51.277000000000001</v>
      </c>
      <c r="T35" s="16">
        <f ca="1">IFERROR(SOLID!X46,0)</f>
        <v>-51.797999999999995</v>
      </c>
      <c r="U35" s="16">
        <f ca="1">IFERROR(SOLID!Y46,0)</f>
        <v>-52.298999999999999</v>
      </c>
      <c r="V35" s="16">
        <f ca="1">IFERROR(SOLID!Z46,0)</f>
        <v>-52.8</v>
      </c>
      <c r="W35" s="16">
        <f ca="1">IFERROR(SOLID!AA46,0)</f>
        <v>-53.301000000000002</v>
      </c>
      <c r="X35" s="16">
        <f ca="1">IFERROR(SOLID!AB46,0)</f>
        <v>-55.262999999999998</v>
      </c>
      <c r="Y35" s="16">
        <f ca="1">IFERROR(SOLID!AC46,0)</f>
        <v>-55.743000000000002</v>
      </c>
      <c r="Z35" s="16">
        <f ca="1">IFERROR(SOLID!AD46,0)</f>
        <v>-56.222000000000001</v>
      </c>
      <c r="AA35" s="16">
        <f ca="1">IFERROR(SOLID!AE46,0)</f>
        <v>-56.701999999999998</v>
      </c>
      <c r="AB35" s="16">
        <f ca="1">IFERROR(SOLID!AF46,0)</f>
        <v>-57.161000000000001</v>
      </c>
      <c r="AC35" s="16">
        <f ca="1">IFERROR(SOLID!AG46,0)</f>
        <v>-57.620000000000005</v>
      </c>
      <c r="AD35" s="16">
        <f ca="1">IFERROR(SOLID!AH46,0)</f>
        <v>-58.078000000000003</v>
      </c>
      <c r="AE35" s="16">
        <f ca="1">IFERROR(SOLID!AI46,0)</f>
        <v>-58.536999999999999</v>
      </c>
      <c r="AF35" s="16">
        <f ca="1">IFERROR(SOLID!AJ46,0)</f>
        <v>-58.994999999999997</v>
      </c>
      <c r="AG35" s="16">
        <f ca="1">IFERROR(SOLID!AK46,0)</f>
        <v>-60.763999999999996</v>
      </c>
      <c r="AH35" s="16">
        <f ca="1">IFERROR(SOLID!AL46,0)</f>
        <v>-61.201000000000001</v>
      </c>
      <c r="AI35" s="16">
        <f ca="1">IFERROR(SOLID!AM46,0)</f>
        <v>-61.637</v>
      </c>
      <c r="AJ35" s="16">
        <f ca="1">IFERROR(SOLID!AN46,0)</f>
        <v>-62.053000000000004</v>
      </c>
      <c r="AK35" s="16">
        <f ca="1">IFERROR(SOLID!AO46,0)</f>
        <v>-62.489000000000004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*Se[M]</v>
      </c>
      <c r="B36" s="16">
        <f ca="1">IFERROR(SOLID!F47,0)</f>
        <v>-23.95</v>
      </c>
      <c r="C36" s="16">
        <f ca="1">IFERROR(SOLID!G47,0)</f>
        <v>-22.83</v>
      </c>
      <c r="D36" s="16">
        <f ca="1">IFERROR(SOLID!H47,0)</f>
        <v>-21.83</v>
      </c>
      <c r="E36" s="16">
        <f ca="1">IFERROR(SOLID!I47,0)</f>
        <v>-20.95</v>
      </c>
      <c r="F36" s="16">
        <f ca="1">IFERROR(SOLID!J47,0)</f>
        <v>-20.149999999999999</v>
      </c>
      <c r="G36" s="16">
        <f ca="1">IFERROR(SOLID!K47,0)</f>
        <v>-21.33</v>
      </c>
      <c r="H36" s="16">
        <f ca="1">IFERROR(SOLID!L47,0)</f>
        <v>-20.67</v>
      </c>
      <c r="I36" s="16">
        <f ca="1">IFERROR(SOLID!M47,0)</f>
        <v>-20.28</v>
      </c>
      <c r="J36" s="16">
        <f ca="1">IFERROR(SOLID!N47,0)</f>
        <v>-20.53</v>
      </c>
      <c r="K36" s="16">
        <f ca="1">IFERROR(SOLID!O47,0)</f>
        <v>-21.53</v>
      </c>
      <c r="L36" s="16">
        <f ca="1">IFERROR(SOLID!P47,0)</f>
        <v>-21.78</v>
      </c>
      <c r="M36" s="16">
        <f ca="1">IFERROR(SOLID!Q47,0)</f>
        <v>-22.02</v>
      </c>
      <c r="N36" s="16">
        <f ca="1">IFERROR(SOLID!R47,0)</f>
        <v>-22.27</v>
      </c>
      <c r="O36" s="16">
        <f ca="1">IFERROR(SOLID!S47,0)</f>
        <v>-22.52</v>
      </c>
      <c r="P36" s="16">
        <f ca="1">IFERROR(SOLID!T47,0)</f>
        <v>-22.76</v>
      </c>
      <c r="Q36" s="16">
        <f ca="1">IFERROR(SOLID!U47,0)</f>
        <v>-23</v>
      </c>
      <c r="R36" s="16">
        <f ca="1">IFERROR(SOLID!V47,0)</f>
        <v>-23.24</v>
      </c>
      <c r="S36" s="16">
        <f ca="1">IFERROR(SOLID!W47,0)</f>
        <v>-23.48</v>
      </c>
      <c r="T36" s="16">
        <f ca="1">IFERROR(SOLID!X47,0)</f>
        <v>-23.72</v>
      </c>
      <c r="U36" s="16">
        <f ca="1">IFERROR(SOLID!Y47,0)</f>
        <v>-23.95</v>
      </c>
      <c r="V36" s="16">
        <f ca="1">IFERROR(SOLID!Z47,0)</f>
        <v>-24.18</v>
      </c>
      <c r="W36" s="16">
        <f ca="1">IFERROR(SOLID!AA47,0)</f>
        <v>-24.41</v>
      </c>
      <c r="X36" s="16">
        <f ca="1">IFERROR(SOLID!AB47,0)</f>
        <v>-25.31</v>
      </c>
      <c r="Y36" s="16">
        <f ca="1">IFERROR(SOLID!AC47,0)</f>
        <v>-25.53</v>
      </c>
      <c r="Z36" s="16">
        <f ca="1">IFERROR(SOLID!AD47,0)</f>
        <v>-25.75</v>
      </c>
      <c r="AA36" s="16">
        <f ca="1">IFERROR(SOLID!AE47,0)</f>
        <v>-25.97</v>
      </c>
      <c r="AB36" s="16">
        <f ca="1">IFERROR(SOLID!AF47,0)</f>
        <v>-26.18</v>
      </c>
      <c r="AC36" s="16">
        <f ca="1">IFERROR(SOLID!AG47,0)</f>
        <v>-26.39</v>
      </c>
      <c r="AD36" s="16">
        <f ca="1">IFERROR(SOLID!AH47,0)</f>
        <v>-26.6</v>
      </c>
      <c r="AE36" s="16">
        <f ca="1">IFERROR(SOLID!AI47,0)</f>
        <v>-26.81</v>
      </c>
      <c r="AF36" s="16">
        <f ca="1">IFERROR(SOLID!AJ47,0)</f>
        <v>-27.02</v>
      </c>
      <c r="AG36" s="16">
        <f ca="1">IFERROR(SOLID!AK47,0)</f>
        <v>-27.83</v>
      </c>
      <c r="AH36" s="16">
        <f ca="1">IFERROR(SOLID!AL47,0)</f>
        <v>-28.03</v>
      </c>
      <c r="AI36" s="16">
        <f ca="1">IFERROR(SOLID!AM47,0)</f>
        <v>-28.23</v>
      </c>
      <c r="AJ36" s="16">
        <f ca="1">IFERROR(SOLID!AN47,0)</f>
        <v>-28.42</v>
      </c>
      <c r="AK36" s="16">
        <f ca="1">IFERROR(SOLID!AO47,0)</f>
        <v>-28.62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*Ge</v>
      </c>
      <c r="B37" s="16">
        <f ca="1">IFERROR(SOLID!F48,0)</f>
        <v>-15.86</v>
      </c>
      <c r="C37" s="16">
        <f ca="1">IFERROR(SOLID!G48,0)</f>
        <v>-15.23</v>
      </c>
      <c r="D37" s="16">
        <f ca="1">IFERROR(SOLID!H48,0)</f>
        <v>-14.68</v>
      </c>
      <c r="E37" s="16">
        <f ca="1">IFERROR(SOLID!I48,0)</f>
        <v>-14.19</v>
      </c>
      <c r="F37" s="16">
        <f ca="1">IFERROR(SOLID!J48,0)</f>
        <v>-13.76</v>
      </c>
      <c r="G37" s="16">
        <f ca="1">IFERROR(SOLID!K48,0)</f>
        <v>-11.49</v>
      </c>
      <c r="H37" s="16">
        <f ca="1">IFERROR(SOLID!L48,0)</f>
        <v>-11.16</v>
      </c>
      <c r="I37" s="16">
        <f ca="1">IFERROR(SOLID!M48,0)</f>
        <v>-10.67</v>
      </c>
      <c r="J37" s="16">
        <f ca="1">IFERROR(SOLID!N48,0)</f>
        <v>-9.6129999999999995</v>
      </c>
      <c r="K37" s="16">
        <f ca="1">IFERROR(SOLID!O48,0)</f>
        <v>-6.0380000000000003</v>
      </c>
      <c r="L37" s="16">
        <f ca="1">IFERROR(SOLID!P48,0)</f>
        <v>-5.2729999999999997</v>
      </c>
      <c r="M37" s="16">
        <f ca="1">IFERROR(SOLID!Q48,0)</f>
        <v>-4.55</v>
      </c>
      <c r="N37" s="16">
        <f ca="1">IFERROR(SOLID!R48,0)</f>
        <v>-4.1150000000000002</v>
      </c>
      <c r="O37" s="16">
        <f ca="1">IFERROR(SOLID!S48,0)</f>
        <v>-4.1550000000000002</v>
      </c>
      <c r="P37" s="16">
        <f ca="1">IFERROR(SOLID!T48,0)</f>
        <v>-4.1950000000000003</v>
      </c>
      <c r="Q37" s="16">
        <f ca="1">IFERROR(SOLID!U48,0)</f>
        <v>-4.2359999999999998</v>
      </c>
      <c r="R37" s="16">
        <f ca="1">IFERROR(SOLID!V48,0)</f>
        <v>-4.2759999999999998</v>
      </c>
      <c r="S37" s="16">
        <f ca="1">IFERROR(SOLID!W48,0)</f>
        <v>-4.3170000000000002</v>
      </c>
      <c r="T37" s="16">
        <f ca="1">IFERROR(SOLID!X48,0)</f>
        <v>-4.3579999999999997</v>
      </c>
      <c r="U37" s="16">
        <f ca="1">IFERROR(SOLID!Y48,0)</f>
        <v>-4.399</v>
      </c>
      <c r="V37" s="16">
        <f ca="1">IFERROR(SOLID!Z48,0)</f>
        <v>-4.4400000000000004</v>
      </c>
      <c r="W37" s="16">
        <f ca="1">IFERROR(SOLID!AA48,0)</f>
        <v>-4.4809999999999999</v>
      </c>
      <c r="X37" s="16">
        <f ca="1">IFERROR(SOLID!AB48,0)</f>
        <v>-4.6429999999999998</v>
      </c>
      <c r="Y37" s="16">
        <f ca="1">IFERROR(SOLID!AC48,0)</f>
        <v>-4.6829999999999998</v>
      </c>
      <c r="Z37" s="16">
        <f ca="1">IFERROR(SOLID!AD48,0)</f>
        <v>-4.7220000000000004</v>
      </c>
      <c r="AA37" s="16">
        <f ca="1">IFERROR(SOLID!AE48,0)</f>
        <v>-4.7619999999999996</v>
      </c>
      <c r="AB37" s="16">
        <f ca="1">IFERROR(SOLID!AF48,0)</f>
        <v>-4.8010000000000002</v>
      </c>
      <c r="AC37" s="16">
        <f ca="1">IFERROR(SOLID!AG48,0)</f>
        <v>-4.84</v>
      </c>
      <c r="AD37" s="16">
        <f ca="1">IFERROR(SOLID!AH48,0)</f>
        <v>-4.8780000000000001</v>
      </c>
      <c r="AE37" s="16">
        <f ca="1">IFERROR(SOLID!AI48,0)</f>
        <v>-4.9169999999999998</v>
      </c>
      <c r="AF37" s="16">
        <f ca="1">IFERROR(SOLID!AJ48,0)</f>
        <v>-4.9550000000000001</v>
      </c>
      <c r="AG37" s="16">
        <f ca="1">IFERROR(SOLID!AK48,0)</f>
        <v>-5.1040000000000001</v>
      </c>
      <c r="AH37" s="16">
        <f ca="1">IFERROR(SOLID!AL48,0)</f>
        <v>-5.141</v>
      </c>
      <c r="AI37" s="16">
        <f ca="1">IFERROR(SOLID!AM48,0)</f>
        <v>-5.1769999999999996</v>
      </c>
      <c r="AJ37" s="16">
        <f ca="1">IFERROR(SOLID!AN48,0)</f>
        <v>-5.2130000000000001</v>
      </c>
      <c r="AK37" s="16">
        <f ca="1">IFERROR(SOLID!AO48,0)</f>
        <v>-5.2489999999999997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*Ga2Se3</v>
      </c>
      <c r="B38" s="16">
        <f ca="1">IFERROR(SOLID!F49,0)</f>
        <v>-201.69</v>
      </c>
      <c r="C38" s="16">
        <f ca="1">IFERROR(SOLID!G49,0)</f>
        <v>-191.39</v>
      </c>
      <c r="D38" s="16">
        <f ca="1">IFERROR(SOLID!H49,0)</f>
        <v>-182.20999999999998</v>
      </c>
      <c r="E38" s="16">
        <f ca="1">IFERROR(SOLID!I49,0)</f>
        <v>-174.05</v>
      </c>
      <c r="F38" s="16">
        <f ca="1">IFERROR(SOLID!J49,0)</f>
        <v>-166.67</v>
      </c>
      <c r="G38" s="16">
        <f ca="1">IFERROR(SOLID!K49,0)</f>
        <v>-160.03</v>
      </c>
      <c r="H38" s="16">
        <f ca="1">IFERROR(SOLID!L49,0)</f>
        <v>-154.03</v>
      </c>
      <c r="I38" s="16">
        <f ca="1">IFERROR(SOLID!M49,0)</f>
        <v>-148.56</v>
      </c>
      <c r="J38" s="16">
        <f ca="1">IFERROR(SOLID!N49,0)</f>
        <v>-143.55000000000001</v>
      </c>
      <c r="K38" s="16">
        <f ca="1">IFERROR(SOLID!O49,0)</f>
        <v>-127.23</v>
      </c>
      <c r="L38" s="16">
        <f ca="1">IFERROR(SOLID!P49,0)</f>
        <v>-123.9</v>
      </c>
      <c r="M38" s="16">
        <f ca="1">IFERROR(SOLID!Q49,0)</f>
        <v>-120.76</v>
      </c>
      <c r="N38" s="16">
        <f ca="1">IFERROR(SOLID!R49,0)</f>
        <v>-117.87</v>
      </c>
      <c r="O38" s="16">
        <f ca="1">IFERROR(SOLID!S49,0)</f>
        <v>-115.18</v>
      </c>
      <c r="P38" s="16">
        <f ca="1">IFERROR(SOLID!T49,0)</f>
        <v>-112.64</v>
      </c>
      <c r="Q38" s="16">
        <f ca="1">IFERROR(SOLID!U49,0)</f>
        <v>-110.25999999999999</v>
      </c>
      <c r="R38" s="16">
        <f ca="1">IFERROR(SOLID!V49,0)</f>
        <v>-108.03999999999999</v>
      </c>
      <c r="S38" s="16">
        <f ca="1">IFERROR(SOLID!W49,0)</f>
        <v>-106.14</v>
      </c>
      <c r="T38" s="16">
        <f ca="1">IFERROR(SOLID!X49,0)</f>
        <v>-104.86</v>
      </c>
      <c r="U38" s="16">
        <f ca="1">IFERROR(SOLID!Y49,0)</f>
        <v>-103.64999999999999</v>
      </c>
      <c r="V38" s="16">
        <f ca="1">IFERROR(SOLID!Z49,0)</f>
        <v>-102.53999999999999</v>
      </c>
      <c r="W38" s="16">
        <f ca="1">IFERROR(SOLID!AA49,0)</f>
        <v>-101.49000000000001</v>
      </c>
      <c r="X38" s="16">
        <f ca="1">IFERROR(SOLID!AB49,0)</f>
        <v>-97.929999999999993</v>
      </c>
      <c r="Y38" s="16">
        <f ca="1">IFERROR(SOLID!AC49,0)</f>
        <v>-97.17</v>
      </c>
      <c r="Z38" s="16">
        <f ca="1">IFERROR(SOLID!AD49,0)</f>
        <v>-96.462000000000003</v>
      </c>
      <c r="AA38" s="16">
        <f ca="1">IFERROR(SOLID!AE49,0)</f>
        <v>-95.805999999999997</v>
      </c>
      <c r="AB38" s="16">
        <f ca="1">IFERROR(SOLID!AF49,0)</f>
        <v>-95.165999999999997</v>
      </c>
      <c r="AC38" s="16">
        <f ca="1">IFERROR(SOLID!AG49,0)</f>
        <v>-94.6</v>
      </c>
      <c r="AD38" s="16">
        <f ca="1">IFERROR(SOLID!AH49,0)</f>
        <v>-95.394000000000005</v>
      </c>
      <c r="AE38" s="16">
        <f ca="1">IFERROR(SOLID!AI49,0)</f>
        <v>-96.187999999999988</v>
      </c>
      <c r="AF38" s="16">
        <f ca="1">IFERROR(SOLID!AJ49,0)</f>
        <v>-96.986000000000004</v>
      </c>
      <c r="AG38" s="16">
        <f ca="1">IFERROR(SOLID!AK49,0)</f>
        <v>-100.128</v>
      </c>
      <c r="AH38" s="16">
        <f ca="1">IFERROR(SOLID!AL49,0)</f>
        <v>-100.92</v>
      </c>
      <c r="AI38" s="16">
        <f ca="1">IFERROR(SOLID!AM49,0)</f>
        <v>-101.71799999999999</v>
      </c>
      <c r="AJ38" s="16">
        <f ca="1">IFERROR(SOLID!AN49,0)</f>
        <v>-102.49600000000001</v>
      </c>
      <c r="AK38" s="16">
        <f ca="1">IFERROR(SOLID!AO49,0)</f>
        <v>-103.312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*Ga[l]</v>
      </c>
      <c r="B39" s="16">
        <f ca="1">IFERROR(SOLID!F50,0)</f>
        <v>-64.92</v>
      </c>
      <c r="C39" s="16">
        <f ca="1">IFERROR(SOLID!G50,0)</f>
        <v>-61.45</v>
      </c>
      <c r="D39" s="16">
        <f ca="1">IFERROR(SOLID!H50,0)</f>
        <v>-58.36</v>
      </c>
      <c r="E39" s="16">
        <f ca="1">IFERROR(SOLID!I50,0)</f>
        <v>-55.6</v>
      </c>
      <c r="F39" s="16">
        <f ca="1">IFERROR(SOLID!J50,0)</f>
        <v>-53.11</v>
      </c>
      <c r="G39" s="16">
        <f ca="1">IFERROR(SOLID!K50,0)</f>
        <v>-48.02</v>
      </c>
      <c r="H39" s="16">
        <f ca="1">IFERROR(SOLID!L50,0)</f>
        <v>-46.01</v>
      </c>
      <c r="I39" s="16">
        <f ca="1">IFERROR(SOLID!M50,0)</f>
        <v>-43.86</v>
      </c>
      <c r="J39" s="16">
        <f ca="1">IFERROR(SOLID!N50,0)</f>
        <v>-40.98</v>
      </c>
      <c r="K39" s="16">
        <f ca="1">IFERROR(SOLID!O50,0)</f>
        <v>-31.32</v>
      </c>
      <c r="L39" s="16">
        <f ca="1">IFERROR(SOLID!P50,0)</f>
        <v>-29.28</v>
      </c>
      <c r="M39" s="16">
        <f ca="1">IFERROR(SOLID!Q50,0)</f>
        <v>-27.35</v>
      </c>
      <c r="N39" s="16">
        <f ca="1">IFERROR(SOLID!R50,0)</f>
        <v>-25.53</v>
      </c>
      <c r="O39" s="16">
        <f ca="1">IFERROR(SOLID!S50,0)</f>
        <v>-23.81</v>
      </c>
      <c r="P39" s="16">
        <f ca="1">IFERROR(SOLID!T50,0)</f>
        <v>-22.18</v>
      </c>
      <c r="Q39" s="16">
        <f ca="1">IFERROR(SOLID!U50,0)</f>
        <v>-20.63</v>
      </c>
      <c r="R39" s="16">
        <f ca="1">IFERROR(SOLID!V50,0)</f>
        <v>-19.16</v>
      </c>
      <c r="S39" s="16">
        <f ca="1">IFERROR(SOLID!W50,0)</f>
        <v>-17.850000000000001</v>
      </c>
      <c r="T39" s="16">
        <f ca="1">IFERROR(SOLID!X50,0)</f>
        <v>-16.850000000000001</v>
      </c>
      <c r="U39" s="16">
        <f ca="1">IFERROR(SOLID!Y50,0)</f>
        <v>-15.9</v>
      </c>
      <c r="V39" s="16">
        <f ca="1">IFERROR(SOLID!Z50,0)</f>
        <v>-15</v>
      </c>
      <c r="W39" s="16">
        <f ca="1">IFERROR(SOLID!AA50,0)</f>
        <v>-14.13</v>
      </c>
      <c r="X39" s="16">
        <f ca="1">IFERROR(SOLID!AB50,0)</f>
        <v>-11</v>
      </c>
      <c r="Y39" s="16">
        <f ca="1">IFERROR(SOLID!AC50,0)</f>
        <v>-10.29</v>
      </c>
      <c r="Z39" s="16">
        <f ca="1">IFERROR(SOLID!AD50,0)</f>
        <v>-9.6059999999999999</v>
      </c>
      <c r="AA39" s="16">
        <f ca="1">IFERROR(SOLID!AE50,0)</f>
        <v>-8.9480000000000004</v>
      </c>
      <c r="AB39" s="16">
        <f ca="1">IFERROR(SOLID!AF50,0)</f>
        <v>-8.3130000000000006</v>
      </c>
      <c r="AC39" s="16">
        <f ca="1">IFERROR(SOLID!AG50,0)</f>
        <v>-7.7149999999999999</v>
      </c>
      <c r="AD39" s="16">
        <f ca="1">IFERROR(SOLID!AH50,0)</f>
        <v>-7.7969999999999997</v>
      </c>
      <c r="AE39" s="16">
        <f ca="1">IFERROR(SOLID!AI50,0)</f>
        <v>-7.8789999999999996</v>
      </c>
      <c r="AF39" s="16">
        <f ca="1">IFERROR(SOLID!AJ50,0)</f>
        <v>-7.9630000000000001</v>
      </c>
      <c r="AG39" s="16">
        <f ca="1">IFERROR(SOLID!AK50,0)</f>
        <v>-8.3190000000000008</v>
      </c>
      <c r="AH39" s="16">
        <f ca="1">IFERROR(SOLID!AL50,0)</f>
        <v>-8.4149999999999991</v>
      </c>
      <c r="AI39" s="16">
        <f ca="1">IFERROR(SOLID!AM50,0)</f>
        <v>-8.5139999999999993</v>
      </c>
      <c r="AJ39" s="16">
        <f ca="1">IFERROR(SOLID!AN50,0)</f>
        <v>-8.6180000000000003</v>
      </c>
      <c r="AK39" s="16">
        <f ca="1">IFERROR(SOLID!AO50,0)</f>
        <v>-8.7260000000000009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*Ge[l]</v>
      </c>
      <c r="B40" s="16">
        <f ca="1">IFERROR(SOLID!F51,0)</f>
        <v>-15.86</v>
      </c>
      <c r="C40" s="16">
        <f ca="1">IFERROR(SOLID!G51,0)</f>
        <v>-15.23</v>
      </c>
      <c r="D40" s="16">
        <f ca="1">IFERROR(SOLID!H51,0)</f>
        <v>-14.68</v>
      </c>
      <c r="E40" s="16">
        <f ca="1">IFERROR(SOLID!I51,0)</f>
        <v>-14.19</v>
      </c>
      <c r="F40" s="16">
        <f ca="1">IFERROR(SOLID!J51,0)</f>
        <v>-13.76</v>
      </c>
      <c r="G40" s="16">
        <f ca="1">IFERROR(SOLID!K51,0)</f>
        <v>-11.49</v>
      </c>
      <c r="H40" s="16">
        <f ca="1">IFERROR(SOLID!L51,0)</f>
        <v>-11.16</v>
      </c>
      <c r="I40" s="16">
        <f ca="1">IFERROR(SOLID!M51,0)</f>
        <v>-10.67</v>
      </c>
      <c r="J40" s="16">
        <f ca="1">IFERROR(SOLID!N51,0)</f>
        <v>-9.6129999999999995</v>
      </c>
      <c r="K40" s="16">
        <f ca="1">IFERROR(SOLID!O51,0)</f>
        <v>-6.0380000000000003</v>
      </c>
      <c r="L40" s="16">
        <f ca="1">IFERROR(SOLID!P51,0)</f>
        <v>-5.2729999999999997</v>
      </c>
      <c r="M40" s="16">
        <f ca="1">IFERROR(SOLID!Q51,0)</f>
        <v>-4.55</v>
      </c>
      <c r="N40" s="16">
        <f ca="1">IFERROR(SOLID!R51,0)</f>
        <v>-4.1150000000000002</v>
      </c>
      <c r="O40" s="16">
        <f ca="1">IFERROR(SOLID!S51,0)</f>
        <v>-4.1550000000000002</v>
      </c>
      <c r="P40" s="16">
        <f ca="1">IFERROR(SOLID!T51,0)</f>
        <v>-4.1950000000000003</v>
      </c>
      <c r="Q40" s="16">
        <f ca="1">IFERROR(SOLID!U51,0)</f>
        <v>-4.2359999999999998</v>
      </c>
      <c r="R40" s="16">
        <f ca="1">IFERROR(SOLID!V51,0)</f>
        <v>-4.2759999999999998</v>
      </c>
      <c r="S40" s="16">
        <f ca="1">IFERROR(SOLID!W51,0)</f>
        <v>-4.3170000000000002</v>
      </c>
      <c r="T40" s="16">
        <f ca="1">IFERROR(SOLID!X51,0)</f>
        <v>-4.3579999999999997</v>
      </c>
      <c r="U40" s="16">
        <f ca="1">IFERROR(SOLID!Y51,0)</f>
        <v>-4.399</v>
      </c>
      <c r="V40" s="16">
        <f ca="1">IFERROR(SOLID!Z51,0)</f>
        <v>-4.4400000000000004</v>
      </c>
      <c r="W40" s="16">
        <f ca="1">IFERROR(SOLID!AA51,0)</f>
        <v>-4.4809999999999999</v>
      </c>
      <c r="X40" s="16">
        <f ca="1">IFERROR(SOLID!AB51,0)</f>
        <v>-4.6429999999999998</v>
      </c>
      <c r="Y40" s="16">
        <f ca="1">IFERROR(SOLID!AC51,0)</f>
        <v>-4.6829999999999998</v>
      </c>
      <c r="Z40" s="16">
        <f ca="1">IFERROR(SOLID!AD51,0)</f>
        <v>-4.7220000000000004</v>
      </c>
      <c r="AA40" s="16">
        <f ca="1">IFERROR(SOLID!AE51,0)</f>
        <v>-4.7619999999999996</v>
      </c>
      <c r="AB40" s="16">
        <f ca="1">IFERROR(SOLID!AF51,0)</f>
        <v>-4.8010000000000002</v>
      </c>
      <c r="AC40" s="16">
        <f ca="1">IFERROR(SOLID!AG51,0)</f>
        <v>-4.84</v>
      </c>
      <c r="AD40" s="16">
        <f ca="1">IFERROR(SOLID!AH51,0)</f>
        <v>-4.8780000000000001</v>
      </c>
      <c r="AE40" s="16">
        <f ca="1">IFERROR(SOLID!AI51,0)</f>
        <v>-4.9169999999999998</v>
      </c>
      <c r="AF40" s="16">
        <f ca="1">IFERROR(SOLID!AJ51,0)</f>
        <v>-4.9550000000000001</v>
      </c>
      <c r="AG40" s="16">
        <f ca="1">IFERROR(SOLID!AK51,0)</f>
        <v>-5.1040000000000001</v>
      </c>
      <c r="AH40" s="16">
        <f ca="1">IFERROR(SOLID!AL51,0)</f>
        <v>-5.141</v>
      </c>
      <c r="AI40" s="16">
        <f ca="1">IFERROR(SOLID!AM51,0)</f>
        <v>-5.1769999999999996</v>
      </c>
      <c r="AJ40" s="16">
        <f ca="1">IFERROR(SOLID!AN51,0)</f>
        <v>-5.2130000000000001</v>
      </c>
      <c r="AK40" s="16">
        <f ca="1">IFERROR(SOLID!AO51,0)</f>
        <v>-5.2489999999999997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*GaSe</v>
      </c>
      <c r="B41" s="16">
        <f ca="1">IFERROR(SOLID!F52,0)</f>
        <v>-88.87</v>
      </c>
      <c r="C41" s="16">
        <f ca="1">IFERROR(SOLID!G52,0)</f>
        <v>-84.28</v>
      </c>
      <c r="D41" s="16">
        <f ca="1">IFERROR(SOLID!H52,0)</f>
        <v>-80.19</v>
      </c>
      <c r="E41" s="16">
        <f ca="1">IFERROR(SOLID!I52,0)</f>
        <v>-76.55</v>
      </c>
      <c r="F41" s="16">
        <f ca="1">IFERROR(SOLID!J52,0)</f>
        <v>-73.259999999999991</v>
      </c>
      <c r="G41" s="16">
        <f ca="1">IFERROR(SOLID!K52,0)</f>
        <v>-69.349999999999994</v>
      </c>
      <c r="H41" s="16">
        <f ca="1">IFERROR(SOLID!L52,0)</f>
        <v>-66.680000000000007</v>
      </c>
      <c r="I41" s="16">
        <f ca="1">IFERROR(SOLID!M52,0)</f>
        <v>-64.14</v>
      </c>
      <c r="J41" s="16">
        <f ca="1">IFERROR(SOLID!N52,0)</f>
        <v>-61.51</v>
      </c>
      <c r="K41" s="16">
        <f ca="1">IFERROR(SOLID!O52,0)</f>
        <v>-52.85</v>
      </c>
      <c r="L41" s="16">
        <f ca="1">IFERROR(SOLID!P52,0)</f>
        <v>-51.06</v>
      </c>
      <c r="M41" s="16">
        <f ca="1">IFERROR(SOLID!Q52,0)</f>
        <v>-49.370000000000005</v>
      </c>
      <c r="N41" s="16">
        <f ca="1">IFERROR(SOLID!R52,0)</f>
        <v>-47.8</v>
      </c>
      <c r="O41" s="16">
        <f ca="1">IFERROR(SOLID!S52,0)</f>
        <v>-46.33</v>
      </c>
      <c r="P41" s="16">
        <f ca="1">IFERROR(SOLID!T52,0)</f>
        <v>-44.94</v>
      </c>
      <c r="Q41" s="16">
        <f ca="1">IFERROR(SOLID!U52,0)</f>
        <v>-43.629999999999995</v>
      </c>
      <c r="R41" s="16">
        <f ca="1">IFERROR(SOLID!V52,0)</f>
        <v>-42.4</v>
      </c>
      <c r="S41" s="16">
        <f ca="1">IFERROR(SOLID!W52,0)</f>
        <v>-41.33</v>
      </c>
      <c r="T41" s="16">
        <f ca="1">IFERROR(SOLID!X52,0)</f>
        <v>-40.57</v>
      </c>
      <c r="U41" s="16">
        <f ca="1">IFERROR(SOLID!Y52,0)</f>
        <v>-39.85</v>
      </c>
      <c r="V41" s="16">
        <f ca="1">IFERROR(SOLID!Z52,0)</f>
        <v>-39.18</v>
      </c>
      <c r="W41" s="16">
        <f ca="1">IFERROR(SOLID!AA52,0)</f>
        <v>-38.54</v>
      </c>
      <c r="X41" s="16">
        <f ca="1">IFERROR(SOLID!AB52,0)</f>
        <v>-36.31</v>
      </c>
      <c r="Y41" s="16">
        <f ca="1">IFERROR(SOLID!AC52,0)</f>
        <v>-35.82</v>
      </c>
      <c r="Z41" s="16">
        <f ca="1">IFERROR(SOLID!AD52,0)</f>
        <v>-35.356000000000002</v>
      </c>
      <c r="AA41" s="16">
        <f ca="1">IFERROR(SOLID!AE52,0)</f>
        <v>-34.917999999999999</v>
      </c>
      <c r="AB41" s="16">
        <f ca="1">IFERROR(SOLID!AF52,0)</f>
        <v>-34.493000000000002</v>
      </c>
      <c r="AC41" s="16">
        <f ca="1">IFERROR(SOLID!AG52,0)</f>
        <v>-34.105000000000004</v>
      </c>
      <c r="AD41" s="16">
        <f ca="1">IFERROR(SOLID!AH52,0)</f>
        <v>-34.396999999999998</v>
      </c>
      <c r="AE41" s="16">
        <f ca="1">IFERROR(SOLID!AI52,0)</f>
        <v>-34.689</v>
      </c>
      <c r="AF41" s="16">
        <f ca="1">IFERROR(SOLID!AJ52,0)</f>
        <v>-34.982999999999997</v>
      </c>
      <c r="AG41" s="16">
        <f ca="1">IFERROR(SOLID!AK52,0)</f>
        <v>-36.149000000000001</v>
      </c>
      <c r="AH41" s="16">
        <f ca="1">IFERROR(SOLID!AL52,0)</f>
        <v>-36.445</v>
      </c>
      <c r="AI41" s="16">
        <f ca="1">IFERROR(SOLID!AM52,0)</f>
        <v>-36.744</v>
      </c>
      <c r="AJ41" s="16">
        <f ca="1">IFERROR(SOLID!AN52,0)</f>
        <v>-37.038000000000004</v>
      </c>
      <c r="AK41" s="16">
        <f ca="1">IFERROR(SOLID!AO52,0)</f>
        <v>-37.346000000000004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*GeSe</v>
      </c>
      <c r="B42" s="16">
        <f ca="1">IFERROR(SOLID!F53,0)</f>
        <v>-39.81</v>
      </c>
      <c r="C42" s="16">
        <f ca="1">IFERROR(SOLID!G53,0)</f>
        <v>-38.06</v>
      </c>
      <c r="D42" s="16">
        <f ca="1">IFERROR(SOLID!H53,0)</f>
        <v>-36.51</v>
      </c>
      <c r="E42" s="16">
        <f ca="1">IFERROR(SOLID!I53,0)</f>
        <v>-35.14</v>
      </c>
      <c r="F42" s="16">
        <f ca="1">IFERROR(SOLID!J53,0)</f>
        <v>-33.909999999999997</v>
      </c>
      <c r="G42" s="16">
        <f ca="1">IFERROR(SOLID!K53,0)</f>
        <v>-32.82</v>
      </c>
      <c r="H42" s="16">
        <f ca="1">IFERROR(SOLID!L53,0)</f>
        <v>-31.830000000000002</v>
      </c>
      <c r="I42" s="16">
        <f ca="1">IFERROR(SOLID!M53,0)</f>
        <v>-30.950000000000003</v>
      </c>
      <c r="J42" s="16">
        <f ca="1">IFERROR(SOLID!N53,0)</f>
        <v>-30.143000000000001</v>
      </c>
      <c r="K42" s="16">
        <f ca="1">IFERROR(SOLID!O53,0)</f>
        <v>-27.568000000000001</v>
      </c>
      <c r="L42" s="16">
        <f ca="1">IFERROR(SOLID!P53,0)</f>
        <v>-27.053000000000001</v>
      </c>
      <c r="M42" s="16">
        <f ca="1">IFERROR(SOLID!Q53,0)</f>
        <v>-26.57</v>
      </c>
      <c r="N42" s="16">
        <f ca="1">IFERROR(SOLID!R53,0)</f>
        <v>-26.384999999999998</v>
      </c>
      <c r="O42" s="16">
        <f ca="1">IFERROR(SOLID!S53,0)</f>
        <v>-26.675000000000001</v>
      </c>
      <c r="P42" s="16">
        <f ca="1">IFERROR(SOLID!T53,0)</f>
        <v>-26.955000000000002</v>
      </c>
      <c r="Q42" s="16">
        <f ca="1">IFERROR(SOLID!U53,0)</f>
        <v>-27.236000000000001</v>
      </c>
      <c r="R42" s="16">
        <f ca="1">IFERROR(SOLID!V53,0)</f>
        <v>-27.515999999999998</v>
      </c>
      <c r="S42" s="16">
        <f ca="1">IFERROR(SOLID!W53,0)</f>
        <v>-27.797000000000001</v>
      </c>
      <c r="T42" s="16">
        <f ca="1">IFERROR(SOLID!X53,0)</f>
        <v>-28.077999999999999</v>
      </c>
      <c r="U42" s="16">
        <f ca="1">IFERROR(SOLID!Y53,0)</f>
        <v>-28.349</v>
      </c>
      <c r="V42" s="16">
        <f ca="1">IFERROR(SOLID!Z53,0)</f>
        <v>-28.62</v>
      </c>
      <c r="W42" s="16">
        <f ca="1">IFERROR(SOLID!AA53,0)</f>
        <v>-28.890999999999998</v>
      </c>
      <c r="X42" s="16">
        <f ca="1">IFERROR(SOLID!AB53,0)</f>
        <v>-29.952999999999999</v>
      </c>
      <c r="Y42" s="16">
        <f ca="1">IFERROR(SOLID!AC53,0)</f>
        <v>-30.213000000000001</v>
      </c>
      <c r="Z42" s="16">
        <f ca="1">IFERROR(SOLID!AD53,0)</f>
        <v>-30.472000000000001</v>
      </c>
      <c r="AA42" s="16">
        <f ca="1">IFERROR(SOLID!AE53,0)</f>
        <v>-30.731999999999999</v>
      </c>
      <c r="AB42" s="16">
        <f ca="1">IFERROR(SOLID!AF53,0)</f>
        <v>-30.981000000000002</v>
      </c>
      <c r="AC42" s="16">
        <f ca="1">IFERROR(SOLID!AG53,0)</f>
        <v>-31.23</v>
      </c>
      <c r="AD42" s="16">
        <f ca="1">IFERROR(SOLID!AH53,0)</f>
        <v>-31.478000000000002</v>
      </c>
      <c r="AE42" s="16">
        <f ca="1">IFERROR(SOLID!AI53,0)</f>
        <v>-31.726999999999997</v>
      </c>
      <c r="AF42" s="16">
        <f ca="1">IFERROR(SOLID!AJ53,0)</f>
        <v>-31.975000000000001</v>
      </c>
      <c r="AG42" s="16">
        <f ca="1">IFERROR(SOLID!AK53,0)</f>
        <v>-32.933999999999997</v>
      </c>
      <c r="AH42" s="16">
        <f ca="1">IFERROR(SOLID!AL53,0)</f>
        <v>-33.170999999999999</v>
      </c>
      <c r="AI42" s="16">
        <f ca="1">IFERROR(SOLID!AM53,0)</f>
        <v>-33.406999999999996</v>
      </c>
      <c r="AJ42" s="16">
        <f ca="1">IFERROR(SOLID!AN53,0)</f>
        <v>-33.633000000000003</v>
      </c>
      <c r="AK42" s="16">
        <f ca="1">IFERROR(SOLID!AO53,0)</f>
        <v>-33.869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Ga2Se</v>
      </c>
      <c r="B43" s="16">
        <f ca="1">IFERROR(SOLID!F54,0)</f>
        <v>-153.79</v>
      </c>
      <c r="C43" s="16">
        <f ca="1">IFERROR(SOLID!G54,0)</f>
        <v>-145.73000000000002</v>
      </c>
      <c r="D43" s="16">
        <f ca="1">IFERROR(SOLID!H54,0)</f>
        <v>-138.55000000000001</v>
      </c>
      <c r="E43" s="16">
        <f ca="1">IFERROR(SOLID!I54,0)</f>
        <v>-132.15</v>
      </c>
      <c r="F43" s="16">
        <f ca="1">IFERROR(SOLID!J54,0)</f>
        <v>-126.37</v>
      </c>
      <c r="G43" s="16">
        <f ca="1">IFERROR(SOLID!K54,0)</f>
        <v>-117.37</v>
      </c>
      <c r="H43" s="16">
        <f ca="1">IFERROR(SOLID!L54,0)</f>
        <v>-112.69</v>
      </c>
      <c r="I43" s="16">
        <f ca="1">IFERROR(SOLID!M54,0)</f>
        <v>-108</v>
      </c>
      <c r="J43" s="16">
        <f ca="1">IFERROR(SOLID!N54,0)</f>
        <v>-102.49</v>
      </c>
      <c r="K43" s="16">
        <f ca="1">IFERROR(SOLID!O54,0)</f>
        <v>-84.17</v>
      </c>
      <c r="L43" s="16">
        <f ca="1">IFERROR(SOLID!P54,0)</f>
        <v>-80.34</v>
      </c>
      <c r="M43" s="16">
        <f ca="1">IFERROR(SOLID!Q54,0)</f>
        <v>-76.72</v>
      </c>
      <c r="N43" s="16">
        <f ca="1">IFERROR(SOLID!R54,0)</f>
        <v>-73.33</v>
      </c>
      <c r="O43" s="16">
        <f ca="1">IFERROR(SOLID!S54,0)</f>
        <v>-70.14</v>
      </c>
      <c r="P43" s="16">
        <f ca="1">IFERROR(SOLID!T54,0)</f>
        <v>-67.12</v>
      </c>
      <c r="Q43" s="16">
        <f ca="1">IFERROR(SOLID!U54,0)</f>
        <v>-64.259999999999991</v>
      </c>
      <c r="R43" s="16">
        <f ca="1">IFERROR(SOLID!V54,0)</f>
        <v>-61.56</v>
      </c>
      <c r="S43" s="16">
        <f ca="1">IFERROR(SOLID!W54,0)</f>
        <v>-59.180000000000007</v>
      </c>
      <c r="T43" s="16">
        <f ca="1">IFERROR(SOLID!X54,0)</f>
        <v>-57.42</v>
      </c>
      <c r="U43" s="16">
        <f ca="1">IFERROR(SOLID!Y54,0)</f>
        <v>-55.75</v>
      </c>
      <c r="V43" s="16">
        <f ca="1">IFERROR(SOLID!Z54,0)</f>
        <v>-54.18</v>
      </c>
      <c r="W43" s="16">
        <f ca="1">IFERROR(SOLID!AA54,0)</f>
        <v>-52.67</v>
      </c>
      <c r="X43" s="16">
        <f ca="1">IFERROR(SOLID!AB54,0)</f>
        <v>-47.31</v>
      </c>
      <c r="Y43" s="16">
        <f ca="1">IFERROR(SOLID!AC54,0)</f>
        <v>-46.11</v>
      </c>
      <c r="Z43" s="16">
        <f ca="1">IFERROR(SOLID!AD54,0)</f>
        <v>-44.962000000000003</v>
      </c>
      <c r="AA43" s="16">
        <f ca="1">IFERROR(SOLID!AE54,0)</f>
        <v>-43.866</v>
      </c>
      <c r="AB43" s="16">
        <f ca="1">IFERROR(SOLID!AF54,0)</f>
        <v>-42.805999999999997</v>
      </c>
      <c r="AC43" s="16">
        <f ca="1">IFERROR(SOLID!AG54,0)</f>
        <v>-41.82</v>
      </c>
      <c r="AD43" s="16">
        <f ca="1">IFERROR(SOLID!AH54,0)</f>
        <v>-42.194000000000003</v>
      </c>
      <c r="AE43" s="16">
        <f ca="1">IFERROR(SOLID!AI54,0)</f>
        <v>-42.567999999999998</v>
      </c>
      <c r="AF43" s="16">
        <f ca="1">IFERROR(SOLID!AJ54,0)</f>
        <v>-42.945999999999998</v>
      </c>
      <c r="AG43" s="16">
        <f ca="1">IFERROR(SOLID!AK54,0)</f>
        <v>-44.468000000000004</v>
      </c>
      <c r="AH43" s="16">
        <f ca="1">IFERROR(SOLID!AL54,0)</f>
        <v>-44.86</v>
      </c>
      <c r="AI43" s="16">
        <f ca="1">IFERROR(SOLID!AM54,0)</f>
        <v>-45.257999999999996</v>
      </c>
      <c r="AJ43" s="16">
        <f ca="1">IFERROR(SOLID!AN54,0)</f>
        <v>-45.656000000000006</v>
      </c>
      <c r="AK43" s="16">
        <f ca="1">IFERROR(SOLID!AO54,0)</f>
        <v>-46.072000000000003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Ar</v>
      </c>
      <c r="B44" s="16">
        <f ca="1">IFERROR(SOLID!F55,0)</f>
        <v>-18.62</v>
      </c>
      <c r="C44" s="16">
        <f ca="1">IFERROR(SOLID!G55,0)</f>
        <v>-18.61</v>
      </c>
      <c r="D44" s="16">
        <f ca="1">IFERROR(SOLID!H55,0)</f>
        <v>-18.61</v>
      </c>
      <c r="E44" s="16">
        <f ca="1">IFERROR(SOLID!I55,0)</f>
        <v>-18.62</v>
      </c>
      <c r="F44" s="16">
        <f ca="1">IFERROR(SOLID!J55,0)</f>
        <v>-18.63</v>
      </c>
      <c r="G44" s="16">
        <f ca="1">IFERROR(SOLID!K55,0)</f>
        <v>-18.649999999999999</v>
      </c>
      <c r="H44" s="16">
        <f ca="1">IFERROR(SOLID!L55,0)</f>
        <v>-18.670000000000002</v>
      </c>
      <c r="I44" s="16">
        <f ca="1">IFERROR(SOLID!M55,0)</f>
        <v>-18.690000000000001</v>
      </c>
      <c r="J44" s="16">
        <f ca="1">IFERROR(SOLID!N55,0)</f>
        <v>-18.72</v>
      </c>
      <c r="K44" s="16">
        <f ca="1">IFERROR(SOLID!O55,0)</f>
        <v>-18.84</v>
      </c>
      <c r="L44" s="16">
        <f ca="1">IFERROR(SOLID!P55,0)</f>
        <v>-18.87</v>
      </c>
      <c r="M44" s="16">
        <f ca="1">IFERROR(SOLID!Q55,0)</f>
        <v>-18.899999999999999</v>
      </c>
      <c r="N44" s="16">
        <f ca="1">IFERROR(SOLID!R55,0)</f>
        <v>-18.940000000000001</v>
      </c>
      <c r="O44" s="16">
        <f ca="1">IFERROR(SOLID!S55,0)</f>
        <v>-18.97</v>
      </c>
      <c r="P44" s="16">
        <f ca="1">IFERROR(SOLID!T55,0)</f>
        <v>-19.010000000000002</v>
      </c>
      <c r="Q44" s="16">
        <f ca="1">IFERROR(SOLID!U55,0)</f>
        <v>-19.04</v>
      </c>
      <c r="R44" s="16">
        <f ca="1">IFERROR(SOLID!V55,0)</f>
        <v>-19.07</v>
      </c>
      <c r="S44" s="16">
        <f ca="1">IFERROR(SOLID!W55,0)</f>
        <v>-19.11</v>
      </c>
      <c r="T44" s="16">
        <f ca="1">IFERROR(SOLID!X55,0)</f>
        <v>-19.14</v>
      </c>
      <c r="U44" s="16">
        <f ca="1">IFERROR(SOLID!Y55,0)</f>
        <v>-19.18</v>
      </c>
      <c r="V44" s="16">
        <f ca="1">IFERROR(SOLID!Z55,0)</f>
        <v>-19.21</v>
      </c>
      <c r="W44" s="16">
        <f ca="1">IFERROR(SOLID!AA55,0)</f>
        <v>-19.25</v>
      </c>
      <c r="X44" s="16">
        <f ca="1">IFERROR(SOLID!AB55,0)</f>
        <v>-19.38</v>
      </c>
      <c r="Y44" s="16">
        <f ca="1">IFERROR(SOLID!AC55,0)</f>
        <v>-19.420000000000002</v>
      </c>
      <c r="Z44" s="16">
        <f ca="1">IFERROR(SOLID!AD55,0)</f>
        <v>-19.45</v>
      </c>
      <c r="AA44" s="16">
        <f ca="1">IFERROR(SOLID!AE55,0)</f>
        <v>-19.48</v>
      </c>
      <c r="AB44" s="16">
        <f ca="1">IFERROR(SOLID!AF55,0)</f>
        <v>-19.510000000000002</v>
      </c>
      <c r="AC44" s="16">
        <f ca="1">IFERROR(SOLID!AG55,0)</f>
        <v>-19.55</v>
      </c>
      <c r="AD44" s="16">
        <f ca="1">IFERROR(SOLID!AH55,0)</f>
        <v>-19.579999999999998</v>
      </c>
      <c r="AE44" s="16">
        <f ca="1">IFERROR(SOLID!AI55,0)</f>
        <v>-19.61</v>
      </c>
      <c r="AF44" s="16">
        <f ca="1">IFERROR(SOLID!AJ55,0)</f>
        <v>-19.64</v>
      </c>
      <c r="AG44" s="16">
        <f ca="1">IFERROR(SOLID!AK55,0)</f>
        <v>-19.760000000000002</v>
      </c>
      <c r="AH44" s="16">
        <f ca="1">IFERROR(SOLID!AL55,0)</f>
        <v>-19.79</v>
      </c>
      <c r="AI44" s="16">
        <f ca="1">IFERROR(SOLID!AM55,0)</f>
        <v>-19.82</v>
      </c>
      <c r="AJ44" s="16">
        <f ca="1">IFERROR(SOLID!AN55,0)</f>
        <v>-19.850000000000001</v>
      </c>
      <c r="AK44" s="16">
        <f ca="1">IFERROR(SOLID!AO55,0)</f>
        <v>-19.88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(1)Ga[l]</v>
      </c>
      <c r="B45" s="16">
        <f ca="1">IFERROR(SOLID!F56,0)</f>
        <v>-64.92</v>
      </c>
      <c r="C45" s="16">
        <f ca="1">IFERROR(SOLID!G56,0)</f>
        <v>-61.45</v>
      </c>
      <c r="D45" s="16">
        <f ca="1">IFERROR(SOLID!H56,0)</f>
        <v>-58.36</v>
      </c>
      <c r="E45" s="16">
        <f ca="1">IFERROR(SOLID!I56,0)</f>
        <v>-55.6</v>
      </c>
      <c r="F45" s="16">
        <f ca="1">IFERROR(SOLID!J56,0)</f>
        <v>-53.11</v>
      </c>
      <c r="G45" s="16">
        <f ca="1">IFERROR(SOLID!K56,0)</f>
        <v>-48.02</v>
      </c>
      <c r="H45" s="16">
        <f ca="1">IFERROR(SOLID!L56,0)</f>
        <v>-46.01</v>
      </c>
      <c r="I45" s="16">
        <f ca="1">IFERROR(SOLID!M56,0)</f>
        <v>-43.86</v>
      </c>
      <c r="J45" s="16">
        <f ca="1">IFERROR(SOLID!N56,0)</f>
        <v>-40.98</v>
      </c>
      <c r="K45" s="16">
        <f ca="1">IFERROR(SOLID!O56,0)</f>
        <v>-31.32</v>
      </c>
      <c r="L45" s="16">
        <f ca="1">IFERROR(SOLID!P56,0)</f>
        <v>-29.28</v>
      </c>
      <c r="M45" s="16">
        <f ca="1">IFERROR(SOLID!Q56,0)</f>
        <v>-27.35</v>
      </c>
      <c r="N45" s="16">
        <f ca="1">IFERROR(SOLID!R56,0)</f>
        <v>-25.53</v>
      </c>
      <c r="O45" s="16">
        <f ca="1">IFERROR(SOLID!S56,0)</f>
        <v>-23.81</v>
      </c>
      <c r="P45" s="16">
        <f ca="1">IFERROR(SOLID!T56,0)</f>
        <v>-22.18</v>
      </c>
      <c r="Q45" s="16">
        <f ca="1">IFERROR(SOLID!U56,0)</f>
        <v>-20.63</v>
      </c>
      <c r="R45" s="16">
        <f ca="1">IFERROR(SOLID!V56,0)</f>
        <v>-19.16</v>
      </c>
      <c r="S45" s="16">
        <f ca="1">IFERROR(SOLID!W56,0)</f>
        <v>-17.850000000000001</v>
      </c>
      <c r="T45" s="16">
        <f ca="1">IFERROR(SOLID!X56,0)</f>
        <v>-16.850000000000001</v>
      </c>
      <c r="U45" s="16">
        <f ca="1">IFERROR(SOLID!Y56,0)</f>
        <v>-15.9</v>
      </c>
      <c r="V45" s="16">
        <f ca="1">IFERROR(SOLID!Z56,0)</f>
        <v>-15</v>
      </c>
      <c r="W45" s="16">
        <f ca="1">IFERROR(SOLID!AA56,0)</f>
        <v>-14.13</v>
      </c>
      <c r="X45" s="16">
        <f ca="1">IFERROR(SOLID!AB56,0)</f>
        <v>-11</v>
      </c>
      <c r="Y45" s="16">
        <f ca="1">IFERROR(SOLID!AC56,0)</f>
        <v>-10.29</v>
      </c>
      <c r="Z45" s="16">
        <f ca="1">IFERROR(SOLID!AD56,0)</f>
        <v>-9.6059999999999999</v>
      </c>
      <c r="AA45" s="16">
        <f ca="1">IFERROR(SOLID!AE56,0)</f>
        <v>-8.9480000000000004</v>
      </c>
      <c r="AB45" s="16">
        <f ca="1">IFERROR(SOLID!AF56,0)</f>
        <v>-8.3130000000000006</v>
      </c>
      <c r="AC45" s="16">
        <f ca="1">IFERROR(SOLID!AG56,0)</f>
        <v>-7.7149999999999999</v>
      </c>
      <c r="AD45" s="16">
        <f ca="1">IFERROR(SOLID!AH56,0)</f>
        <v>-7.7969999999999997</v>
      </c>
      <c r="AE45" s="16">
        <f ca="1">IFERROR(SOLID!AI56,0)</f>
        <v>-7.8789999999999996</v>
      </c>
      <c r="AF45" s="16">
        <f ca="1">IFERROR(SOLID!AJ56,0)</f>
        <v>-7.9630000000000001</v>
      </c>
      <c r="AG45" s="16">
        <f ca="1">IFERROR(SOLID!AK56,0)</f>
        <v>-8.3190000000000008</v>
      </c>
      <c r="AH45" s="16">
        <f ca="1">IFERROR(SOLID!AL56,0)</f>
        <v>-8.4149999999999991</v>
      </c>
      <c r="AI45" s="16">
        <f ca="1">IFERROR(SOLID!AM56,0)</f>
        <v>-8.5139999999999993</v>
      </c>
      <c r="AJ45" s="16">
        <f ca="1">IFERROR(SOLID!AN56,0)</f>
        <v>-8.6180000000000003</v>
      </c>
      <c r="AK45" s="16">
        <f ca="1">IFERROR(SOLID!AO56,0)</f>
        <v>-8.7260000000000009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(1)GeSe[l]</v>
      </c>
      <c r="B46" s="16">
        <f ca="1">IFERROR(SOLID!F57,0)</f>
        <v>-39.81</v>
      </c>
      <c r="C46" s="16">
        <f ca="1">IFERROR(SOLID!G57,0)</f>
        <v>-38.06</v>
      </c>
      <c r="D46" s="16">
        <f ca="1">IFERROR(SOLID!H57,0)</f>
        <v>-36.51</v>
      </c>
      <c r="E46" s="16">
        <f ca="1">IFERROR(SOLID!I57,0)</f>
        <v>-35.14</v>
      </c>
      <c r="F46" s="16">
        <f ca="1">IFERROR(SOLID!J57,0)</f>
        <v>-33.909999999999997</v>
      </c>
      <c r="G46" s="16">
        <f ca="1">IFERROR(SOLID!K57,0)</f>
        <v>-32.82</v>
      </c>
      <c r="H46" s="16">
        <f ca="1">IFERROR(SOLID!L57,0)</f>
        <v>-31.830000000000002</v>
      </c>
      <c r="I46" s="16">
        <f ca="1">IFERROR(SOLID!M57,0)</f>
        <v>-30.950000000000003</v>
      </c>
      <c r="J46" s="16">
        <f ca="1">IFERROR(SOLID!N57,0)</f>
        <v>-30.143000000000001</v>
      </c>
      <c r="K46" s="16">
        <f ca="1">IFERROR(SOLID!O57,0)</f>
        <v>-27.568000000000001</v>
      </c>
      <c r="L46" s="16">
        <f ca="1">IFERROR(SOLID!P57,0)</f>
        <v>-27.053000000000001</v>
      </c>
      <c r="M46" s="16">
        <f ca="1">IFERROR(SOLID!Q57,0)</f>
        <v>-26.57</v>
      </c>
      <c r="N46" s="16">
        <f ca="1">IFERROR(SOLID!R57,0)</f>
        <v>-26.384999999999998</v>
      </c>
      <c r="O46" s="16">
        <f ca="1">IFERROR(SOLID!S57,0)</f>
        <v>-26.675000000000001</v>
      </c>
      <c r="P46" s="16">
        <f ca="1">IFERROR(SOLID!T57,0)</f>
        <v>-26.955000000000002</v>
      </c>
      <c r="Q46" s="16">
        <f ca="1">IFERROR(SOLID!U57,0)</f>
        <v>-27.236000000000001</v>
      </c>
      <c r="R46" s="16">
        <f ca="1">IFERROR(SOLID!V57,0)</f>
        <v>-27.515999999999998</v>
      </c>
      <c r="S46" s="16">
        <f ca="1">IFERROR(SOLID!W57,0)</f>
        <v>-27.797000000000001</v>
      </c>
      <c r="T46" s="16">
        <f ca="1">IFERROR(SOLID!X57,0)</f>
        <v>-28.077999999999999</v>
      </c>
      <c r="U46" s="16">
        <f ca="1">IFERROR(SOLID!Y57,0)</f>
        <v>-28.349</v>
      </c>
      <c r="V46" s="16">
        <f ca="1">IFERROR(SOLID!Z57,0)</f>
        <v>-28.62</v>
      </c>
      <c r="W46" s="16">
        <f ca="1">IFERROR(SOLID!AA57,0)</f>
        <v>-28.890999999999998</v>
      </c>
      <c r="X46" s="16">
        <f ca="1">IFERROR(SOLID!AB57,0)</f>
        <v>-29.952999999999999</v>
      </c>
      <c r="Y46" s="16">
        <f ca="1">IFERROR(SOLID!AC57,0)</f>
        <v>-30.213000000000001</v>
      </c>
      <c r="Z46" s="16">
        <f ca="1">IFERROR(SOLID!AD57,0)</f>
        <v>-30.472000000000001</v>
      </c>
      <c r="AA46" s="16">
        <f ca="1">IFERROR(SOLID!AE57,0)</f>
        <v>-30.731999999999999</v>
      </c>
      <c r="AB46" s="16">
        <f ca="1">IFERROR(SOLID!AF57,0)</f>
        <v>-30.981000000000002</v>
      </c>
      <c r="AC46" s="16">
        <f ca="1">IFERROR(SOLID!AG57,0)</f>
        <v>-31.23</v>
      </c>
      <c r="AD46" s="16">
        <f ca="1">IFERROR(SOLID!AH57,0)</f>
        <v>-31.478000000000002</v>
      </c>
      <c r="AE46" s="16">
        <f ca="1">IFERROR(SOLID!AI57,0)</f>
        <v>-31.726999999999997</v>
      </c>
      <c r="AF46" s="16">
        <f ca="1">IFERROR(SOLID!AJ57,0)</f>
        <v>-31.975000000000001</v>
      </c>
      <c r="AG46" s="16">
        <f ca="1">IFERROR(SOLID!AK57,0)</f>
        <v>-32.933999999999997</v>
      </c>
      <c r="AH46" s="16">
        <f ca="1">IFERROR(SOLID!AL57,0)</f>
        <v>-33.170999999999999</v>
      </c>
      <c r="AI46" s="16">
        <f ca="1">IFERROR(SOLID!AM57,0)</f>
        <v>-33.406999999999996</v>
      </c>
      <c r="AJ46" s="16">
        <f ca="1">IFERROR(SOLID!AN57,0)</f>
        <v>-33.633000000000003</v>
      </c>
      <c r="AK46" s="16">
        <f ca="1">IFERROR(SOLID!AO57,0)</f>
        <v>-33.869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(1)Ge[l]</v>
      </c>
      <c r="B47" s="16">
        <f ca="1">IFERROR(SOLID!F58,0)</f>
        <v>-15.86</v>
      </c>
      <c r="C47" s="16">
        <f ca="1">IFERROR(SOLID!G58,0)</f>
        <v>-15.23</v>
      </c>
      <c r="D47" s="16">
        <f ca="1">IFERROR(SOLID!H58,0)</f>
        <v>-14.68</v>
      </c>
      <c r="E47" s="16">
        <f ca="1">IFERROR(SOLID!I58,0)</f>
        <v>-14.19</v>
      </c>
      <c r="F47" s="16">
        <f ca="1">IFERROR(SOLID!J58,0)</f>
        <v>-13.76</v>
      </c>
      <c r="G47" s="16">
        <f ca="1">IFERROR(SOLID!K58,0)</f>
        <v>-11.49</v>
      </c>
      <c r="H47" s="16">
        <f ca="1">IFERROR(SOLID!L58,0)</f>
        <v>-11.16</v>
      </c>
      <c r="I47" s="16">
        <f ca="1">IFERROR(SOLID!M58,0)</f>
        <v>-10.67</v>
      </c>
      <c r="J47" s="16">
        <f ca="1">IFERROR(SOLID!N58,0)</f>
        <v>-9.6129999999999995</v>
      </c>
      <c r="K47" s="16">
        <f ca="1">IFERROR(SOLID!O58,0)</f>
        <v>-6.0380000000000003</v>
      </c>
      <c r="L47" s="16">
        <f ca="1">IFERROR(SOLID!P58,0)</f>
        <v>-5.2729999999999997</v>
      </c>
      <c r="M47" s="16">
        <f ca="1">IFERROR(SOLID!Q58,0)</f>
        <v>-4.55</v>
      </c>
      <c r="N47" s="16">
        <f ca="1">IFERROR(SOLID!R58,0)</f>
        <v>-4.1150000000000002</v>
      </c>
      <c r="O47" s="16">
        <f ca="1">IFERROR(SOLID!S58,0)</f>
        <v>-4.1550000000000002</v>
      </c>
      <c r="P47" s="16">
        <f ca="1">IFERROR(SOLID!T58,0)</f>
        <v>-4.1950000000000003</v>
      </c>
      <c r="Q47" s="16">
        <f ca="1">IFERROR(SOLID!U58,0)</f>
        <v>-4.2359999999999998</v>
      </c>
      <c r="R47" s="16">
        <f ca="1">IFERROR(SOLID!V58,0)</f>
        <v>-4.2759999999999998</v>
      </c>
      <c r="S47" s="16">
        <f ca="1">IFERROR(SOLID!W58,0)</f>
        <v>-4.3170000000000002</v>
      </c>
      <c r="T47" s="16">
        <f ca="1">IFERROR(SOLID!X58,0)</f>
        <v>-4.3579999999999997</v>
      </c>
      <c r="U47" s="16">
        <f ca="1">IFERROR(SOLID!Y58,0)</f>
        <v>-4.399</v>
      </c>
      <c r="V47" s="16">
        <f ca="1">IFERROR(SOLID!Z58,0)</f>
        <v>-4.4400000000000004</v>
      </c>
      <c r="W47" s="16">
        <f ca="1">IFERROR(SOLID!AA58,0)</f>
        <v>-4.4809999999999999</v>
      </c>
      <c r="X47" s="16">
        <f ca="1">IFERROR(SOLID!AB58,0)</f>
        <v>-4.6429999999999998</v>
      </c>
      <c r="Y47" s="16">
        <f ca="1">IFERROR(SOLID!AC58,0)</f>
        <v>-4.6829999999999998</v>
      </c>
      <c r="Z47" s="16">
        <f ca="1">IFERROR(SOLID!AD58,0)</f>
        <v>-4.7220000000000004</v>
      </c>
      <c r="AA47" s="16">
        <f ca="1">IFERROR(SOLID!AE58,0)</f>
        <v>-4.7619999999999996</v>
      </c>
      <c r="AB47" s="16">
        <f ca="1">IFERROR(SOLID!AF58,0)</f>
        <v>-4.8010000000000002</v>
      </c>
      <c r="AC47" s="16">
        <f ca="1">IFERROR(SOLID!AG58,0)</f>
        <v>-4.84</v>
      </c>
      <c r="AD47" s="16">
        <f ca="1">IFERROR(SOLID!AH58,0)</f>
        <v>-4.8780000000000001</v>
      </c>
      <c r="AE47" s="16">
        <f ca="1">IFERROR(SOLID!AI58,0)</f>
        <v>-4.9169999999999998</v>
      </c>
      <c r="AF47" s="16">
        <f ca="1">IFERROR(SOLID!AJ58,0)</f>
        <v>-4.9550000000000001</v>
      </c>
      <c r="AG47" s="16">
        <f ca="1">IFERROR(SOLID!AK58,0)</f>
        <v>-5.1040000000000001</v>
      </c>
      <c r="AH47" s="16">
        <f ca="1">IFERROR(SOLID!AL58,0)</f>
        <v>-5.141</v>
      </c>
      <c r="AI47" s="16">
        <f ca="1">IFERROR(SOLID!AM58,0)</f>
        <v>-5.1769999999999996</v>
      </c>
      <c r="AJ47" s="16">
        <f ca="1">IFERROR(SOLID!AN58,0)</f>
        <v>-5.2130000000000001</v>
      </c>
      <c r="AK47" s="16">
        <f ca="1">IFERROR(SOLID!AO58,0)</f>
        <v>-5.2489999999999997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H (Ar)</v>
      </c>
      <c r="B48" s="16">
        <f ca="1">IFERROR(SOLID!F59,0)</f>
        <v>-18.62</v>
      </c>
      <c r="C48" s="16">
        <f ca="1">IFERROR(SOLID!G59,0)</f>
        <v>-18.61</v>
      </c>
      <c r="D48" s="16">
        <f ca="1">IFERROR(SOLID!H59,0)</f>
        <v>-18.61</v>
      </c>
      <c r="E48" s="16">
        <f ca="1">IFERROR(SOLID!I59,0)</f>
        <v>-18.62</v>
      </c>
      <c r="F48" s="16">
        <f ca="1">IFERROR(SOLID!J59,0)</f>
        <v>-18.63</v>
      </c>
      <c r="G48" s="16">
        <f ca="1">IFERROR(SOLID!K59,0)</f>
        <v>-18.649999999999999</v>
      </c>
      <c r="H48" s="16">
        <f ca="1">IFERROR(SOLID!L59,0)</f>
        <v>-18.670000000000002</v>
      </c>
      <c r="I48" s="16">
        <f ca="1">IFERROR(SOLID!M59,0)</f>
        <v>-18.690000000000001</v>
      </c>
      <c r="J48" s="16">
        <f ca="1">IFERROR(SOLID!N59,0)</f>
        <v>-18.72</v>
      </c>
      <c r="K48" s="16">
        <f ca="1">IFERROR(SOLID!O59,0)</f>
        <v>-18.84</v>
      </c>
      <c r="L48" s="16">
        <f ca="1">IFERROR(SOLID!P59,0)</f>
        <v>-18.87</v>
      </c>
      <c r="M48" s="16">
        <f ca="1">IFERROR(SOLID!Q59,0)</f>
        <v>-18.899999999999999</v>
      </c>
      <c r="N48" s="16">
        <f ca="1">IFERROR(SOLID!R59,0)</f>
        <v>-18.940000000000001</v>
      </c>
      <c r="O48" s="16">
        <f ca="1">IFERROR(SOLID!S59,0)</f>
        <v>-18.97</v>
      </c>
      <c r="P48" s="16">
        <f ca="1">IFERROR(SOLID!T59,0)</f>
        <v>-19.010000000000002</v>
      </c>
      <c r="Q48" s="16">
        <f ca="1">IFERROR(SOLID!U59,0)</f>
        <v>-19.04</v>
      </c>
      <c r="R48" s="16">
        <f ca="1">IFERROR(SOLID!V59,0)</f>
        <v>-19.07</v>
      </c>
      <c r="S48" s="16">
        <f ca="1">IFERROR(SOLID!W59,0)</f>
        <v>-19.11</v>
      </c>
      <c r="T48" s="16">
        <f ca="1">IFERROR(SOLID!X59,0)</f>
        <v>-19.14</v>
      </c>
      <c r="U48" s="16">
        <f ca="1">IFERROR(SOLID!Y59,0)</f>
        <v>-19.18</v>
      </c>
      <c r="V48" s="16">
        <f ca="1">IFERROR(SOLID!Z59,0)</f>
        <v>-19.21</v>
      </c>
      <c r="W48" s="16">
        <f ca="1">IFERROR(SOLID!AA59,0)</f>
        <v>-19.25</v>
      </c>
      <c r="X48" s="16">
        <f ca="1">IFERROR(SOLID!AB59,0)</f>
        <v>-19.38</v>
      </c>
      <c r="Y48" s="16">
        <f ca="1">IFERROR(SOLID!AC59,0)</f>
        <v>-19.420000000000002</v>
      </c>
      <c r="Z48" s="16">
        <f ca="1">IFERROR(SOLID!AD59,0)</f>
        <v>-19.45</v>
      </c>
      <c r="AA48" s="16">
        <f ca="1">IFERROR(SOLID!AE59,0)</f>
        <v>-19.48</v>
      </c>
      <c r="AB48" s="16">
        <f ca="1">IFERROR(SOLID!AF59,0)</f>
        <v>-19.510000000000002</v>
      </c>
      <c r="AC48" s="16">
        <f ca="1">IFERROR(SOLID!AG59,0)</f>
        <v>-19.55</v>
      </c>
      <c r="AD48" s="16">
        <f ca="1">IFERROR(SOLID!AH59,0)</f>
        <v>-19.579999999999998</v>
      </c>
      <c r="AE48" s="16">
        <f ca="1">IFERROR(SOLID!AI59,0)</f>
        <v>-19.61</v>
      </c>
      <c r="AF48" s="16">
        <f ca="1">IFERROR(SOLID!AJ59,0)</f>
        <v>-19.64</v>
      </c>
      <c r="AG48" s="16">
        <f ca="1">IFERROR(SOLID!AK59,0)</f>
        <v>-19.760000000000002</v>
      </c>
      <c r="AH48" s="16">
        <f ca="1">IFERROR(SOLID!AL59,0)</f>
        <v>-19.79</v>
      </c>
      <c r="AI48" s="16">
        <f ca="1">IFERROR(SOLID!AM59,0)</f>
        <v>-19.82</v>
      </c>
      <c r="AJ48" s="16">
        <f ca="1">IFERROR(SOLID!AN59,0)</f>
        <v>-19.850000000000001</v>
      </c>
      <c r="AK48" s="16">
        <f ca="1">IFERROR(SOLID!AO59,0)</f>
        <v>-19.88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H (Ga)</v>
      </c>
      <c r="B49" s="16">
        <f ca="1">IFERROR(SOLID!F60,0)</f>
        <v>-64.92</v>
      </c>
      <c r="C49" s="16">
        <f ca="1">IFERROR(SOLID!G60,0)</f>
        <v>-61.45</v>
      </c>
      <c r="D49" s="16">
        <f ca="1">IFERROR(SOLID!H60,0)</f>
        <v>-58.36</v>
      </c>
      <c r="E49" s="16">
        <f ca="1">IFERROR(SOLID!I60,0)</f>
        <v>-55.6</v>
      </c>
      <c r="F49" s="16">
        <f ca="1">IFERROR(SOLID!J60,0)</f>
        <v>-53.11</v>
      </c>
      <c r="G49" s="16">
        <f ca="1">IFERROR(SOLID!K60,0)</f>
        <v>-48.02</v>
      </c>
      <c r="H49" s="16">
        <f ca="1">IFERROR(SOLID!L60,0)</f>
        <v>-46.01</v>
      </c>
      <c r="I49" s="16">
        <f ca="1">IFERROR(SOLID!M60,0)</f>
        <v>-43.86</v>
      </c>
      <c r="J49" s="16">
        <f ca="1">IFERROR(SOLID!N60,0)</f>
        <v>-40.98</v>
      </c>
      <c r="K49" s="16">
        <f ca="1">IFERROR(SOLID!O60,0)</f>
        <v>-31.32</v>
      </c>
      <c r="L49" s="16">
        <f ca="1">IFERROR(SOLID!P60,0)</f>
        <v>-29.28</v>
      </c>
      <c r="M49" s="16">
        <f ca="1">IFERROR(SOLID!Q60,0)</f>
        <v>-27.35</v>
      </c>
      <c r="N49" s="16">
        <f ca="1">IFERROR(SOLID!R60,0)</f>
        <v>-25.53</v>
      </c>
      <c r="O49" s="16">
        <f ca="1">IFERROR(SOLID!S60,0)</f>
        <v>-23.81</v>
      </c>
      <c r="P49" s="16">
        <f ca="1">IFERROR(SOLID!T60,0)</f>
        <v>-22.18</v>
      </c>
      <c r="Q49" s="16">
        <f ca="1">IFERROR(SOLID!U60,0)</f>
        <v>-20.63</v>
      </c>
      <c r="R49" s="16">
        <f ca="1">IFERROR(SOLID!V60,0)</f>
        <v>-19.16</v>
      </c>
      <c r="S49" s="16">
        <f ca="1">IFERROR(SOLID!W60,0)</f>
        <v>-17.850000000000001</v>
      </c>
      <c r="T49" s="16">
        <f ca="1">IFERROR(SOLID!X60,0)</f>
        <v>-16.850000000000001</v>
      </c>
      <c r="U49" s="16">
        <f ca="1">IFERROR(SOLID!Y60,0)</f>
        <v>-15.9</v>
      </c>
      <c r="V49" s="16">
        <f ca="1">IFERROR(SOLID!Z60,0)</f>
        <v>-15</v>
      </c>
      <c r="W49" s="16">
        <f ca="1">IFERROR(SOLID!AA60,0)</f>
        <v>-14.13</v>
      </c>
      <c r="X49" s="16">
        <f ca="1">IFERROR(SOLID!AB60,0)</f>
        <v>-11</v>
      </c>
      <c r="Y49" s="16">
        <f ca="1">IFERROR(SOLID!AC60,0)</f>
        <v>-10.29</v>
      </c>
      <c r="Z49" s="16">
        <f ca="1">IFERROR(SOLID!AD60,0)</f>
        <v>-9.6059999999999999</v>
      </c>
      <c r="AA49" s="16">
        <f ca="1">IFERROR(SOLID!AE60,0)</f>
        <v>-8.9480000000000004</v>
      </c>
      <c r="AB49" s="16">
        <f ca="1">IFERROR(SOLID!AF60,0)</f>
        <v>-8.3130000000000006</v>
      </c>
      <c r="AC49" s="16">
        <f ca="1">IFERROR(SOLID!AG60,0)</f>
        <v>-7.7149999999999999</v>
      </c>
      <c r="AD49" s="16">
        <f ca="1">IFERROR(SOLID!AH60,0)</f>
        <v>-7.7969999999999997</v>
      </c>
      <c r="AE49" s="16">
        <f ca="1">IFERROR(SOLID!AI60,0)</f>
        <v>-7.8789999999999996</v>
      </c>
      <c r="AF49" s="16">
        <f ca="1">IFERROR(SOLID!AJ60,0)</f>
        <v>-7.9630000000000001</v>
      </c>
      <c r="AG49" s="16">
        <f ca="1">IFERROR(SOLID!AK60,0)</f>
        <v>-8.3190000000000008</v>
      </c>
      <c r="AH49" s="16">
        <f ca="1">IFERROR(SOLID!AL60,0)</f>
        <v>-8.4149999999999991</v>
      </c>
      <c r="AI49" s="16">
        <f ca="1">IFERROR(SOLID!AM60,0)</f>
        <v>-8.5139999999999993</v>
      </c>
      <c r="AJ49" s="16">
        <f ca="1">IFERROR(SOLID!AN60,0)</f>
        <v>-8.6180000000000003</v>
      </c>
      <c r="AK49" s="16">
        <f ca="1">IFERROR(SOLID!AO60,0)</f>
        <v>-8.7260000000000009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H (Ge)</v>
      </c>
      <c r="B50" s="16">
        <f ca="1">IFERROR(SOLID!F61,0)</f>
        <v>-15.86</v>
      </c>
      <c r="C50" s="16">
        <f ca="1">IFERROR(SOLID!G61,0)</f>
        <v>-15.23</v>
      </c>
      <c r="D50" s="16">
        <f ca="1">IFERROR(SOLID!H61,0)</f>
        <v>-14.68</v>
      </c>
      <c r="E50" s="16">
        <f ca="1">IFERROR(SOLID!I61,0)</f>
        <v>-14.19</v>
      </c>
      <c r="F50" s="16">
        <f ca="1">IFERROR(SOLID!J61,0)</f>
        <v>-13.76</v>
      </c>
      <c r="G50" s="16">
        <f ca="1">IFERROR(SOLID!K61,0)</f>
        <v>-11.49</v>
      </c>
      <c r="H50" s="16">
        <f ca="1">IFERROR(SOLID!L61,0)</f>
        <v>-11.16</v>
      </c>
      <c r="I50" s="16">
        <f ca="1">IFERROR(SOLID!M61,0)</f>
        <v>-10.67</v>
      </c>
      <c r="J50" s="16">
        <f ca="1">IFERROR(SOLID!N61,0)</f>
        <v>-9.6129999999999995</v>
      </c>
      <c r="K50" s="16">
        <f ca="1">IFERROR(SOLID!O61,0)</f>
        <v>-6.0380000000000003</v>
      </c>
      <c r="L50" s="16">
        <f ca="1">IFERROR(SOLID!P61,0)</f>
        <v>-5.2729999999999997</v>
      </c>
      <c r="M50" s="16">
        <f ca="1">IFERROR(SOLID!Q61,0)</f>
        <v>-4.55</v>
      </c>
      <c r="N50" s="16">
        <f ca="1">IFERROR(SOLID!R61,0)</f>
        <v>-4.1150000000000002</v>
      </c>
      <c r="O50" s="16">
        <f ca="1">IFERROR(SOLID!S61,0)</f>
        <v>-4.1550000000000002</v>
      </c>
      <c r="P50" s="16">
        <f ca="1">IFERROR(SOLID!T61,0)</f>
        <v>-4.1950000000000003</v>
      </c>
      <c r="Q50" s="16">
        <f ca="1">IFERROR(SOLID!U61,0)</f>
        <v>-4.2359999999999998</v>
      </c>
      <c r="R50" s="16">
        <f ca="1">IFERROR(SOLID!V61,0)</f>
        <v>-4.2759999999999998</v>
      </c>
      <c r="S50" s="16">
        <f ca="1">IFERROR(SOLID!W61,0)</f>
        <v>-4.3170000000000002</v>
      </c>
      <c r="T50" s="16">
        <f ca="1">IFERROR(SOLID!X61,0)</f>
        <v>-4.3579999999999997</v>
      </c>
      <c r="U50" s="16">
        <f ca="1">IFERROR(SOLID!Y61,0)</f>
        <v>-4.399</v>
      </c>
      <c r="V50" s="16">
        <f ca="1">IFERROR(SOLID!Z61,0)</f>
        <v>-4.4400000000000004</v>
      </c>
      <c r="W50" s="16">
        <f ca="1">IFERROR(SOLID!AA61,0)</f>
        <v>-4.4809999999999999</v>
      </c>
      <c r="X50" s="16">
        <f ca="1">IFERROR(SOLID!AB61,0)</f>
        <v>-4.6429999999999998</v>
      </c>
      <c r="Y50" s="16">
        <f ca="1">IFERROR(SOLID!AC61,0)</f>
        <v>-4.6829999999999998</v>
      </c>
      <c r="Z50" s="16">
        <f ca="1">IFERROR(SOLID!AD61,0)</f>
        <v>-4.7220000000000004</v>
      </c>
      <c r="AA50" s="16">
        <f ca="1">IFERROR(SOLID!AE61,0)</f>
        <v>-4.7619999999999996</v>
      </c>
      <c r="AB50" s="16">
        <f ca="1">IFERROR(SOLID!AF61,0)</f>
        <v>-4.8010000000000002</v>
      </c>
      <c r="AC50" s="16">
        <f ca="1">IFERROR(SOLID!AG61,0)</f>
        <v>-4.84</v>
      </c>
      <c r="AD50" s="16">
        <f ca="1">IFERROR(SOLID!AH61,0)</f>
        <v>-4.8780000000000001</v>
      </c>
      <c r="AE50" s="16">
        <f ca="1">IFERROR(SOLID!AI61,0)</f>
        <v>-4.9169999999999998</v>
      </c>
      <c r="AF50" s="16">
        <f ca="1">IFERROR(SOLID!AJ61,0)</f>
        <v>-4.9550000000000001</v>
      </c>
      <c r="AG50" s="16">
        <f ca="1">IFERROR(SOLID!AK61,0)</f>
        <v>-5.1040000000000001</v>
      </c>
      <c r="AH50" s="16">
        <f ca="1">IFERROR(SOLID!AL61,0)</f>
        <v>-5.141</v>
      </c>
      <c r="AI50" s="16">
        <f ca="1">IFERROR(SOLID!AM61,0)</f>
        <v>-5.1769999999999996</v>
      </c>
      <c r="AJ50" s="16">
        <f ca="1">IFERROR(SOLID!AN61,0)</f>
        <v>-5.2130000000000001</v>
      </c>
      <c r="AK50" s="16">
        <f ca="1">IFERROR(SOLID!AO61,0)</f>
        <v>-5.2489999999999997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H (Se)</v>
      </c>
      <c r="B51" s="16">
        <f ca="1">IFERROR(SOLID!F62,0)</f>
        <v>-23.95</v>
      </c>
      <c r="C51" s="16">
        <f ca="1">IFERROR(SOLID!G62,0)</f>
        <v>-22.83</v>
      </c>
      <c r="D51" s="16">
        <f ca="1">IFERROR(SOLID!H62,0)</f>
        <v>-21.83</v>
      </c>
      <c r="E51" s="16">
        <f ca="1">IFERROR(SOLID!I62,0)</f>
        <v>-20.95</v>
      </c>
      <c r="F51" s="16">
        <f ca="1">IFERROR(SOLID!J62,0)</f>
        <v>-20.149999999999999</v>
      </c>
      <c r="G51" s="16">
        <f ca="1">IFERROR(SOLID!K62,0)</f>
        <v>-21.33</v>
      </c>
      <c r="H51" s="16">
        <f ca="1">IFERROR(SOLID!L62,0)</f>
        <v>-20.67</v>
      </c>
      <c r="I51" s="16">
        <f ca="1">IFERROR(SOLID!M62,0)</f>
        <v>-20.28</v>
      </c>
      <c r="J51" s="16">
        <f ca="1">IFERROR(SOLID!N62,0)</f>
        <v>-20.53</v>
      </c>
      <c r="K51" s="16">
        <f ca="1">IFERROR(SOLID!O62,0)</f>
        <v>-21.53</v>
      </c>
      <c r="L51" s="16">
        <f ca="1">IFERROR(SOLID!P62,0)</f>
        <v>-21.78</v>
      </c>
      <c r="M51" s="16">
        <f ca="1">IFERROR(SOLID!Q62,0)</f>
        <v>-22.02</v>
      </c>
      <c r="N51" s="16">
        <f ca="1">IFERROR(SOLID!R62,0)</f>
        <v>-22.27</v>
      </c>
      <c r="O51" s="16">
        <f ca="1">IFERROR(SOLID!S62,0)</f>
        <v>-22.52</v>
      </c>
      <c r="P51" s="16">
        <f ca="1">IFERROR(SOLID!T62,0)</f>
        <v>-22.76</v>
      </c>
      <c r="Q51" s="16">
        <f ca="1">IFERROR(SOLID!U62,0)</f>
        <v>-23</v>
      </c>
      <c r="R51" s="16">
        <f ca="1">IFERROR(SOLID!V62,0)</f>
        <v>-23.24</v>
      </c>
      <c r="S51" s="16">
        <f ca="1">IFERROR(SOLID!W62,0)</f>
        <v>-23.48</v>
      </c>
      <c r="T51" s="16">
        <f ca="1">IFERROR(SOLID!X62,0)</f>
        <v>-23.72</v>
      </c>
      <c r="U51" s="16">
        <f ca="1">IFERROR(SOLID!Y62,0)</f>
        <v>-23.95</v>
      </c>
      <c r="V51" s="16">
        <f ca="1">IFERROR(SOLID!Z62,0)</f>
        <v>-24.18</v>
      </c>
      <c r="W51" s="16">
        <f ca="1">IFERROR(SOLID!AA62,0)</f>
        <v>-24.41</v>
      </c>
      <c r="X51" s="16">
        <f ca="1">IFERROR(SOLID!AB62,0)</f>
        <v>-25.31</v>
      </c>
      <c r="Y51" s="16">
        <f ca="1">IFERROR(SOLID!AC62,0)</f>
        <v>-25.53</v>
      </c>
      <c r="Z51" s="16">
        <f ca="1">IFERROR(SOLID!AD62,0)</f>
        <v>-25.75</v>
      </c>
      <c r="AA51" s="16">
        <f ca="1">IFERROR(SOLID!AE62,0)</f>
        <v>-25.97</v>
      </c>
      <c r="AB51" s="16">
        <f ca="1">IFERROR(SOLID!AF62,0)</f>
        <v>-26.18</v>
      </c>
      <c r="AC51" s="16">
        <f ca="1">IFERROR(SOLID!AG62,0)</f>
        <v>-26.39</v>
      </c>
      <c r="AD51" s="16">
        <f ca="1">IFERROR(SOLID!AH62,0)</f>
        <v>-26.6</v>
      </c>
      <c r="AE51" s="16">
        <f ca="1">IFERROR(SOLID!AI62,0)</f>
        <v>-26.81</v>
      </c>
      <c r="AF51" s="16">
        <f ca="1">IFERROR(SOLID!AJ62,0)</f>
        <v>-27.02</v>
      </c>
      <c r="AG51" s="16">
        <f ca="1">IFERROR(SOLID!AK62,0)</f>
        <v>-27.83</v>
      </c>
      <c r="AH51" s="16">
        <f ca="1">IFERROR(SOLID!AL62,0)</f>
        <v>-28.03</v>
      </c>
      <c r="AI51" s="16">
        <f ca="1">IFERROR(SOLID!AM62,0)</f>
        <v>-28.23</v>
      </c>
      <c r="AJ51" s="16">
        <f ca="1">IFERROR(SOLID!AN62,0)</f>
        <v>-28.42</v>
      </c>
      <c r="AK51" s="16">
        <f ca="1">IFERROR(SOLID!AO62,0)</f>
        <v>-28.62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0</v>
      </c>
      <c r="C66" s="4">
        <f>IFERROR(ALL!G45,0)</f>
        <v>0</v>
      </c>
      <c r="D66" s="4">
        <f>IFERROR(ALL!H45,0)</f>
        <v>0</v>
      </c>
      <c r="E66" s="4">
        <f>IFERROR(ALL!I45,0)</f>
        <v>0</v>
      </c>
      <c r="F66" s="4">
        <f>IFERROR(ALL!J45,0)</f>
        <v>0</v>
      </c>
      <c r="G66" s="4">
        <f>IFERROR(ALL!K45,0)</f>
        <v>0</v>
      </c>
      <c r="H66" s="4">
        <f>IFERROR(ALL!L45,0)</f>
        <v>0</v>
      </c>
      <c r="I66" s="4">
        <f>IFERROR(ALL!M45,0)</f>
        <v>0</v>
      </c>
      <c r="J66" s="4">
        <f>IFERROR(ALL!N45,0)</f>
        <v>0</v>
      </c>
      <c r="K66" s="4">
        <f>IFERROR(ALL!O45,0)</f>
        <v>0</v>
      </c>
      <c r="L66" s="4">
        <f>IFERROR(ALL!P45,0)</f>
        <v>0</v>
      </c>
      <c r="M66" s="4">
        <f>IFERROR(ALL!Q45,0)</f>
        <v>0</v>
      </c>
      <c r="N66" s="4">
        <f>IFERROR(ALL!R45,0)</f>
        <v>0</v>
      </c>
      <c r="O66" s="4">
        <f>IFERROR(ALL!S45,0)</f>
        <v>0</v>
      </c>
      <c r="P66" s="4">
        <f>IFERROR(ALL!T45,0)</f>
        <v>0</v>
      </c>
      <c r="Q66" s="4">
        <f>IFERROR(ALL!U45,0)</f>
        <v>0</v>
      </c>
      <c r="R66" s="4">
        <f>IFERROR(ALL!V45,0)</f>
        <v>0</v>
      </c>
      <c r="S66" s="4">
        <f>IFERROR(ALL!W45,0)</f>
        <v>0</v>
      </c>
      <c r="T66" s="4">
        <f>IFERROR(ALL!X45,0)</f>
        <v>0</v>
      </c>
      <c r="U66" s="4">
        <f>IFERROR(ALL!Y45,0)</f>
        <v>0</v>
      </c>
      <c r="V66" s="4">
        <f>IFERROR(ALL!Z45,0)</f>
        <v>0</v>
      </c>
      <c r="W66" s="4">
        <f>IFERROR(ALL!AA45,0)</f>
        <v>0</v>
      </c>
      <c r="X66" s="4">
        <f>IFERROR(ALL!AB45,0)</f>
        <v>0</v>
      </c>
      <c r="Y66" s="4">
        <f>IFERROR(ALL!AC45,0)</f>
        <v>0</v>
      </c>
      <c r="Z66" s="4">
        <f>IFERROR(ALL!AD45,0)</f>
        <v>0</v>
      </c>
      <c r="AA66" s="4">
        <f>IFERROR(ALL!AE45,0)</f>
        <v>0</v>
      </c>
      <c r="AB66" s="4">
        <f>IFERROR(ALL!AF45,0)</f>
        <v>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>
        <f>IFERROR(ALL!E46,0)</f>
        <v>0</v>
      </c>
      <c r="B67" s="16">
        <f ca="1">IFERROR(ALL!F46,0)</f>
        <v>0</v>
      </c>
      <c r="C67" s="16">
        <f ca="1">IFERROR(ALL!G46,0)</f>
        <v>0</v>
      </c>
      <c r="D67" s="16">
        <f ca="1">IFERROR(ALL!H46,0)</f>
        <v>0</v>
      </c>
      <c r="E67" s="16">
        <f ca="1">IFERROR(ALL!I46,0)</f>
        <v>0</v>
      </c>
      <c r="F67" s="16">
        <f ca="1">IFERROR(ALL!J46,0)</f>
        <v>0</v>
      </c>
      <c r="G67" s="16">
        <f ca="1">IFERROR(ALL!K46,0)</f>
        <v>0</v>
      </c>
      <c r="H67" s="16">
        <f ca="1">IFERROR(ALL!L46,0)</f>
        <v>0</v>
      </c>
      <c r="I67" s="16">
        <f ca="1">IFERROR(ALL!M46,0)</f>
        <v>0</v>
      </c>
      <c r="J67" s="16">
        <f ca="1">IFERROR(ALL!N46,0)</f>
        <v>0</v>
      </c>
      <c r="K67" s="16">
        <f ca="1">IFERROR(ALL!O46,0)</f>
        <v>0</v>
      </c>
      <c r="L67" s="16">
        <f ca="1">IFERROR(ALL!P46,0)</f>
        <v>0</v>
      </c>
      <c r="M67" s="16">
        <f ca="1">IFERROR(ALL!Q46,0)</f>
        <v>0</v>
      </c>
      <c r="N67" s="16">
        <f ca="1">IFERROR(ALL!R46,0)</f>
        <v>0</v>
      </c>
      <c r="O67" s="16">
        <f ca="1">IFERROR(ALL!S46,0)</f>
        <v>0</v>
      </c>
      <c r="P67" s="16">
        <f ca="1">IFERROR(ALL!T46,0)</f>
        <v>0</v>
      </c>
      <c r="Q67" s="16">
        <f ca="1">IFERROR(ALL!U46,0)</f>
        <v>0</v>
      </c>
      <c r="R67" s="16">
        <f ca="1">IFERROR(ALL!V46,0)</f>
        <v>0</v>
      </c>
      <c r="S67" s="16">
        <f ca="1">IFERROR(ALL!W46,0)</f>
        <v>0</v>
      </c>
      <c r="T67" s="16">
        <f ca="1">IFERROR(ALL!X46,0)</f>
        <v>0</v>
      </c>
      <c r="U67" s="16">
        <f ca="1">IFERROR(ALL!Y46,0)</f>
        <v>0</v>
      </c>
      <c r="V67" s="16">
        <f ca="1">IFERROR(ALL!Z46,0)</f>
        <v>0</v>
      </c>
      <c r="W67" s="16">
        <f ca="1">IFERROR(ALL!AA46,0)</f>
        <v>0</v>
      </c>
      <c r="X67" s="16">
        <f ca="1">IFERROR(ALL!AB46,0)</f>
        <v>0</v>
      </c>
      <c r="Y67" s="16">
        <f ca="1">IFERROR(ALL!AC46,0)</f>
        <v>0</v>
      </c>
      <c r="Z67" s="16">
        <f ca="1">IFERROR(ALL!AD46,0)</f>
        <v>0</v>
      </c>
      <c r="AA67" s="16">
        <f ca="1">IFERROR(ALL!AE46,0)</f>
        <v>0</v>
      </c>
      <c r="AB67" s="16">
        <f ca="1">IFERROR(ALL!AF46,0)</f>
        <v>0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>
        <f>IFERROR(ALL!E47,0)</f>
        <v>0</v>
      </c>
      <c r="B68" s="16">
        <f ca="1">IFERROR(ALL!F47,0)</f>
        <v>0</v>
      </c>
      <c r="C68" s="16">
        <f ca="1">IFERROR(ALL!G47,0)</f>
        <v>0</v>
      </c>
      <c r="D68" s="16">
        <f ca="1">IFERROR(ALL!H47,0)</f>
        <v>0</v>
      </c>
      <c r="E68" s="16">
        <f ca="1">IFERROR(ALL!I47,0)</f>
        <v>0</v>
      </c>
      <c r="F68" s="16">
        <f ca="1">IFERROR(ALL!J47,0)</f>
        <v>0</v>
      </c>
      <c r="G68" s="16">
        <f ca="1">IFERROR(ALL!K47,0)</f>
        <v>0</v>
      </c>
      <c r="H68" s="16">
        <f ca="1">IFERROR(ALL!L47,0)</f>
        <v>0</v>
      </c>
      <c r="I68" s="16">
        <f ca="1">IFERROR(ALL!M47,0)</f>
        <v>0</v>
      </c>
      <c r="J68" s="16">
        <f ca="1">IFERROR(ALL!N47,0)</f>
        <v>0</v>
      </c>
      <c r="K68" s="16">
        <f ca="1">IFERROR(ALL!O47,0)</f>
        <v>0</v>
      </c>
      <c r="L68" s="16">
        <f ca="1">IFERROR(ALL!P47,0)</f>
        <v>0</v>
      </c>
      <c r="M68" s="16">
        <f ca="1">IFERROR(ALL!Q47,0)</f>
        <v>0</v>
      </c>
      <c r="N68" s="16">
        <f ca="1">IFERROR(ALL!R47,0)</f>
        <v>0</v>
      </c>
      <c r="O68" s="16">
        <f ca="1">IFERROR(ALL!S47,0)</f>
        <v>0</v>
      </c>
      <c r="P68" s="16">
        <f ca="1">IFERROR(ALL!T47,0)</f>
        <v>0</v>
      </c>
      <c r="Q68" s="16">
        <f ca="1">IFERROR(ALL!U47,0)</f>
        <v>0</v>
      </c>
      <c r="R68" s="16">
        <f ca="1">IFERROR(ALL!V47,0)</f>
        <v>0</v>
      </c>
      <c r="S68" s="16">
        <f ca="1">IFERROR(ALL!W47,0)</f>
        <v>0</v>
      </c>
      <c r="T68" s="16">
        <f ca="1">IFERROR(ALL!X47,0)</f>
        <v>0</v>
      </c>
      <c r="U68" s="16">
        <f ca="1">IFERROR(ALL!Y47,0)</f>
        <v>0</v>
      </c>
      <c r="V68" s="16">
        <f ca="1">IFERROR(ALL!Z47,0)</f>
        <v>0</v>
      </c>
      <c r="W68" s="16">
        <f ca="1">IFERROR(ALL!AA47,0)</f>
        <v>0</v>
      </c>
      <c r="X68" s="16">
        <f ca="1">IFERROR(ALL!AB47,0)</f>
        <v>0</v>
      </c>
      <c r="Y68" s="16">
        <f ca="1">IFERROR(ALL!AC47,0)</f>
        <v>0</v>
      </c>
      <c r="Z68" s="16">
        <f ca="1">IFERROR(ALL!AD47,0)</f>
        <v>0</v>
      </c>
      <c r="AA68" s="16">
        <f ca="1">IFERROR(ALL!AE47,0)</f>
        <v>0</v>
      </c>
      <c r="AB68" s="16">
        <f ca="1">IFERROR(ALL!AF47,0)</f>
        <v>0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>
        <f>IFERROR(ALL!E48,0)</f>
        <v>0</v>
      </c>
      <c r="B69" s="16">
        <f ca="1">IFERROR(ALL!F48,0)</f>
        <v>0</v>
      </c>
      <c r="C69" s="16">
        <f ca="1">IFERROR(ALL!G48,0)</f>
        <v>0</v>
      </c>
      <c r="D69" s="16">
        <f ca="1">IFERROR(ALL!H48,0)</f>
        <v>0</v>
      </c>
      <c r="E69" s="16">
        <f ca="1">IFERROR(ALL!I48,0)</f>
        <v>0</v>
      </c>
      <c r="F69" s="16">
        <f ca="1">IFERROR(ALL!J48,0)</f>
        <v>0</v>
      </c>
      <c r="G69" s="16">
        <f ca="1">IFERROR(ALL!K48,0)</f>
        <v>0</v>
      </c>
      <c r="H69" s="16">
        <f ca="1">IFERROR(ALL!L48,0)</f>
        <v>0</v>
      </c>
      <c r="I69" s="16">
        <f ca="1">IFERROR(ALL!M48,0)</f>
        <v>0</v>
      </c>
      <c r="J69" s="16">
        <f ca="1">IFERROR(ALL!N48,0)</f>
        <v>0</v>
      </c>
      <c r="K69" s="16">
        <f ca="1">IFERROR(ALL!O48,0)</f>
        <v>0</v>
      </c>
      <c r="L69" s="16">
        <f ca="1">IFERROR(ALL!P48,0)</f>
        <v>0</v>
      </c>
      <c r="M69" s="16">
        <f ca="1">IFERROR(ALL!Q48,0)</f>
        <v>0</v>
      </c>
      <c r="N69" s="16">
        <f ca="1">IFERROR(ALL!R48,0)</f>
        <v>0</v>
      </c>
      <c r="O69" s="16">
        <f ca="1">IFERROR(ALL!S48,0)</f>
        <v>0</v>
      </c>
      <c r="P69" s="16">
        <f ca="1">IFERROR(ALL!T48,0)</f>
        <v>0</v>
      </c>
      <c r="Q69" s="16">
        <f ca="1">IFERROR(ALL!U48,0)</f>
        <v>0</v>
      </c>
      <c r="R69" s="16">
        <f ca="1">IFERROR(ALL!V48,0)</f>
        <v>0</v>
      </c>
      <c r="S69" s="16">
        <f ca="1">IFERROR(ALL!W48,0)</f>
        <v>0</v>
      </c>
      <c r="T69" s="16">
        <f ca="1">IFERROR(ALL!X48,0)</f>
        <v>0</v>
      </c>
      <c r="U69" s="16">
        <f ca="1">IFERROR(ALL!Y48,0)</f>
        <v>0</v>
      </c>
      <c r="V69" s="16">
        <f ca="1">IFERROR(ALL!Z48,0)</f>
        <v>0</v>
      </c>
      <c r="W69" s="16">
        <f ca="1">IFERROR(ALL!AA48,0)</f>
        <v>0</v>
      </c>
      <c r="X69" s="16">
        <f ca="1">IFERROR(ALL!AB48,0)</f>
        <v>0</v>
      </c>
      <c r="Y69" s="16">
        <f ca="1">IFERROR(ALL!AC48,0)</f>
        <v>0</v>
      </c>
      <c r="Z69" s="16">
        <f ca="1">IFERROR(ALL!AD48,0)</f>
        <v>0</v>
      </c>
      <c r="AA69" s="16">
        <f ca="1">IFERROR(ALL!AE48,0)</f>
        <v>0</v>
      </c>
      <c r="AB69" s="16">
        <f ca="1">IFERROR(ALL!AF48,0)</f>
        <v>0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>
        <f>IFERROR(ALL!E49,0)</f>
        <v>0</v>
      </c>
      <c r="B70" s="16">
        <f ca="1">IFERROR(ALL!F49,0)</f>
        <v>0</v>
      </c>
      <c r="C70" s="16">
        <f ca="1">IFERROR(ALL!G49,0)</f>
        <v>0</v>
      </c>
      <c r="D70" s="16">
        <f ca="1">IFERROR(ALL!H49,0)</f>
        <v>0</v>
      </c>
      <c r="E70" s="16">
        <f ca="1">IFERROR(ALL!I49,0)</f>
        <v>0</v>
      </c>
      <c r="F70" s="16">
        <f ca="1">IFERROR(ALL!J49,0)</f>
        <v>0</v>
      </c>
      <c r="G70" s="16">
        <f ca="1">IFERROR(ALL!K49,0)</f>
        <v>0</v>
      </c>
      <c r="H70" s="16">
        <f ca="1">IFERROR(ALL!L49,0)</f>
        <v>0</v>
      </c>
      <c r="I70" s="16">
        <f ca="1">IFERROR(ALL!M49,0)</f>
        <v>0</v>
      </c>
      <c r="J70" s="16">
        <f ca="1">IFERROR(ALL!N49,0)</f>
        <v>0</v>
      </c>
      <c r="K70" s="16">
        <f ca="1">IFERROR(ALL!O49,0)</f>
        <v>0</v>
      </c>
      <c r="L70" s="16">
        <f ca="1">IFERROR(ALL!P49,0)</f>
        <v>0</v>
      </c>
      <c r="M70" s="16">
        <f ca="1">IFERROR(ALL!Q49,0)</f>
        <v>0</v>
      </c>
      <c r="N70" s="16">
        <f ca="1">IFERROR(ALL!R49,0)</f>
        <v>0</v>
      </c>
      <c r="O70" s="16">
        <f ca="1">IFERROR(ALL!S49,0)</f>
        <v>0</v>
      </c>
      <c r="P70" s="16">
        <f ca="1">IFERROR(ALL!T49,0)</f>
        <v>0</v>
      </c>
      <c r="Q70" s="16">
        <f ca="1">IFERROR(ALL!U49,0)</f>
        <v>0</v>
      </c>
      <c r="R70" s="16">
        <f ca="1">IFERROR(ALL!V49,0)</f>
        <v>0</v>
      </c>
      <c r="S70" s="16">
        <f ca="1">IFERROR(ALL!W49,0)</f>
        <v>0</v>
      </c>
      <c r="T70" s="16">
        <f ca="1">IFERROR(ALL!X49,0)</f>
        <v>0</v>
      </c>
      <c r="U70" s="16">
        <f ca="1">IFERROR(ALL!Y49,0)</f>
        <v>0</v>
      </c>
      <c r="V70" s="16">
        <f ca="1">IFERROR(ALL!Z49,0)</f>
        <v>0</v>
      </c>
      <c r="W70" s="16">
        <f ca="1">IFERROR(ALL!AA49,0)</f>
        <v>0</v>
      </c>
      <c r="X70" s="16">
        <f ca="1">IFERROR(ALL!AB49,0)</f>
        <v>0</v>
      </c>
      <c r="Y70" s="16">
        <f ca="1">IFERROR(ALL!AC49,0)</f>
        <v>0</v>
      </c>
      <c r="Z70" s="16">
        <f ca="1">IFERROR(ALL!AD49,0)</f>
        <v>0</v>
      </c>
      <c r="AA70" s="16">
        <f ca="1">IFERROR(ALL!AE49,0)</f>
        <v>0</v>
      </c>
      <c r="AB70" s="16">
        <f ca="1">IFERROR(ALL!AF49,0)</f>
        <v>0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>
        <f>IFERROR(ALL!E50,0)</f>
        <v>0</v>
      </c>
      <c r="B71" s="16">
        <f ca="1">IFERROR(ALL!F50,0)</f>
        <v>0</v>
      </c>
      <c r="C71" s="16">
        <f ca="1">IFERROR(ALL!G50,0)</f>
        <v>0</v>
      </c>
      <c r="D71" s="16">
        <f ca="1">IFERROR(ALL!H50,0)</f>
        <v>0</v>
      </c>
      <c r="E71" s="16">
        <f ca="1">IFERROR(ALL!I50,0)</f>
        <v>0</v>
      </c>
      <c r="F71" s="16">
        <f ca="1">IFERROR(ALL!J50,0)</f>
        <v>0</v>
      </c>
      <c r="G71" s="16">
        <f ca="1">IFERROR(ALL!K50,0)</f>
        <v>0</v>
      </c>
      <c r="H71" s="16">
        <f ca="1">IFERROR(ALL!L50,0)</f>
        <v>0</v>
      </c>
      <c r="I71" s="16">
        <f ca="1">IFERROR(ALL!M50,0)</f>
        <v>0</v>
      </c>
      <c r="J71" s="16">
        <f ca="1">IFERROR(ALL!N50,0)</f>
        <v>0</v>
      </c>
      <c r="K71" s="16">
        <f ca="1">IFERROR(ALL!O50,0)</f>
        <v>0</v>
      </c>
      <c r="L71" s="16">
        <f ca="1">IFERROR(ALL!P50,0)</f>
        <v>0</v>
      </c>
      <c r="M71" s="16">
        <f ca="1">IFERROR(ALL!Q50,0)</f>
        <v>0</v>
      </c>
      <c r="N71" s="16">
        <f ca="1">IFERROR(ALL!R50,0)</f>
        <v>0</v>
      </c>
      <c r="O71" s="16">
        <f ca="1">IFERROR(ALL!S50,0)</f>
        <v>0</v>
      </c>
      <c r="P71" s="16">
        <f ca="1">IFERROR(ALL!T50,0)</f>
        <v>0</v>
      </c>
      <c r="Q71" s="16">
        <f ca="1">IFERROR(ALL!U50,0)</f>
        <v>0</v>
      </c>
      <c r="R71" s="16">
        <f ca="1">IFERROR(ALL!V50,0)</f>
        <v>0</v>
      </c>
      <c r="S71" s="16">
        <f ca="1">IFERROR(ALL!W50,0)</f>
        <v>0</v>
      </c>
      <c r="T71" s="16">
        <f ca="1">IFERROR(ALL!X50,0)</f>
        <v>0</v>
      </c>
      <c r="U71" s="16">
        <f ca="1">IFERROR(ALL!Y50,0)</f>
        <v>0</v>
      </c>
      <c r="V71" s="16">
        <f ca="1">IFERROR(ALL!Z50,0)</f>
        <v>0</v>
      </c>
      <c r="W71" s="16">
        <f ca="1">IFERROR(ALL!AA50,0)</f>
        <v>0</v>
      </c>
      <c r="X71" s="16">
        <f ca="1">IFERROR(ALL!AB50,0)</f>
        <v>0</v>
      </c>
      <c r="Y71" s="16">
        <f ca="1">IFERROR(ALL!AC50,0)</f>
        <v>0</v>
      </c>
      <c r="Z71" s="16">
        <f ca="1">IFERROR(ALL!AD50,0)</f>
        <v>0</v>
      </c>
      <c r="AA71" s="16">
        <f ca="1">IFERROR(ALL!AE50,0)</f>
        <v>0</v>
      </c>
      <c r="AB71" s="16">
        <f ca="1">IFERROR(ALL!AF50,0)</f>
        <v>0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>
        <f>IFERROR(ALL!E51,0)</f>
        <v>0</v>
      </c>
      <c r="B72" s="16">
        <f ca="1">IFERROR(ALL!F51,0)</f>
        <v>0</v>
      </c>
      <c r="C72" s="16">
        <f ca="1">IFERROR(ALL!G51,0)</f>
        <v>0</v>
      </c>
      <c r="D72" s="16">
        <f ca="1">IFERROR(ALL!H51,0)</f>
        <v>0</v>
      </c>
      <c r="E72" s="16">
        <f ca="1">IFERROR(ALL!I51,0)</f>
        <v>0</v>
      </c>
      <c r="F72" s="16">
        <f ca="1">IFERROR(ALL!J51,0)</f>
        <v>0</v>
      </c>
      <c r="G72" s="16">
        <f ca="1">IFERROR(ALL!K51,0)</f>
        <v>0</v>
      </c>
      <c r="H72" s="16">
        <f ca="1">IFERROR(ALL!L51,0)</f>
        <v>0</v>
      </c>
      <c r="I72" s="16">
        <f ca="1">IFERROR(ALL!M51,0)</f>
        <v>0</v>
      </c>
      <c r="J72" s="16">
        <f ca="1">IFERROR(ALL!N51,0)</f>
        <v>0</v>
      </c>
      <c r="K72" s="16">
        <f ca="1">IFERROR(ALL!O51,0)</f>
        <v>0</v>
      </c>
      <c r="L72" s="16">
        <f ca="1">IFERROR(ALL!P51,0)</f>
        <v>0</v>
      </c>
      <c r="M72" s="16">
        <f ca="1">IFERROR(ALL!Q51,0)</f>
        <v>0</v>
      </c>
      <c r="N72" s="16">
        <f ca="1">IFERROR(ALL!R51,0)</f>
        <v>0</v>
      </c>
      <c r="O72" s="16">
        <f ca="1">IFERROR(ALL!S51,0)</f>
        <v>0</v>
      </c>
      <c r="P72" s="16">
        <f ca="1">IFERROR(ALL!T51,0)</f>
        <v>0</v>
      </c>
      <c r="Q72" s="16">
        <f ca="1">IFERROR(ALL!U51,0)</f>
        <v>0</v>
      </c>
      <c r="R72" s="16">
        <f ca="1">IFERROR(ALL!V51,0)</f>
        <v>0</v>
      </c>
      <c r="S72" s="16">
        <f ca="1">IFERROR(ALL!W51,0)</f>
        <v>0</v>
      </c>
      <c r="T72" s="16">
        <f ca="1">IFERROR(ALL!X51,0)</f>
        <v>0</v>
      </c>
      <c r="U72" s="16">
        <f ca="1">IFERROR(ALL!Y51,0)</f>
        <v>0</v>
      </c>
      <c r="V72" s="16">
        <f ca="1">IFERROR(ALL!Z51,0)</f>
        <v>0</v>
      </c>
      <c r="W72" s="16">
        <f ca="1">IFERROR(ALL!AA51,0)</f>
        <v>0</v>
      </c>
      <c r="X72" s="16">
        <f ca="1">IFERROR(ALL!AB51,0)</f>
        <v>0</v>
      </c>
      <c r="Y72" s="16">
        <f ca="1">IFERROR(ALL!AC51,0)</f>
        <v>0</v>
      </c>
      <c r="Z72" s="16">
        <f ca="1">IFERROR(ALL!AD51,0)</f>
        <v>0</v>
      </c>
      <c r="AA72" s="16">
        <f ca="1">IFERROR(ALL!AE51,0)</f>
        <v>0</v>
      </c>
      <c r="AB72" s="16">
        <f ca="1">IFERROR(ALL!AF51,0)</f>
        <v>0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>
        <f>IFERROR(ALL!E52,0)</f>
        <v>0</v>
      </c>
      <c r="B73" s="16">
        <f ca="1">IFERROR(ALL!F52,0)</f>
        <v>0</v>
      </c>
      <c r="C73" s="16">
        <f ca="1">IFERROR(ALL!G52,0)</f>
        <v>0</v>
      </c>
      <c r="D73" s="16">
        <f ca="1">IFERROR(ALL!H52,0)</f>
        <v>0</v>
      </c>
      <c r="E73" s="16">
        <f ca="1">IFERROR(ALL!I52,0)</f>
        <v>0</v>
      </c>
      <c r="F73" s="16">
        <f ca="1">IFERROR(ALL!J52,0)</f>
        <v>0</v>
      </c>
      <c r="G73" s="16">
        <f ca="1">IFERROR(ALL!K52,0)</f>
        <v>0</v>
      </c>
      <c r="H73" s="16">
        <f ca="1">IFERROR(ALL!L52,0)</f>
        <v>0</v>
      </c>
      <c r="I73" s="16">
        <f ca="1">IFERROR(ALL!M52,0)</f>
        <v>0</v>
      </c>
      <c r="J73" s="16">
        <f ca="1">IFERROR(ALL!N52,0)</f>
        <v>0</v>
      </c>
      <c r="K73" s="16">
        <f ca="1">IFERROR(ALL!O52,0)</f>
        <v>0</v>
      </c>
      <c r="L73" s="16">
        <f ca="1">IFERROR(ALL!P52,0)</f>
        <v>0</v>
      </c>
      <c r="M73" s="16">
        <f ca="1">IFERROR(ALL!Q52,0)</f>
        <v>0</v>
      </c>
      <c r="N73" s="16">
        <f ca="1">IFERROR(ALL!R52,0)</f>
        <v>0</v>
      </c>
      <c r="O73" s="16">
        <f ca="1">IFERROR(ALL!S52,0)</f>
        <v>0</v>
      </c>
      <c r="P73" s="16">
        <f ca="1">IFERROR(ALL!T52,0)</f>
        <v>0</v>
      </c>
      <c r="Q73" s="16">
        <f ca="1">IFERROR(ALL!U52,0)</f>
        <v>0</v>
      </c>
      <c r="R73" s="16">
        <f ca="1">IFERROR(ALL!V52,0)</f>
        <v>0</v>
      </c>
      <c r="S73" s="16">
        <f ca="1">IFERROR(ALL!W52,0)</f>
        <v>0</v>
      </c>
      <c r="T73" s="16">
        <f ca="1">IFERROR(ALL!X52,0)</f>
        <v>0</v>
      </c>
      <c r="U73" s="16">
        <f ca="1">IFERROR(ALL!Y52,0)</f>
        <v>0</v>
      </c>
      <c r="V73" s="16">
        <f ca="1">IFERROR(ALL!Z52,0)</f>
        <v>0</v>
      </c>
      <c r="W73" s="16">
        <f ca="1">IFERROR(ALL!AA52,0)</f>
        <v>0</v>
      </c>
      <c r="X73" s="16">
        <f ca="1">IFERROR(ALL!AB52,0)</f>
        <v>0</v>
      </c>
      <c r="Y73" s="16">
        <f ca="1">IFERROR(ALL!AC52,0)</f>
        <v>0</v>
      </c>
      <c r="Z73" s="16">
        <f ca="1">IFERROR(ALL!AD52,0)</f>
        <v>0</v>
      </c>
      <c r="AA73" s="16">
        <f ca="1">IFERROR(ALL!AE52,0)</f>
        <v>0</v>
      </c>
      <c r="AB73" s="16">
        <f ca="1">IFERROR(ALL!AF52,0)</f>
        <v>0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>
        <f>IFERROR(ALL!E53,0)</f>
        <v>0</v>
      </c>
      <c r="B74" s="16">
        <f ca="1">IFERROR(ALL!F53,0)</f>
        <v>0</v>
      </c>
      <c r="C74" s="16">
        <f ca="1">IFERROR(ALL!G53,0)</f>
        <v>0</v>
      </c>
      <c r="D74" s="16">
        <f ca="1">IFERROR(ALL!H53,0)</f>
        <v>0</v>
      </c>
      <c r="E74" s="16">
        <f ca="1">IFERROR(ALL!I53,0)</f>
        <v>0</v>
      </c>
      <c r="F74" s="16">
        <f ca="1">IFERROR(ALL!J53,0)</f>
        <v>0</v>
      </c>
      <c r="G74" s="16">
        <f ca="1">IFERROR(ALL!K53,0)</f>
        <v>0</v>
      </c>
      <c r="H74" s="16">
        <f ca="1">IFERROR(ALL!L53,0)</f>
        <v>0</v>
      </c>
      <c r="I74" s="16">
        <f ca="1">IFERROR(ALL!M53,0)</f>
        <v>0</v>
      </c>
      <c r="J74" s="16">
        <f ca="1">IFERROR(ALL!N53,0)</f>
        <v>0</v>
      </c>
      <c r="K74" s="16">
        <f ca="1">IFERROR(ALL!O53,0)</f>
        <v>0</v>
      </c>
      <c r="L74" s="16">
        <f ca="1">IFERROR(ALL!P53,0)</f>
        <v>0</v>
      </c>
      <c r="M74" s="16">
        <f ca="1">IFERROR(ALL!Q53,0)</f>
        <v>0</v>
      </c>
      <c r="N74" s="16">
        <f ca="1">IFERROR(ALL!R53,0)</f>
        <v>0</v>
      </c>
      <c r="O74" s="16">
        <f ca="1">IFERROR(ALL!S53,0)</f>
        <v>0</v>
      </c>
      <c r="P74" s="16">
        <f ca="1">IFERROR(ALL!T53,0)</f>
        <v>0</v>
      </c>
      <c r="Q74" s="16">
        <f ca="1">IFERROR(ALL!U53,0)</f>
        <v>0</v>
      </c>
      <c r="R74" s="16">
        <f ca="1">IFERROR(ALL!V53,0)</f>
        <v>0</v>
      </c>
      <c r="S74" s="16">
        <f ca="1">IFERROR(ALL!W53,0)</f>
        <v>0</v>
      </c>
      <c r="T74" s="16">
        <f ca="1">IFERROR(ALL!X53,0)</f>
        <v>0</v>
      </c>
      <c r="U74" s="16">
        <f ca="1">IFERROR(ALL!Y53,0)</f>
        <v>0</v>
      </c>
      <c r="V74" s="16">
        <f ca="1">IFERROR(ALL!Z53,0)</f>
        <v>0</v>
      </c>
      <c r="W74" s="16">
        <f ca="1">IFERROR(ALL!AA53,0)</f>
        <v>0</v>
      </c>
      <c r="X74" s="16">
        <f ca="1">IFERROR(ALL!AB53,0)</f>
        <v>0</v>
      </c>
      <c r="Y74" s="16">
        <f ca="1">IFERROR(ALL!AC53,0)</f>
        <v>0</v>
      </c>
      <c r="Z74" s="16">
        <f ca="1">IFERROR(ALL!AD53,0)</f>
        <v>0</v>
      </c>
      <c r="AA74" s="16">
        <f ca="1">IFERROR(ALL!AE53,0)</f>
        <v>0</v>
      </c>
      <c r="AB74" s="16">
        <f ca="1">IFERROR(ALL!AF53,0)</f>
        <v>0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>
        <f>IFERROR(ALL!E54,0)</f>
        <v>0</v>
      </c>
      <c r="B75" s="16">
        <f ca="1">IFERROR(ALL!F54,0)</f>
        <v>0</v>
      </c>
      <c r="C75" s="16">
        <f ca="1">IFERROR(ALL!G54,0)</f>
        <v>0</v>
      </c>
      <c r="D75" s="16">
        <f ca="1">IFERROR(ALL!H54,0)</f>
        <v>0</v>
      </c>
      <c r="E75" s="16">
        <f ca="1">IFERROR(ALL!I54,0)</f>
        <v>0</v>
      </c>
      <c r="F75" s="16">
        <f ca="1">IFERROR(ALL!J54,0)</f>
        <v>0</v>
      </c>
      <c r="G75" s="16">
        <f ca="1">IFERROR(ALL!K54,0)</f>
        <v>0</v>
      </c>
      <c r="H75" s="16">
        <f ca="1">IFERROR(ALL!L54,0)</f>
        <v>0</v>
      </c>
      <c r="I75" s="16">
        <f ca="1">IFERROR(ALL!M54,0)</f>
        <v>0</v>
      </c>
      <c r="J75" s="16">
        <f ca="1">IFERROR(ALL!N54,0)</f>
        <v>0</v>
      </c>
      <c r="K75" s="16">
        <f ca="1">IFERROR(ALL!O54,0)</f>
        <v>0</v>
      </c>
      <c r="L75" s="16">
        <f ca="1">IFERROR(ALL!P54,0)</f>
        <v>0</v>
      </c>
      <c r="M75" s="16">
        <f ca="1">IFERROR(ALL!Q54,0)</f>
        <v>0</v>
      </c>
      <c r="N75" s="16">
        <f ca="1">IFERROR(ALL!R54,0)</f>
        <v>0</v>
      </c>
      <c r="O75" s="16">
        <f ca="1">IFERROR(ALL!S54,0)</f>
        <v>0</v>
      </c>
      <c r="P75" s="16">
        <f ca="1">IFERROR(ALL!T54,0)</f>
        <v>0</v>
      </c>
      <c r="Q75" s="16">
        <f ca="1">IFERROR(ALL!U54,0)</f>
        <v>0</v>
      </c>
      <c r="R75" s="16">
        <f ca="1">IFERROR(ALL!V54,0)</f>
        <v>0</v>
      </c>
      <c r="S75" s="16">
        <f ca="1">IFERROR(ALL!W54,0)</f>
        <v>0</v>
      </c>
      <c r="T75" s="16">
        <f ca="1">IFERROR(ALL!X54,0)</f>
        <v>0</v>
      </c>
      <c r="U75" s="16">
        <f ca="1">IFERROR(ALL!Y54,0)</f>
        <v>0</v>
      </c>
      <c r="V75" s="16">
        <f ca="1">IFERROR(ALL!Z54,0)</f>
        <v>0</v>
      </c>
      <c r="W75" s="16">
        <f ca="1">IFERROR(ALL!AA54,0)</f>
        <v>0</v>
      </c>
      <c r="X75" s="16">
        <f ca="1">IFERROR(ALL!AB54,0)</f>
        <v>0</v>
      </c>
      <c r="Y75" s="16">
        <f ca="1">IFERROR(ALL!AC54,0)</f>
        <v>0</v>
      </c>
      <c r="Z75" s="16">
        <f ca="1">IFERROR(ALL!AD54,0)</f>
        <v>0</v>
      </c>
      <c r="AA75" s="16">
        <f ca="1">IFERROR(ALL!AE54,0)</f>
        <v>0</v>
      </c>
      <c r="AB75" s="16">
        <f ca="1">IFERROR(ALL!AF54,0)</f>
        <v>0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>
        <f>IFERROR(ALL!E55,0)</f>
        <v>0</v>
      </c>
      <c r="B76" s="16">
        <f ca="1">IFERROR(ALL!F55,0)</f>
        <v>0</v>
      </c>
      <c r="C76" s="16">
        <f ca="1">IFERROR(ALL!G55,0)</f>
        <v>0</v>
      </c>
      <c r="D76" s="16">
        <f ca="1">IFERROR(ALL!H55,0)</f>
        <v>0</v>
      </c>
      <c r="E76" s="16">
        <f ca="1">IFERROR(ALL!I55,0)</f>
        <v>0</v>
      </c>
      <c r="F76" s="16">
        <f ca="1">IFERROR(ALL!J55,0)</f>
        <v>0</v>
      </c>
      <c r="G76" s="16">
        <f ca="1">IFERROR(ALL!K55,0)</f>
        <v>0</v>
      </c>
      <c r="H76" s="16">
        <f ca="1">IFERROR(ALL!L55,0)</f>
        <v>0</v>
      </c>
      <c r="I76" s="16">
        <f ca="1">IFERROR(ALL!M55,0)</f>
        <v>0</v>
      </c>
      <c r="J76" s="16">
        <f ca="1">IFERROR(ALL!N55,0)</f>
        <v>0</v>
      </c>
      <c r="K76" s="16">
        <f ca="1">IFERROR(ALL!O55,0)</f>
        <v>0</v>
      </c>
      <c r="L76" s="16">
        <f ca="1">IFERROR(ALL!P55,0)</f>
        <v>0</v>
      </c>
      <c r="M76" s="16">
        <f ca="1">IFERROR(ALL!Q55,0)</f>
        <v>0</v>
      </c>
      <c r="N76" s="16">
        <f ca="1">IFERROR(ALL!R55,0)</f>
        <v>0</v>
      </c>
      <c r="O76" s="16">
        <f ca="1">IFERROR(ALL!S55,0)</f>
        <v>0</v>
      </c>
      <c r="P76" s="16">
        <f ca="1">IFERROR(ALL!T55,0)</f>
        <v>0</v>
      </c>
      <c r="Q76" s="16">
        <f ca="1">IFERROR(ALL!U55,0)</f>
        <v>0</v>
      </c>
      <c r="R76" s="16">
        <f ca="1">IFERROR(ALL!V55,0)</f>
        <v>0</v>
      </c>
      <c r="S76" s="16">
        <f ca="1">IFERROR(ALL!W55,0)</f>
        <v>0</v>
      </c>
      <c r="T76" s="16">
        <f ca="1">IFERROR(ALL!X55,0)</f>
        <v>0</v>
      </c>
      <c r="U76" s="16">
        <f ca="1">IFERROR(ALL!Y55,0)</f>
        <v>0</v>
      </c>
      <c r="V76" s="16">
        <f ca="1">IFERROR(ALL!Z55,0)</f>
        <v>0</v>
      </c>
      <c r="W76" s="16">
        <f ca="1">IFERROR(ALL!AA55,0)</f>
        <v>0</v>
      </c>
      <c r="X76" s="16">
        <f ca="1">IFERROR(ALL!AB55,0)</f>
        <v>0</v>
      </c>
      <c r="Y76" s="16">
        <f ca="1">IFERROR(ALL!AC55,0)</f>
        <v>0</v>
      </c>
      <c r="Z76" s="16">
        <f ca="1">IFERROR(ALL!AD55,0)</f>
        <v>0</v>
      </c>
      <c r="AA76" s="16">
        <f ca="1">IFERROR(ALL!AE55,0)</f>
        <v>0</v>
      </c>
      <c r="AB76" s="16">
        <f ca="1">IFERROR(ALL!AF55,0)</f>
        <v>0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>
        <f>IFERROR(ALL!E56,0)</f>
        <v>0</v>
      </c>
      <c r="B77" s="16">
        <f ca="1">IFERROR(ALL!F56,0)</f>
        <v>0</v>
      </c>
      <c r="C77" s="16">
        <f ca="1">IFERROR(ALL!G56,0)</f>
        <v>0</v>
      </c>
      <c r="D77" s="16">
        <f ca="1">IFERROR(ALL!H56,0)</f>
        <v>0</v>
      </c>
      <c r="E77" s="16">
        <f ca="1">IFERROR(ALL!I56,0)</f>
        <v>0</v>
      </c>
      <c r="F77" s="16">
        <f ca="1">IFERROR(ALL!J56,0)</f>
        <v>0</v>
      </c>
      <c r="G77" s="16">
        <f ca="1">IFERROR(ALL!K56,0)</f>
        <v>0</v>
      </c>
      <c r="H77" s="16">
        <f ca="1">IFERROR(ALL!L56,0)</f>
        <v>0</v>
      </c>
      <c r="I77" s="16">
        <f ca="1">IFERROR(ALL!M56,0)</f>
        <v>0</v>
      </c>
      <c r="J77" s="16">
        <f ca="1">IFERROR(ALL!N56,0)</f>
        <v>0</v>
      </c>
      <c r="K77" s="16">
        <f ca="1">IFERROR(ALL!O56,0)</f>
        <v>0</v>
      </c>
      <c r="L77" s="16">
        <f ca="1">IFERROR(ALL!P56,0)</f>
        <v>0</v>
      </c>
      <c r="M77" s="16">
        <f ca="1">IFERROR(ALL!Q56,0)</f>
        <v>0</v>
      </c>
      <c r="N77" s="16">
        <f ca="1">IFERROR(ALL!R56,0)</f>
        <v>0</v>
      </c>
      <c r="O77" s="16">
        <f ca="1">IFERROR(ALL!S56,0)</f>
        <v>0</v>
      </c>
      <c r="P77" s="16">
        <f ca="1">IFERROR(ALL!T56,0)</f>
        <v>0</v>
      </c>
      <c r="Q77" s="16">
        <f ca="1">IFERROR(ALL!U56,0)</f>
        <v>0</v>
      </c>
      <c r="R77" s="16">
        <f ca="1">IFERROR(ALL!V56,0)</f>
        <v>0</v>
      </c>
      <c r="S77" s="16">
        <f ca="1">IFERROR(ALL!W56,0)</f>
        <v>0</v>
      </c>
      <c r="T77" s="16">
        <f ca="1">IFERROR(ALL!X56,0)</f>
        <v>0</v>
      </c>
      <c r="U77" s="16">
        <f ca="1">IFERROR(ALL!Y56,0)</f>
        <v>0</v>
      </c>
      <c r="V77" s="16">
        <f ca="1">IFERROR(ALL!Z56,0)</f>
        <v>0</v>
      </c>
      <c r="W77" s="16">
        <f ca="1">IFERROR(ALL!AA56,0)</f>
        <v>0</v>
      </c>
      <c r="X77" s="16">
        <f ca="1">IFERROR(ALL!AB56,0)</f>
        <v>0</v>
      </c>
      <c r="Y77" s="16">
        <f ca="1">IFERROR(ALL!AC56,0)</f>
        <v>0</v>
      </c>
      <c r="Z77" s="16">
        <f ca="1">IFERROR(ALL!AD56,0)</f>
        <v>0</v>
      </c>
      <c r="AA77" s="16">
        <f ca="1">IFERROR(ALL!AE56,0)</f>
        <v>0</v>
      </c>
      <c r="AB77" s="16">
        <f ca="1">IFERROR(ALL!AF56,0)</f>
        <v>0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>
        <f>IFERROR(ALL!E57,0)</f>
        <v>0</v>
      </c>
      <c r="B78" s="16">
        <f ca="1">IFERROR(ALL!F57,0)</f>
        <v>0</v>
      </c>
      <c r="C78" s="16">
        <f ca="1">IFERROR(ALL!G57,0)</f>
        <v>0</v>
      </c>
      <c r="D78" s="16">
        <f ca="1">IFERROR(ALL!H57,0)</f>
        <v>0</v>
      </c>
      <c r="E78" s="16">
        <f ca="1">IFERROR(ALL!I57,0)</f>
        <v>0</v>
      </c>
      <c r="F78" s="16">
        <f ca="1">IFERROR(ALL!J57,0)</f>
        <v>0</v>
      </c>
      <c r="G78" s="16">
        <f ca="1">IFERROR(ALL!K57,0)</f>
        <v>0</v>
      </c>
      <c r="H78" s="16">
        <f ca="1">IFERROR(ALL!L57,0)</f>
        <v>0</v>
      </c>
      <c r="I78" s="16">
        <f ca="1">IFERROR(ALL!M57,0)</f>
        <v>0</v>
      </c>
      <c r="J78" s="16">
        <f ca="1">IFERROR(ALL!N57,0)</f>
        <v>0</v>
      </c>
      <c r="K78" s="16">
        <f ca="1">IFERROR(ALL!O57,0)</f>
        <v>0</v>
      </c>
      <c r="L78" s="16">
        <f ca="1">IFERROR(ALL!P57,0)</f>
        <v>0</v>
      </c>
      <c r="M78" s="16">
        <f ca="1">IFERROR(ALL!Q57,0)</f>
        <v>0</v>
      </c>
      <c r="N78" s="16">
        <f ca="1">IFERROR(ALL!R57,0)</f>
        <v>0</v>
      </c>
      <c r="O78" s="16">
        <f ca="1">IFERROR(ALL!S57,0)</f>
        <v>0</v>
      </c>
      <c r="P78" s="16">
        <f ca="1">IFERROR(ALL!T57,0)</f>
        <v>0</v>
      </c>
      <c r="Q78" s="16">
        <f ca="1">IFERROR(ALL!U57,0)</f>
        <v>0</v>
      </c>
      <c r="R78" s="16">
        <f ca="1">IFERROR(ALL!V57,0)</f>
        <v>0</v>
      </c>
      <c r="S78" s="16">
        <f ca="1">IFERROR(ALL!W57,0)</f>
        <v>0</v>
      </c>
      <c r="T78" s="16">
        <f ca="1">IFERROR(ALL!X57,0)</f>
        <v>0</v>
      </c>
      <c r="U78" s="16">
        <f ca="1">IFERROR(ALL!Y57,0)</f>
        <v>0</v>
      </c>
      <c r="V78" s="16">
        <f ca="1">IFERROR(ALL!Z57,0)</f>
        <v>0</v>
      </c>
      <c r="W78" s="16">
        <f ca="1">IFERROR(ALL!AA57,0)</f>
        <v>0</v>
      </c>
      <c r="X78" s="16">
        <f ca="1">IFERROR(ALL!AB57,0)</f>
        <v>0</v>
      </c>
      <c r="Y78" s="16">
        <f ca="1">IFERROR(ALL!AC57,0)</f>
        <v>0</v>
      </c>
      <c r="Z78" s="16">
        <f ca="1">IFERROR(ALL!AD57,0)</f>
        <v>0</v>
      </c>
      <c r="AA78" s="16">
        <f ca="1">IFERROR(ALL!AE57,0)</f>
        <v>0</v>
      </c>
      <c r="AB78" s="16">
        <f ca="1">IFERROR(ALL!AF57,0)</f>
        <v>0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>
        <f>IFERROR(ALL!E58,0)</f>
        <v>0</v>
      </c>
      <c r="B79" s="16">
        <f ca="1">IFERROR(ALL!F58,0)</f>
        <v>0</v>
      </c>
      <c r="C79" s="16">
        <f ca="1">IFERROR(ALL!G58,0)</f>
        <v>0</v>
      </c>
      <c r="D79" s="16">
        <f ca="1">IFERROR(ALL!H58,0)</f>
        <v>0</v>
      </c>
      <c r="E79" s="16">
        <f ca="1">IFERROR(ALL!I58,0)</f>
        <v>0</v>
      </c>
      <c r="F79" s="16">
        <f ca="1">IFERROR(ALL!J58,0)</f>
        <v>0</v>
      </c>
      <c r="G79" s="16">
        <f ca="1">IFERROR(ALL!K58,0)</f>
        <v>0</v>
      </c>
      <c r="H79" s="16">
        <f ca="1">IFERROR(ALL!L58,0)</f>
        <v>0</v>
      </c>
      <c r="I79" s="16">
        <f ca="1">IFERROR(ALL!M58,0)</f>
        <v>0</v>
      </c>
      <c r="J79" s="16">
        <f ca="1">IFERROR(ALL!N58,0)</f>
        <v>0</v>
      </c>
      <c r="K79" s="16">
        <f ca="1">IFERROR(ALL!O58,0)</f>
        <v>0</v>
      </c>
      <c r="L79" s="16">
        <f ca="1">IFERROR(ALL!P58,0)</f>
        <v>0</v>
      </c>
      <c r="M79" s="16">
        <f ca="1">IFERROR(ALL!Q58,0)</f>
        <v>0</v>
      </c>
      <c r="N79" s="16">
        <f ca="1">IFERROR(ALL!R58,0)</f>
        <v>0</v>
      </c>
      <c r="O79" s="16">
        <f ca="1">IFERROR(ALL!S58,0)</f>
        <v>0</v>
      </c>
      <c r="P79" s="16">
        <f ca="1">IFERROR(ALL!T58,0)</f>
        <v>0</v>
      </c>
      <c r="Q79" s="16">
        <f ca="1">IFERROR(ALL!U58,0)</f>
        <v>0</v>
      </c>
      <c r="R79" s="16">
        <f ca="1">IFERROR(ALL!V58,0)</f>
        <v>0</v>
      </c>
      <c r="S79" s="16">
        <f ca="1">IFERROR(ALL!W58,0)</f>
        <v>0</v>
      </c>
      <c r="T79" s="16">
        <f ca="1">IFERROR(ALL!X58,0)</f>
        <v>0</v>
      </c>
      <c r="U79" s="16">
        <f ca="1">IFERROR(ALL!Y58,0)</f>
        <v>0</v>
      </c>
      <c r="V79" s="16">
        <f ca="1">IFERROR(ALL!Z58,0)</f>
        <v>0</v>
      </c>
      <c r="W79" s="16">
        <f ca="1">IFERROR(ALL!AA58,0)</f>
        <v>0</v>
      </c>
      <c r="X79" s="16">
        <f ca="1">IFERROR(ALL!AB58,0)</f>
        <v>0</v>
      </c>
      <c r="Y79" s="16">
        <f ca="1">IFERROR(ALL!AC58,0)</f>
        <v>0</v>
      </c>
      <c r="Z79" s="16">
        <f ca="1">IFERROR(ALL!AD58,0)</f>
        <v>0</v>
      </c>
      <c r="AA79" s="16">
        <f ca="1">IFERROR(ALL!AE58,0)</f>
        <v>0</v>
      </c>
      <c r="AB79" s="16">
        <f ca="1">IFERROR(ALL!AF58,0)</f>
        <v>0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>
        <f>IFERROR(ALL!E59,0)</f>
        <v>0</v>
      </c>
      <c r="B80" s="16">
        <f ca="1">IFERROR(ALL!F59,0)</f>
        <v>0</v>
      </c>
      <c r="C80" s="16">
        <f ca="1">IFERROR(ALL!G59,0)</f>
        <v>0</v>
      </c>
      <c r="D80" s="16">
        <f ca="1">IFERROR(ALL!H59,0)</f>
        <v>0</v>
      </c>
      <c r="E80" s="16">
        <f ca="1">IFERROR(ALL!I59,0)</f>
        <v>0</v>
      </c>
      <c r="F80" s="16">
        <f ca="1">IFERROR(ALL!J59,0)</f>
        <v>0</v>
      </c>
      <c r="G80" s="16">
        <f ca="1">IFERROR(ALL!K59,0)</f>
        <v>0</v>
      </c>
      <c r="H80" s="16">
        <f ca="1">IFERROR(ALL!L59,0)</f>
        <v>0</v>
      </c>
      <c r="I80" s="16">
        <f ca="1">IFERROR(ALL!M59,0)</f>
        <v>0</v>
      </c>
      <c r="J80" s="16">
        <f ca="1">IFERROR(ALL!N59,0)</f>
        <v>0</v>
      </c>
      <c r="K80" s="16">
        <f ca="1">IFERROR(ALL!O59,0)</f>
        <v>0</v>
      </c>
      <c r="L80" s="16">
        <f ca="1">IFERROR(ALL!P59,0)</f>
        <v>0</v>
      </c>
      <c r="M80" s="16">
        <f ca="1">IFERROR(ALL!Q59,0)</f>
        <v>0</v>
      </c>
      <c r="N80" s="16">
        <f ca="1">IFERROR(ALL!R59,0)</f>
        <v>0</v>
      </c>
      <c r="O80" s="16">
        <f ca="1">IFERROR(ALL!S59,0)</f>
        <v>0</v>
      </c>
      <c r="P80" s="16">
        <f ca="1">IFERROR(ALL!T59,0)</f>
        <v>0</v>
      </c>
      <c r="Q80" s="16">
        <f ca="1">IFERROR(ALL!U59,0)</f>
        <v>0</v>
      </c>
      <c r="R80" s="16">
        <f ca="1">IFERROR(ALL!V59,0)</f>
        <v>0</v>
      </c>
      <c r="S80" s="16">
        <f ca="1">IFERROR(ALL!W59,0)</f>
        <v>0</v>
      </c>
      <c r="T80" s="16">
        <f ca="1">IFERROR(ALL!X59,0)</f>
        <v>0</v>
      </c>
      <c r="U80" s="16">
        <f ca="1">IFERROR(ALL!Y59,0)</f>
        <v>0</v>
      </c>
      <c r="V80" s="16">
        <f ca="1">IFERROR(ALL!Z59,0)</f>
        <v>0</v>
      </c>
      <c r="W80" s="16">
        <f ca="1">IFERROR(ALL!AA59,0)</f>
        <v>0</v>
      </c>
      <c r="X80" s="16">
        <f ca="1">IFERROR(ALL!AB59,0)</f>
        <v>0</v>
      </c>
      <c r="Y80" s="16">
        <f ca="1">IFERROR(ALL!AC59,0)</f>
        <v>0</v>
      </c>
      <c r="Z80" s="16">
        <f ca="1">IFERROR(ALL!AD59,0)</f>
        <v>0</v>
      </c>
      <c r="AA80" s="16">
        <f ca="1">IFERROR(ALL!AE59,0)</f>
        <v>0</v>
      </c>
      <c r="AB80" s="16">
        <f ca="1">IFERROR(ALL!AF59,0)</f>
        <v>0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>
        <f>IFERROR(ALL!E60,0)</f>
        <v>0</v>
      </c>
      <c r="B81" s="16">
        <f ca="1">IFERROR(ALL!F60,0)</f>
        <v>0</v>
      </c>
      <c r="C81" s="16">
        <f ca="1">IFERROR(ALL!G60,0)</f>
        <v>0</v>
      </c>
      <c r="D81" s="16">
        <f ca="1">IFERROR(ALL!H60,0)</f>
        <v>0</v>
      </c>
      <c r="E81" s="16">
        <f ca="1">IFERROR(ALL!I60,0)</f>
        <v>0</v>
      </c>
      <c r="F81" s="16">
        <f ca="1">IFERROR(ALL!J60,0)</f>
        <v>0</v>
      </c>
      <c r="G81" s="16">
        <f ca="1">IFERROR(ALL!K60,0)</f>
        <v>0</v>
      </c>
      <c r="H81" s="16">
        <f ca="1">IFERROR(ALL!L60,0)</f>
        <v>0</v>
      </c>
      <c r="I81" s="16">
        <f ca="1">IFERROR(ALL!M60,0)</f>
        <v>0</v>
      </c>
      <c r="J81" s="16">
        <f ca="1">IFERROR(ALL!N60,0)</f>
        <v>0</v>
      </c>
      <c r="K81" s="16">
        <f ca="1">IFERROR(ALL!O60,0)</f>
        <v>0</v>
      </c>
      <c r="L81" s="16">
        <f ca="1">IFERROR(ALL!P60,0)</f>
        <v>0</v>
      </c>
      <c r="M81" s="16">
        <f ca="1">IFERROR(ALL!Q60,0)</f>
        <v>0</v>
      </c>
      <c r="N81" s="16">
        <f ca="1">IFERROR(ALL!R60,0)</f>
        <v>0</v>
      </c>
      <c r="O81" s="16">
        <f ca="1">IFERROR(ALL!S60,0)</f>
        <v>0</v>
      </c>
      <c r="P81" s="16">
        <f ca="1">IFERROR(ALL!T60,0)</f>
        <v>0</v>
      </c>
      <c r="Q81" s="16">
        <f ca="1">IFERROR(ALL!U60,0)</f>
        <v>0</v>
      </c>
      <c r="R81" s="16">
        <f ca="1">IFERROR(ALL!V60,0)</f>
        <v>0</v>
      </c>
      <c r="S81" s="16">
        <f ca="1">IFERROR(ALL!W60,0)</f>
        <v>0</v>
      </c>
      <c r="T81" s="16">
        <f ca="1">IFERROR(ALL!X60,0)</f>
        <v>0</v>
      </c>
      <c r="U81" s="16">
        <f ca="1">IFERROR(ALL!Y60,0)</f>
        <v>0</v>
      </c>
      <c r="V81" s="16">
        <f ca="1">IFERROR(ALL!Z60,0)</f>
        <v>0</v>
      </c>
      <c r="W81" s="16">
        <f ca="1">IFERROR(ALL!AA60,0)</f>
        <v>0</v>
      </c>
      <c r="X81" s="16">
        <f ca="1">IFERROR(ALL!AB60,0)</f>
        <v>0</v>
      </c>
      <c r="Y81" s="16">
        <f ca="1">IFERROR(ALL!AC60,0)</f>
        <v>0</v>
      </c>
      <c r="Z81" s="16">
        <f ca="1">IFERROR(ALL!AD60,0)</f>
        <v>0</v>
      </c>
      <c r="AA81" s="16">
        <f ca="1">IFERROR(ALL!AE60,0)</f>
        <v>0</v>
      </c>
      <c r="AB81" s="16">
        <f ca="1">IFERROR(ALL!AF60,0)</f>
        <v>0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>
        <f>IFERROR(ALL!E61,0)</f>
        <v>0</v>
      </c>
      <c r="B82" s="16">
        <f ca="1">IFERROR(ALL!F61,0)</f>
        <v>0</v>
      </c>
      <c r="C82" s="16">
        <f ca="1">IFERROR(ALL!G61,0)</f>
        <v>0</v>
      </c>
      <c r="D82" s="16">
        <f ca="1">IFERROR(ALL!H61,0)</f>
        <v>0</v>
      </c>
      <c r="E82" s="16">
        <f ca="1">IFERROR(ALL!I61,0)</f>
        <v>0</v>
      </c>
      <c r="F82" s="16">
        <f ca="1">IFERROR(ALL!J61,0)</f>
        <v>0</v>
      </c>
      <c r="G82" s="16">
        <f ca="1">IFERROR(ALL!K61,0)</f>
        <v>0</v>
      </c>
      <c r="H82" s="16">
        <f ca="1">IFERROR(ALL!L61,0)</f>
        <v>0</v>
      </c>
      <c r="I82" s="16">
        <f ca="1">IFERROR(ALL!M61,0)</f>
        <v>0</v>
      </c>
      <c r="J82" s="16">
        <f ca="1">IFERROR(ALL!N61,0)</f>
        <v>0</v>
      </c>
      <c r="K82" s="16">
        <f ca="1">IFERROR(ALL!O61,0)</f>
        <v>0</v>
      </c>
      <c r="L82" s="16">
        <f ca="1">IFERROR(ALL!P61,0)</f>
        <v>0</v>
      </c>
      <c r="M82" s="16">
        <f ca="1">IFERROR(ALL!Q61,0)</f>
        <v>0</v>
      </c>
      <c r="N82" s="16">
        <f ca="1">IFERROR(ALL!R61,0)</f>
        <v>0</v>
      </c>
      <c r="O82" s="16">
        <f ca="1">IFERROR(ALL!S61,0)</f>
        <v>0</v>
      </c>
      <c r="P82" s="16">
        <f ca="1">IFERROR(ALL!T61,0)</f>
        <v>0</v>
      </c>
      <c r="Q82" s="16">
        <f ca="1">IFERROR(ALL!U61,0)</f>
        <v>0</v>
      </c>
      <c r="R82" s="16">
        <f ca="1">IFERROR(ALL!V61,0)</f>
        <v>0</v>
      </c>
      <c r="S82" s="16">
        <f ca="1">IFERROR(ALL!W61,0)</f>
        <v>0</v>
      </c>
      <c r="T82" s="16">
        <f ca="1">IFERROR(ALL!X61,0)</f>
        <v>0</v>
      </c>
      <c r="U82" s="16">
        <f ca="1">IFERROR(ALL!Y61,0)</f>
        <v>0</v>
      </c>
      <c r="V82" s="16">
        <f ca="1">IFERROR(ALL!Z61,0)</f>
        <v>0</v>
      </c>
      <c r="W82" s="16">
        <f ca="1">IFERROR(ALL!AA61,0)</f>
        <v>0</v>
      </c>
      <c r="X82" s="16">
        <f ca="1">IFERROR(ALL!AB61,0)</f>
        <v>0</v>
      </c>
      <c r="Y82" s="16">
        <f ca="1">IFERROR(ALL!AC61,0)</f>
        <v>0</v>
      </c>
      <c r="Z82" s="16">
        <f ca="1">IFERROR(ALL!AD61,0)</f>
        <v>0</v>
      </c>
      <c r="AA82" s="16">
        <f ca="1">IFERROR(ALL!AE61,0)</f>
        <v>0</v>
      </c>
      <c r="AB82" s="16">
        <f ca="1">IFERROR(ALL!AF61,0)</f>
        <v>0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>
        <f>IFERROR(ALL!E62,0)</f>
        <v>0</v>
      </c>
      <c r="B83" s="16">
        <f ca="1">IFERROR(ALL!F62,0)</f>
        <v>0</v>
      </c>
      <c r="C83" s="16">
        <f ca="1">IFERROR(ALL!G62,0)</f>
        <v>0</v>
      </c>
      <c r="D83" s="16">
        <f ca="1">IFERROR(ALL!H62,0)</f>
        <v>0</v>
      </c>
      <c r="E83" s="16">
        <f ca="1">IFERROR(ALL!I62,0)</f>
        <v>0</v>
      </c>
      <c r="F83" s="16">
        <f ca="1">IFERROR(ALL!J62,0)</f>
        <v>0</v>
      </c>
      <c r="G83" s="16">
        <f ca="1">IFERROR(ALL!K62,0)</f>
        <v>0</v>
      </c>
      <c r="H83" s="16">
        <f ca="1">IFERROR(ALL!L62,0)</f>
        <v>0</v>
      </c>
      <c r="I83" s="16">
        <f ca="1">IFERROR(ALL!M62,0)</f>
        <v>0</v>
      </c>
      <c r="J83" s="16">
        <f ca="1">IFERROR(ALL!N62,0)</f>
        <v>0</v>
      </c>
      <c r="K83" s="16">
        <f ca="1">IFERROR(ALL!O62,0)</f>
        <v>0</v>
      </c>
      <c r="L83" s="16">
        <f ca="1">IFERROR(ALL!P62,0)</f>
        <v>0</v>
      </c>
      <c r="M83" s="16">
        <f ca="1">IFERROR(ALL!Q62,0)</f>
        <v>0</v>
      </c>
      <c r="N83" s="16">
        <f ca="1">IFERROR(ALL!R62,0)</f>
        <v>0</v>
      </c>
      <c r="O83" s="16">
        <f ca="1">IFERROR(ALL!S62,0)</f>
        <v>0</v>
      </c>
      <c r="P83" s="16">
        <f ca="1">IFERROR(ALL!T62,0)</f>
        <v>0</v>
      </c>
      <c r="Q83" s="16">
        <f ca="1">IFERROR(ALL!U62,0)</f>
        <v>0</v>
      </c>
      <c r="R83" s="16">
        <f ca="1">IFERROR(ALL!V62,0)</f>
        <v>0</v>
      </c>
      <c r="S83" s="16">
        <f ca="1">IFERROR(ALL!W62,0)</f>
        <v>0</v>
      </c>
      <c r="T83" s="16">
        <f ca="1">IFERROR(ALL!X62,0)</f>
        <v>0</v>
      </c>
      <c r="U83" s="16">
        <f ca="1">IFERROR(ALL!Y62,0)</f>
        <v>0</v>
      </c>
      <c r="V83" s="16">
        <f ca="1">IFERROR(ALL!Z62,0)</f>
        <v>0</v>
      </c>
      <c r="W83" s="16">
        <f ca="1">IFERROR(ALL!AA62,0)</f>
        <v>0</v>
      </c>
      <c r="X83" s="16">
        <f ca="1">IFERROR(ALL!AB62,0)</f>
        <v>0</v>
      </c>
      <c r="Y83" s="16">
        <f ca="1">IFERROR(ALL!AC62,0)</f>
        <v>0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>
        <f>IFERROR(ALL!E63,0)</f>
        <v>0</v>
      </c>
      <c r="B84" s="16">
        <f ca="1">IFERROR(ALL!F63,0)</f>
        <v>0</v>
      </c>
      <c r="C84" s="16">
        <f ca="1">IFERROR(ALL!G63,0)</f>
        <v>0</v>
      </c>
      <c r="D84" s="16">
        <f ca="1">IFERROR(ALL!H63,0)</f>
        <v>0</v>
      </c>
      <c r="E84" s="16">
        <f ca="1">IFERROR(ALL!I63,0)</f>
        <v>0</v>
      </c>
      <c r="F84" s="16">
        <f ca="1">IFERROR(ALL!J63,0)</f>
        <v>0</v>
      </c>
      <c r="G84" s="16">
        <f ca="1">IFERROR(ALL!K63,0)</f>
        <v>0</v>
      </c>
      <c r="H84" s="16">
        <f ca="1">IFERROR(ALL!L63,0)</f>
        <v>0</v>
      </c>
      <c r="I84" s="16">
        <f ca="1">IFERROR(ALL!M63,0)</f>
        <v>0</v>
      </c>
      <c r="J84" s="16">
        <f ca="1">IFERROR(ALL!N63,0)</f>
        <v>0</v>
      </c>
      <c r="K84" s="16">
        <f ca="1">IFERROR(ALL!O63,0)</f>
        <v>0</v>
      </c>
      <c r="L84" s="16">
        <f ca="1">IFERROR(ALL!P63,0)</f>
        <v>0</v>
      </c>
      <c r="M84" s="16">
        <f ca="1">IFERROR(ALL!Q63,0)</f>
        <v>0</v>
      </c>
      <c r="N84" s="16">
        <f ca="1">IFERROR(ALL!R63,0)</f>
        <v>0</v>
      </c>
      <c r="O84" s="16">
        <f ca="1">IFERROR(ALL!S63,0)</f>
        <v>0</v>
      </c>
      <c r="P84" s="16">
        <f ca="1">IFERROR(ALL!T63,0)</f>
        <v>0</v>
      </c>
      <c r="Q84" s="16">
        <f ca="1">IFERROR(ALL!U63,0)</f>
        <v>0</v>
      </c>
      <c r="R84" s="16">
        <f ca="1">IFERROR(ALL!V63,0)</f>
        <v>0</v>
      </c>
      <c r="S84" s="16">
        <f ca="1">IFERROR(ALL!W63,0)</f>
        <v>0</v>
      </c>
      <c r="T84" s="16">
        <f ca="1">IFERROR(ALL!X63,0)</f>
        <v>0</v>
      </c>
      <c r="U84" s="16">
        <f ca="1">IFERROR(ALL!Y63,0)</f>
        <v>0</v>
      </c>
      <c r="V84" s="16">
        <f ca="1">IFERROR(ALL!Z63,0)</f>
        <v>0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>
        <f>IFERROR(ALL!E64,0)</f>
        <v>0</v>
      </c>
      <c r="B85" s="16">
        <f ca="1">IFERROR(ALL!F64,0)</f>
        <v>0</v>
      </c>
      <c r="C85" s="16">
        <f ca="1">IFERROR(ALL!G64,0)</f>
        <v>0</v>
      </c>
      <c r="D85" s="16">
        <f ca="1">IFERROR(ALL!H64,0)</f>
        <v>0</v>
      </c>
      <c r="E85" s="16">
        <f ca="1">IFERROR(ALL!I64,0)</f>
        <v>0</v>
      </c>
      <c r="F85" s="16">
        <f ca="1">IFERROR(ALL!J64,0)</f>
        <v>0</v>
      </c>
      <c r="G85" s="16">
        <f ca="1">IFERROR(ALL!K64,0)</f>
        <v>0</v>
      </c>
      <c r="H85" s="16">
        <f ca="1">IFERROR(ALL!L64,0)</f>
        <v>0</v>
      </c>
      <c r="I85" s="16">
        <f ca="1">IFERROR(ALL!M64,0)</f>
        <v>0</v>
      </c>
      <c r="J85" s="16">
        <f ca="1">IFERROR(ALL!N64,0)</f>
        <v>0</v>
      </c>
      <c r="K85" s="16">
        <f ca="1">IFERROR(ALL!O64,0)</f>
        <v>0</v>
      </c>
      <c r="L85" s="16">
        <f ca="1">IFERROR(ALL!P64,0)</f>
        <v>0</v>
      </c>
      <c r="M85" s="16">
        <f ca="1">IFERROR(ALL!Q64,0)</f>
        <v>0</v>
      </c>
      <c r="N85" s="16">
        <f ca="1">IFERROR(ALL!R64,0)</f>
        <v>0</v>
      </c>
      <c r="O85" s="16">
        <f ca="1">IFERROR(ALL!S64,0)</f>
        <v>0</v>
      </c>
      <c r="P85" s="16">
        <f ca="1">IFERROR(ALL!T64,0)</f>
        <v>0</v>
      </c>
      <c r="Q85" s="16">
        <f ca="1">IFERROR(ALL!U64,0)</f>
        <v>0</v>
      </c>
      <c r="R85" s="16">
        <f ca="1">IFERROR(ALL!V64,0)</f>
        <v>0</v>
      </c>
      <c r="S85" s="16">
        <f ca="1">IFERROR(ALL!W64,0)</f>
        <v>0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</row>
    <row r="101" spans="1:72" ht="9.9499999999999993" customHeight="1" thickTop="1" thickBot="1" x14ac:dyDescent="0.4">
      <c r="A101" s="45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S101" s="47"/>
      <c r="BT101" s="47"/>
    </row>
    <row r="102" spans="1:72" ht="9.9499999999999993" customHeight="1" thickBot="1" x14ac:dyDescent="0.4">
      <c r="A102" s="45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S102" s="47"/>
      <c r="BT102" s="47"/>
    </row>
    <row r="103" spans="1:72" ht="9.9499999999999993" customHeight="1" thickBot="1" x14ac:dyDescent="0.4">
      <c r="A103" s="45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S103" s="47"/>
      <c r="BT103" s="47"/>
    </row>
    <row r="104" spans="1:72" ht="9.9499999999999993" customHeight="1" thickBot="1" x14ac:dyDescent="0.4">
      <c r="A104" s="45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S104" s="47"/>
      <c r="BT104" s="47"/>
    </row>
    <row r="105" spans="1:72" ht="9.9499999999999993" customHeight="1" thickBot="1" x14ac:dyDescent="0.4">
      <c r="A105" s="45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S105" s="47"/>
      <c r="BT105" s="47"/>
    </row>
    <row r="106" spans="1:72" ht="9.9499999999999993" customHeight="1" thickBot="1" x14ac:dyDescent="0.4">
      <c r="A106" s="45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S106" s="47"/>
      <c r="BT106" s="47"/>
    </row>
    <row r="107" spans="1:72" ht="9.9499999999999993" customHeight="1" thickBot="1" x14ac:dyDescent="0.4">
      <c r="A107" s="45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7"/>
      <c r="BA107" s="47"/>
      <c r="BB107" s="47"/>
      <c r="BC107" s="47"/>
      <c r="BD107" s="47"/>
      <c r="BE107" s="47"/>
      <c r="BF107" s="47"/>
      <c r="BG107" s="47"/>
      <c r="BH107" s="47"/>
      <c r="BI107" s="47"/>
      <c r="BJ107" s="47"/>
      <c r="BK107" s="47"/>
      <c r="BL107" s="47"/>
      <c r="BM107" s="47"/>
      <c r="BN107" s="47"/>
      <c r="BO107" s="47"/>
      <c r="BP107" s="47"/>
      <c r="BS107" s="47"/>
      <c r="BT107" s="47"/>
    </row>
    <row r="108" spans="1:72" ht="9.9499999999999993" customHeight="1" thickBot="1" x14ac:dyDescent="0.4">
      <c r="A108" s="45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7"/>
      <c r="BA108" s="47"/>
      <c r="BB108" s="47"/>
      <c r="BC108" s="47"/>
      <c r="BD108" s="47"/>
      <c r="BE108" s="47"/>
      <c r="BF108" s="47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S108" s="47"/>
      <c r="BT108" s="47"/>
    </row>
    <row r="109" spans="1:72" ht="9.9499999999999993" customHeight="1" thickBot="1" x14ac:dyDescent="0.4">
      <c r="A109" s="45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7"/>
      <c r="BA109" s="47"/>
      <c r="BB109" s="47"/>
      <c r="BC109" s="47"/>
      <c r="BD109" s="47"/>
      <c r="BE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S109" s="47"/>
      <c r="BT109" s="47"/>
    </row>
    <row r="110" spans="1:72" ht="9.9499999999999993" customHeight="1" thickBot="1" x14ac:dyDescent="0.4">
      <c r="A110" s="45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7"/>
      <c r="BA110" s="47"/>
      <c r="BB110" s="47"/>
      <c r="BC110" s="47"/>
      <c r="BD110" s="47"/>
      <c r="BE110" s="47"/>
      <c r="BF110" s="47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S110" s="47"/>
      <c r="BT110" s="47"/>
    </row>
    <row r="111" spans="1:72" ht="9.9499999999999993" customHeight="1" thickBot="1" x14ac:dyDescent="0.4">
      <c r="A111" s="45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7"/>
      <c r="BA111" s="47"/>
      <c r="BB111" s="47"/>
      <c r="BC111" s="47"/>
      <c r="BD111" s="47"/>
      <c r="BE111" s="47"/>
      <c r="BF111" s="47"/>
      <c r="BG111" s="47"/>
      <c r="BH111" s="47"/>
      <c r="BI111" s="47"/>
      <c r="BJ111" s="47"/>
      <c r="BK111" s="47"/>
      <c r="BL111" s="47"/>
      <c r="BM111" s="47"/>
      <c r="BN111" s="47"/>
      <c r="BO111" s="47"/>
      <c r="BP111" s="47"/>
      <c r="BS111" s="47"/>
      <c r="BT111" s="47"/>
    </row>
    <row r="112" spans="1:72" ht="9.9499999999999993" customHeight="1" thickBot="1" x14ac:dyDescent="0.4">
      <c r="A112" s="45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7"/>
      <c r="BA112" s="47"/>
      <c r="BB112" s="47"/>
      <c r="BC112" s="47"/>
      <c r="BD112" s="47"/>
      <c r="BE112" s="47"/>
      <c r="BF112" s="47"/>
      <c r="BG112" s="47"/>
      <c r="BH112" s="47"/>
      <c r="BI112" s="47"/>
      <c r="BJ112" s="47"/>
      <c r="BK112" s="47"/>
      <c r="BL112" s="47"/>
      <c r="BM112" s="47"/>
      <c r="BN112" s="47"/>
      <c r="BO112" s="47"/>
      <c r="BP112" s="47"/>
      <c r="BS112" s="47"/>
      <c r="BT112" s="47"/>
    </row>
    <row r="113" spans="1:72" ht="9.9499999999999993" customHeight="1" thickBot="1" x14ac:dyDescent="0.4">
      <c r="A113" s="45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  <c r="BA113" s="47"/>
      <c r="BB113" s="47"/>
      <c r="BC113" s="47"/>
      <c r="BD113" s="47"/>
      <c r="BE113" s="47"/>
      <c r="BF113" s="47"/>
      <c r="BG113" s="47"/>
      <c r="BH113" s="47"/>
      <c r="BI113" s="47"/>
      <c r="BJ113" s="47"/>
      <c r="BK113" s="47"/>
      <c r="BL113" s="47"/>
      <c r="BM113" s="47"/>
      <c r="BN113" s="47"/>
      <c r="BO113" s="47"/>
      <c r="BP113" s="47"/>
      <c r="BS113" s="47"/>
      <c r="BT113" s="47"/>
    </row>
    <row r="114" spans="1:72" ht="9.9499999999999993" customHeight="1" thickBot="1" x14ac:dyDescent="0.4">
      <c r="A114" s="45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S114" s="47"/>
      <c r="BT114" s="47"/>
    </row>
    <row r="115" spans="1:72" ht="9.9499999999999993" customHeight="1" thickBot="1" x14ac:dyDescent="0.4">
      <c r="A115" s="45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  <c r="BA115" s="47"/>
      <c r="BB115" s="47"/>
      <c r="BC115" s="47"/>
      <c r="BD115" s="47"/>
      <c r="BE115" s="47"/>
      <c r="BF115" s="47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S115" s="47"/>
      <c r="BT115" s="47"/>
    </row>
    <row r="116" spans="1:72" ht="9.9499999999999993" customHeight="1" thickBot="1" x14ac:dyDescent="0.4">
      <c r="A116" s="45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S116" s="47"/>
      <c r="BT116" s="47"/>
    </row>
    <row r="117" spans="1:72" ht="9.9499999999999993" customHeight="1" thickBot="1" x14ac:dyDescent="0.4">
      <c r="A117" s="45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S117" s="47"/>
      <c r="BT117" s="47"/>
    </row>
    <row r="118" spans="1:72" ht="9.9499999999999993" customHeight="1" thickBot="1" x14ac:dyDescent="0.4">
      <c r="A118" s="45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S118" s="47"/>
      <c r="BT118" s="47"/>
    </row>
    <row r="119" spans="1:72" ht="9.9499999999999993" customHeight="1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</row>
    <row r="133" spans="1:72" ht="9.9499999999999993" customHeight="1" thickTop="1" thickBot="1" x14ac:dyDescent="0.4">
      <c r="A133" s="45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107"/>
      <c r="BD133" s="107"/>
      <c r="BE133" s="107"/>
      <c r="BF133" s="107"/>
      <c r="BG133" s="107"/>
      <c r="BH133" s="107"/>
      <c r="BI133" s="107"/>
      <c r="BJ133" s="107"/>
      <c r="BK133" s="107"/>
      <c r="BL133" s="107"/>
      <c r="BM133" s="107"/>
      <c r="BN133" s="107"/>
      <c r="BO133" s="107"/>
      <c r="BP133" s="107"/>
      <c r="BQ133" s="107"/>
      <c r="BR133" s="107"/>
      <c r="BS133" s="107"/>
      <c r="BT133" s="107"/>
    </row>
    <row r="134" spans="1:72" ht="9.9499999999999993" customHeight="1" thickBot="1" x14ac:dyDescent="0.4">
      <c r="A134" s="45"/>
      <c r="D134" s="107"/>
      <c r="E134" s="107"/>
      <c r="F134" s="107"/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X134" s="107"/>
      <c r="AY134" s="107"/>
      <c r="AZ134" s="107"/>
      <c r="BA134" s="107"/>
      <c r="BB134" s="107"/>
      <c r="BC134" s="107"/>
      <c r="BD134" s="107"/>
      <c r="BE134" s="107"/>
      <c r="BF134" s="107"/>
      <c r="BG134" s="107"/>
      <c r="BH134" s="107"/>
      <c r="BI134" s="107"/>
      <c r="BJ134" s="107"/>
      <c r="BK134" s="107"/>
      <c r="BL134" s="107"/>
      <c r="BM134" s="107"/>
      <c r="BN134" s="107"/>
      <c r="BO134" s="107"/>
      <c r="BP134" s="107"/>
      <c r="BQ134" s="107"/>
      <c r="BR134" s="107"/>
      <c r="BS134" s="107"/>
      <c r="BT134" s="107"/>
    </row>
    <row r="135" spans="1:72" ht="9.9499999999999993" customHeight="1" thickBot="1" x14ac:dyDescent="0.4">
      <c r="A135" s="45"/>
      <c r="D135" s="107"/>
      <c r="E135" s="107"/>
      <c r="F135" s="107"/>
      <c r="G135" s="107"/>
      <c r="H135" s="107"/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  <c r="AX135" s="107"/>
      <c r="AY135" s="107"/>
      <c r="AZ135" s="107"/>
      <c r="BA135" s="107"/>
      <c r="BB135" s="107"/>
      <c r="BC135" s="107"/>
      <c r="BD135" s="107"/>
      <c r="BE135" s="107"/>
      <c r="BF135" s="107"/>
      <c r="BG135" s="107"/>
      <c r="BH135" s="107"/>
      <c r="BI135" s="107"/>
      <c r="BJ135" s="107"/>
      <c r="BK135" s="107"/>
      <c r="BL135" s="107"/>
      <c r="BM135" s="107"/>
      <c r="BN135" s="107"/>
      <c r="BO135" s="107"/>
      <c r="BP135" s="107"/>
      <c r="BQ135" s="107"/>
      <c r="BR135" s="107"/>
      <c r="BS135" s="107"/>
      <c r="BT135" s="107"/>
    </row>
    <row r="136" spans="1:72" ht="9.9499999999999993" customHeight="1" thickBot="1" x14ac:dyDescent="0.4">
      <c r="A136" s="45"/>
      <c r="D136" s="107"/>
      <c r="E136" s="107"/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X136" s="107"/>
      <c r="AY136" s="107"/>
      <c r="AZ136" s="107"/>
      <c r="BA136" s="107"/>
      <c r="BB136" s="107"/>
      <c r="BC136" s="107"/>
      <c r="BD136" s="107"/>
      <c r="BE136" s="107"/>
      <c r="BF136" s="107"/>
      <c r="BG136" s="107"/>
      <c r="BH136" s="107"/>
      <c r="BI136" s="107"/>
      <c r="BJ136" s="107"/>
      <c r="BK136" s="107"/>
      <c r="BL136" s="107"/>
      <c r="BM136" s="107"/>
      <c r="BN136" s="107"/>
      <c r="BO136" s="107"/>
      <c r="BP136" s="107"/>
      <c r="BQ136" s="107"/>
      <c r="BR136" s="107"/>
      <c r="BS136" s="107"/>
      <c r="BT136" s="107"/>
    </row>
    <row r="137" spans="1:72" ht="9.9499999999999993" customHeight="1" thickBot="1" x14ac:dyDescent="0.4">
      <c r="A137" s="45"/>
      <c r="D137" s="107"/>
      <c r="E137" s="107"/>
      <c r="F137" s="107"/>
      <c r="G137" s="107"/>
      <c r="H137" s="107"/>
      <c r="I137" s="107"/>
      <c r="J137" s="107"/>
      <c r="K137" s="107"/>
      <c r="L137" s="107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/>
      <c r="AW137" s="107"/>
      <c r="AX137" s="107"/>
      <c r="AY137" s="107"/>
      <c r="AZ137" s="107"/>
      <c r="BA137" s="107"/>
      <c r="BB137" s="107"/>
      <c r="BC137" s="107"/>
      <c r="BD137" s="107"/>
      <c r="BE137" s="107"/>
      <c r="BF137" s="107"/>
      <c r="BG137" s="107"/>
      <c r="BH137" s="107"/>
      <c r="BI137" s="107"/>
      <c r="BJ137" s="107"/>
      <c r="BK137" s="107"/>
      <c r="BL137" s="107"/>
      <c r="BM137" s="107"/>
      <c r="BN137" s="107"/>
      <c r="BO137" s="107"/>
      <c r="BP137" s="107"/>
      <c r="BQ137" s="107"/>
      <c r="BR137" s="107"/>
      <c r="BS137" s="107"/>
      <c r="BT137" s="107"/>
    </row>
    <row r="138" spans="1:72" ht="9.9499999999999993" customHeight="1" thickBot="1" x14ac:dyDescent="0.4">
      <c r="A138" s="45"/>
      <c r="D138" s="107"/>
      <c r="E138" s="107"/>
      <c r="F138" s="107"/>
      <c r="G138" s="107"/>
      <c r="H138" s="107"/>
      <c r="I138" s="107"/>
      <c r="J138" s="107"/>
      <c r="K138" s="107"/>
      <c r="L138" s="107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  <c r="BN138" s="107"/>
      <c r="BO138" s="107"/>
      <c r="BP138" s="107"/>
      <c r="BQ138" s="107"/>
      <c r="BR138" s="107"/>
      <c r="BS138" s="107"/>
      <c r="BT138" s="107"/>
    </row>
    <row r="139" spans="1:72" ht="9.9499999999999993" customHeight="1" thickBot="1" x14ac:dyDescent="0.4">
      <c r="A139" s="45"/>
      <c r="D139" s="107"/>
      <c r="E139" s="107"/>
      <c r="F139" s="107"/>
      <c r="G139" s="107"/>
      <c r="H139" s="107"/>
      <c r="I139" s="107"/>
      <c r="J139" s="107"/>
      <c r="K139" s="107"/>
      <c r="L139" s="107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</row>
    <row r="140" spans="1:72" ht="9.9499999999999993" customHeight="1" thickBot="1" x14ac:dyDescent="0.4">
      <c r="A140" s="45"/>
      <c r="D140" s="107"/>
      <c r="E140" s="107"/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</row>
    <row r="141" spans="1:72" ht="9.9499999999999993" customHeight="1" thickBot="1" x14ac:dyDescent="0.4">
      <c r="A141" s="45"/>
      <c r="D141" s="107"/>
      <c r="E141" s="107"/>
      <c r="F141" s="107"/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</row>
    <row r="142" spans="1:72" ht="9.9499999999999993" customHeight="1" thickBot="1" x14ac:dyDescent="0.4">
      <c r="A142" s="45"/>
      <c r="D142" s="107"/>
      <c r="E142" s="107"/>
      <c r="F142" s="107"/>
      <c r="G142" s="107"/>
      <c r="H142" s="107"/>
      <c r="I142" s="107"/>
      <c r="J142" s="107"/>
      <c r="K142" s="107"/>
      <c r="L142" s="107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</row>
    <row r="143" spans="1:72" ht="9.9499999999999993" customHeight="1" thickBot="1" x14ac:dyDescent="0.4">
      <c r="A143" s="45"/>
      <c r="D143" s="107"/>
      <c r="E143" s="107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</row>
    <row r="144" spans="1:72" ht="9.9499999999999993" customHeight="1" thickBot="1" x14ac:dyDescent="0.4">
      <c r="A144" s="45"/>
      <c r="D144" s="107"/>
      <c r="E144" s="107"/>
      <c r="F144" s="107"/>
      <c r="G144" s="107"/>
      <c r="H144" s="107"/>
      <c r="I144" s="107"/>
      <c r="J144" s="107"/>
      <c r="K144" s="107"/>
      <c r="L144" s="107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</row>
    <row r="145" spans="1:72" ht="9.9499999999999993" customHeight="1" thickBot="1" x14ac:dyDescent="0.4">
      <c r="A145" s="45"/>
      <c r="D145" s="107"/>
      <c r="E145" s="107"/>
      <c r="F145" s="107"/>
      <c r="G145" s="107"/>
      <c r="H145" s="107"/>
      <c r="I145" s="107"/>
      <c r="J145" s="107"/>
      <c r="K145" s="107"/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</row>
    <row r="146" spans="1:72" ht="9.9499999999999993" customHeight="1" thickBot="1" x14ac:dyDescent="0.4">
      <c r="A146" s="45"/>
      <c r="D146" s="107"/>
      <c r="E146" s="107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</row>
    <row r="147" spans="1:72" ht="9.9499999999999993" customHeight="1" thickBot="1" x14ac:dyDescent="0.4">
      <c r="A147" s="45"/>
      <c r="D147" s="107"/>
      <c r="E147" s="107"/>
      <c r="F147" s="107"/>
      <c r="G147" s="107"/>
      <c r="H147" s="107"/>
      <c r="I147" s="107"/>
      <c r="J147" s="107"/>
      <c r="K147" s="107"/>
      <c r="L147" s="107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S147" s="107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</row>
    <row r="148" spans="1:72" ht="9.9499999999999993" customHeight="1" thickBot="1" x14ac:dyDescent="0.4">
      <c r="A148" s="45"/>
      <c r="D148" s="107"/>
      <c r="E148" s="107"/>
      <c r="F148" s="107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</row>
    <row r="149" spans="1:72" ht="9.9499999999999993" customHeight="1" thickBot="1" x14ac:dyDescent="0.4">
      <c r="A149" s="45"/>
      <c r="D149" s="107"/>
      <c r="E149" s="107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</row>
    <row r="150" spans="1:72" ht="9.9499999999999993" customHeight="1" thickBot="1" x14ac:dyDescent="0.4">
      <c r="A150" s="45"/>
      <c r="D150" s="107"/>
      <c r="E150" s="107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</row>
    <row r="151" spans="1:72" ht="9.9499999999999993" customHeight="1" thickBot="1" x14ac:dyDescent="0.4">
      <c r="A151" s="45"/>
      <c r="D151" s="107"/>
      <c r="E151" s="107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  <c r="BN151" s="107"/>
      <c r="BO151" s="107"/>
      <c r="BP151" s="107"/>
      <c r="BQ151" s="107"/>
      <c r="BR151" s="107"/>
      <c r="BS151" s="107"/>
      <c r="BT151" s="107"/>
    </row>
    <row r="152" spans="1:72" ht="9.9499999999999993" customHeight="1" thickBot="1" x14ac:dyDescent="0.4">
      <c r="A152" s="38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107"/>
      <c r="BM152" s="107"/>
      <c r="BN152" s="107"/>
      <c r="BO152" s="107"/>
      <c r="BP152" s="107"/>
      <c r="BQ152" s="107"/>
      <c r="BR152" s="107"/>
      <c r="BS152" s="107"/>
      <c r="BT152" s="107"/>
    </row>
    <row r="153" spans="1:72" ht="9.9499999999999993" customHeight="1" thickBot="1" x14ac:dyDescent="0.4">
      <c r="A153" s="38"/>
      <c r="D153" s="107"/>
      <c r="E153" s="107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  <c r="AY153" s="107"/>
      <c r="AZ153" s="107"/>
      <c r="BA153" s="107"/>
      <c r="BB153" s="107"/>
      <c r="BC153" s="107"/>
      <c r="BD153" s="107"/>
      <c r="BE153" s="107"/>
      <c r="BF153" s="107"/>
      <c r="BG153" s="107"/>
      <c r="BH153" s="107"/>
      <c r="BI153" s="107"/>
      <c r="BJ153" s="107"/>
      <c r="BK153" s="107"/>
      <c r="BL153" s="107"/>
      <c r="BM153" s="107"/>
      <c r="BN153" s="107"/>
      <c r="BO153" s="107"/>
      <c r="BP153" s="107"/>
      <c r="BQ153" s="107"/>
      <c r="BR153" s="107"/>
      <c r="BS153" s="107"/>
      <c r="BT153" s="107"/>
    </row>
    <row r="154" spans="1:72" ht="9.9499999999999993" customHeight="1" thickBot="1" x14ac:dyDescent="0.4">
      <c r="A154" s="38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</row>
    <row r="155" spans="1:72" ht="9.9499999999999993" customHeight="1" thickBot="1" x14ac:dyDescent="0.4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9.9499999999999993" customHeight="1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9.9499999999999993" customHeight="1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9.9499999999999993" customHeight="1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9.9499999999999993" customHeight="1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9.9499999999999993" customHeight="1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9.9499999999999993" customHeight="1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</row>
    <row r="165" spans="1:72" ht="9.9499999999999993" customHeight="1" thickTop="1" thickBot="1" x14ac:dyDescent="0.4">
      <c r="A165" s="45"/>
      <c r="D165" s="107"/>
      <c r="E165" s="107"/>
      <c r="F165" s="107"/>
      <c r="G165" s="107"/>
      <c r="H165" s="107"/>
      <c r="I165" s="107"/>
      <c r="J165" s="107"/>
      <c r="K165" s="107"/>
      <c r="L165" s="107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/>
      <c r="AS165" s="107"/>
      <c r="AT165" s="107"/>
      <c r="AU165" s="107"/>
      <c r="AV165" s="107"/>
      <c r="AW165" s="107"/>
      <c r="AX165" s="107"/>
      <c r="AY165" s="107"/>
      <c r="AZ165" s="107"/>
      <c r="BA165" s="107"/>
      <c r="BB165" s="107"/>
      <c r="BC165" s="107"/>
      <c r="BD165" s="107"/>
      <c r="BE165" s="107"/>
      <c r="BF165" s="107"/>
      <c r="BG165" s="107"/>
      <c r="BH165" s="107"/>
      <c r="BI165" s="107"/>
      <c r="BJ165" s="107"/>
      <c r="BK165" s="107"/>
      <c r="BL165" s="107"/>
      <c r="BM165" s="107"/>
      <c r="BN165" s="107"/>
      <c r="BO165" s="107"/>
      <c r="BP165" s="107"/>
      <c r="BQ165" s="107"/>
      <c r="BR165" s="107"/>
      <c r="BS165" s="107"/>
      <c r="BT165" s="107"/>
    </row>
    <row r="166" spans="1:72" ht="9.9499999999999993" customHeight="1" thickBot="1" x14ac:dyDescent="0.4">
      <c r="A166" s="45"/>
      <c r="D166" s="107"/>
      <c r="E166" s="107"/>
      <c r="F166" s="107"/>
      <c r="G166" s="107"/>
      <c r="H166" s="107"/>
      <c r="I166" s="107"/>
      <c r="J166" s="107"/>
      <c r="K166" s="107"/>
      <c r="L166" s="107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X166" s="107"/>
      <c r="AY166" s="107"/>
      <c r="AZ166" s="107"/>
      <c r="BA166" s="107"/>
      <c r="BB166" s="107"/>
      <c r="BC166" s="107"/>
      <c r="BD166" s="107"/>
      <c r="BE166" s="107"/>
      <c r="BF166" s="107"/>
      <c r="BG166" s="107"/>
      <c r="BH166" s="107"/>
      <c r="BI166" s="107"/>
      <c r="BJ166" s="107"/>
      <c r="BK166" s="107"/>
      <c r="BL166" s="107"/>
      <c r="BM166" s="107"/>
      <c r="BN166" s="107"/>
      <c r="BO166" s="107"/>
      <c r="BP166" s="107"/>
      <c r="BQ166" s="107"/>
      <c r="BR166" s="107"/>
      <c r="BS166" s="107"/>
      <c r="BT166" s="107"/>
    </row>
    <row r="167" spans="1:72" ht="9.9499999999999993" customHeight="1" thickBot="1" x14ac:dyDescent="0.4">
      <c r="A167" s="45"/>
      <c r="D167" s="107"/>
      <c r="E167" s="107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X167" s="107"/>
      <c r="AY167" s="107"/>
      <c r="AZ167" s="107"/>
      <c r="BA167" s="107"/>
      <c r="BB167" s="107"/>
      <c r="BC167" s="107"/>
      <c r="BD167" s="107"/>
      <c r="BE167" s="107"/>
      <c r="BF167" s="107"/>
      <c r="BG167" s="107"/>
      <c r="BH167" s="107"/>
      <c r="BI167" s="107"/>
      <c r="BJ167" s="107"/>
      <c r="BK167" s="107"/>
      <c r="BL167" s="107"/>
      <c r="BM167" s="107"/>
      <c r="BN167" s="107"/>
      <c r="BO167" s="107"/>
      <c r="BP167" s="107"/>
      <c r="BQ167" s="107"/>
      <c r="BR167" s="107"/>
      <c r="BS167" s="107"/>
      <c r="BT167" s="107"/>
    </row>
    <row r="168" spans="1:72" ht="9.9499999999999993" customHeight="1" thickBot="1" x14ac:dyDescent="0.4">
      <c r="A168" s="45"/>
      <c r="D168" s="107"/>
      <c r="E168" s="107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  <c r="AY168" s="107"/>
      <c r="AZ168" s="107"/>
      <c r="BA168" s="107"/>
      <c r="BB168" s="107"/>
      <c r="BC168" s="107"/>
      <c r="BD168" s="107"/>
      <c r="BE168" s="107"/>
      <c r="BF168" s="107"/>
      <c r="BG168" s="107"/>
      <c r="BH168" s="107"/>
      <c r="BI168" s="107"/>
      <c r="BJ168" s="107"/>
      <c r="BK168" s="107"/>
      <c r="BL168" s="107"/>
      <c r="BM168" s="107"/>
      <c r="BN168" s="107"/>
      <c r="BO168" s="107"/>
      <c r="BP168" s="107"/>
      <c r="BQ168" s="107"/>
      <c r="BR168" s="107"/>
      <c r="BS168" s="107"/>
      <c r="BT168" s="107"/>
    </row>
    <row r="169" spans="1:72" ht="9.9499999999999993" customHeight="1" thickBot="1" x14ac:dyDescent="0.4">
      <c r="A169" s="45"/>
      <c r="D169" s="107"/>
      <c r="E169" s="107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X169" s="107"/>
      <c r="AY169" s="107"/>
      <c r="AZ169" s="107"/>
      <c r="BA169" s="107"/>
      <c r="BB169" s="107"/>
      <c r="BC169" s="107"/>
      <c r="BD169" s="107"/>
      <c r="BE169" s="107"/>
      <c r="BF169" s="107"/>
      <c r="BG169" s="107"/>
      <c r="BH169" s="107"/>
      <c r="BI169" s="107"/>
      <c r="BJ169" s="107"/>
      <c r="BK169" s="107"/>
      <c r="BL169" s="107"/>
      <c r="BM169" s="107"/>
      <c r="BN169" s="107"/>
      <c r="BO169" s="107"/>
      <c r="BP169" s="107"/>
      <c r="BQ169" s="107"/>
      <c r="BR169" s="107"/>
      <c r="BS169" s="107"/>
      <c r="BT169" s="107"/>
    </row>
    <row r="170" spans="1:72" ht="9.9499999999999993" customHeight="1" thickBot="1" x14ac:dyDescent="0.4">
      <c r="A170" s="45"/>
      <c r="D170" s="107"/>
      <c r="E170" s="107"/>
      <c r="F170" s="107"/>
      <c r="G170" s="107"/>
      <c r="H170" s="107"/>
      <c r="I170" s="107"/>
      <c r="J170" s="107"/>
      <c r="K170" s="107"/>
      <c r="L170" s="107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X170" s="107"/>
      <c r="AY170" s="107"/>
      <c r="AZ170" s="107"/>
      <c r="BA170" s="107"/>
      <c r="BB170" s="107"/>
      <c r="BC170" s="107"/>
      <c r="BD170" s="107"/>
      <c r="BE170" s="107"/>
      <c r="BF170" s="107"/>
      <c r="BG170" s="107"/>
      <c r="BH170" s="107"/>
      <c r="BI170" s="107"/>
      <c r="BJ170" s="107"/>
      <c r="BK170" s="107"/>
      <c r="BL170" s="107"/>
      <c r="BM170" s="107"/>
      <c r="BN170" s="107"/>
      <c r="BO170" s="107"/>
      <c r="BP170" s="107"/>
      <c r="BQ170" s="107"/>
      <c r="BR170" s="107"/>
      <c r="BS170" s="107"/>
      <c r="BT170" s="107"/>
    </row>
    <row r="171" spans="1:72" ht="9.9499999999999993" customHeight="1" thickBot="1" x14ac:dyDescent="0.4">
      <c r="A171" s="45"/>
      <c r="D171" s="107"/>
      <c r="E171" s="107"/>
      <c r="F171" s="10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S171" s="107"/>
      <c r="AT171" s="107"/>
      <c r="AU171" s="107"/>
      <c r="AV171" s="107"/>
      <c r="AW171" s="107"/>
      <c r="AX171" s="107"/>
      <c r="AY171" s="107"/>
      <c r="AZ171" s="107"/>
      <c r="BA171" s="107"/>
      <c r="BB171" s="107"/>
      <c r="BC171" s="107"/>
      <c r="BD171" s="107"/>
      <c r="BE171" s="107"/>
      <c r="BF171" s="107"/>
      <c r="BG171" s="107"/>
      <c r="BH171" s="107"/>
      <c r="BI171" s="107"/>
      <c r="BJ171" s="107"/>
      <c r="BK171" s="107"/>
      <c r="BL171" s="107"/>
      <c r="BM171" s="107"/>
      <c r="BN171" s="107"/>
      <c r="BO171" s="107"/>
      <c r="BP171" s="107"/>
      <c r="BQ171" s="107"/>
      <c r="BR171" s="107"/>
      <c r="BS171" s="107"/>
      <c r="BT171" s="107"/>
    </row>
    <row r="172" spans="1:72" ht="9.9499999999999993" customHeight="1" thickBot="1" x14ac:dyDescent="0.4">
      <c r="A172" s="45"/>
      <c r="D172" s="107"/>
      <c r="E172" s="107"/>
      <c r="F172" s="107"/>
      <c r="G172" s="107"/>
      <c r="H172" s="107"/>
      <c r="I172" s="107"/>
      <c r="J172" s="107"/>
      <c r="K172" s="107"/>
      <c r="L172" s="107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X172" s="107"/>
      <c r="AY172" s="107"/>
      <c r="AZ172" s="107"/>
      <c r="BA172" s="107"/>
      <c r="BB172" s="107"/>
      <c r="BC172" s="107"/>
      <c r="BD172" s="107"/>
      <c r="BE172" s="107"/>
      <c r="BF172" s="107"/>
      <c r="BG172" s="107"/>
      <c r="BH172" s="107"/>
      <c r="BI172" s="107"/>
      <c r="BJ172" s="107"/>
      <c r="BK172" s="107"/>
      <c r="BL172" s="107"/>
      <c r="BM172" s="107"/>
      <c r="BN172" s="107"/>
      <c r="BO172" s="107"/>
      <c r="BP172" s="107"/>
      <c r="BQ172" s="107"/>
      <c r="BR172" s="107"/>
      <c r="BS172" s="107"/>
      <c r="BT172" s="107"/>
    </row>
    <row r="173" spans="1:72" ht="9.9499999999999993" customHeight="1" thickBot="1" x14ac:dyDescent="0.4">
      <c r="A173" s="45"/>
      <c r="D173" s="107"/>
      <c r="E173" s="107"/>
      <c r="F173" s="107"/>
      <c r="G173" s="107"/>
      <c r="H173" s="107"/>
      <c r="I173" s="107"/>
      <c r="J173" s="107"/>
      <c r="K173" s="107"/>
      <c r="L173" s="107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S173" s="107"/>
      <c r="AT173" s="107"/>
      <c r="AU173" s="107"/>
      <c r="AV173" s="107"/>
      <c r="AW173" s="107"/>
      <c r="AX173" s="107"/>
      <c r="AY173" s="107"/>
      <c r="AZ173" s="107"/>
      <c r="BA173" s="107"/>
      <c r="BB173" s="107"/>
      <c r="BC173" s="107"/>
      <c r="BD173" s="107"/>
      <c r="BE173" s="107"/>
      <c r="BF173" s="107"/>
      <c r="BG173" s="107"/>
      <c r="BH173" s="107"/>
      <c r="BI173" s="107"/>
      <c r="BJ173" s="107"/>
      <c r="BK173" s="107"/>
      <c r="BL173" s="107"/>
      <c r="BM173" s="107"/>
      <c r="BN173" s="107"/>
      <c r="BO173" s="107"/>
      <c r="BP173" s="107"/>
      <c r="BQ173" s="107"/>
      <c r="BR173" s="107"/>
      <c r="BS173" s="107"/>
      <c r="BT173" s="107"/>
    </row>
    <row r="174" spans="1:72" ht="9.9499999999999993" customHeight="1" thickBot="1" x14ac:dyDescent="0.4">
      <c r="A174" s="45"/>
      <c r="D174" s="107"/>
      <c r="E174" s="107"/>
      <c r="F174" s="107"/>
      <c r="G174" s="107"/>
      <c r="H174" s="107"/>
      <c r="I174" s="107"/>
      <c r="J174" s="107"/>
      <c r="K174" s="107"/>
      <c r="L174" s="107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  <c r="BN174" s="107"/>
      <c r="BO174" s="107"/>
      <c r="BP174" s="107"/>
      <c r="BQ174" s="107"/>
      <c r="BR174" s="107"/>
      <c r="BS174" s="107"/>
      <c r="BT174" s="107"/>
    </row>
    <row r="175" spans="1:72" ht="9.9499999999999993" customHeight="1" thickBot="1" x14ac:dyDescent="0.4">
      <c r="A175" s="45"/>
      <c r="D175" s="107"/>
      <c r="E175" s="107"/>
      <c r="F175" s="107"/>
      <c r="G175" s="107"/>
      <c r="H175" s="107"/>
      <c r="I175" s="107"/>
      <c r="J175" s="107"/>
      <c r="K175" s="107"/>
      <c r="L175" s="107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S175" s="107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/>
      <c r="BR175" s="107"/>
      <c r="BS175" s="107"/>
      <c r="BT175" s="107"/>
    </row>
    <row r="176" spans="1:72" ht="9.9499999999999993" customHeight="1" thickBot="1" x14ac:dyDescent="0.4">
      <c r="A176" s="45"/>
      <c r="D176" s="107"/>
      <c r="E176" s="107"/>
      <c r="F176" s="107"/>
      <c r="G176" s="107"/>
      <c r="H176" s="107"/>
      <c r="I176" s="107"/>
      <c r="J176" s="107"/>
      <c r="K176" s="107"/>
      <c r="L176" s="107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</row>
    <row r="177" spans="1:72" ht="9.9499999999999993" customHeight="1" thickBot="1" x14ac:dyDescent="0.4">
      <c r="A177" s="45"/>
      <c r="D177" s="107"/>
      <c r="E177" s="107"/>
      <c r="F177" s="107"/>
      <c r="G177" s="107"/>
      <c r="H177" s="107"/>
      <c r="I177" s="107"/>
      <c r="J177" s="107"/>
      <c r="K177" s="107"/>
      <c r="L177" s="107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S177" s="107"/>
      <c r="AT177" s="107"/>
      <c r="AU177" s="107"/>
      <c r="AV177" s="107"/>
      <c r="AW177" s="107"/>
      <c r="AX177" s="107"/>
      <c r="AY177" s="107"/>
      <c r="AZ177" s="107"/>
      <c r="BA177" s="107"/>
      <c r="BB177" s="107"/>
      <c r="BC177" s="107"/>
      <c r="BD177" s="107"/>
      <c r="BE177" s="107"/>
      <c r="BF177" s="107"/>
      <c r="BG177" s="107"/>
      <c r="BH177" s="107"/>
      <c r="BI177" s="107"/>
      <c r="BJ177" s="107"/>
      <c r="BK177" s="107"/>
      <c r="BL177" s="107"/>
      <c r="BM177" s="107"/>
      <c r="BN177" s="107"/>
      <c r="BO177" s="107"/>
      <c r="BP177" s="107"/>
      <c r="BQ177" s="107"/>
      <c r="BR177" s="107"/>
      <c r="BS177" s="107"/>
      <c r="BT177" s="107"/>
    </row>
    <row r="178" spans="1:72" ht="9.9499999999999993" customHeight="1" thickBot="1" x14ac:dyDescent="0.4">
      <c r="A178" s="45"/>
      <c r="D178" s="107"/>
      <c r="E178" s="107"/>
      <c r="F178" s="107"/>
      <c r="G178" s="107"/>
      <c r="H178" s="107"/>
      <c r="I178" s="107"/>
      <c r="J178" s="107"/>
      <c r="K178" s="107"/>
      <c r="L178" s="107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/>
      <c r="AX178" s="107"/>
      <c r="AY178" s="107"/>
      <c r="AZ178" s="107"/>
      <c r="BA178" s="107"/>
      <c r="BB178" s="107"/>
      <c r="BC178" s="107"/>
      <c r="BD178" s="107"/>
      <c r="BE178" s="107"/>
      <c r="BF178" s="107"/>
      <c r="BG178" s="107"/>
      <c r="BH178" s="107"/>
      <c r="BI178" s="107"/>
      <c r="BJ178" s="107"/>
      <c r="BK178" s="107"/>
      <c r="BL178" s="107"/>
      <c r="BM178" s="107"/>
      <c r="BN178" s="107"/>
      <c r="BO178" s="107"/>
      <c r="BP178" s="107"/>
      <c r="BQ178" s="107"/>
      <c r="BR178" s="107"/>
      <c r="BS178" s="107"/>
      <c r="BT178" s="107"/>
    </row>
    <row r="179" spans="1:72" ht="9.9499999999999993" customHeight="1" thickBot="1" x14ac:dyDescent="0.4">
      <c r="A179" s="45"/>
      <c r="D179" s="107"/>
      <c r="E179" s="107"/>
      <c r="F179" s="107"/>
      <c r="G179" s="107"/>
      <c r="H179" s="107"/>
      <c r="I179" s="107"/>
      <c r="J179" s="107"/>
      <c r="K179" s="107"/>
      <c r="L179" s="107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S179" s="107"/>
      <c r="AT179" s="107"/>
      <c r="AU179" s="107"/>
      <c r="AV179" s="107"/>
      <c r="AW179" s="107"/>
      <c r="AX179" s="107"/>
      <c r="AY179" s="107"/>
      <c r="AZ179" s="107"/>
      <c r="BA179" s="107"/>
      <c r="BB179" s="107"/>
      <c r="BC179" s="107"/>
      <c r="BD179" s="107"/>
      <c r="BE179" s="107"/>
      <c r="BF179" s="107"/>
      <c r="BG179" s="107"/>
      <c r="BH179" s="107"/>
      <c r="BI179" s="107"/>
      <c r="BJ179" s="107"/>
      <c r="BK179" s="107"/>
      <c r="BL179" s="107"/>
      <c r="BM179" s="107"/>
      <c r="BN179" s="107"/>
      <c r="BO179" s="107"/>
      <c r="BP179" s="107"/>
      <c r="BQ179" s="107"/>
      <c r="BR179" s="107"/>
      <c r="BS179" s="107"/>
      <c r="BT179" s="107"/>
    </row>
    <row r="180" spans="1:72" ht="9.9499999999999993" customHeight="1" thickBot="1" x14ac:dyDescent="0.4">
      <c r="A180" s="45"/>
      <c r="D180" s="107"/>
      <c r="E180" s="107"/>
      <c r="F180" s="107"/>
      <c r="G180" s="107"/>
      <c r="H180" s="107"/>
      <c r="I180" s="107"/>
      <c r="J180" s="107"/>
      <c r="K180" s="107"/>
      <c r="L180" s="107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X180" s="107"/>
      <c r="AY180" s="107"/>
      <c r="AZ180" s="107"/>
      <c r="BA180" s="107"/>
      <c r="BB180" s="107"/>
      <c r="BC180" s="107"/>
      <c r="BD180" s="107"/>
      <c r="BE180" s="107"/>
      <c r="BF180" s="107"/>
      <c r="BG180" s="107"/>
      <c r="BH180" s="107"/>
      <c r="BI180" s="107"/>
      <c r="BJ180" s="107"/>
      <c r="BK180" s="107"/>
      <c r="BL180" s="107"/>
      <c r="BM180" s="107"/>
      <c r="BN180" s="107"/>
      <c r="BO180" s="107"/>
      <c r="BP180" s="107"/>
      <c r="BQ180" s="107"/>
      <c r="BR180" s="107"/>
      <c r="BS180" s="107"/>
      <c r="BT180" s="107"/>
    </row>
    <row r="181" spans="1:72" ht="9.9499999999999993" customHeight="1" thickBot="1" x14ac:dyDescent="0.4">
      <c r="A181" s="45"/>
      <c r="D181" s="107"/>
      <c r="E181" s="107"/>
      <c r="F181" s="107"/>
      <c r="G181" s="107"/>
      <c r="H181" s="107"/>
      <c r="I181" s="107"/>
      <c r="J181" s="107"/>
      <c r="K181" s="107"/>
      <c r="L181" s="107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X181" s="107"/>
      <c r="AY181" s="107"/>
      <c r="AZ181" s="107"/>
      <c r="BA181" s="107"/>
      <c r="BB181" s="107"/>
      <c r="BC181" s="107"/>
      <c r="BD181" s="107"/>
      <c r="BE181" s="107"/>
      <c r="BF181" s="107"/>
      <c r="BG181" s="107"/>
      <c r="BH181" s="107"/>
      <c r="BI181" s="107"/>
      <c r="BJ181" s="107"/>
      <c r="BK181" s="107"/>
      <c r="BL181" s="107"/>
      <c r="BM181" s="107"/>
      <c r="BN181" s="107"/>
      <c r="BO181" s="107"/>
      <c r="BP181" s="107"/>
      <c r="BQ181" s="107"/>
      <c r="BR181" s="107"/>
      <c r="BS181" s="107"/>
      <c r="BT181" s="107"/>
    </row>
    <row r="182" spans="1:72" ht="9.9499999999999993" customHeight="1" thickBot="1" x14ac:dyDescent="0.4">
      <c r="A182" s="45"/>
      <c r="D182" s="107"/>
      <c r="E182" s="107"/>
      <c r="F182" s="107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  <c r="AY182" s="107"/>
      <c r="AZ182" s="107"/>
      <c r="BA182" s="107"/>
      <c r="BB182" s="107"/>
      <c r="BC182" s="107"/>
      <c r="BD182" s="107"/>
      <c r="BE182" s="107"/>
      <c r="BF182" s="107"/>
      <c r="BG182" s="107"/>
      <c r="BH182" s="107"/>
      <c r="BI182" s="107"/>
      <c r="BJ182" s="107"/>
      <c r="BK182" s="107"/>
      <c r="BL182" s="107"/>
      <c r="BM182" s="107"/>
      <c r="BN182" s="107"/>
      <c r="BO182" s="107"/>
      <c r="BP182" s="107"/>
      <c r="BQ182" s="107"/>
      <c r="BR182" s="107"/>
      <c r="BS182" s="107"/>
      <c r="BT182" s="107"/>
    </row>
    <row r="183" spans="1:72" ht="9.9499999999999993" customHeight="1" thickBot="1" x14ac:dyDescent="0.4">
      <c r="A183" s="45"/>
      <c r="D183" s="107"/>
      <c r="E183" s="107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</row>
    <row r="184" spans="1:72" ht="9.9499999999999993" customHeight="1" thickBot="1" x14ac:dyDescent="0.4">
      <c r="A184" s="38"/>
      <c r="D184" s="107"/>
      <c r="E184" s="107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</row>
    <row r="185" spans="1:72" ht="9.9499999999999993" customHeight="1" thickBot="1" x14ac:dyDescent="0.4">
      <c r="A185" s="38"/>
      <c r="D185" s="107"/>
      <c r="E185" s="107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</row>
    <row r="186" spans="1:72" ht="9.9499999999999993" customHeight="1" thickBot="1" x14ac:dyDescent="0.4">
      <c r="A186" s="38"/>
      <c r="D186" s="107"/>
      <c r="E186" s="107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/>
      <c r="BB186" s="107"/>
      <c r="BC186" s="107"/>
      <c r="BD186" s="107"/>
      <c r="BE186" s="107"/>
      <c r="BF186" s="107"/>
      <c r="BG186" s="107"/>
      <c r="BH186" s="107"/>
      <c r="BI186" s="107"/>
      <c r="BJ186" s="107"/>
      <c r="BK186" s="107"/>
      <c r="BL186" s="107"/>
      <c r="BM186" s="107"/>
      <c r="BN186" s="107"/>
      <c r="BO186" s="107"/>
      <c r="BP186" s="107"/>
      <c r="BQ186" s="107"/>
      <c r="BR186" s="107"/>
      <c r="BS186" s="107"/>
      <c r="BT186" s="107"/>
    </row>
    <row r="187" spans="1:72" ht="9.9499999999999993" customHeight="1" thickBot="1" x14ac:dyDescent="0.4">
      <c r="A187" s="38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</row>
    <row r="188" spans="1:72" ht="9.9499999999999993" customHeight="1" thickBot="1" x14ac:dyDescent="0.4">
      <c r="A188" s="38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</row>
    <row r="189" spans="1:72" ht="9.9499999999999993" customHeight="1" thickBot="1" x14ac:dyDescent="0.4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9.9499999999999993" customHeight="1" thickBot="1" x14ac:dyDescent="0.4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9.9499999999999993" customHeight="1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9.9499999999999993" customHeight="1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9.9499999999999993" customHeight="1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30" customHeight="1" thickTop="1" thickBot="1" x14ac:dyDescent="0.4">
      <c r="A194" s="4" t="s">
        <v>70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95"/>
  <sheetViews>
    <sheetView zoomScale="70" zoomScaleNormal="70" workbookViewId="0">
      <pane ySplit="1" topLeftCell="A2" activePane="bottomLeft" state="frozen"/>
      <selection pane="bottomLeft" activeCell="BY152" sqref="BY152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487.9</v>
      </c>
      <c r="G2" s="62">
        <f>FLUID!K3</f>
        <v>504.4</v>
      </c>
      <c r="H2" s="62">
        <f>FLUID!L3</f>
        <v>520.9</v>
      </c>
      <c r="I2" s="62">
        <f>FLUID!M3</f>
        <v>537.5</v>
      </c>
      <c r="J2" s="62">
        <f>FLUID!N3</f>
        <v>554</v>
      </c>
      <c r="K2" s="62">
        <f>FLUID!O3</f>
        <v>570.5</v>
      </c>
      <c r="L2" s="62">
        <f>FLUID!P3</f>
        <v>587</v>
      </c>
      <c r="M2" s="62">
        <f>FLUID!Q3</f>
        <v>603.5</v>
      </c>
      <c r="N2" s="62">
        <f>FLUID!R3</f>
        <v>669.6</v>
      </c>
      <c r="O2" s="62">
        <f>FLUID!S3</f>
        <v>735.7</v>
      </c>
      <c r="P2" s="62">
        <f>FLUID!T3</f>
        <v>801.8</v>
      </c>
      <c r="Q2" s="62">
        <f>FLUID!U3</f>
        <v>867.8</v>
      </c>
      <c r="R2" s="62">
        <f>FLUID!V3</f>
        <v>933.9</v>
      </c>
      <c r="S2" s="62">
        <f>FLUID!W3</f>
        <v>1000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*GaSe2</v>
      </c>
      <c r="B3" s="16">
        <f>FLUID!F4</f>
        <v>0.08</v>
      </c>
      <c r="C3" s="16">
        <f>FLUID!G4</f>
        <v>0.08</v>
      </c>
      <c r="D3" s="16">
        <f>FLUID!H4</f>
        <v>0.08</v>
      </c>
      <c r="E3" s="16">
        <f>FLUID!I4</f>
        <v>0.08</v>
      </c>
      <c r="F3" s="16">
        <f>FLUID!J4</f>
        <v>0.08</v>
      </c>
      <c r="G3" s="16">
        <f>FLUID!K4</f>
        <v>0.08</v>
      </c>
      <c r="H3" s="16">
        <f>FLUID!L4</f>
        <v>0.08</v>
      </c>
      <c r="I3" s="16">
        <f>FLUID!M4</f>
        <v>0.08</v>
      </c>
      <c r="J3" s="16">
        <f>FLUID!N4</f>
        <v>0.08</v>
      </c>
      <c r="K3" s="16">
        <f>FLUID!O4</f>
        <v>0.08</v>
      </c>
      <c r="L3" s="16">
        <f>FLUID!P4</f>
        <v>0.08</v>
      </c>
      <c r="M3" s="16">
        <f>FLUID!Q4</f>
        <v>0.08</v>
      </c>
      <c r="N3" s="16">
        <f>FLUID!R4</f>
        <v>0.08</v>
      </c>
      <c r="O3" s="16">
        <f>FLUID!S4</f>
        <v>7.9999000000000001E-2</v>
      </c>
      <c r="P3" s="16">
        <f>FLUID!T4</f>
        <v>7.9994999999999997E-2</v>
      </c>
      <c r="Q3" s="16">
        <f>FLUID!U4</f>
        <v>7.9981999999999998E-2</v>
      </c>
      <c r="R3" s="16">
        <f>FLUID!V4</f>
        <v>7.9953999999999997E-2</v>
      </c>
      <c r="S3" s="16">
        <f>FLUID!W4</f>
        <v>7.9901E-2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*GeSe[l]</v>
      </c>
      <c r="B4" s="16">
        <f>FLUID!F5</f>
        <v>1.2480000000000001E-7</v>
      </c>
      <c r="C4" s="16">
        <f>FLUID!G5</f>
        <v>1.4497999999999999E-7</v>
      </c>
      <c r="D4" s="16">
        <f>FLUID!H5</f>
        <v>1.1901E-7</v>
      </c>
      <c r="E4" s="16">
        <f>FLUID!I5</f>
        <v>1.1696999999999999E-7</v>
      </c>
      <c r="F4" s="16">
        <f>FLUID!J5</f>
        <v>1.4616000000000001E-7</v>
      </c>
      <c r="G4" s="16">
        <f>FLUID!K5</f>
        <v>1.3848000000000001E-7</v>
      </c>
      <c r="H4" s="16">
        <f>FLUID!L5</f>
        <v>1.3294E-7</v>
      </c>
      <c r="I4" s="16">
        <f>FLUID!M5</f>
        <v>1.289E-7</v>
      </c>
      <c r="J4" s="16">
        <f>FLUID!N5</f>
        <v>1.2597999999999999E-7</v>
      </c>
      <c r="K4" s="16">
        <f>FLUID!O5</f>
        <v>1.2445999999999999E-7</v>
      </c>
      <c r="L4" s="16">
        <f>FLUID!P5</f>
        <v>1.2256999999999999E-7</v>
      </c>
      <c r="M4" s="16">
        <f>FLUID!Q5</f>
        <v>1.2032999999999999E-7</v>
      </c>
      <c r="N4" s="16">
        <f>FLUID!R5</f>
        <v>1.151E-7</v>
      </c>
      <c r="O4" s="16">
        <f>FLUID!S5</f>
        <v>1.1756E-7</v>
      </c>
      <c r="P4" s="16">
        <f>FLUID!T5</f>
        <v>1.3117999999999999E-7</v>
      </c>
      <c r="Q4" s="16">
        <f>FLUID!U5</f>
        <v>1.2918E-7</v>
      </c>
      <c r="R4" s="16">
        <f>FLUID!V5</f>
        <v>1.3701999999999999E-7</v>
      </c>
      <c r="S4" s="16">
        <f>FLUID!W5</f>
        <v>2.1261E-7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Se4</v>
      </c>
      <c r="B5" s="16">
        <f>FLUID!F6</f>
        <v>8.6381000000000006E-25</v>
      </c>
      <c r="C5" s="16">
        <f>FLUID!G6</f>
        <v>3.2597999999999998E-19</v>
      </c>
      <c r="D5" s="16">
        <f>FLUID!H6</f>
        <v>1.3768E-15</v>
      </c>
      <c r="E5" s="16">
        <f>FLUID!I6</f>
        <v>4.5987000000000004E-13</v>
      </c>
      <c r="F5" s="16">
        <f>FLUID!J6</f>
        <v>1.5002E-12</v>
      </c>
      <c r="G5" s="16">
        <f>FLUID!K6</f>
        <v>4.4914E-12</v>
      </c>
      <c r="H5" s="16">
        <f>FLUID!L6</f>
        <v>1.2447E-11</v>
      </c>
      <c r="I5" s="16">
        <f>FLUID!M6</f>
        <v>3.2169999999999997E-11</v>
      </c>
      <c r="J5" s="16">
        <f>FLUID!N6</f>
        <v>7.8054E-11</v>
      </c>
      <c r="K5" s="16">
        <f>FLUID!O6</f>
        <v>1.7882000000000001E-10</v>
      </c>
      <c r="L5" s="16">
        <f>FLUID!P6</f>
        <v>3.8879999999999999E-10</v>
      </c>
      <c r="M5" s="16">
        <f>FLUID!Q6</f>
        <v>8.0594999999999999E-10</v>
      </c>
      <c r="N5" s="16">
        <f>FLUID!R6</f>
        <v>9.9398999999999996E-9</v>
      </c>
      <c r="O5" s="16">
        <f>FLUID!S6</f>
        <v>7.3557000000000001E-8</v>
      </c>
      <c r="P5" s="16">
        <f>FLUID!T6</f>
        <v>3.6923999999999999E-7</v>
      </c>
      <c r="Q5" s="16">
        <f>FLUID!U6</f>
        <v>1.3405999999999999E-6</v>
      </c>
      <c r="R5" s="16">
        <f>FLUID!V6</f>
        <v>3.5520999999999998E-6</v>
      </c>
      <c r="S5" s="16">
        <f>FLUID!W6</f>
        <v>6.6648000000000001E-6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Se5</v>
      </c>
      <c r="B6" s="16">
        <f>FLUID!F7</f>
        <v>1.0378E-21</v>
      </c>
      <c r="C6" s="16">
        <f>FLUID!G7</f>
        <v>1.2814E-16</v>
      </c>
      <c r="D6" s="16">
        <f>FLUID!H7</f>
        <v>2.4167999999999999E-13</v>
      </c>
      <c r="E6" s="16">
        <f>FLUID!I7</f>
        <v>4.3687E-11</v>
      </c>
      <c r="F6" s="16">
        <f>FLUID!J7</f>
        <v>1.2493E-10</v>
      </c>
      <c r="G6" s="16">
        <f>FLUID!K7</f>
        <v>3.3025000000000002E-10</v>
      </c>
      <c r="H6" s="16">
        <f>FLUID!L7</f>
        <v>8.1345000000000002E-10</v>
      </c>
      <c r="I6" s="16">
        <f>FLUID!M7</f>
        <v>1.8800000000000001E-9</v>
      </c>
      <c r="J6" s="16">
        <f>FLUID!N7</f>
        <v>4.1016999999999996E-9</v>
      </c>
      <c r="K6" s="16">
        <f>FLUID!O7</f>
        <v>8.4934999999999993E-9</v>
      </c>
      <c r="L6" s="16">
        <f>FLUID!P7</f>
        <v>1.6770999999999998E-8</v>
      </c>
      <c r="M6" s="16">
        <f>FLUID!Q7</f>
        <v>3.1712E-8</v>
      </c>
      <c r="N6" s="16">
        <f>FLUID!R7</f>
        <v>2.8132999999999999E-7</v>
      </c>
      <c r="O6" s="16">
        <f>FLUID!S7</f>
        <v>1.5732E-6</v>
      </c>
      <c r="P6" s="16">
        <f>FLUID!T7</f>
        <v>6.1831000000000001E-6</v>
      </c>
      <c r="Q6" s="16">
        <f>FLUID!U7</f>
        <v>1.7938999999999999E-5</v>
      </c>
      <c r="R6" s="16">
        <f>FLUID!V7</f>
        <v>3.7982999999999999E-5</v>
      </c>
      <c r="S6" s="16">
        <f>FLUID!W7</f>
        <v>5.5568000000000001E-5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See</v>
      </c>
      <c r="B7" s="16">
        <f>FLUID!F8</f>
        <v>1.6579999999999999E-19</v>
      </c>
      <c r="C7" s="16">
        <f>FLUID!G8</f>
        <v>2.9483999999999999E-15</v>
      </c>
      <c r="D7" s="16">
        <f>FLUID!H8</f>
        <v>1.422E-12</v>
      </c>
      <c r="E7" s="16">
        <f>FLUID!I8</f>
        <v>9.2904000000000006E-11</v>
      </c>
      <c r="F7" s="16">
        <f>FLUID!J8</f>
        <v>2.1412000000000001E-10</v>
      </c>
      <c r="G7" s="16">
        <f>FLUID!K8</f>
        <v>4.6195999999999997E-10</v>
      </c>
      <c r="H7" s="16">
        <f>FLUID!L8</f>
        <v>9.3944000000000001E-10</v>
      </c>
      <c r="I7" s="16">
        <f>FLUID!M8</f>
        <v>1.8116E-9</v>
      </c>
      <c r="J7" s="16">
        <f>FLUID!N8</f>
        <v>3.3297000000000002E-9</v>
      </c>
      <c r="K7" s="16">
        <f>FLUID!O8</f>
        <v>5.8604999999999998E-9</v>
      </c>
      <c r="L7" s="16">
        <f>FLUID!P8</f>
        <v>9.9168999999999999E-9</v>
      </c>
      <c r="M7" s="16">
        <f>FLUID!Q8</f>
        <v>1.6190999999999999E-8</v>
      </c>
      <c r="N7" s="16">
        <f>FLUID!R8</f>
        <v>8.5194000000000002E-8</v>
      </c>
      <c r="O7" s="16">
        <f>FLUID!S8</f>
        <v>3.0718999999999999E-7</v>
      </c>
      <c r="P7" s="16">
        <f>FLUID!T8</f>
        <v>8.2786999999999996E-7</v>
      </c>
      <c r="Q7" s="16">
        <f>FLUID!U8</f>
        <v>1.7149000000000001E-6</v>
      </c>
      <c r="R7" s="16">
        <f>FLUID!V8</f>
        <v>2.6336999999999999E-6</v>
      </c>
      <c r="S7" s="16">
        <f>FLUID!W8</f>
        <v>2.7618E-6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Se?</v>
      </c>
      <c r="B8" s="16">
        <f>FLUID!F9</f>
        <v>5.92E-21</v>
      </c>
      <c r="C8" s="16">
        <f>FLUID!G9</f>
        <v>1.8415999999999999E-16</v>
      </c>
      <c r="D8" s="16">
        <f>FLUID!H9</f>
        <v>1.2191000000000001E-13</v>
      </c>
      <c r="E8" s="16">
        <f>FLUID!I9</f>
        <v>9.6337E-12</v>
      </c>
      <c r="F8" s="16">
        <f>FLUID!J9</f>
        <v>2.2992999999999999E-11</v>
      </c>
      <c r="G8" s="16">
        <f>FLUID!K9</f>
        <v>5.1175E-11</v>
      </c>
      <c r="H8" s="16">
        <f>FLUID!L9</f>
        <v>1.0700000000000001E-10</v>
      </c>
      <c r="I8" s="16">
        <f>FLUID!M9</f>
        <v>2.1149999999999999E-10</v>
      </c>
      <c r="J8" s="16">
        <f>FLUID!N9</f>
        <v>3.9742999999999999E-10</v>
      </c>
      <c r="K8" s="16">
        <f>FLUID!O9</f>
        <v>7.1344999999999995E-10</v>
      </c>
      <c r="L8" s="16">
        <f>FLUID!P9</f>
        <v>1.2286999999999999E-9</v>
      </c>
      <c r="M8" s="16">
        <f>FLUID!Q9</f>
        <v>2.0380000000000002E-9</v>
      </c>
      <c r="N8" s="16">
        <f>FLUID!R9</f>
        <v>1.1246E-8</v>
      </c>
      <c r="O8" s="16">
        <f>FLUID!S9</f>
        <v>4.1723999999999997E-8</v>
      </c>
      <c r="P8" s="16">
        <f>FLUID!T9</f>
        <v>1.1389999999999999E-7</v>
      </c>
      <c r="Q8" s="16">
        <f>FLUID!U9</f>
        <v>2.3447000000000001E-7</v>
      </c>
      <c r="R8" s="16">
        <f>FLUID!V9</f>
        <v>3.4686999999999998E-7</v>
      </c>
      <c r="S8" s="16">
        <f>FLUID!W9</f>
        <v>3.3353E-7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Se3</v>
      </c>
      <c r="B9" s="16">
        <f>FLUID!F10</f>
        <v>1.9728000000000001E-26</v>
      </c>
      <c r="C9" s="16">
        <f>FLUID!G10</f>
        <v>2.9865E-20</v>
      </c>
      <c r="D9" s="16">
        <f>FLUID!H10</f>
        <v>3.4282000000000002E-16</v>
      </c>
      <c r="E9" s="16">
        <f>FLUID!I10</f>
        <v>2.4458E-13</v>
      </c>
      <c r="F9" s="16">
        <f>FLUID!J10</f>
        <v>9.3853000000000004E-13</v>
      </c>
      <c r="G9" s="16">
        <f>FLUID!K10</f>
        <v>3.2754E-12</v>
      </c>
      <c r="H9" s="16">
        <f>FLUID!L10</f>
        <v>1.0494E-11</v>
      </c>
      <c r="I9" s="16">
        <f>FLUID!M10</f>
        <v>3.1119000000000003E-11</v>
      </c>
      <c r="J9" s="16">
        <f>FLUID!N10</f>
        <v>8.6027999999999995E-11</v>
      </c>
      <c r="K9" s="16">
        <f>FLUID!O10</f>
        <v>2.2312E-10</v>
      </c>
      <c r="L9" s="16">
        <f>FLUID!P10</f>
        <v>5.4593E-10</v>
      </c>
      <c r="M9" s="16">
        <f>FLUID!Q10</f>
        <v>1.2664999999999999E-9</v>
      </c>
      <c r="N9" s="16">
        <f>FLUID!R10</f>
        <v>2.3365000000000001E-8</v>
      </c>
      <c r="O9" s="16">
        <f>FLUID!S10</f>
        <v>2.4317000000000003E-7</v>
      </c>
      <c r="P9" s="16">
        <f>FLUID!T10</f>
        <v>1.6413000000000001E-6</v>
      </c>
      <c r="Q9" s="16">
        <f>FLUID!U10</f>
        <v>7.7919999999999993E-6</v>
      </c>
      <c r="R9" s="16">
        <f>FLUID!V10</f>
        <v>2.6840999999999999E-5</v>
      </c>
      <c r="S9" s="16">
        <f>FLUID!W10</f>
        <v>6.6771000000000002E-5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Se2</v>
      </c>
      <c r="B10" s="16">
        <f>FLUID!F11</f>
        <v>6.6000999999999998E-21</v>
      </c>
      <c r="C10" s="16">
        <f>FLUID!G11</f>
        <v>7.7948999999999997E-16</v>
      </c>
      <c r="D10" s="16">
        <f>FLUID!H11</f>
        <v>1.7713999999999999E-12</v>
      </c>
      <c r="E10" s="16">
        <f>FLUID!I11</f>
        <v>4.1982999999999999E-10</v>
      </c>
      <c r="F10" s="16">
        <f>FLUID!J11</f>
        <v>1.2914999999999999E-9</v>
      </c>
      <c r="G10" s="16">
        <f>FLUID!K11</f>
        <v>3.6758000000000001E-9</v>
      </c>
      <c r="H10" s="16">
        <f>FLUID!L11</f>
        <v>9.7531000000000002E-9</v>
      </c>
      <c r="I10" s="16">
        <f>FLUID!M11</f>
        <v>2.4284999999999999E-8</v>
      </c>
      <c r="J10" s="16">
        <f>FLUID!N11</f>
        <v>5.7081E-8</v>
      </c>
      <c r="K10" s="16">
        <f>FLUID!O11</f>
        <v>1.2730000000000001E-7</v>
      </c>
      <c r="L10" s="16">
        <f>FLUID!P11</f>
        <v>2.7058999999999999E-7</v>
      </c>
      <c r="M10" s="16">
        <f>FLUID!Q11</f>
        <v>5.5044E-7</v>
      </c>
      <c r="N10" s="16">
        <f>FLUID!R11</f>
        <v>6.4915999999999998E-6</v>
      </c>
      <c r="O10" s="16">
        <f>FLUID!S11</f>
        <v>4.7651000000000002E-5</v>
      </c>
      <c r="P10" s="16">
        <f>FLUID!T11</f>
        <v>2.4436E-4</v>
      </c>
      <c r="Q10" s="16">
        <f>FLUID!U11</f>
        <v>9.3941999999999995E-4</v>
      </c>
      <c r="R10" s="16">
        <f>FLUID!V11</f>
        <v>2.7988000000000002E-3</v>
      </c>
      <c r="S10" s="16">
        <f>FLUID!W11</f>
        <v>6.5037000000000003E-3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Ar</v>
      </c>
      <c r="B11" s="16">
        <f>FLUID!F12</f>
        <v>0.2</v>
      </c>
      <c r="C11" s="16">
        <f>FLUID!G12</f>
        <v>0.2</v>
      </c>
      <c r="D11" s="16">
        <f>FLUID!H12</f>
        <v>0.2</v>
      </c>
      <c r="E11" s="16">
        <f>FLUID!I12</f>
        <v>0.2</v>
      </c>
      <c r="F11" s="16">
        <f>FLUID!J12</f>
        <v>0.2</v>
      </c>
      <c r="G11" s="16">
        <f>FLUID!K12</f>
        <v>0.2</v>
      </c>
      <c r="H11" s="16">
        <f>FLUID!L12</f>
        <v>0.2</v>
      </c>
      <c r="I11" s="16">
        <f>FLUID!M12</f>
        <v>0.2</v>
      </c>
      <c r="J11" s="16">
        <f>FLUID!N12</f>
        <v>0.2</v>
      </c>
      <c r="K11" s="16">
        <f>FLUID!O12</f>
        <v>0.2</v>
      </c>
      <c r="L11" s="16">
        <f>FLUID!P12</f>
        <v>0.2</v>
      </c>
      <c r="M11" s="16">
        <f>FLUID!Q12</f>
        <v>0.2</v>
      </c>
      <c r="N11" s="16">
        <f>FLUID!R12</f>
        <v>0.2</v>
      </c>
      <c r="O11" s="16">
        <f>FLUID!S12</f>
        <v>0.2</v>
      </c>
      <c r="P11" s="16">
        <f>FLUID!T12</f>
        <v>0.2</v>
      </c>
      <c r="Q11" s="16">
        <f>FLUID!U12</f>
        <v>0.2</v>
      </c>
      <c r="R11" s="16">
        <f>FLUID!V12</f>
        <v>0.2</v>
      </c>
      <c r="S11" s="16">
        <f>FLUID!W12</f>
        <v>0.2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Ga2Se</v>
      </c>
      <c r="B12" s="16">
        <f>FLUID!F13</f>
        <v>0</v>
      </c>
      <c r="C12" s="16">
        <f>FLUID!G13</f>
        <v>0</v>
      </c>
      <c r="D12" s="16">
        <f>FLUID!H13</f>
        <v>1.7033E-30</v>
      </c>
      <c r="E12" s="16">
        <f>FLUID!I13</f>
        <v>1.9629E-24</v>
      </c>
      <c r="F12" s="16">
        <f>FLUID!J13</f>
        <v>3.5345999999999997E-23</v>
      </c>
      <c r="G12" s="16">
        <f>FLUID!K13</f>
        <v>5.2392E-22</v>
      </c>
      <c r="H12" s="16">
        <f>FLUID!L13</f>
        <v>6.5050000000000002E-21</v>
      </c>
      <c r="I12" s="16">
        <f>FLUID!M13</f>
        <v>6.8691999999999999E-20</v>
      </c>
      <c r="J12" s="16">
        <f>FLUID!N13</f>
        <v>6.2529999999999996E-19</v>
      </c>
      <c r="K12" s="16">
        <f>FLUID!O13</f>
        <v>4.9653000000000001E-18</v>
      </c>
      <c r="L12" s="16">
        <f>FLUID!P13</f>
        <v>3.4757999999999999E-17</v>
      </c>
      <c r="M12" s="16">
        <f>FLUID!Q13</f>
        <v>2.1650999999999999E-16</v>
      </c>
      <c r="N12" s="16">
        <f>FLUID!R13</f>
        <v>1.185E-13</v>
      </c>
      <c r="O12" s="16">
        <f>FLUID!S13</f>
        <v>1.7155000000000001E-11</v>
      </c>
      <c r="P12" s="16">
        <f>FLUID!T13</f>
        <v>8.7575E-10</v>
      </c>
      <c r="Q12" s="16">
        <f>FLUID!U13</f>
        <v>1.9566000000000001E-8</v>
      </c>
      <c r="R12" s="16">
        <f>FLUID!V13</f>
        <v>2.301E-7</v>
      </c>
      <c r="S12" s="16">
        <f>FLUID!W13</f>
        <v>1.6774E-6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(l)Ga[l]</v>
      </c>
      <c r="B13" s="16">
        <f>FLUID!F14</f>
        <v>5.3979000000000001E-22</v>
      </c>
      <c r="C13" s="16">
        <f>FLUID!G14</f>
        <v>2.7796000000000002E-17</v>
      </c>
      <c r="D13" s="16">
        <f>FLUID!H14</f>
        <v>4.7004999999999998E-14</v>
      </c>
      <c r="E13" s="16">
        <f>FLUID!I14</f>
        <v>1.0418E-11</v>
      </c>
      <c r="F13" s="16">
        <f>FLUID!J14</f>
        <v>3.2057999999999999E-11</v>
      </c>
      <c r="G13" s="16">
        <f>FLUID!K14</f>
        <v>9.1611000000000003E-11</v>
      </c>
      <c r="H13" s="16">
        <f>FLUID!L14</f>
        <v>2.4466000000000001E-10</v>
      </c>
      <c r="I13" s="16">
        <f>FLUID!M14</f>
        <v>6.1412000000000005E-10</v>
      </c>
      <c r="J13" s="16">
        <f>FLUID!N14</f>
        <v>1.4558999999999999E-9</v>
      </c>
      <c r="K13" s="16">
        <f>FLUID!O14</f>
        <v>3.2743000000000002E-9</v>
      </c>
      <c r="L13" s="16">
        <f>FLUID!P14</f>
        <v>7.0129999999999997E-9</v>
      </c>
      <c r="M13" s="16">
        <f>FLUID!Q14</f>
        <v>1.4354000000000001E-8</v>
      </c>
      <c r="N13" s="16">
        <f>FLUID!R14</f>
        <v>1.6952E-7</v>
      </c>
      <c r="O13" s="16">
        <f>FLUID!S14</f>
        <v>1.1824000000000001E-6</v>
      </c>
      <c r="P13" s="16">
        <f>FLUID!T14</f>
        <v>5.4283000000000002E-6</v>
      </c>
      <c r="Q13" s="16">
        <f>FLUID!U14</f>
        <v>1.7833999999999999E-5</v>
      </c>
      <c r="R13" s="16">
        <f>FLUID!V14</f>
        <v>4.5255E-5</v>
      </c>
      <c r="S13" s="16">
        <f>FLUID!W14</f>
        <v>9.5416999999999998E-5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(1)Ge[l]</v>
      </c>
      <c r="B14" s="16">
        <f>FLUID!F15</f>
        <v>4.7299000000000001E-17</v>
      </c>
      <c r="C14" s="16">
        <f>FLUID!G15</f>
        <v>9.8783999999999996E-14</v>
      </c>
      <c r="D14" s="16">
        <f>FLUID!H15</f>
        <v>1.7286E-11</v>
      </c>
      <c r="E14" s="16">
        <f>FLUID!I15</f>
        <v>7.1430999999999999E-10</v>
      </c>
      <c r="F14" s="16">
        <f>FLUID!J15</f>
        <v>1.5475000000000001E-9</v>
      </c>
      <c r="G14" s="16">
        <f>FLUID!K15</f>
        <v>3.1868999999999998E-9</v>
      </c>
      <c r="H14" s="16">
        <f>FLUID!L15</f>
        <v>6.2687999999999997E-9</v>
      </c>
      <c r="I14" s="16">
        <f>FLUID!M15</f>
        <v>1.1828E-8</v>
      </c>
      <c r="J14" s="16">
        <f>FLUID!N15</f>
        <v>2.1486000000000001E-8</v>
      </c>
      <c r="K14" s="16">
        <f>FLUID!O15</f>
        <v>3.7698999999999999E-8</v>
      </c>
      <c r="L14" s="16">
        <f>FLUID!P15</f>
        <v>6.4079000000000001E-8</v>
      </c>
      <c r="M14" s="16">
        <f>FLUID!Q15</f>
        <v>1.0578E-7</v>
      </c>
      <c r="N14" s="16">
        <f>FLUID!R15</f>
        <v>6.1266000000000003E-7</v>
      </c>
      <c r="O14" s="16">
        <f>FLUID!S15</f>
        <v>2.5838000000000001E-6</v>
      </c>
      <c r="P14" s="16">
        <f>FLUID!T15</f>
        <v>8.6036000000000001E-6</v>
      </c>
      <c r="Q14" s="16">
        <f>FLUID!U15</f>
        <v>2.4057999999999999E-5</v>
      </c>
      <c r="R14" s="16">
        <f>FLUID!V15</f>
        <v>5.961E-5</v>
      </c>
      <c r="S14" s="16">
        <f>FLUID!W15</f>
        <v>1.3742999999999999E-4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(1)se[l]</v>
      </c>
      <c r="B15" s="16">
        <f>FLUID!F16</f>
        <v>0.08</v>
      </c>
      <c r="C15" s="16">
        <f>FLUID!G16</f>
        <v>0.08</v>
      </c>
      <c r="D15" s="16">
        <f>FLUID!H16</f>
        <v>0.08</v>
      </c>
      <c r="E15" s="16">
        <f>FLUID!I16</f>
        <v>0.08</v>
      </c>
      <c r="F15" s="16">
        <f>FLUID!J16</f>
        <v>0.08</v>
      </c>
      <c r="G15" s="16">
        <f>FLUID!K16</f>
        <v>0.08</v>
      </c>
      <c r="H15" s="16">
        <f>FLUID!L16</f>
        <v>0.08</v>
      </c>
      <c r="I15" s="16">
        <f>FLUID!M16</f>
        <v>0.08</v>
      </c>
      <c r="J15" s="16">
        <f>FLUID!N16</f>
        <v>0.08</v>
      </c>
      <c r="K15" s="16">
        <f>FLUID!O16</f>
        <v>0.08</v>
      </c>
      <c r="L15" s="16">
        <f>FLUID!P16</f>
        <v>7.9999000000000001E-2</v>
      </c>
      <c r="M15" s="16">
        <f>FLUID!Q16</f>
        <v>7.9999000000000001E-2</v>
      </c>
      <c r="N15" s="16">
        <f>FLUID!R16</f>
        <v>7.9986000000000002E-2</v>
      </c>
      <c r="O15" s="16">
        <f>FLUID!S16</f>
        <v>7.9898999999999998E-2</v>
      </c>
      <c r="P15" s="16">
        <f>FLUID!T16</f>
        <v>7.9488000000000003E-2</v>
      </c>
      <c r="Q15" s="16">
        <f>FLUID!U16</f>
        <v>7.8050999999999995E-2</v>
      </c>
      <c r="R15" s="16">
        <f>FLUID!V16</f>
        <v>7.4249999999999997E-2</v>
      </c>
      <c r="S15" s="16">
        <f>FLUID!W16</f>
        <v>6.6802E-2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(1)GeSe[l]</v>
      </c>
      <c r="B16" s="16">
        <f>FLUID!F17</f>
        <v>0.24</v>
      </c>
      <c r="C16" s="16">
        <f>FLUID!G17</f>
        <v>0.24</v>
      </c>
      <c r="D16" s="16">
        <f>FLUID!H17</f>
        <v>0.24</v>
      </c>
      <c r="E16" s="16">
        <f>FLUID!I17</f>
        <v>0.24</v>
      </c>
      <c r="F16" s="16">
        <f>FLUID!J17</f>
        <v>0.24</v>
      </c>
      <c r="G16" s="16">
        <f>FLUID!K17</f>
        <v>0.24</v>
      </c>
      <c r="H16" s="16">
        <f>FLUID!L17</f>
        <v>0.24</v>
      </c>
      <c r="I16" s="16">
        <f>FLUID!M17</f>
        <v>0.24</v>
      </c>
      <c r="J16" s="16">
        <f>FLUID!N17</f>
        <v>0.24</v>
      </c>
      <c r="K16" s="16">
        <f>FLUID!O17</f>
        <v>0.24</v>
      </c>
      <c r="L16" s="16">
        <f>FLUID!P17</f>
        <v>0.24</v>
      </c>
      <c r="M16" s="16">
        <f>FLUID!Q17</f>
        <v>0.24</v>
      </c>
      <c r="N16" s="16">
        <f>FLUID!R17</f>
        <v>0.24</v>
      </c>
      <c r="O16" s="16">
        <f>FLUID!S17</f>
        <v>0.24</v>
      </c>
      <c r="P16" s="16">
        <f>FLUID!T17</f>
        <v>0.23999000000000001</v>
      </c>
      <c r="Q16" s="16">
        <f>FLUID!U17</f>
        <v>0.23998</v>
      </c>
      <c r="R16" s="16">
        <f>FLUID!V17</f>
        <v>0.23993999999999999</v>
      </c>
      <c r="S16" s="16">
        <f>FLUID!W17</f>
        <v>0.23985999999999999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H (Ar)</v>
      </c>
      <c r="B17" s="16">
        <f>FLUID!F18</f>
        <v>-18.62</v>
      </c>
      <c r="C17" s="16">
        <f>FLUID!G18</f>
        <v>-18.63</v>
      </c>
      <c r="D17" s="16">
        <f>FLUID!H18</f>
        <v>-18.72</v>
      </c>
      <c r="E17" s="16">
        <f>FLUID!I18</f>
        <v>-18.84</v>
      </c>
      <c r="F17" s="16">
        <f>FLUID!J18</f>
        <v>-18.87</v>
      </c>
      <c r="G17" s="16">
        <f>FLUID!K18</f>
        <v>-18.899999999999999</v>
      </c>
      <c r="H17" s="16">
        <f>FLUID!L18</f>
        <v>-18.940000000000001</v>
      </c>
      <c r="I17" s="16">
        <f>FLUID!M18</f>
        <v>-18.97</v>
      </c>
      <c r="J17" s="16">
        <f>FLUID!N18</f>
        <v>-19.010000000000002</v>
      </c>
      <c r="K17" s="16">
        <f>FLUID!O18</f>
        <v>-19.04</v>
      </c>
      <c r="L17" s="16">
        <f>FLUID!P18</f>
        <v>-19.07</v>
      </c>
      <c r="M17" s="16">
        <f>FLUID!Q18</f>
        <v>-19.11</v>
      </c>
      <c r="N17" s="16">
        <f>FLUID!R18</f>
        <v>-19.25</v>
      </c>
      <c r="O17" s="16">
        <f>FLUID!S18</f>
        <v>-19.38</v>
      </c>
      <c r="P17" s="16">
        <f>FLUID!T18</f>
        <v>-19.52</v>
      </c>
      <c r="Q17" s="16">
        <f>FLUID!U18</f>
        <v>-19.649999999999999</v>
      </c>
      <c r="R17" s="16">
        <f>FLUID!V18</f>
        <v>-19.78</v>
      </c>
      <c r="S17" s="16">
        <f>FLUID!W18</f>
        <v>-19.91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(Ga)</v>
      </c>
      <c r="B18" s="16">
        <f>FLUID!F19</f>
        <v>-52.5</v>
      </c>
      <c r="C18" s="16">
        <f>FLUID!G19</f>
        <v>-42.14</v>
      </c>
      <c r="D18" s="16">
        <f>FLUID!H19</f>
        <v>-35.15</v>
      </c>
      <c r="E18" s="16">
        <f>FLUID!I19</f>
        <v>-30.14</v>
      </c>
      <c r="F18" s="16">
        <f>FLUID!J19</f>
        <v>-29.11</v>
      </c>
      <c r="G18" s="16">
        <f>FLUID!K19</f>
        <v>-28.15</v>
      </c>
      <c r="H18" s="16">
        <f>FLUID!L19</f>
        <v>-27.25</v>
      </c>
      <c r="I18" s="16">
        <f>FLUID!M19</f>
        <v>-26.42</v>
      </c>
      <c r="J18" s="16">
        <f>FLUID!N19</f>
        <v>-25.64</v>
      </c>
      <c r="K18" s="16">
        <f>FLUID!O19</f>
        <v>-24.91</v>
      </c>
      <c r="L18" s="16">
        <f>FLUID!P19</f>
        <v>-24.22</v>
      </c>
      <c r="M18" s="16">
        <f>FLUID!Q19</f>
        <v>-23.59</v>
      </c>
      <c r="N18" s="16">
        <f>FLUID!R19</f>
        <v>-21.41</v>
      </c>
      <c r="O18" s="16">
        <f>FLUID!S19</f>
        <v>-19.73</v>
      </c>
      <c r="P18" s="16">
        <f>FLUID!T19</f>
        <v>-18.45</v>
      </c>
      <c r="Q18" s="16">
        <f>FLUID!U19</f>
        <v>-17.489999999999998</v>
      </c>
      <c r="R18" s="16">
        <f>FLUID!V19</f>
        <v>-16.760000000000002</v>
      </c>
      <c r="S18" s="16">
        <f>FLUID!W19</f>
        <v>-16.190000000000001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(Ge)</v>
      </c>
      <c r="B19" s="16">
        <f>FLUID!F20</f>
        <v>-27.89</v>
      </c>
      <c r="C19" s="16">
        <f>FLUID!G20</f>
        <v>-23.3</v>
      </c>
      <c r="D19" s="16">
        <f>FLUID!H20</f>
        <v>-20.3</v>
      </c>
      <c r="E19" s="16">
        <f>FLUID!I20</f>
        <v>-18.22</v>
      </c>
      <c r="F19" s="16">
        <f>FLUID!J20</f>
        <v>-17.8</v>
      </c>
      <c r="G19" s="16">
        <f>FLUID!K20</f>
        <v>-17.399999999999999</v>
      </c>
      <c r="H19" s="16">
        <f>FLUID!L20</f>
        <v>-17.04</v>
      </c>
      <c r="I19" s="16">
        <f>FLUID!M20</f>
        <v>-16.7</v>
      </c>
      <c r="J19" s="16">
        <f>FLUID!N20</f>
        <v>-16.39</v>
      </c>
      <c r="K19" s="16">
        <f>FLUID!O20</f>
        <v>-16.09</v>
      </c>
      <c r="L19" s="16">
        <f>FLUID!P20</f>
        <v>-15.82</v>
      </c>
      <c r="M19" s="16">
        <f>FLUID!Q20</f>
        <v>-15.56</v>
      </c>
      <c r="N19" s="16">
        <f>FLUID!R20</f>
        <v>-14.69</v>
      </c>
      <c r="O19" s="16">
        <f>FLUID!S20</f>
        <v>-14</v>
      </c>
      <c r="P19" s="16">
        <f>FLUID!T20</f>
        <v>-13.45</v>
      </c>
      <c r="Q19" s="16">
        <f>FLUID!U20</f>
        <v>-12.99</v>
      </c>
      <c r="R19" s="16">
        <f>FLUID!V20</f>
        <v>-12.58</v>
      </c>
      <c r="S19" s="16">
        <f>FLUID!W20</f>
        <v>-12.18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(Se)</v>
      </c>
      <c r="B20" s="16">
        <f>FLUID!F21</f>
        <v>-5.5750000000000002</v>
      </c>
      <c r="C20" s="16">
        <f>FLUID!G21</f>
        <v>-5.9269999999999996</v>
      </c>
      <c r="D20" s="16">
        <f>FLUID!H21</f>
        <v>-6.3159999999999998</v>
      </c>
      <c r="E20" s="16">
        <f>FLUID!I21</f>
        <v>-6.7</v>
      </c>
      <c r="F20" s="16">
        <f>FLUID!J21</f>
        <v>-6.7930000000000001</v>
      </c>
      <c r="G20" s="16">
        <f>FLUID!K21</f>
        <v>-6.8849999999999998</v>
      </c>
      <c r="H20" s="16">
        <f>FLUID!L21</f>
        <v>-6.9749999999999996</v>
      </c>
      <c r="I20" s="16">
        <f>FLUID!M21</f>
        <v>-7.0650000000000004</v>
      </c>
      <c r="J20" s="16">
        <f>FLUID!N21</f>
        <v>-7.1520000000000001</v>
      </c>
      <c r="K20" s="16">
        <f>FLUID!O21</f>
        <v>-7.2389999999999999</v>
      </c>
      <c r="L20" s="16">
        <f>FLUID!P21</f>
        <v>-7.3230000000000004</v>
      </c>
      <c r="M20" s="16">
        <f>FLUID!Q21</f>
        <v>-7.407</v>
      </c>
      <c r="N20" s="16">
        <f>FLUID!R21</f>
        <v>-7.726</v>
      </c>
      <c r="O20" s="16">
        <f>FLUID!S21</f>
        <v>-8.0250000000000004</v>
      </c>
      <c r="P20" s="16">
        <f>FLUID!T21</f>
        <v>-8.3070000000000004</v>
      </c>
      <c r="Q20" s="16">
        <f>FLUID!U21</f>
        <v>-8.5820000000000007</v>
      </c>
      <c r="R20" s="16">
        <f>FLUID!V21</f>
        <v>-8.8670000000000009</v>
      </c>
      <c r="S20" s="16">
        <f>FLUID!W21</f>
        <v>-9.1820000000000004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355.7</v>
      </c>
      <c r="H34" s="62">
        <f>IFERROR(SOLID!L3,0)</f>
        <v>372.3</v>
      </c>
      <c r="I34" s="62">
        <f>IFERROR(SOLID!M3,0)</f>
        <v>388.8</v>
      </c>
      <c r="J34" s="62">
        <f>IFERROR(SOLID!N3,0)</f>
        <v>405.3</v>
      </c>
      <c r="K34" s="62">
        <f>IFERROR(SOLID!O3,0)</f>
        <v>471.4</v>
      </c>
      <c r="L34" s="62">
        <f>IFERROR(SOLID!P3,0)</f>
        <v>487.9</v>
      </c>
      <c r="M34" s="62">
        <f>IFERROR(SOLID!Q3,0)</f>
        <v>504.4</v>
      </c>
      <c r="N34" s="62">
        <f>IFERROR(SOLID!R3,0)</f>
        <v>520.9</v>
      </c>
      <c r="O34" s="62">
        <f>IFERROR(SOLID!S3,0)</f>
        <v>537.5</v>
      </c>
      <c r="P34" s="62">
        <f>IFERROR(SOLID!T3,0)</f>
        <v>554</v>
      </c>
      <c r="Q34" s="62">
        <f>IFERROR(SOLID!U3,0)</f>
        <v>570.5</v>
      </c>
      <c r="R34" s="62">
        <f>IFERROR(SOLID!V3,0)</f>
        <v>587</v>
      </c>
      <c r="S34" s="62">
        <f>IFERROR(SOLID!W3,0)</f>
        <v>603.5</v>
      </c>
      <c r="T34" s="62">
        <f>IFERROR(SOLID!X3,0)</f>
        <v>620.1</v>
      </c>
      <c r="U34" s="62">
        <f>IFERROR(SOLID!Y3,0)</f>
        <v>636.6</v>
      </c>
      <c r="V34" s="62">
        <f>IFERROR(SOLID!Z3,0)</f>
        <v>653.1</v>
      </c>
      <c r="W34" s="62">
        <f>IFERROR(SOLID!AA3,0)</f>
        <v>669.6</v>
      </c>
      <c r="X34" s="62">
        <f>IFERROR(SOLID!AB3,0)</f>
        <v>735.7</v>
      </c>
      <c r="Y34" s="62">
        <f>IFERROR(SOLID!AC3,0)</f>
        <v>752.2</v>
      </c>
      <c r="Z34" s="62">
        <f>IFERROR(SOLID!AD3,0)</f>
        <v>768.7</v>
      </c>
      <c r="AA34" s="62">
        <f>IFERROR(SOLID!AE3,0)</f>
        <v>785.2</v>
      </c>
      <c r="AB34" s="62">
        <f>IFERROR(SOLID!AF3,0)</f>
        <v>801.8</v>
      </c>
      <c r="AC34" s="62">
        <f>IFERROR(SOLID!AG3,0)</f>
        <v>818.3</v>
      </c>
      <c r="AD34" s="62">
        <f>IFERROR(SOLID!AH3,0)</f>
        <v>834.8</v>
      </c>
      <c r="AE34" s="62">
        <f>IFERROR(SOLID!AI3,0)</f>
        <v>851.3</v>
      </c>
      <c r="AF34" s="62">
        <f>IFERROR(SOLID!AJ3,0)</f>
        <v>867.8</v>
      </c>
      <c r="AG34" s="62">
        <f>IFERROR(SOLID!AK3,0)</f>
        <v>933.9</v>
      </c>
      <c r="AH34" s="62">
        <f>IFERROR(SOLID!AL3,0)</f>
        <v>950.4</v>
      </c>
      <c r="AI34" s="62">
        <f>IFERROR(SOLID!AM3,0)</f>
        <v>967</v>
      </c>
      <c r="AJ34" s="62">
        <f>IFERROR(SOLID!AN3,0)</f>
        <v>983.5</v>
      </c>
      <c r="AK34" s="62">
        <f>IFERROR(SOLID!AO3,0)</f>
        <v>1000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0.12</v>
      </c>
      <c r="C35" s="16">
        <f>IFERROR(SOLID!G4,0)</f>
        <v>0.12</v>
      </c>
      <c r="D35" s="16">
        <f>IFERROR(SOLID!H4,0)</f>
        <v>0.12</v>
      </c>
      <c r="E35" s="16">
        <f>IFERROR(SOLID!I4,0)</f>
        <v>0.12</v>
      </c>
      <c r="F35" s="16">
        <f>IFERROR(SOLID!J4,0)</f>
        <v>0.12</v>
      </c>
      <c r="G35" s="16">
        <f>IFERROR(SOLID!K4,0)</f>
        <v>0.12</v>
      </c>
      <c r="H35" s="16">
        <f>IFERROR(SOLID!L4,0)</f>
        <v>0.12</v>
      </c>
      <c r="I35" s="16">
        <f>IFERROR(SOLID!M4,0)</f>
        <v>1.3890000000000001E-7</v>
      </c>
      <c r="J35" s="16">
        <f>IFERROR(SOLID!N4,0)</f>
        <v>6.8952000000000001E-10</v>
      </c>
      <c r="K35" s="16">
        <f>IFERROR(SOLID!O4,0)</f>
        <v>6.0562999999999998E-33</v>
      </c>
      <c r="L35" s="16">
        <f>IFERROR(SOLID!P4,0)</f>
        <v>0</v>
      </c>
      <c r="M35" s="16">
        <f>IFERROR(SOLID!Q4,0)</f>
        <v>0</v>
      </c>
      <c r="N35" s="16">
        <f>IFERROR(SOLID!R4,0)</f>
        <v>0</v>
      </c>
      <c r="O35" s="16">
        <f>IFERROR(SOLID!S4,0)</f>
        <v>0</v>
      </c>
      <c r="P35" s="16">
        <f>IFERROR(SOLID!T4,0)</f>
        <v>0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*Se[M]</v>
      </c>
      <c r="B36" s="16">
        <f>IFERROR(SOLID!F5,0)</f>
        <v>5.4661999999999999E-21</v>
      </c>
      <c r="C36" s="16">
        <f>IFERROR(SOLID!G5,0)</f>
        <v>4.9838000000000002E-16</v>
      </c>
      <c r="D36" s="16">
        <f>IFERROR(SOLID!H5,0)</f>
        <v>1.6037E-11</v>
      </c>
      <c r="E36" s="16">
        <f>IFERROR(SOLID!I5,0)</f>
        <v>3.7202000000000002E-10</v>
      </c>
      <c r="F36" s="16">
        <f>IFERROR(SOLID!J5,0)</f>
        <v>1.1706000000000001E-8</v>
      </c>
      <c r="G36" s="16">
        <f>IFERROR(SOLID!K5,0)</f>
        <v>2.1127999999999999E-10</v>
      </c>
      <c r="H36" s="16">
        <f>IFERROR(SOLID!L5,0)</f>
        <v>1.2829E-8</v>
      </c>
      <c r="I36" s="16">
        <f>IFERROR(SOLID!M5,0)</f>
        <v>0.12</v>
      </c>
      <c r="J36" s="16">
        <f>IFERROR(SOLID!N5,0)</f>
        <v>0.12</v>
      </c>
      <c r="K36" s="16">
        <f>IFERROR(SOLID!O5,0)</f>
        <v>0.12</v>
      </c>
      <c r="L36" s="16">
        <f>IFERROR(SOLID!P5,0)</f>
        <v>0.12</v>
      </c>
      <c r="M36" s="16">
        <f>IFERROR(SOLID!Q5,0)</f>
        <v>0.12</v>
      </c>
      <c r="N36" s="16">
        <f>IFERROR(SOLID!R5,0)</f>
        <v>0.36</v>
      </c>
      <c r="O36" s="16">
        <f>IFERROR(SOLID!S5,0)</f>
        <v>0.36</v>
      </c>
      <c r="P36" s="16">
        <f>IFERROR(SOLID!T5,0)</f>
        <v>0.36</v>
      </c>
      <c r="Q36" s="16">
        <f>IFERROR(SOLID!U5,0)</f>
        <v>0.36</v>
      </c>
      <c r="R36" s="16">
        <f>IFERROR(SOLID!V5,0)</f>
        <v>0.36</v>
      </c>
      <c r="S36" s="16">
        <f>IFERROR(SOLID!W5,0)</f>
        <v>0.4</v>
      </c>
      <c r="T36" s="16">
        <f>IFERROR(SOLID!X5,0)</f>
        <v>0.4</v>
      </c>
      <c r="U36" s="16">
        <f>IFERROR(SOLID!Y5,0)</f>
        <v>0.4</v>
      </c>
      <c r="V36" s="16">
        <f>IFERROR(SOLID!Z5,0)</f>
        <v>0.4</v>
      </c>
      <c r="W36" s="16">
        <f>IFERROR(SOLID!AA5,0)</f>
        <v>0.4</v>
      </c>
      <c r="X36" s="16">
        <f>IFERROR(SOLID!AB5,0)</f>
        <v>0.4</v>
      </c>
      <c r="Y36" s="16">
        <f>IFERROR(SOLID!AC5,0)</f>
        <v>0.4</v>
      </c>
      <c r="Z36" s="16">
        <f>IFERROR(SOLID!AD5,0)</f>
        <v>0.4</v>
      </c>
      <c r="AA36" s="16">
        <f>IFERROR(SOLID!AE5,0)</f>
        <v>0.4</v>
      </c>
      <c r="AB36" s="16">
        <f>IFERROR(SOLID!AF5,0)</f>
        <v>0.4</v>
      </c>
      <c r="AC36" s="16">
        <f>IFERROR(SOLID!AG5,0)</f>
        <v>0.47826000000000002</v>
      </c>
      <c r="AD36" s="16">
        <f>IFERROR(SOLID!AH5,0)</f>
        <v>0.48</v>
      </c>
      <c r="AE36" s="16">
        <f>IFERROR(SOLID!AI5,0)</f>
        <v>0.48</v>
      </c>
      <c r="AF36" s="16">
        <f>IFERROR(SOLID!AJ5,0)</f>
        <v>0.48</v>
      </c>
      <c r="AG36" s="16">
        <f>IFERROR(SOLID!AK5,0)</f>
        <v>0.48</v>
      </c>
      <c r="AH36" s="16">
        <f>IFERROR(SOLID!AL5,0)</f>
        <v>0.48</v>
      </c>
      <c r="AI36" s="16">
        <f>IFERROR(SOLID!AM5,0)</f>
        <v>0.48</v>
      </c>
      <c r="AJ36" s="16">
        <f>IFERROR(SOLID!AN5,0)</f>
        <v>0.48</v>
      </c>
      <c r="AK36" s="16">
        <f>IFERROR(SOLID!AO5,0)</f>
        <v>0.48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*Ge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5.3754999999999999E-11</v>
      </c>
      <c r="L37" s="16">
        <f>IFERROR(SOLID!P6,0)</f>
        <v>2.0972000000000002E-9</v>
      </c>
      <c r="M37" s="16">
        <f>IFERROR(SOLID!Q6,0)</f>
        <v>2.8223999999999998E-8</v>
      </c>
      <c r="N37" s="16">
        <f>IFERROR(SOLID!R6,0)</f>
        <v>0.24</v>
      </c>
      <c r="O37" s="16">
        <f>IFERROR(SOLID!S6,0)</f>
        <v>0.24</v>
      </c>
      <c r="P37" s="16">
        <f>IFERROR(SOLID!T6,0)</f>
        <v>0.24</v>
      </c>
      <c r="Q37" s="16">
        <f>IFERROR(SOLID!U6,0)</f>
        <v>0.24</v>
      </c>
      <c r="R37" s="16">
        <f>IFERROR(SOLID!V6,0)</f>
        <v>0.24</v>
      </c>
      <c r="S37" s="16">
        <f>IFERROR(SOLID!W6,0)</f>
        <v>0.24</v>
      </c>
      <c r="T37" s="16">
        <f>IFERROR(SOLID!X6,0)</f>
        <v>0.24</v>
      </c>
      <c r="U37" s="16">
        <f>IFERROR(SOLID!Y6,0)</f>
        <v>0.24</v>
      </c>
      <c r="V37" s="16">
        <f>IFERROR(SOLID!Z6,0)</f>
        <v>0.24</v>
      </c>
      <c r="W37" s="16">
        <f>IFERROR(SOLID!AA6,0)</f>
        <v>0.24</v>
      </c>
      <c r="X37" s="16">
        <f>IFERROR(SOLID!AB6,0)</f>
        <v>0.24</v>
      </c>
      <c r="Y37" s="16">
        <f>IFERROR(SOLID!AC6,0)</f>
        <v>0.24</v>
      </c>
      <c r="Z37" s="16">
        <f>IFERROR(SOLID!AD6,0)</f>
        <v>0.24</v>
      </c>
      <c r="AA37" s="16">
        <f>IFERROR(SOLID!AE6,0)</f>
        <v>0.24</v>
      </c>
      <c r="AB37" s="16">
        <f>IFERROR(SOLID!AF6,0)</f>
        <v>0.24</v>
      </c>
      <c r="AC37" s="16">
        <f>IFERROR(SOLID!AG6,0)</f>
        <v>0.22377</v>
      </c>
      <c r="AD37" s="16">
        <f>IFERROR(SOLID!AH6,0)</f>
        <v>0.22109000000000001</v>
      </c>
      <c r="AE37" s="16">
        <f>IFERROR(SOLID!AI6,0)</f>
        <v>0.21848999999999999</v>
      </c>
      <c r="AF37" s="16">
        <f>IFERROR(SOLID!AJ6,0)</f>
        <v>0.21556</v>
      </c>
      <c r="AG37" s="16">
        <f>IFERROR(SOLID!AK6,0)</f>
        <v>0.19954</v>
      </c>
      <c r="AH37" s="16">
        <f>IFERROR(SOLID!AL6,0)</f>
        <v>0.19405</v>
      </c>
      <c r="AI37" s="16">
        <f>IFERROR(SOLID!AM6,0)</f>
        <v>0.18773999999999999</v>
      </c>
      <c r="AJ37" s="16">
        <f>IFERROR(SOLID!AN6,0)</f>
        <v>0.18042</v>
      </c>
      <c r="AK37" s="16">
        <f>IFERROR(SOLID!AO6,0)</f>
        <v>0.17186999999999999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*Ga2Se3</v>
      </c>
      <c r="B38" s="16">
        <f>IFERROR(SOLID!F7,0)</f>
        <v>0.04</v>
      </c>
      <c r="C38" s="16">
        <f>IFERROR(SOLID!G7,0)</f>
        <v>0.04</v>
      </c>
      <c r="D38" s="16">
        <f>IFERROR(SOLID!H7,0)</f>
        <v>0.04</v>
      </c>
      <c r="E38" s="16">
        <f>IFERROR(SOLID!I7,0)</f>
        <v>0.04</v>
      </c>
      <c r="F38" s="16">
        <f>IFERROR(SOLID!J7,0)</f>
        <v>0.04</v>
      </c>
      <c r="G38" s="16">
        <f>IFERROR(SOLID!K7,0)</f>
        <v>0.04</v>
      </c>
      <c r="H38" s="16">
        <f>IFERROR(SOLID!L7,0)</f>
        <v>0.04</v>
      </c>
      <c r="I38" s="16">
        <f>IFERROR(SOLID!M7,0)</f>
        <v>0.04</v>
      </c>
      <c r="J38" s="16">
        <f>IFERROR(SOLID!N7,0)</f>
        <v>0.04</v>
      </c>
      <c r="K38" s="16">
        <f>IFERROR(SOLID!O7,0)</f>
        <v>0.04</v>
      </c>
      <c r="L38" s="16">
        <f>IFERROR(SOLID!P7,0)</f>
        <v>0.04</v>
      </c>
      <c r="M38" s="16">
        <f>IFERROR(SOLID!Q7,0)</f>
        <v>0.04</v>
      </c>
      <c r="N38" s="16">
        <f>IFERROR(SOLID!R7,0)</f>
        <v>0.04</v>
      </c>
      <c r="O38" s="16">
        <f>IFERROR(SOLID!S7,0)</f>
        <v>0.04</v>
      </c>
      <c r="P38" s="16">
        <f>IFERROR(SOLID!T7,0)</f>
        <v>0.04</v>
      </c>
      <c r="Q38" s="16">
        <f>IFERROR(SOLID!U7,0)</f>
        <v>0.04</v>
      </c>
      <c r="R38" s="16">
        <f>IFERROR(SOLID!V7,0)</f>
        <v>0.04</v>
      </c>
      <c r="S38" s="16">
        <f>IFERROR(SOLID!W7,0)</f>
        <v>1.424E-7</v>
      </c>
      <c r="T38" s="16">
        <f>IFERROR(SOLID!X7,0)</f>
        <v>1.0972000000000001E-9</v>
      </c>
      <c r="U38" s="16">
        <f>IFERROR(SOLID!Y7,0)</f>
        <v>9.6229000000000004E-11</v>
      </c>
      <c r="V38" s="16">
        <f>IFERROR(SOLID!Z7,0)</f>
        <v>5.8271000000000005E-11</v>
      </c>
      <c r="W38" s="16">
        <f>IFERROR(SOLID!AA7,0)</f>
        <v>2.1642E-12</v>
      </c>
      <c r="X38" s="16">
        <f>IFERROR(SOLID!AB7,0)</f>
        <v>1.2818E-25</v>
      </c>
      <c r="Y38" s="16">
        <f>IFERROR(SOLID!AC7,0)</f>
        <v>1.7417000000000001E-30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*Ga[l]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0</v>
      </c>
      <c r="F39" s="16">
        <f>IFERROR(SOLID!J8,0)</f>
        <v>0</v>
      </c>
      <c r="G39" s="16">
        <f>IFERROR(SOLID!K8,0)</f>
        <v>0</v>
      </c>
      <c r="H39" s="16">
        <f>IFERROR(SOLID!L8,0)</f>
        <v>0</v>
      </c>
      <c r="I39" s="16">
        <f>IFERROR(SOLID!M8,0)</f>
        <v>0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1.1518E-26</v>
      </c>
      <c r="Y39" s="16">
        <f>IFERROR(SOLID!AC8,0)</f>
        <v>7.3034000000000001E-24</v>
      </c>
      <c r="Z39" s="16">
        <f>IFERROR(SOLID!AD8,0)</f>
        <v>1.4869000000000001E-21</v>
      </c>
      <c r="AA39" s="16">
        <f>IFERROR(SOLID!AE8,0)</f>
        <v>3.3623999999999998E-20</v>
      </c>
      <c r="AB39" s="16">
        <f>IFERROR(SOLID!AF8,0)</f>
        <v>1.6026E-18</v>
      </c>
      <c r="AC39" s="16">
        <f>IFERROR(SOLID!AG8,0)</f>
        <v>1.9519E-19</v>
      </c>
      <c r="AD39" s="16">
        <f>IFERROR(SOLID!AH8,0)</f>
        <v>5.4532999999999998E-9</v>
      </c>
      <c r="AE39" s="16">
        <f>IFERROR(SOLID!AI8,0)</f>
        <v>7.5101000000000005E-8</v>
      </c>
      <c r="AF39" s="16">
        <f>IFERROR(SOLID!AJ8,0)</f>
        <v>1.0739E-7</v>
      </c>
      <c r="AG39" s="16">
        <f>IFERROR(SOLID!AK8,0)</f>
        <v>5.0096000000000001E-8</v>
      </c>
      <c r="AH39" s="16">
        <f>IFERROR(SOLID!AL8,0)</f>
        <v>3.4189000000000003E-8</v>
      </c>
      <c r="AI39" s="16">
        <f>IFERROR(SOLID!AM8,0)</f>
        <v>2.7929999999999999E-8</v>
      </c>
      <c r="AJ39" s="16">
        <f>IFERROR(SOLID!AN8,0)</f>
        <v>1.2218000000000001E-8</v>
      </c>
      <c r="AK39" s="16">
        <f>IFERROR(SOLID!AO8,0)</f>
        <v>4.2837E-9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*Ge[l]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0</v>
      </c>
      <c r="K40" s="16">
        <f>IFERROR(SOLID!O9,0)</f>
        <v>9.1062000000000004E-35</v>
      </c>
      <c r="L40" s="16">
        <f>IFERROR(SOLID!P9,0)</f>
        <v>0</v>
      </c>
      <c r="M40" s="16">
        <f>IFERROR(SOLID!Q9,0)</f>
        <v>0</v>
      </c>
      <c r="N40" s="16">
        <f>IFERROR(SOLID!R9,0)</f>
        <v>0</v>
      </c>
      <c r="O40" s="16">
        <f>IFERROR(SOLID!S9,0)</f>
        <v>0</v>
      </c>
      <c r="P40" s="16">
        <f>IFERROR(SOLID!T9,0)</f>
        <v>2.7983E-34</v>
      </c>
      <c r="Q40" s="16">
        <f>IFERROR(SOLID!U9,0)</f>
        <v>0</v>
      </c>
      <c r="R40" s="16">
        <f>IFERROR(SOLID!V9,0)</f>
        <v>0</v>
      </c>
      <c r="S40" s="16">
        <f>IFERROR(SOLID!W9,0)</f>
        <v>0</v>
      </c>
      <c r="T40" s="16">
        <f>IFERROR(SOLID!X9,0)</f>
        <v>7.4050999999999994E-36</v>
      </c>
      <c r="U40" s="16">
        <f>IFERROR(SOLID!Y9,0)</f>
        <v>2.9571999999999999E-22</v>
      </c>
      <c r="V40" s="16">
        <f>IFERROR(SOLID!Z9,0)</f>
        <v>1.8627000000000001E-15</v>
      </c>
      <c r="W40" s="16">
        <f>IFERROR(SOLID!AA9,0)</f>
        <v>3.2047E-13</v>
      </c>
      <c r="X40" s="16">
        <f>IFERROR(SOLID!AB9,0)</f>
        <v>1.1559999999999999E-12</v>
      </c>
      <c r="Y40" s="16">
        <f>IFERROR(SOLID!AC9,0)</f>
        <v>6.4177E-13</v>
      </c>
      <c r="Z40" s="16">
        <f>IFERROR(SOLID!AD9,0)</f>
        <v>5.5436999999999999E-14</v>
      </c>
      <c r="AA40" s="16">
        <f>IFERROR(SOLID!AE9,0)</f>
        <v>1.7165999999999999E-17</v>
      </c>
      <c r="AB40" s="16">
        <f>IFERROR(SOLID!AF9,0)</f>
        <v>3.0215000000000002E-26</v>
      </c>
      <c r="AC40" s="16">
        <f>IFERROR(SOLID!AG9,0)</f>
        <v>0</v>
      </c>
      <c r="AD40" s="16">
        <f>IFERROR(SOLID!AH9,0)</f>
        <v>7.9163000000000003E-17</v>
      </c>
      <c r="AE40" s="16">
        <f>IFERROR(SOLID!AI9,0)</f>
        <v>1.9423000000000001E-10</v>
      </c>
      <c r="AF40" s="16">
        <f>IFERROR(SOLID!AJ9,0)</f>
        <v>2.0087E-10</v>
      </c>
      <c r="AG40" s="16">
        <f>IFERROR(SOLID!AK9,0)</f>
        <v>1.3303999999999999E-10</v>
      </c>
      <c r="AH40" s="16">
        <f>IFERROR(SOLID!AL9,0)</f>
        <v>6.1639999999999996E-10</v>
      </c>
      <c r="AI40" s="16">
        <f>IFERROR(SOLID!AM9,0)</f>
        <v>2.6624999999999999E-9</v>
      </c>
      <c r="AJ40" s="16">
        <f>IFERROR(SOLID!AN9,0)</f>
        <v>4.5917000000000002E-9</v>
      </c>
      <c r="AK40" s="16">
        <f>IFERROR(SOLID!AO9,0)</f>
        <v>8.7147999999999997E-9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*GaSe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0</v>
      </c>
      <c r="F41" s="16">
        <f>IFERROR(SOLID!J10,0)</f>
        <v>0</v>
      </c>
      <c r="G41" s="16">
        <f>IFERROR(SOLID!K10,0)</f>
        <v>0</v>
      </c>
      <c r="H41" s="16">
        <f>IFERROR(SOLID!L10,0)</f>
        <v>0</v>
      </c>
      <c r="I41" s="16">
        <f>IFERROR(SOLID!M10,0)</f>
        <v>0</v>
      </c>
      <c r="J41" s="16">
        <f>IFERROR(SOLID!N10,0)</f>
        <v>0</v>
      </c>
      <c r="K41" s="16">
        <f>IFERROR(SOLID!O10,0)</f>
        <v>9.6539999999999995E-15</v>
      </c>
      <c r="L41" s="16">
        <f>IFERROR(SOLID!P10,0)</f>
        <v>2.215E-16</v>
      </c>
      <c r="M41" s="16">
        <f>IFERROR(SOLID!Q10,0)</f>
        <v>5.8126E-28</v>
      </c>
      <c r="N41" s="16">
        <f>IFERROR(SOLID!R10,0)</f>
        <v>0</v>
      </c>
      <c r="O41" s="16">
        <f>IFERROR(SOLID!S10,0)</f>
        <v>4.9714999999999998E-17</v>
      </c>
      <c r="P41" s="16">
        <f>IFERROR(SOLID!T10,0)</f>
        <v>1.165E-9</v>
      </c>
      <c r="Q41" s="16">
        <f>IFERROR(SOLID!U10,0)</f>
        <v>9.8125999999999998E-9</v>
      </c>
      <c r="R41" s="16">
        <f>IFERROR(SOLID!V10,0)</f>
        <v>1.4137E-7</v>
      </c>
      <c r="S41" s="16">
        <f>IFERROR(SOLID!W10,0)</f>
        <v>0.08</v>
      </c>
      <c r="T41" s="16">
        <f>IFERROR(SOLID!X10,0)</f>
        <v>0.08</v>
      </c>
      <c r="U41" s="16">
        <f>IFERROR(SOLID!Y10,0)</f>
        <v>0.08</v>
      </c>
      <c r="V41" s="16">
        <f>IFERROR(SOLID!Z10,0)</f>
        <v>0.08</v>
      </c>
      <c r="W41" s="16">
        <f>IFERROR(SOLID!AA10,0)</f>
        <v>0.08</v>
      </c>
      <c r="X41" s="16">
        <f>IFERROR(SOLID!AB10,0)</f>
        <v>0.08</v>
      </c>
      <c r="Y41" s="16">
        <f>IFERROR(SOLID!AC10,0)</f>
        <v>0.08</v>
      </c>
      <c r="Z41" s="16">
        <f>IFERROR(SOLID!AD10,0)</f>
        <v>0.08</v>
      </c>
      <c r="AA41" s="16">
        <f>IFERROR(SOLID!AE10,0)</f>
        <v>0.08</v>
      </c>
      <c r="AB41" s="16">
        <f>IFERROR(SOLID!AF10,0)</f>
        <v>0.08</v>
      </c>
      <c r="AC41" s="16">
        <f>IFERROR(SOLID!AG10,0)</f>
        <v>1.7325999999999999E-3</v>
      </c>
      <c r="AD41" s="16">
        <f>IFERROR(SOLID!AH10,0)</f>
        <v>8.9316000000000001E-9</v>
      </c>
      <c r="AE41" s="16">
        <f>IFERROR(SOLID!AI10,0)</f>
        <v>4.5513000000000001E-10</v>
      </c>
      <c r="AF41" s="16">
        <f>IFERROR(SOLID!AJ10,0)</f>
        <v>1.2547E-14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*GeSe</v>
      </c>
      <c r="B42" s="16">
        <f>IFERROR(SOLID!F11,0)</f>
        <v>0.12</v>
      </c>
      <c r="C42" s="16">
        <f>IFERROR(SOLID!G11,0)</f>
        <v>0.12</v>
      </c>
      <c r="D42" s="16">
        <f>IFERROR(SOLID!H11,0)</f>
        <v>0.12</v>
      </c>
      <c r="E42" s="16">
        <f>IFERROR(SOLID!I11,0)</f>
        <v>0.12</v>
      </c>
      <c r="F42" s="16">
        <f>IFERROR(SOLID!J11,0)</f>
        <v>0.12</v>
      </c>
      <c r="G42" s="16">
        <f>IFERROR(SOLID!K11,0)</f>
        <v>0.12</v>
      </c>
      <c r="H42" s="16">
        <f>IFERROR(SOLID!L11,0)</f>
        <v>0.12</v>
      </c>
      <c r="I42" s="16">
        <f>IFERROR(SOLID!M11,0)</f>
        <v>0.24</v>
      </c>
      <c r="J42" s="16">
        <f>IFERROR(SOLID!N11,0)</f>
        <v>0.24</v>
      </c>
      <c r="K42" s="16">
        <f>IFERROR(SOLID!O11,0)</f>
        <v>0.24</v>
      </c>
      <c r="L42" s="16">
        <f>IFERROR(SOLID!P11,0)</f>
        <v>0.24</v>
      </c>
      <c r="M42" s="16">
        <f>IFERROR(SOLID!Q11,0)</f>
        <v>0.24</v>
      </c>
      <c r="N42" s="16">
        <f>IFERROR(SOLID!R11,0)</f>
        <v>1.9229999999999999E-7</v>
      </c>
      <c r="O42" s="16">
        <f>IFERROR(SOLID!S11,0)</f>
        <v>4.4481999999999996E-9</v>
      </c>
      <c r="P42" s="16">
        <f>IFERROR(SOLID!T11,0)</f>
        <v>6.2589000000000005E-11</v>
      </c>
      <c r="Q42" s="16">
        <f>IFERROR(SOLID!U11,0)</f>
        <v>6.6348000000000001E-22</v>
      </c>
      <c r="R42" s="16">
        <f>IFERROR(SOLID!V11,0)</f>
        <v>0</v>
      </c>
      <c r="S42" s="16">
        <f>IFERROR(SOLID!W11,0)</f>
        <v>0</v>
      </c>
      <c r="T42" s="16">
        <f>IFERROR(SOLID!X11,0)</f>
        <v>0</v>
      </c>
      <c r="U42" s="16">
        <f>IFERROR(SOLID!Y11,0)</f>
        <v>1.8674999999999999E-26</v>
      </c>
      <c r="V42" s="16">
        <f>IFERROR(SOLID!Z11,0)</f>
        <v>7.2121999999999998E-21</v>
      </c>
      <c r="W42" s="16">
        <f>IFERROR(SOLID!AA11,0)</f>
        <v>1.0888999999999999E-20</v>
      </c>
      <c r="X42" s="16">
        <f>IFERROR(SOLID!AB11,0)</f>
        <v>1.1313999999999999E-34</v>
      </c>
      <c r="Y42" s="16">
        <f>IFERROR(SOLID!AC11,0)</f>
        <v>0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Ga2Se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0</v>
      </c>
      <c r="I43" s="16">
        <f>IFERROR(SOLID!M12,0)</f>
        <v>0</v>
      </c>
      <c r="J43" s="16">
        <f>IFERROR(SOLID!N12,0)</f>
        <v>0</v>
      </c>
      <c r="K43" s="16">
        <f>IFERROR(SOLID!O12,0)</f>
        <v>6.7158000000000004E-32</v>
      </c>
      <c r="L43" s="16">
        <f>IFERROR(SOLID!P12,0)</f>
        <v>7.8559999999999994E-30</v>
      </c>
      <c r="M43" s="16">
        <f>IFERROR(SOLID!Q12,0)</f>
        <v>6.8758000000000001E-28</v>
      </c>
      <c r="N43" s="16">
        <f>IFERROR(SOLID!R12,0)</f>
        <v>4.6262E-26</v>
      </c>
      <c r="O43" s="16">
        <f>IFERROR(SOLID!S12,0)</f>
        <v>2.4502999999999999E-24</v>
      </c>
      <c r="P43" s="16">
        <f>IFERROR(SOLID!T12,0)</f>
        <v>1.0432999999999999E-22</v>
      </c>
      <c r="Q43" s="16">
        <f>IFERROR(SOLID!U12,0)</f>
        <v>3.6384000000000001E-21</v>
      </c>
      <c r="R43" s="16">
        <f>IFERROR(SOLID!V12,0)</f>
        <v>1.0564E-19</v>
      </c>
      <c r="S43" s="16">
        <f>IFERROR(SOLID!W12,0)</f>
        <v>2.1632000000000002E-18</v>
      </c>
      <c r="T43" s="16">
        <f>IFERROR(SOLID!X12,0)</f>
        <v>2.2930999999999999E-17</v>
      </c>
      <c r="U43" s="16">
        <f>IFERROR(SOLID!Y12,0)</f>
        <v>2.164E-16</v>
      </c>
      <c r="V43" s="16">
        <f>IFERROR(SOLID!Z12,0)</f>
        <v>1.8337999999999999E-15</v>
      </c>
      <c r="W43" s="16">
        <f>IFERROR(SOLID!AA12,0)</f>
        <v>1.4064E-14</v>
      </c>
      <c r="X43" s="16">
        <f>IFERROR(SOLID!AB12,0)</f>
        <v>2.0505000000000001E-11</v>
      </c>
      <c r="Y43" s="16">
        <f>IFERROR(SOLID!AC12,0)</f>
        <v>1.0499E-10</v>
      </c>
      <c r="Z43" s="16">
        <f>IFERROR(SOLID!AD12,0)</f>
        <v>5.0348E-10</v>
      </c>
      <c r="AA43" s="16">
        <f>IFERROR(SOLID!AE12,0)</f>
        <v>2.2703999999999999E-9</v>
      </c>
      <c r="AB43" s="16">
        <f>IFERROR(SOLID!AF12,0)</f>
        <v>9.6634000000000004E-9</v>
      </c>
      <c r="AC43" s="16">
        <f>IFERROR(SOLID!AG12,0)</f>
        <v>3.7783000000000002E-8</v>
      </c>
      <c r="AD43" s="16">
        <f>IFERROR(SOLID!AH12,0)</f>
        <v>3.7529999999999999E-8</v>
      </c>
      <c r="AE43" s="16">
        <f>IFERROR(SOLID!AI12,0)</f>
        <v>3.6855000000000001E-8</v>
      </c>
      <c r="AF43" s="16">
        <f>IFERROR(SOLID!AJ12,0)</f>
        <v>3.5753999999999997E-8</v>
      </c>
      <c r="AG43" s="16">
        <f>IFERROR(SOLID!AK12,0)</f>
        <v>2.8010999999999999E-8</v>
      </c>
      <c r="AH43" s="16">
        <f>IFERROR(SOLID!AL12,0)</f>
        <v>2.5524999999999999E-8</v>
      </c>
      <c r="AI43" s="16">
        <f>IFERROR(SOLID!AM12,0)</f>
        <v>2.2941E-8</v>
      </c>
      <c r="AJ43" s="16">
        <f>IFERROR(SOLID!AN12,0)</f>
        <v>2.0319999999999999E-8</v>
      </c>
      <c r="AK43" s="16">
        <f>IFERROR(SOLID!AO12,0)</f>
        <v>1.7716999999999999E-8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Ar</v>
      </c>
      <c r="B44" s="16">
        <f>IFERROR(SOLID!F13,0)</f>
        <v>0.2</v>
      </c>
      <c r="C44" s="16">
        <f>IFERROR(SOLID!G13,0)</f>
        <v>0.2</v>
      </c>
      <c r="D44" s="16">
        <f>IFERROR(SOLID!H13,0)</f>
        <v>0.2</v>
      </c>
      <c r="E44" s="16">
        <f>IFERROR(SOLID!I13,0)</f>
        <v>0.2</v>
      </c>
      <c r="F44" s="16">
        <f>IFERROR(SOLID!J13,0)</f>
        <v>0.2</v>
      </c>
      <c r="G44" s="16">
        <f>IFERROR(SOLID!K13,0)</f>
        <v>0.2</v>
      </c>
      <c r="H44" s="16">
        <f>IFERROR(SOLID!L13,0)</f>
        <v>0.2</v>
      </c>
      <c r="I44" s="16">
        <f>IFERROR(SOLID!M13,0)</f>
        <v>0.2</v>
      </c>
      <c r="J44" s="16">
        <f>IFERROR(SOLID!N13,0)</f>
        <v>0.2</v>
      </c>
      <c r="K44" s="16">
        <f>IFERROR(SOLID!O13,0)</f>
        <v>0.2</v>
      </c>
      <c r="L44" s="16">
        <f>IFERROR(SOLID!P13,0)</f>
        <v>0.2</v>
      </c>
      <c r="M44" s="16">
        <f>IFERROR(SOLID!Q13,0)</f>
        <v>0.2</v>
      </c>
      <c r="N44" s="16">
        <f>IFERROR(SOLID!R13,0)</f>
        <v>0.2</v>
      </c>
      <c r="O44" s="16">
        <f>IFERROR(SOLID!S13,0)</f>
        <v>0.2</v>
      </c>
      <c r="P44" s="16">
        <f>IFERROR(SOLID!T13,0)</f>
        <v>0.2</v>
      </c>
      <c r="Q44" s="16">
        <f>IFERROR(SOLID!U13,0)</f>
        <v>0.2</v>
      </c>
      <c r="R44" s="16">
        <f>IFERROR(SOLID!V13,0)</f>
        <v>0.2</v>
      </c>
      <c r="S44" s="16">
        <f>IFERROR(SOLID!W13,0)</f>
        <v>0.2</v>
      </c>
      <c r="T44" s="16">
        <f>IFERROR(SOLID!X13,0)</f>
        <v>0.2</v>
      </c>
      <c r="U44" s="16">
        <f>IFERROR(SOLID!Y13,0)</f>
        <v>0.2</v>
      </c>
      <c r="V44" s="16">
        <f>IFERROR(SOLID!Z13,0)</f>
        <v>0.2</v>
      </c>
      <c r="W44" s="16">
        <f>IFERROR(SOLID!AA13,0)</f>
        <v>0.2</v>
      </c>
      <c r="X44" s="16">
        <f>IFERROR(SOLID!AB13,0)</f>
        <v>0.2</v>
      </c>
      <c r="Y44" s="16">
        <f>IFERROR(SOLID!AC13,0)</f>
        <v>0.2</v>
      </c>
      <c r="Z44" s="16">
        <f>IFERROR(SOLID!AD13,0)</f>
        <v>0.2</v>
      </c>
      <c r="AA44" s="16">
        <f>IFERROR(SOLID!AE13,0)</f>
        <v>0.2</v>
      </c>
      <c r="AB44" s="16">
        <f>IFERROR(SOLID!AF13,0)</f>
        <v>0.2</v>
      </c>
      <c r="AC44" s="16">
        <f>IFERROR(SOLID!AG13,0)</f>
        <v>0.2</v>
      </c>
      <c r="AD44" s="16">
        <f>IFERROR(SOLID!AH13,0)</f>
        <v>0.2</v>
      </c>
      <c r="AE44" s="16">
        <f>IFERROR(SOLID!AI13,0)</f>
        <v>0.2</v>
      </c>
      <c r="AF44" s="16">
        <f>IFERROR(SOLID!AJ13,0)</f>
        <v>0.2</v>
      </c>
      <c r="AG44" s="16">
        <f>IFERROR(SOLID!AK13,0)</f>
        <v>0.2</v>
      </c>
      <c r="AH44" s="16">
        <f>IFERROR(SOLID!AL13,0)</f>
        <v>0.2</v>
      </c>
      <c r="AI44" s="16">
        <f>IFERROR(SOLID!AM13,0)</f>
        <v>0.2</v>
      </c>
      <c r="AJ44" s="16">
        <f>IFERROR(SOLID!AN13,0)</f>
        <v>0.2</v>
      </c>
      <c r="AK44" s="16">
        <f>IFERROR(SOLID!AO13,0)</f>
        <v>0.2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(1)Ga[l]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0</v>
      </c>
      <c r="J45" s="16">
        <f>IFERROR(SOLID!N14,0)</f>
        <v>0</v>
      </c>
      <c r="K45" s="16">
        <f>IFERROR(SOLID!O14,0)</f>
        <v>9.2753999999999991E-22</v>
      </c>
      <c r="L45" s="16">
        <f>IFERROR(SOLID!P14,0)</f>
        <v>1.2598000000000001E-23</v>
      </c>
      <c r="M45" s="16">
        <f>IFERROR(SOLID!Q14,0)</f>
        <v>0</v>
      </c>
      <c r="N45" s="16">
        <f>IFERROR(SOLID!R14,0)</f>
        <v>0</v>
      </c>
      <c r="O45" s="16">
        <f>IFERROR(SOLID!S14,0)</f>
        <v>1.075E-35</v>
      </c>
      <c r="P45" s="16">
        <f>IFERROR(SOLID!T14,0)</f>
        <v>5.1984999999999998E-28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1.518E-34</v>
      </c>
      <c r="U45" s="16">
        <f>IFERROR(SOLID!Y14,0)</f>
        <v>1.1489999999999999E-21</v>
      </c>
      <c r="V45" s="16">
        <f>IFERROR(SOLID!Z14,0)</f>
        <v>4.4020000000000001E-15</v>
      </c>
      <c r="W45" s="16">
        <f>IFERROR(SOLID!AA14,0)</f>
        <v>7.4308E-13</v>
      </c>
      <c r="X45" s="16">
        <f>IFERROR(SOLID!AB14,0)</f>
        <v>4.3881999999999999E-11</v>
      </c>
      <c r="Y45" s="16">
        <f>IFERROR(SOLID!AC14,0)</f>
        <v>1.8361E-10</v>
      </c>
      <c r="Z45" s="16">
        <f>IFERROR(SOLID!AD14,0)</f>
        <v>6.8502999999999996E-10</v>
      </c>
      <c r="AA45" s="16">
        <f>IFERROR(SOLID!AE14,0)</f>
        <v>1.3372000000000001E-9</v>
      </c>
      <c r="AB45" s="16">
        <f>IFERROR(SOLID!AF14,0)</f>
        <v>2.3686999999999999E-8</v>
      </c>
      <c r="AC45" s="16">
        <f>IFERROR(SOLID!AG14,0)</f>
        <v>7.8268000000000004E-2</v>
      </c>
      <c r="AD45" s="16">
        <f>IFERROR(SOLID!AH14,0)</f>
        <v>0.08</v>
      </c>
      <c r="AE45" s="16">
        <f>IFERROR(SOLID!AI14,0)</f>
        <v>0.08</v>
      </c>
      <c r="AF45" s="16">
        <f>IFERROR(SOLID!AJ14,0)</f>
        <v>0.08</v>
      </c>
      <c r="AG45" s="16">
        <f>IFERROR(SOLID!AK14,0)</f>
        <v>0.08</v>
      </c>
      <c r="AH45" s="16">
        <f>IFERROR(SOLID!AL14,0)</f>
        <v>0.08</v>
      </c>
      <c r="AI45" s="16">
        <f>IFERROR(SOLID!AM14,0)</f>
        <v>0.08</v>
      </c>
      <c r="AJ45" s="16">
        <f>IFERROR(SOLID!AN14,0)</f>
        <v>0.08</v>
      </c>
      <c r="AK45" s="16">
        <f>IFERROR(SOLID!AO14,0)</f>
        <v>0.08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(1)GeSe[l]</v>
      </c>
      <c r="B46" s="16">
        <f>IFERROR(SOLID!F15,0)</f>
        <v>1.1339999999999999E-28</v>
      </c>
      <c r="C46" s="16">
        <f>IFERROR(SOLID!G15,0)</f>
        <v>9.9659000000000007E-27</v>
      </c>
      <c r="D46" s="16">
        <f>IFERROR(SOLID!H15,0)</f>
        <v>5.6602000000000001E-25</v>
      </c>
      <c r="E46" s="16">
        <f>IFERROR(SOLID!I15,0)</f>
        <v>1.4090999999999999E-32</v>
      </c>
      <c r="F46" s="16">
        <f>IFERROR(SOLID!J15,0)</f>
        <v>0</v>
      </c>
      <c r="G46" s="16">
        <f>IFERROR(SOLID!K15,0)</f>
        <v>1.0263000000000001E-30</v>
      </c>
      <c r="H46" s="16">
        <f>IFERROR(SOLID!L15,0)</f>
        <v>0</v>
      </c>
      <c r="I46" s="16">
        <f>IFERROR(SOLID!M15,0)</f>
        <v>0</v>
      </c>
      <c r="J46" s="16">
        <f>IFERROR(SOLID!N15,0)</f>
        <v>4.1975999999999999E-33</v>
      </c>
      <c r="K46" s="16">
        <f>IFERROR(SOLID!O15,0)</f>
        <v>4.9404000000000002E-12</v>
      </c>
      <c r="L46" s="16">
        <f>IFERROR(SOLID!P15,0)</f>
        <v>9.5248999999999998E-15</v>
      </c>
      <c r="M46" s="16">
        <f>IFERROR(SOLID!Q15,0)</f>
        <v>5.3538E-29</v>
      </c>
      <c r="N46" s="16">
        <f>IFERROR(SOLID!R15,0)</f>
        <v>0</v>
      </c>
      <c r="O46" s="16">
        <f>IFERROR(SOLID!S15,0)</f>
        <v>1.6988000000000001E-29</v>
      </c>
      <c r="P46" s="16">
        <f>IFERROR(SOLID!T15,0)</f>
        <v>8.8894000000000001E-23</v>
      </c>
      <c r="Q46" s="16">
        <f>IFERROR(SOLID!U15,0)</f>
        <v>1.7912000000000001E-34</v>
      </c>
      <c r="R46" s="16">
        <f>IFERROR(SOLID!V15,0)</f>
        <v>0</v>
      </c>
      <c r="S46" s="16">
        <f>IFERROR(SOLID!W15,0)</f>
        <v>0</v>
      </c>
      <c r="T46" s="16">
        <f>IFERROR(SOLID!X15,0)</f>
        <v>1.4560999999999999E-32</v>
      </c>
      <c r="U46" s="16">
        <f>IFERROR(SOLID!Y15,0)</f>
        <v>2.6026E-20</v>
      </c>
      <c r="V46" s="16">
        <f>IFERROR(SOLID!Z15,0)</f>
        <v>2.4966000000000001E-14</v>
      </c>
      <c r="W46" s="16">
        <f>IFERROR(SOLID!AA15,0)</f>
        <v>1.1142E-12</v>
      </c>
      <c r="X46" s="16">
        <f>IFERROR(SOLID!AB15,0)</f>
        <v>5.1652E-13</v>
      </c>
      <c r="Y46" s="16">
        <f>IFERROR(SOLID!AC15,0)</f>
        <v>7.1352999999999999E-13</v>
      </c>
      <c r="Z46" s="16">
        <f>IFERROR(SOLID!AD15,0)</f>
        <v>9.1139000000000002E-13</v>
      </c>
      <c r="AA46" s="16">
        <f>IFERROR(SOLID!AE15,0)</f>
        <v>6.3024000000000005E-13</v>
      </c>
      <c r="AB46" s="16">
        <f>IFERROR(SOLID!AF15,0)</f>
        <v>4.0841999999999999E-12</v>
      </c>
      <c r="AC46" s="16">
        <f>IFERROR(SOLID!AG15,0)</f>
        <v>5.1673999999999999E-6</v>
      </c>
      <c r="AD46" s="16">
        <f>IFERROR(SOLID!AH15,0)</f>
        <v>4.0241000000000001E-6</v>
      </c>
      <c r="AE46" s="16">
        <f>IFERROR(SOLID!AI15,0)</f>
        <v>3.0925999999999998E-6</v>
      </c>
      <c r="AF46" s="16">
        <f>IFERROR(SOLID!AJ15,0)</f>
        <v>2.3978000000000001E-6</v>
      </c>
      <c r="AG46" s="16">
        <f>IFERROR(SOLID!AK15,0)</f>
        <v>9.4526999999999999E-7</v>
      </c>
      <c r="AH46" s="16">
        <f>IFERROR(SOLID!AL15,0)</f>
        <v>7.6555999999999998E-7</v>
      </c>
      <c r="AI46" s="16">
        <f>IFERROR(SOLID!AM15,0)</f>
        <v>6.2565999999999995E-7</v>
      </c>
      <c r="AJ46" s="16">
        <f>IFERROR(SOLID!AN15,0)</f>
        <v>5.1615000000000003E-7</v>
      </c>
      <c r="AK46" s="16">
        <f>IFERROR(SOLID!AO15,0)</f>
        <v>4.3001999999999998E-7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(1)Ge[l]</v>
      </c>
      <c r="B47" s="16">
        <f>IFERROR(SOLID!F16,0)</f>
        <v>2.1403999999999999E-36</v>
      </c>
      <c r="C47" s="16">
        <f>IFERROR(SOLID!G16,0)</f>
        <v>5.2692999999999997E-34</v>
      </c>
      <c r="D47" s="16">
        <f>IFERROR(SOLID!H16,0)</f>
        <v>7.4656999999999998E-32</v>
      </c>
      <c r="E47" s="16">
        <f>IFERROR(SOLID!I16,0)</f>
        <v>0</v>
      </c>
      <c r="F47" s="16">
        <f>IFERROR(SOLID!J16,0)</f>
        <v>0</v>
      </c>
      <c r="G47" s="16">
        <f>IFERROR(SOLID!K16,0)</f>
        <v>8.2000999999999998E-36</v>
      </c>
      <c r="H47" s="16">
        <f>IFERROR(SOLID!L16,0)</f>
        <v>0</v>
      </c>
      <c r="I47" s="16">
        <f>IFERROR(SOLID!M16,0)</f>
        <v>0</v>
      </c>
      <c r="J47" s="16">
        <f>IFERROR(SOLID!N16,0)</f>
        <v>0</v>
      </c>
      <c r="K47" s="16">
        <f>IFERROR(SOLID!O16,0)</f>
        <v>4.0425999999999999E-14</v>
      </c>
      <c r="L47" s="16">
        <f>IFERROR(SOLID!P16,0)</f>
        <v>1.9737999999999999E-16</v>
      </c>
      <c r="M47" s="16">
        <f>IFERROR(SOLID!Q16,0)</f>
        <v>2.6717E-30</v>
      </c>
      <c r="N47" s="16">
        <f>IFERROR(SOLID!R16,0)</f>
        <v>0</v>
      </c>
      <c r="O47" s="16">
        <f>IFERROR(SOLID!S16,0)</f>
        <v>4.3027000000000003E-30</v>
      </c>
      <c r="P47" s="16">
        <f>IFERROR(SOLID!T16,0)</f>
        <v>4.7812000000000001E-23</v>
      </c>
      <c r="Q47" s="16">
        <f>IFERROR(SOLID!U16,0)</f>
        <v>1.9754E-34</v>
      </c>
      <c r="R47" s="16">
        <f>IFERROR(SOLID!V16,0)</f>
        <v>0</v>
      </c>
      <c r="S47" s="16">
        <f>IFERROR(SOLID!W16,0)</f>
        <v>0</v>
      </c>
      <c r="T47" s="16">
        <f>IFERROR(SOLID!X16,0)</f>
        <v>1.1523E-31</v>
      </c>
      <c r="U47" s="16">
        <f>IFERROR(SOLID!Y16,0)</f>
        <v>3.7651999999999999E-19</v>
      </c>
      <c r="V47" s="16">
        <f>IFERROR(SOLID!Z16,0)</f>
        <v>6.4488999999999999E-13</v>
      </c>
      <c r="W47" s="16">
        <f>IFERROR(SOLID!AA16,0)</f>
        <v>5.0274E-11</v>
      </c>
      <c r="X47" s="16">
        <f>IFERROR(SOLID!AB16,0)</f>
        <v>1.7922E-10</v>
      </c>
      <c r="Y47" s="16">
        <f>IFERROR(SOLID!AC16,0)</f>
        <v>3.954E-10</v>
      </c>
      <c r="Z47" s="16">
        <f>IFERROR(SOLID!AD16,0)</f>
        <v>7.9486999999999997E-10</v>
      </c>
      <c r="AA47" s="16">
        <f>IFERROR(SOLID!AE16,0)</f>
        <v>8.5324000000000004E-10</v>
      </c>
      <c r="AB47" s="16">
        <f>IFERROR(SOLID!AF16,0)</f>
        <v>8.4726999999999995E-9</v>
      </c>
      <c r="AC47" s="16">
        <f>IFERROR(SOLID!AG16,0)</f>
        <v>1.6226000000000001E-2</v>
      </c>
      <c r="AD47" s="16">
        <f>IFERROR(SOLID!AH16,0)</f>
        <v>1.8908999999999999E-2</v>
      </c>
      <c r="AE47" s="16">
        <f>IFERROR(SOLID!AI16,0)</f>
        <v>2.1510000000000001E-2</v>
      </c>
      <c r="AF47" s="16">
        <f>IFERROR(SOLID!AJ16,0)</f>
        <v>2.4433E-2</v>
      </c>
      <c r="AG47" s="16">
        <f>IFERROR(SOLID!AK16,0)</f>
        <v>4.0459000000000002E-2</v>
      </c>
      <c r="AH47" s="16">
        <f>IFERROR(SOLID!AL16,0)</f>
        <v>4.5946000000000001E-2</v>
      </c>
      <c r="AI47" s="16">
        <f>IFERROR(SOLID!AM16,0)</f>
        <v>5.2259E-2</v>
      </c>
      <c r="AJ47" s="16">
        <f>IFERROR(SOLID!AN16,0)</f>
        <v>5.9575000000000003E-2</v>
      </c>
      <c r="AK47" s="16">
        <f>IFERROR(SOLID!AO16,0)</f>
        <v>6.8126000000000006E-2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H (Ar)</v>
      </c>
      <c r="B48" s="16">
        <f>IFERROR(SOLID!F17,0)</f>
        <v>-18.62</v>
      </c>
      <c r="C48" s="16">
        <f>IFERROR(SOLID!G17,0)</f>
        <v>-18.61</v>
      </c>
      <c r="D48" s="16">
        <f>IFERROR(SOLID!H17,0)</f>
        <v>-18.61</v>
      </c>
      <c r="E48" s="16">
        <f>IFERROR(SOLID!I17,0)</f>
        <v>-18.62</v>
      </c>
      <c r="F48" s="16">
        <f>IFERROR(SOLID!J17,0)</f>
        <v>-18.63</v>
      </c>
      <c r="G48" s="16">
        <f>IFERROR(SOLID!K17,0)</f>
        <v>-18.649999999999999</v>
      </c>
      <c r="H48" s="16">
        <f>IFERROR(SOLID!L17,0)</f>
        <v>-18.670000000000002</v>
      </c>
      <c r="I48" s="16">
        <f>IFERROR(SOLID!M17,0)</f>
        <v>-18.690000000000001</v>
      </c>
      <c r="J48" s="16">
        <f>IFERROR(SOLID!N17,0)</f>
        <v>-18.72</v>
      </c>
      <c r="K48" s="16">
        <f>IFERROR(SOLID!O17,0)</f>
        <v>-18.84</v>
      </c>
      <c r="L48" s="16">
        <f>IFERROR(SOLID!P17,0)</f>
        <v>-18.87</v>
      </c>
      <c r="M48" s="16">
        <f>IFERROR(SOLID!Q17,0)</f>
        <v>-18.899999999999999</v>
      </c>
      <c r="N48" s="16">
        <f>IFERROR(SOLID!R17,0)</f>
        <v>-18.940000000000001</v>
      </c>
      <c r="O48" s="16">
        <f>IFERROR(SOLID!S17,0)</f>
        <v>-18.97</v>
      </c>
      <c r="P48" s="16">
        <f>IFERROR(SOLID!T17,0)</f>
        <v>-19.010000000000002</v>
      </c>
      <c r="Q48" s="16">
        <f>IFERROR(SOLID!U17,0)</f>
        <v>-19.04</v>
      </c>
      <c r="R48" s="16">
        <f>IFERROR(SOLID!V17,0)</f>
        <v>-19.07</v>
      </c>
      <c r="S48" s="16">
        <f>IFERROR(SOLID!W17,0)</f>
        <v>-19.11</v>
      </c>
      <c r="T48" s="16">
        <f>IFERROR(SOLID!X17,0)</f>
        <v>-19.14</v>
      </c>
      <c r="U48" s="16">
        <f>IFERROR(SOLID!Y17,0)</f>
        <v>-19.18</v>
      </c>
      <c r="V48" s="16">
        <f>IFERROR(SOLID!Z17,0)</f>
        <v>-19.21</v>
      </c>
      <c r="W48" s="16">
        <f>IFERROR(SOLID!AA17,0)</f>
        <v>-19.25</v>
      </c>
      <c r="X48" s="16">
        <f>IFERROR(SOLID!AB17,0)</f>
        <v>-19.38</v>
      </c>
      <c r="Y48" s="16">
        <f>IFERROR(SOLID!AC17,0)</f>
        <v>-19.420000000000002</v>
      </c>
      <c r="Z48" s="16">
        <f>IFERROR(SOLID!AD17,0)</f>
        <v>-19.45</v>
      </c>
      <c r="AA48" s="16">
        <f>IFERROR(SOLID!AE17,0)</f>
        <v>-19.48</v>
      </c>
      <c r="AB48" s="16">
        <f>IFERROR(SOLID!AF17,0)</f>
        <v>-19.510000000000002</v>
      </c>
      <c r="AC48" s="16">
        <f>IFERROR(SOLID!AG17,0)</f>
        <v>-19.55</v>
      </c>
      <c r="AD48" s="16">
        <f>IFERROR(SOLID!AH17,0)</f>
        <v>-19.579999999999998</v>
      </c>
      <c r="AE48" s="16">
        <f>IFERROR(SOLID!AI17,0)</f>
        <v>-19.61</v>
      </c>
      <c r="AF48" s="16">
        <f>IFERROR(SOLID!AJ17,0)</f>
        <v>-19.64</v>
      </c>
      <c r="AG48" s="16">
        <f>IFERROR(SOLID!AK17,0)</f>
        <v>-19.760000000000002</v>
      </c>
      <c r="AH48" s="16">
        <f>IFERROR(SOLID!AL17,0)</f>
        <v>-19.79</v>
      </c>
      <c r="AI48" s="16">
        <f>IFERROR(SOLID!AM17,0)</f>
        <v>-19.82</v>
      </c>
      <c r="AJ48" s="16">
        <f>IFERROR(SOLID!AN17,0)</f>
        <v>-19.850000000000001</v>
      </c>
      <c r="AK48" s="16">
        <f>IFERROR(SOLID!AO17,0)</f>
        <v>-19.88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H (Ga)</v>
      </c>
      <c r="B49" s="16">
        <f>IFERROR(SOLID!F18,0)</f>
        <v>-64.92</v>
      </c>
      <c r="C49" s="16">
        <f>IFERROR(SOLID!G18,0)</f>
        <v>-61.45</v>
      </c>
      <c r="D49" s="16">
        <f>IFERROR(SOLID!H18,0)</f>
        <v>-58.36</v>
      </c>
      <c r="E49" s="16">
        <f>IFERROR(SOLID!I18,0)</f>
        <v>-55.6</v>
      </c>
      <c r="F49" s="16">
        <f>IFERROR(SOLID!J18,0)</f>
        <v>-53.11</v>
      </c>
      <c r="G49" s="16">
        <f>IFERROR(SOLID!K18,0)</f>
        <v>-48.02</v>
      </c>
      <c r="H49" s="16">
        <f>IFERROR(SOLID!L18,0)</f>
        <v>-46.01</v>
      </c>
      <c r="I49" s="16">
        <f>IFERROR(SOLID!M18,0)</f>
        <v>-43.86</v>
      </c>
      <c r="J49" s="16">
        <f>IFERROR(SOLID!N18,0)</f>
        <v>-40.98</v>
      </c>
      <c r="K49" s="16">
        <f>IFERROR(SOLID!O18,0)</f>
        <v>-31.32</v>
      </c>
      <c r="L49" s="16">
        <f>IFERROR(SOLID!P18,0)</f>
        <v>-29.28</v>
      </c>
      <c r="M49" s="16">
        <f>IFERROR(SOLID!Q18,0)</f>
        <v>-27.35</v>
      </c>
      <c r="N49" s="16">
        <f>IFERROR(SOLID!R18,0)</f>
        <v>-25.53</v>
      </c>
      <c r="O49" s="16">
        <f>IFERROR(SOLID!S18,0)</f>
        <v>-23.81</v>
      </c>
      <c r="P49" s="16">
        <f>IFERROR(SOLID!T18,0)</f>
        <v>-22.18</v>
      </c>
      <c r="Q49" s="16">
        <f>IFERROR(SOLID!U18,0)</f>
        <v>-20.63</v>
      </c>
      <c r="R49" s="16">
        <f>IFERROR(SOLID!V18,0)</f>
        <v>-19.16</v>
      </c>
      <c r="S49" s="16">
        <f>IFERROR(SOLID!W18,0)</f>
        <v>-17.850000000000001</v>
      </c>
      <c r="T49" s="16">
        <f>IFERROR(SOLID!X18,0)</f>
        <v>-16.850000000000001</v>
      </c>
      <c r="U49" s="16">
        <f>IFERROR(SOLID!Y18,0)</f>
        <v>-15.9</v>
      </c>
      <c r="V49" s="16">
        <f>IFERROR(SOLID!Z18,0)</f>
        <v>-15</v>
      </c>
      <c r="W49" s="16">
        <f>IFERROR(SOLID!AA18,0)</f>
        <v>-14.13</v>
      </c>
      <c r="X49" s="16">
        <f>IFERROR(SOLID!AB18,0)</f>
        <v>-11</v>
      </c>
      <c r="Y49" s="16">
        <f>IFERROR(SOLID!AC18,0)</f>
        <v>-10.29</v>
      </c>
      <c r="Z49" s="16">
        <f>IFERROR(SOLID!AD18,0)</f>
        <v>-9.6059999999999999</v>
      </c>
      <c r="AA49" s="16">
        <f>IFERROR(SOLID!AE18,0)</f>
        <v>-8.9480000000000004</v>
      </c>
      <c r="AB49" s="16">
        <f>IFERROR(SOLID!AF18,0)</f>
        <v>-8.3130000000000006</v>
      </c>
      <c r="AC49" s="16">
        <f>IFERROR(SOLID!AG18,0)</f>
        <v>-7.7149999999999999</v>
      </c>
      <c r="AD49" s="16">
        <f>IFERROR(SOLID!AH18,0)</f>
        <v>-7.7969999999999997</v>
      </c>
      <c r="AE49" s="16">
        <f>IFERROR(SOLID!AI18,0)</f>
        <v>-7.8789999999999996</v>
      </c>
      <c r="AF49" s="16">
        <f>IFERROR(SOLID!AJ18,0)</f>
        <v>-7.9630000000000001</v>
      </c>
      <c r="AG49" s="16">
        <f>IFERROR(SOLID!AK18,0)</f>
        <v>-8.3190000000000008</v>
      </c>
      <c r="AH49" s="16">
        <f>IFERROR(SOLID!AL18,0)</f>
        <v>-8.4149999999999991</v>
      </c>
      <c r="AI49" s="16">
        <f>IFERROR(SOLID!AM18,0)</f>
        <v>-8.5139999999999993</v>
      </c>
      <c r="AJ49" s="16">
        <f>IFERROR(SOLID!AN18,0)</f>
        <v>-8.6180000000000003</v>
      </c>
      <c r="AK49" s="16">
        <f>IFERROR(SOLID!AO18,0)</f>
        <v>-8.7260000000000009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H (Ge)</v>
      </c>
      <c r="B50" s="16">
        <f>IFERROR(SOLID!F19,0)</f>
        <v>-15.86</v>
      </c>
      <c r="C50" s="16">
        <f>IFERROR(SOLID!G19,0)</f>
        <v>-15.23</v>
      </c>
      <c r="D50" s="16">
        <f>IFERROR(SOLID!H19,0)</f>
        <v>-14.68</v>
      </c>
      <c r="E50" s="16">
        <f>IFERROR(SOLID!I19,0)</f>
        <v>-14.19</v>
      </c>
      <c r="F50" s="16">
        <f>IFERROR(SOLID!J19,0)</f>
        <v>-13.76</v>
      </c>
      <c r="G50" s="16">
        <f>IFERROR(SOLID!K19,0)</f>
        <v>-11.49</v>
      </c>
      <c r="H50" s="16">
        <f>IFERROR(SOLID!L19,0)</f>
        <v>-11.16</v>
      </c>
      <c r="I50" s="16">
        <f>IFERROR(SOLID!M19,0)</f>
        <v>-10.67</v>
      </c>
      <c r="J50" s="16">
        <f>IFERROR(SOLID!N19,0)</f>
        <v>-9.6129999999999995</v>
      </c>
      <c r="K50" s="16">
        <f>IFERROR(SOLID!O19,0)</f>
        <v>-6.0380000000000003</v>
      </c>
      <c r="L50" s="16">
        <f>IFERROR(SOLID!P19,0)</f>
        <v>-5.2729999999999997</v>
      </c>
      <c r="M50" s="16">
        <f>IFERROR(SOLID!Q19,0)</f>
        <v>-4.55</v>
      </c>
      <c r="N50" s="16">
        <f>IFERROR(SOLID!R19,0)</f>
        <v>-4.1150000000000002</v>
      </c>
      <c r="O50" s="16">
        <f>IFERROR(SOLID!S19,0)</f>
        <v>-4.1550000000000002</v>
      </c>
      <c r="P50" s="16">
        <f>IFERROR(SOLID!T19,0)</f>
        <v>-4.1950000000000003</v>
      </c>
      <c r="Q50" s="16">
        <f>IFERROR(SOLID!U19,0)</f>
        <v>-4.2359999999999998</v>
      </c>
      <c r="R50" s="16">
        <f>IFERROR(SOLID!V19,0)</f>
        <v>-4.2759999999999998</v>
      </c>
      <c r="S50" s="16">
        <f>IFERROR(SOLID!W19,0)</f>
        <v>-4.3170000000000002</v>
      </c>
      <c r="T50" s="16">
        <f>IFERROR(SOLID!X19,0)</f>
        <v>-4.3579999999999997</v>
      </c>
      <c r="U50" s="16">
        <f>IFERROR(SOLID!Y19,0)</f>
        <v>-4.399</v>
      </c>
      <c r="V50" s="16">
        <f>IFERROR(SOLID!Z19,0)</f>
        <v>-4.4400000000000004</v>
      </c>
      <c r="W50" s="16">
        <f>IFERROR(SOLID!AA19,0)</f>
        <v>-4.4809999999999999</v>
      </c>
      <c r="X50" s="16">
        <f>IFERROR(SOLID!AB19,0)</f>
        <v>-4.6429999999999998</v>
      </c>
      <c r="Y50" s="16">
        <f>IFERROR(SOLID!AC19,0)</f>
        <v>-4.6829999999999998</v>
      </c>
      <c r="Z50" s="16">
        <f>IFERROR(SOLID!AD19,0)</f>
        <v>-4.7220000000000004</v>
      </c>
      <c r="AA50" s="16">
        <f>IFERROR(SOLID!AE19,0)</f>
        <v>-4.7619999999999996</v>
      </c>
      <c r="AB50" s="16">
        <f>IFERROR(SOLID!AF19,0)</f>
        <v>-4.8010000000000002</v>
      </c>
      <c r="AC50" s="16">
        <f>IFERROR(SOLID!AG19,0)</f>
        <v>-4.84</v>
      </c>
      <c r="AD50" s="16">
        <f>IFERROR(SOLID!AH19,0)</f>
        <v>-4.8780000000000001</v>
      </c>
      <c r="AE50" s="16">
        <f>IFERROR(SOLID!AI19,0)</f>
        <v>-4.9169999999999998</v>
      </c>
      <c r="AF50" s="16">
        <f>IFERROR(SOLID!AJ19,0)</f>
        <v>-4.9550000000000001</v>
      </c>
      <c r="AG50" s="16">
        <f>IFERROR(SOLID!AK19,0)</f>
        <v>-5.1040000000000001</v>
      </c>
      <c r="AH50" s="16">
        <f>IFERROR(SOLID!AL19,0)</f>
        <v>-5.141</v>
      </c>
      <c r="AI50" s="16">
        <f>IFERROR(SOLID!AM19,0)</f>
        <v>-5.1769999999999996</v>
      </c>
      <c r="AJ50" s="16">
        <f>IFERROR(SOLID!AN19,0)</f>
        <v>-5.2130000000000001</v>
      </c>
      <c r="AK50" s="16">
        <f>IFERROR(SOLID!AO19,0)</f>
        <v>-5.2489999999999997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H (Se)</v>
      </c>
      <c r="B51" s="16">
        <f>IFERROR(SOLID!F20,0)</f>
        <v>-23.95</v>
      </c>
      <c r="C51" s="16">
        <f>IFERROR(SOLID!G20,0)</f>
        <v>-22.83</v>
      </c>
      <c r="D51" s="16">
        <f>IFERROR(SOLID!H20,0)</f>
        <v>-21.83</v>
      </c>
      <c r="E51" s="16">
        <f>IFERROR(SOLID!I20,0)</f>
        <v>-20.95</v>
      </c>
      <c r="F51" s="16">
        <f>IFERROR(SOLID!J20,0)</f>
        <v>-20.149999999999999</v>
      </c>
      <c r="G51" s="16">
        <f>IFERROR(SOLID!K20,0)</f>
        <v>-21.33</v>
      </c>
      <c r="H51" s="16">
        <f>IFERROR(SOLID!L20,0)</f>
        <v>-20.67</v>
      </c>
      <c r="I51" s="16">
        <f>IFERROR(SOLID!M20,0)</f>
        <v>-20.28</v>
      </c>
      <c r="J51" s="16">
        <f>IFERROR(SOLID!N20,0)</f>
        <v>-20.53</v>
      </c>
      <c r="K51" s="16">
        <f>IFERROR(SOLID!O20,0)</f>
        <v>-21.53</v>
      </c>
      <c r="L51" s="16">
        <f>IFERROR(SOLID!P20,0)</f>
        <v>-21.78</v>
      </c>
      <c r="M51" s="16">
        <f>IFERROR(SOLID!Q20,0)</f>
        <v>-22.02</v>
      </c>
      <c r="N51" s="16">
        <f>IFERROR(SOLID!R20,0)</f>
        <v>-22.27</v>
      </c>
      <c r="O51" s="16">
        <f>IFERROR(SOLID!S20,0)</f>
        <v>-22.52</v>
      </c>
      <c r="P51" s="16">
        <f>IFERROR(SOLID!T20,0)</f>
        <v>-22.76</v>
      </c>
      <c r="Q51" s="16">
        <f>IFERROR(SOLID!U20,0)</f>
        <v>-23</v>
      </c>
      <c r="R51" s="16">
        <f>IFERROR(SOLID!V20,0)</f>
        <v>-23.24</v>
      </c>
      <c r="S51" s="16">
        <f>IFERROR(SOLID!W20,0)</f>
        <v>-23.48</v>
      </c>
      <c r="T51" s="16">
        <f>IFERROR(SOLID!X20,0)</f>
        <v>-23.72</v>
      </c>
      <c r="U51" s="16">
        <f>IFERROR(SOLID!Y20,0)</f>
        <v>-23.95</v>
      </c>
      <c r="V51" s="16">
        <f>IFERROR(SOLID!Z20,0)</f>
        <v>-24.18</v>
      </c>
      <c r="W51" s="16">
        <f>IFERROR(SOLID!AA20,0)</f>
        <v>-24.41</v>
      </c>
      <c r="X51" s="16">
        <f>IFERROR(SOLID!AB20,0)</f>
        <v>-25.31</v>
      </c>
      <c r="Y51" s="16">
        <f>IFERROR(SOLID!AC20,0)</f>
        <v>-25.53</v>
      </c>
      <c r="Z51" s="16">
        <f>IFERROR(SOLID!AD20,0)</f>
        <v>-25.75</v>
      </c>
      <c r="AA51" s="16">
        <f>IFERROR(SOLID!AE20,0)</f>
        <v>-25.97</v>
      </c>
      <c r="AB51" s="16">
        <f>IFERROR(SOLID!AF20,0)</f>
        <v>-26.18</v>
      </c>
      <c r="AC51" s="16">
        <f>IFERROR(SOLID!AG20,0)</f>
        <v>-26.39</v>
      </c>
      <c r="AD51" s="16">
        <f>IFERROR(SOLID!AH20,0)</f>
        <v>-26.6</v>
      </c>
      <c r="AE51" s="16">
        <f>IFERROR(SOLID!AI20,0)</f>
        <v>-26.81</v>
      </c>
      <c r="AF51" s="16">
        <f>IFERROR(SOLID!AJ20,0)</f>
        <v>-27.02</v>
      </c>
      <c r="AG51" s="16">
        <f>IFERROR(SOLID!AK20,0)</f>
        <v>-27.83</v>
      </c>
      <c r="AH51" s="16">
        <f>IFERROR(SOLID!AL20,0)</f>
        <v>-28.03</v>
      </c>
      <c r="AI51" s="16">
        <f>IFERROR(SOLID!AM20,0)</f>
        <v>-28.23</v>
      </c>
      <c r="AJ51" s="16">
        <f>IFERROR(SOLID!AN20,0)</f>
        <v>-28.42</v>
      </c>
      <c r="AK51" s="16">
        <f>IFERROR(SOLID!AO20,0)</f>
        <v>-28.62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1</v>
      </c>
      <c r="AF64" s="16">
        <f>IFERROR(SOLID!AJ33,0)</f>
        <v>1</v>
      </c>
      <c r="AG64" s="16">
        <f>IFERROR(SOLID!AK33,0)</f>
        <v>1</v>
      </c>
      <c r="AH64" s="16">
        <f>IFERROR(SOLID!AL33,0)</f>
        <v>1</v>
      </c>
      <c r="AI64" s="16">
        <f>IFERROR(SOLID!AM33,0)</f>
        <v>1</v>
      </c>
      <c r="AJ64" s="16">
        <f>IFERROR(SOLID!AN33,0)</f>
        <v>1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0</v>
      </c>
      <c r="C66" s="62">
        <f>IFERROR(ALL!G3,0)</f>
        <v>0</v>
      </c>
      <c r="D66" s="62">
        <f>IFERROR(ALL!H3,0)</f>
        <v>0</v>
      </c>
      <c r="E66" s="62">
        <f>IFERROR(ALL!I3,0)</f>
        <v>0</v>
      </c>
      <c r="F66" s="62">
        <f>IFERROR(ALL!J3,0)</f>
        <v>0</v>
      </c>
      <c r="G66" s="62">
        <f>IFERROR(ALL!K3,0)</f>
        <v>0</v>
      </c>
      <c r="H66" s="62">
        <f>IFERROR(ALL!L3,0)</f>
        <v>0</v>
      </c>
      <c r="I66" s="62">
        <f>IFERROR(ALL!M3,0)</f>
        <v>0</v>
      </c>
      <c r="J66" s="62">
        <f>IFERROR(ALL!N3,0)</f>
        <v>0</v>
      </c>
      <c r="K66" s="62">
        <f>IFERROR(ALL!O3,0)</f>
        <v>0</v>
      </c>
      <c r="L66" s="62">
        <f>IFERROR(ALL!P3,0)</f>
        <v>0</v>
      </c>
      <c r="M66" s="62">
        <f>IFERROR(ALL!Q3,0)</f>
        <v>0</v>
      </c>
      <c r="N66" s="62">
        <f>IFERROR(ALL!R3,0)</f>
        <v>0</v>
      </c>
      <c r="O66" s="62">
        <f>IFERROR(ALL!S3,0)</f>
        <v>0</v>
      </c>
      <c r="P66" s="62">
        <f>IFERROR(ALL!T3,0)</f>
        <v>0</v>
      </c>
      <c r="Q66" s="62">
        <f>IFERROR(ALL!U3,0)</f>
        <v>0</v>
      </c>
      <c r="R66" s="62">
        <f>IFERROR(ALL!V3,0)</f>
        <v>0</v>
      </c>
      <c r="S66" s="62">
        <f>IFERROR(ALL!W3,0)</f>
        <v>0</v>
      </c>
      <c r="T66" s="62">
        <f>IFERROR(ALL!X3,0)</f>
        <v>0</v>
      </c>
      <c r="U66" s="62">
        <f>IFERROR(ALL!Y3,0)</f>
        <v>0</v>
      </c>
      <c r="V66" s="62">
        <f>IFERROR(ALL!Z3,0)</f>
        <v>0</v>
      </c>
      <c r="W66" s="62">
        <f>IFERROR(ALL!AA3,0)</f>
        <v>0</v>
      </c>
      <c r="X66" s="62">
        <f>IFERROR(ALL!AB3,0)</f>
        <v>0</v>
      </c>
      <c r="Y66" s="62">
        <f>IFERROR(ALL!AC3,0)</f>
        <v>0</v>
      </c>
      <c r="Z66" s="62">
        <f>IFERROR(ALL!AD3,0)</f>
        <v>0</v>
      </c>
      <c r="AA66" s="62">
        <f>IFERROR(ALL!AE3,0)</f>
        <v>0</v>
      </c>
      <c r="AB66" s="62">
        <f>IFERROR(ALL!AF3,0)</f>
        <v>0</v>
      </c>
      <c r="AC66" s="62">
        <f>IFERROR(ALL!AG3,0)</f>
        <v>0</v>
      </c>
      <c r="AD66" s="62">
        <f>IFERROR(ALL!AH3,0)</f>
        <v>0</v>
      </c>
      <c r="AE66" s="62">
        <f>IFERROR(ALL!AI3,0)</f>
        <v>0</v>
      </c>
      <c r="AF66" s="62">
        <f>IFERROR(ALL!AJ3,0)</f>
        <v>0</v>
      </c>
      <c r="AG66" s="62">
        <f>IFERROR(ALL!AK3,0)</f>
        <v>0</v>
      </c>
      <c r="AH66" s="62">
        <f>IFERROR(ALL!AL3,0)</f>
        <v>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>
        <f>ALL!E4</f>
        <v>0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0</v>
      </c>
      <c r="G67" s="16">
        <f>IFERROR(ALL!K4,0)</f>
        <v>0</v>
      </c>
      <c r="H67" s="16">
        <f>IFERROR(ALL!L4,0)</f>
        <v>0</v>
      </c>
      <c r="I67" s="16">
        <f>IFERROR(ALL!M4,0)</f>
        <v>0</v>
      </c>
      <c r="J67" s="16">
        <f>IFERROR(ALL!N4,0)</f>
        <v>0</v>
      </c>
      <c r="K67" s="16">
        <f>IFERROR(ALL!O4,0)</f>
        <v>0</v>
      </c>
      <c r="L67" s="16">
        <f>IFERROR(ALL!P4,0)</f>
        <v>0</v>
      </c>
      <c r="M67" s="16">
        <f>IFERROR(ALL!Q4,0)</f>
        <v>0</v>
      </c>
      <c r="N67" s="16">
        <f>IFERROR(ALL!R4,0)</f>
        <v>0</v>
      </c>
      <c r="O67" s="16">
        <f>IFERROR(ALL!S4,0)</f>
        <v>0</v>
      </c>
      <c r="P67" s="16">
        <f>IFERROR(ALL!T4,0)</f>
        <v>0</v>
      </c>
      <c r="Q67" s="16">
        <f>IFERROR(ALL!U4,0)</f>
        <v>0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>
        <f>ALL!E5</f>
        <v>0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0</v>
      </c>
      <c r="H68" s="16">
        <f>IFERROR(ALL!L5,0)</f>
        <v>0</v>
      </c>
      <c r="I68" s="16">
        <f>IFERROR(ALL!M5,0)</f>
        <v>0</v>
      </c>
      <c r="J68" s="16">
        <f>IFERROR(ALL!N5,0)</f>
        <v>0</v>
      </c>
      <c r="K68" s="16">
        <f>IFERROR(ALL!O5,0)</f>
        <v>0</v>
      </c>
      <c r="L68" s="16">
        <f>IFERROR(ALL!P5,0)</f>
        <v>0</v>
      </c>
      <c r="M68" s="16">
        <f>IFERROR(ALL!Q5,0)</f>
        <v>0</v>
      </c>
      <c r="N68" s="16">
        <f>IFERROR(ALL!R5,0)</f>
        <v>0</v>
      </c>
      <c r="O68" s="16">
        <f>IFERROR(ALL!S5,0)</f>
        <v>0</v>
      </c>
      <c r="P68" s="16">
        <f>IFERROR(ALL!T5,0)</f>
        <v>0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>
        <f>ALL!E6</f>
        <v>0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0</v>
      </c>
      <c r="J69" s="16">
        <f>IFERROR(ALL!N6,0)</f>
        <v>0</v>
      </c>
      <c r="K69" s="16">
        <f>IFERROR(ALL!O6,0)</f>
        <v>0</v>
      </c>
      <c r="L69" s="16">
        <f>IFERROR(ALL!P6,0)</f>
        <v>0</v>
      </c>
      <c r="M69" s="16">
        <f>IFERROR(ALL!Q6,0)</f>
        <v>0</v>
      </c>
      <c r="N69" s="16">
        <f>IFERROR(ALL!R6,0)</f>
        <v>0</v>
      </c>
      <c r="O69" s="16">
        <f>IFERROR(ALL!S6,0)</f>
        <v>0</v>
      </c>
      <c r="P69" s="16">
        <f>IFERROR(ALL!T6,0)</f>
        <v>0</v>
      </c>
      <c r="Q69" s="16">
        <f>IFERROR(ALL!U6,0)</f>
        <v>0</v>
      </c>
      <c r="R69" s="16">
        <f>IFERROR(ALL!V6,0)</f>
        <v>0</v>
      </c>
      <c r="S69" s="16">
        <f>IFERROR(ALL!W6,0)</f>
        <v>0</v>
      </c>
      <c r="T69" s="16">
        <f>IFERROR(ALL!X6,0)</f>
        <v>0</v>
      </c>
      <c r="U69" s="16">
        <f>IFERROR(ALL!Y6,0)</f>
        <v>0</v>
      </c>
      <c r="V69" s="16">
        <f>IFERROR(ALL!Z6,0)</f>
        <v>0</v>
      </c>
      <c r="W69" s="16">
        <f>IFERROR(ALL!AA6,0)</f>
        <v>0</v>
      </c>
      <c r="X69" s="16">
        <f>IFERROR(ALL!AB6,0)</f>
        <v>0</v>
      </c>
      <c r="Y69" s="16">
        <f>IFERROR(ALL!AC6,0)</f>
        <v>0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>
        <f>ALL!E7</f>
        <v>0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0</v>
      </c>
      <c r="J70" s="16">
        <f>IFERROR(ALL!N7,0)</f>
        <v>0</v>
      </c>
      <c r="K70" s="16">
        <f>IFERROR(ALL!O7,0)</f>
        <v>0</v>
      </c>
      <c r="L70" s="16">
        <f>IFERROR(ALL!P7,0)</f>
        <v>0</v>
      </c>
      <c r="M70" s="16">
        <f>IFERROR(ALL!Q7,0)</f>
        <v>0</v>
      </c>
      <c r="N70" s="16">
        <f>IFERROR(ALL!R7,0)</f>
        <v>0</v>
      </c>
      <c r="O70" s="16">
        <f>IFERROR(ALL!S7,0)</f>
        <v>0</v>
      </c>
      <c r="P70" s="16">
        <f>IFERROR(ALL!T7,0)</f>
        <v>0</v>
      </c>
      <c r="Q70" s="16">
        <f>IFERROR(ALL!U7,0)</f>
        <v>0</v>
      </c>
      <c r="R70" s="16">
        <f>IFERROR(ALL!V7,0)</f>
        <v>0</v>
      </c>
      <c r="S70" s="16">
        <f>IFERROR(ALL!W7,0)</f>
        <v>0</v>
      </c>
      <c r="T70" s="16">
        <f>IFERROR(ALL!X7,0)</f>
        <v>0</v>
      </c>
      <c r="U70" s="16">
        <f>IFERROR(ALL!Y7,0)</f>
        <v>0</v>
      </c>
      <c r="V70" s="16">
        <f>IFERROR(ALL!Z7,0)</f>
        <v>0</v>
      </c>
      <c r="W70" s="16">
        <f>IFERROR(ALL!AA7,0)</f>
        <v>0</v>
      </c>
      <c r="X70" s="16">
        <f>IFERROR(ALL!AB7,0)</f>
        <v>0</v>
      </c>
      <c r="Y70" s="16">
        <f>IFERROR(ALL!AC7,0)</f>
        <v>0</v>
      </c>
      <c r="Z70" s="16">
        <f>IFERROR(ALL!AD7,0)</f>
        <v>0</v>
      </c>
      <c r="AA70" s="16">
        <f>IFERROR(ALL!AE7,0)</f>
        <v>0</v>
      </c>
      <c r="AB70" s="16">
        <f>IFERROR(ALL!AF7,0)</f>
        <v>0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>
        <f>ALL!E8</f>
        <v>0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0</v>
      </c>
      <c r="I71" s="16">
        <f>IFERROR(ALL!M8,0)</f>
        <v>0</v>
      </c>
      <c r="J71" s="16">
        <f>IFERROR(ALL!N8,0)</f>
        <v>0</v>
      </c>
      <c r="K71" s="16">
        <f>IFERROR(ALL!O8,0)</f>
        <v>0</v>
      </c>
      <c r="L71" s="16">
        <f>IFERROR(ALL!P8,0)</f>
        <v>0</v>
      </c>
      <c r="M71" s="16">
        <f>IFERROR(ALL!Q8,0)</f>
        <v>0</v>
      </c>
      <c r="N71" s="16">
        <f>IFERROR(ALL!R8,0)</f>
        <v>0</v>
      </c>
      <c r="O71" s="16">
        <f>IFERROR(ALL!S8,0)</f>
        <v>0</v>
      </c>
      <c r="P71" s="16">
        <f>IFERROR(ALL!T8,0)</f>
        <v>0</v>
      </c>
      <c r="Q71" s="16">
        <f>IFERROR(ALL!U8,0)</f>
        <v>0</v>
      </c>
      <c r="R71" s="16">
        <f>IFERROR(ALL!V8,0)</f>
        <v>0</v>
      </c>
      <c r="S71" s="16">
        <f>IFERROR(ALL!W8,0)</f>
        <v>0</v>
      </c>
      <c r="T71" s="16">
        <f>IFERROR(ALL!X8,0)</f>
        <v>0</v>
      </c>
      <c r="U71" s="16">
        <f>IFERROR(ALL!Y8,0)</f>
        <v>0</v>
      </c>
      <c r="V71" s="16">
        <f>IFERROR(ALL!Z8,0)</f>
        <v>0</v>
      </c>
      <c r="W71" s="16">
        <f>IFERROR(ALL!AA8,0)</f>
        <v>0</v>
      </c>
      <c r="X71" s="16">
        <f>IFERROR(ALL!AB8,0)</f>
        <v>0</v>
      </c>
      <c r="Y71" s="16">
        <f>IFERROR(ALL!AC8,0)</f>
        <v>0</v>
      </c>
      <c r="Z71" s="16">
        <f>IFERROR(ALL!AD8,0)</f>
        <v>0</v>
      </c>
      <c r="AA71" s="16">
        <f>IFERROR(ALL!AE8,0)</f>
        <v>0</v>
      </c>
      <c r="AB71" s="16">
        <f>IFERROR(ALL!AF8,0)</f>
        <v>0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>
        <f>ALL!E9</f>
        <v>0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0</v>
      </c>
      <c r="I72" s="16">
        <f>IFERROR(ALL!M9,0)</f>
        <v>0</v>
      </c>
      <c r="J72" s="16">
        <f>IFERROR(ALL!N9,0)</f>
        <v>0</v>
      </c>
      <c r="K72" s="16">
        <f>IFERROR(ALL!O9,0)</f>
        <v>0</v>
      </c>
      <c r="L72" s="16">
        <f>IFERROR(ALL!P9,0)</f>
        <v>0</v>
      </c>
      <c r="M72" s="16">
        <f>IFERROR(ALL!Q9,0)</f>
        <v>0</v>
      </c>
      <c r="N72" s="16">
        <f>IFERROR(ALL!R9,0)</f>
        <v>0</v>
      </c>
      <c r="O72" s="16">
        <f>IFERROR(ALL!S9,0)</f>
        <v>0</v>
      </c>
      <c r="P72" s="16">
        <f>IFERROR(ALL!T9,0)</f>
        <v>0</v>
      </c>
      <c r="Q72" s="16">
        <f>IFERROR(ALL!U9,0)</f>
        <v>0</v>
      </c>
      <c r="R72" s="16">
        <f>IFERROR(ALL!V9,0)</f>
        <v>0</v>
      </c>
      <c r="S72" s="16">
        <f>IFERROR(ALL!W9,0)</f>
        <v>0</v>
      </c>
      <c r="T72" s="16">
        <f>IFERROR(ALL!X9,0)</f>
        <v>0</v>
      </c>
      <c r="U72" s="16">
        <f>IFERROR(ALL!Y9,0)</f>
        <v>0</v>
      </c>
      <c r="V72" s="16">
        <f>IFERROR(ALL!Z9,0)</f>
        <v>0</v>
      </c>
      <c r="W72" s="16">
        <f>IFERROR(ALL!AA9,0)</f>
        <v>0</v>
      </c>
      <c r="X72" s="16">
        <f>IFERROR(ALL!AB9,0)</f>
        <v>0</v>
      </c>
      <c r="Y72" s="16">
        <f>IFERROR(ALL!AC9,0)</f>
        <v>0</v>
      </c>
      <c r="Z72" s="16">
        <f>IFERROR(ALL!AD9,0)</f>
        <v>0</v>
      </c>
      <c r="AA72" s="16">
        <f>IFERROR(ALL!AE9,0)</f>
        <v>0</v>
      </c>
      <c r="AB72" s="16">
        <f>IFERROR(ALL!AF9,0)</f>
        <v>0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>
        <f>ALL!E10</f>
        <v>0</v>
      </c>
      <c r="B73" s="16">
        <f>IFERROR(ALL!F10,0)</f>
        <v>0</v>
      </c>
      <c r="C73" s="16">
        <f>IFERROR(ALL!G10,0)</f>
        <v>0</v>
      </c>
      <c r="D73" s="16">
        <f>IFERROR(ALL!H10,0)</f>
        <v>0</v>
      </c>
      <c r="E73" s="16">
        <f>IFERROR(ALL!I10,0)</f>
        <v>0</v>
      </c>
      <c r="F73" s="16">
        <f>IFERROR(ALL!J10,0)</f>
        <v>0</v>
      </c>
      <c r="G73" s="16">
        <f>IFERROR(ALL!K10,0)</f>
        <v>0</v>
      </c>
      <c r="H73" s="16">
        <f>IFERROR(ALL!L10,0)</f>
        <v>0</v>
      </c>
      <c r="I73" s="16">
        <f>IFERROR(ALL!M10,0)</f>
        <v>0</v>
      </c>
      <c r="J73" s="16">
        <f>IFERROR(ALL!N10,0)</f>
        <v>0</v>
      </c>
      <c r="K73" s="16">
        <f>IFERROR(ALL!O10,0)</f>
        <v>0</v>
      </c>
      <c r="L73" s="16">
        <f>IFERROR(ALL!P10,0)</f>
        <v>0</v>
      </c>
      <c r="M73" s="16">
        <f>IFERROR(ALL!Q10,0)</f>
        <v>0</v>
      </c>
      <c r="N73" s="16">
        <f>IFERROR(ALL!R10,0)</f>
        <v>0</v>
      </c>
      <c r="O73" s="16">
        <f>IFERROR(ALL!S10,0)</f>
        <v>0</v>
      </c>
      <c r="P73" s="16">
        <f>IFERROR(ALL!T10,0)</f>
        <v>0</v>
      </c>
      <c r="Q73" s="16">
        <f>IFERROR(ALL!U10,0)</f>
        <v>0</v>
      </c>
      <c r="R73" s="16">
        <f>IFERROR(ALL!V10,0)</f>
        <v>0</v>
      </c>
      <c r="S73" s="16">
        <f>IFERROR(ALL!W10,0)</f>
        <v>0</v>
      </c>
      <c r="T73" s="16">
        <f>IFERROR(ALL!X10,0)</f>
        <v>0</v>
      </c>
      <c r="U73" s="16">
        <f>IFERROR(ALL!Y10,0)</f>
        <v>0</v>
      </c>
      <c r="V73" s="16">
        <f>IFERROR(ALL!Z10,0)</f>
        <v>0</v>
      </c>
      <c r="W73" s="16">
        <f>IFERROR(ALL!AA10,0)</f>
        <v>0</v>
      </c>
      <c r="X73" s="16">
        <f>IFERROR(ALL!AB10,0)</f>
        <v>0</v>
      </c>
      <c r="Y73" s="16">
        <f>IFERROR(ALL!AC10,0)</f>
        <v>0</v>
      </c>
      <c r="Z73" s="16">
        <f>IFERROR(ALL!AD10,0)</f>
        <v>0</v>
      </c>
      <c r="AA73" s="16">
        <f>IFERROR(ALL!AE10,0)</f>
        <v>0</v>
      </c>
      <c r="AB73" s="16">
        <f>IFERROR(ALL!AF10,0)</f>
        <v>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>
        <f>ALL!E11</f>
        <v>0</v>
      </c>
      <c r="B74" s="16">
        <f>IFERROR(ALL!F11,0)</f>
        <v>0</v>
      </c>
      <c r="C74" s="16">
        <f>IFERROR(ALL!G11,0)</f>
        <v>0</v>
      </c>
      <c r="D74" s="16">
        <f>IFERROR(ALL!H11,0)</f>
        <v>0</v>
      </c>
      <c r="E74" s="16">
        <f>IFERROR(ALL!I11,0)</f>
        <v>0</v>
      </c>
      <c r="F74" s="16">
        <f>IFERROR(ALL!J11,0)</f>
        <v>0</v>
      </c>
      <c r="G74" s="16">
        <f>IFERROR(ALL!K11,0)</f>
        <v>0</v>
      </c>
      <c r="H74" s="16">
        <f>IFERROR(ALL!L11,0)</f>
        <v>0</v>
      </c>
      <c r="I74" s="16">
        <f>IFERROR(ALL!M11,0)</f>
        <v>0</v>
      </c>
      <c r="J74" s="16">
        <f>IFERROR(ALL!N11,0)</f>
        <v>0</v>
      </c>
      <c r="K74" s="16">
        <f>IFERROR(ALL!O11,0)</f>
        <v>0</v>
      </c>
      <c r="L74" s="16">
        <f>IFERROR(ALL!P11,0)</f>
        <v>0</v>
      </c>
      <c r="M74" s="16">
        <f>IFERROR(ALL!Q11,0)</f>
        <v>0</v>
      </c>
      <c r="N74" s="16">
        <f>IFERROR(ALL!R11,0)</f>
        <v>0</v>
      </c>
      <c r="O74" s="16">
        <f>IFERROR(ALL!S11,0)</f>
        <v>0</v>
      </c>
      <c r="P74" s="16">
        <f>IFERROR(ALL!T11,0)</f>
        <v>0</v>
      </c>
      <c r="Q74" s="16">
        <f>IFERROR(ALL!U11,0)</f>
        <v>0</v>
      </c>
      <c r="R74" s="16">
        <f>IFERROR(ALL!V11,0)</f>
        <v>0</v>
      </c>
      <c r="S74" s="16">
        <f>IFERROR(ALL!W11,0)</f>
        <v>0</v>
      </c>
      <c r="T74" s="16">
        <f>IFERROR(ALL!X11,0)</f>
        <v>0</v>
      </c>
      <c r="U74" s="16">
        <f>IFERROR(ALL!Y11,0)</f>
        <v>0</v>
      </c>
      <c r="V74" s="16">
        <f>IFERROR(ALL!Z11,0)</f>
        <v>0</v>
      </c>
      <c r="W74" s="16">
        <f>IFERROR(ALL!AA11,0)</f>
        <v>0</v>
      </c>
      <c r="X74" s="16">
        <f>IFERROR(ALL!AB11,0)</f>
        <v>0</v>
      </c>
      <c r="Y74" s="16">
        <f>IFERROR(ALL!AC11,0)</f>
        <v>0</v>
      </c>
      <c r="Z74" s="16">
        <f>IFERROR(ALL!AD11,0)</f>
        <v>0</v>
      </c>
      <c r="AA74" s="16">
        <f>IFERROR(ALL!AE11,0)</f>
        <v>0</v>
      </c>
      <c r="AB74" s="16">
        <f>IFERROR(ALL!AF11,0)</f>
        <v>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>
        <f>ALL!E12</f>
        <v>0</v>
      </c>
      <c r="B75" s="16">
        <f>IFERROR(ALL!F12,0)</f>
        <v>0</v>
      </c>
      <c r="C75" s="16">
        <f>IFERROR(ALL!G12,0)</f>
        <v>0</v>
      </c>
      <c r="D75" s="16">
        <f>IFERROR(ALL!H12,0)</f>
        <v>0</v>
      </c>
      <c r="E75" s="16">
        <f>IFERROR(ALL!I12,0)</f>
        <v>0</v>
      </c>
      <c r="F75" s="16">
        <f>IFERROR(ALL!J12,0)</f>
        <v>0</v>
      </c>
      <c r="G75" s="16">
        <f>IFERROR(ALL!K12,0)</f>
        <v>0</v>
      </c>
      <c r="H75" s="16">
        <f>IFERROR(ALL!L12,0)</f>
        <v>0</v>
      </c>
      <c r="I75" s="16">
        <f>IFERROR(ALL!M12,0)</f>
        <v>0</v>
      </c>
      <c r="J75" s="16">
        <f>IFERROR(ALL!N12,0)</f>
        <v>0</v>
      </c>
      <c r="K75" s="16">
        <f>IFERROR(ALL!O12,0)</f>
        <v>0</v>
      </c>
      <c r="L75" s="16">
        <f>IFERROR(ALL!P12,0)</f>
        <v>0</v>
      </c>
      <c r="M75" s="16">
        <f>IFERROR(ALL!Q12,0)</f>
        <v>0</v>
      </c>
      <c r="N75" s="16">
        <f>IFERROR(ALL!R12,0)</f>
        <v>0</v>
      </c>
      <c r="O75" s="16">
        <f>IFERROR(ALL!S12,0)</f>
        <v>0</v>
      </c>
      <c r="P75" s="16">
        <f>IFERROR(ALL!T12,0)</f>
        <v>0</v>
      </c>
      <c r="Q75" s="16">
        <f>IFERROR(ALL!U12,0)</f>
        <v>0</v>
      </c>
      <c r="R75" s="16">
        <f>IFERROR(ALL!V12,0)</f>
        <v>0</v>
      </c>
      <c r="S75" s="16">
        <f>IFERROR(ALL!W12,0)</f>
        <v>0</v>
      </c>
      <c r="T75" s="16">
        <f>IFERROR(ALL!X12,0)</f>
        <v>0</v>
      </c>
      <c r="U75" s="16">
        <f>IFERROR(ALL!Y12,0)</f>
        <v>0</v>
      </c>
      <c r="V75" s="16">
        <f>IFERROR(ALL!Z12,0)</f>
        <v>0</v>
      </c>
      <c r="W75" s="16">
        <f>IFERROR(ALL!AA12,0)</f>
        <v>0</v>
      </c>
      <c r="X75" s="16">
        <f>IFERROR(ALL!AB12,0)</f>
        <v>0</v>
      </c>
      <c r="Y75" s="16">
        <f>IFERROR(ALL!AC12,0)</f>
        <v>0</v>
      </c>
      <c r="Z75" s="16">
        <f>IFERROR(ALL!AD12,0)</f>
        <v>0</v>
      </c>
      <c r="AA75" s="16">
        <f>IFERROR(ALL!AE12,0)</f>
        <v>0</v>
      </c>
      <c r="AB75" s="16">
        <f>IFERROR(ALL!AF12,0)</f>
        <v>0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>
        <f>ALL!E13</f>
        <v>0</v>
      </c>
      <c r="B76" s="16">
        <f>IFERROR(ALL!F13,0)</f>
        <v>0</v>
      </c>
      <c r="C76" s="16">
        <f>IFERROR(ALL!G13,0)</f>
        <v>0</v>
      </c>
      <c r="D76" s="16">
        <f>IFERROR(ALL!H13,0)</f>
        <v>0</v>
      </c>
      <c r="E76" s="16">
        <f>IFERROR(ALL!I13,0)</f>
        <v>0</v>
      </c>
      <c r="F76" s="16">
        <f>IFERROR(ALL!J13,0)</f>
        <v>0</v>
      </c>
      <c r="G76" s="16">
        <f>IFERROR(ALL!K13,0)</f>
        <v>0</v>
      </c>
      <c r="H76" s="16">
        <f>IFERROR(ALL!L13,0)</f>
        <v>0</v>
      </c>
      <c r="I76" s="16">
        <f>IFERROR(ALL!M13,0)</f>
        <v>0</v>
      </c>
      <c r="J76" s="16">
        <f>IFERROR(ALL!N13,0)</f>
        <v>0</v>
      </c>
      <c r="K76" s="16">
        <f>IFERROR(ALL!O13,0)</f>
        <v>0</v>
      </c>
      <c r="L76" s="16">
        <f>IFERROR(ALL!P13,0)</f>
        <v>0</v>
      </c>
      <c r="M76" s="16">
        <f>IFERROR(ALL!Q13,0)</f>
        <v>0</v>
      </c>
      <c r="N76" s="16">
        <f>IFERROR(ALL!R13,0)</f>
        <v>0</v>
      </c>
      <c r="O76" s="16">
        <f>IFERROR(ALL!S13,0)</f>
        <v>0</v>
      </c>
      <c r="P76" s="16">
        <f>IFERROR(ALL!T13,0)</f>
        <v>0</v>
      </c>
      <c r="Q76" s="16">
        <f>IFERROR(ALL!U13,0)</f>
        <v>0</v>
      </c>
      <c r="R76" s="16">
        <f>IFERROR(ALL!V13,0)</f>
        <v>0</v>
      </c>
      <c r="S76" s="16">
        <f>IFERROR(ALL!W13,0)</f>
        <v>0</v>
      </c>
      <c r="T76" s="16">
        <f>IFERROR(ALL!X13,0)</f>
        <v>0</v>
      </c>
      <c r="U76" s="16">
        <f>IFERROR(ALL!Y13,0)</f>
        <v>0</v>
      </c>
      <c r="V76" s="16">
        <f>IFERROR(ALL!Z13,0)</f>
        <v>0</v>
      </c>
      <c r="W76" s="16">
        <f>IFERROR(ALL!AA13,0)</f>
        <v>0</v>
      </c>
      <c r="X76" s="16">
        <f>IFERROR(ALL!AB13,0)</f>
        <v>0</v>
      </c>
      <c r="Y76" s="16">
        <f>IFERROR(ALL!AC13,0)</f>
        <v>0</v>
      </c>
      <c r="Z76" s="16">
        <f>IFERROR(ALL!AD13,0)</f>
        <v>0</v>
      </c>
      <c r="AA76" s="16">
        <f>IFERROR(ALL!AE13,0)</f>
        <v>0</v>
      </c>
      <c r="AB76" s="16">
        <f>IFERROR(ALL!AF13,0)</f>
        <v>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>
        <f>ALL!E14</f>
        <v>0</v>
      </c>
      <c r="B77" s="16">
        <f>IFERROR(ALL!F14,0)</f>
        <v>0</v>
      </c>
      <c r="C77" s="16">
        <f>IFERROR(ALL!G14,0)</f>
        <v>0</v>
      </c>
      <c r="D77" s="16">
        <f>IFERROR(ALL!H14,0)</f>
        <v>0</v>
      </c>
      <c r="E77" s="16">
        <f>IFERROR(ALL!I14,0)</f>
        <v>0</v>
      </c>
      <c r="F77" s="16">
        <f>IFERROR(ALL!J14,0)</f>
        <v>0</v>
      </c>
      <c r="G77" s="16">
        <f>IFERROR(ALL!K14,0)</f>
        <v>0</v>
      </c>
      <c r="H77" s="16">
        <f>IFERROR(ALL!L14,0)</f>
        <v>0</v>
      </c>
      <c r="I77" s="16">
        <f>IFERROR(ALL!M14,0)</f>
        <v>0</v>
      </c>
      <c r="J77" s="16">
        <f>IFERROR(ALL!N14,0)</f>
        <v>0</v>
      </c>
      <c r="K77" s="16">
        <f>IFERROR(ALL!O14,0)</f>
        <v>0</v>
      </c>
      <c r="L77" s="16">
        <f>IFERROR(ALL!P14,0)</f>
        <v>0</v>
      </c>
      <c r="M77" s="16">
        <f>IFERROR(ALL!Q14,0)</f>
        <v>0</v>
      </c>
      <c r="N77" s="16">
        <f>IFERROR(ALL!R14,0)</f>
        <v>0</v>
      </c>
      <c r="O77" s="16">
        <f>IFERROR(ALL!S14,0)</f>
        <v>0</v>
      </c>
      <c r="P77" s="16">
        <f>IFERROR(ALL!T14,0)</f>
        <v>0</v>
      </c>
      <c r="Q77" s="16">
        <f>IFERROR(ALL!U14,0)</f>
        <v>0</v>
      </c>
      <c r="R77" s="16">
        <f>IFERROR(ALL!V14,0)</f>
        <v>0</v>
      </c>
      <c r="S77" s="16">
        <f>IFERROR(ALL!W14,0)</f>
        <v>0</v>
      </c>
      <c r="T77" s="16">
        <f>IFERROR(ALL!X14,0)</f>
        <v>0</v>
      </c>
      <c r="U77" s="16">
        <f>IFERROR(ALL!Y14,0)</f>
        <v>0</v>
      </c>
      <c r="V77" s="16">
        <f>IFERROR(ALL!Z14,0)</f>
        <v>0</v>
      </c>
      <c r="W77" s="16">
        <f>IFERROR(ALL!AA14,0)</f>
        <v>0</v>
      </c>
      <c r="X77" s="16">
        <f>IFERROR(ALL!AB14,0)</f>
        <v>0</v>
      </c>
      <c r="Y77" s="16">
        <f>IFERROR(ALL!AC14,0)</f>
        <v>0</v>
      </c>
      <c r="Z77" s="16">
        <f>IFERROR(ALL!AD14,0)</f>
        <v>0</v>
      </c>
      <c r="AA77" s="16">
        <f>IFERROR(ALL!AE14,0)</f>
        <v>0</v>
      </c>
      <c r="AB77" s="16">
        <f>IFERROR(ALL!AF14,0)</f>
        <v>0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>
        <f>ALL!E15</f>
        <v>0</v>
      </c>
      <c r="B78" s="16">
        <f>IFERROR(ALL!F15,0)</f>
        <v>0</v>
      </c>
      <c r="C78" s="16">
        <f>IFERROR(ALL!G15,0)</f>
        <v>0</v>
      </c>
      <c r="D78" s="16">
        <f>IFERROR(ALL!H15,0)</f>
        <v>0</v>
      </c>
      <c r="E78" s="16">
        <f>IFERROR(ALL!I15,0)</f>
        <v>0</v>
      </c>
      <c r="F78" s="16">
        <f>IFERROR(ALL!J15,0)</f>
        <v>0</v>
      </c>
      <c r="G78" s="16">
        <f>IFERROR(ALL!K15,0)</f>
        <v>0</v>
      </c>
      <c r="H78" s="16">
        <f>IFERROR(ALL!L15,0)</f>
        <v>0</v>
      </c>
      <c r="I78" s="16">
        <f>IFERROR(ALL!M15,0)</f>
        <v>0</v>
      </c>
      <c r="J78" s="16">
        <f>IFERROR(ALL!N15,0)</f>
        <v>0</v>
      </c>
      <c r="K78" s="16">
        <f>IFERROR(ALL!O15,0)</f>
        <v>0</v>
      </c>
      <c r="L78" s="16">
        <f>IFERROR(ALL!P15,0)</f>
        <v>0</v>
      </c>
      <c r="M78" s="16">
        <f>IFERROR(ALL!Q15,0)</f>
        <v>0</v>
      </c>
      <c r="N78" s="16">
        <f>IFERROR(ALL!R15,0)</f>
        <v>0</v>
      </c>
      <c r="O78" s="16">
        <f>IFERROR(ALL!S15,0)</f>
        <v>0</v>
      </c>
      <c r="P78" s="16">
        <f>IFERROR(ALL!T15,0)</f>
        <v>0</v>
      </c>
      <c r="Q78" s="16">
        <f>IFERROR(ALL!U15,0)</f>
        <v>0</v>
      </c>
      <c r="R78" s="16">
        <f>IFERROR(ALL!V15,0)</f>
        <v>0</v>
      </c>
      <c r="S78" s="16">
        <f>IFERROR(ALL!W15,0)</f>
        <v>0</v>
      </c>
      <c r="T78" s="16">
        <f>IFERROR(ALL!X15,0)</f>
        <v>0</v>
      </c>
      <c r="U78" s="16">
        <f>IFERROR(ALL!Y15,0)</f>
        <v>0</v>
      </c>
      <c r="V78" s="16">
        <f>IFERROR(ALL!Z15,0)</f>
        <v>0</v>
      </c>
      <c r="W78" s="16">
        <f>IFERROR(ALL!AA15,0)</f>
        <v>0</v>
      </c>
      <c r="X78" s="16">
        <f>IFERROR(ALL!AB15,0)</f>
        <v>0</v>
      </c>
      <c r="Y78" s="16">
        <f>IFERROR(ALL!AC15,0)</f>
        <v>0</v>
      </c>
      <c r="Z78" s="16">
        <f>IFERROR(ALL!AD15,0)</f>
        <v>0</v>
      </c>
      <c r="AA78" s="16">
        <f>IFERROR(ALL!AE15,0)</f>
        <v>0</v>
      </c>
      <c r="AB78" s="16">
        <f>IFERROR(ALL!AF15,0)</f>
        <v>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>
        <f>ALL!E16</f>
        <v>0</v>
      </c>
      <c r="B79" s="16">
        <f>IFERROR(ALL!F16,0)</f>
        <v>0</v>
      </c>
      <c r="C79" s="16">
        <f>IFERROR(ALL!G16,0)</f>
        <v>0</v>
      </c>
      <c r="D79" s="16">
        <f>IFERROR(ALL!H16,0)</f>
        <v>0</v>
      </c>
      <c r="E79" s="16">
        <f>IFERROR(ALL!I16,0)</f>
        <v>0</v>
      </c>
      <c r="F79" s="16">
        <f>IFERROR(ALL!J16,0)</f>
        <v>0</v>
      </c>
      <c r="G79" s="16">
        <f>IFERROR(ALL!K16,0)</f>
        <v>0</v>
      </c>
      <c r="H79" s="16">
        <f>IFERROR(ALL!L16,0)</f>
        <v>0</v>
      </c>
      <c r="I79" s="16">
        <f>IFERROR(ALL!M16,0)</f>
        <v>0</v>
      </c>
      <c r="J79" s="16">
        <f>IFERROR(ALL!N16,0)</f>
        <v>0</v>
      </c>
      <c r="K79" s="16">
        <f>IFERROR(ALL!O16,0)</f>
        <v>0</v>
      </c>
      <c r="L79" s="16">
        <f>IFERROR(ALL!P16,0)</f>
        <v>0</v>
      </c>
      <c r="M79" s="16">
        <f>IFERROR(ALL!Q16,0)</f>
        <v>0</v>
      </c>
      <c r="N79" s="16">
        <f>IFERROR(ALL!R16,0)</f>
        <v>0</v>
      </c>
      <c r="O79" s="16">
        <f>IFERROR(ALL!S16,0)</f>
        <v>0</v>
      </c>
      <c r="P79" s="16">
        <f>IFERROR(ALL!T16,0)</f>
        <v>0</v>
      </c>
      <c r="Q79" s="16">
        <f>IFERROR(ALL!U16,0)</f>
        <v>0</v>
      </c>
      <c r="R79" s="16">
        <f>IFERROR(ALL!V16,0)</f>
        <v>0</v>
      </c>
      <c r="S79" s="16">
        <f>IFERROR(ALL!W16,0)</f>
        <v>0</v>
      </c>
      <c r="T79" s="16">
        <f>IFERROR(ALL!X16,0)</f>
        <v>0</v>
      </c>
      <c r="U79" s="16">
        <f>IFERROR(ALL!Y16,0)</f>
        <v>0</v>
      </c>
      <c r="V79" s="16">
        <f>IFERROR(ALL!Z16,0)</f>
        <v>0</v>
      </c>
      <c r="W79" s="16">
        <f>IFERROR(ALL!AA16,0)</f>
        <v>0</v>
      </c>
      <c r="X79" s="16">
        <f>IFERROR(ALL!AB16,0)</f>
        <v>0</v>
      </c>
      <c r="Y79" s="16">
        <f>IFERROR(ALL!AC16,0)</f>
        <v>0</v>
      </c>
      <c r="Z79" s="16">
        <f>IFERROR(ALL!AD16,0)</f>
        <v>0</v>
      </c>
      <c r="AA79" s="16">
        <f>IFERROR(ALL!AE16,0)</f>
        <v>0</v>
      </c>
      <c r="AB79" s="16">
        <f>IFERROR(ALL!AF16,0)</f>
        <v>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>
        <f>ALL!E17</f>
        <v>0</v>
      </c>
      <c r="B80" s="16">
        <f>IFERROR(ALL!F17,0)</f>
        <v>0</v>
      </c>
      <c r="C80" s="16">
        <f>IFERROR(ALL!G17,0)</f>
        <v>0</v>
      </c>
      <c r="D80" s="16">
        <f>IFERROR(ALL!H17,0)</f>
        <v>0</v>
      </c>
      <c r="E80" s="16">
        <f>IFERROR(ALL!I17,0)</f>
        <v>0</v>
      </c>
      <c r="F80" s="16">
        <f>IFERROR(ALL!J17,0)</f>
        <v>0</v>
      </c>
      <c r="G80" s="16">
        <f>IFERROR(ALL!K17,0)</f>
        <v>0</v>
      </c>
      <c r="H80" s="16">
        <f>IFERROR(ALL!L17,0)</f>
        <v>0</v>
      </c>
      <c r="I80" s="16">
        <f>IFERROR(ALL!M17,0)</f>
        <v>0</v>
      </c>
      <c r="J80" s="16">
        <f>IFERROR(ALL!N17,0)</f>
        <v>0</v>
      </c>
      <c r="K80" s="16">
        <f>IFERROR(ALL!O17,0)</f>
        <v>0</v>
      </c>
      <c r="L80" s="16">
        <f>IFERROR(ALL!P17,0)</f>
        <v>0</v>
      </c>
      <c r="M80" s="16">
        <f>IFERROR(ALL!Q17,0)</f>
        <v>0</v>
      </c>
      <c r="N80" s="16">
        <f>IFERROR(ALL!R17,0)</f>
        <v>0</v>
      </c>
      <c r="O80" s="16">
        <f>IFERROR(ALL!S17,0)</f>
        <v>0</v>
      </c>
      <c r="P80" s="16">
        <f>IFERROR(ALL!T17,0)</f>
        <v>0</v>
      </c>
      <c r="Q80" s="16">
        <f>IFERROR(ALL!U17,0)</f>
        <v>0</v>
      </c>
      <c r="R80" s="16">
        <f>IFERROR(ALL!V17,0)</f>
        <v>0</v>
      </c>
      <c r="S80" s="16">
        <f>IFERROR(ALL!W17,0)</f>
        <v>0</v>
      </c>
      <c r="T80" s="16">
        <f>IFERROR(ALL!X17,0)</f>
        <v>0</v>
      </c>
      <c r="U80" s="16">
        <f>IFERROR(ALL!Y17,0)</f>
        <v>0</v>
      </c>
      <c r="V80" s="16">
        <f>IFERROR(ALL!Z17,0)</f>
        <v>0</v>
      </c>
      <c r="W80" s="16">
        <f>IFERROR(ALL!AA17,0)</f>
        <v>0</v>
      </c>
      <c r="X80" s="16">
        <f>IFERROR(ALL!AB17,0)</f>
        <v>0</v>
      </c>
      <c r="Y80" s="16">
        <f>IFERROR(ALL!AC17,0)</f>
        <v>0</v>
      </c>
      <c r="Z80" s="16">
        <f>IFERROR(ALL!AD17,0)</f>
        <v>0</v>
      </c>
      <c r="AA80" s="16">
        <f>IFERROR(ALL!AE17,0)</f>
        <v>0</v>
      </c>
      <c r="AB80" s="16">
        <f>IFERROR(ALL!AF17,0)</f>
        <v>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>
        <f>ALL!E18</f>
        <v>0</v>
      </c>
      <c r="B81" s="16">
        <f>IFERROR(ALL!F18,0)</f>
        <v>0</v>
      </c>
      <c r="C81" s="16">
        <f>IFERROR(ALL!G18,0)</f>
        <v>0</v>
      </c>
      <c r="D81" s="16">
        <f>IFERROR(ALL!H18,0)</f>
        <v>0</v>
      </c>
      <c r="E81" s="16">
        <f>IFERROR(ALL!I18,0)</f>
        <v>0</v>
      </c>
      <c r="F81" s="16">
        <f>IFERROR(ALL!J18,0)</f>
        <v>0</v>
      </c>
      <c r="G81" s="16">
        <f>IFERROR(ALL!K18,0)</f>
        <v>0</v>
      </c>
      <c r="H81" s="16">
        <f>IFERROR(ALL!L18,0)</f>
        <v>0</v>
      </c>
      <c r="I81" s="16">
        <f>IFERROR(ALL!M18,0)</f>
        <v>0</v>
      </c>
      <c r="J81" s="16">
        <f>IFERROR(ALL!N18,0)</f>
        <v>0</v>
      </c>
      <c r="K81" s="16">
        <f>IFERROR(ALL!O18,0)</f>
        <v>0</v>
      </c>
      <c r="L81" s="16">
        <f>IFERROR(ALL!P18,0)</f>
        <v>0</v>
      </c>
      <c r="M81" s="16">
        <f>IFERROR(ALL!Q18,0)</f>
        <v>0</v>
      </c>
      <c r="N81" s="16">
        <f>IFERROR(ALL!R18,0)</f>
        <v>0</v>
      </c>
      <c r="O81" s="16">
        <f>IFERROR(ALL!S18,0)</f>
        <v>0</v>
      </c>
      <c r="P81" s="16">
        <f>IFERROR(ALL!T18,0)</f>
        <v>0</v>
      </c>
      <c r="Q81" s="16">
        <f>IFERROR(ALL!U18,0)</f>
        <v>0</v>
      </c>
      <c r="R81" s="16">
        <f>IFERROR(ALL!V18,0)</f>
        <v>0</v>
      </c>
      <c r="S81" s="16">
        <f>IFERROR(ALL!W18,0)</f>
        <v>0</v>
      </c>
      <c r="T81" s="16">
        <f>IFERROR(ALL!X18,0)</f>
        <v>0</v>
      </c>
      <c r="U81" s="16">
        <f>IFERROR(ALL!Y18,0)</f>
        <v>0</v>
      </c>
      <c r="V81" s="16">
        <f>IFERROR(ALL!Z18,0)</f>
        <v>0</v>
      </c>
      <c r="W81" s="16">
        <f>IFERROR(ALL!AA18,0)</f>
        <v>0</v>
      </c>
      <c r="X81" s="16">
        <f>IFERROR(ALL!AB18,0)</f>
        <v>0</v>
      </c>
      <c r="Y81" s="16">
        <f>IFERROR(ALL!AC18,0)</f>
        <v>0</v>
      </c>
      <c r="Z81" s="16">
        <f>IFERROR(ALL!AD18,0)</f>
        <v>0</v>
      </c>
      <c r="AA81" s="16">
        <f>IFERROR(ALL!AE18,0)</f>
        <v>0</v>
      </c>
      <c r="AB81" s="16">
        <f>IFERROR(ALL!AF18,0)</f>
        <v>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>
        <f>ALL!E19</f>
        <v>0</v>
      </c>
      <c r="B82" s="16">
        <f>IFERROR(ALL!F19,0)</f>
        <v>0</v>
      </c>
      <c r="C82" s="16">
        <f>IFERROR(ALL!G19,0)</f>
        <v>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0</v>
      </c>
      <c r="J82" s="16">
        <f>IFERROR(ALL!N19,0)</f>
        <v>0</v>
      </c>
      <c r="K82" s="16">
        <f>IFERROR(ALL!O19,0)</f>
        <v>0</v>
      </c>
      <c r="L82" s="16">
        <f>IFERROR(ALL!P19,0)</f>
        <v>0</v>
      </c>
      <c r="M82" s="16">
        <f>IFERROR(ALL!Q19,0)</f>
        <v>0</v>
      </c>
      <c r="N82" s="16">
        <f>IFERROR(ALL!R19,0)</f>
        <v>0</v>
      </c>
      <c r="O82" s="16">
        <f>IFERROR(ALL!S19,0)</f>
        <v>0</v>
      </c>
      <c r="P82" s="16">
        <f>IFERROR(ALL!T19,0)</f>
        <v>0</v>
      </c>
      <c r="Q82" s="16">
        <f>IFERROR(ALL!U19,0)</f>
        <v>0</v>
      </c>
      <c r="R82" s="16">
        <f>IFERROR(ALL!V19,0)</f>
        <v>0</v>
      </c>
      <c r="S82" s="16">
        <f>IFERROR(ALL!W19,0)</f>
        <v>0</v>
      </c>
      <c r="T82" s="16">
        <f>IFERROR(ALL!X19,0)</f>
        <v>0</v>
      </c>
      <c r="U82" s="16">
        <f>IFERROR(ALL!Y19,0)</f>
        <v>0</v>
      </c>
      <c r="V82" s="16">
        <f>IFERROR(ALL!Z19,0)</f>
        <v>0</v>
      </c>
      <c r="W82" s="16">
        <f>IFERROR(ALL!AA19,0)</f>
        <v>0</v>
      </c>
      <c r="X82" s="16">
        <f>IFERROR(ALL!AB19,0)</f>
        <v>0</v>
      </c>
      <c r="Y82" s="16">
        <f>IFERROR(ALL!AC19,0)</f>
        <v>0</v>
      </c>
      <c r="Z82" s="16">
        <f>IFERROR(ALL!AD19,0)</f>
        <v>0</v>
      </c>
      <c r="AA82" s="16">
        <f>IFERROR(ALL!AE19,0)</f>
        <v>0</v>
      </c>
      <c r="AB82" s="16">
        <f>IFERROR(ALL!AF19,0)</f>
        <v>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>
        <f>ALL!E20</f>
        <v>0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>
        <f>ALL!E21</f>
        <v>0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>
        <f>ALL!E22</f>
        <v>0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0</v>
      </c>
      <c r="C96" s="16">
        <f>IFERROR(ALL!G33,0)</f>
        <v>0</v>
      </c>
      <c r="D96" s="16">
        <f>IFERROR(ALL!H33,0)</f>
        <v>0</v>
      </c>
      <c r="E96" s="16">
        <f>IFERROR(ALL!I33,0)</f>
        <v>0</v>
      </c>
      <c r="F96" s="16">
        <f>IFERROR(ALL!J33,0)</f>
        <v>0</v>
      </c>
      <c r="G96" s="16">
        <f>IFERROR(ALL!K33,0)</f>
        <v>0</v>
      </c>
      <c r="H96" s="16">
        <f>IFERROR(ALL!L33,0)</f>
        <v>0</v>
      </c>
      <c r="I96" s="16">
        <f>IFERROR(ALL!M33,0)</f>
        <v>0</v>
      </c>
      <c r="J96" s="16">
        <f>IFERROR(ALL!N33,0)</f>
        <v>0</v>
      </c>
      <c r="K96" s="16">
        <f>IFERROR(ALL!O33,0)</f>
        <v>0</v>
      </c>
      <c r="L96" s="16">
        <f>IFERROR(ALL!P33,0)</f>
        <v>0</v>
      </c>
      <c r="M96" s="16">
        <f>IFERROR(ALL!Q33,0)</f>
        <v>0</v>
      </c>
      <c r="N96" s="16">
        <f>IFERROR(ALL!R33,0)</f>
        <v>0</v>
      </c>
      <c r="O96" s="16">
        <f>IFERROR(ALL!S33,0)</f>
        <v>0</v>
      </c>
      <c r="P96" s="16">
        <f>IFERROR(ALL!T33,0)</f>
        <v>0</v>
      </c>
      <c r="Q96" s="16">
        <f>IFERROR(ALL!U33,0)</f>
        <v>0</v>
      </c>
      <c r="R96" s="16">
        <f>IFERROR(ALL!V33,0)</f>
        <v>0</v>
      </c>
      <c r="S96" s="16">
        <f>IFERROR(ALL!W33,0)</f>
        <v>0</v>
      </c>
      <c r="T96" s="16">
        <f>IFERROR(ALL!X33,0)</f>
        <v>0</v>
      </c>
      <c r="U96" s="16">
        <f>IFERROR(ALL!Y33,0)</f>
        <v>0</v>
      </c>
      <c r="V96" s="16">
        <f>IFERROR(ALL!Z33,0)</f>
        <v>0</v>
      </c>
      <c r="W96" s="16">
        <f>IFERROR(ALL!AA33,0)</f>
        <v>0</v>
      </c>
      <c r="X96" s="16">
        <f>IFERROR(ALL!AB33,0)</f>
        <v>0</v>
      </c>
      <c r="Y96" s="16">
        <f>IFERROR(ALL!AC33,0)</f>
        <v>0</v>
      </c>
      <c r="Z96" s="16">
        <f>IFERROR(ALL!AD33,0)</f>
        <v>0</v>
      </c>
      <c r="AA96" s="16">
        <f>IFERROR(ALL!AE33,0)</f>
        <v>0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93"/>
      <c r="B97" s="93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90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</row>
    <row r="101" spans="1:72" ht="22.5" hidden="1" thickTop="1" thickBot="1" x14ac:dyDescent="0.4">
      <c r="A101" s="87"/>
    </row>
    <row r="102" spans="1:72" ht="21.75" hidden="1" thickBot="1" x14ac:dyDescent="0.4">
      <c r="A102" s="87"/>
    </row>
    <row r="103" spans="1:72" ht="21.75" hidden="1" thickBot="1" x14ac:dyDescent="0.4">
      <c r="A103" s="87"/>
    </row>
    <row r="104" spans="1:72" ht="21.75" hidden="1" thickBot="1" x14ac:dyDescent="0.4">
      <c r="A104" s="87"/>
    </row>
    <row r="105" spans="1:72" ht="21.75" hidden="1" thickBot="1" x14ac:dyDescent="0.4">
      <c r="A105" s="87"/>
    </row>
    <row r="106" spans="1:72" ht="21.75" hidden="1" thickBot="1" x14ac:dyDescent="0.4">
      <c r="A106" s="87"/>
    </row>
    <row r="107" spans="1:72" ht="21.75" hidden="1" thickBot="1" x14ac:dyDescent="0.4">
      <c r="A107" s="87"/>
    </row>
    <row r="108" spans="1:72" ht="21.75" hidden="1" thickBot="1" x14ac:dyDescent="0.4">
      <c r="A108" s="87"/>
    </row>
    <row r="109" spans="1:72" ht="21.75" hidden="1" thickBot="1" x14ac:dyDescent="0.4">
      <c r="A109" s="87"/>
    </row>
    <row r="110" spans="1:72" ht="21.75" hidden="1" thickBot="1" x14ac:dyDescent="0.4">
      <c r="A110" s="87"/>
    </row>
    <row r="111" spans="1:72" ht="21.75" hidden="1" thickBot="1" x14ac:dyDescent="0.4">
      <c r="A111" s="87"/>
    </row>
    <row r="112" spans="1:72" ht="21.75" hidden="1" thickBot="1" x14ac:dyDescent="0.4">
      <c r="A112" s="87"/>
    </row>
    <row r="113" spans="1:1" ht="21.75" hidden="1" thickBot="1" x14ac:dyDescent="0.4">
      <c r="A113" s="87"/>
    </row>
    <row r="114" spans="1:1" ht="21.75" hidden="1" thickBot="1" x14ac:dyDescent="0.4">
      <c r="A114" s="87"/>
    </row>
    <row r="115" spans="1:1" ht="21.75" hidden="1" thickBot="1" x14ac:dyDescent="0.4">
      <c r="A115" s="87"/>
    </row>
    <row r="116" spans="1:1" ht="21.75" hidden="1" thickBot="1" x14ac:dyDescent="0.4">
      <c r="A116" s="87"/>
    </row>
    <row r="117" spans="1:1" ht="21.75" hidden="1" thickBot="1" x14ac:dyDescent="0.4">
      <c r="A117" s="87"/>
    </row>
    <row r="118" spans="1:1" ht="21.75" hidden="1" thickBot="1" x14ac:dyDescent="0.4">
      <c r="A118" s="87"/>
    </row>
    <row r="119" spans="1:1" ht="21.75" hidden="1" thickBot="1" x14ac:dyDescent="0.4">
      <c r="A119" s="87"/>
    </row>
    <row r="120" spans="1:1" ht="21.75" hidden="1" thickBot="1" x14ac:dyDescent="0.4">
      <c r="A120" s="92"/>
    </row>
    <row r="121" spans="1:1" ht="21.75" hidden="1" thickBot="1" x14ac:dyDescent="0.4">
      <c r="A121" s="92"/>
    </row>
    <row r="122" spans="1:1" ht="21.75" hidden="1" thickBot="1" x14ac:dyDescent="0.4">
      <c r="A122" s="92"/>
    </row>
    <row r="123" spans="1:1" ht="21.75" hidden="1" thickBot="1" x14ac:dyDescent="0.4">
      <c r="A123" s="92"/>
    </row>
    <row r="124" spans="1:1" ht="21.75" hidden="1" thickBot="1" x14ac:dyDescent="0.4">
      <c r="A124" s="92"/>
    </row>
    <row r="125" spans="1:1" ht="21.75" hidden="1" thickBot="1" x14ac:dyDescent="0.4">
      <c r="A125" s="92"/>
    </row>
    <row r="126" spans="1:1" ht="21.75" hidden="1" thickBot="1" x14ac:dyDescent="0.4">
      <c r="A126" s="92"/>
    </row>
    <row r="127" spans="1:1" ht="21.75" hidden="1" thickBot="1" x14ac:dyDescent="0.4">
      <c r="A127" s="92"/>
    </row>
    <row r="128" spans="1:1" ht="21.75" hidden="1" thickBot="1" x14ac:dyDescent="0.4">
      <c r="A128" s="92"/>
    </row>
    <row r="129" spans="1:72" ht="21.75" hidden="1" thickBot="1" x14ac:dyDescent="0.4">
      <c r="A129" s="92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90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</row>
    <row r="133" spans="1:72" ht="9.9499999999999993" customHeight="1" thickTop="1" thickBot="1" x14ac:dyDescent="0.4">
      <c r="A133" s="87"/>
    </row>
    <row r="134" spans="1:72" ht="9.9499999999999993" customHeight="1" thickBot="1" x14ac:dyDescent="0.4">
      <c r="A134" s="87"/>
    </row>
    <row r="135" spans="1:72" ht="9.9499999999999993" customHeight="1" thickBot="1" x14ac:dyDescent="0.4">
      <c r="A135" s="87"/>
    </row>
    <row r="136" spans="1:72" ht="9.9499999999999993" customHeight="1" thickBot="1" x14ac:dyDescent="0.4">
      <c r="A136" s="87"/>
    </row>
    <row r="137" spans="1:72" ht="9.9499999999999993" customHeight="1" thickBot="1" x14ac:dyDescent="0.4">
      <c r="A137" s="87"/>
    </row>
    <row r="138" spans="1:72" ht="9.9499999999999993" customHeight="1" thickBot="1" x14ac:dyDescent="0.4">
      <c r="A138" s="87"/>
    </row>
    <row r="139" spans="1:72" ht="9.9499999999999993" customHeight="1" thickBot="1" x14ac:dyDescent="0.4">
      <c r="A139" s="87"/>
    </row>
    <row r="140" spans="1:72" ht="9.9499999999999993" customHeight="1" thickBot="1" x14ac:dyDescent="0.4">
      <c r="A140" s="87"/>
    </row>
    <row r="141" spans="1:72" ht="9.9499999999999993" customHeight="1" thickBot="1" x14ac:dyDescent="0.4">
      <c r="A141" s="87"/>
    </row>
    <row r="142" spans="1:72" ht="9.9499999999999993" customHeight="1" thickBot="1" x14ac:dyDescent="0.4">
      <c r="A142" s="87"/>
    </row>
    <row r="143" spans="1:72" ht="9.9499999999999993" customHeight="1" thickBot="1" x14ac:dyDescent="0.4">
      <c r="A143" s="87"/>
    </row>
    <row r="144" spans="1:72" ht="9.9499999999999993" customHeight="1" thickBot="1" x14ac:dyDescent="0.4">
      <c r="A144" s="87"/>
    </row>
    <row r="145" spans="1:1" ht="9.9499999999999993" customHeight="1" thickBot="1" x14ac:dyDescent="0.4">
      <c r="A145" s="87"/>
    </row>
    <row r="146" spans="1:1" ht="9.9499999999999993" customHeight="1" thickBot="1" x14ac:dyDescent="0.4">
      <c r="A146" s="87"/>
    </row>
    <row r="147" spans="1:1" ht="9.9499999999999993" customHeight="1" thickBot="1" x14ac:dyDescent="0.4">
      <c r="A147" s="87"/>
    </row>
    <row r="148" spans="1:1" ht="9.9499999999999993" customHeight="1" thickBot="1" x14ac:dyDescent="0.4">
      <c r="A148" s="87"/>
    </row>
    <row r="149" spans="1:1" ht="9.9499999999999993" customHeight="1" thickBot="1" x14ac:dyDescent="0.4">
      <c r="A149" s="87"/>
    </row>
    <row r="150" spans="1:1" ht="9.9499999999999993" customHeight="1" thickBot="1" x14ac:dyDescent="0.4">
      <c r="A150" s="87"/>
    </row>
    <row r="151" spans="1:1" ht="9.9499999999999993" customHeight="1" thickBot="1" x14ac:dyDescent="0.4">
      <c r="A151" s="87"/>
    </row>
    <row r="152" spans="1:1" ht="9.9499999999999993" customHeight="1" thickBot="1" x14ac:dyDescent="0.4">
      <c r="A152" s="92"/>
    </row>
    <row r="153" spans="1:1" ht="9.9499999999999993" customHeight="1" thickBot="1" x14ac:dyDescent="0.4">
      <c r="A153" s="92"/>
    </row>
    <row r="154" spans="1:1" ht="9.9499999999999993" customHeight="1" thickBot="1" x14ac:dyDescent="0.4">
      <c r="A154" s="92"/>
    </row>
    <row r="155" spans="1:1" ht="9.9499999999999993" customHeight="1" thickBot="1" x14ac:dyDescent="0.4">
      <c r="A155" s="92"/>
    </row>
    <row r="156" spans="1:1" ht="9.9499999999999993" customHeight="1" thickBot="1" x14ac:dyDescent="0.4">
      <c r="A156" s="92"/>
    </row>
    <row r="157" spans="1:1" ht="9.9499999999999993" customHeight="1" thickBot="1" x14ac:dyDescent="0.4">
      <c r="A157" s="92"/>
    </row>
    <row r="158" spans="1:1" ht="9.9499999999999993" customHeight="1" thickBot="1" x14ac:dyDescent="0.4">
      <c r="A158" s="92"/>
    </row>
    <row r="159" spans="1:1" ht="9.9499999999999993" customHeight="1" thickBot="1" x14ac:dyDescent="0.4">
      <c r="A159" s="92"/>
    </row>
    <row r="160" spans="1:1" ht="9.9499999999999993" customHeight="1" thickBot="1" x14ac:dyDescent="0.4">
      <c r="A160" s="92"/>
    </row>
    <row r="161" spans="1:72" ht="9.9499999999999993" customHeight="1" thickBot="1" x14ac:dyDescent="0.4">
      <c r="A161" s="92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90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</row>
    <row r="165" spans="1:72" ht="9.9499999999999993" customHeight="1" thickTop="1" thickBot="1" x14ac:dyDescent="0.4">
      <c r="A165" s="87"/>
    </row>
    <row r="166" spans="1:72" ht="9.9499999999999993" customHeight="1" thickBot="1" x14ac:dyDescent="0.4">
      <c r="A166" s="87"/>
    </row>
    <row r="167" spans="1:72" ht="9.9499999999999993" customHeight="1" thickBot="1" x14ac:dyDescent="0.4">
      <c r="A167" s="87"/>
    </row>
    <row r="168" spans="1:72" ht="9.9499999999999993" customHeight="1" thickBot="1" x14ac:dyDescent="0.4">
      <c r="A168" s="87"/>
    </row>
    <row r="169" spans="1:72" ht="9.9499999999999993" customHeight="1" thickBot="1" x14ac:dyDescent="0.4">
      <c r="A169" s="87"/>
    </row>
    <row r="170" spans="1:72" ht="9.9499999999999993" customHeight="1" thickBot="1" x14ac:dyDescent="0.4">
      <c r="A170" s="87"/>
    </row>
    <row r="171" spans="1:72" ht="9.9499999999999993" customHeight="1" thickBot="1" x14ac:dyDescent="0.4">
      <c r="A171" s="87"/>
    </row>
    <row r="172" spans="1:72" ht="9.9499999999999993" customHeight="1" thickBot="1" x14ac:dyDescent="0.4">
      <c r="A172" s="87"/>
    </row>
    <row r="173" spans="1:72" ht="9.9499999999999993" customHeight="1" thickBot="1" x14ac:dyDescent="0.4">
      <c r="A173" s="87"/>
    </row>
    <row r="174" spans="1:72" ht="9.9499999999999993" customHeight="1" thickBot="1" x14ac:dyDescent="0.4">
      <c r="A174" s="87"/>
    </row>
    <row r="175" spans="1:72" ht="9.9499999999999993" customHeight="1" thickBot="1" x14ac:dyDescent="0.4">
      <c r="A175" s="87"/>
    </row>
    <row r="176" spans="1:72" ht="9.9499999999999993" customHeight="1" thickBot="1" x14ac:dyDescent="0.4">
      <c r="A176" s="87"/>
    </row>
    <row r="177" spans="1:1" ht="9.9499999999999993" customHeight="1" thickBot="1" x14ac:dyDescent="0.4">
      <c r="A177" s="87"/>
    </row>
    <row r="178" spans="1:1" ht="9.9499999999999993" customHeight="1" thickBot="1" x14ac:dyDescent="0.4">
      <c r="A178" s="87"/>
    </row>
    <row r="179" spans="1:1" ht="9.9499999999999993" customHeight="1" thickBot="1" x14ac:dyDescent="0.4">
      <c r="A179" s="87"/>
    </row>
    <row r="180" spans="1:1" ht="9.9499999999999993" customHeight="1" thickBot="1" x14ac:dyDescent="0.4">
      <c r="A180" s="87"/>
    </row>
    <row r="181" spans="1:1" ht="9.9499999999999993" customHeight="1" thickBot="1" x14ac:dyDescent="0.4">
      <c r="A181" s="87"/>
    </row>
    <row r="182" spans="1:1" ht="9.9499999999999993" customHeight="1" thickBot="1" x14ac:dyDescent="0.4">
      <c r="A182" s="87"/>
    </row>
    <row r="183" spans="1:1" ht="9.9499999999999993" customHeight="1" thickBot="1" x14ac:dyDescent="0.4">
      <c r="A183" s="87"/>
    </row>
    <row r="184" spans="1:1" ht="9.9499999999999993" customHeight="1" thickBot="1" x14ac:dyDescent="0.4">
      <c r="A184" s="92"/>
    </row>
    <row r="185" spans="1:1" ht="9.9499999999999993" customHeight="1" thickBot="1" x14ac:dyDescent="0.4">
      <c r="A185" s="92"/>
    </row>
    <row r="186" spans="1:1" ht="9.9499999999999993" customHeight="1" thickBot="1" x14ac:dyDescent="0.4">
      <c r="A186" s="92"/>
    </row>
    <row r="187" spans="1:1" ht="9.9499999999999993" customHeight="1" thickBot="1" x14ac:dyDescent="0.4">
      <c r="A187" s="92"/>
    </row>
    <row r="188" spans="1:1" ht="9.9499999999999993" customHeight="1" thickBot="1" x14ac:dyDescent="0.4">
      <c r="A188" s="92"/>
    </row>
    <row r="189" spans="1:1" ht="9.9499999999999993" customHeight="1" thickBot="1" x14ac:dyDescent="0.4">
      <c r="A189" s="92"/>
    </row>
    <row r="190" spans="1:1" ht="9.9499999999999993" customHeight="1" thickBot="1" x14ac:dyDescent="0.4">
      <c r="A190" s="92"/>
    </row>
    <row r="191" spans="1:1" ht="9.9499999999999993" customHeight="1" thickBot="1" x14ac:dyDescent="0.4">
      <c r="A191" s="92"/>
    </row>
    <row r="192" spans="1:1" ht="9.9499999999999993" customHeight="1" thickBot="1" x14ac:dyDescent="0.4">
      <c r="A192" s="92"/>
    </row>
    <row r="193" spans="1:72" ht="9.9499999999999993" customHeight="1" thickBot="1" x14ac:dyDescent="0.4">
      <c r="A193" s="92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dall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2021-04-12T13:16:14Z</dcterms:modified>
</cp:coreProperties>
</file>