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6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Расчеты\"/>
    </mc:Choice>
  </mc:AlternateContent>
  <xr:revisionPtr revIDLastSave="0" documentId="13_ncr:11_{1D394DC7-2D70-441D-94C0-41BA997401C2}" xr6:coauthVersionLast="46" xr6:coauthVersionMax="46" xr10:uidLastSave="{00000000-0000-0000-0000-000000000000}"/>
  <bookViews>
    <workbookView xWindow="28680" yWindow="-120" windowWidth="29040" windowHeight="15990" activeTab="7" xr2:uid="{0302BE19-1FF7-41F7-880F-6539212B9FEB}"/>
  </bookViews>
  <sheets>
    <sheet name="Values" sheetId="2" r:id="rId1"/>
    <sheet name="ALL" sheetId="4" r:id="rId2"/>
    <sheet name="dall" sheetId="16" r:id="rId3"/>
    <sheet name="FLUID" sheetId="11" r:id="rId4"/>
    <sheet name="SOLID" sheetId="12" r:id="rId5"/>
    <sheet name="dsolid" sheetId="15" r:id="rId6"/>
    <sheet name="Gibbs-EVAL" sheetId="8" r:id="rId7"/>
    <sheet name="Mass-EVAL" sheetId="14" r:id="rId8"/>
    <sheet name="data" sheetId="7" r:id="rId9"/>
  </sheets>
  <functionGroups builtInGroupCount="19"/>
  <definedNames>
    <definedName name="H.Ar" localSheetId="1">ALL!$F$34:$AL$34</definedName>
    <definedName name="H.Ar" localSheetId="3">FLUID!$F$34:$AL$34</definedName>
    <definedName name="H.Ar" localSheetId="4">SOLID!$F$34:$AL$34</definedName>
    <definedName name="H.Ga" localSheetId="1">ALL!$F$35:$AL$35</definedName>
    <definedName name="H.Ga" localSheetId="3">FLUID!$F$35:$AL$35</definedName>
    <definedName name="H.Ga" localSheetId="4">SOLID!$F$35:$AL$35</definedName>
    <definedName name="H.Ge" localSheetId="1">ALL!$F$36:$AL$36</definedName>
    <definedName name="H.Ge" localSheetId="3">FLUID!$F$36:$AL$36</definedName>
    <definedName name="H.Ge" localSheetId="4">SOLID!$F$36:$AL$36</definedName>
    <definedName name="H.Se" localSheetId="1">ALL!$F$37:$AL$37</definedName>
    <definedName name="H.Se" localSheetId="3">FLUID!$F$37:$AL$37</definedName>
    <definedName name="H.Se" localSheetId="4">SOLID!$F$37:$AL$37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4" l="1"/>
  <c r="D2" i="14"/>
  <c r="E2" i="14"/>
  <c r="F2" i="14"/>
  <c r="G2" i="14"/>
  <c r="H2" i="14"/>
  <c r="I2" i="14"/>
  <c r="J2" i="14"/>
  <c r="K2" i="14"/>
  <c r="L2" i="14"/>
  <c r="M2" i="14"/>
  <c r="N2" i="14"/>
  <c r="O2" i="14"/>
  <c r="P2" i="14"/>
  <c r="Q2" i="14"/>
  <c r="R2" i="14"/>
  <c r="S2" i="14"/>
  <c r="T2" i="14"/>
  <c r="U2" i="14"/>
  <c r="V2" i="14"/>
  <c r="W2" i="14"/>
  <c r="X2" i="14"/>
  <c r="Y2" i="14"/>
  <c r="Z2" i="14"/>
  <c r="AA2" i="14"/>
  <c r="AB2" i="14"/>
  <c r="AC2" i="14"/>
  <c r="AD2" i="14"/>
  <c r="AE2" i="14"/>
  <c r="AF2" i="14"/>
  <c r="AG2" i="14"/>
  <c r="AH2" i="14"/>
  <c r="AI2" i="14"/>
  <c r="AJ2" i="14"/>
  <c r="AK2" i="14"/>
  <c r="AL2" i="14"/>
  <c r="AM2" i="14"/>
  <c r="AN2" i="14"/>
  <c r="AO2" i="14"/>
  <c r="AP2" i="14"/>
  <c r="AQ2" i="14"/>
  <c r="AR2" i="14"/>
  <c r="AS2" i="14"/>
  <c r="AT2" i="14"/>
  <c r="AU2" i="14"/>
  <c r="AV2" i="14"/>
  <c r="AW2" i="14"/>
  <c r="AX2" i="14"/>
  <c r="AY2" i="14"/>
  <c r="AZ2" i="14"/>
  <c r="BA2" i="14"/>
  <c r="BB2" i="14"/>
  <c r="BC2" i="14"/>
  <c r="BD2" i="14"/>
  <c r="BE2" i="14"/>
  <c r="BF2" i="14"/>
  <c r="BG2" i="14"/>
  <c r="BH2" i="14"/>
  <c r="BI2" i="14"/>
  <c r="BJ2" i="14"/>
  <c r="BK2" i="14"/>
  <c r="BL2" i="14"/>
  <c r="BM2" i="14"/>
  <c r="BN2" i="14"/>
  <c r="BO2" i="14"/>
  <c r="BP2" i="14"/>
  <c r="BQ2" i="14"/>
  <c r="BR2" i="14"/>
  <c r="BS2" i="14"/>
  <c r="BT2" i="14"/>
  <c r="C3" i="14"/>
  <c r="D3" i="14"/>
  <c r="E3" i="14"/>
  <c r="F3" i="14"/>
  <c r="G3" i="14"/>
  <c r="H3" i="14"/>
  <c r="I3" i="14"/>
  <c r="J3" i="14"/>
  <c r="K3" i="14"/>
  <c r="L3" i="14"/>
  <c r="M3" i="14"/>
  <c r="N3" i="14"/>
  <c r="O3" i="14"/>
  <c r="P3" i="14"/>
  <c r="Q3" i="14"/>
  <c r="R3" i="14"/>
  <c r="S3" i="14"/>
  <c r="T3" i="14"/>
  <c r="U3" i="14"/>
  <c r="V3" i="14"/>
  <c r="W3" i="14"/>
  <c r="X3" i="14"/>
  <c r="Y3" i="14"/>
  <c r="Z3" i="14"/>
  <c r="AA3" i="14"/>
  <c r="AB3" i="14"/>
  <c r="AC3" i="14"/>
  <c r="AD3" i="14"/>
  <c r="AE3" i="14"/>
  <c r="AF3" i="14"/>
  <c r="AG3" i="14"/>
  <c r="AH3" i="14"/>
  <c r="AI3" i="14"/>
  <c r="AJ3" i="14"/>
  <c r="AK3" i="14"/>
  <c r="AL3" i="14"/>
  <c r="AM3" i="14"/>
  <c r="AN3" i="14"/>
  <c r="AO3" i="14"/>
  <c r="AP3" i="14"/>
  <c r="AQ3" i="14"/>
  <c r="AR3" i="14"/>
  <c r="AS3" i="14"/>
  <c r="AT3" i="14"/>
  <c r="AU3" i="14"/>
  <c r="AV3" i="14"/>
  <c r="AW3" i="14"/>
  <c r="AX3" i="14"/>
  <c r="AY3" i="14"/>
  <c r="AZ3" i="14"/>
  <c r="BA3" i="14"/>
  <c r="BB3" i="14"/>
  <c r="BC3" i="14"/>
  <c r="BD3" i="14"/>
  <c r="BE3" i="14"/>
  <c r="BF3" i="14"/>
  <c r="BG3" i="14"/>
  <c r="BH3" i="14"/>
  <c r="BI3" i="14"/>
  <c r="BJ3" i="14"/>
  <c r="BK3" i="14"/>
  <c r="BL3" i="14"/>
  <c r="BM3" i="14"/>
  <c r="BN3" i="14"/>
  <c r="BO3" i="14"/>
  <c r="BP3" i="14"/>
  <c r="BQ3" i="14"/>
  <c r="BR3" i="14"/>
  <c r="BS3" i="14"/>
  <c r="BT3" i="14"/>
  <c r="C4" i="14"/>
  <c r="D4" i="14"/>
  <c r="E4" i="14"/>
  <c r="F4" i="14"/>
  <c r="G4" i="14"/>
  <c r="H4" i="14"/>
  <c r="I4" i="14"/>
  <c r="J4" i="14"/>
  <c r="K4" i="14"/>
  <c r="L4" i="14"/>
  <c r="M4" i="14"/>
  <c r="N4" i="14"/>
  <c r="O4" i="14"/>
  <c r="P4" i="14"/>
  <c r="Q4" i="14"/>
  <c r="R4" i="14"/>
  <c r="S4" i="14"/>
  <c r="T4" i="14"/>
  <c r="U4" i="14"/>
  <c r="V4" i="14"/>
  <c r="W4" i="14"/>
  <c r="X4" i="14"/>
  <c r="Y4" i="14"/>
  <c r="Z4" i="14"/>
  <c r="AA4" i="14"/>
  <c r="AB4" i="14"/>
  <c r="AC4" i="14"/>
  <c r="AD4" i="14"/>
  <c r="AE4" i="14"/>
  <c r="AF4" i="14"/>
  <c r="AG4" i="14"/>
  <c r="AH4" i="14"/>
  <c r="AI4" i="14"/>
  <c r="AJ4" i="14"/>
  <c r="AK4" i="14"/>
  <c r="AL4" i="14"/>
  <c r="AM4" i="14"/>
  <c r="AN4" i="14"/>
  <c r="AO4" i="14"/>
  <c r="AP4" i="14"/>
  <c r="AQ4" i="14"/>
  <c r="AR4" i="14"/>
  <c r="AS4" i="14"/>
  <c r="AT4" i="14"/>
  <c r="AU4" i="14"/>
  <c r="AV4" i="14"/>
  <c r="AW4" i="14"/>
  <c r="AX4" i="14"/>
  <c r="AY4" i="14"/>
  <c r="AZ4" i="14"/>
  <c r="BA4" i="14"/>
  <c r="BB4" i="14"/>
  <c r="BC4" i="14"/>
  <c r="BD4" i="14"/>
  <c r="BE4" i="14"/>
  <c r="BF4" i="14"/>
  <c r="BG4" i="14"/>
  <c r="BH4" i="14"/>
  <c r="BI4" i="14"/>
  <c r="BJ4" i="14"/>
  <c r="BK4" i="14"/>
  <c r="BL4" i="14"/>
  <c r="BM4" i="14"/>
  <c r="BN4" i="14"/>
  <c r="BO4" i="14"/>
  <c r="BP4" i="14"/>
  <c r="BQ4" i="14"/>
  <c r="BR4" i="14"/>
  <c r="BS4" i="14"/>
  <c r="BT4" i="14"/>
  <c r="C5" i="14"/>
  <c r="D5" i="14"/>
  <c r="E5" i="14"/>
  <c r="F5" i="14"/>
  <c r="G5" i="14"/>
  <c r="H5" i="14"/>
  <c r="I5" i="14"/>
  <c r="J5" i="14"/>
  <c r="K5" i="14"/>
  <c r="L5" i="14"/>
  <c r="M5" i="14"/>
  <c r="N5" i="14"/>
  <c r="O5" i="14"/>
  <c r="P5" i="14"/>
  <c r="Q5" i="14"/>
  <c r="R5" i="14"/>
  <c r="S5" i="14"/>
  <c r="T5" i="14"/>
  <c r="U5" i="14"/>
  <c r="V5" i="14"/>
  <c r="W5" i="14"/>
  <c r="X5" i="14"/>
  <c r="Y5" i="14"/>
  <c r="Z5" i="14"/>
  <c r="AA5" i="14"/>
  <c r="AB5" i="14"/>
  <c r="AC5" i="14"/>
  <c r="AD5" i="14"/>
  <c r="AE5" i="14"/>
  <c r="AF5" i="14"/>
  <c r="AG5" i="14"/>
  <c r="AH5" i="14"/>
  <c r="AI5" i="14"/>
  <c r="AJ5" i="14"/>
  <c r="AK5" i="14"/>
  <c r="AL5" i="14"/>
  <c r="AM5" i="14"/>
  <c r="AN5" i="14"/>
  <c r="AO5" i="14"/>
  <c r="AP5" i="14"/>
  <c r="AQ5" i="14"/>
  <c r="AR5" i="14"/>
  <c r="AS5" i="14"/>
  <c r="AT5" i="14"/>
  <c r="AU5" i="14"/>
  <c r="AV5" i="14"/>
  <c r="AW5" i="14"/>
  <c r="AX5" i="14"/>
  <c r="AY5" i="14"/>
  <c r="AZ5" i="14"/>
  <c r="BA5" i="14"/>
  <c r="BB5" i="14"/>
  <c r="BC5" i="14"/>
  <c r="BD5" i="14"/>
  <c r="BE5" i="14"/>
  <c r="BF5" i="14"/>
  <c r="BG5" i="14"/>
  <c r="BH5" i="14"/>
  <c r="BI5" i="14"/>
  <c r="BJ5" i="14"/>
  <c r="BK5" i="14"/>
  <c r="BL5" i="14"/>
  <c r="BM5" i="14"/>
  <c r="BN5" i="14"/>
  <c r="BO5" i="14"/>
  <c r="BP5" i="14"/>
  <c r="BQ5" i="14"/>
  <c r="BR5" i="14"/>
  <c r="BS5" i="14"/>
  <c r="BT5" i="14"/>
  <c r="C6" i="14"/>
  <c r="D6" i="14"/>
  <c r="E6" i="14"/>
  <c r="F6" i="14"/>
  <c r="G6" i="14"/>
  <c r="H6" i="14"/>
  <c r="I6" i="14"/>
  <c r="J6" i="14"/>
  <c r="K6" i="14"/>
  <c r="L6" i="14"/>
  <c r="M6" i="14"/>
  <c r="N6" i="14"/>
  <c r="O6" i="14"/>
  <c r="P6" i="14"/>
  <c r="Q6" i="14"/>
  <c r="R6" i="14"/>
  <c r="S6" i="14"/>
  <c r="T6" i="14"/>
  <c r="U6" i="14"/>
  <c r="V6" i="14"/>
  <c r="W6" i="14"/>
  <c r="X6" i="14"/>
  <c r="Y6" i="14"/>
  <c r="Z6" i="14"/>
  <c r="AA6" i="14"/>
  <c r="AB6" i="14"/>
  <c r="AC6" i="14"/>
  <c r="AD6" i="14"/>
  <c r="AE6" i="14"/>
  <c r="AF6" i="14"/>
  <c r="AG6" i="14"/>
  <c r="AH6" i="14"/>
  <c r="AI6" i="14"/>
  <c r="AJ6" i="14"/>
  <c r="AK6" i="14"/>
  <c r="AL6" i="14"/>
  <c r="AM6" i="14"/>
  <c r="AN6" i="14"/>
  <c r="AO6" i="14"/>
  <c r="AP6" i="14"/>
  <c r="AQ6" i="14"/>
  <c r="AR6" i="14"/>
  <c r="AS6" i="14"/>
  <c r="AT6" i="14"/>
  <c r="AU6" i="14"/>
  <c r="AV6" i="14"/>
  <c r="AW6" i="14"/>
  <c r="AX6" i="14"/>
  <c r="AY6" i="14"/>
  <c r="AZ6" i="14"/>
  <c r="BA6" i="14"/>
  <c r="BB6" i="14"/>
  <c r="BC6" i="14"/>
  <c r="BD6" i="14"/>
  <c r="BE6" i="14"/>
  <c r="BF6" i="14"/>
  <c r="BG6" i="14"/>
  <c r="BH6" i="14"/>
  <c r="BI6" i="14"/>
  <c r="BJ6" i="14"/>
  <c r="BK6" i="14"/>
  <c r="BL6" i="14"/>
  <c r="BM6" i="14"/>
  <c r="BN6" i="14"/>
  <c r="BO6" i="14"/>
  <c r="BP6" i="14"/>
  <c r="BQ6" i="14"/>
  <c r="BR6" i="14"/>
  <c r="BS6" i="14"/>
  <c r="BT6" i="14"/>
  <c r="C7" i="14"/>
  <c r="D7" i="14"/>
  <c r="E7" i="14"/>
  <c r="F7" i="14"/>
  <c r="G7" i="14"/>
  <c r="H7" i="14"/>
  <c r="I7" i="14"/>
  <c r="J7" i="14"/>
  <c r="K7" i="14"/>
  <c r="L7" i="14"/>
  <c r="M7" i="14"/>
  <c r="N7" i="14"/>
  <c r="O7" i="14"/>
  <c r="P7" i="14"/>
  <c r="Q7" i="14"/>
  <c r="R7" i="14"/>
  <c r="S7" i="14"/>
  <c r="T7" i="14"/>
  <c r="U7" i="14"/>
  <c r="V7" i="14"/>
  <c r="W7" i="14"/>
  <c r="X7" i="14"/>
  <c r="Y7" i="14"/>
  <c r="Z7" i="14"/>
  <c r="AA7" i="14"/>
  <c r="AB7" i="14"/>
  <c r="AC7" i="14"/>
  <c r="AD7" i="14"/>
  <c r="AE7" i="14"/>
  <c r="AF7" i="14"/>
  <c r="AG7" i="14"/>
  <c r="AH7" i="14"/>
  <c r="AI7" i="14"/>
  <c r="AJ7" i="14"/>
  <c r="AK7" i="14"/>
  <c r="AL7" i="14"/>
  <c r="AM7" i="14"/>
  <c r="AN7" i="14"/>
  <c r="AO7" i="14"/>
  <c r="AP7" i="14"/>
  <c r="AQ7" i="14"/>
  <c r="AR7" i="14"/>
  <c r="AS7" i="14"/>
  <c r="AT7" i="14"/>
  <c r="AU7" i="14"/>
  <c r="AV7" i="14"/>
  <c r="AW7" i="14"/>
  <c r="AX7" i="14"/>
  <c r="AY7" i="14"/>
  <c r="AZ7" i="14"/>
  <c r="BA7" i="14"/>
  <c r="BB7" i="14"/>
  <c r="BC7" i="14"/>
  <c r="BD7" i="14"/>
  <c r="BE7" i="14"/>
  <c r="BF7" i="14"/>
  <c r="BG7" i="14"/>
  <c r="BH7" i="14"/>
  <c r="BI7" i="14"/>
  <c r="BJ7" i="14"/>
  <c r="BK7" i="14"/>
  <c r="BL7" i="14"/>
  <c r="BM7" i="14"/>
  <c r="BN7" i="14"/>
  <c r="BO7" i="14"/>
  <c r="BP7" i="14"/>
  <c r="BQ7" i="14"/>
  <c r="BR7" i="14"/>
  <c r="BS7" i="14"/>
  <c r="BT7" i="14"/>
  <c r="C8" i="14"/>
  <c r="D8" i="14"/>
  <c r="E8" i="14"/>
  <c r="F8" i="14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B8" i="14"/>
  <c r="AC8" i="14"/>
  <c r="AD8" i="14"/>
  <c r="AE8" i="14"/>
  <c r="AF8" i="14"/>
  <c r="AG8" i="14"/>
  <c r="AH8" i="14"/>
  <c r="AI8" i="14"/>
  <c r="AJ8" i="14"/>
  <c r="AK8" i="14"/>
  <c r="AL8" i="14"/>
  <c r="AM8" i="14"/>
  <c r="AN8" i="14"/>
  <c r="AO8" i="14"/>
  <c r="AP8" i="14"/>
  <c r="AQ8" i="14"/>
  <c r="AR8" i="14"/>
  <c r="AS8" i="14"/>
  <c r="AT8" i="14"/>
  <c r="AU8" i="14"/>
  <c r="AV8" i="14"/>
  <c r="AW8" i="14"/>
  <c r="AX8" i="14"/>
  <c r="AY8" i="14"/>
  <c r="AZ8" i="14"/>
  <c r="BA8" i="14"/>
  <c r="BB8" i="14"/>
  <c r="BC8" i="14"/>
  <c r="BD8" i="14"/>
  <c r="BE8" i="14"/>
  <c r="BF8" i="14"/>
  <c r="BG8" i="14"/>
  <c r="BH8" i="14"/>
  <c r="BI8" i="14"/>
  <c r="BJ8" i="14"/>
  <c r="BK8" i="14"/>
  <c r="BL8" i="14"/>
  <c r="BM8" i="14"/>
  <c r="BN8" i="14"/>
  <c r="BO8" i="14"/>
  <c r="BP8" i="14"/>
  <c r="BQ8" i="14"/>
  <c r="BR8" i="14"/>
  <c r="BS8" i="14"/>
  <c r="BT8" i="14"/>
  <c r="C9" i="14"/>
  <c r="D9" i="14"/>
  <c r="E9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AC9" i="14"/>
  <c r="AD9" i="14"/>
  <c r="AE9" i="14"/>
  <c r="AF9" i="14"/>
  <c r="AG9" i="14"/>
  <c r="AH9" i="14"/>
  <c r="AI9" i="14"/>
  <c r="AJ9" i="14"/>
  <c r="AK9" i="14"/>
  <c r="AL9" i="14"/>
  <c r="AM9" i="14"/>
  <c r="AN9" i="14"/>
  <c r="AO9" i="14"/>
  <c r="AP9" i="14"/>
  <c r="AQ9" i="14"/>
  <c r="AR9" i="14"/>
  <c r="AS9" i="14"/>
  <c r="AT9" i="14"/>
  <c r="AU9" i="14"/>
  <c r="AV9" i="14"/>
  <c r="AW9" i="14"/>
  <c r="AX9" i="14"/>
  <c r="AY9" i="14"/>
  <c r="AZ9" i="14"/>
  <c r="BA9" i="14"/>
  <c r="BB9" i="14"/>
  <c r="BC9" i="14"/>
  <c r="BD9" i="14"/>
  <c r="BE9" i="14"/>
  <c r="BF9" i="14"/>
  <c r="BG9" i="14"/>
  <c r="BH9" i="14"/>
  <c r="BI9" i="14"/>
  <c r="BJ9" i="14"/>
  <c r="BK9" i="14"/>
  <c r="BL9" i="14"/>
  <c r="BM9" i="14"/>
  <c r="BN9" i="14"/>
  <c r="BO9" i="14"/>
  <c r="BP9" i="14"/>
  <c r="BQ9" i="14"/>
  <c r="BR9" i="14"/>
  <c r="BS9" i="14"/>
  <c r="BT9" i="14"/>
  <c r="C10" i="14"/>
  <c r="D10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AC10" i="14"/>
  <c r="AD10" i="14"/>
  <c r="AE10" i="14"/>
  <c r="AF10" i="14"/>
  <c r="AG10" i="14"/>
  <c r="AH10" i="14"/>
  <c r="AI10" i="14"/>
  <c r="AJ10" i="14"/>
  <c r="AK10" i="14"/>
  <c r="AL10" i="14"/>
  <c r="AM10" i="14"/>
  <c r="AN10" i="14"/>
  <c r="AO10" i="14"/>
  <c r="AP10" i="14"/>
  <c r="AQ10" i="14"/>
  <c r="AR10" i="14"/>
  <c r="AS10" i="14"/>
  <c r="AT10" i="14"/>
  <c r="AU10" i="14"/>
  <c r="AV10" i="14"/>
  <c r="AW10" i="14"/>
  <c r="AX10" i="14"/>
  <c r="AY10" i="14"/>
  <c r="AZ10" i="14"/>
  <c r="BA10" i="14"/>
  <c r="BB10" i="14"/>
  <c r="BC10" i="14"/>
  <c r="BD10" i="14"/>
  <c r="BE10" i="14"/>
  <c r="BF10" i="14"/>
  <c r="BG10" i="14"/>
  <c r="BH10" i="14"/>
  <c r="BI10" i="14"/>
  <c r="BJ10" i="14"/>
  <c r="BK10" i="14"/>
  <c r="BL10" i="14"/>
  <c r="BM10" i="14"/>
  <c r="BN10" i="14"/>
  <c r="BO10" i="14"/>
  <c r="BP10" i="14"/>
  <c r="BQ10" i="14"/>
  <c r="BR10" i="14"/>
  <c r="BS10" i="14"/>
  <c r="BT10" i="14"/>
  <c r="C11" i="14"/>
  <c r="D11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AC11" i="14"/>
  <c r="AD11" i="14"/>
  <c r="AE11" i="14"/>
  <c r="AF11" i="14"/>
  <c r="AG11" i="14"/>
  <c r="AH11" i="14"/>
  <c r="AI11" i="14"/>
  <c r="AJ11" i="14"/>
  <c r="AK11" i="14"/>
  <c r="AL11" i="14"/>
  <c r="AM11" i="14"/>
  <c r="AN11" i="14"/>
  <c r="AO11" i="14"/>
  <c r="AP11" i="14"/>
  <c r="AQ11" i="14"/>
  <c r="AR11" i="14"/>
  <c r="AS11" i="14"/>
  <c r="AT11" i="14"/>
  <c r="AU11" i="14"/>
  <c r="AV11" i="14"/>
  <c r="AW11" i="14"/>
  <c r="AX11" i="14"/>
  <c r="AY11" i="14"/>
  <c r="AZ11" i="14"/>
  <c r="BA11" i="14"/>
  <c r="BB11" i="14"/>
  <c r="BC11" i="14"/>
  <c r="BD11" i="14"/>
  <c r="BE11" i="14"/>
  <c r="BF11" i="14"/>
  <c r="BG11" i="14"/>
  <c r="BH11" i="14"/>
  <c r="BI11" i="14"/>
  <c r="BJ11" i="14"/>
  <c r="BK11" i="14"/>
  <c r="BL11" i="14"/>
  <c r="BM11" i="14"/>
  <c r="BN11" i="14"/>
  <c r="BO11" i="14"/>
  <c r="BP11" i="14"/>
  <c r="BQ11" i="14"/>
  <c r="BR11" i="14"/>
  <c r="BS11" i="14"/>
  <c r="BT11" i="14"/>
  <c r="C12" i="14"/>
  <c r="D12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AC12" i="14"/>
  <c r="AD12" i="14"/>
  <c r="AE12" i="14"/>
  <c r="AF12" i="14"/>
  <c r="AG12" i="14"/>
  <c r="AH12" i="14"/>
  <c r="AI12" i="14"/>
  <c r="AJ12" i="14"/>
  <c r="AK12" i="14"/>
  <c r="AL12" i="14"/>
  <c r="AM12" i="14"/>
  <c r="AN12" i="14"/>
  <c r="AO12" i="14"/>
  <c r="AP12" i="14"/>
  <c r="AQ12" i="14"/>
  <c r="AR12" i="14"/>
  <c r="AS12" i="14"/>
  <c r="AT12" i="14"/>
  <c r="AU12" i="14"/>
  <c r="AV12" i="14"/>
  <c r="AW12" i="14"/>
  <c r="AX12" i="14"/>
  <c r="AY12" i="14"/>
  <c r="AZ12" i="14"/>
  <c r="BA12" i="14"/>
  <c r="BB12" i="14"/>
  <c r="BC12" i="14"/>
  <c r="BD12" i="14"/>
  <c r="BE12" i="14"/>
  <c r="BF12" i="14"/>
  <c r="BG12" i="14"/>
  <c r="BH12" i="14"/>
  <c r="BI12" i="14"/>
  <c r="BJ12" i="14"/>
  <c r="BK12" i="14"/>
  <c r="BL12" i="14"/>
  <c r="BM12" i="14"/>
  <c r="BN12" i="14"/>
  <c r="BO12" i="14"/>
  <c r="BP12" i="14"/>
  <c r="BQ12" i="14"/>
  <c r="BR12" i="14"/>
  <c r="BS12" i="14"/>
  <c r="BT12" i="14"/>
  <c r="C13" i="14"/>
  <c r="D13" i="14"/>
  <c r="E13" i="14"/>
  <c r="F13" i="14"/>
  <c r="G13" i="14"/>
  <c r="H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B13" i="14"/>
  <c r="AC13" i="14"/>
  <c r="AD13" i="14"/>
  <c r="AE13" i="14"/>
  <c r="AF13" i="14"/>
  <c r="AG13" i="14"/>
  <c r="AH13" i="14"/>
  <c r="AI13" i="14"/>
  <c r="AJ13" i="14"/>
  <c r="AK13" i="14"/>
  <c r="AL13" i="14"/>
  <c r="AM13" i="14"/>
  <c r="AN13" i="14"/>
  <c r="AO13" i="14"/>
  <c r="AP13" i="14"/>
  <c r="AQ13" i="14"/>
  <c r="AR13" i="14"/>
  <c r="AS13" i="14"/>
  <c r="AT13" i="14"/>
  <c r="AU13" i="14"/>
  <c r="AV13" i="14"/>
  <c r="AW13" i="14"/>
  <c r="AX13" i="14"/>
  <c r="AY13" i="14"/>
  <c r="AZ13" i="14"/>
  <c r="BA13" i="14"/>
  <c r="BB13" i="14"/>
  <c r="BC13" i="14"/>
  <c r="BD13" i="14"/>
  <c r="BE13" i="14"/>
  <c r="BF13" i="14"/>
  <c r="BG13" i="14"/>
  <c r="BH13" i="14"/>
  <c r="BI13" i="14"/>
  <c r="BJ13" i="14"/>
  <c r="BK13" i="14"/>
  <c r="BL13" i="14"/>
  <c r="BM13" i="14"/>
  <c r="BN13" i="14"/>
  <c r="BO13" i="14"/>
  <c r="BP13" i="14"/>
  <c r="BQ13" i="14"/>
  <c r="BR13" i="14"/>
  <c r="BS13" i="14"/>
  <c r="BT13" i="14"/>
  <c r="C14" i="14"/>
  <c r="D14" i="14"/>
  <c r="E14" i="14"/>
  <c r="F14" i="14"/>
  <c r="G14" i="14"/>
  <c r="H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B14" i="14"/>
  <c r="AC14" i="14"/>
  <c r="AD14" i="14"/>
  <c r="AE14" i="14"/>
  <c r="AF14" i="14"/>
  <c r="AG14" i="14"/>
  <c r="AH14" i="14"/>
  <c r="AI14" i="14"/>
  <c r="AJ14" i="14"/>
  <c r="AK14" i="14"/>
  <c r="AL14" i="14"/>
  <c r="AM14" i="14"/>
  <c r="AN14" i="14"/>
  <c r="AO14" i="14"/>
  <c r="AP14" i="14"/>
  <c r="AQ14" i="14"/>
  <c r="AR14" i="14"/>
  <c r="AS14" i="14"/>
  <c r="AT14" i="14"/>
  <c r="AU14" i="14"/>
  <c r="AV14" i="14"/>
  <c r="AW14" i="14"/>
  <c r="AX14" i="14"/>
  <c r="AY14" i="14"/>
  <c r="AZ14" i="14"/>
  <c r="BA14" i="14"/>
  <c r="BB14" i="14"/>
  <c r="BC14" i="14"/>
  <c r="BD14" i="14"/>
  <c r="BE14" i="14"/>
  <c r="BF14" i="14"/>
  <c r="BG14" i="14"/>
  <c r="BH14" i="14"/>
  <c r="BI14" i="14"/>
  <c r="BJ14" i="14"/>
  <c r="BK14" i="14"/>
  <c r="BL14" i="14"/>
  <c r="BM14" i="14"/>
  <c r="BN14" i="14"/>
  <c r="BO14" i="14"/>
  <c r="BP14" i="14"/>
  <c r="BQ14" i="14"/>
  <c r="BR14" i="14"/>
  <c r="BS14" i="14"/>
  <c r="BT14" i="14"/>
  <c r="C15" i="14"/>
  <c r="D15" i="14"/>
  <c r="E15" i="14"/>
  <c r="F15" i="14"/>
  <c r="G15" i="14"/>
  <c r="H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B15" i="14"/>
  <c r="AC15" i="14"/>
  <c r="AD15" i="14"/>
  <c r="AE15" i="14"/>
  <c r="AF15" i="14"/>
  <c r="AG15" i="14"/>
  <c r="AH15" i="14"/>
  <c r="AI15" i="14"/>
  <c r="AJ15" i="14"/>
  <c r="AK15" i="14"/>
  <c r="AL15" i="14"/>
  <c r="AM15" i="14"/>
  <c r="AN15" i="14"/>
  <c r="AO15" i="14"/>
  <c r="AP15" i="14"/>
  <c r="AQ15" i="14"/>
  <c r="AR15" i="14"/>
  <c r="AS15" i="14"/>
  <c r="AT15" i="14"/>
  <c r="AU15" i="14"/>
  <c r="AV15" i="14"/>
  <c r="AW15" i="14"/>
  <c r="AX15" i="14"/>
  <c r="AY15" i="14"/>
  <c r="AZ15" i="14"/>
  <c r="BA15" i="14"/>
  <c r="BB15" i="14"/>
  <c r="BC15" i="14"/>
  <c r="BD15" i="14"/>
  <c r="BE15" i="14"/>
  <c r="BF15" i="14"/>
  <c r="BG15" i="14"/>
  <c r="BH15" i="14"/>
  <c r="BI15" i="14"/>
  <c r="BJ15" i="14"/>
  <c r="BK15" i="14"/>
  <c r="BL15" i="14"/>
  <c r="BM15" i="14"/>
  <c r="BN15" i="14"/>
  <c r="BO15" i="14"/>
  <c r="BP15" i="14"/>
  <c r="BQ15" i="14"/>
  <c r="BR15" i="14"/>
  <c r="BS15" i="14"/>
  <c r="BT15" i="14"/>
  <c r="C16" i="14"/>
  <c r="D16" i="14"/>
  <c r="E16" i="14"/>
  <c r="F16" i="14"/>
  <c r="G16" i="14"/>
  <c r="H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B16" i="14"/>
  <c r="AC16" i="14"/>
  <c r="AD16" i="14"/>
  <c r="AE16" i="14"/>
  <c r="AF16" i="14"/>
  <c r="AG16" i="14"/>
  <c r="AH16" i="14"/>
  <c r="AI16" i="14"/>
  <c r="AJ16" i="14"/>
  <c r="AK16" i="14"/>
  <c r="AL16" i="14"/>
  <c r="AM16" i="14"/>
  <c r="AN16" i="14"/>
  <c r="AO16" i="14"/>
  <c r="AP16" i="14"/>
  <c r="AQ16" i="14"/>
  <c r="AR16" i="14"/>
  <c r="AS16" i="14"/>
  <c r="AT16" i="14"/>
  <c r="AU16" i="14"/>
  <c r="AV16" i="14"/>
  <c r="AW16" i="14"/>
  <c r="AX16" i="14"/>
  <c r="AY16" i="14"/>
  <c r="AZ16" i="14"/>
  <c r="BA16" i="14"/>
  <c r="BB16" i="14"/>
  <c r="BC16" i="14"/>
  <c r="BD16" i="14"/>
  <c r="BE16" i="14"/>
  <c r="BF16" i="14"/>
  <c r="BG16" i="14"/>
  <c r="BH16" i="14"/>
  <c r="BI16" i="14"/>
  <c r="BJ16" i="14"/>
  <c r="BK16" i="14"/>
  <c r="BL16" i="14"/>
  <c r="BM16" i="14"/>
  <c r="BN16" i="14"/>
  <c r="BO16" i="14"/>
  <c r="BP16" i="14"/>
  <c r="BQ16" i="14"/>
  <c r="BR16" i="14"/>
  <c r="BS16" i="14"/>
  <c r="BT16" i="14"/>
  <c r="C17" i="14"/>
  <c r="D17" i="14"/>
  <c r="E17" i="14"/>
  <c r="F17" i="14"/>
  <c r="G17" i="14"/>
  <c r="H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B17" i="14"/>
  <c r="AC17" i="14"/>
  <c r="AD17" i="14"/>
  <c r="AE17" i="14"/>
  <c r="AF17" i="14"/>
  <c r="AG17" i="14"/>
  <c r="AH17" i="14"/>
  <c r="AI17" i="14"/>
  <c r="AJ17" i="14"/>
  <c r="AK17" i="14"/>
  <c r="AL17" i="14"/>
  <c r="AM17" i="14"/>
  <c r="AN17" i="14"/>
  <c r="AO17" i="14"/>
  <c r="AP17" i="14"/>
  <c r="AQ17" i="14"/>
  <c r="AR17" i="14"/>
  <c r="AS17" i="14"/>
  <c r="AT17" i="14"/>
  <c r="AU17" i="14"/>
  <c r="AV17" i="14"/>
  <c r="AW17" i="14"/>
  <c r="AX17" i="14"/>
  <c r="AY17" i="14"/>
  <c r="AZ17" i="14"/>
  <c r="BA17" i="14"/>
  <c r="BB17" i="14"/>
  <c r="BC17" i="14"/>
  <c r="BD17" i="14"/>
  <c r="BE17" i="14"/>
  <c r="BF17" i="14"/>
  <c r="BG17" i="14"/>
  <c r="BH17" i="14"/>
  <c r="BI17" i="14"/>
  <c r="BJ17" i="14"/>
  <c r="BK17" i="14"/>
  <c r="BL17" i="14"/>
  <c r="BM17" i="14"/>
  <c r="BN17" i="14"/>
  <c r="BO17" i="14"/>
  <c r="BP17" i="14"/>
  <c r="BQ17" i="14"/>
  <c r="BR17" i="14"/>
  <c r="BS17" i="14"/>
  <c r="BT17" i="14"/>
  <c r="C18" i="14"/>
  <c r="D18" i="14"/>
  <c r="E18" i="14"/>
  <c r="F18" i="14"/>
  <c r="G18" i="14"/>
  <c r="H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B18" i="14"/>
  <c r="AC18" i="14"/>
  <c r="AD18" i="14"/>
  <c r="AE18" i="14"/>
  <c r="AF18" i="14"/>
  <c r="AG18" i="14"/>
  <c r="AH18" i="14"/>
  <c r="AI18" i="14"/>
  <c r="AJ18" i="14"/>
  <c r="AK18" i="14"/>
  <c r="AL18" i="14"/>
  <c r="AM18" i="14"/>
  <c r="AN18" i="14"/>
  <c r="AO18" i="14"/>
  <c r="AP18" i="14"/>
  <c r="AQ18" i="14"/>
  <c r="AR18" i="14"/>
  <c r="AS18" i="14"/>
  <c r="AT18" i="14"/>
  <c r="AU18" i="14"/>
  <c r="AV18" i="14"/>
  <c r="AW18" i="14"/>
  <c r="AX18" i="14"/>
  <c r="AY18" i="14"/>
  <c r="AZ18" i="14"/>
  <c r="BA18" i="14"/>
  <c r="BB18" i="14"/>
  <c r="BC18" i="14"/>
  <c r="BD18" i="14"/>
  <c r="BE18" i="14"/>
  <c r="BF18" i="14"/>
  <c r="BG18" i="14"/>
  <c r="BH18" i="14"/>
  <c r="BI18" i="14"/>
  <c r="BJ18" i="14"/>
  <c r="BK18" i="14"/>
  <c r="BL18" i="14"/>
  <c r="BM18" i="14"/>
  <c r="BN18" i="14"/>
  <c r="BO18" i="14"/>
  <c r="BP18" i="14"/>
  <c r="BQ18" i="14"/>
  <c r="BR18" i="14"/>
  <c r="BS18" i="14"/>
  <c r="BT18" i="14"/>
  <c r="C19" i="14"/>
  <c r="D19" i="14"/>
  <c r="E19" i="14"/>
  <c r="F19" i="14"/>
  <c r="G19" i="14"/>
  <c r="H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B19" i="14"/>
  <c r="AC19" i="14"/>
  <c r="AD19" i="14"/>
  <c r="AE19" i="14"/>
  <c r="AF19" i="14"/>
  <c r="AG19" i="14"/>
  <c r="AH19" i="14"/>
  <c r="AI19" i="14"/>
  <c r="AJ19" i="14"/>
  <c r="AK19" i="14"/>
  <c r="AL19" i="14"/>
  <c r="AM19" i="14"/>
  <c r="AN19" i="14"/>
  <c r="AO19" i="14"/>
  <c r="AP19" i="14"/>
  <c r="AQ19" i="14"/>
  <c r="AR19" i="14"/>
  <c r="AS19" i="14"/>
  <c r="AT19" i="14"/>
  <c r="AU19" i="14"/>
  <c r="AV19" i="14"/>
  <c r="AW19" i="14"/>
  <c r="AX19" i="14"/>
  <c r="AY19" i="14"/>
  <c r="AZ19" i="14"/>
  <c r="BA19" i="14"/>
  <c r="BB19" i="14"/>
  <c r="BC19" i="14"/>
  <c r="BD19" i="14"/>
  <c r="BE19" i="14"/>
  <c r="BF19" i="14"/>
  <c r="BG19" i="14"/>
  <c r="BH19" i="14"/>
  <c r="BI19" i="14"/>
  <c r="BJ19" i="14"/>
  <c r="BK19" i="14"/>
  <c r="BL19" i="14"/>
  <c r="BM19" i="14"/>
  <c r="BN19" i="14"/>
  <c r="BO19" i="14"/>
  <c r="BP19" i="14"/>
  <c r="BQ19" i="14"/>
  <c r="BR19" i="14"/>
  <c r="BS19" i="14"/>
  <c r="BT19" i="14"/>
  <c r="C20" i="14"/>
  <c r="D20" i="14"/>
  <c r="E20" i="14"/>
  <c r="F20" i="14"/>
  <c r="G20" i="14"/>
  <c r="H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B20" i="14"/>
  <c r="AC20" i="14"/>
  <c r="AD20" i="14"/>
  <c r="AE20" i="14"/>
  <c r="AF20" i="14"/>
  <c r="AG20" i="14"/>
  <c r="AH20" i="14"/>
  <c r="AI20" i="14"/>
  <c r="AJ20" i="14"/>
  <c r="AK20" i="14"/>
  <c r="AL20" i="14"/>
  <c r="AM20" i="14"/>
  <c r="AN20" i="14"/>
  <c r="AO20" i="14"/>
  <c r="AP20" i="14"/>
  <c r="AQ20" i="14"/>
  <c r="AR20" i="14"/>
  <c r="AS20" i="14"/>
  <c r="AT20" i="14"/>
  <c r="AU20" i="14"/>
  <c r="AV20" i="14"/>
  <c r="AW20" i="14"/>
  <c r="AX20" i="14"/>
  <c r="AY20" i="14"/>
  <c r="AZ20" i="14"/>
  <c r="BA20" i="14"/>
  <c r="BB20" i="14"/>
  <c r="BC20" i="14"/>
  <c r="BD20" i="14"/>
  <c r="BE20" i="14"/>
  <c r="BF20" i="14"/>
  <c r="BG20" i="14"/>
  <c r="BH20" i="14"/>
  <c r="BI20" i="14"/>
  <c r="BJ20" i="14"/>
  <c r="BK20" i="14"/>
  <c r="BL20" i="14"/>
  <c r="BM20" i="14"/>
  <c r="BN20" i="14"/>
  <c r="BO20" i="14"/>
  <c r="BP20" i="14"/>
  <c r="BQ20" i="14"/>
  <c r="BR20" i="14"/>
  <c r="BS20" i="14"/>
  <c r="BT20" i="14"/>
  <c r="C21" i="14"/>
  <c r="D21" i="14"/>
  <c r="E21" i="14"/>
  <c r="F21" i="14"/>
  <c r="G21" i="14"/>
  <c r="H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B21" i="14"/>
  <c r="AC21" i="14"/>
  <c r="AD21" i="14"/>
  <c r="AE21" i="14"/>
  <c r="AF21" i="14"/>
  <c r="AG21" i="14"/>
  <c r="AH21" i="14"/>
  <c r="AI21" i="14"/>
  <c r="AJ21" i="14"/>
  <c r="AK21" i="14"/>
  <c r="AL21" i="14"/>
  <c r="AM21" i="14"/>
  <c r="AN21" i="14"/>
  <c r="AO21" i="14"/>
  <c r="AP21" i="14"/>
  <c r="AQ21" i="14"/>
  <c r="AR21" i="14"/>
  <c r="AS21" i="14"/>
  <c r="AT21" i="14"/>
  <c r="AU21" i="14"/>
  <c r="AV21" i="14"/>
  <c r="AW21" i="14"/>
  <c r="AX21" i="14"/>
  <c r="AY21" i="14"/>
  <c r="AZ21" i="14"/>
  <c r="BA21" i="14"/>
  <c r="BB21" i="14"/>
  <c r="BC21" i="14"/>
  <c r="BD21" i="14"/>
  <c r="BE21" i="14"/>
  <c r="BF21" i="14"/>
  <c r="BG21" i="14"/>
  <c r="BH21" i="14"/>
  <c r="BI21" i="14"/>
  <c r="BJ21" i="14"/>
  <c r="BK21" i="14"/>
  <c r="BL21" i="14"/>
  <c r="BM21" i="14"/>
  <c r="BN21" i="14"/>
  <c r="BO21" i="14"/>
  <c r="BP21" i="14"/>
  <c r="BQ21" i="14"/>
  <c r="BR21" i="14"/>
  <c r="BS21" i="14"/>
  <c r="BT21" i="14"/>
  <c r="C22" i="14"/>
  <c r="D22" i="14"/>
  <c r="E22" i="14"/>
  <c r="F22" i="14"/>
  <c r="G22" i="14"/>
  <c r="H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B22" i="14"/>
  <c r="AC22" i="14"/>
  <c r="AD22" i="14"/>
  <c r="AE22" i="14"/>
  <c r="AF22" i="14"/>
  <c r="AG22" i="14"/>
  <c r="AH22" i="14"/>
  <c r="AI22" i="14"/>
  <c r="AJ22" i="14"/>
  <c r="AK22" i="14"/>
  <c r="AL22" i="14"/>
  <c r="AM22" i="14"/>
  <c r="AN22" i="14"/>
  <c r="AO22" i="14"/>
  <c r="AP22" i="14"/>
  <c r="AQ22" i="14"/>
  <c r="AR22" i="14"/>
  <c r="AS22" i="14"/>
  <c r="AT22" i="14"/>
  <c r="AU22" i="14"/>
  <c r="AV22" i="14"/>
  <c r="AW22" i="14"/>
  <c r="AX22" i="14"/>
  <c r="AY22" i="14"/>
  <c r="AZ22" i="14"/>
  <c r="BA22" i="14"/>
  <c r="BB22" i="14"/>
  <c r="BC22" i="14"/>
  <c r="BD22" i="14"/>
  <c r="BE22" i="14"/>
  <c r="BF22" i="14"/>
  <c r="BG22" i="14"/>
  <c r="BH22" i="14"/>
  <c r="BI22" i="14"/>
  <c r="BJ22" i="14"/>
  <c r="BK22" i="14"/>
  <c r="BL22" i="14"/>
  <c r="BM22" i="14"/>
  <c r="BN22" i="14"/>
  <c r="BO22" i="14"/>
  <c r="BP22" i="14"/>
  <c r="BQ22" i="14"/>
  <c r="BR22" i="14"/>
  <c r="BS22" i="14"/>
  <c r="BT22" i="14"/>
  <c r="C23" i="14"/>
  <c r="D23" i="14"/>
  <c r="E23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AC23" i="14"/>
  <c r="AD23" i="14"/>
  <c r="AE23" i="14"/>
  <c r="AF23" i="14"/>
  <c r="AG23" i="14"/>
  <c r="AH23" i="14"/>
  <c r="AI23" i="14"/>
  <c r="AJ23" i="14"/>
  <c r="AK23" i="14"/>
  <c r="AL23" i="14"/>
  <c r="AM23" i="14"/>
  <c r="AN23" i="14"/>
  <c r="AO23" i="14"/>
  <c r="AP23" i="14"/>
  <c r="AQ23" i="14"/>
  <c r="AR23" i="14"/>
  <c r="AS23" i="14"/>
  <c r="AT23" i="14"/>
  <c r="AU23" i="14"/>
  <c r="AV23" i="14"/>
  <c r="AW23" i="14"/>
  <c r="AX23" i="14"/>
  <c r="AY23" i="14"/>
  <c r="AZ23" i="14"/>
  <c r="BA23" i="14"/>
  <c r="BB23" i="14"/>
  <c r="BC23" i="14"/>
  <c r="BD23" i="14"/>
  <c r="BE23" i="14"/>
  <c r="BF23" i="14"/>
  <c r="BG23" i="14"/>
  <c r="BH23" i="14"/>
  <c r="BI23" i="14"/>
  <c r="BJ23" i="14"/>
  <c r="BK23" i="14"/>
  <c r="BL23" i="14"/>
  <c r="BM23" i="14"/>
  <c r="BN23" i="14"/>
  <c r="BO23" i="14"/>
  <c r="BP23" i="14"/>
  <c r="BQ23" i="14"/>
  <c r="BR23" i="14"/>
  <c r="BS23" i="14"/>
  <c r="BT23" i="14"/>
  <c r="C24" i="14"/>
  <c r="D24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AC24" i="14"/>
  <c r="AD24" i="14"/>
  <c r="AE24" i="14"/>
  <c r="AF24" i="14"/>
  <c r="AG24" i="14"/>
  <c r="AH24" i="14"/>
  <c r="AI24" i="14"/>
  <c r="AJ24" i="14"/>
  <c r="AK24" i="14"/>
  <c r="AL24" i="14"/>
  <c r="AM24" i="14"/>
  <c r="AN24" i="14"/>
  <c r="AO24" i="14"/>
  <c r="AP24" i="14"/>
  <c r="AQ24" i="14"/>
  <c r="AR24" i="14"/>
  <c r="AS24" i="14"/>
  <c r="AT24" i="14"/>
  <c r="AU24" i="14"/>
  <c r="AV24" i="14"/>
  <c r="AW24" i="14"/>
  <c r="AX24" i="14"/>
  <c r="AY24" i="14"/>
  <c r="AZ24" i="14"/>
  <c r="BA24" i="14"/>
  <c r="BB24" i="14"/>
  <c r="BC24" i="14"/>
  <c r="BD24" i="14"/>
  <c r="BE24" i="14"/>
  <c r="BF24" i="14"/>
  <c r="BG24" i="14"/>
  <c r="BH24" i="14"/>
  <c r="BI24" i="14"/>
  <c r="BJ24" i="14"/>
  <c r="BK24" i="14"/>
  <c r="BL24" i="14"/>
  <c r="BM24" i="14"/>
  <c r="BN24" i="14"/>
  <c r="BO24" i="14"/>
  <c r="BP24" i="14"/>
  <c r="BQ24" i="14"/>
  <c r="BR24" i="14"/>
  <c r="BS24" i="14"/>
  <c r="BT24" i="14"/>
  <c r="C25" i="14"/>
  <c r="D25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AC25" i="14"/>
  <c r="AD25" i="14"/>
  <c r="AE25" i="14"/>
  <c r="AF25" i="14"/>
  <c r="AG25" i="14"/>
  <c r="AH25" i="14"/>
  <c r="AI25" i="14"/>
  <c r="AJ25" i="14"/>
  <c r="AK25" i="14"/>
  <c r="AL25" i="14"/>
  <c r="AM25" i="14"/>
  <c r="AN25" i="14"/>
  <c r="AO25" i="14"/>
  <c r="AP25" i="14"/>
  <c r="AQ25" i="14"/>
  <c r="AR25" i="14"/>
  <c r="AS25" i="14"/>
  <c r="AT25" i="14"/>
  <c r="AU25" i="14"/>
  <c r="AV25" i="14"/>
  <c r="AW25" i="14"/>
  <c r="AX25" i="14"/>
  <c r="AY25" i="14"/>
  <c r="AZ25" i="14"/>
  <c r="BA25" i="14"/>
  <c r="BB25" i="14"/>
  <c r="BC25" i="14"/>
  <c r="BD25" i="14"/>
  <c r="BE25" i="14"/>
  <c r="BF25" i="14"/>
  <c r="BG25" i="14"/>
  <c r="BH25" i="14"/>
  <c r="BI25" i="14"/>
  <c r="BJ25" i="14"/>
  <c r="BK25" i="14"/>
  <c r="BL25" i="14"/>
  <c r="BM25" i="14"/>
  <c r="BN25" i="14"/>
  <c r="BO25" i="14"/>
  <c r="BP25" i="14"/>
  <c r="BQ25" i="14"/>
  <c r="BR25" i="14"/>
  <c r="BS25" i="14"/>
  <c r="BT25" i="14"/>
  <c r="C26" i="14"/>
  <c r="D26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AC26" i="14"/>
  <c r="AD26" i="14"/>
  <c r="AE26" i="14"/>
  <c r="AF26" i="14"/>
  <c r="AG26" i="14"/>
  <c r="AH26" i="14"/>
  <c r="AI26" i="14"/>
  <c r="AJ26" i="14"/>
  <c r="AK26" i="14"/>
  <c r="AL26" i="14"/>
  <c r="AM26" i="14"/>
  <c r="AN26" i="14"/>
  <c r="AO26" i="14"/>
  <c r="AP26" i="14"/>
  <c r="AQ26" i="14"/>
  <c r="AR26" i="14"/>
  <c r="AS26" i="14"/>
  <c r="AT26" i="14"/>
  <c r="AU26" i="14"/>
  <c r="AV26" i="14"/>
  <c r="AW26" i="14"/>
  <c r="AX26" i="14"/>
  <c r="AY26" i="14"/>
  <c r="AZ26" i="14"/>
  <c r="BA26" i="14"/>
  <c r="BB26" i="14"/>
  <c r="BC26" i="14"/>
  <c r="BD26" i="14"/>
  <c r="BE26" i="14"/>
  <c r="BF26" i="14"/>
  <c r="BG26" i="14"/>
  <c r="BH26" i="14"/>
  <c r="BI26" i="14"/>
  <c r="BJ26" i="14"/>
  <c r="BK26" i="14"/>
  <c r="BL26" i="14"/>
  <c r="BM26" i="14"/>
  <c r="BN26" i="14"/>
  <c r="BO26" i="14"/>
  <c r="BP26" i="14"/>
  <c r="BQ26" i="14"/>
  <c r="BR26" i="14"/>
  <c r="BS26" i="14"/>
  <c r="BT26" i="14"/>
  <c r="C27" i="14"/>
  <c r="D27" i="14"/>
  <c r="E27" i="14"/>
  <c r="F27" i="14"/>
  <c r="G27" i="14"/>
  <c r="H27" i="14"/>
  <c r="I27" i="14"/>
  <c r="J27" i="14"/>
  <c r="K27" i="14"/>
  <c r="L27" i="14"/>
  <c r="M27" i="14"/>
  <c r="N27" i="14"/>
  <c r="O27" i="14"/>
  <c r="P27" i="14"/>
  <c r="Q27" i="14"/>
  <c r="R27" i="14"/>
  <c r="S27" i="14"/>
  <c r="T27" i="14"/>
  <c r="U27" i="14"/>
  <c r="V27" i="14"/>
  <c r="W27" i="14"/>
  <c r="X27" i="14"/>
  <c r="Y27" i="14"/>
  <c r="Z27" i="14"/>
  <c r="AA27" i="14"/>
  <c r="AB27" i="14"/>
  <c r="AC27" i="14"/>
  <c r="AD27" i="14"/>
  <c r="AE27" i="14"/>
  <c r="AF27" i="14"/>
  <c r="AG27" i="14"/>
  <c r="AH27" i="14"/>
  <c r="AI27" i="14"/>
  <c r="AJ27" i="14"/>
  <c r="AK27" i="14"/>
  <c r="AL27" i="14"/>
  <c r="AM27" i="14"/>
  <c r="AN27" i="14"/>
  <c r="AO27" i="14"/>
  <c r="AP27" i="14"/>
  <c r="AQ27" i="14"/>
  <c r="AR27" i="14"/>
  <c r="AS27" i="14"/>
  <c r="AT27" i="14"/>
  <c r="AU27" i="14"/>
  <c r="AV27" i="14"/>
  <c r="AW27" i="14"/>
  <c r="AX27" i="14"/>
  <c r="AY27" i="14"/>
  <c r="AZ27" i="14"/>
  <c r="BA27" i="14"/>
  <c r="BB27" i="14"/>
  <c r="BC27" i="14"/>
  <c r="BD27" i="14"/>
  <c r="BE27" i="14"/>
  <c r="BF27" i="14"/>
  <c r="BG27" i="14"/>
  <c r="BH27" i="14"/>
  <c r="BI27" i="14"/>
  <c r="BJ27" i="14"/>
  <c r="BK27" i="14"/>
  <c r="BL27" i="14"/>
  <c r="BM27" i="14"/>
  <c r="BN27" i="14"/>
  <c r="BO27" i="14"/>
  <c r="BP27" i="14"/>
  <c r="BQ27" i="14"/>
  <c r="BR27" i="14"/>
  <c r="BS27" i="14"/>
  <c r="BT27" i="14"/>
  <c r="C28" i="14"/>
  <c r="D28" i="14"/>
  <c r="E28" i="14"/>
  <c r="F28" i="14"/>
  <c r="G28" i="14"/>
  <c r="H28" i="14"/>
  <c r="I28" i="14"/>
  <c r="J28" i="14"/>
  <c r="K28" i="14"/>
  <c r="L28" i="14"/>
  <c r="M28" i="14"/>
  <c r="N28" i="14"/>
  <c r="O28" i="14"/>
  <c r="P28" i="14"/>
  <c r="Q28" i="14"/>
  <c r="R28" i="14"/>
  <c r="S28" i="14"/>
  <c r="T28" i="14"/>
  <c r="U28" i="14"/>
  <c r="V28" i="14"/>
  <c r="W28" i="14"/>
  <c r="X28" i="14"/>
  <c r="Y28" i="14"/>
  <c r="Z28" i="14"/>
  <c r="AA28" i="14"/>
  <c r="AB28" i="14"/>
  <c r="AC28" i="14"/>
  <c r="AD28" i="14"/>
  <c r="AE28" i="14"/>
  <c r="AF28" i="14"/>
  <c r="AG28" i="14"/>
  <c r="AH28" i="14"/>
  <c r="AI28" i="14"/>
  <c r="AJ28" i="14"/>
  <c r="AK28" i="14"/>
  <c r="AL28" i="14"/>
  <c r="AM28" i="14"/>
  <c r="AN28" i="14"/>
  <c r="AO28" i="14"/>
  <c r="AP28" i="14"/>
  <c r="AQ28" i="14"/>
  <c r="AR28" i="14"/>
  <c r="AS28" i="14"/>
  <c r="AT28" i="14"/>
  <c r="AU28" i="14"/>
  <c r="AV28" i="14"/>
  <c r="AW28" i="14"/>
  <c r="AX28" i="14"/>
  <c r="AY28" i="14"/>
  <c r="AZ28" i="14"/>
  <c r="BA28" i="14"/>
  <c r="BB28" i="14"/>
  <c r="BC28" i="14"/>
  <c r="BD28" i="14"/>
  <c r="BE28" i="14"/>
  <c r="BF28" i="14"/>
  <c r="BG28" i="14"/>
  <c r="BH28" i="14"/>
  <c r="BI28" i="14"/>
  <c r="BJ28" i="14"/>
  <c r="BK28" i="14"/>
  <c r="BL28" i="14"/>
  <c r="BM28" i="14"/>
  <c r="BN28" i="14"/>
  <c r="BO28" i="14"/>
  <c r="BP28" i="14"/>
  <c r="BQ28" i="14"/>
  <c r="BR28" i="14"/>
  <c r="BS28" i="14"/>
  <c r="BT28" i="14"/>
  <c r="C29" i="14"/>
  <c r="D29" i="14"/>
  <c r="E29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R29" i="14"/>
  <c r="S29" i="14"/>
  <c r="T29" i="14"/>
  <c r="U29" i="14"/>
  <c r="V29" i="14"/>
  <c r="W29" i="14"/>
  <c r="X29" i="14"/>
  <c r="Y29" i="14"/>
  <c r="Z29" i="14"/>
  <c r="AA29" i="14"/>
  <c r="AB29" i="14"/>
  <c r="AC29" i="14"/>
  <c r="AD29" i="14"/>
  <c r="AE29" i="14"/>
  <c r="AF29" i="14"/>
  <c r="AG29" i="14"/>
  <c r="AH29" i="14"/>
  <c r="AI29" i="14"/>
  <c r="AJ29" i="14"/>
  <c r="AK29" i="14"/>
  <c r="AL29" i="14"/>
  <c r="AM29" i="14"/>
  <c r="AN29" i="14"/>
  <c r="AO29" i="14"/>
  <c r="AP29" i="14"/>
  <c r="AQ29" i="14"/>
  <c r="AR29" i="14"/>
  <c r="AS29" i="14"/>
  <c r="AT29" i="14"/>
  <c r="AU29" i="14"/>
  <c r="AV29" i="14"/>
  <c r="AW29" i="14"/>
  <c r="AX29" i="14"/>
  <c r="AY29" i="14"/>
  <c r="AZ29" i="14"/>
  <c r="BA29" i="14"/>
  <c r="BB29" i="14"/>
  <c r="BC29" i="14"/>
  <c r="BD29" i="14"/>
  <c r="BE29" i="14"/>
  <c r="BF29" i="14"/>
  <c r="BG29" i="14"/>
  <c r="BH29" i="14"/>
  <c r="BI29" i="14"/>
  <c r="BJ29" i="14"/>
  <c r="BK29" i="14"/>
  <c r="BL29" i="14"/>
  <c r="BM29" i="14"/>
  <c r="BN29" i="14"/>
  <c r="BO29" i="14"/>
  <c r="BP29" i="14"/>
  <c r="BQ29" i="14"/>
  <c r="BR29" i="14"/>
  <c r="BS29" i="14"/>
  <c r="BT29" i="14"/>
  <c r="C30" i="14"/>
  <c r="D30" i="14"/>
  <c r="E30" i="14"/>
  <c r="F30" i="14"/>
  <c r="G30" i="14"/>
  <c r="H30" i="14"/>
  <c r="I30" i="14"/>
  <c r="J30" i="14"/>
  <c r="K30" i="14"/>
  <c r="L30" i="14"/>
  <c r="M30" i="14"/>
  <c r="N30" i="14"/>
  <c r="O30" i="14"/>
  <c r="P30" i="14"/>
  <c r="Q30" i="14"/>
  <c r="R30" i="14"/>
  <c r="S30" i="14"/>
  <c r="T30" i="14"/>
  <c r="U30" i="14"/>
  <c r="V30" i="14"/>
  <c r="W30" i="14"/>
  <c r="X30" i="14"/>
  <c r="Y30" i="14"/>
  <c r="Z30" i="14"/>
  <c r="AA30" i="14"/>
  <c r="AB30" i="14"/>
  <c r="AC30" i="14"/>
  <c r="AD30" i="14"/>
  <c r="AE30" i="14"/>
  <c r="AF30" i="14"/>
  <c r="AG30" i="14"/>
  <c r="AH30" i="14"/>
  <c r="AI30" i="14"/>
  <c r="AJ30" i="14"/>
  <c r="AK30" i="14"/>
  <c r="AL30" i="14"/>
  <c r="AM30" i="14"/>
  <c r="AN30" i="14"/>
  <c r="AO30" i="14"/>
  <c r="AP30" i="14"/>
  <c r="AQ30" i="14"/>
  <c r="AR30" i="14"/>
  <c r="AS30" i="14"/>
  <c r="AT30" i="14"/>
  <c r="AU30" i="14"/>
  <c r="AV30" i="14"/>
  <c r="AW30" i="14"/>
  <c r="AX30" i="14"/>
  <c r="AY30" i="14"/>
  <c r="AZ30" i="14"/>
  <c r="BA30" i="14"/>
  <c r="BB30" i="14"/>
  <c r="BC30" i="14"/>
  <c r="BD30" i="14"/>
  <c r="BE30" i="14"/>
  <c r="BF30" i="14"/>
  <c r="BG30" i="14"/>
  <c r="BH30" i="14"/>
  <c r="BI30" i="14"/>
  <c r="BJ30" i="14"/>
  <c r="BK30" i="14"/>
  <c r="BL30" i="14"/>
  <c r="BM30" i="14"/>
  <c r="BN30" i="14"/>
  <c r="BO30" i="14"/>
  <c r="BP30" i="14"/>
  <c r="BQ30" i="14"/>
  <c r="BR30" i="14"/>
  <c r="BS30" i="14"/>
  <c r="BT30" i="14"/>
  <c r="C31" i="14"/>
  <c r="D31" i="14"/>
  <c r="E31" i="14"/>
  <c r="F31" i="14"/>
  <c r="G31" i="14"/>
  <c r="H31" i="14"/>
  <c r="I31" i="14"/>
  <c r="J31" i="14"/>
  <c r="K31" i="14"/>
  <c r="L31" i="14"/>
  <c r="M31" i="14"/>
  <c r="N31" i="14"/>
  <c r="O31" i="14"/>
  <c r="P31" i="14"/>
  <c r="Q31" i="14"/>
  <c r="R31" i="14"/>
  <c r="S31" i="14"/>
  <c r="T31" i="14"/>
  <c r="U31" i="14"/>
  <c r="V31" i="14"/>
  <c r="W31" i="14"/>
  <c r="X31" i="14"/>
  <c r="Y31" i="14"/>
  <c r="Z31" i="14"/>
  <c r="AA31" i="14"/>
  <c r="AB31" i="14"/>
  <c r="AC31" i="14"/>
  <c r="AD31" i="14"/>
  <c r="AE31" i="14"/>
  <c r="AF31" i="14"/>
  <c r="AG31" i="14"/>
  <c r="AH31" i="14"/>
  <c r="AI31" i="14"/>
  <c r="AJ31" i="14"/>
  <c r="AK31" i="14"/>
  <c r="AL31" i="14"/>
  <c r="AM31" i="14"/>
  <c r="AN31" i="14"/>
  <c r="AO31" i="14"/>
  <c r="AP31" i="14"/>
  <c r="AQ31" i="14"/>
  <c r="AR31" i="14"/>
  <c r="AS31" i="14"/>
  <c r="AT31" i="14"/>
  <c r="AU31" i="14"/>
  <c r="AV31" i="14"/>
  <c r="AW31" i="14"/>
  <c r="AX31" i="14"/>
  <c r="AY31" i="14"/>
  <c r="AZ31" i="14"/>
  <c r="BA31" i="14"/>
  <c r="BB31" i="14"/>
  <c r="BC31" i="14"/>
  <c r="BD31" i="14"/>
  <c r="BE31" i="14"/>
  <c r="BF31" i="14"/>
  <c r="BG31" i="14"/>
  <c r="BH31" i="14"/>
  <c r="BI31" i="14"/>
  <c r="BJ31" i="14"/>
  <c r="BK31" i="14"/>
  <c r="BL31" i="14"/>
  <c r="BM31" i="14"/>
  <c r="BN31" i="14"/>
  <c r="BO31" i="14"/>
  <c r="BP31" i="14"/>
  <c r="BQ31" i="14"/>
  <c r="BR31" i="14"/>
  <c r="BS31" i="14"/>
  <c r="BT31" i="14"/>
  <c r="C32" i="14"/>
  <c r="D32" i="14"/>
  <c r="E32" i="14"/>
  <c r="F32" i="14"/>
  <c r="G32" i="14"/>
  <c r="H32" i="14"/>
  <c r="I32" i="14"/>
  <c r="J32" i="14"/>
  <c r="K32" i="14"/>
  <c r="L32" i="14"/>
  <c r="M32" i="14"/>
  <c r="N32" i="14"/>
  <c r="O32" i="14"/>
  <c r="P32" i="14"/>
  <c r="Q32" i="14"/>
  <c r="R32" i="14"/>
  <c r="S32" i="14"/>
  <c r="T32" i="14"/>
  <c r="U32" i="14"/>
  <c r="V32" i="14"/>
  <c r="W32" i="14"/>
  <c r="X32" i="14"/>
  <c r="Y32" i="14"/>
  <c r="Z32" i="14"/>
  <c r="AA32" i="14"/>
  <c r="AB32" i="14"/>
  <c r="AC32" i="14"/>
  <c r="AD32" i="14"/>
  <c r="AE32" i="14"/>
  <c r="AF32" i="14"/>
  <c r="AG32" i="14"/>
  <c r="AH32" i="14"/>
  <c r="AI32" i="14"/>
  <c r="AJ32" i="14"/>
  <c r="AK32" i="14"/>
  <c r="AL32" i="14"/>
  <c r="AM32" i="14"/>
  <c r="AN32" i="14"/>
  <c r="AO32" i="14"/>
  <c r="AP32" i="14"/>
  <c r="AQ32" i="14"/>
  <c r="AR32" i="14"/>
  <c r="AS32" i="14"/>
  <c r="AT32" i="14"/>
  <c r="AU32" i="14"/>
  <c r="AV32" i="14"/>
  <c r="AW32" i="14"/>
  <c r="AX32" i="14"/>
  <c r="AY32" i="14"/>
  <c r="AZ32" i="14"/>
  <c r="BA32" i="14"/>
  <c r="BB32" i="14"/>
  <c r="BC32" i="14"/>
  <c r="BD32" i="14"/>
  <c r="BE32" i="14"/>
  <c r="BF32" i="14"/>
  <c r="BG32" i="14"/>
  <c r="BH32" i="14"/>
  <c r="BI32" i="14"/>
  <c r="BJ32" i="14"/>
  <c r="BK32" i="14"/>
  <c r="BL32" i="14"/>
  <c r="BM32" i="14"/>
  <c r="BN32" i="14"/>
  <c r="BO32" i="14"/>
  <c r="BP32" i="14"/>
  <c r="BQ32" i="14"/>
  <c r="BR32" i="14"/>
  <c r="BS32" i="14"/>
  <c r="BT32" i="14"/>
  <c r="C34" i="14"/>
  <c r="D34" i="14"/>
  <c r="E34" i="14"/>
  <c r="F34" i="14"/>
  <c r="G34" i="14"/>
  <c r="H34" i="14"/>
  <c r="I34" i="14"/>
  <c r="J34" i="14"/>
  <c r="K34" i="14"/>
  <c r="L34" i="14"/>
  <c r="M34" i="14"/>
  <c r="N34" i="14"/>
  <c r="O34" i="14"/>
  <c r="P34" i="14"/>
  <c r="Q34" i="14"/>
  <c r="R34" i="14"/>
  <c r="S34" i="14"/>
  <c r="T34" i="14"/>
  <c r="U34" i="14"/>
  <c r="V34" i="14"/>
  <c r="W34" i="14"/>
  <c r="X34" i="14"/>
  <c r="Y34" i="14"/>
  <c r="Z34" i="14"/>
  <c r="AA34" i="14"/>
  <c r="AB34" i="14"/>
  <c r="AC34" i="14"/>
  <c r="AD34" i="14"/>
  <c r="AE34" i="14"/>
  <c r="AF34" i="14"/>
  <c r="AG34" i="14"/>
  <c r="AH34" i="14"/>
  <c r="AI34" i="14"/>
  <c r="AJ34" i="14"/>
  <c r="AK34" i="14"/>
  <c r="AL34" i="14"/>
  <c r="AM34" i="14"/>
  <c r="AN34" i="14"/>
  <c r="AO34" i="14"/>
  <c r="AP34" i="14"/>
  <c r="AQ34" i="14"/>
  <c r="AR34" i="14"/>
  <c r="AS34" i="14"/>
  <c r="AT34" i="14"/>
  <c r="AU34" i="14"/>
  <c r="AV34" i="14"/>
  <c r="AW34" i="14"/>
  <c r="AX34" i="14"/>
  <c r="AY34" i="14"/>
  <c r="AZ34" i="14"/>
  <c r="BA34" i="14"/>
  <c r="BB34" i="14"/>
  <c r="BC34" i="14"/>
  <c r="BD34" i="14"/>
  <c r="BE34" i="14"/>
  <c r="BF34" i="14"/>
  <c r="BG34" i="14"/>
  <c r="BH34" i="14"/>
  <c r="BI34" i="14"/>
  <c r="BJ34" i="14"/>
  <c r="BK34" i="14"/>
  <c r="BL34" i="14"/>
  <c r="BM34" i="14"/>
  <c r="BN34" i="14"/>
  <c r="BO34" i="14"/>
  <c r="BP34" i="14"/>
  <c r="BQ34" i="14"/>
  <c r="BR34" i="14"/>
  <c r="BS34" i="14"/>
  <c r="BT34" i="14"/>
  <c r="C35" i="14"/>
  <c r="D35" i="14"/>
  <c r="E35" i="14"/>
  <c r="F35" i="14"/>
  <c r="G35" i="14"/>
  <c r="H35" i="14"/>
  <c r="I35" i="14"/>
  <c r="J35" i="14"/>
  <c r="K35" i="14"/>
  <c r="L35" i="14"/>
  <c r="M35" i="14"/>
  <c r="N35" i="14"/>
  <c r="O35" i="14"/>
  <c r="P35" i="14"/>
  <c r="Q35" i="14"/>
  <c r="R35" i="14"/>
  <c r="S35" i="14"/>
  <c r="T35" i="14"/>
  <c r="U35" i="14"/>
  <c r="V35" i="14"/>
  <c r="W35" i="14"/>
  <c r="X35" i="14"/>
  <c r="Y35" i="14"/>
  <c r="Z35" i="14"/>
  <c r="AA35" i="14"/>
  <c r="AB35" i="14"/>
  <c r="AC35" i="14"/>
  <c r="AD35" i="14"/>
  <c r="AE35" i="14"/>
  <c r="AF35" i="14"/>
  <c r="AG35" i="14"/>
  <c r="AH35" i="14"/>
  <c r="AI35" i="14"/>
  <c r="AJ35" i="14"/>
  <c r="AK35" i="14"/>
  <c r="AL35" i="14"/>
  <c r="AM35" i="14"/>
  <c r="AN35" i="14"/>
  <c r="AO35" i="14"/>
  <c r="AP35" i="14"/>
  <c r="AQ35" i="14"/>
  <c r="AR35" i="14"/>
  <c r="AS35" i="14"/>
  <c r="AT35" i="14"/>
  <c r="AU35" i="14"/>
  <c r="AV35" i="14"/>
  <c r="AW35" i="14"/>
  <c r="AX35" i="14"/>
  <c r="AY35" i="14"/>
  <c r="AZ35" i="14"/>
  <c r="BA35" i="14"/>
  <c r="BB35" i="14"/>
  <c r="BC35" i="14"/>
  <c r="BD35" i="14"/>
  <c r="BE35" i="14"/>
  <c r="BF35" i="14"/>
  <c r="BG35" i="14"/>
  <c r="BH35" i="14"/>
  <c r="BI35" i="14"/>
  <c r="BJ35" i="14"/>
  <c r="BK35" i="14"/>
  <c r="BL35" i="14"/>
  <c r="BM35" i="14"/>
  <c r="BN35" i="14"/>
  <c r="BO35" i="14"/>
  <c r="BP35" i="14"/>
  <c r="BQ35" i="14"/>
  <c r="BR35" i="14"/>
  <c r="BS35" i="14"/>
  <c r="BT35" i="14"/>
  <c r="C36" i="14"/>
  <c r="D36" i="14"/>
  <c r="E36" i="14"/>
  <c r="F36" i="14"/>
  <c r="G36" i="14"/>
  <c r="H36" i="14"/>
  <c r="I36" i="14"/>
  <c r="J36" i="14"/>
  <c r="K36" i="14"/>
  <c r="L36" i="14"/>
  <c r="M36" i="14"/>
  <c r="N36" i="14"/>
  <c r="O36" i="14"/>
  <c r="P36" i="14"/>
  <c r="Q36" i="14"/>
  <c r="R36" i="14"/>
  <c r="S36" i="14"/>
  <c r="T36" i="14"/>
  <c r="U36" i="14"/>
  <c r="V36" i="14"/>
  <c r="W36" i="14"/>
  <c r="X36" i="14"/>
  <c r="Y36" i="14"/>
  <c r="Z36" i="14"/>
  <c r="AA36" i="14"/>
  <c r="AB36" i="14"/>
  <c r="AC36" i="14"/>
  <c r="AD36" i="14"/>
  <c r="AE36" i="14"/>
  <c r="AF36" i="14"/>
  <c r="AG36" i="14"/>
  <c r="AH36" i="14"/>
  <c r="AI36" i="14"/>
  <c r="AJ36" i="14"/>
  <c r="AK36" i="14"/>
  <c r="AL36" i="14"/>
  <c r="AM36" i="14"/>
  <c r="AN36" i="14"/>
  <c r="AO36" i="14"/>
  <c r="AP36" i="14"/>
  <c r="AQ36" i="14"/>
  <c r="AR36" i="14"/>
  <c r="AS36" i="14"/>
  <c r="AT36" i="14"/>
  <c r="AU36" i="14"/>
  <c r="AV36" i="14"/>
  <c r="AW36" i="14"/>
  <c r="AX36" i="14"/>
  <c r="AY36" i="14"/>
  <c r="AZ36" i="14"/>
  <c r="BA36" i="14"/>
  <c r="BB36" i="14"/>
  <c r="BC36" i="14"/>
  <c r="BD36" i="14"/>
  <c r="BE36" i="14"/>
  <c r="BF36" i="14"/>
  <c r="BG36" i="14"/>
  <c r="BH36" i="14"/>
  <c r="BI36" i="14"/>
  <c r="BJ36" i="14"/>
  <c r="BK36" i="14"/>
  <c r="BL36" i="14"/>
  <c r="BM36" i="14"/>
  <c r="BN36" i="14"/>
  <c r="BO36" i="14"/>
  <c r="BP36" i="14"/>
  <c r="BQ36" i="14"/>
  <c r="BR36" i="14"/>
  <c r="BS36" i="14"/>
  <c r="BT36" i="14"/>
  <c r="C37" i="14"/>
  <c r="D37" i="14"/>
  <c r="E37" i="14"/>
  <c r="F37" i="14"/>
  <c r="G37" i="14"/>
  <c r="H37" i="14"/>
  <c r="I37" i="14"/>
  <c r="J37" i="14"/>
  <c r="K37" i="14"/>
  <c r="L37" i="14"/>
  <c r="M37" i="14"/>
  <c r="N37" i="14"/>
  <c r="O37" i="14"/>
  <c r="P37" i="14"/>
  <c r="Q37" i="14"/>
  <c r="R37" i="14"/>
  <c r="S37" i="14"/>
  <c r="T37" i="14"/>
  <c r="U37" i="14"/>
  <c r="V37" i="14"/>
  <c r="W37" i="14"/>
  <c r="X37" i="14"/>
  <c r="Y37" i="14"/>
  <c r="Z37" i="14"/>
  <c r="AA37" i="14"/>
  <c r="AB37" i="14"/>
  <c r="AC37" i="14"/>
  <c r="AD37" i="14"/>
  <c r="AE37" i="14"/>
  <c r="AF37" i="14"/>
  <c r="AG37" i="14"/>
  <c r="AH37" i="14"/>
  <c r="AI37" i="14"/>
  <c r="AJ37" i="14"/>
  <c r="AK37" i="14"/>
  <c r="AL37" i="14"/>
  <c r="AM37" i="14"/>
  <c r="AN37" i="14"/>
  <c r="AO37" i="14"/>
  <c r="AP37" i="14"/>
  <c r="AQ37" i="14"/>
  <c r="AR37" i="14"/>
  <c r="AS37" i="14"/>
  <c r="AT37" i="14"/>
  <c r="AU37" i="14"/>
  <c r="AV37" i="14"/>
  <c r="AW37" i="14"/>
  <c r="AX37" i="14"/>
  <c r="AY37" i="14"/>
  <c r="AZ37" i="14"/>
  <c r="BA37" i="14"/>
  <c r="BB37" i="14"/>
  <c r="BC37" i="14"/>
  <c r="BD37" i="14"/>
  <c r="BE37" i="14"/>
  <c r="BF37" i="14"/>
  <c r="BG37" i="14"/>
  <c r="BH37" i="14"/>
  <c r="BI37" i="14"/>
  <c r="BJ37" i="14"/>
  <c r="BK37" i="14"/>
  <c r="BL37" i="14"/>
  <c r="BM37" i="14"/>
  <c r="BN37" i="14"/>
  <c r="BO37" i="14"/>
  <c r="BP37" i="14"/>
  <c r="BQ37" i="14"/>
  <c r="BR37" i="14"/>
  <c r="BS37" i="14"/>
  <c r="BT37" i="14"/>
  <c r="C38" i="14"/>
  <c r="D38" i="14"/>
  <c r="E38" i="14"/>
  <c r="F38" i="14"/>
  <c r="G38" i="14"/>
  <c r="H38" i="14"/>
  <c r="I38" i="14"/>
  <c r="J38" i="14"/>
  <c r="K38" i="14"/>
  <c r="L38" i="14"/>
  <c r="M38" i="14"/>
  <c r="N38" i="14"/>
  <c r="O38" i="14"/>
  <c r="P38" i="14"/>
  <c r="Q38" i="14"/>
  <c r="R38" i="14"/>
  <c r="S38" i="14"/>
  <c r="T38" i="14"/>
  <c r="U38" i="14"/>
  <c r="V38" i="14"/>
  <c r="W38" i="14"/>
  <c r="X38" i="14"/>
  <c r="Y38" i="14"/>
  <c r="Z38" i="14"/>
  <c r="AA38" i="14"/>
  <c r="AB38" i="14"/>
  <c r="AC38" i="14"/>
  <c r="AD38" i="14"/>
  <c r="AE38" i="14"/>
  <c r="AF38" i="14"/>
  <c r="AG38" i="14"/>
  <c r="AH38" i="14"/>
  <c r="AI38" i="14"/>
  <c r="AJ38" i="14"/>
  <c r="AK38" i="14"/>
  <c r="AL38" i="14"/>
  <c r="AM38" i="14"/>
  <c r="AN38" i="14"/>
  <c r="AO38" i="14"/>
  <c r="AP38" i="14"/>
  <c r="AQ38" i="14"/>
  <c r="AR38" i="14"/>
  <c r="AS38" i="14"/>
  <c r="AT38" i="14"/>
  <c r="AU38" i="14"/>
  <c r="AV38" i="14"/>
  <c r="AW38" i="14"/>
  <c r="AX38" i="14"/>
  <c r="AY38" i="14"/>
  <c r="AZ38" i="14"/>
  <c r="BA38" i="14"/>
  <c r="BB38" i="14"/>
  <c r="BC38" i="14"/>
  <c r="BD38" i="14"/>
  <c r="BE38" i="14"/>
  <c r="BF38" i="14"/>
  <c r="BG38" i="14"/>
  <c r="BH38" i="14"/>
  <c r="BI38" i="14"/>
  <c r="BJ38" i="14"/>
  <c r="BK38" i="14"/>
  <c r="BL38" i="14"/>
  <c r="BM38" i="14"/>
  <c r="BN38" i="14"/>
  <c r="BO38" i="14"/>
  <c r="BP38" i="14"/>
  <c r="BQ38" i="14"/>
  <c r="BR38" i="14"/>
  <c r="BS38" i="14"/>
  <c r="BT38" i="14"/>
  <c r="C39" i="14"/>
  <c r="D39" i="14"/>
  <c r="E39" i="14"/>
  <c r="F39" i="14"/>
  <c r="G39" i="14"/>
  <c r="H39" i="14"/>
  <c r="I39" i="14"/>
  <c r="J39" i="14"/>
  <c r="K39" i="14"/>
  <c r="L39" i="14"/>
  <c r="M39" i="14"/>
  <c r="N39" i="14"/>
  <c r="O39" i="14"/>
  <c r="P39" i="14"/>
  <c r="Q39" i="14"/>
  <c r="R39" i="14"/>
  <c r="S39" i="14"/>
  <c r="T39" i="14"/>
  <c r="U39" i="14"/>
  <c r="V39" i="14"/>
  <c r="W39" i="14"/>
  <c r="X39" i="14"/>
  <c r="Y39" i="14"/>
  <c r="Z39" i="14"/>
  <c r="AA39" i="14"/>
  <c r="AB39" i="14"/>
  <c r="AC39" i="14"/>
  <c r="AD39" i="14"/>
  <c r="AE39" i="14"/>
  <c r="AF39" i="14"/>
  <c r="AG39" i="14"/>
  <c r="AH39" i="14"/>
  <c r="AI39" i="14"/>
  <c r="AJ39" i="14"/>
  <c r="AK39" i="14"/>
  <c r="AL39" i="14"/>
  <c r="AM39" i="14"/>
  <c r="AN39" i="14"/>
  <c r="AO39" i="14"/>
  <c r="AP39" i="14"/>
  <c r="AQ39" i="14"/>
  <c r="AR39" i="14"/>
  <c r="AS39" i="14"/>
  <c r="AT39" i="14"/>
  <c r="AU39" i="14"/>
  <c r="AV39" i="14"/>
  <c r="AW39" i="14"/>
  <c r="AX39" i="14"/>
  <c r="AY39" i="14"/>
  <c r="AZ39" i="14"/>
  <c r="BA39" i="14"/>
  <c r="BB39" i="14"/>
  <c r="BC39" i="14"/>
  <c r="BD39" i="14"/>
  <c r="BE39" i="14"/>
  <c r="BF39" i="14"/>
  <c r="BG39" i="14"/>
  <c r="BH39" i="14"/>
  <c r="BI39" i="14"/>
  <c r="BJ39" i="14"/>
  <c r="BK39" i="14"/>
  <c r="BL39" i="14"/>
  <c r="BM39" i="14"/>
  <c r="BN39" i="14"/>
  <c r="BO39" i="14"/>
  <c r="BP39" i="14"/>
  <c r="BQ39" i="14"/>
  <c r="BR39" i="14"/>
  <c r="BS39" i="14"/>
  <c r="BT39" i="14"/>
  <c r="C40" i="14"/>
  <c r="D40" i="14"/>
  <c r="E40" i="14"/>
  <c r="F40" i="14"/>
  <c r="G40" i="14"/>
  <c r="H40" i="14"/>
  <c r="I40" i="14"/>
  <c r="J40" i="14"/>
  <c r="K40" i="14"/>
  <c r="L40" i="14"/>
  <c r="M40" i="14"/>
  <c r="N40" i="14"/>
  <c r="O40" i="14"/>
  <c r="P40" i="14"/>
  <c r="Q40" i="14"/>
  <c r="R40" i="14"/>
  <c r="S40" i="14"/>
  <c r="T40" i="14"/>
  <c r="U40" i="14"/>
  <c r="V40" i="14"/>
  <c r="W40" i="14"/>
  <c r="X40" i="14"/>
  <c r="Y40" i="14"/>
  <c r="Z40" i="14"/>
  <c r="AA40" i="14"/>
  <c r="AB40" i="14"/>
  <c r="AC40" i="14"/>
  <c r="AD40" i="14"/>
  <c r="AE40" i="14"/>
  <c r="AF40" i="14"/>
  <c r="AG40" i="14"/>
  <c r="AH40" i="14"/>
  <c r="AI40" i="14"/>
  <c r="AJ40" i="14"/>
  <c r="AK40" i="14"/>
  <c r="AL40" i="14"/>
  <c r="AM40" i="14"/>
  <c r="AN40" i="14"/>
  <c r="AO40" i="14"/>
  <c r="AP40" i="14"/>
  <c r="AQ40" i="14"/>
  <c r="AR40" i="14"/>
  <c r="AS40" i="14"/>
  <c r="AT40" i="14"/>
  <c r="AU40" i="14"/>
  <c r="AV40" i="14"/>
  <c r="AW40" i="14"/>
  <c r="AX40" i="14"/>
  <c r="AY40" i="14"/>
  <c r="AZ40" i="14"/>
  <c r="BA40" i="14"/>
  <c r="BB40" i="14"/>
  <c r="BC40" i="14"/>
  <c r="BD40" i="14"/>
  <c r="BE40" i="14"/>
  <c r="BF40" i="14"/>
  <c r="BG40" i="14"/>
  <c r="BH40" i="14"/>
  <c r="BI40" i="14"/>
  <c r="BJ40" i="14"/>
  <c r="BK40" i="14"/>
  <c r="BL40" i="14"/>
  <c r="BM40" i="14"/>
  <c r="BN40" i="14"/>
  <c r="BO40" i="14"/>
  <c r="BP40" i="14"/>
  <c r="BQ40" i="14"/>
  <c r="BR40" i="14"/>
  <c r="BS40" i="14"/>
  <c r="BT40" i="14"/>
  <c r="C41" i="14"/>
  <c r="D41" i="14"/>
  <c r="E41" i="14"/>
  <c r="F41" i="14"/>
  <c r="G41" i="14"/>
  <c r="H41" i="14"/>
  <c r="I41" i="14"/>
  <c r="J41" i="14"/>
  <c r="K41" i="14"/>
  <c r="L41" i="14"/>
  <c r="M41" i="14"/>
  <c r="N41" i="14"/>
  <c r="O41" i="14"/>
  <c r="P41" i="14"/>
  <c r="Q41" i="14"/>
  <c r="R41" i="14"/>
  <c r="S41" i="14"/>
  <c r="T41" i="14"/>
  <c r="U41" i="14"/>
  <c r="V41" i="14"/>
  <c r="W41" i="14"/>
  <c r="X41" i="14"/>
  <c r="Y41" i="14"/>
  <c r="Z41" i="14"/>
  <c r="AA41" i="14"/>
  <c r="AB41" i="14"/>
  <c r="AC41" i="14"/>
  <c r="AD41" i="14"/>
  <c r="AE41" i="14"/>
  <c r="AF41" i="14"/>
  <c r="AG41" i="14"/>
  <c r="AH41" i="14"/>
  <c r="AI41" i="14"/>
  <c r="AJ41" i="14"/>
  <c r="AK41" i="14"/>
  <c r="AL41" i="14"/>
  <c r="AM41" i="14"/>
  <c r="AN41" i="14"/>
  <c r="AO41" i="14"/>
  <c r="AP41" i="14"/>
  <c r="AQ41" i="14"/>
  <c r="AR41" i="14"/>
  <c r="AS41" i="14"/>
  <c r="AT41" i="14"/>
  <c r="AU41" i="14"/>
  <c r="AV41" i="14"/>
  <c r="AW41" i="14"/>
  <c r="AX41" i="14"/>
  <c r="AY41" i="14"/>
  <c r="AZ41" i="14"/>
  <c r="BA41" i="14"/>
  <c r="BB41" i="14"/>
  <c r="BC41" i="14"/>
  <c r="BD41" i="14"/>
  <c r="BE41" i="14"/>
  <c r="BF41" i="14"/>
  <c r="BG41" i="14"/>
  <c r="BH41" i="14"/>
  <c r="BI41" i="14"/>
  <c r="BJ41" i="14"/>
  <c r="BK41" i="14"/>
  <c r="BL41" i="14"/>
  <c r="BM41" i="14"/>
  <c r="BN41" i="14"/>
  <c r="BO41" i="14"/>
  <c r="BP41" i="14"/>
  <c r="BQ41" i="14"/>
  <c r="BR41" i="14"/>
  <c r="BS41" i="14"/>
  <c r="BT41" i="14"/>
  <c r="C42" i="14"/>
  <c r="D42" i="14"/>
  <c r="E42" i="14"/>
  <c r="F42" i="14"/>
  <c r="G42" i="14"/>
  <c r="H42" i="14"/>
  <c r="I42" i="14"/>
  <c r="J42" i="14"/>
  <c r="K42" i="14"/>
  <c r="L42" i="14"/>
  <c r="M42" i="14"/>
  <c r="N42" i="14"/>
  <c r="O42" i="14"/>
  <c r="P42" i="14"/>
  <c r="Q42" i="14"/>
  <c r="R42" i="14"/>
  <c r="S42" i="14"/>
  <c r="T42" i="14"/>
  <c r="U42" i="14"/>
  <c r="V42" i="14"/>
  <c r="W42" i="14"/>
  <c r="X42" i="14"/>
  <c r="Y42" i="14"/>
  <c r="Z42" i="14"/>
  <c r="AA42" i="14"/>
  <c r="AB42" i="14"/>
  <c r="AC42" i="14"/>
  <c r="AD42" i="14"/>
  <c r="AE42" i="14"/>
  <c r="AF42" i="14"/>
  <c r="AG42" i="14"/>
  <c r="AH42" i="14"/>
  <c r="AI42" i="14"/>
  <c r="AJ42" i="14"/>
  <c r="AK42" i="14"/>
  <c r="AL42" i="14"/>
  <c r="AM42" i="14"/>
  <c r="AN42" i="14"/>
  <c r="AO42" i="14"/>
  <c r="AP42" i="14"/>
  <c r="AQ42" i="14"/>
  <c r="AR42" i="14"/>
  <c r="AS42" i="14"/>
  <c r="AT42" i="14"/>
  <c r="AU42" i="14"/>
  <c r="AV42" i="14"/>
  <c r="AW42" i="14"/>
  <c r="AX42" i="14"/>
  <c r="AY42" i="14"/>
  <c r="AZ42" i="14"/>
  <c r="BA42" i="14"/>
  <c r="BB42" i="14"/>
  <c r="BC42" i="14"/>
  <c r="BD42" i="14"/>
  <c r="BE42" i="14"/>
  <c r="BF42" i="14"/>
  <c r="BG42" i="14"/>
  <c r="BH42" i="14"/>
  <c r="BI42" i="14"/>
  <c r="BJ42" i="14"/>
  <c r="BK42" i="14"/>
  <c r="BL42" i="14"/>
  <c r="BM42" i="14"/>
  <c r="BN42" i="14"/>
  <c r="BO42" i="14"/>
  <c r="BP42" i="14"/>
  <c r="BQ42" i="14"/>
  <c r="BR42" i="14"/>
  <c r="BS42" i="14"/>
  <c r="BT42" i="14"/>
  <c r="C43" i="14"/>
  <c r="D43" i="14"/>
  <c r="E43" i="14"/>
  <c r="F43" i="14"/>
  <c r="G43" i="14"/>
  <c r="H43" i="14"/>
  <c r="I43" i="14"/>
  <c r="J43" i="14"/>
  <c r="K43" i="14"/>
  <c r="L43" i="14"/>
  <c r="M43" i="14"/>
  <c r="N43" i="14"/>
  <c r="O43" i="14"/>
  <c r="P43" i="14"/>
  <c r="Q43" i="14"/>
  <c r="R43" i="14"/>
  <c r="S43" i="14"/>
  <c r="T43" i="14"/>
  <c r="U43" i="14"/>
  <c r="V43" i="14"/>
  <c r="W43" i="14"/>
  <c r="X43" i="14"/>
  <c r="Y43" i="14"/>
  <c r="Z43" i="14"/>
  <c r="AA43" i="14"/>
  <c r="AB43" i="14"/>
  <c r="AC43" i="14"/>
  <c r="AD43" i="14"/>
  <c r="AE43" i="14"/>
  <c r="AF43" i="14"/>
  <c r="AG43" i="14"/>
  <c r="AH43" i="14"/>
  <c r="AI43" i="14"/>
  <c r="AJ43" i="14"/>
  <c r="AK43" i="14"/>
  <c r="AL43" i="14"/>
  <c r="AM43" i="14"/>
  <c r="AN43" i="14"/>
  <c r="AO43" i="14"/>
  <c r="AP43" i="14"/>
  <c r="AQ43" i="14"/>
  <c r="AR43" i="14"/>
  <c r="AS43" i="14"/>
  <c r="AT43" i="14"/>
  <c r="AU43" i="14"/>
  <c r="AV43" i="14"/>
  <c r="AW43" i="14"/>
  <c r="AX43" i="14"/>
  <c r="AY43" i="14"/>
  <c r="AZ43" i="14"/>
  <c r="BA43" i="14"/>
  <c r="BB43" i="14"/>
  <c r="BC43" i="14"/>
  <c r="BD43" i="14"/>
  <c r="BE43" i="14"/>
  <c r="BF43" i="14"/>
  <c r="BG43" i="14"/>
  <c r="BH43" i="14"/>
  <c r="BI43" i="14"/>
  <c r="BJ43" i="14"/>
  <c r="BK43" i="14"/>
  <c r="BL43" i="14"/>
  <c r="BM43" i="14"/>
  <c r="BN43" i="14"/>
  <c r="BO43" i="14"/>
  <c r="BP43" i="14"/>
  <c r="BQ43" i="14"/>
  <c r="BR43" i="14"/>
  <c r="BS43" i="14"/>
  <c r="BT43" i="14"/>
  <c r="C44" i="14"/>
  <c r="D44" i="14"/>
  <c r="E44" i="14"/>
  <c r="F44" i="14"/>
  <c r="G44" i="14"/>
  <c r="H44" i="14"/>
  <c r="I44" i="14"/>
  <c r="J44" i="14"/>
  <c r="K44" i="14"/>
  <c r="L44" i="14"/>
  <c r="M44" i="14"/>
  <c r="N44" i="14"/>
  <c r="O44" i="14"/>
  <c r="P44" i="14"/>
  <c r="Q44" i="14"/>
  <c r="R44" i="14"/>
  <c r="S44" i="14"/>
  <c r="T44" i="14"/>
  <c r="U44" i="14"/>
  <c r="V44" i="14"/>
  <c r="W44" i="14"/>
  <c r="X44" i="14"/>
  <c r="Y44" i="14"/>
  <c r="Z44" i="14"/>
  <c r="AA44" i="14"/>
  <c r="AB44" i="14"/>
  <c r="AC44" i="14"/>
  <c r="AD44" i="14"/>
  <c r="AE44" i="14"/>
  <c r="AF44" i="14"/>
  <c r="AG44" i="14"/>
  <c r="AH44" i="14"/>
  <c r="AI44" i="14"/>
  <c r="AJ44" i="14"/>
  <c r="AK44" i="14"/>
  <c r="AL44" i="14"/>
  <c r="AM44" i="14"/>
  <c r="AN44" i="14"/>
  <c r="AO44" i="14"/>
  <c r="AP44" i="14"/>
  <c r="AQ44" i="14"/>
  <c r="AR44" i="14"/>
  <c r="AS44" i="14"/>
  <c r="AT44" i="14"/>
  <c r="AU44" i="14"/>
  <c r="AV44" i="14"/>
  <c r="AW44" i="14"/>
  <c r="AX44" i="14"/>
  <c r="AY44" i="14"/>
  <c r="AZ44" i="14"/>
  <c r="BA44" i="14"/>
  <c r="BB44" i="14"/>
  <c r="BC44" i="14"/>
  <c r="BD44" i="14"/>
  <c r="BE44" i="14"/>
  <c r="BF44" i="14"/>
  <c r="BG44" i="14"/>
  <c r="BH44" i="14"/>
  <c r="BI44" i="14"/>
  <c r="BJ44" i="14"/>
  <c r="BK44" i="14"/>
  <c r="BL44" i="14"/>
  <c r="BM44" i="14"/>
  <c r="BN44" i="14"/>
  <c r="BO44" i="14"/>
  <c r="BP44" i="14"/>
  <c r="BQ44" i="14"/>
  <c r="BR44" i="14"/>
  <c r="BS44" i="14"/>
  <c r="BT44" i="14"/>
  <c r="C45" i="14"/>
  <c r="D45" i="14"/>
  <c r="E45" i="14"/>
  <c r="F45" i="14"/>
  <c r="G45" i="14"/>
  <c r="H45" i="14"/>
  <c r="I45" i="14"/>
  <c r="J45" i="14"/>
  <c r="K45" i="14"/>
  <c r="L45" i="14"/>
  <c r="M45" i="14"/>
  <c r="N45" i="14"/>
  <c r="O45" i="14"/>
  <c r="P45" i="14"/>
  <c r="Q45" i="14"/>
  <c r="R45" i="14"/>
  <c r="S45" i="14"/>
  <c r="T45" i="14"/>
  <c r="U45" i="14"/>
  <c r="V45" i="14"/>
  <c r="W45" i="14"/>
  <c r="X45" i="14"/>
  <c r="Y45" i="14"/>
  <c r="Z45" i="14"/>
  <c r="AA45" i="14"/>
  <c r="AB45" i="14"/>
  <c r="AC45" i="14"/>
  <c r="AD45" i="14"/>
  <c r="AE45" i="14"/>
  <c r="AF45" i="14"/>
  <c r="AG45" i="14"/>
  <c r="AH45" i="14"/>
  <c r="AI45" i="14"/>
  <c r="AJ45" i="14"/>
  <c r="AK45" i="14"/>
  <c r="AL45" i="14"/>
  <c r="AM45" i="14"/>
  <c r="AN45" i="14"/>
  <c r="AO45" i="14"/>
  <c r="AP45" i="14"/>
  <c r="AQ45" i="14"/>
  <c r="AR45" i="14"/>
  <c r="AS45" i="14"/>
  <c r="AT45" i="14"/>
  <c r="AU45" i="14"/>
  <c r="AV45" i="14"/>
  <c r="AW45" i="14"/>
  <c r="AX45" i="14"/>
  <c r="AY45" i="14"/>
  <c r="AZ45" i="14"/>
  <c r="BA45" i="14"/>
  <c r="BB45" i="14"/>
  <c r="BC45" i="14"/>
  <c r="BD45" i="14"/>
  <c r="BE45" i="14"/>
  <c r="BF45" i="14"/>
  <c r="BG45" i="14"/>
  <c r="BH45" i="14"/>
  <c r="BI45" i="14"/>
  <c r="BJ45" i="14"/>
  <c r="BK45" i="14"/>
  <c r="BL45" i="14"/>
  <c r="BM45" i="14"/>
  <c r="BN45" i="14"/>
  <c r="BO45" i="14"/>
  <c r="BP45" i="14"/>
  <c r="BQ45" i="14"/>
  <c r="BR45" i="14"/>
  <c r="BS45" i="14"/>
  <c r="BT45" i="14"/>
  <c r="C46" i="14"/>
  <c r="D46" i="14"/>
  <c r="E46" i="14"/>
  <c r="F46" i="14"/>
  <c r="G46" i="14"/>
  <c r="H46" i="14"/>
  <c r="I46" i="14"/>
  <c r="J46" i="14"/>
  <c r="K46" i="14"/>
  <c r="L46" i="14"/>
  <c r="M46" i="14"/>
  <c r="N46" i="14"/>
  <c r="O46" i="14"/>
  <c r="P46" i="14"/>
  <c r="Q46" i="14"/>
  <c r="R46" i="14"/>
  <c r="S46" i="14"/>
  <c r="T46" i="14"/>
  <c r="U46" i="14"/>
  <c r="V46" i="14"/>
  <c r="W46" i="14"/>
  <c r="X46" i="14"/>
  <c r="Y46" i="14"/>
  <c r="Z46" i="14"/>
  <c r="AA46" i="14"/>
  <c r="AB46" i="14"/>
  <c r="AC46" i="14"/>
  <c r="AD46" i="14"/>
  <c r="AE46" i="14"/>
  <c r="AF46" i="14"/>
  <c r="AG46" i="14"/>
  <c r="AH46" i="14"/>
  <c r="AI46" i="14"/>
  <c r="AJ46" i="14"/>
  <c r="AK46" i="14"/>
  <c r="AL46" i="14"/>
  <c r="AM46" i="14"/>
  <c r="AN46" i="14"/>
  <c r="AO46" i="14"/>
  <c r="AP46" i="14"/>
  <c r="AQ46" i="14"/>
  <c r="AR46" i="14"/>
  <c r="AS46" i="14"/>
  <c r="AT46" i="14"/>
  <c r="AU46" i="14"/>
  <c r="AV46" i="14"/>
  <c r="AW46" i="14"/>
  <c r="AX46" i="14"/>
  <c r="AY46" i="14"/>
  <c r="AZ46" i="14"/>
  <c r="BA46" i="14"/>
  <c r="BB46" i="14"/>
  <c r="BC46" i="14"/>
  <c r="BD46" i="14"/>
  <c r="BE46" i="14"/>
  <c r="BF46" i="14"/>
  <c r="BG46" i="14"/>
  <c r="BH46" i="14"/>
  <c r="BI46" i="14"/>
  <c r="BJ46" i="14"/>
  <c r="BK46" i="14"/>
  <c r="BL46" i="14"/>
  <c r="BM46" i="14"/>
  <c r="BN46" i="14"/>
  <c r="BO46" i="14"/>
  <c r="BP46" i="14"/>
  <c r="BQ46" i="14"/>
  <c r="BR46" i="14"/>
  <c r="BS46" i="14"/>
  <c r="BT46" i="14"/>
  <c r="C47" i="14"/>
  <c r="D47" i="14"/>
  <c r="E47" i="14"/>
  <c r="F47" i="14"/>
  <c r="G47" i="14"/>
  <c r="H47" i="14"/>
  <c r="I47" i="14"/>
  <c r="J47" i="14"/>
  <c r="K47" i="14"/>
  <c r="L47" i="14"/>
  <c r="M47" i="14"/>
  <c r="N47" i="14"/>
  <c r="O47" i="14"/>
  <c r="P47" i="14"/>
  <c r="Q47" i="14"/>
  <c r="R47" i="14"/>
  <c r="S47" i="14"/>
  <c r="T47" i="14"/>
  <c r="U47" i="14"/>
  <c r="V47" i="14"/>
  <c r="W47" i="14"/>
  <c r="X47" i="14"/>
  <c r="Y47" i="14"/>
  <c r="Z47" i="14"/>
  <c r="AA47" i="14"/>
  <c r="AB47" i="14"/>
  <c r="AC47" i="14"/>
  <c r="AD47" i="14"/>
  <c r="AE47" i="14"/>
  <c r="AF47" i="14"/>
  <c r="AG47" i="14"/>
  <c r="AH47" i="14"/>
  <c r="AI47" i="14"/>
  <c r="AJ47" i="14"/>
  <c r="AK47" i="14"/>
  <c r="AL47" i="14"/>
  <c r="AM47" i="14"/>
  <c r="AN47" i="14"/>
  <c r="AO47" i="14"/>
  <c r="AP47" i="14"/>
  <c r="AQ47" i="14"/>
  <c r="AR47" i="14"/>
  <c r="AS47" i="14"/>
  <c r="AT47" i="14"/>
  <c r="AU47" i="14"/>
  <c r="AV47" i="14"/>
  <c r="AW47" i="14"/>
  <c r="AX47" i="14"/>
  <c r="AY47" i="14"/>
  <c r="AZ47" i="14"/>
  <c r="BA47" i="14"/>
  <c r="BB47" i="14"/>
  <c r="BC47" i="14"/>
  <c r="BD47" i="14"/>
  <c r="BE47" i="14"/>
  <c r="BF47" i="14"/>
  <c r="BG47" i="14"/>
  <c r="BH47" i="14"/>
  <c r="BI47" i="14"/>
  <c r="BJ47" i="14"/>
  <c r="BK47" i="14"/>
  <c r="BL47" i="14"/>
  <c r="BM47" i="14"/>
  <c r="BN47" i="14"/>
  <c r="BO47" i="14"/>
  <c r="BP47" i="14"/>
  <c r="BQ47" i="14"/>
  <c r="BR47" i="14"/>
  <c r="BS47" i="14"/>
  <c r="BT47" i="14"/>
  <c r="C48" i="14"/>
  <c r="D48" i="14"/>
  <c r="E48" i="14"/>
  <c r="F48" i="14"/>
  <c r="G48" i="14"/>
  <c r="H48" i="14"/>
  <c r="I48" i="14"/>
  <c r="J48" i="14"/>
  <c r="K48" i="14"/>
  <c r="L48" i="14"/>
  <c r="M48" i="14"/>
  <c r="N48" i="14"/>
  <c r="O48" i="14"/>
  <c r="P48" i="14"/>
  <c r="Q48" i="14"/>
  <c r="R48" i="14"/>
  <c r="S48" i="14"/>
  <c r="T48" i="14"/>
  <c r="U48" i="14"/>
  <c r="V48" i="14"/>
  <c r="W48" i="14"/>
  <c r="X48" i="14"/>
  <c r="Y48" i="14"/>
  <c r="Z48" i="14"/>
  <c r="AA48" i="14"/>
  <c r="AB48" i="14"/>
  <c r="AC48" i="14"/>
  <c r="AD48" i="14"/>
  <c r="AE48" i="14"/>
  <c r="AF48" i="14"/>
  <c r="AG48" i="14"/>
  <c r="AH48" i="14"/>
  <c r="AI48" i="14"/>
  <c r="AJ48" i="14"/>
  <c r="AK48" i="14"/>
  <c r="AL48" i="14"/>
  <c r="AM48" i="14"/>
  <c r="AN48" i="14"/>
  <c r="AO48" i="14"/>
  <c r="AP48" i="14"/>
  <c r="AQ48" i="14"/>
  <c r="AR48" i="14"/>
  <c r="AS48" i="14"/>
  <c r="AT48" i="14"/>
  <c r="AU48" i="14"/>
  <c r="AV48" i="14"/>
  <c r="AW48" i="14"/>
  <c r="AX48" i="14"/>
  <c r="AY48" i="14"/>
  <c r="AZ48" i="14"/>
  <c r="BA48" i="14"/>
  <c r="BB48" i="14"/>
  <c r="BC48" i="14"/>
  <c r="BD48" i="14"/>
  <c r="BE48" i="14"/>
  <c r="BF48" i="14"/>
  <c r="BG48" i="14"/>
  <c r="BH48" i="14"/>
  <c r="BI48" i="14"/>
  <c r="BJ48" i="14"/>
  <c r="BK48" i="14"/>
  <c r="BL48" i="14"/>
  <c r="BM48" i="14"/>
  <c r="BN48" i="14"/>
  <c r="BO48" i="14"/>
  <c r="BP48" i="14"/>
  <c r="BQ48" i="14"/>
  <c r="BR48" i="14"/>
  <c r="BS48" i="14"/>
  <c r="BT48" i="14"/>
  <c r="C49" i="14"/>
  <c r="D49" i="14"/>
  <c r="E49" i="14"/>
  <c r="F49" i="14"/>
  <c r="G49" i="14"/>
  <c r="H49" i="14"/>
  <c r="I49" i="14"/>
  <c r="J49" i="14"/>
  <c r="K49" i="14"/>
  <c r="L49" i="14"/>
  <c r="M49" i="14"/>
  <c r="N49" i="14"/>
  <c r="O49" i="14"/>
  <c r="P49" i="14"/>
  <c r="Q49" i="14"/>
  <c r="R49" i="14"/>
  <c r="S49" i="14"/>
  <c r="T49" i="14"/>
  <c r="U49" i="14"/>
  <c r="V49" i="14"/>
  <c r="W49" i="14"/>
  <c r="X49" i="14"/>
  <c r="Y49" i="14"/>
  <c r="Z49" i="14"/>
  <c r="AA49" i="14"/>
  <c r="AB49" i="14"/>
  <c r="AC49" i="14"/>
  <c r="AD49" i="14"/>
  <c r="AE49" i="14"/>
  <c r="AF49" i="14"/>
  <c r="AG49" i="14"/>
  <c r="AH49" i="14"/>
  <c r="AI49" i="14"/>
  <c r="AJ49" i="14"/>
  <c r="AK49" i="14"/>
  <c r="AL49" i="14"/>
  <c r="AM49" i="14"/>
  <c r="AN49" i="14"/>
  <c r="AO49" i="14"/>
  <c r="AP49" i="14"/>
  <c r="AQ49" i="14"/>
  <c r="AR49" i="14"/>
  <c r="AS49" i="14"/>
  <c r="AT49" i="14"/>
  <c r="AU49" i="14"/>
  <c r="AV49" i="14"/>
  <c r="AW49" i="14"/>
  <c r="AX49" i="14"/>
  <c r="AY49" i="14"/>
  <c r="AZ49" i="14"/>
  <c r="BA49" i="14"/>
  <c r="BB49" i="14"/>
  <c r="BC49" i="14"/>
  <c r="BD49" i="14"/>
  <c r="BE49" i="14"/>
  <c r="BF49" i="14"/>
  <c r="BG49" i="14"/>
  <c r="BH49" i="14"/>
  <c r="BI49" i="14"/>
  <c r="BJ49" i="14"/>
  <c r="BK49" i="14"/>
  <c r="BL49" i="14"/>
  <c r="BM49" i="14"/>
  <c r="BN49" i="14"/>
  <c r="BO49" i="14"/>
  <c r="BP49" i="14"/>
  <c r="BQ49" i="14"/>
  <c r="BR49" i="14"/>
  <c r="BS49" i="14"/>
  <c r="BT49" i="14"/>
  <c r="C50" i="14"/>
  <c r="D50" i="14"/>
  <c r="E50" i="14"/>
  <c r="F50" i="14"/>
  <c r="G50" i="14"/>
  <c r="H50" i="14"/>
  <c r="I50" i="14"/>
  <c r="J50" i="14"/>
  <c r="K50" i="14"/>
  <c r="L50" i="14"/>
  <c r="M50" i="14"/>
  <c r="N50" i="14"/>
  <c r="O50" i="14"/>
  <c r="P50" i="14"/>
  <c r="Q50" i="14"/>
  <c r="R50" i="14"/>
  <c r="S50" i="14"/>
  <c r="T50" i="14"/>
  <c r="U50" i="14"/>
  <c r="V50" i="14"/>
  <c r="W50" i="14"/>
  <c r="X50" i="14"/>
  <c r="Y50" i="14"/>
  <c r="Z50" i="14"/>
  <c r="AA50" i="14"/>
  <c r="AB50" i="14"/>
  <c r="AC50" i="14"/>
  <c r="AD50" i="14"/>
  <c r="AE50" i="14"/>
  <c r="AF50" i="14"/>
  <c r="AG50" i="14"/>
  <c r="AH50" i="14"/>
  <c r="AI50" i="14"/>
  <c r="AJ50" i="14"/>
  <c r="AK50" i="14"/>
  <c r="AL50" i="14"/>
  <c r="AM50" i="14"/>
  <c r="AN50" i="14"/>
  <c r="AO50" i="14"/>
  <c r="AP50" i="14"/>
  <c r="AQ50" i="14"/>
  <c r="AR50" i="14"/>
  <c r="AS50" i="14"/>
  <c r="AT50" i="14"/>
  <c r="AU50" i="14"/>
  <c r="AV50" i="14"/>
  <c r="AW50" i="14"/>
  <c r="AX50" i="14"/>
  <c r="AY50" i="14"/>
  <c r="AZ50" i="14"/>
  <c r="BA50" i="14"/>
  <c r="BB50" i="14"/>
  <c r="BC50" i="14"/>
  <c r="BD50" i="14"/>
  <c r="BE50" i="14"/>
  <c r="BF50" i="14"/>
  <c r="BG50" i="14"/>
  <c r="BH50" i="14"/>
  <c r="BI50" i="14"/>
  <c r="BJ50" i="14"/>
  <c r="BK50" i="14"/>
  <c r="BL50" i="14"/>
  <c r="BM50" i="14"/>
  <c r="BN50" i="14"/>
  <c r="BO50" i="14"/>
  <c r="BP50" i="14"/>
  <c r="BQ50" i="14"/>
  <c r="BR50" i="14"/>
  <c r="BS50" i="14"/>
  <c r="BT50" i="14"/>
  <c r="C51" i="14"/>
  <c r="D51" i="14"/>
  <c r="E51" i="14"/>
  <c r="F51" i="14"/>
  <c r="G51" i="14"/>
  <c r="H51" i="14"/>
  <c r="I51" i="14"/>
  <c r="J51" i="14"/>
  <c r="K51" i="14"/>
  <c r="L51" i="14"/>
  <c r="M51" i="14"/>
  <c r="N51" i="14"/>
  <c r="O51" i="14"/>
  <c r="P51" i="14"/>
  <c r="Q51" i="14"/>
  <c r="R51" i="14"/>
  <c r="S51" i="14"/>
  <c r="T51" i="14"/>
  <c r="U51" i="14"/>
  <c r="V51" i="14"/>
  <c r="W51" i="14"/>
  <c r="X51" i="14"/>
  <c r="Y51" i="14"/>
  <c r="Z51" i="14"/>
  <c r="AA51" i="14"/>
  <c r="AB51" i="14"/>
  <c r="AC51" i="14"/>
  <c r="AD51" i="14"/>
  <c r="AE51" i="14"/>
  <c r="AF51" i="14"/>
  <c r="AG51" i="14"/>
  <c r="AH51" i="14"/>
  <c r="AI51" i="14"/>
  <c r="AJ51" i="14"/>
  <c r="AK51" i="14"/>
  <c r="AL51" i="14"/>
  <c r="AM51" i="14"/>
  <c r="AN51" i="14"/>
  <c r="AO51" i="14"/>
  <c r="AP51" i="14"/>
  <c r="AQ51" i="14"/>
  <c r="AR51" i="14"/>
  <c r="AS51" i="14"/>
  <c r="AT51" i="14"/>
  <c r="AU51" i="14"/>
  <c r="AV51" i="14"/>
  <c r="AW51" i="14"/>
  <c r="AX51" i="14"/>
  <c r="AY51" i="14"/>
  <c r="AZ51" i="14"/>
  <c r="BA51" i="14"/>
  <c r="BB51" i="14"/>
  <c r="BC51" i="14"/>
  <c r="BD51" i="14"/>
  <c r="BE51" i="14"/>
  <c r="BF51" i="14"/>
  <c r="BG51" i="14"/>
  <c r="BH51" i="14"/>
  <c r="BI51" i="14"/>
  <c r="BJ51" i="14"/>
  <c r="BK51" i="14"/>
  <c r="BL51" i="14"/>
  <c r="BM51" i="14"/>
  <c r="BN51" i="14"/>
  <c r="BO51" i="14"/>
  <c r="BP51" i="14"/>
  <c r="BQ51" i="14"/>
  <c r="BR51" i="14"/>
  <c r="BS51" i="14"/>
  <c r="BT51" i="14"/>
  <c r="C52" i="14"/>
  <c r="D52" i="14"/>
  <c r="E52" i="14"/>
  <c r="F52" i="14"/>
  <c r="G52" i="14"/>
  <c r="H52" i="14"/>
  <c r="I52" i="14"/>
  <c r="J52" i="14"/>
  <c r="K52" i="14"/>
  <c r="L52" i="14"/>
  <c r="M52" i="14"/>
  <c r="N52" i="14"/>
  <c r="O52" i="14"/>
  <c r="P52" i="14"/>
  <c r="Q52" i="14"/>
  <c r="R52" i="14"/>
  <c r="S52" i="14"/>
  <c r="T52" i="14"/>
  <c r="U52" i="14"/>
  <c r="V52" i="14"/>
  <c r="W52" i="14"/>
  <c r="X52" i="14"/>
  <c r="Y52" i="14"/>
  <c r="Z52" i="14"/>
  <c r="AA52" i="14"/>
  <c r="AB52" i="14"/>
  <c r="AC52" i="14"/>
  <c r="AD52" i="14"/>
  <c r="AE52" i="14"/>
  <c r="AF52" i="14"/>
  <c r="AG52" i="14"/>
  <c r="AH52" i="14"/>
  <c r="AI52" i="14"/>
  <c r="AJ52" i="14"/>
  <c r="AK52" i="14"/>
  <c r="AL52" i="14"/>
  <c r="AM52" i="14"/>
  <c r="AN52" i="14"/>
  <c r="AO52" i="14"/>
  <c r="AP52" i="14"/>
  <c r="AQ52" i="14"/>
  <c r="AR52" i="14"/>
  <c r="AS52" i="14"/>
  <c r="AT52" i="14"/>
  <c r="AU52" i="14"/>
  <c r="AV52" i="14"/>
  <c r="AW52" i="14"/>
  <c r="AX52" i="14"/>
  <c r="AY52" i="14"/>
  <c r="AZ52" i="14"/>
  <c r="BA52" i="14"/>
  <c r="BB52" i="14"/>
  <c r="BC52" i="14"/>
  <c r="BD52" i="14"/>
  <c r="BE52" i="14"/>
  <c r="BF52" i="14"/>
  <c r="BG52" i="14"/>
  <c r="BH52" i="14"/>
  <c r="BI52" i="14"/>
  <c r="BJ52" i="14"/>
  <c r="BK52" i="14"/>
  <c r="BL52" i="14"/>
  <c r="BM52" i="14"/>
  <c r="BN52" i="14"/>
  <c r="BO52" i="14"/>
  <c r="BP52" i="14"/>
  <c r="BQ52" i="14"/>
  <c r="BR52" i="14"/>
  <c r="BS52" i="14"/>
  <c r="BT52" i="14"/>
  <c r="C53" i="14"/>
  <c r="D53" i="14"/>
  <c r="E53" i="14"/>
  <c r="F53" i="14"/>
  <c r="G53" i="14"/>
  <c r="H53" i="14"/>
  <c r="I53" i="14"/>
  <c r="J53" i="14"/>
  <c r="K53" i="14"/>
  <c r="L53" i="14"/>
  <c r="M53" i="14"/>
  <c r="N53" i="14"/>
  <c r="O53" i="14"/>
  <c r="P53" i="14"/>
  <c r="Q53" i="14"/>
  <c r="R53" i="14"/>
  <c r="S53" i="14"/>
  <c r="T53" i="14"/>
  <c r="U53" i="14"/>
  <c r="V53" i="14"/>
  <c r="W53" i="14"/>
  <c r="X53" i="14"/>
  <c r="Y53" i="14"/>
  <c r="Z53" i="14"/>
  <c r="AA53" i="14"/>
  <c r="AB53" i="14"/>
  <c r="AC53" i="14"/>
  <c r="AD53" i="14"/>
  <c r="AE53" i="14"/>
  <c r="AF53" i="14"/>
  <c r="AG53" i="14"/>
  <c r="AH53" i="14"/>
  <c r="AI53" i="14"/>
  <c r="AJ53" i="14"/>
  <c r="AK53" i="14"/>
  <c r="AL53" i="14"/>
  <c r="AM53" i="14"/>
  <c r="AN53" i="14"/>
  <c r="AO53" i="14"/>
  <c r="AP53" i="14"/>
  <c r="AQ53" i="14"/>
  <c r="AR53" i="14"/>
  <c r="AS53" i="14"/>
  <c r="AT53" i="14"/>
  <c r="AU53" i="14"/>
  <c r="AV53" i="14"/>
  <c r="AW53" i="14"/>
  <c r="AX53" i="14"/>
  <c r="AY53" i="14"/>
  <c r="AZ53" i="14"/>
  <c r="BA53" i="14"/>
  <c r="BB53" i="14"/>
  <c r="BC53" i="14"/>
  <c r="BD53" i="14"/>
  <c r="BE53" i="14"/>
  <c r="BF53" i="14"/>
  <c r="BG53" i="14"/>
  <c r="BH53" i="14"/>
  <c r="BI53" i="14"/>
  <c r="BJ53" i="14"/>
  <c r="BK53" i="14"/>
  <c r="BL53" i="14"/>
  <c r="BM53" i="14"/>
  <c r="BN53" i="14"/>
  <c r="BO53" i="14"/>
  <c r="BP53" i="14"/>
  <c r="BQ53" i="14"/>
  <c r="BR53" i="14"/>
  <c r="BS53" i="14"/>
  <c r="BT53" i="14"/>
  <c r="C54" i="14"/>
  <c r="D54" i="14"/>
  <c r="E54" i="14"/>
  <c r="F54" i="14"/>
  <c r="G54" i="14"/>
  <c r="H54" i="14"/>
  <c r="I54" i="14"/>
  <c r="J54" i="14"/>
  <c r="K54" i="14"/>
  <c r="L54" i="14"/>
  <c r="M54" i="14"/>
  <c r="N54" i="14"/>
  <c r="O54" i="14"/>
  <c r="P54" i="14"/>
  <c r="Q54" i="14"/>
  <c r="R54" i="14"/>
  <c r="S54" i="14"/>
  <c r="T54" i="14"/>
  <c r="U54" i="14"/>
  <c r="V54" i="14"/>
  <c r="W54" i="14"/>
  <c r="X54" i="14"/>
  <c r="Y54" i="14"/>
  <c r="Z54" i="14"/>
  <c r="AA54" i="14"/>
  <c r="AB54" i="14"/>
  <c r="AC54" i="14"/>
  <c r="AD54" i="14"/>
  <c r="AE54" i="14"/>
  <c r="AF54" i="14"/>
  <c r="AG54" i="14"/>
  <c r="AH54" i="14"/>
  <c r="AI54" i="14"/>
  <c r="AJ54" i="14"/>
  <c r="AK54" i="14"/>
  <c r="AL54" i="14"/>
  <c r="AM54" i="14"/>
  <c r="AN54" i="14"/>
  <c r="AO54" i="14"/>
  <c r="AP54" i="14"/>
  <c r="AQ54" i="14"/>
  <c r="AR54" i="14"/>
  <c r="AS54" i="14"/>
  <c r="AT54" i="14"/>
  <c r="AU54" i="14"/>
  <c r="AV54" i="14"/>
  <c r="AW54" i="14"/>
  <c r="AX54" i="14"/>
  <c r="AY54" i="14"/>
  <c r="AZ54" i="14"/>
  <c r="BA54" i="14"/>
  <c r="BB54" i="14"/>
  <c r="BC54" i="14"/>
  <c r="BD54" i="14"/>
  <c r="BE54" i="14"/>
  <c r="BF54" i="14"/>
  <c r="BG54" i="14"/>
  <c r="BH54" i="14"/>
  <c r="BI54" i="14"/>
  <c r="BJ54" i="14"/>
  <c r="BK54" i="14"/>
  <c r="BL54" i="14"/>
  <c r="BM54" i="14"/>
  <c r="BN54" i="14"/>
  <c r="BO54" i="14"/>
  <c r="BP54" i="14"/>
  <c r="BQ54" i="14"/>
  <c r="BR54" i="14"/>
  <c r="BS54" i="14"/>
  <c r="BT54" i="14"/>
  <c r="C55" i="14"/>
  <c r="D55" i="14"/>
  <c r="E55" i="14"/>
  <c r="F55" i="14"/>
  <c r="G55" i="14"/>
  <c r="H55" i="14"/>
  <c r="I55" i="14"/>
  <c r="J55" i="14"/>
  <c r="K55" i="14"/>
  <c r="L55" i="14"/>
  <c r="M55" i="14"/>
  <c r="N55" i="14"/>
  <c r="O55" i="14"/>
  <c r="P55" i="14"/>
  <c r="Q55" i="14"/>
  <c r="R55" i="14"/>
  <c r="S55" i="14"/>
  <c r="T55" i="14"/>
  <c r="U55" i="14"/>
  <c r="V55" i="14"/>
  <c r="W55" i="14"/>
  <c r="X55" i="14"/>
  <c r="Y55" i="14"/>
  <c r="Z55" i="14"/>
  <c r="AA55" i="14"/>
  <c r="AB55" i="14"/>
  <c r="AC55" i="14"/>
  <c r="AD55" i="14"/>
  <c r="AE55" i="14"/>
  <c r="AF55" i="14"/>
  <c r="AG55" i="14"/>
  <c r="AH55" i="14"/>
  <c r="AI55" i="14"/>
  <c r="AJ55" i="14"/>
  <c r="AK55" i="14"/>
  <c r="AL55" i="14"/>
  <c r="AM55" i="14"/>
  <c r="AN55" i="14"/>
  <c r="AO55" i="14"/>
  <c r="AP55" i="14"/>
  <c r="AQ55" i="14"/>
  <c r="AR55" i="14"/>
  <c r="AS55" i="14"/>
  <c r="AT55" i="14"/>
  <c r="AU55" i="14"/>
  <c r="AV55" i="14"/>
  <c r="AW55" i="14"/>
  <c r="AX55" i="14"/>
  <c r="AY55" i="14"/>
  <c r="AZ55" i="14"/>
  <c r="BA55" i="14"/>
  <c r="BB55" i="14"/>
  <c r="BC55" i="14"/>
  <c r="BD55" i="14"/>
  <c r="BE55" i="14"/>
  <c r="BF55" i="14"/>
  <c r="BG55" i="14"/>
  <c r="BH55" i="14"/>
  <c r="BI55" i="14"/>
  <c r="BJ55" i="14"/>
  <c r="BK55" i="14"/>
  <c r="BL55" i="14"/>
  <c r="BM55" i="14"/>
  <c r="BN55" i="14"/>
  <c r="BO55" i="14"/>
  <c r="BP55" i="14"/>
  <c r="BQ55" i="14"/>
  <c r="BR55" i="14"/>
  <c r="BS55" i="14"/>
  <c r="BT55" i="14"/>
  <c r="C56" i="14"/>
  <c r="D56" i="14"/>
  <c r="E56" i="14"/>
  <c r="F56" i="14"/>
  <c r="G56" i="14"/>
  <c r="H56" i="14"/>
  <c r="I56" i="14"/>
  <c r="J56" i="14"/>
  <c r="K56" i="14"/>
  <c r="L56" i="14"/>
  <c r="M56" i="14"/>
  <c r="N56" i="14"/>
  <c r="O56" i="14"/>
  <c r="P56" i="14"/>
  <c r="Q56" i="14"/>
  <c r="R56" i="14"/>
  <c r="S56" i="14"/>
  <c r="T56" i="14"/>
  <c r="U56" i="14"/>
  <c r="V56" i="14"/>
  <c r="W56" i="14"/>
  <c r="X56" i="14"/>
  <c r="Y56" i="14"/>
  <c r="Z56" i="14"/>
  <c r="AA56" i="14"/>
  <c r="AB56" i="14"/>
  <c r="AC56" i="14"/>
  <c r="AD56" i="14"/>
  <c r="AE56" i="14"/>
  <c r="AF56" i="14"/>
  <c r="AG56" i="14"/>
  <c r="AH56" i="14"/>
  <c r="AI56" i="14"/>
  <c r="AJ56" i="14"/>
  <c r="AK56" i="14"/>
  <c r="AL56" i="14"/>
  <c r="AM56" i="14"/>
  <c r="AN56" i="14"/>
  <c r="AO56" i="14"/>
  <c r="AP56" i="14"/>
  <c r="AQ56" i="14"/>
  <c r="AR56" i="14"/>
  <c r="AS56" i="14"/>
  <c r="AT56" i="14"/>
  <c r="AU56" i="14"/>
  <c r="AV56" i="14"/>
  <c r="AW56" i="14"/>
  <c r="AX56" i="14"/>
  <c r="AY56" i="14"/>
  <c r="AZ56" i="14"/>
  <c r="BA56" i="14"/>
  <c r="BB56" i="14"/>
  <c r="BC56" i="14"/>
  <c r="BD56" i="14"/>
  <c r="BE56" i="14"/>
  <c r="BF56" i="14"/>
  <c r="BG56" i="14"/>
  <c r="BH56" i="14"/>
  <c r="BI56" i="14"/>
  <c r="BJ56" i="14"/>
  <c r="BK56" i="14"/>
  <c r="BL56" i="14"/>
  <c r="BM56" i="14"/>
  <c r="BN56" i="14"/>
  <c r="BO56" i="14"/>
  <c r="BP56" i="14"/>
  <c r="BQ56" i="14"/>
  <c r="BR56" i="14"/>
  <c r="BS56" i="14"/>
  <c r="BT56" i="14"/>
  <c r="C57" i="14"/>
  <c r="D57" i="14"/>
  <c r="E57" i="14"/>
  <c r="F57" i="14"/>
  <c r="G57" i="14"/>
  <c r="H57" i="14"/>
  <c r="I57" i="14"/>
  <c r="J57" i="14"/>
  <c r="K57" i="14"/>
  <c r="L57" i="14"/>
  <c r="M57" i="14"/>
  <c r="N57" i="14"/>
  <c r="O57" i="14"/>
  <c r="P57" i="14"/>
  <c r="Q57" i="14"/>
  <c r="R57" i="14"/>
  <c r="S57" i="14"/>
  <c r="T57" i="14"/>
  <c r="U57" i="14"/>
  <c r="V57" i="14"/>
  <c r="W57" i="14"/>
  <c r="X57" i="14"/>
  <c r="Y57" i="14"/>
  <c r="Z57" i="14"/>
  <c r="AA57" i="14"/>
  <c r="AB57" i="14"/>
  <c r="AC57" i="14"/>
  <c r="AD57" i="14"/>
  <c r="AE57" i="14"/>
  <c r="AF57" i="14"/>
  <c r="AG57" i="14"/>
  <c r="AH57" i="14"/>
  <c r="AI57" i="14"/>
  <c r="AJ57" i="14"/>
  <c r="AK57" i="14"/>
  <c r="AL57" i="14"/>
  <c r="AM57" i="14"/>
  <c r="AN57" i="14"/>
  <c r="AO57" i="14"/>
  <c r="AP57" i="14"/>
  <c r="AQ57" i="14"/>
  <c r="AR57" i="14"/>
  <c r="AS57" i="14"/>
  <c r="AT57" i="14"/>
  <c r="AU57" i="14"/>
  <c r="AV57" i="14"/>
  <c r="AW57" i="14"/>
  <c r="AX57" i="14"/>
  <c r="AY57" i="14"/>
  <c r="AZ57" i="14"/>
  <c r="BA57" i="14"/>
  <c r="BB57" i="14"/>
  <c r="BC57" i="14"/>
  <c r="BD57" i="14"/>
  <c r="BE57" i="14"/>
  <c r="BF57" i="14"/>
  <c r="BG57" i="14"/>
  <c r="BH57" i="14"/>
  <c r="BI57" i="14"/>
  <c r="BJ57" i="14"/>
  <c r="BK57" i="14"/>
  <c r="BL57" i="14"/>
  <c r="BM57" i="14"/>
  <c r="BN57" i="14"/>
  <c r="BO57" i="14"/>
  <c r="BP57" i="14"/>
  <c r="BQ57" i="14"/>
  <c r="BR57" i="14"/>
  <c r="BS57" i="14"/>
  <c r="BT57" i="14"/>
  <c r="C58" i="14"/>
  <c r="D58" i="14"/>
  <c r="E58" i="14"/>
  <c r="F58" i="14"/>
  <c r="G58" i="14"/>
  <c r="H58" i="14"/>
  <c r="I58" i="14"/>
  <c r="J58" i="14"/>
  <c r="K58" i="14"/>
  <c r="L58" i="14"/>
  <c r="M58" i="14"/>
  <c r="N58" i="14"/>
  <c r="O58" i="14"/>
  <c r="P58" i="14"/>
  <c r="Q58" i="14"/>
  <c r="R58" i="14"/>
  <c r="S58" i="14"/>
  <c r="T58" i="14"/>
  <c r="U58" i="14"/>
  <c r="V58" i="14"/>
  <c r="W58" i="14"/>
  <c r="X58" i="14"/>
  <c r="Y58" i="14"/>
  <c r="Z58" i="14"/>
  <c r="AA58" i="14"/>
  <c r="AB58" i="14"/>
  <c r="AC58" i="14"/>
  <c r="AD58" i="14"/>
  <c r="AE58" i="14"/>
  <c r="AF58" i="14"/>
  <c r="AG58" i="14"/>
  <c r="AH58" i="14"/>
  <c r="AI58" i="14"/>
  <c r="AJ58" i="14"/>
  <c r="AK58" i="14"/>
  <c r="AL58" i="14"/>
  <c r="AM58" i="14"/>
  <c r="AN58" i="14"/>
  <c r="AO58" i="14"/>
  <c r="AP58" i="14"/>
  <c r="AQ58" i="14"/>
  <c r="AR58" i="14"/>
  <c r="AS58" i="14"/>
  <c r="AT58" i="14"/>
  <c r="AU58" i="14"/>
  <c r="AV58" i="14"/>
  <c r="AW58" i="14"/>
  <c r="AX58" i="14"/>
  <c r="AY58" i="14"/>
  <c r="AZ58" i="14"/>
  <c r="BA58" i="14"/>
  <c r="BB58" i="14"/>
  <c r="BC58" i="14"/>
  <c r="BD58" i="14"/>
  <c r="BE58" i="14"/>
  <c r="BF58" i="14"/>
  <c r="BG58" i="14"/>
  <c r="BH58" i="14"/>
  <c r="BI58" i="14"/>
  <c r="BJ58" i="14"/>
  <c r="BK58" i="14"/>
  <c r="BL58" i="14"/>
  <c r="BM58" i="14"/>
  <c r="BN58" i="14"/>
  <c r="BO58" i="14"/>
  <c r="BP58" i="14"/>
  <c r="BQ58" i="14"/>
  <c r="BR58" i="14"/>
  <c r="BS58" i="14"/>
  <c r="BT58" i="14"/>
  <c r="C59" i="14"/>
  <c r="D59" i="14"/>
  <c r="E59" i="14"/>
  <c r="F59" i="14"/>
  <c r="G59" i="14"/>
  <c r="H59" i="14"/>
  <c r="I59" i="14"/>
  <c r="J59" i="14"/>
  <c r="K59" i="14"/>
  <c r="L59" i="14"/>
  <c r="M59" i="14"/>
  <c r="N59" i="14"/>
  <c r="O59" i="14"/>
  <c r="P59" i="14"/>
  <c r="Q59" i="14"/>
  <c r="R59" i="14"/>
  <c r="S59" i="14"/>
  <c r="T59" i="14"/>
  <c r="U59" i="14"/>
  <c r="V59" i="14"/>
  <c r="W59" i="14"/>
  <c r="X59" i="14"/>
  <c r="Y59" i="14"/>
  <c r="Z59" i="14"/>
  <c r="AA59" i="14"/>
  <c r="AB59" i="14"/>
  <c r="AC59" i="14"/>
  <c r="AD59" i="14"/>
  <c r="AE59" i="14"/>
  <c r="AF59" i="14"/>
  <c r="AG59" i="14"/>
  <c r="AH59" i="14"/>
  <c r="AI59" i="14"/>
  <c r="AJ59" i="14"/>
  <c r="AK59" i="14"/>
  <c r="AL59" i="14"/>
  <c r="AM59" i="14"/>
  <c r="AN59" i="14"/>
  <c r="AO59" i="14"/>
  <c r="AP59" i="14"/>
  <c r="AQ59" i="14"/>
  <c r="AR59" i="14"/>
  <c r="AS59" i="14"/>
  <c r="AT59" i="14"/>
  <c r="AU59" i="14"/>
  <c r="AV59" i="14"/>
  <c r="AW59" i="14"/>
  <c r="AX59" i="14"/>
  <c r="AY59" i="14"/>
  <c r="AZ59" i="14"/>
  <c r="BA59" i="14"/>
  <c r="BB59" i="14"/>
  <c r="BC59" i="14"/>
  <c r="BD59" i="14"/>
  <c r="BE59" i="14"/>
  <c r="BF59" i="14"/>
  <c r="BG59" i="14"/>
  <c r="BH59" i="14"/>
  <c r="BI59" i="14"/>
  <c r="BJ59" i="14"/>
  <c r="BK59" i="14"/>
  <c r="BL59" i="14"/>
  <c r="BM59" i="14"/>
  <c r="BN59" i="14"/>
  <c r="BO59" i="14"/>
  <c r="BP59" i="14"/>
  <c r="BQ59" i="14"/>
  <c r="BR59" i="14"/>
  <c r="BS59" i="14"/>
  <c r="BT59" i="14"/>
  <c r="C60" i="14"/>
  <c r="D60" i="14"/>
  <c r="E60" i="14"/>
  <c r="F60" i="14"/>
  <c r="G60" i="14"/>
  <c r="H60" i="14"/>
  <c r="I60" i="14"/>
  <c r="J60" i="14"/>
  <c r="K60" i="14"/>
  <c r="L60" i="14"/>
  <c r="M60" i="14"/>
  <c r="N60" i="14"/>
  <c r="O60" i="14"/>
  <c r="P60" i="14"/>
  <c r="Q60" i="14"/>
  <c r="R60" i="14"/>
  <c r="S60" i="14"/>
  <c r="T60" i="14"/>
  <c r="U60" i="14"/>
  <c r="V60" i="14"/>
  <c r="W60" i="14"/>
  <c r="X60" i="14"/>
  <c r="Y60" i="14"/>
  <c r="Z60" i="14"/>
  <c r="AA60" i="14"/>
  <c r="AB60" i="14"/>
  <c r="AC60" i="14"/>
  <c r="AD60" i="14"/>
  <c r="AE60" i="14"/>
  <c r="AF60" i="14"/>
  <c r="AG60" i="14"/>
  <c r="AH60" i="14"/>
  <c r="AI60" i="14"/>
  <c r="AJ60" i="14"/>
  <c r="AK60" i="14"/>
  <c r="AL60" i="14"/>
  <c r="AM60" i="14"/>
  <c r="AN60" i="14"/>
  <c r="AO60" i="14"/>
  <c r="AP60" i="14"/>
  <c r="AQ60" i="14"/>
  <c r="AR60" i="14"/>
  <c r="AS60" i="14"/>
  <c r="AT60" i="14"/>
  <c r="AU60" i="14"/>
  <c r="AV60" i="14"/>
  <c r="AW60" i="14"/>
  <c r="AX60" i="14"/>
  <c r="AY60" i="14"/>
  <c r="AZ60" i="14"/>
  <c r="BA60" i="14"/>
  <c r="BB60" i="14"/>
  <c r="BC60" i="14"/>
  <c r="BD60" i="14"/>
  <c r="BE60" i="14"/>
  <c r="BF60" i="14"/>
  <c r="BG60" i="14"/>
  <c r="BH60" i="14"/>
  <c r="BI60" i="14"/>
  <c r="BJ60" i="14"/>
  <c r="BK60" i="14"/>
  <c r="BL60" i="14"/>
  <c r="BM60" i="14"/>
  <c r="BN60" i="14"/>
  <c r="BO60" i="14"/>
  <c r="BP60" i="14"/>
  <c r="BQ60" i="14"/>
  <c r="BR60" i="14"/>
  <c r="BS60" i="14"/>
  <c r="BT60" i="14"/>
  <c r="C61" i="14"/>
  <c r="D61" i="14"/>
  <c r="E61" i="14"/>
  <c r="F61" i="14"/>
  <c r="G61" i="14"/>
  <c r="H61" i="14"/>
  <c r="I61" i="14"/>
  <c r="J61" i="14"/>
  <c r="K61" i="14"/>
  <c r="L61" i="14"/>
  <c r="M61" i="14"/>
  <c r="N61" i="14"/>
  <c r="O61" i="14"/>
  <c r="P61" i="14"/>
  <c r="Q61" i="14"/>
  <c r="R61" i="14"/>
  <c r="S61" i="14"/>
  <c r="T61" i="14"/>
  <c r="U61" i="14"/>
  <c r="V61" i="14"/>
  <c r="W61" i="14"/>
  <c r="X61" i="14"/>
  <c r="Y61" i="14"/>
  <c r="Z61" i="14"/>
  <c r="AA61" i="14"/>
  <c r="AB61" i="14"/>
  <c r="AC61" i="14"/>
  <c r="AD61" i="14"/>
  <c r="AE61" i="14"/>
  <c r="AF61" i="14"/>
  <c r="AG61" i="14"/>
  <c r="AH61" i="14"/>
  <c r="AI61" i="14"/>
  <c r="AJ61" i="14"/>
  <c r="AK61" i="14"/>
  <c r="AL61" i="14"/>
  <c r="AM61" i="14"/>
  <c r="AN61" i="14"/>
  <c r="AO61" i="14"/>
  <c r="AP61" i="14"/>
  <c r="AQ61" i="14"/>
  <c r="AR61" i="14"/>
  <c r="AS61" i="14"/>
  <c r="AT61" i="14"/>
  <c r="AU61" i="14"/>
  <c r="AV61" i="14"/>
  <c r="AW61" i="14"/>
  <c r="AX61" i="14"/>
  <c r="AY61" i="14"/>
  <c r="AZ61" i="14"/>
  <c r="BA61" i="14"/>
  <c r="BB61" i="14"/>
  <c r="BC61" i="14"/>
  <c r="BD61" i="14"/>
  <c r="BE61" i="14"/>
  <c r="BF61" i="14"/>
  <c r="BG61" i="14"/>
  <c r="BH61" i="14"/>
  <c r="BI61" i="14"/>
  <c r="BJ61" i="14"/>
  <c r="BK61" i="14"/>
  <c r="BL61" i="14"/>
  <c r="BM61" i="14"/>
  <c r="BN61" i="14"/>
  <c r="BO61" i="14"/>
  <c r="BP61" i="14"/>
  <c r="BQ61" i="14"/>
  <c r="BR61" i="14"/>
  <c r="BS61" i="14"/>
  <c r="BT61" i="14"/>
  <c r="C62" i="14"/>
  <c r="D62" i="14"/>
  <c r="E62" i="14"/>
  <c r="F62" i="14"/>
  <c r="G62" i="14"/>
  <c r="H62" i="14"/>
  <c r="I62" i="14"/>
  <c r="J62" i="14"/>
  <c r="K62" i="14"/>
  <c r="L62" i="14"/>
  <c r="M62" i="14"/>
  <c r="N62" i="14"/>
  <c r="O62" i="14"/>
  <c r="P62" i="14"/>
  <c r="Q62" i="14"/>
  <c r="R62" i="14"/>
  <c r="S62" i="14"/>
  <c r="T62" i="14"/>
  <c r="U62" i="14"/>
  <c r="V62" i="14"/>
  <c r="W62" i="14"/>
  <c r="X62" i="14"/>
  <c r="Y62" i="14"/>
  <c r="Z62" i="14"/>
  <c r="AA62" i="14"/>
  <c r="AB62" i="14"/>
  <c r="AC62" i="14"/>
  <c r="AD62" i="14"/>
  <c r="AE62" i="14"/>
  <c r="AF62" i="14"/>
  <c r="AG62" i="14"/>
  <c r="AH62" i="14"/>
  <c r="AI62" i="14"/>
  <c r="AJ62" i="14"/>
  <c r="AK62" i="14"/>
  <c r="AL62" i="14"/>
  <c r="AM62" i="14"/>
  <c r="AN62" i="14"/>
  <c r="AO62" i="14"/>
  <c r="AP62" i="14"/>
  <c r="AQ62" i="14"/>
  <c r="AR62" i="14"/>
  <c r="AS62" i="14"/>
  <c r="AT62" i="14"/>
  <c r="AU62" i="14"/>
  <c r="AV62" i="14"/>
  <c r="AW62" i="14"/>
  <c r="AX62" i="14"/>
  <c r="AY62" i="14"/>
  <c r="AZ62" i="14"/>
  <c r="BA62" i="14"/>
  <c r="BB62" i="14"/>
  <c r="BC62" i="14"/>
  <c r="BD62" i="14"/>
  <c r="BE62" i="14"/>
  <c r="BF62" i="14"/>
  <c r="BG62" i="14"/>
  <c r="BH62" i="14"/>
  <c r="BI62" i="14"/>
  <c r="BJ62" i="14"/>
  <c r="BK62" i="14"/>
  <c r="BL62" i="14"/>
  <c r="BM62" i="14"/>
  <c r="BN62" i="14"/>
  <c r="BO62" i="14"/>
  <c r="BP62" i="14"/>
  <c r="BQ62" i="14"/>
  <c r="BR62" i="14"/>
  <c r="BS62" i="14"/>
  <c r="BT62" i="14"/>
  <c r="C63" i="14"/>
  <c r="D63" i="14"/>
  <c r="E63" i="14"/>
  <c r="F63" i="14"/>
  <c r="G63" i="14"/>
  <c r="H63" i="14"/>
  <c r="I63" i="14"/>
  <c r="J63" i="14"/>
  <c r="K63" i="14"/>
  <c r="L63" i="14"/>
  <c r="M63" i="14"/>
  <c r="N63" i="14"/>
  <c r="O63" i="14"/>
  <c r="P63" i="14"/>
  <c r="Q63" i="14"/>
  <c r="R63" i="14"/>
  <c r="S63" i="14"/>
  <c r="T63" i="14"/>
  <c r="U63" i="14"/>
  <c r="V63" i="14"/>
  <c r="W63" i="14"/>
  <c r="X63" i="14"/>
  <c r="Y63" i="14"/>
  <c r="Z63" i="14"/>
  <c r="AA63" i="14"/>
  <c r="AB63" i="14"/>
  <c r="AC63" i="14"/>
  <c r="AD63" i="14"/>
  <c r="AE63" i="14"/>
  <c r="AF63" i="14"/>
  <c r="AG63" i="14"/>
  <c r="AH63" i="14"/>
  <c r="AI63" i="14"/>
  <c r="AJ63" i="14"/>
  <c r="AK63" i="14"/>
  <c r="AL63" i="14"/>
  <c r="AM63" i="14"/>
  <c r="AN63" i="14"/>
  <c r="AO63" i="14"/>
  <c r="AP63" i="14"/>
  <c r="AQ63" i="14"/>
  <c r="AR63" i="14"/>
  <c r="AS63" i="14"/>
  <c r="AT63" i="14"/>
  <c r="AU63" i="14"/>
  <c r="AV63" i="14"/>
  <c r="AW63" i="14"/>
  <c r="AX63" i="14"/>
  <c r="AY63" i="14"/>
  <c r="AZ63" i="14"/>
  <c r="BA63" i="14"/>
  <c r="BB63" i="14"/>
  <c r="BC63" i="14"/>
  <c r="BD63" i="14"/>
  <c r="BE63" i="14"/>
  <c r="BF63" i="14"/>
  <c r="BG63" i="14"/>
  <c r="BH63" i="14"/>
  <c r="BI63" i="14"/>
  <c r="BJ63" i="14"/>
  <c r="BK63" i="14"/>
  <c r="BL63" i="14"/>
  <c r="BM63" i="14"/>
  <c r="BN63" i="14"/>
  <c r="BO63" i="14"/>
  <c r="BP63" i="14"/>
  <c r="BQ63" i="14"/>
  <c r="BR63" i="14"/>
  <c r="BS63" i="14"/>
  <c r="BT63" i="14"/>
  <c r="C64" i="14"/>
  <c r="D64" i="14"/>
  <c r="E64" i="14"/>
  <c r="F64" i="14"/>
  <c r="G64" i="14"/>
  <c r="H64" i="14"/>
  <c r="I64" i="14"/>
  <c r="J64" i="14"/>
  <c r="K64" i="14"/>
  <c r="L64" i="14"/>
  <c r="M64" i="14"/>
  <c r="N64" i="14"/>
  <c r="O64" i="14"/>
  <c r="P64" i="14"/>
  <c r="Q64" i="14"/>
  <c r="R64" i="14"/>
  <c r="S64" i="14"/>
  <c r="T64" i="14"/>
  <c r="U64" i="14"/>
  <c r="V64" i="14"/>
  <c r="W64" i="14"/>
  <c r="X64" i="14"/>
  <c r="Y64" i="14"/>
  <c r="Z64" i="14"/>
  <c r="AA64" i="14"/>
  <c r="AB64" i="14"/>
  <c r="AC64" i="14"/>
  <c r="AD64" i="14"/>
  <c r="AE64" i="14"/>
  <c r="AF64" i="14"/>
  <c r="AG64" i="14"/>
  <c r="AH64" i="14"/>
  <c r="AI64" i="14"/>
  <c r="AJ64" i="14"/>
  <c r="AK64" i="14"/>
  <c r="AL64" i="14"/>
  <c r="AM64" i="14"/>
  <c r="AN64" i="14"/>
  <c r="AO64" i="14"/>
  <c r="AP64" i="14"/>
  <c r="AQ64" i="14"/>
  <c r="AR64" i="14"/>
  <c r="AS64" i="14"/>
  <c r="AT64" i="14"/>
  <c r="AU64" i="14"/>
  <c r="AV64" i="14"/>
  <c r="AW64" i="14"/>
  <c r="AX64" i="14"/>
  <c r="AY64" i="14"/>
  <c r="AZ64" i="14"/>
  <c r="BA64" i="14"/>
  <c r="BB64" i="14"/>
  <c r="BC64" i="14"/>
  <c r="BD64" i="14"/>
  <c r="BE64" i="14"/>
  <c r="BF64" i="14"/>
  <c r="BG64" i="14"/>
  <c r="BH64" i="14"/>
  <c r="BI64" i="14"/>
  <c r="BJ64" i="14"/>
  <c r="BK64" i="14"/>
  <c r="BL64" i="14"/>
  <c r="BM64" i="14"/>
  <c r="BN64" i="14"/>
  <c r="BO64" i="14"/>
  <c r="BP64" i="14"/>
  <c r="BQ64" i="14"/>
  <c r="BR64" i="14"/>
  <c r="BS64" i="14"/>
  <c r="BT64" i="14"/>
  <c r="C66" i="14"/>
  <c r="D66" i="14"/>
  <c r="E66" i="14"/>
  <c r="F66" i="14"/>
  <c r="G66" i="14"/>
  <c r="H66" i="14"/>
  <c r="I66" i="14"/>
  <c r="J66" i="14"/>
  <c r="K66" i="14"/>
  <c r="L66" i="14"/>
  <c r="M66" i="14"/>
  <c r="N66" i="14"/>
  <c r="O66" i="14"/>
  <c r="P66" i="14"/>
  <c r="Q66" i="14"/>
  <c r="R66" i="14"/>
  <c r="S66" i="14"/>
  <c r="T66" i="14"/>
  <c r="U66" i="14"/>
  <c r="V66" i="14"/>
  <c r="W66" i="14"/>
  <c r="X66" i="14"/>
  <c r="Y66" i="14"/>
  <c r="Z66" i="14"/>
  <c r="AA66" i="14"/>
  <c r="AB66" i="14"/>
  <c r="AC66" i="14"/>
  <c r="AD66" i="14"/>
  <c r="AE66" i="14"/>
  <c r="AF66" i="14"/>
  <c r="AG66" i="14"/>
  <c r="AH66" i="14"/>
  <c r="AI66" i="14"/>
  <c r="AJ66" i="14"/>
  <c r="AK66" i="14"/>
  <c r="AL66" i="14"/>
  <c r="AM66" i="14"/>
  <c r="AN66" i="14"/>
  <c r="AO66" i="14"/>
  <c r="AP66" i="14"/>
  <c r="AQ66" i="14"/>
  <c r="AR66" i="14"/>
  <c r="AS66" i="14"/>
  <c r="AT66" i="14"/>
  <c r="AU66" i="14"/>
  <c r="AV66" i="14"/>
  <c r="AW66" i="14"/>
  <c r="AX66" i="14"/>
  <c r="AY66" i="14"/>
  <c r="AZ66" i="14"/>
  <c r="BA66" i="14"/>
  <c r="BB66" i="14"/>
  <c r="BC66" i="14"/>
  <c r="BD66" i="14"/>
  <c r="BE66" i="14"/>
  <c r="BF66" i="14"/>
  <c r="BG66" i="14"/>
  <c r="BH66" i="14"/>
  <c r="BI66" i="14"/>
  <c r="BJ66" i="14"/>
  <c r="BK66" i="14"/>
  <c r="BL66" i="14"/>
  <c r="BM66" i="14"/>
  <c r="BN66" i="14"/>
  <c r="BO66" i="14"/>
  <c r="BP66" i="14"/>
  <c r="BQ66" i="14"/>
  <c r="BR66" i="14"/>
  <c r="BS66" i="14"/>
  <c r="BT66" i="14"/>
  <c r="C67" i="14"/>
  <c r="D67" i="14"/>
  <c r="E67" i="14"/>
  <c r="F67" i="14"/>
  <c r="G67" i="14"/>
  <c r="H67" i="14"/>
  <c r="I67" i="14"/>
  <c r="J67" i="14"/>
  <c r="K67" i="14"/>
  <c r="L67" i="14"/>
  <c r="M67" i="14"/>
  <c r="N67" i="14"/>
  <c r="O67" i="14"/>
  <c r="P67" i="14"/>
  <c r="Q67" i="14"/>
  <c r="R67" i="14"/>
  <c r="S67" i="14"/>
  <c r="T67" i="14"/>
  <c r="U67" i="14"/>
  <c r="V67" i="14"/>
  <c r="W67" i="14"/>
  <c r="X67" i="14"/>
  <c r="Y67" i="14"/>
  <c r="Z67" i="14"/>
  <c r="AA67" i="14"/>
  <c r="AB67" i="14"/>
  <c r="AC67" i="14"/>
  <c r="AD67" i="14"/>
  <c r="AE67" i="14"/>
  <c r="AF67" i="14"/>
  <c r="AG67" i="14"/>
  <c r="AH67" i="14"/>
  <c r="AI67" i="14"/>
  <c r="AJ67" i="14"/>
  <c r="AK67" i="14"/>
  <c r="AL67" i="14"/>
  <c r="AM67" i="14"/>
  <c r="AN67" i="14"/>
  <c r="AO67" i="14"/>
  <c r="AP67" i="14"/>
  <c r="AQ67" i="14"/>
  <c r="AR67" i="14"/>
  <c r="AS67" i="14"/>
  <c r="AT67" i="14"/>
  <c r="AU67" i="14"/>
  <c r="AV67" i="14"/>
  <c r="AW67" i="14"/>
  <c r="AX67" i="14"/>
  <c r="AY67" i="14"/>
  <c r="AZ67" i="14"/>
  <c r="BA67" i="14"/>
  <c r="BB67" i="14"/>
  <c r="BC67" i="14"/>
  <c r="BD67" i="14"/>
  <c r="BE67" i="14"/>
  <c r="BF67" i="14"/>
  <c r="BG67" i="14"/>
  <c r="BH67" i="14"/>
  <c r="BI67" i="14"/>
  <c r="BJ67" i="14"/>
  <c r="BK67" i="14"/>
  <c r="BL67" i="14"/>
  <c r="BM67" i="14"/>
  <c r="BN67" i="14"/>
  <c r="BO67" i="14"/>
  <c r="BP67" i="14"/>
  <c r="BQ67" i="14"/>
  <c r="BR67" i="14"/>
  <c r="BS67" i="14"/>
  <c r="BT67" i="14"/>
  <c r="C68" i="14"/>
  <c r="D68" i="14"/>
  <c r="E68" i="14"/>
  <c r="F68" i="14"/>
  <c r="G68" i="14"/>
  <c r="H68" i="14"/>
  <c r="I68" i="14"/>
  <c r="J68" i="14"/>
  <c r="K68" i="14"/>
  <c r="L68" i="14"/>
  <c r="M68" i="14"/>
  <c r="N68" i="14"/>
  <c r="O68" i="14"/>
  <c r="P68" i="14"/>
  <c r="Q68" i="14"/>
  <c r="R68" i="14"/>
  <c r="S68" i="14"/>
  <c r="T68" i="14"/>
  <c r="U68" i="14"/>
  <c r="V68" i="14"/>
  <c r="W68" i="14"/>
  <c r="X68" i="14"/>
  <c r="Y68" i="14"/>
  <c r="Z68" i="14"/>
  <c r="AA68" i="14"/>
  <c r="AB68" i="14"/>
  <c r="AC68" i="14"/>
  <c r="AD68" i="14"/>
  <c r="AE68" i="14"/>
  <c r="AF68" i="14"/>
  <c r="AG68" i="14"/>
  <c r="AH68" i="14"/>
  <c r="AI68" i="14"/>
  <c r="AJ68" i="14"/>
  <c r="AK68" i="14"/>
  <c r="AL68" i="14"/>
  <c r="AM68" i="14"/>
  <c r="AN68" i="14"/>
  <c r="AO68" i="14"/>
  <c r="AP68" i="14"/>
  <c r="AQ68" i="14"/>
  <c r="AR68" i="14"/>
  <c r="AS68" i="14"/>
  <c r="AT68" i="14"/>
  <c r="AU68" i="14"/>
  <c r="AV68" i="14"/>
  <c r="AW68" i="14"/>
  <c r="AX68" i="14"/>
  <c r="AY68" i="14"/>
  <c r="AZ68" i="14"/>
  <c r="BA68" i="14"/>
  <c r="BB68" i="14"/>
  <c r="BC68" i="14"/>
  <c r="BD68" i="14"/>
  <c r="BE68" i="14"/>
  <c r="BF68" i="14"/>
  <c r="BG68" i="14"/>
  <c r="BH68" i="14"/>
  <c r="BI68" i="14"/>
  <c r="BJ68" i="14"/>
  <c r="BK68" i="14"/>
  <c r="BL68" i="14"/>
  <c r="BM68" i="14"/>
  <c r="BN68" i="14"/>
  <c r="BO68" i="14"/>
  <c r="BP68" i="14"/>
  <c r="BQ68" i="14"/>
  <c r="BR68" i="14"/>
  <c r="BS68" i="14"/>
  <c r="BT68" i="14"/>
  <c r="C69" i="14"/>
  <c r="D69" i="14"/>
  <c r="E69" i="14"/>
  <c r="F69" i="14"/>
  <c r="G69" i="14"/>
  <c r="H69" i="14"/>
  <c r="I69" i="14"/>
  <c r="J69" i="14"/>
  <c r="K69" i="14"/>
  <c r="L69" i="14"/>
  <c r="M69" i="14"/>
  <c r="N69" i="14"/>
  <c r="O69" i="14"/>
  <c r="P69" i="14"/>
  <c r="Q69" i="14"/>
  <c r="R69" i="14"/>
  <c r="S69" i="14"/>
  <c r="T69" i="14"/>
  <c r="U69" i="14"/>
  <c r="V69" i="14"/>
  <c r="W69" i="14"/>
  <c r="X69" i="14"/>
  <c r="Y69" i="14"/>
  <c r="Z69" i="14"/>
  <c r="AA69" i="14"/>
  <c r="AB69" i="14"/>
  <c r="AC69" i="14"/>
  <c r="AD69" i="14"/>
  <c r="AE69" i="14"/>
  <c r="AF69" i="14"/>
  <c r="AG69" i="14"/>
  <c r="AH69" i="14"/>
  <c r="AI69" i="14"/>
  <c r="AJ69" i="14"/>
  <c r="AK69" i="14"/>
  <c r="AL69" i="14"/>
  <c r="AM69" i="14"/>
  <c r="AN69" i="14"/>
  <c r="AO69" i="14"/>
  <c r="AP69" i="14"/>
  <c r="AQ69" i="14"/>
  <c r="AR69" i="14"/>
  <c r="AS69" i="14"/>
  <c r="AT69" i="14"/>
  <c r="AU69" i="14"/>
  <c r="AV69" i="14"/>
  <c r="AW69" i="14"/>
  <c r="AX69" i="14"/>
  <c r="AY69" i="14"/>
  <c r="AZ69" i="14"/>
  <c r="BA69" i="14"/>
  <c r="BB69" i="14"/>
  <c r="BC69" i="14"/>
  <c r="BD69" i="14"/>
  <c r="BE69" i="14"/>
  <c r="BF69" i="14"/>
  <c r="BG69" i="14"/>
  <c r="BH69" i="14"/>
  <c r="BI69" i="14"/>
  <c r="BJ69" i="14"/>
  <c r="BK69" i="14"/>
  <c r="BL69" i="14"/>
  <c r="BM69" i="14"/>
  <c r="BN69" i="14"/>
  <c r="BO69" i="14"/>
  <c r="BP69" i="14"/>
  <c r="BQ69" i="14"/>
  <c r="BR69" i="14"/>
  <c r="BS69" i="14"/>
  <c r="BT69" i="14"/>
  <c r="C70" i="14"/>
  <c r="D70" i="14"/>
  <c r="E70" i="14"/>
  <c r="F70" i="14"/>
  <c r="G70" i="14"/>
  <c r="H70" i="14"/>
  <c r="I70" i="14"/>
  <c r="J70" i="14"/>
  <c r="K70" i="14"/>
  <c r="L70" i="14"/>
  <c r="M70" i="14"/>
  <c r="N70" i="14"/>
  <c r="O70" i="14"/>
  <c r="P70" i="14"/>
  <c r="Q70" i="14"/>
  <c r="R70" i="14"/>
  <c r="S70" i="14"/>
  <c r="T70" i="14"/>
  <c r="U70" i="14"/>
  <c r="V70" i="14"/>
  <c r="W70" i="14"/>
  <c r="X70" i="14"/>
  <c r="Y70" i="14"/>
  <c r="Z70" i="14"/>
  <c r="AA70" i="14"/>
  <c r="AB70" i="14"/>
  <c r="AC70" i="14"/>
  <c r="AD70" i="14"/>
  <c r="AE70" i="14"/>
  <c r="AF70" i="14"/>
  <c r="AG70" i="14"/>
  <c r="AH70" i="14"/>
  <c r="AI70" i="14"/>
  <c r="AJ70" i="14"/>
  <c r="AK70" i="14"/>
  <c r="AL70" i="14"/>
  <c r="AM70" i="14"/>
  <c r="AN70" i="14"/>
  <c r="AO70" i="14"/>
  <c r="AP70" i="14"/>
  <c r="AQ70" i="14"/>
  <c r="AR70" i="14"/>
  <c r="AS70" i="14"/>
  <c r="AT70" i="14"/>
  <c r="AU70" i="14"/>
  <c r="AV70" i="14"/>
  <c r="AW70" i="14"/>
  <c r="AX70" i="14"/>
  <c r="AY70" i="14"/>
  <c r="AZ70" i="14"/>
  <c r="BA70" i="14"/>
  <c r="BB70" i="14"/>
  <c r="BC70" i="14"/>
  <c r="BD70" i="14"/>
  <c r="BE70" i="14"/>
  <c r="BF70" i="14"/>
  <c r="BG70" i="14"/>
  <c r="BH70" i="14"/>
  <c r="BI70" i="14"/>
  <c r="BJ70" i="14"/>
  <c r="BK70" i="14"/>
  <c r="BL70" i="14"/>
  <c r="BM70" i="14"/>
  <c r="BN70" i="14"/>
  <c r="BO70" i="14"/>
  <c r="BP70" i="14"/>
  <c r="BQ70" i="14"/>
  <c r="BR70" i="14"/>
  <c r="BS70" i="14"/>
  <c r="BT70" i="14"/>
  <c r="C71" i="14"/>
  <c r="D71" i="14"/>
  <c r="E71" i="14"/>
  <c r="F71" i="14"/>
  <c r="G71" i="14"/>
  <c r="H71" i="14"/>
  <c r="I71" i="14"/>
  <c r="J71" i="14"/>
  <c r="K71" i="14"/>
  <c r="L71" i="14"/>
  <c r="M71" i="14"/>
  <c r="N71" i="14"/>
  <c r="O71" i="14"/>
  <c r="P71" i="14"/>
  <c r="Q71" i="14"/>
  <c r="R71" i="14"/>
  <c r="S71" i="14"/>
  <c r="T71" i="14"/>
  <c r="U71" i="14"/>
  <c r="V71" i="14"/>
  <c r="W71" i="14"/>
  <c r="X71" i="14"/>
  <c r="Y71" i="14"/>
  <c r="Z71" i="14"/>
  <c r="AA71" i="14"/>
  <c r="AB71" i="14"/>
  <c r="AC71" i="14"/>
  <c r="AD71" i="14"/>
  <c r="AE71" i="14"/>
  <c r="AF71" i="14"/>
  <c r="AG71" i="14"/>
  <c r="AH71" i="14"/>
  <c r="AI71" i="14"/>
  <c r="AJ71" i="14"/>
  <c r="AK71" i="14"/>
  <c r="AL71" i="14"/>
  <c r="AM71" i="14"/>
  <c r="AN71" i="14"/>
  <c r="AO71" i="14"/>
  <c r="AP71" i="14"/>
  <c r="AQ71" i="14"/>
  <c r="AR71" i="14"/>
  <c r="AS71" i="14"/>
  <c r="AT71" i="14"/>
  <c r="AU71" i="14"/>
  <c r="AV71" i="14"/>
  <c r="AW71" i="14"/>
  <c r="AX71" i="14"/>
  <c r="AY71" i="14"/>
  <c r="AZ71" i="14"/>
  <c r="BA71" i="14"/>
  <c r="BB71" i="14"/>
  <c r="BC71" i="14"/>
  <c r="BD71" i="14"/>
  <c r="BE71" i="14"/>
  <c r="BF71" i="14"/>
  <c r="BG71" i="14"/>
  <c r="BH71" i="14"/>
  <c r="BI71" i="14"/>
  <c r="BJ71" i="14"/>
  <c r="BK71" i="14"/>
  <c r="BL71" i="14"/>
  <c r="BM71" i="14"/>
  <c r="BN71" i="14"/>
  <c r="BO71" i="14"/>
  <c r="BP71" i="14"/>
  <c r="BQ71" i="14"/>
  <c r="BR71" i="14"/>
  <c r="BS71" i="14"/>
  <c r="BT71" i="14"/>
  <c r="C72" i="14"/>
  <c r="D72" i="14"/>
  <c r="E72" i="14"/>
  <c r="F72" i="14"/>
  <c r="G72" i="14"/>
  <c r="H72" i="14"/>
  <c r="I72" i="14"/>
  <c r="J72" i="14"/>
  <c r="K72" i="14"/>
  <c r="L72" i="14"/>
  <c r="M72" i="14"/>
  <c r="N72" i="14"/>
  <c r="O72" i="14"/>
  <c r="P72" i="14"/>
  <c r="Q72" i="14"/>
  <c r="R72" i="14"/>
  <c r="S72" i="14"/>
  <c r="T72" i="14"/>
  <c r="U72" i="14"/>
  <c r="V72" i="14"/>
  <c r="W72" i="14"/>
  <c r="X72" i="14"/>
  <c r="Y72" i="14"/>
  <c r="Z72" i="14"/>
  <c r="AA72" i="14"/>
  <c r="AB72" i="14"/>
  <c r="AC72" i="14"/>
  <c r="AD72" i="14"/>
  <c r="AE72" i="14"/>
  <c r="AF72" i="14"/>
  <c r="AG72" i="14"/>
  <c r="AH72" i="14"/>
  <c r="AI72" i="14"/>
  <c r="AJ72" i="14"/>
  <c r="AK72" i="14"/>
  <c r="AL72" i="14"/>
  <c r="AM72" i="14"/>
  <c r="AN72" i="14"/>
  <c r="AO72" i="14"/>
  <c r="AP72" i="14"/>
  <c r="AQ72" i="14"/>
  <c r="AR72" i="14"/>
  <c r="AS72" i="14"/>
  <c r="AT72" i="14"/>
  <c r="AU72" i="14"/>
  <c r="AV72" i="14"/>
  <c r="AW72" i="14"/>
  <c r="AX72" i="14"/>
  <c r="AY72" i="14"/>
  <c r="AZ72" i="14"/>
  <c r="BA72" i="14"/>
  <c r="BB72" i="14"/>
  <c r="BC72" i="14"/>
  <c r="BD72" i="14"/>
  <c r="BE72" i="14"/>
  <c r="BF72" i="14"/>
  <c r="BG72" i="14"/>
  <c r="BH72" i="14"/>
  <c r="BI72" i="14"/>
  <c r="BJ72" i="14"/>
  <c r="BK72" i="14"/>
  <c r="BL72" i="14"/>
  <c r="BM72" i="14"/>
  <c r="BN72" i="14"/>
  <c r="BO72" i="14"/>
  <c r="BP72" i="14"/>
  <c r="BQ72" i="14"/>
  <c r="BR72" i="14"/>
  <c r="BS72" i="14"/>
  <c r="BT72" i="14"/>
  <c r="C73" i="14"/>
  <c r="D73" i="14"/>
  <c r="E73" i="14"/>
  <c r="F73" i="14"/>
  <c r="G73" i="14"/>
  <c r="H73" i="14"/>
  <c r="I73" i="14"/>
  <c r="J73" i="14"/>
  <c r="K73" i="14"/>
  <c r="L73" i="14"/>
  <c r="M73" i="14"/>
  <c r="N73" i="14"/>
  <c r="O73" i="14"/>
  <c r="P73" i="14"/>
  <c r="Q73" i="14"/>
  <c r="R73" i="14"/>
  <c r="S73" i="14"/>
  <c r="T73" i="14"/>
  <c r="U73" i="14"/>
  <c r="V73" i="14"/>
  <c r="W73" i="14"/>
  <c r="X73" i="14"/>
  <c r="Y73" i="14"/>
  <c r="Z73" i="14"/>
  <c r="AA73" i="14"/>
  <c r="AB73" i="14"/>
  <c r="AC73" i="14"/>
  <c r="AD73" i="14"/>
  <c r="AE73" i="14"/>
  <c r="AF73" i="14"/>
  <c r="AG73" i="14"/>
  <c r="AH73" i="14"/>
  <c r="AI73" i="14"/>
  <c r="AJ73" i="14"/>
  <c r="AK73" i="14"/>
  <c r="AL73" i="14"/>
  <c r="AM73" i="14"/>
  <c r="AN73" i="14"/>
  <c r="AO73" i="14"/>
  <c r="AP73" i="14"/>
  <c r="AQ73" i="14"/>
  <c r="AR73" i="14"/>
  <c r="AS73" i="14"/>
  <c r="AT73" i="14"/>
  <c r="AU73" i="14"/>
  <c r="AV73" i="14"/>
  <c r="AW73" i="14"/>
  <c r="AX73" i="14"/>
  <c r="AY73" i="14"/>
  <c r="AZ73" i="14"/>
  <c r="BA73" i="14"/>
  <c r="BB73" i="14"/>
  <c r="BC73" i="14"/>
  <c r="BD73" i="14"/>
  <c r="BE73" i="14"/>
  <c r="BF73" i="14"/>
  <c r="BG73" i="14"/>
  <c r="BH73" i="14"/>
  <c r="BI73" i="14"/>
  <c r="BJ73" i="14"/>
  <c r="BK73" i="14"/>
  <c r="BL73" i="14"/>
  <c r="BM73" i="14"/>
  <c r="BN73" i="14"/>
  <c r="BO73" i="14"/>
  <c r="BP73" i="14"/>
  <c r="BQ73" i="14"/>
  <c r="BR73" i="14"/>
  <c r="BS73" i="14"/>
  <c r="BT73" i="14"/>
  <c r="C74" i="14"/>
  <c r="D74" i="14"/>
  <c r="E74" i="14"/>
  <c r="F74" i="14"/>
  <c r="G74" i="14"/>
  <c r="H74" i="14"/>
  <c r="I74" i="14"/>
  <c r="J74" i="14"/>
  <c r="K74" i="14"/>
  <c r="L74" i="14"/>
  <c r="M74" i="14"/>
  <c r="N74" i="14"/>
  <c r="O74" i="14"/>
  <c r="P74" i="14"/>
  <c r="Q74" i="14"/>
  <c r="R74" i="14"/>
  <c r="S74" i="14"/>
  <c r="T74" i="14"/>
  <c r="U74" i="14"/>
  <c r="V74" i="14"/>
  <c r="W74" i="14"/>
  <c r="X74" i="14"/>
  <c r="Y74" i="14"/>
  <c r="Z74" i="14"/>
  <c r="AA74" i="14"/>
  <c r="AB74" i="14"/>
  <c r="AC74" i="14"/>
  <c r="AD74" i="14"/>
  <c r="AE74" i="14"/>
  <c r="AF74" i="14"/>
  <c r="AG74" i="14"/>
  <c r="AH74" i="14"/>
  <c r="AI74" i="14"/>
  <c r="AJ74" i="14"/>
  <c r="AK74" i="14"/>
  <c r="AL74" i="14"/>
  <c r="AM74" i="14"/>
  <c r="AN74" i="14"/>
  <c r="AO74" i="14"/>
  <c r="AP74" i="14"/>
  <c r="AQ74" i="14"/>
  <c r="AR74" i="14"/>
  <c r="AS74" i="14"/>
  <c r="AT74" i="14"/>
  <c r="AU74" i="14"/>
  <c r="AV74" i="14"/>
  <c r="AW74" i="14"/>
  <c r="AX74" i="14"/>
  <c r="AY74" i="14"/>
  <c r="AZ74" i="14"/>
  <c r="BA74" i="14"/>
  <c r="BB74" i="14"/>
  <c r="BC74" i="14"/>
  <c r="BD74" i="14"/>
  <c r="BE74" i="14"/>
  <c r="BF74" i="14"/>
  <c r="BG74" i="14"/>
  <c r="BH74" i="14"/>
  <c r="BI74" i="14"/>
  <c r="BJ74" i="14"/>
  <c r="BK74" i="14"/>
  <c r="BL74" i="14"/>
  <c r="BM74" i="14"/>
  <c r="BN74" i="14"/>
  <c r="BO74" i="14"/>
  <c r="BP74" i="14"/>
  <c r="BQ74" i="14"/>
  <c r="BR74" i="14"/>
  <c r="BS74" i="14"/>
  <c r="BT74" i="14"/>
  <c r="C75" i="14"/>
  <c r="D75" i="14"/>
  <c r="E75" i="14"/>
  <c r="F75" i="14"/>
  <c r="G75" i="14"/>
  <c r="H75" i="14"/>
  <c r="I75" i="14"/>
  <c r="J75" i="14"/>
  <c r="K75" i="14"/>
  <c r="L75" i="14"/>
  <c r="M75" i="14"/>
  <c r="N75" i="14"/>
  <c r="O75" i="14"/>
  <c r="P75" i="14"/>
  <c r="Q75" i="14"/>
  <c r="R75" i="14"/>
  <c r="S75" i="14"/>
  <c r="T75" i="14"/>
  <c r="U75" i="14"/>
  <c r="V75" i="14"/>
  <c r="W75" i="14"/>
  <c r="X75" i="14"/>
  <c r="Y75" i="14"/>
  <c r="Z75" i="14"/>
  <c r="AA75" i="14"/>
  <c r="AB75" i="14"/>
  <c r="AC75" i="14"/>
  <c r="AD75" i="14"/>
  <c r="AE75" i="14"/>
  <c r="AF75" i="14"/>
  <c r="AG75" i="14"/>
  <c r="AH75" i="14"/>
  <c r="AI75" i="14"/>
  <c r="AJ75" i="14"/>
  <c r="AK75" i="14"/>
  <c r="AL75" i="14"/>
  <c r="AM75" i="14"/>
  <c r="AN75" i="14"/>
  <c r="AO75" i="14"/>
  <c r="AP75" i="14"/>
  <c r="AQ75" i="14"/>
  <c r="AR75" i="14"/>
  <c r="AS75" i="14"/>
  <c r="AT75" i="14"/>
  <c r="AU75" i="14"/>
  <c r="AV75" i="14"/>
  <c r="AW75" i="14"/>
  <c r="AX75" i="14"/>
  <c r="AY75" i="14"/>
  <c r="AZ75" i="14"/>
  <c r="BA75" i="14"/>
  <c r="BB75" i="14"/>
  <c r="BC75" i="14"/>
  <c r="BD75" i="14"/>
  <c r="BE75" i="14"/>
  <c r="BF75" i="14"/>
  <c r="BG75" i="14"/>
  <c r="BH75" i="14"/>
  <c r="BI75" i="14"/>
  <c r="BJ75" i="14"/>
  <c r="BK75" i="14"/>
  <c r="BL75" i="14"/>
  <c r="BM75" i="14"/>
  <c r="BN75" i="14"/>
  <c r="BO75" i="14"/>
  <c r="BP75" i="14"/>
  <c r="BQ75" i="14"/>
  <c r="BR75" i="14"/>
  <c r="BS75" i="14"/>
  <c r="BT75" i="14"/>
  <c r="C76" i="14"/>
  <c r="D76" i="14"/>
  <c r="E76" i="14"/>
  <c r="F76" i="14"/>
  <c r="G76" i="14"/>
  <c r="H76" i="14"/>
  <c r="I76" i="14"/>
  <c r="J76" i="14"/>
  <c r="K76" i="14"/>
  <c r="L76" i="14"/>
  <c r="M76" i="14"/>
  <c r="N76" i="14"/>
  <c r="O76" i="14"/>
  <c r="P76" i="14"/>
  <c r="Q76" i="14"/>
  <c r="R76" i="14"/>
  <c r="S76" i="14"/>
  <c r="T76" i="14"/>
  <c r="U76" i="14"/>
  <c r="V76" i="14"/>
  <c r="W76" i="14"/>
  <c r="X76" i="14"/>
  <c r="Y76" i="14"/>
  <c r="Z76" i="14"/>
  <c r="AA76" i="14"/>
  <c r="AB76" i="14"/>
  <c r="AC76" i="14"/>
  <c r="AD76" i="14"/>
  <c r="AE76" i="14"/>
  <c r="AF76" i="14"/>
  <c r="AG76" i="14"/>
  <c r="AH76" i="14"/>
  <c r="AI76" i="14"/>
  <c r="AJ76" i="14"/>
  <c r="AK76" i="14"/>
  <c r="AL76" i="14"/>
  <c r="AM76" i="14"/>
  <c r="AN76" i="14"/>
  <c r="AO76" i="14"/>
  <c r="AP76" i="14"/>
  <c r="AQ76" i="14"/>
  <c r="AR76" i="14"/>
  <c r="AS76" i="14"/>
  <c r="AT76" i="14"/>
  <c r="AU76" i="14"/>
  <c r="AV76" i="14"/>
  <c r="AW76" i="14"/>
  <c r="AX76" i="14"/>
  <c r="AY76" i="14"/>
  <c r="AZ76" i="14"/>
  <c r="BA76" i="14"/>
  <c r="BB76" i="14"/>
  <c r="BC76" i="14"/>
  <c r="BD76" i="14"/>
  <c r="BE76" i="14"/>
  <c r="BF76" i="14"/>
  <c r="BG76" i="14"/>
  <c r="BH76" i="14"/>
  <c r="BI76" i="14"/>
  <c r="BJ76" i="14"/>
  <c r="BK76" i="14"/>
  <c r="BL76" i="14"/>
  <c r="BM76" i="14"/>
  <c r="BN76" i="14"/>
  <c r="BO76" i="14"/>
  <c r="BP76" i="14"/>
  <c r="BQ76" i="14"/>
  <c r="BR76" i="14"/>
  <c r="BS76" i="14"/>
  <c r="BT76" i="14"/>
  <c r="C77" i="14"/>
  <c r="D77" i="14"/>
  <c r="E77" i="14"/>
  <c r="F77" i="14"/>
  <c r="G77" i="14"/>
  <c r="H77" i="14"/>
  <c r="I77" i="14"/>
  <c r="J77" i="14"/>
  <c r="K77" i="14"/>
  <c r="L77" i="14"/>
  <c r="M77" i="14"/>
  <c r="N77" i="14"/>
  <c r="O77" i="14"/>
  <c r="P77" i="14"/>
  <c r="Q77" i="14"/>
  <c r="R77" i="14"/>
  <c r="S77" i="14"/>
  <c r="T77" i="14"/>
  <c r="U77" i="14"/>
  <c r="V77" i="14"/>
  <c r="W77" i="14"/>
  <c r="X77" i="14"/>
  <c r="Y77" i="14"/>
  <c r="Z77" i="14"/>
  <c r="AA77" i="14"/>
  <c r="AB77" i="14"/>
  <c r="AC77" i="14"/>
  <c r="AD77" i="14"/>
  <c r="AE77" i="14"/>
  <c r="AF77" i="14"/>
  <c r="AG77" i="14"/>
  <c r="AH77" i="14"/>
  <c r="AI77" i="14"/>
  <c r="AJ77" i="14"/>
  <c r="AK77" i="14"/>
  <c r="AL77" i="14"/>
  <c r="AM77" i="14"/>
  <c r="AN77" i="14"/>
  <c r="AO77" i="14"/>
  <c r="AP77" i="14"/>
  <c r="AQ77" i="14"/>
  <c r="AR77" i="14"/>
  <c r="AS77" i="14"/>
  <c r="AT77" i="14"/>
  <c r="AU77" i="14"/>
  <c r="AV77" i="14"/>
  <c r="AW77" i="14"/>
  <c r="AX77" i="14"/>
  <c r="AY77" i="14"/>
  <c r="AZ77" i="14"/>
  <c r="BA77" i="14"/>
  <c r="BB77" i="14"/>
  <c r="BC77" i="14"/>
  <c r="BD77" i="14"/>
  <c r="BE77" i="14"/>
  <c r="BF77" i="14"/>
  <c r="BG77" i="14"/>
  <c r="BH77" i="14"/>
  <c r="BI77" i="14"/>
  <c r="BJ77" i="14"/>
  <c r="BK77" i="14"/>
  <c r="BL77" i="14"/>
  <c r="BM77" i="14"/>
  <c r="BN77" i="14"/>
  <c r="BO77" i="14"/>
  <c r="BP77" i="14"/>
  <c r="BQ77" i="14"/>
  <c r="BR77" i="14"/>
  <c r="BS77" i="14"/>
  <c r="BT77" i="14"/>
  <c r="C78" i="14"/>
  <c r="D78" i="14"/>
  <c r="E78" i="14"/>
  <c r="F78" i="14"/>
  <c r="G78" i="14"/>
  <c r="H78" i="14"/>
  <c r="I78" i="14"/>
  <c r="J78" i="14"/>
  <c r="K78" i="14"/>
  <c r="L78" i="14"/>
  <c r="M78" i="14"/>
  <c r="N78" i="14"/>
  <c r="O78" i="14"/>
  <c r="P78" i="14"/>
  <c r="Q78" i="14"/>
  <c r="R78" i="14"/>
  <c r="S78" i="14"/>
  <c r="T78" i="14"/>
  <c r="U78" i="14"/>
  <c r="V78" i="14"/>
  <c r="W78" i="14"/>
  <c r="X78" i="14"/>
  <c r="Y78" i="14"/>
  <c r="Z78" i="14"/>
  <c r="AA78" i="14"/>
  <c r="AB78" i="14"/>
  <c r="AC78" i="14"/>
  <c r="AD78" i="14"/>
  <c r="AE78" i="14"/>
  <c r="AF78" i="14"/>
  <c r="AG78" i="14"/>
  <c r="AH78" i="14"/>
  <c r="AI78" i="14"/>
  <c r="AJ78" i="14"/>
  <c r="AK78" i="14"/>
  <c r="AL78" i="14"/>
  <c r="AM78" i="14"/>
  <c r="AN78" i="14"/>
  <c r="AO78" i="14"/>
  <c r="AP78" i="14"/>
  <c r="AQ78" i="14"/>
  <c r="AR78" i="14"/>
  <c r="AS78" i="14"/>
  <c r="AT78" i="14"/>
  <c r="AU78" i="14"/>
  <c r="AV78" i="14"/>
  <c r="AW78" i="14"/>
  <c r="AX78" i="14"/>
  <c r="AY78" i="14"/>
  <c r="AZ78" i="14"/>
  <c r="BA78" i="14"/>
  <c r="BB78" i="14"/>
  <c r="BC78" i="14"/>
  <c r="BD78" i="14"/>
  <c r="BE78" i="14"/>
  <c r="BF78" i="14"/>
  <c r="BG78" i="14"/>
  <c r="BH78" i="14"/>
  <c r="BI78" i="14"/>
  <c r="BJ78" i="14"/>
  <c r="BK78" i="14"/>
  <c r="BL78" i="14"/>
  <c r="BM78" i="14"/>
  <c r="BN78" i="14"/>
  <c r="BO78" i="14"/>
  <c r="BP78" i="14"/>
  <c r="BQ78" i="14"/>
  <c r="BR78" i="14"/>
  <c r="BS78" i="14"/>
  <c r="BT78" i="14"/>
  <c r="C79" i="14"/>
  <c r="D79" i="14"/>
  <c r="E79" i="14"/>
  <c r="F79" i="14"/>
  <c r="G79" i="14"/>
  <c r="H79" i="14"/>
  <c r="I79" i="14"/>
  <c r="J79" i="14"/>
  <c r="K79" i="14"/>
  <c r="L79" i="14"/>
  <c r="M79" i="14"/>
  <c r="N79" i="14"/>
  <c r="O79" i="14"/>
  <c r="P79" i="14"/>
  <c r="Q79" i="14"/>
  <c r="R79" i="14"/>
  <c r="S79" i="14"/>
  <c r="T79" i="14"/>
  <c r="U79" i="14"/>
  <c r="V79" i="14"/>
  <c r="W79" i="14"/>
  <c r="X79" i="14"/>
  <c r="Y79" i="14"/>
  <c r="Z79" i="14"/>
  <c r="AA79" i="14"/>
  <c r="AB79" i="14"/>
  <c r="AC79" i="14"/>
  <c r="AD79" i="14"/>
  <c r="AE79" i="14"/>
  <c r="AF79" i="14"/>
  <c r="AG79" i="14"/>
  <c r="AH79" i="14"/>
  <c r="AI79" i="14"/>
  <c r="AJ79" i="14"/>
  <c r="AK79" i="14"/>
  <c r="AL79" i="14"/>
  <c r="AM79" i="14"/>
  <c r="AN79" i="14"/>
  <c r="AO79" i="14"/>
  <c r="AP79" i="14"/>
  <c r="AQ79" i="14"/>
  <c r="AR79" i="14"/>
  <c r="AS79" i="14"/>
  <c r="AT79" i="14"/>
  <c r="AU79" i="14"/>
  <c r="AV79" i="14"/>
  <c r="AW79" i="14"/>
  <c r="AX79" i="14"/>
  <c r="AY79" i="14"/>
  <c r="AZ79" i="14"/>
  <c r="BA79" i="14"/>
  <c r="BB79" i="14"/>
  <c r="BC79" i="14"/>
  <c r="BD79" i="14"/>
  <c r="BE79" i="14"/>
  <c r="BF79" i="14"/>
  <c r="BG79" i="14"/>
  <c r="BH79" i="14"/>
  <c r="BI79" i="14"/>
  <c r="BJ79" i="14"/>
  <c r="BK79" i="14"/>
  <c r="BL79" i="14"/>
  <c r="BM79" i="14"/>
  <c r="BN79" i="14"/>
  <c r="BO79" i="14"/>
  <c r="BP79" i="14"/>
  <c r="BQ79" i="14"/>
  <c r="BR79" i="14"/>
  <c r="BS79" i="14"/>
  <c r="BT79" i="14"/>
  <c r="C80" i="14"/>
  <c r="D80" i="14"/>
  <c r="E80" i="14"/>
  <c r="F80" i="14"/>
  <c r="G80" i="14"/>
  <c r="H80" i="14"/>
  <c r="I80" i="14"/>
  <c r="J80" i="14"/>
  <c r="K80" i="14"/>
  <c r="L80" i="14"/>
  <c r="M80" i="14"/>
  <c r="N80" i="14"/>
  <c r="O80" i="14"/>
  <c r="P80" i="14"/>
  <c r="Q80" i="14"/>
  <c r="R80" i="14"/>
  <c r="S80" i="14"/>
  <c r="T80" i="14"/>
  <c r="U80" i="14"/>
  <c r="V80" i="14"/>
  <c r="W80" i="14"/>
  <c r="X80" i="14"/>
  <c r="Y80" i="14"/>
  <c r="Z80" i="14"/>
  <c r="AA80" i="14"/>
  <c r="AB80" i="14"/>
  <c r="AC80" i="14"/>
  <c r="AD80" i="14"/>
  <c r="AE80" i="14"/>
  <c r="AF80" i="14"/>
  <c r="AG80" i="14"/>
  <c r="AH80" i="14"/>
  <c r="AI80" i="14"/>
  <c r="AJ80" i="14"/>
  <c r="AK80" i="14"/>
  <c r="AL80" i="14"/>
  <c r="AM80" i="14"/>
  <c r="AN80" i="14"/>
  <c r="AO80" i="14"/>
  <c r="AP80" i="14"/>
  <c r="AQ80" i="14"/>
  <c r="AR80" i="14"/>
  <c r="AS80" i="14"/>
  <c r="AT80" i="14"/>
  <c r="AU80" i="14"/>
  <c r="AV80" i="14"/>
  <c r="AW80" i="14"/>
  <c r="AX80" i="14"/>
  <c r="AY80" i="14"/>
  <c r="AZ80" i="14"/>
  <c r="BA80" i="14"/>
  <c r="BB80" i="14"/>
  <c r="BC80" i="14"/>
  <c r="BD80" i="14"/>
  <c r="BE80" i="14"/>
  <c r="BF80" i="14"/>
  <c r="BG80" i="14"/>
  <c r="BH80" i="14"/>
  <c r="BI80" i="14"/>
  <c r="BJ80" i="14"/>
  <c r="BK80" i="14"/>
  <c r="BL80" i="14"/>
  <c r="BM80" i="14"/>
  <c r="BN80" i="14"/>
  <c r="BO80" i="14"/>
  <c r="BP80" i="14"/>
  <c r="BQ80" i="14"/>
  <c r="BR80" i="14"/>
  <c r="BS80" i="14"/>
  <c r="BT80" i="14"/>
  <c r="C81" i="14"/>
  <c r="D81" i="14"/>
  <c r="E81" i="14"/>
  <c r="F81" i="14"/>
  <c r="G81" i="14"/>
  <c r="H81" i="14"/>
  <c r="I81" i="14"/>
  <c r="J81" i="14"/>
  <c r="K81" i="14"/>
  <c r="L81" i="14"/>
  <c r="M81" i="14"/>
  <c r="N81" i="14"/>
  <c r="O81" i="14"/>
  <c r="P81" i="14"/>
  <c r="Q81" i="14"/>
  <c r="R81" i="14"/>
  <c r="S81" i="14"/>
  <c r="T81" i="14"/>
  <c r="U81" i="14"/>
  <c r="V81" i="14"/>
  <c r="W81" i="14"/>
  <c r="X81" i="14"/>
  <c r="Y81" i="14"/>
  <c r="Z81" i="14"/>
  <c r="AA81" i="14"/>
  <c r="AB81" i="14"/>
  <c r="AC81" i="14"/>
  <c r="AD81" i="14"/>
  <c r="AE81" i="14"/>
  <c r="AF81" i="14"/>
  <c r="AG81" i="14"/>
  <c r="AH81" i="14"/>
  <c r="AI81" i="14"/>
  <c r="AJ81" i="14"/>
  <c r="AK81" i="14"/>
  <c r="AL81" i="14"/>
  <c r="AM81" i="14"/>
  <c r="AN81" i="14"/>
  <c r="AO81" i="14"/>
  <c r="AP81" i="14"/>
  <c r="AQ81" i="14"/>
  <c r="AR81" i="14"/>
  <c r="AS81" i="14"/>
  <c r="AT81" i="14"/>
  <c r="AU81" i="14"/>
  <c r="AV81" i="14"/>
  <c r="AW81" i="14"/>
  <c r="AX81" i="14"/>
  <c r="AY81" i="14"/>
  <c r="AZ81" i="14"/>
  <c r="BA81" i="14"/>
  <c r="BB81" i="14"/>
  <c r="BC81" i="14"/>
  <c r="BD81" i="14"/>
  <c r="BE81" i="14"/>
  <c r="BF81" i="14"/>
  <c r="BG81" i="14"/>
  <c r="BH81" i="14"/>
  <c r="BI81" i="14"/>
  <c r="BJ81" i="14"/>
  <c r="BK81" i="14"/>
  <c r="BL81" i="14"/>
  <c r="BM81" i="14"/>
  <c r="BN81" i="14"/>
  <c r="BO81" i="14"/>
  <c r="BP81" i="14"/>
  <c r="BQ81" i="14"/>
  <c r="BR81" i="14"/>
  <c r="BS81" i="14"/>
  <c r="BT81" i="14"/>
  <c r="C82" i="14"/>
  <c r="D82" i="14"/>
  <c r="E82" i="14"/>
  <c r="F82" i="14"/>
  <c r="G82" i="14"/>
  <c r="H82" i="14"/>
  <c r="I82" i="14"/>
  <c r="J82" i="14"/>
  <c r="K82" i="14"/>
  <c r="L82" i="14"/>
  <c r="M82" i="14"/>
  <c r="N82" i="14"/>
  <c r="O82" i="14"/>
  <c r="P82" i="14"/>
  <c r="Q82" i="14"/>
  <c r="R82" i="14"/>
  <c r="S82" i="14"/>
  <c r="T82" i="14"/>
  <c r="U82" i="14"/>
  <c r="V82" i="14"/>
  <c r="W82" i="14"/>
  <c r="X82" i="14"/>
  <c r="Y82" i="14"/>
  <c r="Z82" i="14"/>
  <c r="AA82" i="14"/>
  <c r="AB82" i="14"/>
  <c r="AC82" i="14"/>
  <c r="AD82" i="14"/>
  <c r="AE82" i="14"/>
  <c r="AF82" i="14"/>
  <c r="AG82" i="14"/>
  <c r="AH82" i="14"/>
  <c r="AI82" i="14"/>
  <c r="AJ82" i="14"/>
  <c r="AK82" i="14"/>
  <c r="AL82" i="14"/>
  <c r="AM82" i="14"/>
  <c r="AN82" i="14"/>
  <c r="AO82" i="14"/>
  <c r="AP82" i="14"/>
  <c r="AQ82" i="14"/>
  <c r="AR82" i="14"/>
  <c r="AS82" i="14"/>
  <c r="AT82" i="14"/>
  <c r="AU82" i="14"/>
  <c r="AV82" i="14"/>
  <c r="AW82" i="14"/>
  <c r="AX82" i="14"/>
  <c r="AY82" i="14"/>
  <c r="AZ82" i="14"/>
  <c r="BA82" i="14"/>
  <c r="BB82" i="14"/>
  <c r="BC82" i="14"/>
  <c r="BD82" i="14"/>
  <c r="BE82" i="14"/>
  <c r="BF82" i="14"/>
  <c r="BG82" i="14"/>
  <c r="BH82" i="14"/>
  <c r="BI82" i="14"/>
  <c r="BJ82" i="14"/>
  <c r="BK82" i="14"/>
  <c r="BL82" i="14"/>
  <c r="BM82" i="14"/>
  <c r="BN82" i="14"/>
  <c r="BO82" i="14"/>
  <c r="BP82" i="14"/>
  <c r="BQ82" i="14"/>
  <c r="BR82" i="14"/>
  <c r="BS82" i="14"/>
  <c r="BT82" i="14"/>
  <c r="C83" i="14"/>
  <c r="D83" i="14"/>
  <c r="E83" i="14"/>
  <c r="F83" i="14"/>
  <c r="G83" i="14"/>
  <c r="H83" i="14"/>
  <c r="I83" i="14"/>
  <c r="J83" i="14"/>
  <c r="K83" i="14"/>
  <c r="L83" i="14"/>
  <c r="M83" i="14"/>
  <c r="N83" i="14"/>
  <c r="O83" i="14"/>
  <c r="P83" i="14"/>
  <c r="Q83" i="14"/>
  <c r="R83" i="14"/>
  <c r="S83" i="14"/>
  <c r="T83" i="14"/>
  <c r="U83" i="14"/>
  <c r="V83" i="14"/>
  <c r="W83" i="14"/>
  <c r="X83" i="14"/>
  <c r="Y83" i="14"/>
  <c r="Z83" i="14"/>
  <c r="AA83" i="14"/>
  <c r="AB83" i="14"/>
  <c r="AC83" i="14"/>
  <c r="AD83" i="14"/>
  <c r="AE83" i="14"/>
  <c r="AF83" i="14"/>
  <c r="AG83" i="14"/>
  <c r="AH83" i="14"/>
  <c r="AI83" i="14"/>
  <c r="AJ83" i="14"/>
  <c r="AK83" i="14"/>
  <c r="AL83" i="14"/>
  <c r="AM83" i="14"/>
  <c r="AN83" i="14"/>
  <c r="AO83" i="14"/>
  <c r="AP83" i="14"/>
  <c r="AQ83" i="14"/>
  <c r="AR83" i="14"/>
  <c r="AS83" i="14"/>
  <c r="AT83" i="14"/>
  <c r="AU83" i="14"/>
  <c r="AV83" i="14"/>
  <c r="AW83" i="14"/>
  <c r="AX83" i="14"/>
  <c r="AY83" i="14"/>
  <c r="AZ83" i="14"/>
  <c r="BA83" i="14"/>
  <c r="BB83" i="14"/>
  <c r="BC83" i="14"/>
  <c r="BD83" i="14"/>
  <c r="BE83" i="14"/>
  <c r="BF83" i="14"/>
  <c r="BG83" i="14"/>
  <c r="BH83" i="14"/>
  <c r="BI83" i="14"/>
  <c r="BJ83" i="14"/>
  <c r="BK83" i="14"/>
  <c r="BL83" i="14"/>
  <c r="BM83" i="14"/>
  <c r="BN83" i="14"/>
  <c r="BO83" i="14"/>
  <c r="BP83" i="14"/>
  <c r="BQ83" i="14"/>
  <c r="BR83" i="14"/>
  <c r="BS83" i="14"/>
  <c r="BT83" i="14"/>
  <c r="C84" i="14"/>
  <c r="D84" i="14"/>
  <c r="E84" i="14"/>
  <c r="F84" i="14"/>
  <c r="G84" i="14"/>
  <c r="H84" i="14"/>
  <c r="I84" i="14"/>
  <c r="J84" i="14"/>
  <c r="K84" i="14"/>
  <c r="L84" i="14"/>
  <c r="M84" i="14"/>
  <c r="N84" i="14"/>
  <c r="O84" i="14"/>
  <c r="P84" i="14"/>
  <c r="Q84" i="14"/>
  <c r="R84" i="14"/>
  <c r="S84" i="14"/>
  <c r="T84" i="14"/>
  <c r="U84" i="14"/>
  <c r="V84" i="14"/>
  <c r="W84" i="14"/>
  <c r="X84" i="14"/>
  <c r="Y84" i="14"/>
  <c r="Z84" i="14"/>
  <c r="AA84" i="14"/>
  <c r="AB84" i="14"/>
  <c r="AC84" i="14"/>
  <c r="AD84" i="14"/>
  <c r="AE84" i="14"/>
  <c r="AF84" i="14"/>
  <c r="AG84" i="14"/>
  <c r="AH84" i="14"/>
  <c r="AI84" i="14"/>
  <c r="AJ84" i="14"/>
  <c r="AK84" i="14"/>
  <c r="AL84" i="14"/>
  <c r="AM84" i="14"/>
  <c r="AN84" i="14"/>
  <c r="AO84" i="14"/>
  <c r="AP84" i="14"/>
  <c r="AQ84" i="14"/>
  <c r="AR84" i="14"/>
  <c r="AS84" i="14"/>
  <c r="AT84" i="14"/>
  <c r="AU84" i="14"/>
  <c r="AV84" i="14"/>
  <c r="AW84" i="14"/>
  <c r="AX84" i="14"/>
  <c r="AY84" i="14"/>
  <c r="AZ84" i="14"/>
  <c r="BA84" i="14"/>
  <c r="BB84" i="14"/>
  <c r="BC84" i="14"/>
  <c r="BD84" i="14"/>
  <c r="BE84" i="14"/>
  <c r="BF84" i="14"/>
  <c r="BG84" i="14"/>
  <c r="BH84" i="14"/>
  <c r="BI84" i="14"/>
  <c r="BJ84" i="14"/>
  <c r="BK84" i="14"/>
  <c r="BL84" i="14"/>
  <c r="BM84" i="14"/>
  <c r="BN84" i="14"/>
  <c r="BO84" i="14"/>
  <c r="BP84" i="14"/>
  <c r="BQ84" i="14"/>
  <c r="BR84" i="14"/>
  <c r="BS84" i="14"/>
  <c r="BT84" i="14"/>
  <c r="C85" i="14"/>
  <c r="D85" i="14"/>
  <c r="E85" i="14"/>
  <c r="F85" i="14"/>
  <c r="G85" i="14"/>
  <c r="H85" i="14"/>
  <c r="I85" i="14"/>
  <c r="J85" i="14"/>
  <c r="K85" i="14"/>
  <c r="L85" i="14"/>
  <c r="M85" i="14"/>
  <c r="N85" i="14"/>
  <c r="O85" i="14"/>
  <c r="P85" i="14"/>
  <c r="Q85" i="14"/>
  <c r="R85" i="14"/>
  <c r="S85" i="14"/>
  <c r="T85" i="14"/>
  <c r="U85" i="14"/>
  <c r="V85" i="14"/>
  <c r="W85" i="14"/>
  <c r="X85" i="14"/>
  <c r="Y85" i="14"/>
  <c r="Z85" i="14"/>
  <c r="AA85" i="14"/>
  <c r="AB85" i="14"/>
  <c r="AC85" i="14"/>
  <c r="AD85" i="14"/>
  <c r="AE85" i="14"/>
  <c r="AF85" i="14"/>
  <c r="AG85" i="14"/>
  <c r="AH85" i="14"/>
  <c r="AI85" i="14"/>
  <c r="AJ85" i="14"/>
  <c r="AK85" i="14"/>
  <c r="AL85" i="14"/>
  <c r="AM85" i="14"/>
  <c r="AN85" i="14"/>
  <c r="AO85" i="14"/>
  <c r="AP85" i="14"/>
  <c r="AQ85" i="14"/>
  <c r="AR85" i="14"/>
  <c r="AS85" i="14"/>
  <c r="AT85" i="14"/>
  <c r="AU85" i="14"/>
  <c r="AV85" i="14"/>
  <c r="AW85" i="14"/>
  <c r="AX85" i="14"/>
  <c r="AY85" i="14"/>
  <c r="AZ85" i="14"/>
  <c r="BA85" i="14"/>
  <c r="BB85" i="14"/>
  <c r="BC85" i="14"/>
  <c r="BD85" i="14"/>
  <c r="BE85" i="14"/>
  <c r="BF85" i="14"/>
  <c r="BG85" i="14"/>
  <c r="BH85" i="14"/>
  <c r="BI85" i="14"/>
  <c r="BJ85" i="14"/>
  <c r="BK85" i="14"/>
  <c r="BL85" i="14"/>
  <c r="BM85" i="14"/>
  <c r="BN85" i="14"/>
  <c r="BO85" i="14"/>
  <c r="BP85" i="14"/>
  <c r="BQ85" i="14"/>
  <c r="BR85" i="14"/>
  <c r="BS85" i="14"/>
  <c r="BT85" i="14"/>
  <c r="C86" i="14"/>
  <c r="D86" i="14"/>
  <c r="E86" i="14"/>
  <c r="F86" i="14"/>
  <c r="G86" i="14"/>
  <c r="H86" i="14"/>
  <c r="I86" i="14"/>
  <c r="J86" i="14"/>
  <c r="K86" i="14"/>
  <c r="L86" i="14"/>
  <c r="M86" i="14"/>
  <c r="N86" i="14"/>
  <c r="O86" i="14"/>
  <c r="P86" i="14"/>
  <c r="Q86" i="14"/>
  <c r="R86" i="14"/>
  <c r="S86" i="14"/>
  <c r="T86" i="14"/>
  <c r="U86" i="14"/>
  <c r="V86" i="14"/>
  <c r="W86" i="14"/>
  <c r="X86" i="14"/>
  <c r="Y86" i="14"/>
  <c r="Z86" i="14"/>
  <c r="AA86" i="14"/>
  <c r="AB86" i="14"/>
  <c r="AC86" i="14"/>
  <c r="AD86" i="14"/>
  <c r="AE86" i="14"/>
  <c r="AF86" i="14"/>
  <c r="AG86" i="14"/>
  <c r="AH86" i="14"/>
  <c r="AI86" i="14"/>
  <c r="AJ86" i="14"/>
  <c r="AK86" i="14"/>
  <c r="AL86" i="14"/>
  <c r="AM86" i="14"/>
  <c r="AN86" i="14"/>
  <c r="AO86" i="14"/>
  <c r="AP86" i="14"/>
  <c r="AQ86" i="14"/>
  <c r="AR86" i="14"/>
  <c r="AS86" i="14"/>
  <c r="AT86" i="14"/>
  <c r="AU86" i="14"/>
  <c r="AV86" i="14"/>
  <c r="AW86" i="14"/>
  <c r="AX86" i="14"/>
  <c r="AY86" i="14"/>
  <c r="AZ86" i="14"/>
  <c r="BA86" i="14"/>
  <c r="BB86" i="14"/>
  <c r="BC86" i="14"/>
  <c r="BD86" i="14"/>
  <c r="BE86" i="14"/>
  <c r="BF86" i="14"/>
  <c r="BG86" i="14"/>
  <c r="BH86" i="14"/>
  <c r="BI86" i="14"/>
  <c r="BJ86" i="14"/>
  <c r="BK86" i="14"/>
  <c r="BL86" i="14"/>
  <c r="BM86" i="14"/>
  <c r="BN86" i="14"/>
  <c r="BO86" i="14"/>
  <c r="BP86" i="14"/>
  <c r="BQ86" i="14"/>
  <c r="BR86" i="14"/>
  <c r="BS86" i="14"/>
  <c r="BT86" i="14"/>
  <c r="C87" i="14"/>
  <c r="D87" i="14"/>
  <c r="E87" i="14"/>
  <c r="F87" i="14"/>
  <c r="G87" i="14"/>
  <c r="H87" i="14"/>
  <c r="I87" i="14"/>
  <c r="J87" i="14"/>
  <c r="K87" i="14"/>
  <c r="L87" i="14"/>
  <c r="M87" i="14"/>
  <c r="N87" i="14"/>
  <c r="O87" i="14"/>
  <c r="P87" i="14"/>
  <c r="Q87" i="14"/>
  <c r="R87" i="14"/>
  <c r="S87" i="14"/>
  <c r="T87" i="14"/>
  <c r="U87" i="14"/>
  <c r="V87" i="14"/>
  <c r="W87" i="14"/>
  <c r="X87" i="14"/>
  <c r="Y87" i="14"/>
  <c r="Z87" i="14"/>
  <c r="AA87" i="14"/>
  <c r="AB87" i="14"/>
  <c r="AC87" i="14"/>
  <c r="AD87" i="14"/>
  <c r="AE87" i="14"/>
  <c r="AF87" i="14"/>
  <c r="AG87" i="14"/>
  <c r="AH87" i="14"/>
  <c r="AI87" i="14"/>
  <c r="AJ87" i="14"/>
  <c r="AK87" i="14"/>
  <c r="AL87" i="14"/>
  <c r="AM87" i="14"/>
  <c r="AN87" i="14"/>
  <c r="AO87" i="14"/>
  <c r="AP87" i="14"/>
  <c r="AQ87" i="14"/>
  <c r="AR87" i="14"/>
  <c r="AS87" i="14"/>
  <c r="AT87" i="14"/>
  <c r="AU87" i="14"/>
  <c r="AV87" i="14"/>
  <c r="AW87" i="14"/>
  <c r="AX87" i="14"/>
  <c r="AY87" i="14"/>
  <c r="AZ87" i="14"/>
  <c r="BA87" i="14"/>
  <c r="BB87" i="14"/>
  <c r="BC87" i="14"/>
  <c r="BD87" i="14"/>
  <c r="BE87" i="14"/>
  <c r="BF87" i="14"/>
  <c r="BG87" i="14"/>
  <c r="BH87" i="14"/>
  <c r="BI87" i="14"/>
  <c r="BJ87" i="14"/>
  <c r="BK87" i="14"/>
  <c r="BL87" i="14"/>
  <c r="BM87" i="14"/>
  <c r="BN87" i="14"/>
  <c r="BO87" i="14"/>
  <c r="BP87" i="14"/>
  <c r="BQ87" i="14"/>
  <c r="BR87" i="14"/>
  <c r="BS87" i="14"/>
  <c r="BT87" i="14"/>
  <c r="C88" i="14"/>
  <c r="D88" i="14"/>
  <c r="E88" i="14"/>
  <c r="F88" i="14"/>
  <c r="G88" i="14"/>
  <c r="H88" i="14"/>
  <c r="I88" i="14"/>
  <c r="J88" i="14"/>
  <c r="K88" i="14"/>
  <c r="L88" i="14"/>
  <c r="M88" i="14"/>
  <c r="N88" i="14"/>
  <c r="O88" i="14"/>
  <c r="P88" i="14"/>
  <c r="Q88" i="14"/>
  <c r="R88" i="14"/>
  <c r="S88" i="14"/>
  <c r="T88" i="14"/>
  <c r="U88" i="14"/>
  <c r="V88" i="14"/>
  <c r="W88" i="14"/>
  <c r="X88" i="14"/>
  <c r="Y88" i="14"/>
  <c r="Z88" i="14"/>
  <c r="AA88" i="14"/>
  <c r="AB88" i="14"/>
  <c r="AC88" i="14"/>
  <c r="AD88" i="14"/>
  <c r="AE88" i="14"/>
  <c r="AF88" i="14"/>
  <c r="AG88" i="14"/>
  <c r="AH88" i="14"/>
  <c r="AI88" i="14"/>
  <c r="AJ88" i="14"/>
  <c r="AK88" i="14"/>
  <c r="AL88" i="14"/>
  <c r="AM88" i="14"/>
  <c r="AN88" i="14"/>
  <c r="AO88" i="14"/>
  <c r="AP88" i="14"/>
  <c r="AQ88" i="14"/>
  <c r="AR88" i="14"/>
  <c r="AS88" i="14"/>
  <c r="AT88" i="14"/>
  <c r="AU88" i="14"/>
  <c r="AV88" i="14"/>
  <c r="AW88" i="14"/>
  <c r="AX88" i="14"/>
  <c r="AY88" i="14"/>
  <c r="AZ88" i="14"/>
  <c r="BA88" i="14"/>
  <c r="BB88" i="14"/>
  <c r="BC88" i="14"/>
  <c r="BD88" i="14"/>
  <c r="BE88" i="14"/>
  <c r="BF88" i="14"/>
  <c r="BG88" i="14"/>
  <c r="BH88" i="14"/>
  <c r="BI88" i="14"/>
  <c r="BJ88" i="14"/>
  <c r="BK88" i="14"/>
  <c r="BL88" i="14"/>
  <c r="BM88" i="14"/>
  <c r="BN88" i="14"/>
  <c r="BO88" i="14"/>
  <c r="BP88" i="14"/>
  <c r="BQ88" i="14"/>
  <c r="BR88" i="14"/>
  <c r="BS88" i="14"/>
  <c r="BT88" i="14"/>
  <c r="C89" i="14"/>
  <c r="D89" i="14"/>
  <c r="E89" i="14"/>
  <c r="F89" i="14"/>
  <c r="G89" i="14"/>
  <c r="H89" i="14"/>
  <c r="I89" i="14"/>
  <c r="J89" i="14"/>
  <c r="K89" i="14"/>
  <c r="L89" i="14"/>
  <c r="M89" i="14"/>
  <c r="N89" i="14"/>
  <c r="O89" i="14"/>
  <c r="P89" i="14"/>
  <c r="Q89" i="14"/>
  <c r="R89" i="14"/>
  <c r="S89" i="14"/>
  <c r="T89" i="14"/>
  <c r="U89" i="14"/>
  <c r="V89" i="14"/>
  <c r="W89" i="14"/>
  <c r="X89" i="14"/>
  <c r="Y89" i="14"/>
  <c r="Z89" i="14"/>
  <c r="AA89" i="14"/>
  <c r="AB89" i="14"/>
  <c r="AC89" i="14"/>
  <c r="AD89" i="14"/>
  <c r="AE89" i="14"/>
  <c r="AF89" i="14"/>
  <c r="AG89" i="14"/>
  <c r="AH89" i="14"/>
  <c r="AI89" i="14"/>
  <c r="AJ89" i="14"/>
  <c r="AK89" i="14"/>
  <c r="AL89" i="14"/>
  <c r="AM89" i="14"/>
  <c r="AN89" i="14"/>
  <c r="AO89" i="14"/>
  <c r="AP89" i="14"/>
  <c r="AQ89" i="14"/>
  <c r="AR89" i="14"/>
  <c r="AS89" i="14"/>
  <c r="AT89" i="14"/>
  <c r="AU89" i="14"/>
  <c r="AV89" i="14"/>
  <c r="AW89" i="14"/>
  <c r="AX89" i="14"/>
  <c r="AY89" i="14"/>
  <c r="AZ89" i="14"/>
  <c r="BA89" i="14"/>
  <c r="BB89" i="14"/>
  <c r="BC89" i="14"/>
  <c r="BD89" i="14"/>
  <c r="BE89" i="14"/>
  <c r="BF89" i="14"/>
  <c r="BG89" i="14"/>
  <c r="BH89" i="14"/>
  <c r="BI89" i="14"/>
  <c r="BJ89" i="14"/>
  <c r="BK89" i="14"/>
  <c r="BL89" i="14"/>
  <c r="BM89" i="14"/>
  <c r="BN89" i="14"/>
  <c r="BO89" i="14"/>
  <c r="BP89" i="14"/>
  <c r="BQ89" i="14"/>
  <c r="BR89" i="14"/>
  <c r="BS89" i="14"/>
  <c r="BT89" i="14"/>
  <c r="C90" i="14"/>
  <c r="D90" i="14"/>
  <c r="E90" i="14"/>
  <c r="F90" i="14"/>
  <c r="G90" i="14"/>
  <c r="H90" i="14"/>
  <c r="I90" i="14"/>
  <c r="J90" i="14"/>
  <c r="K90" i="14"/>
  <c r="L90" i="14"/>
  <c r="M90" i="14"/>
  <c r="N90" i="14"/>
  <c r="O90" i="14"/>
  <c r="P90" i="14"/>
  <c r="Q90" i="14"/>
  <c r="R90" i="14"/>
  <c r="S90" i="14"/>
  <c r="T90" i="14"/>
  <c r="U90" i="14"/>
  <c r="V90" i="14"/>
  <c r="W90" i="14"/>
  <c r="X90" i="14"/>
  <c r="Y90" i="14"/>
  <c r="Z90" i="14"/>
  <c r="AA90" i="14"/>
  <c r="AB90" i="14"/>
  <c r="AC90" i="14"/>
  <c r="AD90" i="14"/>
  <c r="AE90" i="14"/>
  <c r="AF90" i="14"/>
  <c r="AG90" i="14"/>
  <c r="AH90" i="14"/>
  <c r="AI90" i="14"/>
  <c r="AJ90" i="14"/>
  <c r="AK90" i="14"/>
  <c r="AL90" i="14"/>
  <c r="AM90" i="14"/>
  <c r="AN90" i="14"/>
  <c r="AO90" i="14"/>
  <c r="AP90" i="14"/>
  <c r="AQ90" i="14"/>
  <c r="AR90" i="14"/>
  <c r="AS90" i="14"/>
  <c r="AT90" i="14"/>
  <c r="AU90" i="14"/>
  <c r="AV90" i="14"/>
  <c r="AW90" i="14"/>
  <c r="AX90" i="14"/>
  <c r="AY90" i="14"/>
  <c r="AZ90" i="14"/>
  <c r="BA90" i="14"/>
  <c r="BB90" i="14"/>
  <c r="BC90" i="14"/>
  <c r="BD90" i="14"/>
  <c r="BE90" i="14"/>
  <c r="BF90" i="14"/>
  <c r="BG90" i="14"/>
  <c r="BH90" i="14"/>
  <c r="BI90" i="14"/>
  <c r="BJ90" i="14"/>
  <c r="BK90" i="14"/>
  <c r="BL90" i="14"/>
  <c r="BM90" i="14"/>
  <c r="BN90" i="14"/>
  <c r="BO90" i="14"/>
  <c r="BP90" i="14"/>
  <c r="BQ90" i="14"/>
  <c r="BR90" i="14"/>
  <c r="BS90" i="14"/>
  <c r="BT90" i="14"/>
  <c r="C91" i="14"/>
  <c r="D91" i="14"/>
  <c r="E91" i="14"/>
  <c r="F91" i="14"/>
  <c r="G91" i="14"/>
  <c r="H91" i="14"/>
  <c r="I91" i="14"/>
  <c r="J91" i="14"/>
  <c r="K91" i="14"/>
  <c r="L91" i="14"/>
  <c r="M91" i="14"/>
  <c r="N91" i="14"/>
  <c r="O91" i="14"/>
  <c r="P91" i="14"/>
  <c r="Q91" i="14"/>
  <c r="R91" i="14"/>
  <c r="S91" i="14"/>
  <c r="T91" i="14"/>
  <c r="U91" i="14"/>
  <c r="V91" i="14"/>
  <c r="W91" i="14"/>
  <c r="X91" i="14"/>
  <c r="Y91" i="14"/>
  <c r="Z91" i="14"/>
  <c r="AA91" i="14"/>
  <c r="AB91" i="14"/>
  <c r="AC91" i="14"/>
  <c r="AD91" i="14"/>
  <c r="AE91" i="14"/>
  <c r="AF91" i="14"/>
  <c r="AG91" i="14"/>
  <c r="AH91" i="14"/>
  <c r="AI91" i="14"/>
  <c r="AJ91" i="14"/>
  <c r="AK91" i="14"/>
  <c r="AL91" i="14"/>
  <c r="AM91" i="14"/>
  <c r="AN91" i="14"/>
  <c r="AO91" i="14"/>
  <c r="AP91" i="14"/>
  <c r="AQ91" i="14"/>
  <c r="AR91" i="14"/>
  <c r="AS91" i="14"/>
  <c r="AT91" i="14"/>
  <c r="AU91" i="14"/>
  <c r="AV91" i="14"/>
  <c r="AW91" i="14"/>
  <c r="AX91" i="14"/>
  <c r="AY91" i="14"/>
  <c r="AZ91" i="14"/>
  <c r="BA91" i="14"/>
  <c r="BB91" i="14"/>
  <c r="BC91" i="14"/>
  <c r="BD91" i="14"/>
  <c r="BE91" i="14"/>
  <c r="BF91" i="14"/>
  <c r="BG91" i="14"/>
  <c r="BH91" i="14"/>
  <c r="BI91" i="14"/>
  <c r="BJ91" i="14"/>
  <c r="BK91" i="14"/>
  <c r="BL91" i="14"/>
  <c r="BM91" i="14"/>
  <c r="BN91" i="14"/>
  <c r="BO91" i="14"/>
  <c r="BP91" i="14"/>
  <c r="BQ91" i="14"/>
  <c r="BR91" i="14"/>
  <c r="BS91" i="14"/>
  <c r="BT91" i="14"/>
  <c r="C92" i="14"/>
  <c r="D92" i="14"/>
  <c r="E92" i="14"/>
  <c r="F92" i="14"/>
  <c r="G92" i="14"/>
  <c r="H92" i="14"/>
  <c r="I92" i="14"/>
  <c r="J92" i="14"/>
  <c r="K92" i="14"/>
  <c r="L92" i="14"/>
  <c r="M92" i="14"/>
  <c r="N92" i="14"/>
  <c r="O92" i="14"/>
  <c r="P92" i="14"/>
  <c r="Q92" i="14"/>
  <c r="R92" i="14"/>
  <c r="S92" i="14"/>
  <c r="T92" i="14"/>
  <c r="U92" i="14"/>
  <c r="V92" i="14"/>
  <c r="W92" i="14"/>
  <c r="X92" i="14"/>
  <c r="Y92" i="14"/>
  <c r="Z92" i="14"/>
  <c r="AA92" i="14"/>
  <c r="AB92" i="14"/>
  <c r="AC92" i="14"/>
  <c r="AD92" i="14"/>
  <c r="AE92" i="14"/>
  <c r="AF92" i="14"/>
  <c r="AG92" i="14"/>
  <c r="AH92" i="14"/>
  <c r="AI92" i="14"/>
  <c r="AJ92" i="14"/>
  <c r="AK92" i="14"/>
  <c r="AL92" i="14"/>
  <c r="AM92" i="14"/>
  <c r="AN92" i="14"/>
  <c r="AO92" i="14"/>
  <c r="AP92" i="14"/>
  <c r="AQ92" i="14"/>
  <c r="AR92" i="14"/>
  <c r="AS92" i="14"/>
  <c r="AT92" i="14"/>
  <c r="AU92" i="14"/>
  <c r="AV92" i="14"/>
  <c r="AW92" i="14"/>
  <c r="AX92" i="14"/>
  <c r="AY92" i="14"/>
  <c r="AZ92" i="14"/>
  <c r="BA92" i="14"/>
  <c r="BB92" i="14"/>
  <c r="BC92" i="14"/>
  <c r="BD92" i="14"/>
  <c r="BE92" i="14"/>
  <c r="BF92" i="14"/>
  <c r="BG92" i="14"/>
  <c r="BH92" i="14"/>
  <c r="BI92" i="14"/>
  <c r="BJ92" i="14"/>
  <c r="BK92" i="14"/>
  <c r="BL92" i="14"/>
  <c r="BM92" i="14"/>
  <c r="BN92" i="14"/>
  <c r="BO92" i="14"/>
  <c r="BP92" i="14"/>
  <c r="BQ92" i="14"/>
  <c r="BR92" i="14"/>
  <c r="BS92" i="14"/>
  <c r="BT92" i="14"/>
  <c r="C93" i="14"/>
  <c r="D93" i="14"/>
  <c r="E93" i="14"/>
  <c r="F93" i="14"/>
  <c r="G93" i="14"/>
  <c r="H93" i="14"/>
  <c r="I93" i="14"/>
  <c r="J93" i="14"/>
  <c r="K93" i="14"/>
  <c r="L93" i="14"/>
  <c r="M93" i="14"/>
  <c r="N93" i="14"/>
  <c r="O93" i="14"/>
  <c r="P93" i="14"/>
  <c r="Q93" i="14"/>
  <c r="R93" i="14"/>
  <c r="S93" i="14"/>
  <c r="T93" i="14"/>
  <c r="U93" i="14"/>
  <c r="V93" i="14"/>
  <c r="W93" i="14"/>
  <c r="X93" i="14"/>
  <c r="Y93" i="14"/>
  <c r="Z93" i="14"/>
  <c r="AA93" i="14"/>
  <c r="AB93" i="14"/>
  <c r="AC93" i="14"/>
  <c r="AD93" i="14"/>
  <c r="AE93" i="14"/>
  <c r="AF93" i="14"/>
  <c r="AG93" i="14"/>
  <c r="AH93" i="14"/>
  <c r="AI93" i="14"/>
  <c r="AJ93" i="14"/>
  <c r="AK93" i="14"/>
  <c r="AL93" i="14"/>
  <c r="AM93" i="14"/>
  <c r="AN93" i="14"/>
  <c r="AO93" i="14"/>
  <c r="AP93" i="14"/>
  <c r="AQ93" i="14"/>
  <c r="AR93" i="14"/>
  <c r="AS93" i="14"/>
  <c r="AT93" i="14"/>
  <c r="AU93" i="14"/>
  <c r="AV93" i="14"/>
  <c r="AW93" i="14"/>
  <c r="AX93" i="14"/>
  <c r="AY93" i="14"/>
  <c r="AZ93" i="14"/>
  <c r="BA93" i="14"/>
  <c r="BB93" i="14"/>
  <c r="BC93" i="14"/>
  <c r="BD93" i="14"/>
  <c r="BE93" i="14"/>
  <c r="BF93" i="14"/>
  <c r="BG93" i="14"/>
  <c r="BH93" i="14"/>
  <c r="BI93" i="14"/>
  <c r="BJ93" i="14"/>
  <c r="BK93" i="14"/>
  <c r="BL93" i="14"/>
  <c r="BM93" i="14"/>
  <c r="BN93" i="14"/>
  <c r="BO93" i="14"/>
  <c r="BP93" i="14"/>
  <c r="BQ93" i="14"/>
  <c r="BR93" i="14"/>
  <c r="BS93" i="14"/>
  <c r="BT93" i="14"/>
  <c r="C94" i="14"/>
  <c r="D94" i="14"/>
  <c r="E94" i="14"/>
  <c r="F94" i="14"/>
  <c r="G94" i="14"/>
  <c r="H94" i="14"/>
  <c r="I94" i="14"/>
  <c r="J94" i="14"/>
  <c r="K94" i="14"/>
  <c r="L94" i="14"/>
  <c r="M94" i="14"/>
  <c r="N94" i="14"/>
  <c r="O94" i="14"/>
  <c r="P94" i="14"/>
  <c r="Q94" i="14"/>
  <c r="R94" i="14"/>
  <c r="S94" i="14"/>
  <c r="T94" i="14"/>
  <c r="U94" i="14"/>
  <c r="V94" i="14"/>
  <c r="W94" i="14"/>
  <c r="X94" i="14"/>
  <c r="Y94" i="14"/>
  <c r="Z94" i="14"/>
  <c r="AA94" i="14"/>
  <c r="AB94" i="14"/>
  <c r="AC94" i="14"/>
  <c r="AD94" i="14"/>
  <c r="AE94" i="14"/>
  <c r="AF94" i="14"/>
  <c r="AG94" i="14"/>
  <c r="AH94" i="14"/>
  <c r="AI94" i="14"/>
  <c r="AJ94" i="14"/>
  <c r="AK94" i="14"/>
  <c r="AL94" i="14"/>
  <c r="AM94" i="14"/>
  <c r="AN94" i="14"/>
  <c r="AO94" i="14"/>
  <c r="AP94" i="14"/>
  <c r="AQ94" i="14"/>
  <c r="AR94" i="14"/>
  <c r="AS94" i="14"/>
  <c r="AT94" i="14"/>
  <c r="AU94" i="14"/>
  <c r="AV94" i="14"/>
  <c r="AW94" i="14"/>
  <c r="AX94" i="14"/>
  <c r="AY94" i="14"/>
  <c r="AZ94" i="14"/>
  <c r="BA94" i="14"/>
  <c r="BB94" i="14"/>
  <c r="BC94" i="14"/>
  <c r="BD94" i="14"/>
  <c r="BE94" i="14"/>
  <c r="BF94" i="14"/>
  <c r="BG94" i="14"/>
  <c r="BH94" i="14"/>
  <c r="BI94" i="14"/>
  <c r="BJ94" i="14"/>
  <c r="BK94" i="14"/>
  <c r="BL94" i="14"/>
  <c r="BM94" i="14"/>
  <c r="BN94" i="14"/>
  <c r="BO94" i="14"/>
  <c r="BP94" i="14"/>
  <c r="BQ94" i="14"/>
  <c r="BR94" i="14"/>
  <c r="BS94" i="14"/>
  <c r="BT94" i="14"/>
  <c r="C95" i="14"/>
  <c r="D95" i="14"/>
  <c r="E95" i="14"/>
  <c r="F95" i="14"/>
  <c r="G95" i="14"/>
  <c r="H95" i="14"/>
  <c r="I95" i="14"/>
  <c r="J95" i="14"/>
  <c r="K95" i="14"/>
  <c r="L95" i="14"/>
  <c r="M95" i="14"/>
  <c r="N95" i="14"/>
  <c r="O95" i="14"/>
  <c r="P95" i="14"/>
  <c r="Q95" i="14"/>
  <c r="R95" i="14"/>
  <c r="S95" i="14"/>
  <c r="T95" i="14"/>
  <c r="U95" i="14"/>
  <c r="V95" i="14"/>
  <c r="W95" i="14"/>
  <c r="X95" i="14"/>
  <c r="Y95" i="14"/>
  <c r="Z95" i="14"/>
  <c r="AA95" i="14"/>
  <c r="AB95" i="14"/>
  <c r="AC95" i="14"/>
  <c r="AD95" i="14"/>
  <c r="AE95" i="14"/>
  <c r="AF95" i="14"/>
  <c r="AG95" i="14"/>
  <c r="AH95" i="14"/>
  <c r="AI95" i="14"/>
  <c r="AJ95" i="14"/>
  <c r="AK95" i="14"/>
  <c r="AL95" i="14"/>
  <c r="AM95" i="14"/>
  <c r="AN95" i="14"/>
  <c r="AO95" i="14"/>
  <c r="AP95" i="14"/>
  <c r="AQ95" i="14"/>
  <c r="AR95" i="14"/>
  <c r="AS95" i="14"/>
  <c r="AT95" i="14"/>
  <c r="AU95" i="14"/>
  <c r="AV95" i="14"/>
  <c r="AW95" i="14"/>
  <c r="AX95" i="14"/>
  <c r="AY95" i="14"/>
  <c r="AZ95" i="14"/>
  <c r="BA95" i="14"/>
  <c r="BB95" i="14"/>
  <c r="BC95" i="14"/>
  <c r="BD95" i="14"/>
  <c r="BE95" i="14"/>
  <c r="BF95" i="14"/>
  <c r="BG95" i="14"/>
  <c r="BH95" i="14"/>
  <c r="BI95" i="14"/>
  <c r="BJ95" i="14"/>
  <c r="BK95" i="14"/>
  <c r="BL95" i="14"/>
  <c r="BM95" i="14"/>
  <c r="BN95" i="14"/>
  <c r="BO95" i="14"/>
  <c r="BP95" i="14"/>
  <c r="BQ95" i="14"/>
  <c r="BR95" i="14"/>
  <c r="BS95" i="14"/>
  <c r="BT95" i="14"/>
  <c r="C96" i="14"/>
  <c r="D96" i="14"/>
  <c r="E96" i="14"/>
  <c r="F96" i="14"/>
  <c r="G96" i="14"/>
  <c r="H96" i="14"/>
  <c r="I96" i="14"/>
  <c r="J96" i="14"/>
  <c r="K96" i="14"/>
  <c r="L96" i="14"/>
  <c r="M96" i="14"/>
  <c r="N96" i="14"/>
  <c r="O96" i="14"/>
  <c r="P96" i="14"/>
  <c r="Q96" i="14"/>
  <c r="R96" i="14"/>
  <c r="S96" i="14"/>
  <c r="T96" i="14"/>
  <c r="U96" i="14"/>
  <c r="V96" i="14"/>
  <c r="W96" i="14"/>
  <c r="X96" i="14"/>
  <c r="Y96" i="14"/>
  <c r="Z96" i="14"/>
  <c r="AA96" i="14"/>
  <c r="AB96" i="14"/>
  <c r="AC96" i="14"/>
  <c r="AD96" i="14"/>
  <c r="AE96" i="14"/>
  <c r="AF96" i="14"/>
  <c r="AG96" i="14"/>
  <c r="AH96" i="14"/>
  <c r="AI96" i="14"/>
  <c r="AJ96" i="14"/>
  <c r="AK96" i="14"/>
  <c r="AL96" i="14"/>
  <c r="AM96" i="14"/>
  <c r="AN96" i="14"/>
  <c r="AO96" i="14"/>
  <c r="AP96" i="14"/>
  <c r="AQ96" i="14"/>
  <c r="AR96" i="14"/>
  <c r="AS96" i="14"/>
  <c r="AT96" i="14"/>
  <c r="AU96" i="14"/>
  <c r="AV96" i="14"/>
  <c r="AW96" i="14"/>
  <c r="AX96" i="14"/>
  <c r="AY96" i="14"/>
  <c r="AZ96" i="14"/>
  <c r="BA96" i="14"/>
  <c r="BB96" i="14"/>
  <c r="BC96" i="14"/>
  <c r="BD96" i="14"/>
  <c r="BE96" i="14"/>
  <c r="BF96" i="14"/>
  <c r="BG96" i="14"/>
  <c r="BH96" i="14"/>
  <c r="BI96" i="14"/>
  <c r="BJ96" i="14"/>
  <c r="BK96" i="14"/>
  <c r="BL96" i="14"/>
  <c r="BM96" i="14"/>
  <c r="BN96" i="14"/>
  <c r="BO96" i="14"/>
  <c r="BP96" i="14"/>
  <c r="BQ96" i="14"/>
  <c r="BR96" i="14"/>
  <c r="BS96" i="14"/>
  <c r="BT96" i="14"/>
  <c r="C2" i="8"/>
  <c r="D2" i="8"/>
  <c r="E2" i="8"/>
  <c r="F2" i="8"/>
  <c r="G2" i="8"/>
  <c r="H2" i="8"/>
  <c r="I2" i="8"/>
  <c r="J2" i="8"/>
  <c r="K2" i="8"/>
  <c r="L2" i="8"/>
  <c r="M2" i="8"/>
  <c r="N2" i="8"/>
  <c r="O2" i="8"/>
  <c r="P2" i="8"/>
  <c r="Q2" i="8"/>
  <c r="R2" i="8"/>
  <c r="S2" i="8"/>
  <c r="T2" i="8"/>
  <c r="U2" i="8"/>
  <c r="V2" i="8"/>
  <c r="W2" i="8"/>
  <c r="X2" i="8"/>
  <c r="Y2" i="8"/>
  <c r="Z2" i="8"/>
  <c r="AA2" i="8"/>
  <c r="AB2" i="8"/>
  <c r="AC2" i="8"/>
  <c r="AD2" i="8"/>
  <c r="AE2" i="8"/>
  <c r="AF2" i="8"/>
  <c r="AG2" i="8"/>
  <c r="AH2" i="8"/>
  <c r="AI2" i="8"/>
  <c r="AJ2" i="8"/>
  <c r="AK2" i="8"/>
  <c r="AL2" i="8"/>
  <c r="AM2" i="8"/>
  <c r="AN2" i="8"/>
  <c r="AO2" i="8"/>
  <c r="AP2" i="8"/>
  <c r="AQ2" i="8"/>
  <c r="AR2" i="8"/>
  <c r="AS2" i="8"/>
  <c r="AT2" i="8"/>
  <c r="AU2" i="8"/>
  <c r="AV2" i="8"/>
  <c r="AW2" i="8"/>
  <c r="AX2" i="8"/>
  <c r="AY2" i="8"/>
  <c r="AZ2" i="8"/>
  <c r="BA2" i="8"/>
  <c r="BB2" i="8"/>
  <c r="BC2" i="8"/>
  <c r="BD2" i="8"/>
  <c r="BE2" i="8"/>
  <c r="BF2" i="8"/>
  <c r="BG2" i="8"/>
  <c r="BH2" i="8"/>
  <c r="BI2" i="8"/>
  <c r="BJ2" i="8"/>
  <c r="BK2" i="8"/>
  <c r="BL2" i="8"/>
  <c r="BM2" i="8"/>
  <c r="BN2" i="8"/>
  <c r="BO2" i="8"/>
  <c r="BP2" i="8"/>
  <c r="BQ2" i="8"/>
  <c r="BR2" i="8"/>
  <c r="BS2" i="8"/>
  <c r="BT2" i="8"/>
  <c r="AI3" i="8"/>
  <c r="AJ3" i="8"/>
  <c r="AK3" i="8"/>
  <c r="AL3" i="8"/>
  <c r="AM3" i="8"/>
  <c r="AN3" i="8"/>
  <c r="AO3" i="8"/>
  <c r="AP3" i="8"/>
  <c r="AQ3" i="8"/>
  <c r="AR3" i="8"/>
  <c r="AS3" i="8"/>
  <c r="AT3" i="8"/>
  <c r="AU3" i="8"/>
  <c r="AV3" i="8"/>
  <c r="AW3" i="8"/>
  <c r="AX3" i="8"/>
  <c r="AY3" i="8"/>
  <c r="AZ3" i="8"/>
  <c r="BA3" i="8"/>
  <c r="BB3" i="8"/>
  <c r="BC3" i="8"/>
  <c r="BD3" i="8"/>
  <c r="BE3" i="8"/>
  <c r="BF3" i="8"/>
  <c r="BG3" i="8"/>
  <c r="BH3" i="8"/>
  <c r="BI3" i="8"/>
  <c r="BJ3" i="8"/>
  <c r="BK3" i="8"/>
  <c r="BL3" i="8"/>
  <c r="BM3" i="8"/>
  <c r="BN3" i="8"/>
  <c r="BO3" i="8"/>
  <c r="BP3" i="8"/>
  <c r="BQ3" i="8"/>
  <c r="BR3" i="8"/>
  <c r="BS3" i="8"/>
  <c r="BT3" i="8"/>
  <c r="AI4" i="8"/>
  <c r="AJ4" i="8"/>
  <c r="AK4" i="8"/>
  <c r="AL4" i="8"/>
  <c r="AM4" i="8"/>
  <c r="AN4" i="8"/>
  <c r="AO4" i="8"/>
  <c r="AP4" i="8"/>
  <c r="AQ4" i="8"/>
  <c r="AR4" i="8"/>
  <c r="AS4" i="8"/>
  <c r="AT4" i="8"/>
  <c r="AU4" i="8"/>
  <c r="AV4" i="8"/>
  <c r="AW4" i="8"/>
  <c r="AX4" i="8"/>
  <c r="AY4" i="8"/>
  <c r="AZ4" i="8"/>
  <c r="BA4" i="8"/>
  <c r="BB4" i="8"/>
  <c r="BC4" i="8"/>
  <c r="BD4" i="8"/>
  <c r="BE4" i="8"/>
  <c r="BF4" i="8"/>
  <c r="BG4" i="8"/>
  <c r="BH4" i="8"/>
  <c r="BI4" i="8"/>
  <c r="BJ4" i="8"/>
  <c r="BK4" i="8"/>
  <c r="BL4" i="8"/>
  <c r="BM4" i="8"/>
  <c r="BN4" i="8"/>
  <c r="BO4" i="8"/>
  <c r="BP4" i="8"/>
  <c r="BQ4" i="8"/>
  <c r="BR4" i="8"/>
  <c r="BS4" i="8"/>
  <c r="BT4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Y5" i="8"/>
  <c r="AZ5" i="8"/>
  <c r="BA5" i="8"/>
  <c r="BB5" i="8"/>
  <c r="BC5" i="8"/>
  <c r="BD5" i="8"/>
  <c r="BE5" i="8"/>
  <c r="BF5" i="8"/>
  <c r="BG5" i="8"/>
  <c r="BH5" i="8"/>
  <c r="BI5" i="8"/>
  <c r="BJ5" i="8"/>
  <c r="BK5" i="8"/>
  <c r="BL5" i="8"/>
  <c r="BM5" i="8"/>
  <c r="BN5" i="8"/>
  <c r="BO5" i="8"/>
  <c r="BP5" i="8"/>
  <c r="BQ5" i="8"/>
  <c r="BR5" i="8"/>
  <c r="BS5" i="8"/>
  <c r="BT5" i="8"/>
  <c r="AI6" i="8"/>
  <c r="AJ6" i="8"/>
  <c r="AK6" i="8"/>
  <c r="AL6" i="8"/>
  <c r="AM6" i="8"/>
  <c r="AN6" i="8"/>
  <c r="AO6" i="8"/>
  <c r="AP6" i="8"/>
  <c r="AQ6" i="8"/>
  <c r="AR6" i="8"/>
  <c r="AS6" i="8"/>
  <c r="AT6" i="8"/>
  <c r="AU6" i="8"/>
  <c r="AV6" i="8"/>
  <c r="AW6" i="8"/>
  <c r="AX6" i="8"/>
  <c r="AY6" i="8"/>
  <c r="AZ6" i="8"/>
  <c r="BA6" i="8"/>
  <c r="BB6" i="8"/>
  <c r="BC6" i="8"/>
  <c r="BD6" i="8"/>
  <c r="BE6" i="8"/>
  <c r="BF6" i="8"/>
  <c r="BG6" i="8"/>
  <c r="BH6" i="8"/>
  <c r="BI6" i="8"/>
  <c r="BJ6" i="8"/>
  <c r="BK6" i="8"/>
  <c r="BL6" i="8"/>
  <c r="BM6" i="8"/>
  <c r="BN6" i="8"/>
  <c r="BO6" i="8"/>
  <c r="BP6" i="8"/>
  <c r="BQ6" i="8"/>
  <c r="BR6" i="8"/>
  <c r="BS6" i="8"/>
  <c r="BT6" i="8"/>
  <c r="AI7" i="8"/>
  <c r="AJ7" i="8"/>
  <c r="AK7" i="8"/>
  <c r="AL7" i="8"/>
  <c r="AM7" i="8"/>
  <c r="AN7" i="8"/>
  <c r="AO7" i="8"/>
  <c r="AP7" i="8"/>
  <c r="AQ7" i="8"/>
  <c r="AR7" i="8"/>
  <c r="AS7" i="8"/>
  <c r="AT7" i="8"/>
  <c r="AU7" i="8"/>
  <c r="AV7" i="8"/>
  <c r="AW7" i="8"/>
  <c r="AX7" i="8"/>
  <c r="AY7" i="8"/>
  <c r="AZ7" i="8"/>
  <c r="BA7" i="8"/>
  <c r="BB7" i="8"/>
  <c r="BC7" i="8"/>
  <c r="BD7" i="8"/>
  <c r="BE7" i="8"/>
  <c r="BF7" i="8"/>
  <c r="BG7" i="8"/>
  <c r="BH7" i="8"/>
  <c r="BI7" i="8"/>
  <c r="BJ7" i="8"/>
  <c r="BK7" i="8"/>
  <c r="BL7" i="8"/>
  <c r="BM7" i="8"/>
  <c r="BN7" i="8"/>
  <c r="BO7" i="8"/>
  <c r="BP7" i="8"/>
  <c r="BQ7" i="8"/>
  <c r="BR7" i="8"/>
  <c r="BS7" i="8"/>
  <c r="BT7" i="8"/>
  <c r="AI8" i="8"/>
  <c r="AJ8" i="8"/>
  <c r="AK8" i="8"/>
  <c r="AL8" i="8"/>
  <c r="AM8" i="8"/>
  <c r="AN8" i="8"/>
  <c r="AO8" i="8"/>
  <c r="AP8" i="8"/>
  <c r="AQ8" i="8"/>
  <c r="AR8" i="8"/>
  <c r="AS8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BQ8" i="8"/>
  <c r="BR8" i="8"/>
  <c r="BS8" i="8"/>
  <c r="BT8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BQ9" i="8"/>
  <c r="BR9" i="8"/>
  <c r="BS9" i="8"/>
  <c r="BT9" i="8"/>
  <c r="AI10" i="8"/>
  <c r="AJ10" i="8"/>
  <c r="AK10" i="8"/>
  <c r="AL10" i="8"/>
  <c r="AM10" i="8"/>
  <c r="AN10" i="8"/>
  <c r="AO10" i="8"/>
  <c r="AP10" i="8"/>
  <c r="AQ10" i="8"/>
  <c r="AR10" i="8"/>
  <c r="AS10" i="8"/>
  <c r="AT10" i="8"/>
  <c r="AU10" i="8"/>
  <c r="AV10" i="8"/>
  <c r="AW10" i="8"/>
  <c r="AX10" i="8"/>
  <c r="AY10" i="8"/>
  <c r="AZ10" i="8"/>
  <c r="BA10" i="8"/>
  <c r="BB10" i="8"/>
  <c r="BC10" i="8"/>
  <c r="BD10" i="8"/>
  <c r="BE10" i="8"/>
  <c r="BF10" i="8"/>
  <c r="BG10" i="8"/>
  <c r="BH10" i="8"/>
  <c r="BI10" i="8"/>
  <c r="BJ10" i="8"/>
  <c r="BK10" i="8"/>
  <c r="BL10" i="8"/>
  <c r="BM10" i="8"/>
  <c r="BN10" i="8"/>
  <c r="BO10" i="8"/>
  <c r="BP10" i="8"/>
  <c r="BQ10" i="8"/>
  <c r="BR10" i="8"/>
  <c r="BS10" i="8"/>
  <c r="BT10" i="8"/>
  <c r="AI11" i="8"/>
  <c r="AJ11" i="8"/>
  <c r="AK11" i="8"/>
  <c r="AL11" i="8"/>
  <c r="AM11" i="8"/>
  <c r="AN11" i="8"/>
  <c r="AO11" i="8"/>
  <c r="AP11" i="8"/>
  <c r="AQ11" i="8"/>
  <c r="AR11" i="8"/>
  <c r="AS11" i="8"/>
  <c r="AT11" i="8"/>
  <c r="AU11" i="8"/>
  <c r="AV11" i="8"/>
  <c r="AW11" i="8"/>
  <c r="AX11" i="8"/>
  <c r="AY11" i="8"/>
  <c r="AZ11" i="8"/>
  <c r="BA11" i="8"/>
  <c r="BB11" i="8"/>
  <c r="BC11" i="8"/>
  <c r="BD11" i="8"/>
  <c r="BE11" i="8"/>
  <c r="BF11" i="8"/>
  <c r="BG11" i="8"/>
  <c r="BH11" i="8"/>
  <c r="BI11" i="8"/>
  <c r="BJ11" i="8"/>
  <c r="BK11" i="8"/>
  <c r="BL11" i="8"/>
  <c r="BM11" i="8"/>
  <c r="BN11" i="8"/>
  <c r="BO11" i="8"/>
  <c r="BP11" i="8"/>
  <c r="BQ11" i="8"/>
  <c r="BR11" i="8"/>
  <c r="BS11" i="8"/>
  <c r="BT11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BQ12" i="8"/>
  <c r="BR12" i="8"/>
  <c r="BS12" i="8"/>
  <c r="BT12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Y13" i="8"/>
  <c r="AZ13" i="8"/>
  <c r="BA13" i="8"/>
  <c r="BB13" i="8"/>
  <c r="BC13" i="8"/>
  <c r="BD13" i="8"/>
  <c r="BE13" i="8"/>
  <c r="BF13" i="8"/>
  <c r="BG13" i="8"/>
  <c r="BH13" i="8"/>
  <c r="BI13" i="8"/>
  <c r="BJ13" i="8"/>
  <c r="BK13" i="8"/>
  <c r="BL13" i="8"/>
  <c r="BM13" i="8"/>
  <c r="BN13" i="8"/>
  <c r="BO13" i="8"/>
  <c r="BP13" i="8"/>
  <c r="BQ13" i="8"/>
  <c r="BR13" i="8"/>
  <c r="BS13" i="8"/>
  <c r="BT13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Y14" i="8"/>
  <c r="AZ14" i="8"/>
  <c r="BA14" i="8"/>
  <c r="BB14" i="8"/>
  <c r="BC14" i="8"/>
  <c r="BD14" i="8"/>
  <c r="BE14" i="8"/>
  <c r="BF14" i="8"/>
  <c r="BG14" i="8"/>
  <c r="BH14" i="8"/>
  <c r="BI14" i="8"/>
  <c r="BJ14" i="8"/>
  <c r="BK14" i="8"/>
  <c r="BL14" i="8"/>
  <c r="BM14" i="8"/>
  <c r="BN14" i="8"/>
  <c r="BO14" i="8"/>
  <c r="BP14" i="8"/>
  <c r="BQ14" i="8"/>
  <c r="BR14" i="8"/>
  <c r="BS14" i="8"/>
  <c r="BT14" i="8"/>
  <c r="AI15" i="8"/>
  <c r="AJ15" i="8"/>
  <c r="AK15" i="8"/>
  <c r="AL15" i="8"/>
  <c r="AM15" i="8"/>
  <c r="AN15" i="8"/>
  <c r="AO15" i="8"/>
  <c r="AP15" i="8"/>
  <c r="AQ15" i="8"/>
  <c r="AR15" i="8"/>
  <c r="AS15" i="8"/>
  <c r="AT15" i="8"/>
  <c r="AU15" i="8"/>
  <c r="AV15" i="8"/>
  <c r="AW15" i="8"/>
  <c r="AX15" i="8"/>
  <c r="AY15" i="8"/>
  <c r="AZ15" i="8"/>
  <c r="BA15" i="8"/>
  <c r="BB15" i="8"/>
  <c r="BC15" i="8"/>
  <c r="BD15" i="8"/>
  <c r="BE15" i="8"/>
  <c r="BF15" i="8"/>
  <c r="BG15" i="8"/>
  <c r="BH15" i="8"/>
  <c r="BI15" i="8"/>
  <c r="BJ15" i="8"/>
  <c r="BK15" i="8"/>
  <c r="BL15" i="8"/>
  <c r="BM15" i="8"/>
  <c r="BN15" i="8"/>
  <c r="BO15" i="8"/>
  <c r="BP15" i="8"/>
  <c r="BQ15" i="8"/>
  <c r="BR15" i="8"/>
  <c r="BS15" i="8"/>
  <c r="BT15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Y16" i="8"/>
  <c r="AZ16" i="8"/>
  <c r="BA16" i="8"/>
  <c r="BB16" i="8"/>
  <c r="BC16" i="8"/>
  <c r="BD16" i="8"/>
  <c r="BE16" i="8"/>
  <c r="BF16" i="8"/>
  <c r="BG16" i="8"/>
  <c r="BH16" i="8"/>
  <c r="BI16" i="8"/>
  <c r="BJ16" i="8"/>
  <c r="BK16" i="8"/>
  <c r="BL16" i="8"/>
  <c r="BM16" i="8"/>
  <c r="BN16" i="8"/>
  <c r="BO16" i="8"/>
  <c r="BP16" i="8"/>
  <c r="BQ16" i="8"/>
  <c r="BR16" i="8"/>
  <c r="BS16" i="8"/>
  <c r="BT16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Y17" i="8"/>
  <c r="AZ17" i="8"/>
  <c r="BA17" i="8"/>
  <c r="BB17" i="8"/>
  <c r="BC17" i="8"/>
  <c r="BD17" i="8"/>
  <c r="BE17" i="8"/>
  <c r="BF17" i="8"/>
  <c r="BG17" i="8"/>
  <c r="BH17" i="8"/>
  <c r="BI17" i="8"/>
  <c r="BJ17" i="8"/>
  <c r="BK17" i="8"/>
  <c r="BL17" i="8"/>
  <c r="BM17" i="8"/>
  <c r="BN17" i="8"/>
  <c r="BO17" i="8"/>
  <c r="BP17" i="8"/>
  <c r="BQ17" i="8"/>
  <c r="BR17" i="8"/>
  <c r="BS17" i="8"/>
  <c r="BT17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Y18" i="8"/>
  <c r="AZ18" i="8"/>
  <c r="BA18" i="8"/>
  <c r="BB18" i="8"/>
  <c r="BC18" i="8"/>
  <c r="BD18" i="8"/>
  <c r="BE18" i="8"/>
  <c r="BF18" i="8"/>
  <c r="BG18" i="8"/>
  <c r="BH18" i="8"/>
  <c r="BI18" i="8"/>
  <c r="BJ18" i="8"/>
  <c r="BK18" i="8"/>
  <c r="BL18" i="8"/>
  <c r="BM18" i="8"/>
  <c r="BN18" i="8"/>
  <c r="BO18" i="8"/>
  <c r="BP18" i="8"/>
  <c r="BQ18" i="8"/>
  <c r="BR18" i="8"/>
  <c r="BS18" i="8"/>
  <c r="BT18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Y19" i="8"/>
  <c r="AZ19" i="8"/>
  <c r="BA19" i="8"/>
  <c r="BB19" i="8"/>
  <c r="BC19" i="8"/>
  <c r="BD19" i="8"/>
  <c r="BE19" i="8"/>
  <c r="BF19" i="8"/>
  <c r="BG19" i="8"/>
  <c r="BH19" i="8"/>
  <c r="BI19" i="8"/>
  <c r="BJ19" i="8"/>
  <c r="BK19" i="8"/>
  <c r="BL19" i="8"/>
  <c r="BM19" i="8"/>
  <c r="BN19" i="8"/>
  <c r="BO19" i="8"/>
  <c r="BP19" i="8"/>
  <c r="BQ19" i="8"/>
  <c r="BR19" i="8"/>
  <c r="BS19" i="8"/>
  <c r="BT19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Y20" i="8"/>
  <c r="AZ20" i="8"/>
  <c r="BA20" i="8"/>
  <c r="BB20" i="8"/>
  <c r="BC20" i="8"/>
  <c r="BD20" i="8"/>
  <c r="BE20" i="8"/>
  <c r="BF20" i="8"/>
  <c r="BG20" i="8"/>
  <c r="BH20" i="8"/>
  <c r="BI20" i="8"/>
  <c r="BJ20" i="8"/>
  <c r="BK20" i="8"/>
  <c r="BL20" i="8"/>
  <c r="BM20" i="8"/>
  <c r="BN20" i="8"/>
  <c r="BO20" i="8"/>
  <c r="BP20" i="8"/>
  <c r="BQ20" i="8"/>
  <c r="BR20" i="8"/>
  <c r="BS20" i="8"/>
  <c r="BT20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Y21" i="8"/>
  <c r="AZ21" i="8"/>
  <c r="BA21" i="8"/>
  <c r="BB21" i="8"/>
  <c r="BC21" i="8"/>
  <c r="BD21" i="8"/>
  <c r="BE21" i="8"/>
  <c r="BF21" i="8"/>
  <c r="BG21" i="8"/>
  <c r="BH21" i="8"/>
  <c r="BI21" i="8"/>
  <c r="BJ21" i="8"/>
  <c r="BK21" i="8"/>
  <c r="BL21" i="8"/>
  <c r="BM21" i="8"/>
  <c r="BN21" i="8"/>
  <c r="BO21" i="8"/>
  <c r="BP21" i="8"/>
  <c r="BQ21" i="8"/>
  <c r="BR21" i="8"/>
  <c r="BS21" i="8"/>
  <c r="BT21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Y22" i="8"/>
  <c r="AZ22" i="8"/>
  <c r="BA22" i="8"/>
  <c r="BB22" i="8"/>
  <c r="BC22" i="8"/>
  <c r="BD22" i="8"/>
  <c r="BE22" i="8"/>
  <c r="BF22" i="8"/>
  <c r="BG22" i="8"/>
  <c r="BH22" i="8"/>
  <c r="BI22" i="8"/>
  <c r="BJ22" i="8"/>
  <c r="BK22" i="8"/>
  <c r="BL22" i="8"/>
  <c r="BM22" i="8"/>
  <c r="BN22" i="8"/>
  <c r="BO22" i="8"/>
  <c r="BP22" i="8"/>
  <c r="BQ22" i="8"/>
  <c r="BR22" i="8"/>
  <c r="BS22" i="8"/>
  <c r="BT22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23" i="8"/>
  <c r="AZ23" i="8"/>
  <c r="BA23" i="8"/>
  <c r="BB23" i="8"/>
  <c r="BC23" i="8"/>
  <c r="BD23" i="8"/>
  <c r="BE23" i="8"/>
  <c r="BF23" i="8"/>
  <c r="BG23" i="8"/>
  <c r="BH23" i="8"/>
  <c r="BI23" i="8"/>
  <c r="BJ23" i="8"/>
  <c r="BK23" i="8"/>
  <c r="BL23" i="8"/>
  <c r="BM23" i="8"/>
  <c r="BN23" i="8"/>
  <c r="BO23" i="8"/>
  <c r="BP23" i="8"/>
  <c r="BQ23" i="8"/>
  <c r="BR23" i="8"/>
  <c r="BS23" i="8"/>
  <c r="BT23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Y24" i="8"/>
  <c r="AZ24" i="8"/>
  <c r="BA24" i="8"/>
  <c r="BB24" i="8"/>
  <c r="BC24" i="8"/>
  <c r="BD24" i="8"/>
  <c r="BE24" i="8"/>
  <c r="BF24" i="8"/>
  <c r="BG24" i="8"/>
  <c r="BH24" i="8"/>
  <c r="BI24" i="8"/>
  <c r="BJ24" i="8"/>
  <c r="BK24" i="8"/>
  <c r="BL24" i="8"/>
  <c r="BM24" i="8"/>
  <c r="BN24" i="8"/>
  <c r="BO24" i="8"/>
  <c r="BP24" i="8"/>
  <c r="BQ24" i="8"/>
  <c r="BR24" i="8"/>
  <c r="BS24" i="8"/>
  <c r="BT24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AY25" i="8"/>
  <c r="AZ25" i="8"/>
  <c r="BA25" i="8"/>
  <c r="BB25" i="8"/>
  <c r="BC25" i="8"/>
  <c r="BD25" i="8"/>
  <c r="BE25" i="8"/>
  <c r="BF25" i="8"/>
  <c r="BG25" i="8"/>
  <c r="BH25" i="8"/>
  <c r="BI25" i="8"/>
  <c r="BJ25" i="8"/>
  <c r="BK25" i="8"/>
  <c r="BL25" i="8"/>
  <c r="BM25" i="8"/>
  <c r="BN25" i="8"/>
  <c r="BO25" i="8"/>
  <c r="BP25" i="8"/>
  <c r="BQ25" i="8"/>
  <c r="BR25" i="8"/>
  <c r="BS25" i="8"/>
  <c r="BT25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AY26" i="8"/>
  <c r="AZ26" i="8"/>
  <c r="BA26" i="8"/>
  <c r="BB26" i="8"/>
  <c r="BC26" i="8"/>
  <c r="BD26" i="8"/>
  <c r="BE26" i="8"/>
  <c r="BF26" i="8"/>
  <c r="BG26" i="8"/>
  <c r="BH26" i="8"/>
  <c r="BI26" i="8"/>
  <c r="BJ26" i="8"/>
  <c r="BK26" i="8"/>
  <c r="BL26" i="8"/>
  <c r="BM26" i="8"/>
  <c r="BN26" i="8"/>
  <c r="BO26" i="8"/>
  <c r="BP26" i="8"/>
  <c r="BQ26" i="8"/>
  <c r="BR26" i="8"/>
  <c r="BS26" i="8"/>
  <c r="BT26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AY27" i="8"/>
  <c r="AZ27" i="8"/>
  <c r="BA27" i="8"/>
  <c r="BB27" i="8"/>
  <c r="BC27" i="8"/>
  <c r="BD27" i="8"/>
  <c r="BE27" i="8"/>
  <c r="BF27" i="8"/>
  <c r="BG27" i="8"/>
  <c r="BH27" i="8"/>
  <c r="BI27" i="8"/>
  <c r="BJ27" i="8"/>
  <c r="BK27" i="8"/>
  <c r="BL27" i="8"/>
  <c r="BM27" i="8"/>
  <c r="BN27" i="8"/>
  <c r="BO27" i="8"/>
  <c r="BP27" i="8"/>
  <c r="BQ27" i="8"/>
  <c r="BR27" i="8"/>
  <c r="BS27" i="8"/>
  <c r="BT27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Y28" i="8"/>
  <c r="AZ28" i="8"/>
  <c r="BA28" i="8"/>
  <c r="BB28" i="8"/>
  <c r="BC28" i="8"/>
  <c r="BD28" i="8"/>
  <c r="BE28" i="8"/>
  <c r="BF28" i="8"/>
  <c r="BG28" i="8"/>
  <c r="BH28" i="8"/>
  <c r="BI28" i="8"/>
  <c r="BJ28" i="8"/>
  <c r="BK28" i="8"/>
  <c r="BL28" i="8"/>
  <c r="BM28" i="8"/>
  <c r="BN28" i="8"/>
  <c r="BO28" i="8"/>
  <c r="BP28" i="8"/>
  <c r="BQ28" i="8"/>
  <c r="BR28" i="8"/>
  <c r="BS28" i="8"/>
  <c r="BT28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AY29" i="8"/>
  <c r="AZ29" i="8"/>
  <c r="BA29" i="8"/>
  <c r="BB29" i="8"/>
  <c r="BC29" i="8"/>
  <c r="BD29" i="8"/>
  <c r="BE29" i="8"/>
  <c r="BF29" i="8"/>
  <c r="BG29" i="8"/>
  <c r="BH29" i="8"/>
  <c r="BI29" i="8"/>
  <c r="BJ29" i="8"/>
  <c r="BK29" i="8"/>
  <c r="BL29" i="8"/>
  <c r="BM29" i="8"/>
  <c r="BN29" i="8"/>
  <c r="BO29" i="8"/>
  <c r="BP29" i="8"/>
  <c r="BQ29" i="8"/>
  <c r="BR29" i="8"/>
  <c r="BS29" i="8"/>
  <c r="BT29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AY30" i="8"/>
  <c r="AZ30" i="8"/>
  <c r="BA30" i="8"/>
  <c r="BB30" i="8"/>
  <c r="BC30" i="8"/>
  <c r="BD30" i="8"/>
  <c r="BE30" i="8"/>
  <c r="BF30" i="8"/>
  <c r="BG30" i="8"/>
  <c r="BH30" i="8"/>
  <c r="BI30" i="8"/>
  <c r="BJ30" i="8"/>
  <c r="BK30" i="8"/>
  <c r="BL30" i="8"/>
  <c r="BM30" i="8"/>
  <c r="BN30" i="8"/>
  <c r="BO30" i="8"/>
  <c r="BP30" i="8"/>
  <c r="BQ30" i="8"/>
  <c r="BR30" i="8"/>
  <c r="BS30" i="8"/>
  <c r="BT30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AY31" i="8"/>
  <c r="AZ31" i="8"/>
  <c r="BA31" i="8"/>
  <c r="BB31" i="8"/>
  <c r="BC31" i="8"/>
  <c r="BD31" i="8"/>
  <c r="BE31" i="8"/>
  <c r="BF31" i="8"/>
  <c r="BG31" i="8"/>
  <c r="BH31" i="8"/>
  <c r="BI31" i="8"/>
  <c r="BJ31" i="8"/>
  <c r="BK31" i="8"/>
  <c r="BL31" i="8"/>
  <c r="BM31" i="8"/>
  <c r="BN31" i="8"/>
  <c r="BO31" i="8"/>
  <c r="BP31" i="8"/>
  <c r="BQ31" i="8"/>
  <c r="BR31" i="8"/>
  <c r="BS31" i="8"/>
  <c r="BT31" i="8"/>
  <c r="C32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BT32" i="8"/>
  <c r="C34" i="8"/>
  <c r="D34" i="8"/>
  <c r="E34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AA34" i="8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AY34" i="8"/>
  <c r="AZ34" i="8"/>
  <c r="BA34" i="8"/>
  <c r="BB34" i="8"/>
  <c r="BC34" i="8"/>
  <c r="BD34" i="8"/>
  <c r="BE34" i="8"/>
  <c r="BF34" i="8"/>
  <c r="BG34" i="8"/>
  <c r="BH34" i="8"/>
  <c r="BI34" i="8"/>
  <c r="BJ34" i="8"/>
  <c r="BK34" i="8"/>
  <c r="BL34" i="8"/>
  <c r="BM34" i="8"/>
  <c r="BN34" i="8"/>
  <c r="BO34" i="8"/>
  <c r="BP34" i="8"/>
  <c r="BQ34" i="8"/>
  <c r="BR34" i="8"/>
  <c r="BS34" i="8"/>
  <c r="BT34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AY35" i="8"/>
  <c r="AZ35" i="8"/>
  <c r="BA35" i="8"/>
  <c r="BB35" i="8"/>
  <c r="BC35" i="8"/>
  <c r="BD35" i="8"/>
  <c r="BE35" i="8"/>
  <c r="BF35" i="8"/>
  <c r="BG35" i="8"/>
  <c r="BH35" i="8"/>
  <c r="BI35" i="8"/>
  <c r="BJ35" i="8"/>
  <c r="BK35" i="8"/>
  <c r="BL35" i="8"/>
  <c r="BM35" i="8"/>
  <c r="BN35" i="8"/>
  <c r="BO35" i="8"/>
  <c r="BP35" i="8"/>
  <c r="BQ35" i="8"/>
  <c r="BR35" i="8"/>
  <c r="BS35" i="8"/>
  <c r="BT35" i="8"/>
  <c r="AI36" i="8"/>
  <c r="AJ36" i="8"/>
  <c r="AK36" i="8"/>
  <c r="AL36" i="8"/>
  <c r="AM36" i="8"/>
  <c r="AN36" i="8"/>
  <c r="AO36" i="8"/>
  <c r="AP36" i="8"/>
  <c r="AQ36" i="8"/>
  <c r="AR36" i="8"/>
  <c r="AS36" i="8"/>
  <c r="AT36" i="8"/>
  <c r="AU36" i="8"/>
  <c r="AV36" i="8"/>
  <c r="AW36" i="8"/>
  <c r="AX36" i="8"/>
  <c r="AY36" i="8"/>
  <c r="AZ36" i="8"/>
  <c r="BA36" i="8"/>
  <c r="BB36" i="8"/>
  <c r="BC36" i="8"/>
  <c r="BD36" i="8"/>
  <c r="BE36" i="8"/>
  <c r="BF36" i="8"/>
  <c r="BG36" i="8"/>
  <c r="BH36" i="8"/>
  <c r="BI36" i="8"/>
  <c r="BJ36" i="8"/>
  <c r="BK36" i="8"/>
  <c r="BL36" i="8"/>
  <c r="BM36" i="8"/>
  <c r="BN36" i="8"/>
  <c r="BO36" i="8"/>
  <c r="BP36" i="8"/>
  <c r="BQ36" i="8"/>
  <c r="BR36" i="8"/>
  <c r="BS36" i="8"/>
  <c r="BT36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AY37" i="8"/>
  <c r="AZ37" i="8"/>
  <c r="BA37" i="8"/>
  <c r="BB37" i="8"/>
  <c r="BC37" i="8"/>
  <c r="BD37" i="8"/>
  <c r="BE37" i="8"/>
  <c r="BF37" i="8"/>
  <c r="BG37" i="8"/>
  <c r="BH37" i="8"/>
  <c r="BI37" i="8"/>
  <c r="BJ37" i="8"/>
  <c r="BK37" i="8"/>
  <c r="BL37" i="8"/>
  <c r="BM37" i="8"/>
  <c r="BN37" i="8"/>
  <c r="BO37" i="8"/>
  <c r="BP37" i="8"/>
  <c r="BQ37" i="8"/>
  <c r="BR37" i="8"/>
  <c r="BS37" i="8"/>
  <c r="BT37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W38" i="8"/>
  <c r="AX38" i="8"/>
  <c r="AY38" i="8"/>
  <c r="AZ38" i="8"/>
  <c r="BA38" i="8"/>
  <c r="BB38" i="8"/>
  <c r="BC38" i="8"/>
  <c r="BD38" i="8"/>
  <c r="BE38" i="8"/>
  <c r="BF38" i="8"/>
  <c r="BG38" i="8"/>
  <c r="BH38" i="8"/>
  <c r="BI38" i="8"/>
  <c r="BJ38" i="8"/>
  <c r="BK38" i="8"/>
  <c r="BL38" i="8"/>
  <c r="BM38" i="8"/>
  <c r="BN38" i="8"/>
  <c r="BO38" i="8"/>
  <c r="BP38" i="8"/>
  <c r="BQ38" i="8"/>
  <c r="BR38" i="8"/>
  <c r="BS38" i="8"/>
  <c r="BT38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AY39" i="8"/>
  <c r="AZ39" i="8"/>
  <c r="BA39" i="8"/>
  <c r="BB39" i="8"/>
  <c r="BC39" i="8"/>
  <c r="BD39" i="8"/>
  <c r="BE39" i="8"/>
  <c r="BF39" i="8"/>
  <c r="BG39" i="8"/>
  <c r="BH39" i="8"/>
  <c r="BI39" i="8"/>
  <c r="BJ39" i="8"/>
  <c r="BK39" i="8"/>
  <c r="BL39" i="8"/>
  <c r="BM39" i="8"/>
  <c r="BN39" i="8"/>
  <c r="BO39" i="8"/>
  <c r="BP39" i="8"/>
  <c r="BQ39" i="8"/>
  <c r="BR39" i="8"/>
  <c r="BS39" i="8"/>
  <c r="BT39" i="8"/>
  <c r="AI40" i="8"/>
  <c r="AJ40" i="8"/>
  <c r="AK40" i="8"/>
  <c r="AL40" i="8"/>
  <c r="AM40" i="8"/>
  <c r="AN40" i="8"/>
  <c r="AO40" i="8"/>
  <c r="AP40" i="8"/>
  <c r="AQ40" i="8"/>
  <c r="AR40" i="8"/>
  <c r="AS40" i="8"/>
  <c r="AT40" i="8"/>
  <c r="AU40" i="8"/>
  <c r="AV40" i="8"/>
  <c r="AW40" i="8"/>
  <c r="AX40" i="8"/>
  <c r="AY40" i="8"/>
  <c r="AZ40" i="8"/>
  <c r="BA40" i="8"/>
  <c r="BB40" i="8"/>
  <c r="BC40" i="8"/>
  <c r="BD40" i="8"/>
  <c r="BE40" i="8"/>
  <c r="BF40" i="8"/>
  <c r="BG40" i="8"/>
  <c r="BH40" i="8"/>
  <c r="BI40" i="8"/>
  <c r="BJ40" i="8"/>
  <c r="BK40" i="8"/>
  <c r="BL40" i="8"/>
  <c r="BM40" i="8"/>
  <c r="BN40" i="8"/>
  <c r="BO40" i="8"/>
  <c r="BP40" i="8"/>
  <c r="BQ40" i="8"/>
  <c r="BR40" i="8"/>
  <c r="BS40" i="8"/>
  <c r="BT40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AY41" i="8"/>
  <c r="AZ41" i="8"/>
  <c r="BA41" i="8"/>
  <c r="BB41" i="8"/>
  <c r="BC41" i="8"/>
  <c r="BD41" i="8"/>
  <c r="BE41" i="8"/>
  <c r="BF41" i="8"/>
  <c r="BG41" i="8"/>
  <c r="BH41" i="8"/>
  <c r="BI41" i="8"/>
  <c r="BJ41" i="8"/>
  <c r="BK41" i="8"/>
  <c r="BL41" i="8"/>
  <c r="BM41" i="8"/>
  <c r="BN41" i="8"/>
  <c r="BO41" i="8"/>
  <c r="BP41" i="8"/>
  <c r="BQ41" i="8"/>
  <c r="BR41" i="8"/>
  <c r="BS41" i="8"/>
  <c r="BT41" i="8"/>
  <c r="AI42" i="8"/>
  <c r="AJ42" i="8"/>
  <c r="AK42" i="8"/>
  <c r="AL42" i="8"/>
  <c r="AM42" i="8"/>
  <c r="AN42" i="8"/>
  <c r="AO42" i="8"/>
  <c r="AP42" i="8"/>
  <c r="AQ42" i="8"/>
  <c r="AR42" i="8"/>
  <c r="AS42" i="8"/>
  <c r="AT42" i="8"/>
  <c r="AU42" i="8"/>
  <c r="AV42" i="8"/>
  <c r="AW42" i="8"/>
  <c r="AX42" i="8"/>
  <c r="AY42" i="8"/>
  <c r="AZ42" i="8"/>
  <c r="BA42" i="8"/>
  <c r="BB42" i="8"/>
  <c r="BC42" i="8"/>
  <c r="BD42" i="8"/>
  <c r="BE42" i="8"/>
  <c r="BF42" i="8"/>
  <c r="BG42" i="8"/>
  <c r="BH42" i="8"/>
  <c r="BI42" i="8"/>
  <c r="BJ42" i="8"/>
  <c r="BK42" i="8"/>
  <c r="BL42" i="8"/>
  <c r="BM42" i="8"/>
  <c r="BN42" i="8"/>
  <c r="BO42" i="8"/>
  <c r="BP42" i="8"/>
  <c r="BQ42" i="8"/>
  <c r="BR42" i="8"/>
  <c r="BS42" i="8"/>
  <c r="BT42" i="8"/>
  <c r="AI43" i="8"/>
  <c r="AJ43" i="8"/>
  <c r="AK43" i="8"/>
  <c r="AL43" i="8"/>
  <c r="AM43" i="8"/>
  <c r="AN43" i="8"/>
  <c r="AO43" i="8"/>
  <c r="AP43" i="8"/>
  <c r="AQ43" i="8"/>
  <c r="AR43" i="8"/>
  <c r="AS43" i="8"/>
  <c r="AT43" i="8"/>
  <c r="AU43" i="8"/>
  <c r="AV43" i="8"/>
  <c r="AW43" i="8"/>
  <c r="AX43" i="8"/>
  <c r="AY43" i="8"/>
  <c r="AZ43" i="8"/>
  <c r="BA43" i="8"/>
  <c r="BB43" i="8"/>
  <c r="BC43" i="8"/>
  <c r="BD43" i="8"/>
  <c r="BE43" i="8"/>
  <c r="BF43" i="8"/>
  <c r="BG43" i="8"/>
  <c r="BH43" i="8"/>
  <c r="BI43" i="8"/>
  <c r="BJ43" i="8"/>
  <c r="BK43" i="8"/>
  <c r="BL43" i="8"/>
  <c r="BM43" i="8"/>
  <c r="BN43" i="8"/>
  <c r="BO43" i="8"/>
  <c r="BP43" i="8"/>
  <c r="BQ43" i="8"/>
  <c r="BR43" i="8"/>
  <c r="BS43" i="8"/>
  <c r="BT43" i="8"/>
  <c r="AI44" i="8"/>
  <c r="AJ44" i="8"/>
  <c r="AK44" i="8"/>
  <c r="AL44" i="8"/>
  <c r="AM44" i="8"/>
  <c r="AN44" i="8"/>
  <c r="AO44" i="8"/>
  <c r="AP44" i="8"/>
  <c r="AQ44" i="8"/>
  <c r="AR44" i="8"/>
  <c r="AS44" i="8"/>
  <c r="AT44" i="8"/>
  <c r="AU44" i="8"/>
  <c r="AV44" i="8"/>
  <c r="AW44" i="8"/>
  <c r="AX44" i="8"/>
  <c r="AY44" i="8"/>
  <c r="AZ44" i="8"/>
  <c r="BA44" i="8"/>
  <c r="BB44" i="8"/>
  <c r="BC44" i="8"/>
  <c r="BD44" i="8"/>
  <c r="BE44" i="8"/>
  <c r="BF44" i="8"/>
  <c r="BG44" i="8"/>
  <c r="BH44" i="8"/>
  <c r="BI44" i="8"/>
  <c r="BJ44" i="8"/>
  <c r="BK44" i="8"/>
  <c r="BL44" i="8"/>
  <c r="BM44" i="8"/>
  <c r="BN44" i="8"/>
  <c r="BO44" i="8"/>
  <c r="BP44" i="8"/>
  <c r="BQ44" i="8"/>
  <c r="BR44" i="8"/>
  <c r="BS44" i="8"/>
  <c r="BT44" i="8"/>
  <c r="AI45" i="8"/>
  <c r="AJ45" i="8"/>
  <c r="AK45" i="8"/>
  <c r="AL45" i="8"/>
  <c r="AM45" i="8"/>
  <c r="AN45" i="8"/>
  <c r="AO45" i="8"/>
  <c r="AP45" i="8"/>
  <c r="AQ45" i="8"/>
  <c r="AR45" i="8"/>
  <c r="AS45" i="8"/>
  <c r="AT45" i="8"/>
  <c r="AU45" i="8"/>
  <c r="AV45" i="8"/>
  <c r="AW45" i="8"/>
  <c r="AX45" i="8"/>
  <c r="AY45" i="8"/>
  <c r="AZ45" i="8"/>
  <c r="BA45" i="8"/>
  <c r="BB45" i="8"/>
  <c r="BC45" i="8"/>
  <c r="BD45" i="8"/>
  <c r="BE45" i="8"/>
  <c r="BF45" i="8"/>
  <c r="BG45" i="8"/>
  <c r="BH45" i="8"/>
  <c r="BI45" i="8"/>
  <c r="BJ45" i="8"/>
  <c r="BK45" i="8"/>
  <c r="BL45" i="8"/>
  <c r="BM45" i="8"/>
  <c r="BN45" i="8"/>
  <c r="BO45" i="8"/>
  <c r="BP45" i="8"/>
  <c r="BQ45" i="8"/>
  <c r="BR45" i="8"/>
  <c r="BS45" i="8"/>
  <c r="BT45" i="8"/>
  <c r="AI46" i="8"/>
  <c r="AJ46" i="8"/>
  <c r="AK46" i="8"/>
  <c r="AL46" i="8"/>
  <c r="AM46" i="8"/>
  <c r="AN46" i="8"/>
  <c r="AO46" i="8"/>
  <c r="AP46" i="8"/>
  <c r="AQ46" i="8"/>
  <c r="AR46" i="8"/>
  <c r="AS46" i="8"/>
  <c r="AT46" i="8"/>
  <c r="AU46" i="8"/>
  <c r="AV46" i="8"/>
  <c r="AW46" i="8"/>
  <c r="AX46" i="8"/>
  <c r="AY46" i="8"/>
  <c r="AZ46" i="8"/>
  <c r="BA46" i="8"/>
  <c r="BB46" i="8"/>
  <c r="BC46" i="8"/>
  <c r="BD46" i="8"/>
  <c r="BE46" i="8"/>
  <c r="BF46" i="8"/>
  <c r="BG46" i="8"/>
  <c r="BH46" i="8"/>
  <c r="BI46" i="8"/>
  <c r="BJ46" i="8"/>
  <c r="BK46" i="8"/>
  <c r="BL46" i="8"/>
  <c r="BM46" i="8"/>
  <c r="BN46" i="8"/>
  <c r="BO46" i="8"/>
  <c r="BP46" i="8"/>
  <c r="BQ46" i="8"/>
  <c r="BR46" i="8"/>
  <c r="BS46" i="8"/>
  <c r="BT46" i="8"/>
  <c r="AI47" i="8"/>
  <c r="AJ47" i="8"/>
  <c r="AK47" i="8"/>
  <c r="AL47" i="8"/>
  <c r="AM47" i="8"/>
  <c r="AN47" i="8"/>
  <c r="AO47" i="8"/>
  <c r="AP47" i="8"/>
  <c r="AQ47" i="8"/>
  <c r="AR47" i="8"/>
  <c r="AS47" i="8"/>
  <c r="AT47" i="8"/>
  <c r="AU47" i="8"/>
  <c r="AV47" i="8"/>
  <c r="AW47" i="8"/>
  <c r="AX47" i="8"/>
  <c r="AY47" i="8"/>
  <c r="AZ47" i="8"/>
  <c r="BA47" i="8"/>
  <c r="BB47" i="8"/>
  <c r="BC47" i="8"/>
  <c r="BD47" i="8"/>
  <c r="BE47" i="8"/>
  <c r="BF47" i="8"/>
  <c r="BG47" i="8"/>
  <c r="BH47" i="8"/>
  <c r="BI47" i="8"/>
  <c r="BJ47" i="8"/>
  <c r="BK47" i="8"/>
  <c r="BL47" i="8"/>
  <c r="BM47" i="8"/>
  <c r="BN47" i="8"/>
  <c r="BO47" i="8"/>
  <c r="BP47" i="8"/>
  <c r="BQ47" i="8"/>
  <c r="BR47" i="8"/>
  <c r="BS47" i="8"/>
  <c r="BT47" i="8"/>
  <c r="AI48" i="8"/>
  <c r="AJ48" i="8"/>
  <c r="AK48" i="8"/>
  <c r="AL48" i="8"/>
  <c r="AM48" i="8"/>
  <c r="AN48" i="8"/>
  <c r="AO48" i="8"/>
  <c r="AP48" i="8"/>
  <c r="AQ48" i="8"/>
  <c r="AR48" i="8"/>
  <c r="AS48" i="8"/>
  <c r="AT48" i="8"/>
  <c r="AU48" i="8"/>
  <c r="AV48" i="8"/>
  <c r="AW48" i="8"/>
  <c r="AX48" i="8"/>
  <c r="AY48" i="8"/>
  <c r="AZ48" i="8"/>
  <c r="BA48" i="8"/>
  <c r="BB48" i="8"/>
  <c r="BC48" i="8"/>
  <c r="BD48" i="8"/>
  <c r="BE48" i="8"/>
  <c r="BF48" i="8"/>
  <c r="BG48" i="8"/>
  <c r="BH48" i="8"/>
  <c r="BI48" i="8"/>
  <c r="BJ48" i="8"/>
  <c r="BK48" i="8"/>
  <c r="BL48" i="8"/>
  <c r="BM48" i="8"/>
  <c r="BN48" i="8"/>
  <c r="BO48" i="8"/>
  <c r="BP48" i="8"/>
  <c r="BQ48" i="8"/>
  <c r="BR48" i="8"/>
  <c r="BS48" i="8"/>
  <c r="BT48" i="8"/>
  <c r="AI49" i="8"/>
  <c r="AJ49" i="8"/>
  <c r="AK49" i="8"/>
  <c r="AL49" i="8"/>
  <c r="AM49" i="8"/>
  <c r="AN49" i="8"/>
  <c r="AO49" i="8"/>
  <c r="AP49" i="8"/>
  <c r="AQ49" i="8"/>
  <c r="AR49" i="8"/>
  <c r="AS49" i="8"/>
  <c r="AT49" i="8"/>
  <c r="AU49" i="8"/>
  <c r="AV49" i="8"/>
  <c r="AW49" i="8"/>
  <c r="AX49" i="8"/>
  <c r="AY49" i="8"/>
  <c r="AZ49" i="8"/>
  <c r="BA49" i="8"/>
  <c r="BB49" i="8"/>
  <c r="BC49" i="8"/>
  <c r="BD49" i="8"/>
  <c r="BE49" i="8"/>
  <c r="BF49" i="8"/>
  <c r="BG49" i="8"/>
  <c r="BH49" i="8"/>
  <c r="BI49" i="8"/>
  <c r="BJ49" i="8"/>
  <c r="BK49" i="8"/>
  <c r="BL49" i="8"/>
  <c r="BM49" i="8"/>
  <c r="BN49" i="8"/>
  <c r="BO49" i="8"/>
  <c r="BP49" i="8"/>
  <c r="BQ49" i="8"/>
  <c r="BR49" i="8"/>
  <c r="BS49" i="8"/>
  <c r="BT49" i="8"/>
  <c r="AI50" i="8"/>
  <c r="AJ50" i="8"/>
  <c r="AK50" i="8"/>
  <c r="AL50" i="8"/>
  <c r="AM50" i="8"/>
  <c r="AN50" i="8"/>
  <c r="AO50" i="8"/>
  <c r="AP50" i="8"/>
  <c r="AQ50" i="8"/>
  <c r="AR50" i="8"/>
  <c r="AS50" i="8"/>
  <c r="AT50" i="8"/>
  <c r="AU50" i="8"/>
  <c r="AV50" i="8"/>
  <c r="AW50" i="8"/>
  <c r="AX50" i="8"/>
  <c r="AY50" i="8"/>
  <c r="AZ50" i="8"/>
  <c r="BA50" i="8"/>
  <c r="BB50" i="8"/>
  <c r="BC50" i="8"/>
  <c r="BD50" i="8"/>
  <c r="BE50" i="8"/>
  <c r="BF50" i="8"/>
  <c r="BG50" i="8"/>
  <c r="BH50" i="8"/>
  <c r="BI50" i="8"/>
  <c r="BJ50" i="8"/>
  <c r="BK50" i="8"/>
  <c r="BL50" i="8"/>
  <c r="BM50" i="8"/>
  <c r="BN50" i="8"/>
  <c r="BO50" i="8"/>
  <c r="BP50" i="8"/>
  <c r="BQ50" i="8"/>
  <c r="BR50" i="8"/>
  <c r="BS50" i="8"/>
  <c r="BT50" i="8"/>
  <c r="AI51" i="8"/>
  <c r="AJ51" i="8"/>
  <c r="AK51" i="8"/>
  <c r="AL51" i="8"/>
  <c r="AM51" i="8"/>
  <c r="AN51" i="8"/>
  <c r="AO51" i="8"/>
  <c r="AP51" i="8"/>
  <c r="AQ51" i="8"/>
  <c r="AR51" i="8"/>
  <c r="AS51" i="8"/>
  <c r="AT51" i="8"/>
  <c r="AU51" i="8"/>
  <c r="AV51" i="8"/>
  <c r="AW51" i="8"/>
  <c r="AX51" i="8"/>
  <c r="AY51" i="8"/>
  <c r="AZ51" i="8"/>
  <c r="BA51" i="8"/>
  <c r="BB51" i="8"/>
  <c r="BC51" i="8"/>
  <c r="BD51" i="8"/>
  <c r="BE51" i="8"/>
  <c r="BF51" i="8"/>
  <c r="BG51" i="8"/>
  <c r="BH51" i="8"/>
  <c r="BI51" i="8"/>
  <c r="BJ51" i="8"/>
  <c r="BK51" i="8"/>
  <c r="BL51" i="8"/>
  <c r="BM51" i="8"/>
  <c r="BN51" i="8"/>
  <c r="BO51" i="8"/>
  <c r="BP51" i="8"/>
  <c r="BQ51" i="8"/>
  <c r="BR51" i="8"/>
  <c r="BS51" i="8"/>
  <c r="BT51" i="8"/>
  <c r="AI52" i="8"/>
  <c r="AJ52" i="8"/>
  <c r="AK52" i="8"/>
  <c r="AL52" i="8"/>
  <c r="AM52" i="8"/>
  <c r="AN52" i="8"/>
  <c r="AO52" i="8"/>
  <c r="AP52" i="8"/>
  <c r="AQ52" i="8"/>
  <c r="AR52" i="8"/>
  <c r="AS52" i="8"/>
  <c r="AT52" i="8"/>
  <c r="AU52" i="8"/>
  <c r="AV52" i="8"/>
  <c r="AW52" i="8"/>
  <c r="AX52" i="8"/>
  <c r="AY52" i="8"/>
  <c r="AZ52" i="8"/>
  <c r="BA52" i="8"/>
  <c r="BB52" i="8"/>
  <c r="BC52" i="8"/>
  <c r="BD52" i="8"/>
  <c r="BE52" i="8"/>
  <c r="BF52" i="8"/>
  <c r="BG52" i="8"/>
  <c r="BH52" i="8"/>
  <c r="BI52" i="8"/>
  <c r="BJ52" i="8"/>
  <c r="BK52" i="8"/>
  <c r="BL52" i="8"/>
  <c r="BM52" i="8"/>
  <c r="BN52" i="8"/>
  <c r="BO52" i="8"/>
  <c r="BP52" i="8"/>
  <c r="BQ52" i="8"/>
  <c r="BR52" i="8"/>
  <c r="BS52" i="8"/>
  <c r="BT52" i="8"/>
  <c r="AI53" i="8"/>
  <c r="AJ53" i="8"/>
  <c r="AK53" i="8"/>
  <c r="AL53" i="8"/>
  <c r="AM53" i="8"/>
  <c r="AN53" i="8"/>
  <c r="AO53" i="8"/>
  <c r="AP53" i="8"/>
  <c r="AQ53" i="8"/>
  <c r="AR53" i="8"/>
  <c r="AS53" i="8"/>
  <c r="AT53" i="8"/>
  <c r="AU53" i="8"/>
  <c r="AV53" i="8"/>
  <c r="AW53" i="8"/>
  <c r="AX53" i="8"/>
  <c r="AY53" i="8"/>
  <c r="AZ53" i="8"/>
  <c r="BA53" i="8"/>
  <c r="BB53" i="8"/>
  <c r="BC53" i="8"/>
  <c r="BD53" i="8"/>
  <c r="BE53" i="8"/>
  <c r="BF53" i="8"/>
  <c r="BG53" i="8"/>
  <c r="BH53" i="8"/>
  <c r="BI53" i="8"/>
  <c r="BJ53" i="8"/>
  <c r="BK53" i="8"/>
  <c r="BL53" i="8"/>
  <c r="BM53" i="8"/>
  <c r="BN53" i="8"/>
  <c r="BO53" i="8"/>
  <c r="BP53" i="8"/>
  <c r="BQ53" i="8"/>
  <c r="BR53" i="8"/>
  <c r="BS53" i="8"/>
  <c r="BT53" i="8"/>
  <c r="AI54" i="8"/>
  <c r="AJ54" i="8"/>
  <c r="AK54" i="8"/>
  <c r="AL54" i="8"/>
  <c r="AM54" i="8"/>
  <c r="AN54" i="8"/>
  <c r="AO54" i="8"/>
  <c r="AP54" i="8"/>
  <c r="AQ54" i="8"/>
  <c r="AR54" i="8"/>
  <c r="AS54" i="8"/>
  <c r="AT54" i="8"/>
  <c r="AU54" i="8"/>
  <c r="AV54" i="8"/>
  <c r="AW54" i="8"/>
  <c r="AX54" i="8"/>
  <c r="AY54" i="8"/>
  <c r="AZ54" i="8"/>
  <c r="BA54" i="8"/>
  <c r="BB54" i="8"/>
  <c r="BC54" i="8"/>
  <c r="BD54" i="8"/>
  <c r="BE54" i="8"/>
  <c r="BF54" i="8"/>
  <c r="BG54" i="8"/>
  <c r="BH54" i="8"/>
  <c r="BI54" i="8"/>
  <c r="BJ54" i="8"/>
  <c r="BK54" i="8"/>
  <c r="BL54" i="8"/>
  <c r="BM54" i="8"/>
  <c r="BN54" i="8"/>
  <c r="BO54" i="8"/>
  <c r="BP54" i="8"/>
  <c r="BQ54" i="8"/>
  <c r="BR54" i="8"/>
  <c r="BS54" i="8"/>
  <c r="BT54" i="8"/>
  <c r="AI55" i="8"/>
  <c r="AJ55" i="8"/>
  <c r="AK55" i="8"/>
  <c r="AL55" i="8"/>
  <c r="AM55" i="8"/>
  <c r="AN55" i="8"/>
  <c r="AO55" i="8"/>
  <c r="AP55" i="8"/>
  <c r="AQ55" i="8"/>
  <c r="AR55" i="8"/>
  <c r="AS55" i="8"/>
  <c r="AT55" i="8"/>
  <c r="AU55" i="8"/>
  <c r="AV55" i="8"/>
  <c r="AW55" i="8"/>
  <c r="AX55" i="8"/>
  <c r="AY55" i="8"/>
  <c r="AZ55" i="8"/>
  <c r="BA55" i="8"/>
  <c r="BB55" i="8"/>
  <c r="BC55" i="8"/>
  <c r="BD55" i="8"/>
  <c r="BE55" i="8"/>
  <c r="BF55" i="8"/>
  <c r="BG55" i="8"/>
  <c r="BH55" i="8"/>
  <c r="BI55" i="8"/>
  <c r="BJ55" i="8"/>
  <c r="BK55" i="8"/>
  <c r="BL55" i="8"/>
  <c r="BM55" i="8"/>
  <c r="BN55" i="8"/>
  <c r="BO55" i="8"/>
  <c r="BP55" i="8"/>
  <c r="BQ55" i="8"/>
  <c r="BR55" i="8"/>
  <c r="BS55" i="8"/>
  <c r="BT55" i="8"/>
  <c r="AI56" i="8"/>
  <c r="AJ56" i="8"/>
  <c r="AK56" i="8"/>
  <c r="AL56" i="8"/>
  <c r="AM56" i="8"/>
  <c r="AN56" i="8"/>
  <c r="AO56" i="8"/>
  <c r="AP56" i="8"/>
  <c r="AQ56" i="8"/>
  <c r="AR56" i="8"/>
  <c r="AS56" i="8"/>
  <c r="AT56" i="8"/>
  <c r="AU56" i="8"/>
  <c r="AV56" i="8"/>
  <c r="AW56" i="8"/>
  <c r="AX56" i="8"/>
  <c r="AY56" i="8"/>
  <c r="AZ56" i="8"/>
  <c r="BA56" i="8"/>
  <c r="BB56" i="8"/>
  <c r="BC56" i="8"/>
  <c r="BD56" i="8"/>
  <c r="BE56" i="8"/>
  <c r="BF56" i="8"/>
  <c r="BG56" i="8"/>
  <c r="BH56" i="8"/>
  <c r="BI56" i="8"/>
  <c r="BJ56" i="8"/>
  <c r="BK56" i="8"/>
  <c r="BL56" i="8"/>
  <c r="BM56" i="8"/>
  <c r="BN56" i="8"/>
  <c r="BO56" i="8"/>
  <c r="BP56" i="8"/>
  <c r="BQ56" i="8"/>
  <c r="BR56" i="8"/>
  <c r="BS56" i="8"/>
  <c r="BT56" i="8"/>
  <c r="AI57" i="8"/>
  <c r="AJ57" i="8"/>
  <c r="AK57" i="8"/>
  <c r="AL57" i="8"/>
  <c r="AM57" i="8"/>
  <c r="AN57" i="8"/>
  <c r="AO57" i="8"/>
  <c r="AP57" i="8"/>
  <c r="AQ57" i="8"/>
  <c r="AR57" i="8"/>
  <c r="AS57" i="8"/>
  <c r="AT57" i="8"/>
  <c r="AU57" i="8"/>
  <c r="AV57" i="8"/>
  <c r="AW57" i="8"/>
  <c r="AX57" i="8"/>
  <c r="AY57" i="8"/>
  <c r="AZ57" i="8"/>
  <c r="BA57" i="8"/>
  <c r="BB57" i="8"/>
  <c r="BC57" i="8"/>
  <c r="BD57" i="8"/>
  <c r="BE57" i="8"/>
  <c r="BF57" i="8"/>
  <c r="BG57" i="8"/>
  <c r="BH57" i="8"/>
  <c r="BI57" i="8"/>
  <c r="BJ57" i="8"/>
  <c r="BK57" i="8"/>
  <c r="BL57" i="8"/>
  <c r="BM57" i="8"/>
  <c r="BN57" i="8"/>
  <c r="BO57" i="8"/>
  <c r="BP57" i="8"/>
  <c r="BQ57" i="8"/>
  <c r="BR57" i="8"/>
  <c r="BS57" i="8"/>
  <c r="BT57" i="8"/>
  <c r="AI58" i="8"/>
  <c r="AJ58" i="8"/>
  <c r="AK58" i="8"/>
  <c r="AL58" i="8"/>
  <c r="AM58" i="8"/>
  <c r="AN58" i="8"/>
  <c r="AO58" i="8"/>
  <c r="AP58" i="8"/>
  <c r="AQ58" i="8"/>
  <c r="AR58" i="8"/>
  <c r="AS58" i="8"/>
  <c r="AT58" i="8"/>
  <c r="AU58" i="8"/>
  <c r="AV58" i="8"/>
  <c r="AW58" i="8"/>
  <c r="AX58" i="8"/>
  <c r="AY58" i="8"/>
  <c r="AZ58" i="8"/>
  <c r="BA58" i="8"/>
  <c r="BB58" i="8"/>
  <c r="BC58" i="8"/>
  <c r="BD58" i="8"/>
  <c r="BE58" i="8"/>
  <c r="BF58" i="8"/>
  <c r="BG58" i="8"/>
  <c r="BH58" i="8"/>
  <c r="BI58" i="8"/>
  <c r="BJ58" i="8"/>
  <c r="BK58" i="8"/>
  <c r="BL58" i="8"/>
  <c r="BM58" i="8"/>
  <c r="BN58" i="8"/>
  <c r="BO58" i="8"/>
  <c r="BP58" i="8"/>
  <c r="BQ58" i="8"/>
  <c r="BR58" i="8"/>
  <c r="BS58" i="8"/>
  <c r="BT58" i="8"/>
  <c r="AI59" i="8"/>
  <c r="AJ59" i="8"/>
  <c r="AK59" i="8"/>
  <c r="AL59" i="8"/>
  <c r="AM59" i="8"/>
  <c r="AN59" i="8"/>
  <c r="AO59" i="8"/>
  <c r="AP59" i="8"/>
  <c r="AQ59" i="8"/>
  <c r="AR59" i="8"/>
  <c r="AS59" i="8"/>
  <c r="AT59" i="8"/>
  <c r="AU59" i="8"/>
  <c r="AV59" i="8"/>
  <c r="AW59" i="8"/>
  <c r="AX59" i="8"/>
  <c r="AY59" i="8"/>
  <c r="AZ59" i="8"/>
  <c r="BA59" i="8"/>
  <c r="BB59" i="8"/>
  <c r="BC59" i="8"/>
  <c r="BD59" i="8"/>
  <c r="BE59" i="8"/>
  <c r="BF59" i="8"/>
  <c r="BG59" i="8"/>
  <c r="BH59" i="8"/>
  <c r="BI59" i="8"/>
  <c r="BJ59" i="8"/>
  <c r="BK59" i="8"/>
  <c r="BL59" i="8"/>
  <c r="BM59" i="8"/>
  <c r="BN59" i="8"/>
  <c r="BO59" i="8"/>
  <c r="BP59" i="8"/>
  <c r="BQ59" i="8"/>
  <c r="BR59" i="8"/>
  <c r="BS59" i="8"/>
  <c r="BT59" i="8"/>
  <c r="AI60" i="8"/>
  <c r="AJ60" i="8"/>
  <c r="AK60" i="8"/>
  <c r="AL60" i="8"/>
  <c r="AM60" i="8"/>
  <c r="AN60" i="8"/>
  <c r="AO60" i="8"/>
  <c r="AP60" i="8"/>
  <c r="AQ60" i="8"/>
  <c r="AR60" i="8"/>
  <c r="AS60" i="8"/>
  <c r="AT60" i="8"/>
  <c r="AU60" i="8"/>
  <c r="AV60" i="8"/>
  <c r="AW60" i="8"/>
  <c r="AX60" i="8"/>
  <c r="AY60" i="8"/>
  <c r="AZ60" i="8"/>
  <c r="BA60" i="8"/>
  <c r="BB60" i="8"/>
  <c r="BC60" i="8"/>
  <c r="BD60" i="8"/>
  <c r="BE60" i="8"/>
  <c r="BF60" i="8"/>
  <c r="BG60" i="8"/>
  <c r="BH60" i="8"/>
  <c r="BI60" i="8"/>
  <c r="BJ60" i="8"/>
  <c r="BK60" i="8"/>
  <c r="BL60" i="8"/>
  <c r="BM60" i="8"/>
  <c r="BN60" i="8"/>
  <c r="BO60" i="8"/>
  <c r="BP60" i="8"/>
  <c r="BQ60" i="8"/>
  <c r="BR60" i="8"/>
  <c r="BS60" i="8"/>
  <c r="BT60" i="8"/>
  <c r="AI61" i="8"/>
  <c r="AJ61" i="8"/>
  <c r="AK61" i="8"/>
  <c r="AL61" i="8"/>
  <c r="AM61" i="8"/>
  <c r="AN61" i="8"/>
  <c r="AO61" i="8"/>
  <c r="AP61" i="8"/>
  <c r="AQ61" i="8"/>
  <c r="AR61" i="8"/>
  <c r="AS61" i="8"/>
  <c r="AT61" i="8"/>
  <c r="AU61" i="8"/>
  <c r="AV61" i="8"/>
  <c r="AW61" i="8"/>
  <c r="AX61" i="8"/>
  <c r="AY61" i="8"/>
  <c r="AZ61" i="8"/>
  <c r="BA61" i="8"/>
  <c r="BB61" i="8"/>
  <c r="BC61" i="8"/>
  <c r="BD61" i="8"/>
  <c r="BE61" i="8"/>
  <c r="BF61" i="8"/>
  <c r="BG61" i="8"/>
  <c r="BH61" i="8"/>
  <c r="BI61" i="8"/>
  <c r="BJ61" i="8"/>
  <c r="BK61" i="8"/>
  <c r="BL61" i="8"/>
  <c r="BM61" i="8"/>
  <c r="BN61" i="8"/>
  <c r="BO61" i="8"/>
  <c r="BP61" i="8"/>
  <c r="BQ61" i="8"/>
  <c r="BR61" i="8"/>
  <c r="BS61" i="8"/>
  <c r="BT61" i="8"/>
  <c r="AI62" i="8"/>
  <c r="AJ62" i="8"/>
  <c r="AK62" i="8"/>
  <c r="AL62" i="8"/>
  <c r="AM62" i="8"/>
  <c r="AN62" i="8"/>
  <c r="AO62" i="8"/>
  <c r="AP62" i="8"/>
  <c r="AQ62" i="8"/>
  <c r="AR62" i="8"/>
  <c r="AS62" i="8"/>
  <c r="AT62" i="8"/>
  <c r="AU62" i="8"/>
  <c r="AV62" i="8"/>
  <c r="AW62" i="8"/>
  <c r="AX62" i="8"/>
  <c r="AY62" i="8"/>
  <c r="AZ62" i="8"/>
  <c r="BA62" i="8"/>
  <c r="BB62" i="8"/>
  <c r="BC62" i="8"/>
  <c r="BD62" i="8"/>
  <c r="BE62" i="8"/>
  <c r="BF62" i="8"/>
  <c r="BG62" i="8"/>
  <c r="BH62" i="8"/>
  <c r="BI62" i="8"/>
  <c r="BJ62" i="8"/>
  <c r="BK62" i="8"/>
  <c r="BL62" i="8"/>
  <c r="BM62" i="8"/>
  <c r="BN62" i="8"/>
  <c r="BO62" i="8"/>
  <c r="BP62" i="8"/>
  <c r="BQ62" i="8"/>
  <c r="BR62" i="8"/>
  <c r="BS62" i="8"/>
  <c r="BT62" i="8"/>
  <c r="AI63" i="8"/>
  <c r="AJ63" i="8"/>
  <c r="AK63" i="8"/>
  <c r="AL63" i="8"/>
  <c r="AM63" i="8"/>
  <c r="AN63" i="8"/>
  <c r="AO63" i="8"/>
  <c r="AP63" i="8"/>
  <c r="AQ63" i="8"/>
  <c r="AR63" i="8"/>
  <c r="AS63" i="8"/>
  <c r="AT63" i="8"/>
  <c r="AU63" i="8"/>
  <c r="AV63" i="8"/>
  <c r="AW63" i="8"/>
  <c r="AX63" i="8"/>
  <c r="AY63" i="8"/>
  <c r="AZ63" i="8"/>
  <c r="BA63" i="8"/>
  <c r="BB63" i="8"/>
  <c r="BC63" i="8"/>
  <c r="BD63" i="8"/>
  <c r="BE63" i="8"/>
  <c r="BF63" i="8"/>
  <c r="BG63" i="8"/>
  <c r="BH63" i="8"/>
  <c r="BI63" i="8"/>
  <c r="BJ63" i="8"/>
  <c r="BK63" i="8"/>
  <c r="BL63" i="8"/>
  <c r="BM63" i="8"/>
  <c r="BN63" i="8"/>
  <c r="BO63" i="8"/>
  <c r="BP63" i="8"/>
  <c r="BQ63" i="8"/>
  <c r="BR63" i="8"/>
  <c r="BS63" i="8"/>
  <c r="BT63" i="8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AI64" i="8"/>
  <c r="AJ64" i="8"/>
  <c r="AK64" i="8"/>
  <c r="AL64" i="8"/>
  <c r="AM64" i="8"/>
  <c r="AN64" i="8"/>
  <c r="AO64" i="8"/>
  <c r="AP64" i="8"/>
  <c r="AQ64" i="8"/>
  <c r="AR64" i="8"/>
  <c r="AS64" i="8"/>
  <c r="AT64" i="8"/>
  <c r="AU64" i="8"/>
  <c r="AV64" i="8"/>
  <c r="AW64" i="8"/>
  <c r="AX64" i="8"/>
  <c r="AY64" i="8"/>
  <c r="AZ64" i="8"/>
  <c r="BA64" i="8"/>
  <c r="BB64" i="8"/>
  <c r="BC64" i="8"/>
  <c r="BD64" i="8"/>
  <c r="BE64" i="8"/>
  <c r="BF64" i="8"/>
  <c r="BG64" i="8"/>
  <c r="BH64" i="8"/>
  <c r="BI64" i="8"/>
  <c r="BJ64" i="8"/>
  <c r="BK64" i="8"/>
  <c r="BL64" i="8"/>
  <c r="BM64" i="8"/>
  <c r="BN64" i="8"/>
  <c r="BO64" i="8"/>
  <c r="BP64" i="8"/>
  <c r="BQ64" i="8"/>
  <c r="BR64" i="8"/>
  <c r="BS64" i="8"/>
  <c r="BT64" i="8"/>
  <c r="C66" i="8"/>
  <c r="D66" i="8"/>
  <c r="E66" i="8"/>
  <c r="F66" i="8"/>
  <c r="G66" i="8"/>
  <c r="H66" i="8"/>
  <c r="I66" i="8"/>
  <c r="J66" i="8"/>
  <c r="K66" i="8"/>
  <c r="L66" i="8"/>
  <c r="M66" i="8"/>
  <c r="N66" i="8"/>
  <c r="O66" i="8"/>
  <c r="P66" i="8"/>
  <c r="Q66" i="8"/>
  <c r="R66" i="8"/>
  <c r="S66" i="8"/>
  <c r="T66" i="8"/>
  <c r="U66" i="8"/>
  <c r="V66" i="8"/>
  <c r="W66" i="8"/>
  <c r="X66" i="8"/>
  <c r="Y66" i="8"/>
  <c r="Z66" i="8"/>
  <c r="AA66" i="8"/>
  <c r="AB66" i="8"/>
  <c r="AC66" i="8"/>
  <c r="AD66" i="8"/>
  <c r="AE66" i="8"/>
  <c r="AF66" i="8"/>
  <c r="AG66" i="8"/>
  <c r="AH66" i="8"/>
  <c r="AI66" i="8"/>
  <c r="AJ66" i="8"/>
  <c r="AK66" i="8"/>
  <c r="AL66" i="8"/>
  <c r="AM66" i="8"/>
  <c r="AN66" i="8"/>
  <c r="AO66" i="8"/>
  <c r="AP66" i="8"/>
  <c r="AQ66" i="8"/>
  <c r="AR66" i="8"/>
  <c r="AS66" i="8"/>
  <c r="AT66" i="8"/>
  <c r="AU66" i="8"/>
  <c r="AV66" i="8"/>
  <c r="AW66" i="8"/>
  <c r="AX66" i="8"/>
  <c r="AY66" i="8"/>
  <c r="AZ66" i="8"/>
  <c r="BA66" i="8"/>
  <c r="BB66" i="8"/>
  <c r="BC66" i="8"/>
  <c r="BD66" i="8"/>
  <c r="BE66" i="8"/>
  <c r="BF66" i="8"/>
  <c r="BG66" i="8"/>
  <c r="BH66" i="8"/>
  <c r="BI66" i="8"/>
  <c r="BJ66" i="8"/>
  <c r="BK66" i="8"/>
  <c r="BL66" i="8"/>
  <c r="BM66" i="8"/>
  <c r="BN66" i="8"/>
  <c r="BO66" i="8"/>
  <c r="BP66" i="8"/>
  <c r="BQ66" i="8"/>
  <c r="BR66" i="8"/>
  <c r="BS66" i="8"/>
  <c r="BT66" i="8"/>
  <c r="AI67" i="8"/>
  <c r="AJ67" i="8"/>
  <c r="AK67" i="8"/>
  <c r="AL67" i="8"/>
  <c r="AM67" i="8"/>
  <c r="AN67" i="8"/>
  <c r="AO67" i="8"/>
  <c r="AP67" i="8"/>
  <c r="AQ67" i="8"/>
  <c r="AR67" i="8"/>
  <c r="AS67" i="8"/>
  <c r="AT67" i="8"/>
  <c r="AU67" i="8"/>
  <c r="AV67" i="8"/>
  <c r="AW67" i="8"/>
  <c r="AX67" i="8"/>
  <c r="AY67" i="8"/>
  <c r="AZ67" i="8"/>
  <c r="BA67" i="8"/>
  <c r="BB67" i="8"/>
  <c r="BC67" i="8"/>
  <c r="BD67" i="8"/>
  <c r="BE67" i="8"/>
  <c r="BF67" i="8"/>
  <c r="BG67" i="8"/>
  <c r="BH67" i="8"/>
  <c r="BI67" i="8"/>
  <c r="BJ67" i="8"/>
  <c r="BK67" i="8"/>
  <c r="BL67" i="8"/>
  <c r="BM67" i="8"/>
  <c r="BN67" i="8"/>
  <c r="BO67" i="8"/>
  <c r="BP67" i="8"/>
  <c r="BQ67" i="8"/>
  <c r="BR67" i="8"/>
  <c r="BS67" i="8"/>
  <c r="BT67" i="8"/>
  <c r="AI68" i="8"/>
  <c r="AJ68" i="8"/>
  <c r="AK68" i="8"/>
  <c r="AL68" i="8"/>
  <c r="AM68" i="8"/>
  <c r="AN68" i="8"/>
  <c r="AO68" i="8"/>
  <c r="AP68" i="8"/>
  <c r="AQ68" i="8"/>
  <c r="AR68" i="8"/>
  <c r="AS68" i="8"/>
  <c r="AT68" i="8"/>
  <c r="AU68" i="8"/>
  <c r="AV68" i="8"/>
  <c r="AW68" i="8"/>
  <c r="AX68" i="8"/>
  <c r="AY68" i="8"/>
  <c r="AZ68" i="8"/>
  <c r="BA68" i="8"/>
  <c r="BB68" i="8"/>
  <c r="BC68" i="8"/>
  <c r="BD68" i="8"/>
  <c r="BE68" i="8"/>
  <c r="BF68" i="8"/>
  <c r="BG68" i="8"/>
  <c r="BH68" i="8"/>
  <c r="BI68" i="8"/>
  <c r="BJ68" i="8"/>
  <c r="BK68" i="8"/>
  <c r="BL68" i="8"/>
  <c r="BM68" i="8"/>
  <c r="BN68" i="8"/>
  <c r="BO68" i="8"/>
  <c r="BP68" i="8"/>
  <c r="BQ68" i="8"/>
  <c r="BR68" i="8"/>
  <c r="BS68" i="8"/>
  <c r="BT68" i="8"/>
  <c r="AI69" i="8"/>
  <c r="AJ69" i="8"/>
  <c r="AK69" i="8"/>
  <c r="AL69" i="8"/>
  <c r="AM69" i="8"/>
  <c r="AN69" i="8"/>
  <c r="AO69" i="8"/>
  <c r="AP69" i="8"/>
  <c r="AQ69" i="8"/>
  <c r="AR69" i="8"/>
  <c r="AS69" i="8"/>
  <c r="AT69" i="8"/>
  <c r="AU69" i="8"/>
  <c r="AV69" i="8"/>
  <c r="AW69" i="8"/>
  <c r="AX69" i="8"/>
  <c r="AY69" i="8"/>
  <c r="AZ69" i="8"/>
  <c r="BA69" i="8"/>
  <c r="BB69" i="8"/>
  <c r="BC69" i="8"/>
  <c r="BD69" i="8"/>
  <c r="BE69" i="8"/>
  <c r="BF69" i="8"/>
  <c r="BG69" i="8"/>
  <c r="BH69" i="8"/>
  <c r="BI69" i="8"/>
  <c r="BJ69" i="8"/>
  <c r="BK69" i="8"/>
  <c r="BL69" i="8"/>
  <c r="BM69" i="8"/>
  <c r="BN69" i="8"/>
  <c r="BO69" i="8"/>
  <c r="BP69" i="8"/>
  <c r="BQ69" i="8"/>
  <c r="BR69" i="8"/>
  <c r="BS69" i="8"/>
  <c r="BT69" i="8"/>
  <c r="AI70" i="8"/>
  <c r="AJ70" i="8"/>
  <c r="AK70" i="8"/>
  <c r="AL70" i="8"/>
  <c r="AM70" i="8"/>
  <c r="AN70" i="8"/>
  <c r="AO70" i="8"/>
  <c r="AP70" i="8"/>
  <c r="AQ70" i="8"/>
  <c r="AR70" i="8"/>
  <c r="AS70" i="8"/>
  <c r="AT70" i="8"/>
  <c r="AU70" i="8"/>
  <c r="AV70" i="8"/>
  <c r="AW70" i="8"/>
  <c r="AX70" i="8"/>
  <c r="AY70" i="8"/>
  <c r="AZ70" i="8"/>
  <c r="BA70" i="8"/>
  <c r="BB70" i="8"/>
  <c r="BC70" i="8"/>
  <c r="BD70" i="8"/>
  <c r="BE70" i="8"/>
  <c r="BF70" i="8"/>
  <c r="BG70" i="8"/>
  <c r="BH70" i="8"/>
  <c r="BI70" i="8"/>
  <c r="BJ70" i="8"/>
  <c r="BK70" i="8"/>
  <c r="BL70" i="8"/>
  <c r="BM70" i="8"/>
  <c r="BN70" i="8"/>
  <c r="BO70" i="8"/>
  <c r="BP70" i="8"/>
  <c r="BQ70" i="8"/>
  <c r="BR70" i="8"/>
  <c r="BS70" i="8"/>
  <c r="BT70" i="8"/>
  <c r="AI71" i="8"/>
  <c r="AJ71" i="8"/>
  <c r="AK71" i="8"/>
  <c r="AL71" i="8"/>
  <c r="AM71" i="8"/>
  <c r="AN71" i="8"/>
  <c r="AO71" i="8"/>
  <c r="AP71" i="8"/>
  <c r="AQ71" i="8"/>
  <c r="AR71" i="8"/>
  <c r="AS71" i="8"/>
  <c r="AT71" i="8"/>
  <c r="AU71" i="8"/>
  <c r="AV71" i="8"/>
  <c r="AW71" i="8"/>
  <c r="AX71" i="8"/>
  <c r="AY71" i="8"/>
  <c r="AZ71" i="8"/>
  <c r="BA71" i="8"/>
  <c r="BB71" i="8"/>
  <c r="BC71" i="8"/>
  <c r="BD71" i="8"/>
  <c r="BE71" i="8"/>
  <c r="BF71" i="8"/>
  <c r="BG71" i="8"/>
  <c r="BH71" i="8"/>
  <c r="BI71" i="8"/>
  <c r="BJ71" i="8"/>
  <c r="BK71" i="8"/>
  <c r="BL71" i="8"/>
  <c r="BM71" i="8"/>
  <c r="BN71" i="8"/>
  <c r="BO71" i="8"/>
  <c r="BP71" i="8"/>
  <c r="BQ71" i="8"/>
  <c r="BR71" i="8"/>
  <c r="BS71" i="8"/>
  <c r="BT71" i="8"/>
  <c r="AI72" i="8"/>
  <c r="AJ72" i="8"/>
  <c r="AK72" i="8"/>
  <c r="AL72" i="8"/>
  <c r="AM72" i="8"/>
  <c r="AN72" i="8"/>
  <c r="AO72" i="8"/>
  <c r="AP72" i="8"/>
  <c r="AQ72" i="8"/>
  <c r="AR72" i="8"/>
  <c r="AS72" i="8"/>
  <c r="AT72" i="8"/>
  <c r="AU72" i="8"/>
  <c r="AV72" i="8"/>
  <c r="AW72" i="8"/>
  <c r="AX72" i="8"/>
  <c r="AY72" i="8"/>
  <c r="AZ72" i="8"/>
  <c r="BA72" i="8"/>
  <c r="BB72" i="8"/>
  <c r="BC72" i="8"/>
  <c r="BD72" i="8"/>
  <c r="BE72" i="8"/>
  <c r="BF72" i="8"/>
  <c r="BG72" i="8"/>
  <c r="BH72" i="8"/>
  <c r="BI72" i="8"/>
  <c r="BJ72" i="8"/>
  <c r="BK72" i="8"/>
  <c r="BL72" i="8"/>
  <c r="BM72" i="8"/>
  <c r="BN72" i="8"/>
  <c r="BO72" i="8"/>
  <c r="BP72" i="8"/>
  <c r="BQ72" i="8"/>
  <c r="BR72" i="8"/>
  <c r="BS72" i="8"/>
  <c r="BT72" i="8"/>
  <c r="AI73" i="8"/>
  <c r="AJ73" i="8"/>
  <c r="AK73" i="8"/>
  <c r="AL73" i="8"/>
  <c r="AM73" i="8"/>
  <c r="AN73" i="8"/>
  <c r="AO73" i="8"/>
  <c r="AP73" i="8"/>
  <c r="AQ73" i="8"/>
  <c r="AR73" i="8"/>
  <c r="AS73" i="8"/>
  <c r="AT73" i="8"/>
  <c r="AU73" i="8"/>
  <c r="AV73" i="8"/>
  <c r="AW73" i="8"/>
  <c r="AX73" i="8"/>
  <c r="AY73" i="8"/>
  <c r="AZ73" i="8"/>
  <c r="BA73" i="8"/>
  <c r="BB73" i="8"/>
  <c r="BC73" i="8"/>
  <c r="BD73" i="8"/>
  <c r="BE73" i="8"/>
  <c r="BF73" i="8"/>
  <c r="BG73" i="8"/>
  <c r="BH73" i="8"/>
  <c r="BI73" i="8"/>
  <c r="BJ73" i="8"/>
  <c r="BK73" i="8"/>
  <c r="BL73" i="8"/>
  <c r="BM73" i="8"/>
  <c r="BN73" i="8"/>
  <c r="BO73" i="8"/>
  <c r="BP73" i="8"/>
  <c r="BQ73" i="8"/>
  <c r="BR73" i="8"/>
  <c r="BS73" i="8"/>
  <c r="BT73" i="8"/>
  <c r="AI74" i="8"/>
  <c r="AJ74" i="8"/>
  <c r="AK74" i="8"/>
  <c r="AL74" i="8"/>
  <c r="AM74" i="8"/>
  <c r="AN74" i="8"/>
  <c r="AO74" i="8"/>
  <c r="AP74" i="8"/>
  <c r="AQ74" i="8"/>
  <c r="AR74" i="8"/>
  <c r="AS74" i="8"/>
  <c r="AT74" i="8"/>
  <c r="AU74" i="8"/>
  <c r="AV74" i="8"/>
  <c r="AW74" i="8"/>
  <c r="AX74" i="8"/>
  <c r="AY74" i="8"/>
  <c r="AZ74" i="8"/>
  <c r="BA74" i="8"/>
  <c r="BB74" i="8"/>
  <c r="BC74" i="8"/>
  <c r="BD74" i="8"/>
  <c r="BE74" i="8"/>
  <c r="BF74" i="8"/>
  <c r="BG74" i="8"/>
  <c r="BH74" i="8"/>
  <c r="BI74" i="8"/>
  <c r="BJ74" i="8"/>
  <c r="BK74" i="8"/>
  <c r="BL74" i="8"/>
  <c r="BM74" i="8"/>
  <c r="BN74" i="8"/>
  <c r="BO74" i="8"/>
  <c r="BP74" i="8"/>
  <c r="BQ74" i="8"/>
  <c r="BR74" i="8"/>
  <c r="BS74" i="8"/>
  <c r="BT74" i="8"/>
  <c r="AI75" i="8"/>
  <c r="AJ75" i="8"/>
  <c r="AK75" i="8"/>
  <c r="AL75" i="8"/>
  <c r="AM75" i="8"/>
  <c r="AN75" i="8"/>
  <c r="AO75" i="8"/>
  <c r="AP75" i="8"/>
  <c r="AQ75" i="8"/>
  <c r="AR75" i="8"/>
  <c r="AS75" i="8"/>
  <c r="AT75" i="8"/>
  <c r="AU75" i="8"/>
  <c r="AV75" i="8"/>
  <c r="AW75" i="8"/>
  <c r="AX75" i="8"/>
  <c r="AY75" i="8"/>
  <c r="AZ75" i="8"/>
  <c r="BA75" i="8"/>
  <c r="BB75" i="8"/>
  <c r="BC75" i="8"/>
  <c r="BD75" i="8"/>
  <c r="BE75" i="8"/>
  <c r="BF75" i="8"/>
  <c r="BG75" i="8"/>
  <c r="BH75" i="8"/>
  <c r="BI75" i="8"/>
  <c r="BJ75" i="8"/>
  <c r="BK75" i="8"/>
  <c r="BL75" i="8"/>
  <c r="BM75" i="8"/>
  <c r="BN75" i="8"/>
  <c r="BO75" i="8"/>
  <c r="BP75" i="8"/>
  <c r="BQ75" i="8"/>
  <c r="BR75" i="8"/>
  <c r="BS75" i="8"/>
  <c r="BT75" i="8"/>
  <c r="AI76" i="8"/>
  <c r="AJ76" i="8"/>
  <c r="AK76" i="8"/>
  <c r="AL76" i="8"/>
  <c r="AM76" i="8"/>
  <c r="AN76" i="8"/>
  <c r="AO76" i="8"/>
  <c r="AP76" i="8"/>
  <c r="AQ76" i="8"/>
  <c r="AR76" i="8"/>
  <c r="AS76" i="8"/>
  <c r="AT76" i="8"/>
  <c r="AU76" i="8"/>
  <c r="AV76" i="8"/>
  <c r="AW76" i="8"/>
  <c r="AX76" i="8"/>
  <c r="AY76" i="8"/>
  <c r="AZ76" i="8"/>
  <c r="BA76" i="8"/>
  <c r="BB76" i="8"/>
  <c r="BC76" i="8"/>
  <c r="BD76" i="8"/>
  <c r="BE76" i="8"/>
  <c r="BF76" i="8"/>
  <c r="BG76" i="8"/>
  <c r="BH76" i="8"/>
  <c r="BI76" i="8"/>
  <c r="BJ76" i="8"/>
  <c r="BK76" i="8"/>
  <c r="BL76" i="8"/>
  <c r="BM76" i="8"/>
  <c r="BN76" i="8"/>
  <c r="BO76" i="8"/>
  <c r="BP76" i="8"/>
  <c r="BQ76" i="8"/>
  <c r="BR76" i="8"/>
  <c r="BS76" i="8"/>
  <c r="BT76" i="8"/>
  <c r="AI77" i="8"/>
  <c r="AJ77" i="8"/>
  <c r="AK77" i="8"/>
  <c r="AL77" i="8"/>
  <c r="AM77" i="8"/>
  <c r="AN77" i="8"/>
  <c r="AO77" i="8"/>
  <c r="AP77" i="8"/>
  <c r="AQ77" i="8"/>
  <c r="AR77" i="8"/>
  <c r="AS77" i="8"/>
  <c r="AT77" i="8"/>
  <c r="AU77" i="8"/>
  <c r="AV77" i="8"/>
  <c r="AW77" i="8"/>
  <c r="AX77" i="8"/>
  <c r="AY77" i="8"/>
  <c r="AZ77" i="8"/>
  <c r="BA77" i="8"/>
  <c r="BB77" i="8"/>
  <c r="BC77" i="8"/>
  <c r="BD77" i="8"/>
  <c r="BE77" i="8"/>
  <c r="BF77" i="8"/>
  <c r="BG77" i="8"/>
  <c r="BH77" i="8"/>
  <c r="BI77" i="8"/>
  <c r="BJ77" i="8"/>
  <c r="BK77" i="8"/>
  <c r="BL77" i="8"/>
  <c r="BM77" i="8"/>
  <c r="BN77" i="8"/>
  <c r="BO77" i="8"/>
  <c r="BP77" i="8"/>
  <c r="BQ77" i="8"/>
  <c r="BR77" i="8"/>
  <c r="BS77" i="8"/>
  <c r="BT77" i="8"/>
  <c r="AI78" i="8"/>
  <c r="AJ78" i="8"/>
  <c r="AK78" i="8"/>
  <c r="AL78" i="8"/>
  <c r="AM78" i="8"/>
  <c r="AN78" i="8"/>
  <c r="AO78" i="8"/>
  <c r="AP78" i="8"/>
  <c r="AQ78" i="8"/>
  <c r="AR78" i="8"/>
  <c r="AS78" i="8"/>
  <c r="AT78" i="8"/>
  <c r="AU78" i="8"/>
  <c r="AV78" i="8"/>
  <c r="AW78" i="8"/>
  <c r="AX78" i="8"/>
  <c r="AY78" i="8"/>
  <c r="AZ78" i="8"/>
  <c r="BA78" i="8"/>
  <c r="BB78" i="8"/>
  <c r="BC78" i="8"/>
  <c r="BD78" i="8"/>
  <c r="BE78" i="8"/>
  <c r="BF78" i="8"/>
  <c r="BG78" i="8"/>
  <c r="BH78" i="8"/>
  <c r="BI78" i="8"/>
  <c r="BJ78" i="8"/>
  <c r="BK78" i="8"/>
  <c r="BL78" i="8"/>
  <c r="BM78" i="8"/>
  <c r="BN78" i="8"/>
  <c r="BO78" i="8"/>
  <c r="BP78" i="8"/>
  <c r="BQ78" i="8"/>
  <c r="BR78" i="8"/>
  <c r="BS78" i="8"/>
  <c r="BT78" i="8"/>
  <c r="AI79" i="8"/>
  <c r="AJ79" i="8"/>
  <c r="AK79" i="8"/>
  <c r="AL79" i="8"/>
  <c r="AM79" i="8"/>
  <c r="AN79" i="8"/>
  <c r="AO79" i="8"/>
  <c r="AP79" i="8"/>
  <c r="AQ79" i="8"/>
  <c r="AR79" i="8"/>
  <c r="AS79" i="8"/>
  <c r="AT79" i="8"/>
  <c r="AU79" i="8"/>
  <c r="AV79" i="8"/>
  <c r="AW79" i="8"/>
  <c r="AX79" i="8"/>
  <c r="AY79" i="8"/>
  <c r="AZ79" i="8"/>
  <c r="BA79" i="8"/>
  <c r="BB79" i="8"/>
  <c r="BC79" i="8"/>
  <c r="BD79" i="8"/>
  <c r="BE79" i="8"/>
  <c r="BF79" i="8"/>
  <c r="BG79" i="8"/>
  <c r="BH79" i="8"/>
  <c r="BI79" i="8"/>
  <c r="BJ79" i="8"/>
  <c r="BK79" i="8"/>
  <c r="BL79" i="8"/>
  <c r="BM79" i="8"/>
  <c r="BN79" i="8"/>
  <c r="BO79" i="8"/>
  <c r="BP79" i="8"/>
  <c r="BQ79" i="8"/>
  <c r="BR79" i="8"/>
  <c r="BS79" i="8"/>
  <c r="BT79" i="8"/>
  <c r="AI80" i="8"/>
  <c r="AJ80" i="8"/>
  <c r="AK80" i="8"/>
  <c r="AL80" i="8"/>
  <c r="AM80" i="8"/>
  <c r="AN80" i="8"/>
  <c r="AO80" i="8"/>
  <c r="AP80" i="8"/>
  <c r="AQ80" i="8"/>
  <c r="AR80" i="8"/>
  <c r="AS80" i="8"/>
  <c r="AT80" i="8"/>
  <c r="AU80" i="8"/>
  <c r="AV80" i="8"/>
  <c r="AW80" i="8"/>
  <c r="AX80" i="8"/>
  <c r="AY80" i="8"/>
  <c r="AZ80" i="8"/>
  <c r="BA80" i="8"/>
  <c r="BB80" i="8"/>
  <c r="BC80" i="8"/>
  <c r="BD80" i="8"/>
  <c r="BE80" i="8"/>
  <c r="BF80" i="8"/>
  <c r="BG80" i="8"/>
  <c r="BH80" i="8"/>
  <c r="BI80" i="8"/>
  <c r="BJ80" i="8"/>
  <c r="BK80" i="8"/>
  <c r="BL80" i="8"/>
  <c r="BM80" i="8"/>
  <c r="BN80" i="8"/>
  <c r="BO80" i="8"/>
  <c r="BP80" i="8"/>
  <c r="BQ80" i="8"/>
  <c r="BR80" i="8"/>
  <c r="BS80" i="8"/>
  <c r="BT80" i="8"/>
  <c r="AI81" i="8"/>
  <c r="AJ81" i="8"/>
  <c r="AK81" i="8"/>
  <c r="AL81" i="8"/>
  <c r="AM81" i="8"/>
  <c r="AN81" i="8"/>
  <c r="AO81" i="8"/>
  <c r="AP81" i="8"/>
  <c r="AQ81" i="8"/>
  <c r="AR81" i="8"/>
  <c r="AS81" i="8"/>
  <c r="AT81" i="8"/>
  <c r="AU81" i="8"/>
  <c r="AV81" i="8"/>
  <c r="AW81" i="8"/>
  <c r="AX81" i="8"/>
  <c r="AY81" i="8"/>
  <c r="AZ81" i="8"/>
  <c r="BA81" i="8"/>
  <c r="BB81" i="8"/>
  <c r="BC81" i="8"/>
  <c r="BD81" i="8"/>
  <c r="BE81" i="8"/>
  <c r="BF81" i="8"/>
  <c r="BG81" i="8"/>
  <c r="BH81" i="8"/>
  <c r="BI81" i="8"/>
  <c r="BJ81" i="8"/>
  <c r="BK81" i="8"/>
  <c r="BL81" i="8"/>
  <c r="BM81" i="8"/>
  <c r="BN81" i="8"/>
  <c r="BO81" i="8"/>
  <c r="BP81" i="8"/>
  <c r="BQ81" i="8"/>
  <c r="BR81" i="8"/>
  <c r="BS81" i="8"/>
  <c r="BT81" i="8"/>
  <c r="AI82" i="8"/>
  <c r="AJ82" i="8"/>
  <c r="AK82" i="8"/>
  <c r="AL82" i="8"/>
  <c r="AM82" i="8"/>
  <c r="AN82" i="8"/>
  <c r="AO82" i="8"/>
  <c r="AP82" i="8"/>
  <c r="AQ82" i="8"/>
  <c r="AR82" i="8"/>
  <c r="AS82" i="8"/>
  <c r="AT82" i="8"/>
  <c r="AU82" i="8"/>
  <c r="AV82" i="8"/>
  <c r="AW82" i="8"/>
  <c r="AX82" i="8"/>
  <c r="AY82" i="8"/>
  <c r="AZ82" i="8"/>
  <c r="BA82" i="8"/>
  <c r="BB82" i="8"/>
  <c r="BC82" i="8"/>
  <c r="BD82" i="8"/>
  <c r="BE82" i="8"/>
  <c r="BF82" i="8"/>
  <c r="BG82" i="8"/>
  <c r="BH82" i="8"/>
  <c r="BI82" i="8"/>
  <c r="BJ82" i="8"/>
  <c r="BK82" i="8"/>
  <c r="BL82" i="8"/>
  <c r="BM82" i="8"/>
  <c r="BN82" i="8"/>
  <c r="BO82" i="8"/>
  <c r="BP82" i="8"/>
  <c r="BQ82" i="8"/>
  <c r="BR82" i="8"/>
  <c r="BS82" i="8"/>
  <c r="BT82" i="8"/>
  <c r="AI83" i="8"/>
  <c r="AJ83" i="8"/>
  <c r="AK83" i="8"/>
  <c r="AL83" i="8"/>
  <c r="AM83" i="8"/>
  <c r="AN83" i="8"/>
  <c r="AO83" i="8"/>
  <c r="AP83" i="8"/>
  <c r="AQ83" i="8"/>
  <c r="AR83" i="8"/>
  <c r="AS83" i="8"/>
  <c r="AT83" i="8"/>
  <c r="AU83" i="8"/>
  <c r="AV83" i="8"/>
  <c r="AW83" i="8"/>
  <c r="AX83" i="8"/>
  <c r="AY83" i="8"/>
  <c r="AZ83" i="8"/>
  <c r="BA83" i="8"/>
  <c r="BB83" i="8"/>
  <c r="BC83" i="8"/>
  <c r="BD83" i="8"/>
  <c r="BE83" i="8"/>
  <c r="BF83" i="8"/>
  <c r="BG83" i="8"/>
  <c r="BH83" i="8"/>
  <c r="BI83" i="8"/>
  <c r="BJ83" i="8"/>
  <c r="BK83" i="8"/>
  <c r="BL83" i="8"/>
  <c r="BM83" i="8"/>
  <c r="BN83" i="8"/>
  <c r="BO83" i="8"/>
  <c r="BP83" i="8"/>
  <c r="BQ83" i="8"/>
  <c r="BR83" i="8"/>
  <c r="BS83" i="8"/>
  <c r="BT83" i="8"/>
  <c r="AI84" i="8"/>
  <c r="AJ84" i="8"/>
  <c r="AK84" i="8"/>
  <c r="AL84" i="8"/>
  <c r="AM84" i="8"/>
  <c r="AN84" i="8"/>
  <c r="AO84" i="8"/>
  <c r="AP84" i="8"/>
  <c r="AQ84" i="8"/>
  <c r="AR84" i="8"/>
  <c r="AS84" i="8"/>
  <c r="AT84" i="8"/>
  <c r="AU84" i="8"/>
  <c r="AV84" i="8"/>
  <c r="AW84" i="8"/>
  <c r="AX84" i="8"/>
  <c r="AY84" i="8"/>
  <c r="AZ84" i="8"/>
  <c r="BA84" i="8"/>
  <c r="BB84" i="8"/>
  <c r="BC84" i="8"/>
  <c r="BD84" i="8"/>
  <c r="BE84" i="8"/>
  <c r="BF84" i="8"/>
  <c r="BG84" i="8"/>
  <c r="BH84" i="8"/>
  <c r="BI84" i="8"/>
  <c r="BJ84" i="8"/>
  <c r="BK84" i="8"/>
  <c r="BL84" i="8"/>
  <c r="BM84" i="8"/>
  <c r="BN84" i="8"/>
  <c r="BO84" i="8"/>
  <c r="BP84" i="8"/>
  <c r="BQ84" i="8"/>
  <c r="BR84" i="8"/>
  <c r="BS84" i="8"/>
  <c r="BT84" i="8"/>
  <c r="AI85" i="8"/>
  <c r="AJ85" i="8"/>
  <c r="AK85" i="8"/>
  <c r="AL85" i="8"/>
  <c r="AM85" i="8"/>
  <c r="AN85" i="8"/>
  <c r="AO85" i="8"/>
  <c r="AP85" i="8"/>
  <c r="AQ85" i="8"/>
  <c r="AR85" i="8"/>
  <c r="AS85" i="8"/>
  <c r="AT85" i="8"/>
  <c r="AU85" i="8"/>
  <c r="AV85" i="8"/>
  <c r="AW85" i="8"/>
  <c r="AX85" i="8"/>
  <c r="AY85" i="8"/>
  <c r="AZ85" i="8"/>
  <c r="BA85" i="8"/>
  <c r="BB85" i="8"/>
  <c r="BC85" i="8"/>
  <c r="BD85" i="8"/>
  <c r="BE85" i="8"/>
  <c r="BF85" i="8"/>
  <c r="BG85" i="8"/>
  <c r="BH85" i="8"/>
  <c r="BI85" i="8"/>
  <c r="BJ85" i="8"/>
  <c r="BK85" i="8"/>
  <c r="BL85" i="8"/>
  <c r="BM85" i="8"/>
  <c r="BN85" i="8"/>
  <c r="BO85" i="8"/>
  <c r="BP85" i="8"/>
  <c r="BQ85" i="8"/>
  <c r="BR85" i="8"/>
  <c r="BS85" i="8"/>
  <c r="BT85" i="8"/>
  <c r="AI86" i="8"/>
  <c r="AJ86" i="8"/>
  <c r="AK86" i="8"/>
  <c r="AL86" i="8"/>
  <c r="AM86" i="8"/>
  <c r="AN86" i="8"/>
  <c r="AO86" i="8"/>
  <c r="AP86" i="8"/>
  <c r="AQ86" i="8"/>
  <c r="AR86" i="8"/>
  <c r="AS86" i="8"/>
  <c r="AT86" i="8"/>
  <c r="AU86" i="8"/>
  <c r="AV86" i="8"/>
  <c r="AW86" i="8"/>
  <c r="AX86" i="8"/>
  <c r="AY86" i="8"/>
  <c r="AZ86" i="8"/>
  <c r="BA86" i="8"/>
  <c r="BB86" i="8"/>
  <c r="BC86" i="8"/>
  <c r="BD86" i="8"/>
  <c r="BE86" i="8"/>
  <c r="BF86" i="8"/>
  <c r="BG86" i="8"/>
  <c r="BH86" i="8"/>
  <c r="BI86" i="8"/>
  <c r="BJ86" i="8"/>
  <c r="BK86" i="8"/>
  <c r="BL86" i="8"/>
  <c r="BM86" i="8"/>
  <c r="BN86" i="8"/>
  <c r="BO86" i="8"/>
  <c r="BP86" i="8"/>
  <c r="BQ86" i="8"/>
  <c r="BR86" i="8"/>
  <c r="BS86" i="8"/>
  <c r="BT86" i="8"/>
  <c r="AI87" i="8"/>
  <c r="AJ87" i="8"/>
  <c r="AK87" i="8"/>
  <c r="AL87" i="8"/>
  <c r="AM87" i="8"/>
  <c r="AN87" i="8"/>
  <c r="AO87" i="8"/>
  <c r="AP87" i="8"/>
  <c r="AQ87" i="8"/>
  <c r="AR87" i="8"/>
  <c r="AS87" i="8"/>
  <c r="AT87" i="8"/>
  <c r="AU87" i="8"/>
  <c r="AV87" i="8"/>
  <c r="AW87" i="8"/>
  <c r="AX87" i="8"/>
  <c r="AY87" i="8"/>
  <c r="AZ87" i="8"/>
  <c r="BA87" i="8"/>
  <c r="BB87" i="8"/>
  <c r="BC87" i="8"/>
  <c r="BD87" i="8"/>
  <c r="BE87" i="8"/>
  <c r="BF87" i="8"/>
  <c r="BG87" i="8"/>
  <c r="BH87" i="8"/>
  <c r="BI87" i="8"/>
  <c r="BJ87" i="8"/>
  <c r="BK87" i="8"/>
  <c r="BL87" i="8"/>
  <c r="BM87" i="8"/>
  <c r="BN87" i="8"/>
  <c r="BO87" i="8"/>
  <c r="BP87" i="8"/>
  <c r="BQ87" i="8"/>
  <c r="BR87" i="8"/>
  <c r="BS87" i="8"/>
  <c r="BT87" i="8"/>
  <c r="AI88" i="8"/>
  <c r="AJ88" i="8"/>
  <c r="AK88" i="8"/>
  <c r="AL88" i="8"/>
  <c r="AM88" i="8"/>
  <c r="AN88" i="8"/>
  <c r="AO88" i="8"/>
  <c r="AP88" i="8"/>
  <c r="AQ88" i="8"/>
  <c r="AR88" i="8"/>
  <c r="AS88" i="8"/>
  <c r="AT88" i="8"/>
  <c r="AU88" i="8"/>
  <c r="AV88" i="8"/>
  <c r="AW88" i="8"/>
  <c r="AX88" i="8"/>
  <c r="AY88" i="8"/>
  <c r="AZ88" i="8"/>
  <c r="BA88" i="8"/>
  <c r="BB88" i="8"/>
  <c r="BC88" i="8"/>
  <c r="BD88" i="8"/>
  <c r="BE88" i="8"/>
  <c r="BF88" i="8"/>
  <c r="BG88" i="8"/>
  <c r="BH88" i="8"/>
  <c r="BI88" i="8"/>
  <c r="BJ88" i="8"/>
  <c r="BK88" i="8"/>
  <c r="BL88" i="8"/>
  <c r="BM88" i="8"/>
  <c r="BN88" i="8"/>
  <c r="BO88" i="8"/>
  <c r="BP88" i="8"/>
  <c r="BQ88" i="8"/>
  <c r="BR88" i="8"/>
  <c r="BS88" i="8"/>
  <c r="BT88" i="8"/>
  <c r="AI89" i="8"/>
  <c r="AJ89" i="8"/>
  <c r="AK89" i="8"/>
  <c r="AL89" i="8"/>
  <c r="AM89" i="8"/>
  <c r="AN89" i="8"/>
  <c r="AO89" i="8"/>
  <c r="AP89" i="8"/>
  <c r="AQ89" i="8"/>
  <c r="AR89" i="8"/>
  <c r="AS89" i="8"/>
  <c r="AT89" i="8"/>
  <c r="AU89" i="8"/>
  <c r="AV89" i="8"/>
  <c r="AW89" i="8"/>
  <c r="AX89" i="8"/>
  <c r="AY89" i="8"/>
  <c r="AZ89" i="8"/>
  <c r="BA89" i="8"/>
  <c r="BB89" i="8"/>
  <c r="BC89" i="8"/>
  <c r="BD89" i="8"/>
  <c r="BE89" i="8"/>
  <c r="BF89" i="8"/>
  <c r="BG89" i="8"/>
  <c r="BH89" i="8"/>
  <c r="BI89" i="8"/>
  <c r="BJ89" i="8"/>
  <c r="BK89" i="8"/>
  <c r="BL89" i="8"/>
  <c r="BM89" i="8"/>
  <c r="BN89" i="8"/>
  <c r="BO89" i="8"/>
  <c r="BP89" i="8"/>
  <c r="BQ89" i="8"/>
  <c r="BR89" i="8"/>
  <c r="BS89" i="8"/>
  <c r="BT89" i="8"/>
  <c r="AI90" i="8"/>
  <c r="AJ90" i="8"/>
  <c r="AK90" i="8"/>
  <c r="AL90" i="8"/>
  <c r="AM90" i="8"/>
  <c r="AN90" i="8"/>
  <c r="AO90" i="8"/>
  <c r="AP90" i="8"/>
  <c r="AQ90" i="8"/>
  <c r="AR90" i="8"/>
  <c r="AS90" i="8"/>
  <c r="AT90" i="8"/>
  <c r="AU90" i="8"/>
  <c r="AV90" i="8"/>
  <c r="AW90" i="8"/>
  <c r="AX90" i="8"/>
  <c r="AY90" i="8"/>
  <c r="AZ90" i="8"/>
  <c r="BA90" i="8"/>
  <c r="BB90" i="8"/>
  <c r="BC90" i="8"/>
  <c r="BD90" i="8"/>
  <c r="BE90" i="8"/>
  <c r="BF90" i="8"/>
  <c r="BG90" i="8"/>
  <c r="BH90" i="8"/>
  <c r="BI90" i="8"/>
  <c r="BJ90" i="8"/>
  <c r="BK90" i="8"/>
  <c r="BL90" i="8"/>
  <c r="BM90" i="8"/>
  <c r="BN90" i="8"/>
  <c r="BO90" i="8"/>
  <c r="BP90" i="8"/>
  <c r="BQ90" i="8"/>
  <c r="BR90" i="8"/>
  <c r="BS90" i="8"/>
  <c r="BT90" i="8"/>
  <c r="AI91" i="8"/>
  <c r="AJ91" i="8"/>
  <c r="AK91" i="8"/>
  <c r="AL91" i="8"/>
  <c r="AM91" i="8"/>
  <c r="AN91" i="8"/>
  <c r="AO91" i="8"/>
  <c r="AP91" i="8"/>
  <c r="AQ91" i="8"/>
  <c r="AR91" i="8"/>
  <c r="AS91" i="8"/>
  <c r="AT91" i="8"/>
  <c r="AU91" i="8"/>
  <c r="AV91" i="8"/>
  <c r="AW91" i="8"/>
  <c r="AX91" i="8"/>
  <c r="AY91" i="8"/>
  <c r="AZ91" i="8"/>
  <c r="BA91" i="8"/>
  <c r="BB91" i="8"/>
  <c r="BC91" i="8"/>
  <c r="BD91" i="8"/>
  <c r="BE91" i="8"/>
  <c r="BF91" i="8"/>
  <c r="BG91" i="8"/>
  <c r="BH91" i="8"/>
  <c r="BI91" i="8"/>
  <c r="BJ91" i="8"/>
  <c r="BK91" i="8"/>
  <c r="BL91" i="8"/>
  <c r="BM91" i="8"/>
  <c r="BN91" i="8"/>
  <c r="BO91" i="8"/>
  <c r="BP91" i="8"/>
  <c r="BQ91" i="8"/>
  <c r="BR91" i="8"/>
  <c r="BS91" i="8"/>
  <c r="BT91" i="8"/>
  <c r="AI92" i="8"/>
  <c r="AJ92" i="8"/>
  <c r="AK92" i="8"/>
  <c r="AL92" i="8"/>
  <c r="AM92" i="8"/>
  <c r="AN92" i="8"/>
  <c r="AO92" i="8"/>
  <c r="AP92" i="8"/>
  <c r="AQ92" i="8"/>
  <c r="AR92" i="8"/>
  <c r="AS92" i="8"/>
  <c r="AT92" i="8"/>
  <c r="AU92" i="8"/>
  <c r="AV92" i="8"/>
  <c r="AW92" i="8"/>
  <c r="AX92" i="8"/>
  <c r="AY92" i="8"/>
  <c r="AZ92" i="8"/>
  <c r="BA92" i="8"/>
  <c r="BB92" i="8"/>
  <c r="BC92" i="8"/>
  <c r="BD92" i="8"/>
  <c r="BE92" i="8"/>
  <c r="BF92" i="8"/>
  <c r="BG92" i="8"/>
  <c r="BH92" i="8"/>
  <c r="BI92" i="8"/>
  <c r="BJ92" i="8"/>
  <c r="BK92" i="8"/>
  <c r="BL92" i="8"/>
  <c r="BM92" i="8"/>
  <c r="BN92" i="8"/>
  <c r="BO92" i="8"/>
  <c r="BP92" i="8"/>
  <c r="BQ92" i="8"/>
  <c r="BR92" i="8"/>
  <c r="BS92" i="8"/>
  <c r="BT92" i="8"/>
  <c r="AI93" i="8"/>
  <c r="AJ93" i="8"/>
  <c r="AK93" i="8"/>
  <c r="AL93" i="8"/>
  <c r="AM93" i="8"/>
  <c r="AN93" i="8"/>
  <c r="AO93" i="8"/>
  <c r="AP93" i="8"/>
  <c r="AQ93" i="8"/>
  <c r="AR93" i="8"/>
  <c r="AS93" i="8"/>
  <c r="AT93" i="8"/>
  <c r="AU93" i="8"/>
  <c r="AV93" i="8"/>
  <c r="AW93" i="8"/>
  <c r="AX93" i="8"/>
  <c r="AY93" i="8"/>
  <c r="AZ93" i="8"/>
  <c r="BA93" i="8"/>
  <c r="BB93" i="8"/>
  <c r="BC93" i="8"/>
  <c r="BD93" i="8"/>
  <c r="BE93" i="8"/>
  <c r="BF93" i="8"/>
  <c r="BG93" i="8"/>
  <c r="BH93" i="8"/>
  <c r="BI93" i="8"/>
  <c r="BJ93" i="8"/>
  <c r="BK93" i="8"/>
  <c r="BL93" i="8"/>
  <c r="BM93" i="8"/>
  <c r="BN93" i="8"/>
  <c r="BO93" i="8"/>
  <c r="BP93" i="8"/>
  <c r="BQ93" i="8"/>
  <c r="BR93" i="8"/>
  <c r="BS93" i="8"/>
  <c r="BT93" i="8"/>
  <c r="AI94" i="8"/>
  <c r="AJ94" i="8"/>
  <c r="AK94" i="8"/>
  <c r="AL94" i="8"/>
  <c r="AM94" i="8"/>
  <c r="AN94" i="8"/>
  <c r="AO94" i="8"/>
  <c r="AP94" i="8"/>
  <c r="AQ94" i="8"/>
  <c r="AR94" i="8"/>
  <c r="AS94" i="8"/>
  <c r="AT94" i="8"/>
  <c r="AU94" i="8"/>
  <c r="AV94" i="8"/>
  <c r="AW94" i="8"/>
  <c r="AX94" i="8"/>
  <c r="AY94" i="8"/>
  <c r="AZ94" i="8"/>
  <c r="BA94" i="8"/>
  <c r="BB94" i="8"/>
  <c r="BC94" i="8"/>
  <c r="BD94" i="8"/>
  <c r="BE94" i="8"/>
  <c r="BF94" i="8"/>
  <c r="BG94" i="8"/>
  <c r="BH94" i="8"/>
  <c r="BI94" i="8"/>
  <c r="BJ94" i="8"/>
  <c r="BK94" i="8"/>
  <c r="BL94" i="8"/>
  <c r="BM94" i="8"/>
  <c r="BN94" i="8"/>
  <c r="BO94" i="8"/>
  <c r="BP94" i="8"/>
  <c r="BQ94" i="8"/>
  <c r="BR94" i="8"/>
  <c r="BS94" i="8"/>
  <c r="BT94" i="8"/>
  <c r="AI95" i="8"/>
  <c r="AJ95" i="8"/>
  <c r="AK95" i="8"/>
  <c r="AL95" i="8"/>
  <c r="AM95" i="8"/>
  <c r="AN95" i="8"/>
  <c r="AO95" i="8"/>
  <c r="AP95" i="8"/>
  <c r="AQ95" i="8"/>
  <c r="AR95" i="8"/>
  <c r="AS95" i="8"/>
  <c r="AT95" i="8"/>
  <c r="AU95" i="8"/>
  <c r="AV95" i="8"/>
  <c r="AW95" i="8"/>
  <c r="AX95" i="8"/>
  <c r="AY95" i="8"/>
  <c r="AZ95" i="8"/>
  <c r="BA95" i="8"/>
  <c r="BB95" i="8"/>
  <c r="BC95" i="8"/>
  <c r="BD95" i="8"/>
  <c r="BE95" i="8"/>
  <c r="BF95" i="8"/>
  <c r="BG95" i="8"/>
  <c r="BH95" i="8"/>
  <c r="BI95" i="8"/>
  <c r="BJ95" i="8"/>
  <c r="BK95" i="8"/>
  <c r="BL95" i="8"/>
  <c r="BM95" i="8"/>
  <c r="BN95" i="8"/>
  <c r="BO95" i="8"/>
  <c r="BP95" i="8"/>
  <c r="BQ95" i="8"/>
  <c r="BR95" i="8"/>
  <c r="BS95" i="8"/>
  <c r="BT95" i="8"/>
  <c r="C96" i="8"/>
  <c r="D96" i="8"/>
  <c r="E96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S96" i="8"/>
  <c r="T96" i="8"/>
  <c r="U96" i="8"/>
  <c r="V96" i="8"/>
  <c r="W96" i="8"/>
  <c r="X96" i="8"/>
  <c r="Y96" i="8"/>
  <c r="Z96" i="8"/>
  <c r="AA96" i="8"/>
  <c r="AB96" i="8"/>
  <c r="AC96" i="8"/>
  <c r="AD96" i="8"/>
  <c r="AE96" i="8"/>
  <c r="AF96" i="8"/>
  <c r="AG96" i="8"/>
  <c r="AH96" i="8"/>
  <c r="AI96" i="8"/>
  <c r="AJ96" i="8"/>
  <c r="AK96" i="8"/>
  <c r="AL96" i="8"/>
  <c r="AM96" i="8"/>
  <c r="AN96" i="8"/>
  <c r="AO96" i="8"/>
  <c r="AP96" i="8"/>
  <c r="AQ96" i="8"/>
  <c r="AR96" i="8"/>
  <c r="AS96" i="8"/>
  <c r="AT96" i="8"/>
  <c r="AU96" i="8"/>
  <c r="AV96" i="8"/>
  <c r="AW96" i="8"/>
  <c r="AX96" i="8"/>
  <c r="AY96" i="8"/>
  <c r="AZ96" i="8"/>
  <c r="BA96" i="8"/>
  <c r="BB96" i="8"/>
  <c r="BC96" i="8"/>
  <c r="BD96" i="8"/>
  <c r="BE96" i="8"/>
  <c r="BF96" i="8"/>
  <c r="BG96" i="8"/>
  <c r="BH96" i="8"/>
  <c r="BI96" i="8"/>
  <c r="BJ96" i="8"/>
  <c r="BK96" i="8"/>
  <c r="BL96" i="8"/>
  <c r="BM96" i="8"/>
  <c r="BN96" i="8"/>
  <c r="BO96" i="8"/>
  <c r="BP96" i="8"/>
  <c r="BQ96" i="8"/>
  <c r="BR96" i="8"/>
  <c r="BS96" i="8"/>
  <c r="BT96" i="8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67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66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35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34" i="14"/>
  <c r="AL40" i="11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2" i="14"/>
  <c r="D35" i="4" l="1"/>
  <c r="D36" i="4"/>
  <c r="D37" i="4"/>
  <c r="D34" i="11" l="1"/>
  <c r="B41" i="12"/>
  <c r="C41" i="12"/>
  <c r="D41" i="12"/>
  <c r="A41" i="12"/>
  <c r="B41" i="11"/>
  <c r="C41" i="11"/>
  <c r="D41" i="11"/>
  <c r="A41" i="11"/>
  <c r="A40" i="4"/>
  <c r="B41" i="4"/>
  <c r="C41" i="4"/>
  <c r="D41" i="4"/>
  <c r="A41" i="4"/>
  <c r="B64" i="8"/>
  <c r="B32" i="8"/>
  <c r="C114" i="12"/>
  <c r="AL113" i="12"/>
  <c r="AK113" i="12"/>
  <c r="AJ113" i="12"/>
  <c r="AI113" i="12"/>
  <c r="AH113" i="12"/>
  <c r="AG113" i="12"/>
  <c r="AF113" i="12"/>
  <c r="AE113" i="12"/>
  <c r="AD113" i="12"/>
  <c r="AC113" i="12"/>
  <c r="AB113" i="12"/>
  <c r="AA113" i="12"/>
  <c r="Z113" i="12"/>
  <c r="Y113" i="12"/>
  <c r="X113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K113" i="12"/>
  <c r="J113" i="12"/>
  <c r="I113" i="12"/>
  <c r="H113" i="12"/>
  <c r="G113" i="12"/>
  <c r="F113" i="12"/>
  <c r="AL79" i="12"/>
  <c r="AK79" i="12"/>
  <c r="AJ79" i="12"/>
  <c r="AI79" i="12"/>
  <c r="AH79" i="12"/>
  <c r="AG79" i="12"/>
  <c r="AF79" i="12"/>
  <c r="AE79" i="12"/>
  <c r="AD79" i="12"/>
  <c r="AC79" i="12"/>
  <c r="AB79" i="12"/>
  <c r="AA79" i="12"/>
  <c r="Z79" i="12"/>
  <c r="Y79" i="12"/>
  <c r="X79" i="12"/>
  <c r="W79" i="12"/>
  <c r="V79" i="12"/>
  <c r="U79" i="12"/>
  <c r="T79" i="12"/>
  <c r="S79" i="12"/>
  <c r="R79" i="12"/>
  <c r="Q79" i="12"/>
  <c r="P79" i="12"/>
  <c r="O79" i="12"/>
  <c r="N79" i="12"/>
  <c r="M79" i="12"/>
  <c r="L79" i="12"/>
  <c r="K79" i="12"/>
  <c r="J79" i="12"/>
  <c r="I79" i="12"/>
  <c r="H79" i="12"/>
  <c r="G79" i="12"/>
  <c r="F79" i="12"/>
  <c r="E75" i="12"/>
  <c r="E109" i="12" s="1"/>
  <c r="E74" i="12"/>
  <c r="E108" i="12" s="1"/>
  <c r="E73" i="12"/>
  <c r="E107" i="12" s="1"/>
  <c r="E72" i="12"/>
  <c r="E106" i="12" s="1"/>
  <c r="E71" i="12"/>
  <c r="E105" i="12" s="1"/>
  <c r="E70" i="12"/>
  <c r="E104" i="12" s="1"/>
  <c r="E69" i="12"/>
  <c r="E103" i="12" s="1"/>
  <c r="E68" i="12"/>
  <c r="E102" i="12" s="1"/>
  <c r="E67" i="12"/>
  <c r="E101" i="12" s="1"/>
  <c r="E66" i="12"/>
  <c r="E100" i="12" s="1"/>
  <c r="E65" i="12"/>
  <c r="E99" i="12" s="1"/>
  <c r="E64" i="12"/>
  <c r="E98" i="12" s="1"/>
  <c r="E63" i="12"/>
  <c r="E97" i="12" s="1"/>
  <c r="E62" i="12"/>
  <c r="E96" i="12" s="1"/>
  <c r="E61" i="12"/>
  <c r="E95" i="12" s="1"/>
  <c r="E60" i="12"/>
  <c r="E94" i="12" s="1"/>
  <c r="E59" i="12"/>
  <c r="E93" i="12" s="1"/>
  <c r="E58" i="12"/>
  <c r="E92" i="12" s="1"/>
  <c r="E57" i="12"/>
  <c r="E91" i="12" s="1"/>
  <c r="E56" i="12"/>
  <c r="E90" i="12" s="1"/>
  <c r="E55" i="12"/>
  <c r="E89" i="12" s="1"/>
  <c r="E54" i="12"/>
  <c r="E88" i="12" s="1"/>
  <c r="E53" i="12"/>
  <c r="E87" i="12" s="1"/>
  <c r="E52" i="12"/>
  <c r="E86" i="12" s="1"/>
  <c r="E51" i="12"/>
  <c r="E85" i="12" s="1"/>
  <c r="E50" i="12"/>
  <c r="E84" i="12" s="1"/>
  <c r="E49" i="12"/>
  <c r="E83" i="12" s="1"/>
  <c r="E48" i="12"/>
  <c r="E82" i="12" s="1"/>
  <c r="E47" i="12"/>
  <c r="E81" i="12" s="1"/>
  <c r="E46" i="12"/>
  <c r="E80" i="12" s="1"/>
  <c r="AL45" i="12"/>
  <c r="AK45" i="12"/>
  <c r="AJ45" i="12"/>
  <c r="AI45" i="12"/>
  <c r="AH45" i="12"/>
  <c r="AG45" i="12"/>
  <c r="AF45" i="12"/>
  <c r="AE45" i="12"/>
  <c r="AD45" i="12"/>
  <c r="AC45" i="12"/>
  <c r="AB45" i="12"/>
  <c r="AA45" i="12"/>
  <c r="Z45" i="12"/>
  <c r="Y45" i="12"/>
  <c r="X45" i="12"/>
  <c r="W45" i="12"/>
  <c r="V45" i="12"/>
  <c r="U45" i="12"/>
  <c r="T45" i="12"/>
  <c r="S45" i="12"/>
  <c r="R45" i="12"/>
  <c r="Q45" i="12"/>
  <c r="P45" i="12"/>
  <c r="O45" i="12"/>
  <c r="N45" i="12"/>
  <c r="M45" i="12"/>
  <c r="L45" i="12"/>
  <c r="K45" i="12"/>
  <c r="J45" i="12"/>
  <c r="I45" i="12"/>
  <c r="H45" i="12"/>
  <c r="G45" i="12"/>
  <c r="F45" i="12"/>
  <c r="B34" i="8" s="1"/>
  <c r="E45" i="12"/>
  <c r="E79" i="12" s="1"/>
  <c r="AL40" i="12"/>
  <c r="AK40" i="12"/>
  <c r="AJ40" i="12"/>
  <c r="AI40" i="12"/>
  <c r="AH40" i="12"/>
  <c r="AG40" i="12"/>
  <c r="AF40" i="12"/>
  <c r="AE40" i="12"/>
  <c r="AD40" i="12"/>
  <c r="AC40" i="12"/>
  <c r="AB40" i="12"/>
  <c r="AA40" i="12"/>
  <c r="Z40" i="12"/>
  <c r="Y40" i="12"/>
  <c r="X40" i="12"/>
  <c r="W40" i="12"/>
  <c r="V40" i="12"/>
  <c r="U40" i="12"/>
  <c r="T40" i="12"/>
  <c r="S40" i="12"/>
  <c r="R40" i="12"/>
  <c r="Q40" i="12"/>
  <c r="P40" i="12"/>
  <c r="O40" i="12"/>
  <c r="N40" i="12"/>
  <c r="M40" i="12"/>
  <c r="L40" i="12"/>
  <c r="K40" i="12"/>
  <c r="J40" i="12"/>
  <c r="I40" i="12"/>
  <c r="H40" i="12"/>
  <c r="G40" i="12"/>
  <c r="F40" i="12"/>
  <c r="D37" i="12"/>
  <c r="AF37" i="12" s="1"/>
  <c r="D36" i="12"/>
  <c r="AJ36" i="12" s="1"/>
  <c r="D35" i="12"/>
  <c r="AF35" i="12" s="1"/>
  <c r="D34" i="12"/>
  <c r="AG34" i="12" s="1"/>
  <c r="D33" i="12"/>
  <c r="D75" i="12" s="1"/>
  <c r="D109" i="12" s="1"/>
  <c r="C33" i="12"/>
  <c r="C75" i="12" s="1"/>
  <c r="C109" i="12" s="1"/>
  <c r="B33" i="12"/>
  <c r="B75" i="12" s="1"/>
  <c r="B109" i="12" s="1"/>
  <c r="A33" i="12"/>
  <c r="A75" i="12" s="1"/>
  <c r="A109" i="12" s="1"/>
  <c r="D32" i="12"/>
  <c r="D74" i="12" s="1"/>
  <c r="D108" i="12" s="1"/>
  <c r="C32" i="12"/>
  <c r="C74" i="12" s="1"/>
  <c r="C108" i="12" s="1"/>
  <c r="B32" i="12"/>
  <c r="B74" i="12" s="1"/>
  <c r="B108" i="12" s="1"/>
  <c r="A32" i="12"/>
  <c r="A74" i="12" s="1"/>
  <c r="D31" i="12"/>
  <c r="D73" i="12" s="1"/>
  <c r="D107" i="12" s="1"/>
  <c r="C31" i="12"/>
  <c r="C73" i="12" s="1"/>
  <c r="C107" i="12" s="1"/>
  <c r="B31" i="12"/>
  <c r="B73" i="12" s="1"/>
  <c r="B107" i="12" s="1"/>
  <c r="A31" i="12"/>
  <c r="A73" i="12" s="1"/>
  <c r="D30" i="12"/>
  <c r="D72" i="12" s="1"/>
  <c r="D106" i="12" s="1"/>
  <c r="C30" i="12"/>
  <c r="C72" i="12" s="1"/>
  <c r="C106" i="12" s="1"/>
  <c r="B30" i="12"/>
  <c r="B72" i="12" s="1"/>
  <c r="B106" i="12" s="1"/>
  <c r="A30" i="12"/>
  <c r="A72" i="12" s="1"/>
  <c r="D29" i="12"/>
  <c r="D71" i="12" s="1"/>
  <c r="D105" i="12" s="1"/>
  <c r="C29" i="12"/>
  <c r="C71" i="12" s="1"/>
  <c r="C105" i="12" s="1"/>
  <c r="B29" i="12"/>
  <c r="B71" i="12" s="1"/>
  <c r="B105" i="12" s="1"/>
  <c r="A29" i="12"/>
  <c r="A71" i="12" s="1"/>
  <c r="D28" i="12"/>
  <c r="D70" i="12" s="1"/>
  <c r="D104" i="12" s="1"/>
  <c r="C28" i="12"/>
  <c r="C70" i="12" s="1"/>
  <c r="C104" i="12" s="1"/>
  <c r="B28" i="12"/>
  <c r="B70" i="12" s="1"/>
  <c r="B104" i="12" s="1"/>
  <c r="A28" i="12"/>
  <c r="A70" i="12" s="1"/>
  <c r="D27" i="12"/>
  <c r="D69" i="12" s="1"/>
  <c r="D103" i="12" s="1"/>
  <c r="C27" i="12"/>
  <c r="C69" i="12" s="1"/>
  <c r="C103" i="12" s="1"/>
  <c r="B27" i="12"/>
  <c r="B69" i="12" s="1"/>
  <c r="B103" i="12" s="1"/>
  <c r="A27" i="12"/>
  <c r="A69" i="12" s="1"/>
  <c r="D26" i="12"/>
  <c r="D68" i="12" s="1"/>
  <c r="D102" i="12" s="1"/>
  <c r="C26" i="12"/>
  <c r="C68" i="12" s="1"/>
  <c r="C102" i="12" s="1"/>
  <c r="B26" i="12"/>
  <c r="B68" i="12" s="1"/>
  <c r="B102" i="12" s="1"/>
  <c r="A26" i="12"/>
  <c r="A68" i="12" s="1"/>
  <c r="D25" i="12"/>
  <c r="D67" i="12" s="1"/>
  <c r="D101" i="12" s="1"/>
  <c r="C25" i="12"/>
  <c r="C67" i="12" s="1"/>
  <c r="C101" i="12" s="1"/>
  <c r="B25" i="12"/>
  <c r="B67" i="12" s="1"/>
  <c r="B101" i="12" s="1"/>
  <c r="A25" i="12"/>
  <c r="A67" i="12" s="1"/>
  <c r="D24" i="12"/>
  <c r="D66" i="12" s="1"/>
  <c r="D100" i="12" s="1"/>
  <c r="C24" i="12"/>
  <c r="C66" i="12" s="1"/>
  <c r="C100" i="12" s="1"/>
  <c r="B24" i="12"/>
  <c r="B66" i="12" s="1"/>
  <c r="B100" i="12" s="1"/>
  <c r="A24" i="12"/>
  <c r="A66" i="12" s="1"/>
  <c r="D23" i="12"/>
  <c r="D65" i="12" s="1"/>
  <c r="D99" i="12" s="1"/>
  <c r="C23" i="12"/>
  <c r="C65" i="12" s="1"/>
  <c r="C99" i="12" s="1"/>
  <c r="B23" i="12"/>
  <c r="B65" i="12" s="1"/>
  <c r="B99" i="12" s="1"/>
  <c r="A23" i="12"/>
  <c r="A65" i="12" s="1"/>
  <c r="D22" i="12"/>
  <c r="D64" i="12" s="1"/>
  <c r="D98" i="12" s="1"/>
  <c r="C22" i="12"/>
  <c r="C64" i="12" s="1"/>
  <c r="C98" i="12" s="1"/>
  <c r="B22" i="12"/>
  <c r="B64" i="12" s="1"/>
  <c r="B98" i="12" s="1"/>
  <c r="A22" i="12"/>
  <c r="A64" i="12" s="1"/>
  <c r="D21" i="12"/>
  <c r="D63" i="12" s="1"/>
  <c r="D97" i="12" s="1"/>
  <c r="C21" i="12"/>
  <c r="C63" i="12" s="1"/>
  <c r="C97" i="12" s="1"/>
  <c r="B21" i="12"/>
  <c r="B63" i="12" s="1"/>
  <c r="B97" i="12" s="1"/>
  <c r="A21" i="12"/>
  <c r="A63" i="12" s="1"/>
  <c r="D20" i="12"/>
  <c r="D62" i="12" s="1"/>
  <c r="D96" i="12" s="1"/>
  <c r="C20" i="12"/>
  <c r="C62" i="12" s="1"/>
  <c r="C96" i="12" s="1"/>
  <c r="B20" i="12"/>
  <c r="B62" i="12" s="1"/>
  <c r="B96" i="12" s="1"/>
  <c r="A20" i="12"/>
  <c r="A62" i="12" s="1"/>
  <c r="D19" i="12"/>
  <c r="D61" i="12" s="1"/>
  <c r="D95" i="12" s="1"/>
  <c r="C19" i="12"/>
  <c r="C61" i="12" s="1"/>
  <c r="C95" i="12" s="1"/>
  <c r="B19" i="12"/>
  <c r="B61" i="12" s="1"/>
  <c r="B95" i="12" s="1"/>
  <c r="A19" i="12"/>
  <c r="A61" i="12" s="1"/>
  <c r="D18" i="12"/>
  <c r="D60" i="12" s="1"/>
  <c r="D94" i="12" s="1"/>
  <c r="C18" i="12"/>
  <c r="C60" i="12" s="1"/>
  <c r="C94" i="12" s="1"/>
  <c r="B18" i="12"/>
  <c r="B60" i="12" s="1"/>
  <c r="B94" i="12" s="1"/>
  <c r="A18" i="12"/>
  <c r="A60" i="12" s="1"/>
  <c r="D17" i="12"/>
  <c r="D59" i="12" s="1"/>
  <c r="D93" i="12" s="1"/>
  <c r="C17" i="12"/>
  <c r="C59" i="12" s="1"/>
  <c r="C93" i="12" s="1"/>
  <c r="B17" i="12"/>
  <c r="B59" i="12" s="1"/>
  <c r="B93" i="12" s="1"/>
  <c r="A17" i="12"/>
  <c r="A59" i="12" s="1"/>
  <c r="D16" i="12"/>
  <c r="D58" i="12" s="1"/>
  <c r="D92" i="12" s="1"/>
  <c r="C16" i="12"/>
  <c r="C58" i="12" s="1"/>
  <c r="C92" i="12" s="1"/>
  <c r="B16" i="12"/>
  <c r="B58" i="12" s="1"/>
  <c r="B92" i="12" s="1"/>
  <c r="A16" i="12"/>
  <c r="A58" i="12" s="1"/>
  <c r="D15" i="12"/>
  <c r="D57" i="12" s="1"/>
  <c r="D91" i="12" s="1"/>
  <c r="C15" i="12"/>
  <c r="C57" i="12" s="1"/>
  <c r="C91" i="12" s="1"/>
  <c r="B15" i="12"/>
  <c r="B57" i="12" s="1"/>
  <c r="B91" i="12" s="1"/>
  <c r="A15" i="12"/>
  <c r="A57" i="12" s="1"/>
  <c r="D14" i="12"/>
  <c r="D56" i="12" s="1"/>
  <c r="D90" i="12" s="1"/>
  <c r="C14" i="12"/>
  <c r="C56" i="12" s="1"/>
  <c r="C90" i="12" s="1"/>
  <c r="B14" i="12"/>
  <c r="B56" i="12" s="1"/>
  <c r="B90" i="12" s="1"/>
  <c r="A14" i="12"/>
  <c r="A56" i="12" s="1"/>
  <c r="D13" i="12"/>
  <c r="D55" i="12" s="1"/>
  <c r="D89" i="12" s="1"/>
  <c r="C13" i="12"/>
  <c r="C55" i="12" s="1"/>
  <c r="C89" i="12" s="1"/>
  <c r="B13" i="12"/>
  <c r="B55" i="12" s="1"/>
  <c r="B89" i="12" s="1"/>
  <c r="A13" i="12"/>
  <c r="A55" i="12" s="1"/>
  <c r="D12" i="12"/>
  <c r="D54" i="12" s="1"/>
  <c r="D88" i="12" s="1"/>
  <c r="C12" i="12"/>
  <c r="C54" i="12" s="1"/>
  <c r="C88" i="12" s="1"/>
  <c r="B12" i="12"/>
  <c r="B54" i="12" s="1"/>
  <c r="B88" i="12" s="1"/>
  <c r="A12" i="12"/>
  <c r="A54" i="12" s="1"/>
  <c r="D11" i="12"/>
  <c r="D53" i="12" s="1"/>
  <c r="D87" i="12" s="1"/>
  <c r="C11" i="12"/>
  <c r="C53" i="12" s="1"/>
  <c r="C87" i="12" s="1"/>
  <c r="B11" i="12"/>
  <c r="B53" i="12" s="1"/>
  <c r="B87" i="12" s="1"/>
  <c r="A11" i="12"/>
  <c r="A53" i="12" s="1"/>
  <c r="D10" i="12"/>
  <c r="D52" i="12" s="1"/>
  <c r="D86" i="12" s="1"/>
  <c r="C10" i="12"/>
  <c r="C52" i="12" s="1"/>
  <c r="C86" i="12" s="1"/>
  <c r="B10" i="12"/>
  <c r="B52" i="12" s="1"/>
  <c r="B86" i="12" s="1"/>
  <c r="A10" i="12"/>
  <c r="A52" i="12" s="1"/>
  <c r="D9" i="12"/>
  <c r="D51" i="12" s="1"/>
  <c r="D85" i="12" s="1"/>
  <c r="C9" i="12"/>
  <c r="C51" i="12" s="1"/>
  <c r="C85" i="12" s="1"/>
  <c r="B9" i="12"/>
  <c r="B51" i="12" s="1"/>
  <c r="B85" i="12" s="1"/>
  <c r="A9" i="12"/>
  <c r="A51" i="12" s="1"/>
  <c r="D8" i="12"/>
  <c r="D50" i="12" s="1"/>
  <c r="D84" i="12" s="1"/>
  <c r="C8" i="12"/>
  <c r="C50" i="12" s="1"/>
  <c r="C84" i="12" s="1"/>
  <c r="B8" i="12"/>
  <c r="B50" i="12" s="1"/>
  <c r="B84" i="12" s="1"/>
  <c r="A8" i="12"/>
  <c r="A50" i="12" s="1"/>
  <c r="D7" i="12"/>
  <c r="D49" i="12" s="1"/>
  <c r="D83" i="12" s="1"/>
  <c r="C7" i="12"/>
  <c r="C49" i="12" s="1"/>
  <c r="C83" i="12" s="1"/>
  <c r="B7" i="12"/>
  <c r="B49" i="12" s="1"/>
  <c r="B83" i="12" s="1"/>
  <c r="A7" i="12"/>
  <c r="A49" i="12" s="1"/>
  <c r="D6" i="12"/>
  <c r="D48" i="12" s="1"/>
  <c r="D82" i="12" s="1"/>
  <c r="C6" i="12"/>
  <c r="C48" i="12" s="1"/>
  <c r="C82" i="12" s="1"/>
  <c r="B6" i="12"/>
  <c r="B48" i="12" s="1"/>
  <c r="B82" i="12" s="1"/>
  <c r="A6" i="12"/>
  <c r="A48" i="12" s="1"/>
  <c r="D5" i="12"/>
  <c r="D47" i="12" s="1"/>
  <c r="D81" i="12" s="1"/>
  <c r="C5" i="12"/>
  <c r="C47" i="12" s="1"/>
  <c r="C81" i="12" s="1"/>
  <c r="B5" i="12"/>
  <c r="B47" i="12" s="1"/>
  <c r="B81" i="12" s="1"/>
  <c r="A5" i="12"/>
  <c r="A47" i="12" s="1"/>
  <c r="D4" i="12"/>
  <c r="D46" i="12" s="1"/>
  <c r="D80" i="12" s="1"/>
  <c r="C4" i="12"/>
  <c r="C46" i="12" s="1"/>
  <c r="C80" i="12" s="1"/>
  <c r="B4" i="12"/>
  <c r="B46" i="12" s="1"/>
  <c r="B80" i="12" s="1"/>
  <c r="A4" i="12"/>
  <c r="A46" i="12" s="1"/>
  <c r="C114" i="11"/>
  <c r="AL113" i="11"/>
  <c r="AK113" i="11"/>
  <c r="AJ113" i="11"/>
  <c r="AI113" i="11"/>
  <c r="AH113" i="11"/>
  <c r="AG113" i="11"/>
  <c r="AF113" i="11"/>
  <c r="AE113" i="11"/>
  <c r="AD113" i="11"/>
  <c r="AC113" i="11"/>
  <c r="AB113" i="11"/>
  <c r="AA113" i="11"/>
  <c r="Z113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AL79" i="11"/>
  <c r="AK79" i="11"/>
  <c r="AJ79" i="11"/>
  <c r="AI79" i="11"/>
  <c r="AH79" i="11"/>
  <c r="AG79" i="11"/>
  <c r="AF79" i="11"/>
  <c r="AE79" i="11"/>
  <c r="AD79" i="11"/>
  <c r="AC79" i="11"/>
  <c r="AB79" i="11"/>
  <c r="AA79" i="11"/>
  <c r="Z79" i="11"/>
  <c r="Y79" i="11"/>
  <c r="X79" i="11"/>
  <c r="W79" i="11"/>
  <c r="V79" i="11"/>
  <c r="U79" i="11"/>
  <c r="T79" i="11"/>
  <c r="S79" i="11"/>
  <c r="R79" i="11"/>
  <c r="Q79" i="11"/>
  <c r="P79" i="11"/>
  <c r="O79" i="11"/>
  <c r="N79" i="11"/>
  <c r="M79" i="11"/>
  <c r="L79" i="11"/>
  <c r="K79" i="11"/>
  <c r="J79" i="11"/>
  <c r="I79" i="11"/>
  <c r="H79" i="11"/>
  <c r="G79" i="11"/>
  <c r="F79" i="11"/>
  <c r="E75" i="11"/>
  <c r="E74" i="11"/>
  <c r="E108" i="11" s="1"/>
  <c r="E73" i="11"/>
  <c r="E107" i="11" s="1"/>
  <c r="E72" i="11"/>
  <c r="E106" i="11" s="1"/>
  <c r="E71" i="11"/>
  <c r="E105" i="11" s="1"/>
  <c r="E70" i="11"/>
  <c r="E104" i="11" s="1"/>
  <c r="E69" i="11"/>
  <c r="E103" i="11" s="1"/>
  <c r="E68" i="11"/>
  <c r="E102" i="11" s="1"/>
  <c r="E67" i="11"/>
  <c r="E101" i="11" s="1"/>
  <c r="E66" i="11"/>
  <c r="E100" i="11" s="1"/>
  <c r="E65" i="11"/>
  <c r="E99" i="11" s="1"/>
  <c r="E64" i="11"/>
  <c r="E98" i="11" s="1"/>
  <c r="E63" i="11"/>
  <c r="E97" i="11" s="1"/>
  <c r="E62" i="11"/>
  <c r="E96" i="11" s="1"/>
  <c r="E61" i="11"/>
  <c r="E95" i="11" s="1"/>
  <c r="E60" i="11"/>
  <c r="E94" i="11" s="1"/>
  <c r="E59" i="11"/>
  <c r="E93" i="11" s="1"/>
  <c r="E58" i="11"/>
  <c r="E92" i="11" s="1"/>
  <c r="E57" i="11"/>
  <c r="E91" i="11" s="1"/>
  <c r="E56" i="11"/>
  <c r="E90" i="11" s="1"/>
  <c r="E55" i="11"/>
  <c r="E89" i="11" s="1"/>
  <c r="E54" i="11"/>
  <c r="E88" i="11" s="1"/>
  <c r="E53" i="11"/>
  <c r="E87" i="11" s="1"/>
  <c r="E52" i="11"/>
  <c r="E86" i="11" s="1"/>
  <c r="E51" i="11"/>
  <c r="E85" i="11" s="1"/>
  <c r="E50" i="11"/>
  <c r="E84" i="11" s="1"/>
  <c r="E49" i="11"/>
  <c r="E83" i="11" s="1"/>
  <c r="E48" i="11"/>
  <c r="E82" i="11" s="1"/>
  <c r="E47" i="11"/>
  <c r="E81" i="11" s="1"/>
  <c r="E46" i="11"/>
  <c r="E80" i="11" s="1"/>
  <c r="AL45" i="11"/>
  <c r="AK45" i="11"/>
  <c r="AJ45" i="11"/>
  <c r="AI45" i="11"/>
  <c r="AH45" i="11"/>
  <c r="AG45" i="11"/>
  <c r="AF45" i="11"/>
  <c r="AE45" i="11"/>
  <c r="AD45" i="11"/>
  <c r="AC45" i="11"/>
  <c r="AB45" i="11"/>
  <c r="AA45" i="11"/>
  <c r="Z45" i="11"/>
  <c r="Y45" i="11"/>
  <c r="X45" i="11"/>
  <c r="W45" i="11"/>
  <c r="V45" i="11"/>
  <c r="U45" i="11"/>
  <c r="T45" i="11"/>
  <c r="S45" i="11"/>
  <c r="R45" i="11"/>
  <c r="Q45" i="11"/>
  <c r="P45" i="11"/>
  <c r="O45" i="11"/>
  <c r="N45" i="11"/>
  <c r="M45" i="11"/>
  <c r="L45" i="11"/>
  <c r="K45" i="11"/>
  <c r="J45" i="11"/>
  <c r="I45" i="11"/>
  <c r="H45" i="11"/>
  <c r="G45" i="11"/>
  <c r="F45" i="11"/>
  <c r="B2" i="8" s="1"/>
  <c r="E45" i="11"/>
  <c r="E79" i="11" s="1"/>
  <c r="AK40" i="11"/>
  <c r="AJ40" i="11"/>
  <c r="AI40" i="11"/>
  <c r="AH40" i="11"/>
  <c r="AG40" i="11"/>
  <c r="AF40" i="11"/>
  <c r="AE40" i="11"/>
  <c r="AD40" i="11"/>
  <c r="AC40" i="11"/>
  <c r="AB40" i="11"/>
  <c r="AA40" i="11"/>
  <c r="Z40" i="11"/>
  <c r="Y40" i="11"/>
  <c r="X40" i="11"/>
  <c r="W40" i="11"/>
  <c r="V40" i="11"/>
  <c r="U40" i="11"/>
  <c r="T40" i="11"/>
  <c r="S40" i="11"/>
  <c r="R40" i="11"/>
  <c r="Q40" i="11"/>
  <c r="P40" i="11"/>
  <c r="O40" i="11"/>
  <c r="N40" i="11"/>
  <c r="M40" i="11"/>
  <c r="L40" i="11"/>
  <c r="K40" i="11"/>
  <c r="J40" i="11"/>
  <c r="I40" i="11"/>
  <c r="H40" i="11"/>
  <c r="G40" i="11"/>
  <c r="F40" i="11"/>
  <c r="D37" i="11"/>
  <c r="D36" i="11"/>
  <c r="D35" i="11"/>
  <c r="D33" i="11"/>
  <c r="D75" i="11" s="1"/>
  <c r="D109" i="11" s="1"/>
  <c r="C33" i="11"/>
  <c r="C75" i="11" s="1"/>
  <c r="C109" i="11" s="1"/>
  <c r="B33" i="11"/>
  <c r="B75" i="11" s="1"/>
  <c r="B109" i="11" s="1"/>
  <c r="A33" i="11"/>
  <c r="A75" i="11" s="1"/>
  <c r="A109" i="11" s="1"/>
  <c r="D32" i="11"/>
  <c r="D74" i="11" s="1"/>
  <c r="D108" i="11" s="1"/>
  <c r="C32" i="11"/>
  <c r="C74" i="11" s="1"/>
  <c r="C108" i="11" s="1"/>
  <c r="B32" i="11"/>
  <c r="B74" i="11" s="1"/>
  <c r="B108" i="11" s="1"/>
  <c r="A32" i="11"/>
  <c r="A74" i="11" s="1"/>
  <c r="D31" i="11"/>
  <c r="D73" i="11" s="1"/>
  <c r="D107" i="11" s="1"/>
  <c r="C31" i="11"/>
  <c r="C73" i="11" s="1"/>
  <c r="C107" i="11" s="1"/>
  <c r="B31" i="11"/>
  <c r="B73" i="11" s="1"/>
  <c r="B107" i="11" s="1"/>
  <c r="A31" i="11"/>
  <c r="A73" i="11" s="1"/>
  <c r="D30" i="11"/>
  <c r="D72" i="11" s="1"/>
  <c r="D106" i="11" s="1"/>
  <c r="C30" i="11"/>
  <c r="C72" i="11" s="1"/>
  <c r="C106" i="11" s="1"/>
  <c r="B30" i="11"/>
  <c r="B72" i="11" s="1"/>
  <c r="B106" i="11" s="1"/>
  <c r="A30" i="11"/>
  <c r="A72" i="11" s="1"/>
  <c r="D29" i="11"/>
  <c r="D71" i="11" s="1"/>
  <c r="D105" i="11" s="1"/>
  <c r="C29" i="11"/>
  <c r="C71" i="11" s="1"/>
  <c r="C105" i="11" s="1"/>
  <c r="B29" i="11"/>
  <c r="B71" i="11" s="1"/>
  <c r="B105" i="11" s="1"/>
  <c r="A29" i="11"/>
  <c r="A71" i="11" s="1"/>
  <c r="D28" i="11"/>
  <c r="D70" i="11" s="1"/>
  <c r="D104" i="11" s="1"/>
  <c r="C28" i="11"/>
  <c r="C70" i="11" s="1"/>
  <c r="C104" i="11" s="1"/>
  <c r="B28" i="11"/>
  <c r="B70" i="11" s="1"/>
  <c r="B104" i="11" s="1"/>
  <c r="A28" i="11"/>
  <c r="A70" i="11" s="1"/>
  <c r="D27" i="11"/>
  <c r="D69" i="11" s="1"/>
  <c r="D103" i="11" s="1"/>
  <c r="C27" i="11"/>
  <c r="C69" i="11" s="1"/>
  <c r="C103" i="11" s="1"/>
  <c r="B27" i="11"/>
  <c r="B69" i="11" s="1"/>
  <c r="B103" i="11" s="1"/>
  <c r="A27" i="11"/>
  <c r="A69" i="11" s="1"/>
  <c r="D26" i="11"/>
  <c r="D68" i="11" s="1"/>
  <c r="D102" i="11" s="1"/>
  <c r="C26" i="11"/>
  <c r="C68" i="11" s="1"/>
  <c r="C102" i="11" s="1"/>
  <c r="B26" i="11"/>
  <c r="B68" i="11" s="1"/>
  <c r="B102" i="11" s="1"/>
  <c r="A26" i="11"/>
  <c r="A68" i="11" s="1"/>
  <c r="D25" i="11"/>
  <c r="D67" i="11" s="1"/>
  <c r="D101" i="11" s="1"/>
  <c r="C25" i="11"/>
  <c r="C67" i="11" s="1"/>
  <c r="C101" i="11" s="1"/>
  <c r="B25" i="11"/>
  <c r="B67" i="11" s="1"/>
  <c r="B101" i="11" s="1"/>
  <c r="A25" i="11"/>
  <c r="A67" i="11" s="1"/>
  <c r="D24" i="11"/>
  <c r="D66" i="11" s="1"/>
  <c r="D100" i="11" s="1"/>
  <c r="C24" i="11"/>
  <c r="C66" i="11" s="1"/>
  <c r="C100" i="11" s="1"/>
  <c r="B24" i="11"/>
  <c r="B66" i="11" s="1"/>
  <c r="B100" i="11" s="1"/>
  <c r="A24" i="11"/>
  <c r="A66" i="11" s="1"/>
  <c r="D23" i="11"/>
  <c r="D65" i="11" s="1"/>
  <c r="D99" i="11" s="1"/>
  <c r="C23" i="11"/>
  <c r="C65" i="11" s="1"/>
  <c r="C99" i="11" s="1"/>
  <c r="B23" i="11"/>
  <c r="B65" i="11" s="1"/>
  <c r="B99" i="11" s="1"/>
  <c r="A23" i="11"/>
  <c r="A65" i="11" s="1"/>
  <c r="D22" i="11"/>
  <c r="D64" i="11" s="1"/>
  <c r="D98" i="11" s="1"/>
  <c r="C22" i="11"/>
  <c r="C64" i="11" s="1"/>
  <c r="C98" i="11" s="1"/>
  <c r="B22" i="11"/>
  <c r="B64" i="11" s="1"/>
  <c r="B98" i="11" s="1"/>
  <c r="A22" i="11"/>
  <c r="A64" i="11" s="1"/>
  <c r="D21" i="11"/>
  <c r="D63" i="11" s="1"/>
  <c r="D97" i="11" s="1"/>
  <c r="C21" i="11"/>
  <c r="C63" i="11" s="1"/>
  <c r="C97" i="11" s="1"/>
  <c r="B21" i="11"/>
  <c r="B63" i="11" s="1"/>
  <c r="B97" i="11" s="1"/>
  <c r="A21" i="11"/>
  <c r="A63" i="11" s="1"/>
  <c r="D20" i="11"/>
  <c r="D62" i="11" s="1"/>
  <c r="D96" i="11" s="1"/>
  <c r="C20" i="11"/>
  <c r="C62" i="11" s="1"/>
  <c r="C96" i="11" s="1"/>
  <c r="B20" i="11"/>
  <c r="B62" i="11" s="1"/>
  <c r="B96" i="11" s="1"/>
  <c r="A20" i="11"/>
  <c r="A62" i="11" s="1"/>
  <c r="D19" i="11"/>
  <c r="D61" i="11" s="1"/>
  <c r="D95" i="11" s="1"/>
  <c r="C19" i="11"/>
  <c r="C61" i="11" s="1"/>
  <c r="C95" i="11" s="1"/>
  <c r="B19" i="11"/>
  <c r="B61" i="11" s="1"/>
  <c r="B95" i="11" s="1"/>
  <c r="A19" i="11"/>
  <c r="A61" i="11" s="1"/>
  <c r="D18" i="11"/>
  <c r="D60" i="11" s="1"/>
  <c r="D94" i="11" s="1"/>
  <c r="C18" i="11"/>
  <c r="C60" i="11" s="1"/>
  <c r="C94" i="11" s="1"/>
  <c r="B18" i="11"/>
  <c r="B60" i="11" s="1"/>
  <c r="B94" i="11" s="1"/>
  <c r="A18" i="11"/>
  <c r="A60" i="11" s="1"/>
  <c r="D17" i="11"/>
  <c r="D59" i="11" s="1"/>
  <c r="D93" i="11" s="1"/>
  <c r="C17" i="11"/>
  <c r="C59" i="11" s="1"/>
  <c r="C93" i="11" s="1"/>
  <c r="B17" i="11"/>
  <c r="B59" i="11" s="1"/>
  <c r="B93" i="11" s="1"/>
  <c r="A17" i="11"/>
  <c r="A59" i="11" s="1"/>
  <c r="D16" i="11"/>
  <c r="D58" i="11" s="1"/>
  <c r="D92" i="11" s="1"/>
  <c r="C16" i="11"/>
  <c r="C58" i="11" s="1"/>
  <c r="C92" i="11" s="1"/>
  <c r="B16" i="11"/>
  <c r="B58" i="11" s="1"/>
  <c r="B92" i="11" s="1"/>
  <c r="A16" i="11"/>
  <c r="A58" i="11" s="1"/>
  <c r="D15" i="11"/>
  <c r="D57" i="11" s="1"/>
  <c r="D91" i="11" s="1"/>
  <c r="C15" i="11"/>
  <c r="C57" i="11" s="1"/>
  <c r="C91" i="11" s="1"/>
  <c r="B15" i="11"/>
  <c r="B57" i="11" s="1"/>
  <c r="B91" i="11" s="1"/>
  <c r="A15" i="11"/>
  <c r="A57" i="11" s="1"/>
  <c r="D14" i="11"/>
  <c r="D56" i="11" s="1"/>
  <c r="D90" i="11" s="1"/>
  <c r="C14" i="11"/>
  <c r="C56" i="11" s="1"/>
  <c r="C90" i="11" s="1"/>
  <c r="B14" i="11"/>
  <c r="B56" i="11" s="1"/>
  <c r="B90" i="11" s="1"/>
  <c r="A14" i="11"/>
  <c r="A56" i="11" s="1"/>
  <c r="D13" i="11"/>
  <c r="D55" i="11" s="1"/>
  <c r="D89" i="11" s="1"/>
  <c r="C13" i="11"/>
  <c r="C55" i="11" s="1"/>
  <c r="C89" i="11" s="1"/>
  <c r="B13" i="11"/>
  <c r="B55" i="11" s="1"/>
  <c r="B89" i="11" s="1"/>
  <c r="A13" i="11"/>
  <c r="A55" i="11" s="1"/>
  <c r="D12" i="11"/>
  <c r="D54" i="11" s="1"/>
  <c r="D88" i="11" s="1"/>
  <c r="C12" i="11"/>
  <c r="C54" i="11" s="1"/>
  <c r="C88" i="11" s="1"/>
  <c r="B12" i="11"/>
  <c r="B54" i="11" s="1"/>
  <c r="B88" i="11" s="1"/>
  <c r="A12" i="11"/>
  <c r="A54" i="11" s="1"/>
  <c r="D11" i="11"/>
  <c r="D53" i="11" s="1"/>
  <c r="D87" i="11" s="1"/>
  <c r="C11" i="11"/>
  <c r="C53" i="11" s="1"/>
  <c r="C87" i="11" s="1"/>
  <c r="B11" i="11"/>
  <c r="B53" i="11" s="1"/>
  <c r="B87" i="11" s="1"/>
  <c r="A11" i="11"/>
  <c r="A53" i="11" s="1"/>
  <c r="D10" i="11"/>
  <c r="D52" i="11" s="1"/>
  <c r="D86" i="11" s="1"/>
  <c r="C10" i="11"/>
  <c r="C52" i="11" s="1"/>
  <c r="C86" i="11" s="1"/>
  <c r="B10" i="11"/>
  <c r="B52" i="11" s="1"/>
  <c r="B86" i="11" s="1"/>
  <c r="A10" i="11"/>
  <c r="A52" i="11" s="1"/>
  <c r="D9" i="11"/>
  <c r="D51" i="11" s="1"/>
  <c r="D85" i="11" s="1"/>
  <c r="C9" i="11"/>
  <c r="C51" i="11" s="1"/>
  <c r="C85" i="11" s="1"/>
  <c r="B9" i="11"/>
  <c r="B51" i="11" s="1"/>
  <c r="B85" i="11" s="1"/>
  <c r="A9" i="11"/>
  <c r="A51" i="11" s="1"/>
  <c r="D8" i="11"/>
  <c r="D50" i="11" s="1"/>
  <c r="D84" i="11" s="1"/>
  <c r="C8" i="11"/>
  <c r="C50" i="11" s="1"/>
  <c r="C84" i="11" s="1"/>
  <c r="B8" i="11"/>
  <c r="B50" i="11" s="1"/>
  <c r="B84" i="11" s="1"/>
  <c r="A8" i="11"/>
  <c r="A50" i="11" s="1"/>
  <c r="D7" i="11"/>
  <c r="D49" i="11" s="1"/>
  <c r="D83" i="11" s="1"/>
  <c r="C7" i="11"/>
  <c r="C49" i="11" s="1"/>
  <c r="C83" i="11" s="1"/>
  <c r="B7" i="11"/>
  <c r="B49" i="11" s="1"/>
  <c r="B83" i="11" s="1"/>
  <c r="A7" i="11"/>
  <c r="A49" i="11" s="1"/>
  <c r="D6" i="11"/>
  <c r="D48" i="11" s="1"/>
  <c r="D82" i="11" s="1"/>
  <c r="C6" i="11"/>
  <c r="C48" i="11" s="1"/>
  <c r="C82" i="11" s="1"/>
  <c r="B6" i="11"/>
  <c r="B48" i="11" s="1"/>
  <c r="B82" i="11" s="1"/>
  <c r="A6" i="11"/>
  <c r="A48" i="11" s="1"/>
  <c r="D5" i="11"/>
  <c r="D47" i="11" s="1"/>
  <c r="D81" i="11" s="1"/>
  <c r="C5" i="11"/>
  <c r="C47" i="11" s="1"/>
  <c r="C81" i="11" s="1"/>
  <c r="B5" i="11"/>
  <c r="B47" i="11" s="1"/>
  <c r="B81" i="11" s="1"/>
  <c r="A5" i="11"/>
  <c r="A47" i="11" s="1"/>
  <c r="D4" i="11"/>
  <c r="D46" i="11" s="1"/>
  <c r="D80" i="11" s="1"/>
  <c r="C4" i="11"/>
  <c r="C46" i="11" s="1"/>
  <c r="C80" i="11" s="1"/>
  <c r="B4" i="11"/>
  <c r="B46" i="11" s="1"/>
  <c r="B80" i="11" s="1"/>
  <c r="A4" i="11"/>
  <c r="A46" i="11" s="1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AD45" i="4"/>
  <c r="AE45" i="4"/>
  <c r="AF45" i="4"/>
  <c r="AG45" i="4"/>
  <c r="AH45" i="4"/>
  <c r="AI45" i="4"/>
  <c r="AJ45" i="4"/>
  <c r="AK45" i="4"/>
  <c r="AL45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AI79" i="4"/>
  <c r="AJ79" i="4"/>
  <c r="AK79" i="4"/>
  <c r="AL79" i="4"/>
  <c r="G113" i="4"/>
  <c r="H113" i="4"/>
  <c r="I113" i="4"/>
  <c r="J113" i="4"/>
  <c r="K113" i="4"/>
  <c r="L113" i="4"/>
  <c r="M113" i="4"/>
  <c r="N113" i="4"/>
  <c r="O113" i="4"/>
  <c r="P113" i="4"/>
  <c r="Q113" i="4"/>
  <c r="R113" i="4"/>
  <c r="S113" i="4"/>
  <c r="T113" i="4"/>
  <c r="U113" i="4"/>
  <c r="V113" i="4"/>
  <c r="W113" i="4"/>
  <c r="X113" i="4"/>
  <c r="Y113" i="4"/>
  <c r="Z113" i="4"/>
  <c r="AA113" i="4"/>
  <c r="AB113" i="4"/>
  <c r="AC113" i="4"/>
  <c r="AD113" i="4"/>
  <c r="AE113" i="4"/>
  <c r="AF113" i="4"/>
  <c r="AG113" i="4"/>
  <c r="AH113" i="4"/>
  <c r="AI113" i="4"/>
  <c r="AJ113" i="4"/>
  <c r="AK113" i="4"/>
  <c r="AL113" i="4"/>
  <c r="A2" i="11"/>
  <c r="A22" i="7"/>
  <c r="AJ35" i="11" l="1"/>
  <c r="AL35" i="11"/>
  <c r="AK36" i="11"/>
  <c r="AL36" i="11"/>
  <c r="AB37" i="11"/>
  <c r="AL37" i="11"/>
  <c r="AE34" i="11"/>
  <c r="AL34" i="11"/>
  <c r="E109" i="11"/>
  <c r="A32" i="14"/>
  <c r="A2" i="12"/>
  <c r="A49" i="8"/>
  <c r="A58" i="8"/>
  <c r="A57" i="8"/>
  <c r="AC36" i="12"/>
  <c r="A50" i="8"/>
  <c r="A42" i="8"/>
  <c r="E41" i="12"/>
  <c r="C78" i="12" s="1"/>
  <c r="AA108" i="12" s="1"/>
  <c r="A41" i="8"/>
  <c r="M37" i="12"/>
  <c r="A64" i="8"/>
  <c r="A56" i="8"/>
  <c r="A48" i="8"/>
  <c r="A40" i="8"/>
  <c r="N34" i="12"/>
  <c r="AC37" i="12"/>
  <c r="A63" i="8"/>
  <c r="A55" i="8"/>
  <c r="A47" i="8"/>
  <c r="A39" i="8"/>
  <c r="AA34" i="12"/>
  <c r="A62" i="8"/>
  <c r="A54" i="8"/>
  <c r="A46" i="8"/>
  <c r="A38" i="8"/>
  <c r="A61" i="8"/>
  <c r="A53" i="8"/>
  <c r="A45" i="8"/>
  <c r="A37" i="8"/>
  <c r="A60" i="8"/>
  <c r="A52" i="8"/>
  <c r="A44" i="8"/>
  <c r="A36" i="8"/>
  <c r="I36" i="12"/>
  <c r="A59" i="8"/>
  <c r="A51" i="8"/>
  <c r="A43" i="8"/>
  <c r="A35" i="8"/>
  <c r="E41" i="11"/>
  <c r="C78" i="11" s="1"/>
  <c r="Q102" i="11" s="1"/>
  <c r="A25" i="8"/>
  <c r="A17" i="8"/>
  <c r="A9" i="8"/>
  <c r="I35" i="11"/>
  <c r="V36" i="11"/>
  <c r="A32" i="8"/>
  <c r="A24" i="8"/>
  <c r="A16" i="8"/>
  <c r="A8" i="8"/>
  <c r="K35" i="11"/>
  <c r="A31" i="8"/>
  <c r="A23" i="8"/>
  <c r="A15" i="8"/>
  <c r="A7" i="8"/>
  <c r="Q35" i="11"/>
  <c r="X37" i="11"/>
  <c r="A30" i="8"/>
  <c r="A22" i="8"/>
  <c r="A14" i="8"/>
  <c r="A6" i="8"/>
  <c r="S35" i="11"/>
  <c r="AJ37" i="11"/>
  <c r="A29" i="8"/>
  <c r="A21" i="8"/>
  <c r="A13" i="8"/>
  <c r="A5" i="8"/>
  <c r="AC35" i="11"/>
  <c r="A28" i="8"/>
  <c r="A20" i="8"/>
  <c r="A12" i="8"/>
  <c r="A4" i="8"/>
  <c r="P34" i="11"/>
  <c r="AG35" i="11"/>
  <c r="A27" i="8"/>
  <c r="A19" i="8"/>
  <c r="A11" i="8"/>
  <c r="X34" i="11"/>
  <c r="AK35" i="11"/>
  <c r="A3" i="8"/>
  <c r="A26" i="8"/>
  <c r="A18" i="8"/>
  <c r="A10" i="8"/>
  <c r="O34" i="12"/>
  <c r="AC34" i="12"/>
  <c r="AG36" i="12"/>
  <c r="N37" i="12"/>
  <c r="AD37" i="12"/>
  <c r="E34" i="12"/>
  <c r="B34" i="12" s="1"/>
  <c r="R34" i="12"/>
  <c r="AD34" i="12"/>
  <c r="E36" i="12"/>
  <c r="B36" i="12" s="1"/>
  <c r="AK36" i="12"/>
  <c r="Q37" i="12"/>
  <c r="AG37" i="12"/>
  <c r="F34" i="12"/>
  <c r="S34" i="12"/>
  <c r="AE34" i="12"/>
  <c r="R37" i="12"/>
  <c r="AH37" i="12"/>
  <c r="G34" i="12"/>
  <c r="U34" i="12"/>
  <c r="AH34" i="12"/>
  <c r="M36" i="12"/>
  <c r="E37" i="12"/>
  <c r="B37" i="12" s="1"/>
  <c r="U37" i="12"/>
  <c r="AK37" i="12"/>
  <c r="J34" i="12"/>
  <c r="V34" i="12"/>
  <c r="AI34" i="12"/>
  <c r="Q36" i="12"/>
  <c r="F37" i="12"/>
  <c r="V37" i="12"/>
  <c r="AL37" i="12"/>
  <c r="K34" i="12"/>
  <c r="W34" i="12"/>
  <c r="AK34" i="12"/>
  <c r="U36" i="12"/>
  <c r="I37" i="12"/>
  <c r="Y37" i="12"/>
  <c r="M34" i="12"/>
  <c r="Z34" i="12"/>
  <c r="AL34" i="12"/>
  <c r="Y36" i="12"/>
  <c r="J37" i="12"/>
  <c r="Z37" i="12"/>
  <c r="X36" i="11"/>
  <c r="AF34" i="11"/>
  <c r="U35" i="11"/>
  <c r="F36" i="11"/>
  <c r="Z36" i="11"/>
  <c r="Y35" i="11"/>
  <c r="H36" i="11"/>
  <c r="AD36" i="11"/>
  <c r="E35" i="11"/>
  <c r="B35" i="11" s="1"/>
  <c r="AA35" i="11"/>
  <c r="J36" i="11"/>
  <c r="AF36" i="11"/>
  <c r="N36" i="11"/>
  <c r="AH36" i="11"/>
  <c r="P36" i="11"/>
  <c r="H34" i="11"/>
  <c r="M35" i="11"/>
  <c r="AI35" i="11"/>
  <c r="R36" i="11"/>
  <c r="K37" i="11"/>
  <c r="A80" i="12"/>
  <c r="A82" i="12"/>
  <c r="A84" i="12"/>
  <c r="A86" i="12"/>
  <c r="A88" i="12"/>
  <c r="A92" i="12"/>
  <c r="A96" i="12"/>
  <c r="A81" i="12"/>
  <c r="A83" i="12"/>
  <c r="A85" i="12"/>
  <c r="A87" i="12"/>
  <c r="A89" i="12"/>
  <c r="A90" i="12"/>
  <c r="A94" i="12"/>
  <c r="A98" i="12"/>
  <c r="A100" i="12"/>
  <c r="A102" i="12"/>
  <c r="A104" i="12"/>
  <c r="A106" i="12"/>
  <c r="A108" i="12"/>
  <c r="L34" i="12"/>
  <c r="T34" i="12"/>
  <c r="AB34" i="12"/>
  <c r="AJ34" i="12"/>
  <c r="I35" i="12"/>
  <c r="Q35" i="12"/>
  <c r="Y35" i="12"/>
  <c r="AG35" i="12"/>
  <c r="F36" i="12"/>
  <c r="N36" i="12"/>
  <c r="V36" i="12"/>
  <c r="AD36" i="12"/>
  <c r="AL36" i="12"/>
  <c r="K37" i="12"/>
  <c r="S37" i="12"/>
  <c r="AA37" i="12"/>
  <c r="AI37" i="12"/>
  <c r="J35" i="12"/>
  <c r="R35" i="12"/>
  <c r="Z35" i="12"/>
  <c r="AH35" i="12"/>
  <c r="G36" i="12"/>
  <c r="O36" i="12"/>
  <c r="W36" i="12"/>
  <c r="AE36" i="12"/>
  <c r="L37" i="12"/>
  <c r="T37" i="12"/>
  <c r="AB37" i="12"/>
  <c r="AJ37" i="12"/>
  <c r="K35" i="12"/>
  <c r="S35" i="12"/>
  <c r="AA35" i="12"/>
  <c r="AI35" i="12"/>
  <c r="H36" i="12"/>
  <c r="P36" i="12"/>
  <c r="X36" i="12"/>
  <c r="AF36" i="12"/>
  <c r="AF41" i="12" s="1"/>
  <c r="L35" i="12"/>
  <c r="T35" i="12"/>
  <c r="AB35" i="12"/>
  <c r="AJ35" i="12"/>
  <c r="A91" i="12"/>
  <c r="A93" i="12"/>
  <c r="A95" i="12"/>
  <c r="A97" i="12"/>
  <c r="A99" i="12"/>
  <c r="A101" i="12"/>
  <c r="A103" i="12"/>
  <c r="A105" i="12"/>
  <c r="A107" i="12"/>
  <c r="H34" i="12"/>
  <c r="P34" i="12"/>
  <c r="X34" i="12"/>
  <c r="AF34" i="12"/>
  <c r="E35" i="12"/>
  <c r="B35" i="12" s="1"/>
  <c r="M35" i="12"/>
  <c r="U35" i="12"/>
  <c r="AC35" i="12"/>
  <c r="AK35" i="12"/>
  <c r="J36" i="12"/>
  <c r="R36" i="12"/>
  <c r="Z36" i="12"/>
  <c r="AH36" i="12"/>
  <c r="G37" i="12"/>
  <c r="O37" i="12"/>
  <c r="W37" i="12"/>
  <c r="AE37" i="12"/>
  <c r="I34" i="12"/>
  <c r="Q34" i="12"/>
  <c r="Y34" i="12"/>
  <c r="F35" i="12"/>
  <c r="N35" i="12"/>
  <c r="V35" i="12"/>
  <c r="AD35" i="12"/>
  <c r="AL35" i="12"/>
  <c r="K36" i="12"/>
  <c r="S36" i="12"/>
  <c r="AA36" i="12"/>
  <c r="AI36" i="12"/>
  <c r="H37" i="12"/>
  <c r="P37" i="12"/>
  <c r="X37" i="12"/>
  <c r="G35" i="12"/>
  <c r="O35" i="12"/>
  <c r="W35" i="12"/>
  <c r="AE35" i="12"/>
  <c r="L36" i="12"/>
  <c r="T36" i="12"/>
  <c r="AB36" i="12"/>
  <c r="H35" i="12"/>
  <c r="P35" i="12"/>
  <c r="X35" i="12"/>
  <c r="C115" i="12"/>
  <c r="A82" i="11"/>
  <c r="A84" i="11"/>
  <c r="A106" i="11"/>
  <c r="U108" i="11"/>
  <c r="Q106" i="11"/>
  <c r="U104" i="11"/>
  <c r="U100" i="11"/>
  <c r="T108" i="11"/>
  <c r="P106" i="11"/>
  <c r="AB104" i="11"/>
  <c r="X102" i="11"/>
  <c r="AJ100" i="11"/>
  <c r="AF98" i="11"/>
  <c r="I107" i="11"/>
  <c r="M105" i="11"/>
  <c r="I103" i="11"/>
  <c r="M101" i="11"/>
  <c r="I99" i="11"/>
  <c r="AG108" i="11"/>
  <c r="AK102" i="11"/>
  <c r="M102" i="11"/>
  <c r="AG100" i="11"/>
  <c r="I100" i="11"/>
  <c r="AK98" i="11"/>
  <c r="M98" i="11"/>
  <c r="AF108" i="11"/>
  <c r="H108" i="11"/>
  <c r="F107" i="11"/>
  <c r="T106" i="11"/>
  <c r="J105" i="11"/>
  <c r="P104" i="11"/>
  <c r="N103" i="11"/>
  <c r="R101" i="11"/>
  <c r="X100" i="11"/>
  <c r="V99" i="11"/>
  <c r="AJ98" i="11"/>
  <c r="O108" i="11"/>
  <c r="AC107" i="11"/>
  <c r="S106" i="11"/>
  <c r="O104" i="11"/>
  <c r="AC103" i="11"/>
  <c r="S102" i="11"/>
  <c r="Y101" i="11"/>
  <c r="O100" i="11"/>
  <c r="AC99" i="11"/>
  <c r="S98" i="11"/>
  <c r="O96" i="11"/>
  <c r="AC95" i="11"/>
  <c r="AJ105" i="11"/>
  <c r="V102" i="11"/>
  <c r="X97" i="11"/>
  <c r="N96" i="11"/>
  <c r="S94" i="11"/>
  <c r="O92" i="11"/>
  <c r="AC91" i="11"/>
  <c r="S90" i="11"/>
  <c r="Y89" i="11"/>
  <c r="O88" i="11"/>
  <c r="AC87" i="11"/>
  <c r="S86" i="11"/>
  <c r="O84" i="11"/>
  <c r="T107" i="11"/>
  <c r="L103" i="11"/>
  <c r="AD100" i="11"/>
  <c r="AA96" i="11"/>
  <c r="Q95" i="11"/>
  <c r="AF93" i="11"/>
  <c r="N102" i="11"/>
  <c r="AF99" i="11"/>
  <c r="Z96" i="11"/>
  <c r="P95" i="11"/>
  <c r="AE93" i="11"/>
  <c r="G93" i="11"/>
  <c r="AI91" i="11"/>
  <c r="AE89" i="11"/>
  <c r="G89" i="11"/>
  <c r="AI87" i="11"/>
  <c r="K87" i="11"/>
  <c r="AE85" i="11"/>
  <c r="G85" i="11"/>
  <c r="AI83" i="11"/>
  <c r="K83" i="11"/>
  <c r="AE81" i="11"/>
  <c r="AD108" i="11"/>
  <c r="AJ103" i="11"/>
  <c r="V100" i="11"/>
  <c r="R97" i="11"/>
  <c r="AD95" i="11"/>
  <c r="H94" i="11"/>
  <c r="V108" i="11"/>
  <c r="AF103" i="11"/>
  <c r="L101" i="11"/>
  <c r="AF97" i="11"/>
  <c r="V96" i="11"/>
  <c r="W94" i="11"/>
  <c r="AK93" i="11"/>
  <c r="AA92" i="11"/>
  <c r="AG91" i="11"/>
  <c r="W90" i="11"/>
  <c r="AK89" i="11"/>
  <c r="AA88" i="11"/>
  <c r="AG87" i="11"/>
  <c r="W86" i="11"/>
  <c r="AK85" i="11"/>
  <c r="AA84" i="11"/>
  <c r="AG83" i="11"/>
  <c r="AB103" i="11"/>
  <c r="H101" i="11"/>
  <c r="N100" i="11"/>
  <c r="M97" i="11"/>
  <c r="S96" i="11"/>
  <c r="Y95" i="11"/>
  <c r="N94" i="11"/>
  <c r="AJ93" i="11"/>
  <c r="AB93" i="11"/>
  <c r="R92" i="11"/>
  <c r="AF91" i="11"/>
  <c r="X91" i="11"/>
  <c r="V90" i="11"/>
  <c r="F90" i="11"/>
  <c r="AJ89" i="11"/>
  <c r="Z88" i="11"/>
  <c r="J88" i="11"/>
  <c r="AF87" i="11"/>
  <c r="AD86" i="11"/>
  <c r="N86" i="11"/>
  <c r="F86" i="11"/>
  <c r="AJ85" i="11"/>
  <c r="AH84" i="11"/>
  <c r="R84" i="11"/>
  <c r="J84" i="11"/>
  <c r="AF83" i="11"/>
  <c r="AL82" i="11"/>
  <c r="V82" i="11"/>
  <c r="N82" i="11"/>
  <c r="F82" i="11"/>
  <c r="F108" i="11"/>
  <c r="F106" i="11"/>
  <c r="L105" i="11"/>
  <c r="R104" i="11"/>
  <c r="J100" i="11"/>
  <c r="W98" i="11"/>
  <c r="F98" i="11"/>
  <c r="AB97" i="11"/>
  <c r="X95" i="11"/>
  <c r="AK94" i="11"/>
  <c r="AC94" i="11"/>
  <c r="U94" i="11"/>
  <c r="S93" i="11"/>
  <c r="AG92" i="11"/>
  <c r="Y92" i="11"/>
  <c r="Q92" i="11"/>
  <c r="AE91" i="11"/>
  <c r="O91" i="11"/>
  <c r="AK90" i="11"/>
  <c r="AC90" i="11"/>
  <c r="U90" i="11"/>
  <c r="AI89" i="11"/>
  <c r="AA89" i="11"/>
  <c r="S89" i="11"/>
  <c r="K89" i="11"/>
  <c r="AG88" i="11"/>
  <c r="Y88" i="11"/>
  <c r="Q88" i="11"/>
  <c r="I88" i="11"/>
  <c r="AE87" i="11"/>
  <c r="W87" i="11"/>
  <c r="O87" i="11"/>
  <c r="G87" i="11"/>
  <c r="AK86" i="11"/>
  <c r="AC86" i="11"/>
  <c r="U86" i="11"/>
  <c r="M86" i="11"/>
  <c r="AI85" i="11"/>
  <c r="AA85" i="11"/>
  <c r="S85" i="11"/>
  <c r="K85" i="11"/>
  <c r="AG84" i="11"/>
  <c r="Y84" i="11"/>
  <c r="Q84" i="11"/>
  <c r="I84" i="11"/>
  <c r="AE83" i="11"/>
  <c r="W83" i="11"/>
  <c r="O83" i="11"/>
  <c r="G83" i="11"/>
  <c r="AK82" i="11"/>
  <c r="AC82" i="11"/>
  <c r="U82" i="11"/>
  <c r="M82" i="11"/>
  <c r="AI81" i="11"/>
  <c r="AA81" i="11"/>
  <c r="S81" i="11"/>
  <c r="AJ107" i="11"/>
  <c r="AH106" i="11"/>
  <c r="H105" i="11"/>
  <c r="N104" i="11"/>
  <c r="T103" i="11"/>
  <c r="Z102" i="11"/>
  <c r="AF101" i="11"/>
  <c r="AL100" i="11"/>
  <c r="F100" i="11"/>
  <c r="L99" i="11"/>
  <c r="V98" i="11"/>
  <c r="Z97" i="11"/>
  <c r="J97" i="11"/>
  <c r="AF96" i="11"/>
  <c r="P96" i="11"/>
  <c r="AL95" i="11"/>
  <c r="V95" i="11"/>
  <c r="F95" i="11"/>
  <c r="AJ94" i="11"/>
  <c r="AB94" i="11"/>
  <c r="T94" i="11"/>
  <c r="L94" i="11"/>
  <c r="AH93" i="11"/>
  <c r="Z93" i="11"/>
  <c r="R93" i="11"/>
  <c r="J93" i="11"/>
  <c r="AF92" i="11"/>
  <c r="X92" i="11"/>
  <c r="P92" i="11"/>
  <c r="H92" i="11"/>
  <c r="AL91" i="11"/>
  <c r="AD91" i="11"/>
  <c r="V91" i="11"/>
  <c r="N91" i="11"/>
  <c r="F91" i="11"/>
  <c r="AJ90" i="11"/>
  <c r="AB90" i="11"/>
  <c r="T90" i="11"/>
  <c r="L90" i="11"/>
  <c r="AH89" i="11"/>
  <c r="Z89" i="11"/>
  <c r="R89" i="11"/>
  <c r="J89" i="11"/>
  <c r="AF88" i="11"/>
  <c r="X88" i="11"/>
  <c r="P88" i="11"/>
  <c r="H88" i="11"/>
  <c r="AL87" i="11"/>
  <c r="AD87" i="11"/>
  <c r="V87" i="11"/>
  <c r="N87" i="11"/>
  <c r="F87" i="11"/>
  <c r="AJ86" i="11"/>
  <c r="AB86" i="11"/>
  <c r="T86" i="11"/>
  <c r="L86" i="11"/>
  <c r="AH85" i="11"/>
  <c r="Z85" i="11"/>
  <c r="R85" i="11"/>
  <c r="J85" i="11"/>
  <c r="AF84" i="11"/>
  <c r="X84" i="11"/>
  <c r="P84" i="11"/>
  <c r="H84" i="11"/>
  <c r="AL83" i="11"/>
  <c r="AD83" i="11"/>
  <c r="V83" i="11"/>
  <c r="N83" i="11"/>
  <c r="F83" i="11"/>
  <c r="AJ82" i="11"/>
  <c r="AB82" i="11"/>
  <c r="T82" i="11"/>
  <c r="AJ92" i="11"/>
  <c r="J91" i="11"/>
  <c r="P90" i="11"/>
  <c r="V89" i="11"/>
  <c r="AB88" i="11"/>
  <c r="AH87" i="11"/>
  <c r="H86" i="11"/>
  <c r="N85" i="11"/>
  <c r="T84" i="11"/>
  <c r="AB83" i="11"/>
  <c r="L83" i="11"/>
  <c r="AH82" i="11"/>
  <c r="R82" i="11"/>
  <c r="AD81" i="11"/>
  <c r="Q81" i="11"/>
  <c r="H81" i="11"/>
  <c r="AL80" i="11"/>
  <c r="AD80" i="11"/>
  <c r="V80" i="11"/>
  <c r="N80" i="11"/>
  <c r="F80" i="11"/>
  <c r="AD92" i="11"/>
  <c r="AJ91" i="11"/>
  <c r="J90" i="11"/>
  <c r="P89" i="11"/>
  <c r="V88" i="11"/>
  <c r="AB87" i="11"/>
  <c r="AH86" i="11"/>
  <c r="H85" i="11"/>
  <c r="N84" i="11"/>
  <c r="Z83" i="11"/>
  <c r="J83" i="11"/>
  <c r="AF82" i="11"/>
  <c r="P82" i="11"/>
  <c r="AC81" i="11"/>
  <c r="P81" i="11"/>
  <c r="G81" i="11"/>
  <c r="AK80" i="11"/>
  <c r="AC80" i="11"/>
  <c r="U80" i="11"/>
  <c r="M80" i="11"/>
  <c r="V93" i="11"/>
  <c r="AB92" i="11"/>
  <c r="AH91" i="11"/>
  <c r="H90" i="11"/>
  <c r="N89" i="11"/>
  <c r="T88" i="11"/>
  <c r="Z87" i="11"/>
  <c r="AF86" i="11"/>
  <c r="AL85" i="11"/>
  <c r="F85" i="11"/>
  <c r="L84" i="11"/>
  <c r="Y83" i="11"/>
  <c r="I83" i="11"/>
  <c r="AE82" i="11"/>
  <c r="O82" i="11"/>
  <c r="Z81" i="11"/>
  <c r="N81" i="11"/>
  <c r="F81" i="11"/>
  <c r="AJ80" i="11"/>
  <c r="AB80" i="11"/>
  <c r="T80" i="11"/>
  <c r="L80" i="11"/>
  <c r="P93" i="11"/>
  <c r="V92" i="11"/>
  <c r="AB91" i="11"/>
  <c r="AH90" i="11"/>
  <c r="H89" i="11"/>
  <c r="N88" i="11"/>
  <c r="T87" i="11"/>
  <c r="Z86" i="11"/>
  <c r="AF85" i="11"/>
  <c r="AL84" i="11"/>
  <c r="F84" i="11"/>
  <c r="U83" i="11"/>
  <c r="AA82" i="11"/>
  <c r="L82" i="11"/>
  <c r="AL81" i="11"/>
  <c r="Y81" i="11"/>
  <c r="M81" i="11"/>
  <c r="AI80" i="11"/>
  <c r="AA80" i="11"/>
  <c r="S80" i="11"/>
  <c r="K80" i="11"/>
  <c r="N93" i="11"/>
  <c r="T92" i="11"/>
  <c r="Z91" i="11"/>
  <c r="AF90" i="11"/>
  <c r="AL89" i="11"/>
  <c r="F89" i="11"/>
  <c r="L88" i="11"/>
  <c r="R87" i="11"/>
  <c r="X86" i="11"/>
  <c r="AD85" i="11"/>
  <c r="AJ84" i="11"/>
  <c r="T83" i="11"/>
  <c r="Z82" i="11"/>
  <c r="K82" i="11"/>
  <c r="AK81" i="11"/>
  <c r="X81" i="11"/>
  <c r="L81" i="11"/>
  <c r="AH80" i="11"/>
  <c r="Z80" i="11"/>
  <c r="R80" i="11"/>
  <c r="J80" i="11"/>
  <c r="H93" i="11"/>
  <c r="N92" i="11"/>
  <c r="T91" i="11"/>
  <c r="Z90" i="11"/>
  <c r="AF89" i="11"/>
  <c r="AL88" i="11"/>
  <c r="F88" i="11"/>
  <c r="L87" i="11"/>
  <c r="R86" i="11"/>
  <c r="X85" i="11"/>
  <c r="AD84" i="11"/>
  <c r="AJ83" i="11"/>
  <c r="R83" i="11"/>
  <c r="X82" i="11"/>
  <c r="J82" i="11"/>
  <c r="AH81" i="11"/>
  <c r="V81" i="11"/>
  <c r="K81" i="11"/>
  <c r="AG80" i="11"/>
  <c r="Y80" i="11"/>
  <c r="Q80" i="11"/>
  <c r="I80" i="11"/>
  <c r="F93" i="11"/>
  <c r="L92" i="11"/>
  <c r="R91" i="11"/>
  <c r="X90" i="11"/>
  <c r="AD89" i="11"/>
  <c r="AJ88" i="11"/>
  <c r="J87" i="11"/>
  <c r="P86" i="11"/>
  <c r="V85" i="11"/>
  <c r="AB84" i="11"/>
  <c r="AH83" i="11"/>
  <c r="Q83" i="11"/>
  <c r="W82" i="11"/>
  <c r="H82" i="11"/>
  <c r="AG81" i="11"/>
  <c r="U81" i="11"/>
  <c r="J81" i="11"/>
  <c r="AF80" i="11"/>
  <c r="X80" i="11"/>
  <c r="P80" i="11"/>
  <c r="H80" i="11"/>
  <c r="AJ87" i="11"/>
  <c r="S82" i="11"/>
  <c r="O80" i="11"/>
  <c r="G82" i="11"/>
  <c r="G80" i="11"/>
  <c r="AL92" i="11"/>
  <c r="J86" i="11"/>
  <c r="AF81" i="11"/>
  <c r="F92" i="11"/>
  <c r="P85" i="11"/>
  <c r="R81" i="11"/>
  <c r="L91" i="11"/>
  <c r="V84" i="11"/>
  <c r="I81" i="11"/>
  <c r="R90" i="11"/>
  <c r="AC83" i="11"/>
  <c r="X89" i="11"/>
  <c r="M83" i="11"/>
  <c r="AE80" i="11"/>
  <c r="AD88" i="11"/>
  <c r="AI82" i="11"/>
  <c r="W80" i="11"/>
  <c r="A80" i="11"/>
  <c r="A89" i="11"/>
  <c r="A105" i="11"/>
  <c r="I34" i="11"/>
  <c r="Q34" i="11"/>
  <c r="Y34" i="11"/>
  <c r="AG34" i="11"/>
  <c r="F35" i="11"/>
  <c r="N35" i="11"/>
  <c r="V35" i="11"/>
  <c r="AD35" i="11"/>
  <c r="K36" i="11"/>
  <c r="S36" i="11"/>
  <c r="AA36" i="11"/>
  <c r="AI36" i="11"/>
  <c r="L37" i="11"/>
  <c r="Y37" i="11"/>
  <c r="AK37" i="11"/>
  <c r="A87" i="11"/>
  <c r="A107" i="11"/>
  <c r="J34" i="11"/>
  <c r="R34" i="11"/>
  <c r="Z34" i="11"/>
  <c r="AH34" i="11"/>
  <c r="G35" i="11"/>
  <c r="O35" i="11"/>
  <c r="W35" i="11"/>
  <c r="AE35" i="11"/>
  <c r="L36" i="11"/>
  <c r="T36" i="11"/>
  <c r="AB36" i="11"/>
  <c r="AJ36" i="11"/>
  <c r="M37" i="11"/>
  <c r="AA37" i="11"/>
  <c r="A85" i="11"/>
  <c r="K34" i="11"/>
  <c r="S34" i="11"/>
  <c r="AA34" i="11"/>
  <c r="AI34" i="11"/>
  <c r="H35" i="11"/>
  <c r="P35" i="11"/>
  <c r="X35" i="11"/>
  <c r="AF35" i="11"/>
  <c r="E36" i="11"/>
  <c r="B36" i="11" s="1"/>
  <c r="M36" i="11"/>
  <c r="U36" i="11"/>
  <c r="AC36" i="11"/>
  <c r="P37" i="11"/>
  <c r="A95" i="11"/>
  <c r="A99" i="11"/>
  <c r="A86" i="11"/>
  <c r="A88" i="11"/>
  <c r="A90" i="11"/>
  <c r="A92" i="11"/>
  <c r="A94" i="11"/>
  <c r="A96" i="11"/>
  <c r="A98" i="11"/>
  <c r="A100" i="11"/>
  <c r="A102" i="11"/>
  <c r="A104" i="11"/>
  <c r="A108" i="11"/>
  <c r="L34" i="11"/>
  <c r="T34" i="11"/>
  <c r="AB34" i="11"/>
  <c r="AJ34" i="11"/>
  <c r="AH37" i="11"/>
  <c r="Z37" i="11"/>
  <c r="R37" i="11"/>
  <c r="J37" i="11"/>
  <c r="AE37" i="11"/>
  <c r="W37" i="11"/>
  <c r="O37" i="11"/>
  <c r="G37" i="11"/>
  <c r="AD37" i="11"/>
  <c r="V37" i="11"/>
  <c r="N37" i="11"/>
  <c r="F37" i="11"/>
  <c r="Q37" i="11"/>
  <c r="AC37" i="11"/>
  <c r="A91" i="11"/>
  <c r="A103" i="11"/>
  <c r="E34" i="11"/>
  <c r="B34" i="11" s="1"/>
  <c r="M34" i="11"/>
  <c r="U34" i="11"/>
  <c r="AC34" i="11"/>
  <c r="AK34" i="11"/>
  <c r="J35" i="11"/>
  <c r="R35" i="11"/>
  <c r="Z35" i="11"/>
  <c r="AH35" i="11"/>
  <c r="G36" i="11"/>
  <c r="O36" i="11"/>
  <c r="W36" i="11"/>
  <c r="AE36" i="11"/>
  <c r="E37" i="11"/>
  <c r="B37" i="11" s="1"/>
  <c r="S37" i="11"/>
  <c r="AF37" i="11"/>
  <c r="A81" i="11"/>
  <c r="A93" i="11"/>
  <c r="A101" i="11"/>
  <c r="F34" i="11"/>
  <c r="N34" i="11"/>
  <c r="V34" i="11"/>
  <c r="AD34" i="11"/>
  <c r="H37" i="11"/>
  <c r="T37" i="11"/>
  <c r="AG37" i="11"/>
  <c r="A83" i="11"/>
  <c r="A97" i="11"/>
  <c r="G34" i="11"/>
  <c r="O34" i="11"/>
  <c r="W34" i="11"/>
  <c r="L35" i="11"/>
  <c r="T35" i="11"/>
  <c r="AB35" i="11"/>
  <c r="I36" i="11"/>
  <c r="Q36" i="11"/>
  <c r="Y36" i="11"/>
  <c r="AG36" i="11"/>
  <c r="I37" i="11"/>
  <c r="U37" i="11"/>
  <c r="AI37" i="11"/>
  <c r="C115" i="11"/>
  <c r="AL41" i="11" l="1"/>
  <c r="AG87" i="12"/>
  <c r="Y80" i="12"/>
  <c r="I97" i="12"/>
  <c r="S82" i="12"/>
  <c r="AF92" i="12"/>
  <c r="W84" i="12"/>
  <c r="AD90" i="12"/>
  <c r="G82" i="12"/>
  <c r="I90" i="12"/>
  <c r="U87" i="12"/>
  <c r="AD83" i="12"/>
  <c r="W83" i="12"/>
  <c r="N90" i="12"/>
  <c r="Z86" i="12"/>
  <c r="W91" i="12"/>
  <c r="G80" i="12"/>
  <c r="U95" i="12"/>
  <c r="S97" i="12"/>
  <c r="AJ82" i="12"/>
  <c r="T81" i="12"/>
  <c r="K83" i="12"/>
  <c r="M85" i="12"/>
  <c r="Z85" i="12"/>
  <c r="Y96" i="12"/>
  <c r="X91" i="12"/>
  <c r="M105" i="12"/>
  <c r="AL86" i="12"/>
  <c r="F84" i="12"/>
  <c r="N94" i="12"/>
  <c r="X90" i="12"/>
  <c r="M108" i="11"/>
  <c r="I106" i="11"/>
  <c r="M104" i="11"/>
  <c r="I102" i="11"/>
  <c r="M100" i="11"/>
  <c r="I98" i="11"/>
  <c r="M96" i="11"/>
  <c r="L108" i="11"/>
  <c r="H106" i="11"/>
  <c r="T104" i="11"/>
  <c r="P102" i="11"/>
  <c r="AB100" i="11"/>
  <c r="X98" i="11"/>
  <c r="AJ96" i="11"/>
  <c r="AI108" i="11"/>
  <c r="AE106" i="11"/>
  <c r="AI104" i="11"/>
  <c r="AE102" i="11"/>
  <c r="AI100" i="11"/>
  <c r="AE98" i="11"/>
  <c r="Y108" i="11"/>
  <c r="AC106" i="11"/>
  <c r="Y104" i="11"/>
  <c r="AC102" i="11"/>
  <c r="Y100" i="11"/>
  <c r="AC98" i="11"/>
  <c r="Y96" i="11"/>
  <c r="X108" i="11"/>
  <c r="AJ106" i="11"/>
  <c r="AF104" i="11"/>
  <c r="F103" i="11"/>
  <c r="J101" i="11"/>
  <c r="N99" i="11"/>
  <c r="G108" i="11"/>
  <c r="K106" i="11"/>
  <c r="G104" i="11"/>
  <c r="K102" i="11"/>
  <c r="G100" i="11"/>
  <c r="K98" i="11"/>
  <c r="G96" i="11"/>
  <c r="J104" i="11"/>
  <c r="H97" i="11"/>
  <c r="K94" i="11"/>
  <c r="G92" i="11"/>
  <c r="K90" i="11"/>
  <c r="G88" i="11"/>
  <c r="K86" i="11"/>
  <c r="G84" i="11"/>
  <c r="R102" i="11"/>
  <c r="K96" i="11"/>
  <c r="X93" i="11"/>
  <c r="T101" i="11"/>
  <c r="J96" i="11"/>
  <c r="W93" i="11"/>
  <c r="AA91" i="11"/>
  <c r="W89" i="11"/>
  <c r="AA87" i="11"/>
  <c r="W85" i="11"/>
  <c r="AA83" i="11"/>
  <c r="W81" i="11"/>
  <c r="J102" i="11"/>
  <c r="X96" i="11"/>
  <c r="AL93" i="11"/>
  <c r="AL102" i="11"/>
  <c r="P97" i="11"/>
  <c r="O94" i="11"/>
  <c r="S92" i="11"/>
  <c r="O90" i="11"/>
  <c r="S88" i="11"/>
  <c r="O86" i="11"/>
  <c r="S84" i="11"/>
  <c r="AH102" i="11"/>
  <c r="AI96" i="11"/>
  <c r="F94" i="11"/>
  <c r="J92" i="11"/>
  <c r="N90" i="11"/>
  <c r="R88" i="11"/>
  <c r="V86" i="11"/>
  <c r="Z84" i="11"/>
  <c r="AD82" i="11"/>
  <c r="AL106" i="11"/>
  <c r="P99" i="11"/>
  <c r="H95" i="11"/>
  <c r="K93" i="11"/>
  <c r="G91" i="11"/>
  <c r="AI107" i="11"/>
  <c r="AE105" i="11"/>
  <c r="AI103" i="11"/>
  <c r="AE101" i="11"/>
  <c r="AI99" i="11"/>
  <c r="AE97" i="11"/>
  <c r="AI95" i="11"/>
  <c r="AH107" i="11"/>
  <c r="AL105" i="11"/>
  <c r="L104" i="11"/>
  <c r="H102" i="11"/>
  <c r="T100" i="11"/>
  <c r="P98" i="11"/>
  <c r="AB96" i="11"/>
  <c r="AA108" i="11"/>
  <c r="W106" i="11"/>
  <c r="AA104" i="11"/>
  <c r="W102" i="11"/>
  <c r="AA100" i="11"/>
  <c r="AH108" i="11"/>
  <c r="Q108" i="11"/>
  <c r="U106" i="11"/>
  <c r="Q104" i="11"/>
  <c r="U102" i="11"/>
  <c r="Q100" i="11"/>
  <c r="U98" i="11"/>
  <c r="Q96" i="11"/>
  <c r="P108" i="11"/>
  <c r="AB106" i="11"/>
  <c r="X104" i="11"/>
  <c r="AJ102" i="11"/>
  <c r="AF100" i="11"/>
  <c r="F99" i="11"/>
  <c r="AK107" i="11"/>
  <c r="AG105" i="11"/>
  <c r="AK103" i="11"/>
  <c r="AG101" i="11"/>
  <c r="AK99" i="11"/>
  <c r="AG97" i="11"/>
  <c r="AK95" i="11"/>
  <c r="P103" i="11"/>
  <c r="AD96" i="11"/>
  <c r="AG93" i="11"/>
  <c r="AK91" i="11"/>
  <c r="AG89" i="11"/>
  <c r="AK87" i="11"/>
  <c r="AG85" i="11"/>
  <c r="AK83" i="11"/>
  <c r="X101" i="11"/>
  <c r="AG95" i="11"/>
  <c r="AL108" i="11"/>
  <c r="Z100" i="11"/>
  <c r="AF95" i="11"/>
  <c r="O93" i="11"/>
  <c r="S91" i="11"/>
  <c r="O89" i="11"/>
  <c r="S87" i="11"/>
  <c r="O85" i="11"/>
  <c r="S83" i="11"/>
  <c r="O81" i="11"/>
  <c r="P101" i="11"/>
  <c r="H96" i="11"/>
  <c r="AD93" i="11"/>
  <c r="F102" i="11"/>
  <c r="AL96" i="11"/>
  <c r="G94" i="11"/>
  <c r="K92" i="11"/>
  <c r="G90" i="11"/>
  <c r="K88" i="11"/>
  <c r="G86" i="11"/>
  <c r="K84" i="11"/>
  <c r="AA107" i="11"/>
  <c r="W105" i="11"/>
  <c r="AA103" i="11"/>
  <c r="W101" i="11"/>
  <c r="AA99" i="11"/>
  <c r="W97" i="11"/>
  <c r="AA95" i="11"/>
  <c r="Z107" i="11"/>
  <c r="AD105" i="11"/>
  <c r="AH103" i="11"/>
  <c r="AL101" i="11"/>
  <c r="L100" i="11"/>
  <c r="H98" i="11"/>
  <c r="T96" i="11"/>
  <c r="S108" i="11"/>
  <c r="O106" i="11"/>
  <c r="S104" i="11"/>
  <c r="O102" i="11"/>
  <c r="S100" i="11"/>
  <c r="Z108" i="11"/>
  <c r="I108" i="11"/>
  <c r="M106" i="11"/>
  <c r="I104" i="11"/>
  <c r="S107" i="11"/>
  <c r="O105" i="11"/>
  <c r="S103" i="11"/>
  <c r="O101" i="11"/>
  <c r="S99" i="11"/>
  <c r="O97" i="11"/>
  <c r="S95" i="11"/>
  <c r="R107" i="11"/>
  <c r="V105" i="11"/>
  <c r="Z103" i="11"/>
  <c r="AD101" i="11"/>
  <c r="AH99" i="11"/>
  <c r="AL97" i="11"/>
  <c r="L96" i="11"/>
  <c r="K108" i="11"/>
  <c r="G106" i="11"/>
  <c r="K104" i="11"/>
  <c r="G102" i="11"/>
  <c r="K100" i="11"/>
  <c r="R108" i="11"/>
  <c r="AE107" i="11"/>
  <c r="AI105" i="11"/>
  <c r="AE103" i="11"/>
  <c r="AI101" i="11"/>
  <c r="AE99" i="11"/>
  <c r="AI97" i="11"/>
  <c r="AE95" i="11"/>
  <c r="AL107" i="11"/>
  <c r="L106" i="11"/>
  <c r="H104" i="11"/>
  <c r="T102" i="11"/>
  <c r="P100" i="11"/>
  <c r="AB98" i="11"/>
  <c r="U107" i="11"/>
  <c r="Q105" i="11"/>
  <c r="U103" i="11"/>
  <c r="Q101" i="11"/>
  <c r="U99" i="11"/>
  <c r="Q97" i="11"/>
  <c r="U95" i="11"/>
  <c r="AB101" i="11"/>
  <c r="AJ95" i="11"/>
  <c r="Q93" i="11"/>
  <c r="U91" i="11"/>
  <c r="Q89" i="11"/>
  <c r="U87" i="11"/>
  <c r="Q85" i="11"/>
  <c r="Z106" i="11"/>
  <c r="AJ99" i="11"/>
  <c r="AH94" i="11"/>
  <c r="V106" i="11"/>
  <c r="AL98" i="11"/>
  <c r="AG94" i="11"/>
  <c r="AK92" i="11"/>
  <c r="AG90" i="11"/>
  <c r="AK88" i="11"/>
  <c r="AG86" i="11"/>
  <c r="AK84" i="11"/>
  <c r="AG82" i="11"/>
  <c r="L107" i="11"/>
  <c r="AB99" i="11"/>
  <c r="N95" i="11"/>
  <c r="H107" i="11"/>
  <c r="R100" i="11"/>
  <c r="F96" i="11"/>
  <c r="AC93" i="11"/>
  <c r="Y91" i="11"/>
  <c r="AC89" i="11"/>
  <c r="Y87" i="11"/>
  <c r="AC85" i="11"/>
  <c r="N108" i="11"/>
  <c r="T99" i="11"/>
  <c r="I95" i="11"/>
  <c r="T93" i="11"/>
  <c r="P91" i="11"/>
  <c r="AB89" i="11"/>
  <c r="X87" i="11"/>
  <c r="K107" i="11"/>
  <c r="G105" i="11"/>
  <c r="K103" i="11"/>
  <c r="G101" i="11"/>
  <c r="K99" i="11"/>
  <c r="G97" i="11"/>
  <c r="K95" i="11"/>
  <c r="J107" i="11"/>
  <c r="N105" i="11"/>
  <c r="R103" i="11"/>
  <c r="V101" i="11"/>
  <c r="Z99" i="11"/>
  <c r="AD97" i="11"/>
  <c r="AH95" i="11"/>
  <c r="AG107" i="11"/>
  <c r="AK105" i="11"/>
  <c r="AG103" i="11"/>
  <c r="AK101" i="11"/>
  <c r="AG99" i="11"/>
  <c r="J108" i="11"/>
  <c r="W107" i="11"/>
  <c r="AA105" i="11"/>
  <c r="W103" i="11"/>
  <c r="AA101" i="11"/>
  <c r="W99" i="11"/>
  <c r="AA97" i="11"/>
  <c r="W95" i="11"/>
  <c r="AD107" i="11"/>
  <c r="AH105" i="11"/>
  <c r="AL103" i="11"/>
  <c r="L102" i="11"/>
  <c r="H100" i="11"/>
  <c r="T98" i="11"/>
  <c r="M107" i="11"/>
  <c r="I105" i="11"/>
  <c r="M103" i="11"/>
  <c r="I101" i="11"/>
  <c r="M99" i="11"/>
  <c r="I97" i="11"/>
  <c r="M95" i="11"/>
  <c r="AH100" i="11"/>
  <c r="T95" i="11"/>
  <c r="I93" i="11"/>
  <c r="M91" i="11"/>
  <c r="I89" i="11"/>
  <c r="M87" i="11"/>
  <c r="I85" i="11"/>
  <c r="AF105" i="11"/>
  <c r="O98" i="11"/>
  <c r="Z94" i="11"/>
  <c r="AB105" i="11"/>
  <c r="N98" i="11"/>
  <c r="Y94" i="11"/>
  <c r="AC92" i="11"/>
  <c r="Y90" i="11"/>
  <c r="AC88" i="11"/>
  <c r="Y86" i="11"/>
  <c r="AC84" i="11"/>
  <c r="Y82" i="11"/>
  <c r="R106" i="11"/>
  <c r="AH98" i="11"/>
  <c r="AF94" i="11"/>
  <c r="N106" i="11"/>
  <c r="X99" i="11"/>
  <c r="AB95" i="11"/>
  <c r="U93" i="11"/>
  <c r="Q91" i="11"/>
  <c r="U89" i="11"/>
  <c r="Q87" i="11"/>
  <c r="U85" i="11"/>
  <c r="J106" i="11"/>
  <c r="Z98" i="11"/>
  <c r="AL94" i="11"/>
  <c r="L93" i="11"/>
  <c r="H91" i="11"/>
  <c r="T89" i="11"/>
  <c r="P87" i="11"/>
  <c r="AB85" i="11"/>
  <c r="X83" i="11"/>
  <c r="AJ81" i="11"/>
  <c r="X103" i="11"/>
  <c r="L97" i="11"/>
  <c r="M94" i="11"/>
  <c r="I92" i="11"/>
  <c r="M90" i="11"/>
  <c r="AK108" i="11"/>
  <c r="AG106" i="11"/>
  <c r="AK104" i="11"/>
  <c r="AG102" i="11"/>
  <c r="AK100" i="11"/>
  <c r="AG98" i="11"/>
  <c r="AK96" i="11"/>
  <c r="AJ108" i="11"/>
  <c r="AF106" i="11"/>
  <c r="F105" i="11"/>
  <c r="J103" i="11"/>
  <c r="N101" i="11"/>
  <c r="R99" i="11"/>
  <c r="V97" i="11"/>
  <c r="Z95" i="11"/>
  <c r="Y107" i="11"/>
  <c r="AC105" i="11"/>
  <c r="Y103" i="11"/>
  <c r="AC101" i="11"/>
  <c r="Y99" i="11"/>
  <c r="AF107" i="11"/>
  <c r="O107" i="11"/>
  <c r="S105" i="11"/>
  <c r="O103" i="11"/>
  <c r="S101" i="11"/>
  <c r="O99" i="11"/>
  <c r="S97" i="11"/>
  <c r="O95" i="11"/>
  <c r="V107" i="11"/>
  <c r="Z105" i="11"/>
  <c r="AD103" i="11"/>
  <c r="AH101" i="11"/>
  <c r="AL99" i="11"/>
  <c r="AE108" i="11"/>
  <c r="AI106" i="11"/>
  <c r="AE104" i="11"/>
  <c r="AI102" i="11"/>
  <c r="AE100" i="11"/>
  <c r="AI98" i="11"/>
  <c r="AE96" i="11"/>
  <c r="AB107" i="11"/>
  <c r="H99" i="11"/>
  <c r="AI94" i="11"/>
  <c r="AE92" i="11"/>
  <c r="AI90" i="11"/>
  <c r="AE88" i="11"/>
  <c r="AI86" i="11"/>
  <c r="AE84" i="11"/>
  <c r="AL104" i="11"/>
  <c r="AK97" i="11"/>
  <c r="R94" i="11"/>
  <c r="AH104" i="11"/>
  <c r="AJ97" i="11"/>
  <c r="Q94" i="11"/>
  <c r="U92" i="11"/>
  <c r="Q90" i="11"/>
  <c r="U88" i="11"/>
  <c r="Q86" i="11"/>
  <c r="U84" i="11"/>
  <c r="Q82" i="11"/>
  <c r="X105" i="11"/>
  <c r="L98" i="11"/>
  <c r="X94" i="11"/>
  <c r="T105" i="11"/>
  <c r="AD98" i="11"/>
  <c r="L95" i="11"/>
  <c r="M93" i="11"/>
  <c r="I91" i="11"/>
  <c r="M89" i="11"/>
  <c r="I87" i="11"/>
  <c r="M85" i="11"/>
  <c r="P105" i="11"/>
  <c r="G98" i="11"/>
  <c r="AD94" i="11"/>
  <c r="AH92" i="11"/>
  <c r="AL90" i="11"/>
  <c r="L89" i="11"/>
  <c r="H87" i="11"/>
  <c r="T85" i="11"/>
  <c r="P83" i="11"/>
  <c r="AB81" i="11"/>
  <c r="AD102" i="11"/>
  <c r="AH96" i="11"/>
  <c r="AI93" i="11"/>
  <c r="AC108" i="11"/>
  <c r="Y106" i="11"/>
  <c r="AC104" i="11"/>
  <c r="Y102" i="11"/>
  <c r="AC100" i="11"/>
  <c r="Y98" i="11"/>
  <c r="AC96" i="11"/>
  <c r="AB108" i="11"/>
  <c r="X106" i="11"/>
  <c r="AJ104" i="11"/>
  <c r="AF102" i="11"/>
  <c r="F101" i="11"/>
  <c r="J99" i="11"/>
  <c r="N97" i="11"/>
  <c r="R95" i="11"/>
  <c r="Q107" i="11"/>
  <c r="U105" i="11"/>
  <c r="Q103" i="11"/>
  <c r="U101" i="11"/>
  <c r="Q99" i="11"/>
  <c r="X107" i="11"/>
  <c r="G107" i="11"/>
  <c r="K105" i="11"/>
  <c r="G103" i="11"/>
  <c r="K101" i="11"/>
  <c r="G99" i="11"/>
  <c r="K97" i="11"/>
  <c r="G95" i="11"/>
  <c r="N107" i="11"/>
  <c r="R105" i="11"/>
  <c r="V103" i="11"/>
  <c r="Z101" i="11"/>
  <c r="AD99" i="11"/>
  <c r="W108" i="11"/>
  <c r="AA106" i="11"/>
  <c r="W104" i="11"/>
  <c r="AA102" i="11"/>
  <c r="W100" i="11"/>
  <c r="AA98" i="11"/>
  <c r="W96" i="11"/>
  <c r="AD106" i="11"/>
  <c r="R98" i="11"/>
  <c r="AA94" i="11"/>
  <c r="W92" i="11"/>
  <c r="AA90" i="11"/>
  <c r="W88" i="11"/>
  <c r="AA86" i="11"/>
  <c r="W84" i="11"/>
  <c r="F104" i="11"/>
  <c r="U97" i="11"/>
  <c r="J94" i="11"/>
  <c r="H103" i="11"/>
  <c r="T97" i="11"/>
  <c r="I94" i="11"/>
  <c r="M92" i="11"/>
  <c r="I90" i="11"/>
  <c r="M88" i="11"/>
  <c r="I86" i="11"/>
  <c r="M84" i="11"/>
  <c r="I82" i="11"/>
  <c r="AD104" i="11"/>
  <c r="AH97" i="11"/>
  <c r="P94" i="11"/>
  <c r="Z104" i="11"/>
  <c r="J98" i="11"/>
  <c r="AE94" i="11"/>
  <c r="AI92" i="11"/>
  <c r="AE90" i="11"/>
  <c r="AI88" i="11"/>
  <c r="AE86" i="11"/>
  <c r="AI84" i="11"/>
  <c r="V104" i="11"/>
  <c r="AC97" i="11"/>
  <c r="V94" i="11"/>
  <c r="Z92" i="11"/>
  <c r="AD90" i="11"/>
  <c r="AH88" i="11"/>
  <c r="AL86" i="11"/>
  <c r="L85" i="11"/>
  <c r="H83" i="11"/>
  <c r="T81" i="11"/>
  <c r="AJ101" i="11"/>
  <c r="R96" i="11"/>
  <c r="AA93" i="11"/>
  <c r="W91" i="11"/>
  <c r="K91" i="11"/>
  <c r="P107" i="11"/>
  <c r="Y85" i="11"/>
  <c r="Y93" i="11"/>
  <c r="Y97" i="11"/>
  <c r="Y105" i="11"/>
  <c r="AB102" i="11"/>
  <c r="I96" i="11"/>
  <c r="AG104" i="11"/>
  <c r="J95" i="11"/>
  <c r="U96" i="11"/>
  <c r="AG96" i="11"/>
  <c r="AK106" i="11"/>
  <c r="F97" i="11"/>
  <c r="Q98" i="11"/>
  <c r="R95" i="12"/>
  <c r="H83" i="12"/>
  <c r="Y89" i="12"/>
  <c r="G81" i="12"/>
  <c r="AI96" i="12"/>
  <c r="M104" i="12"/>
  <c r="H81" i="12"/>
  <c r="AC82" i="12"/>
  <c r="K88" i="12"/>
  <c r="AA107" i="12"/>
  <c r="AD85" i="12"/>
  <c r="M99" i="12"/>
  <c r="AF80" i="12"/>
  <c r="AE84" i="12"/>
  <c r="R91" i="12"/>
  <c r="AD81" i="12"/>
  <c r="AC89" i="12"/>
  <c r="AC91" i="12"/>
  <c r="AK41" i="11"/>
  <c r="AJ41" i="11"/>
  <c r="R104" i="12"/>
  <c r="H106" i="12"/>
  <c r="AC93" i="12"/>
  <c r="S107" i="12"/>
  <c r="U107" i="12"/>
  <c r="AJ102" i="12"/>
  <c r="O103" i="12"/>
  <c r="AH96" i="12"/>
  <c r="AH107" i="12"/>
  <c r="AL105" i="12"/>
  <c r="L104" i="12"/>
  <c r="H102" i="12"/>
  <c r="T100" i="12"/>
  <c r="S108" i="12"/>
  <c r="O106" i="12"/>
  <c r="AF107" i="12"/>
  <c r="F106" i="12"/>
  <c r="J104" i="12"/>
  <c r="N102" i="12"/>
  <c r="R100" i="12"/>
  <c r="V98" i="12"/>
  <c r="Z96" i="12"/>
  <c r="AD94" i="12"/>
  <c r="G107" i="12"/>
  <c r="K105" i="12"/>
  <c r="G103" i="12"/>
  <c r="H108" i="12"/>
  <c r="T106" i="12"/>
  <c r="P104" i="12"/>
  <c r="AB102" i="12"/>
  <c r="X100" i="12"/>
  <c r="AJ98" i="12"/>
  <c r="AF96" i="12"/>
  <c r="M107" i="12"/>
  <c r="T107" i="12"/>
  <c r="P105" i="12"/>
  <c r="AB103" i="12"/>
  <c r="X101" i="12"/>
  <c r="AJ99" i="12"/>
  <c r="AF97" i="12"/>
  <c r="F96" i="12"/>
  <c r="Q106" i="12"/>
  <c r="M101" i="12"/>
  <c r="AG97" i="12"/>
  <c r="Q95" i="12"/>
  <c r="U93" i="12"/>
  <c r="Q91" i="12"/>
  <c r="AK104" i="12"/>
  <c r="AG100" i="12"/>
  <c r="AC103" i="12"/>
  <c r="U99" i="12"/>
  <c r="AI95" i="12"/>
  <c r="S93" i="12"/>
  <c r="O91" i="12"/>
  <c r="S89" i="12"/>
  <c r="O87" i="12"/>
  <c r="S85" i="12"/>
  <c r="O83" i="12"/>
  <c r="W101" i="12"/>
  <c r="AC97" i="12"/>
  <c r="AC94" i="12"/>
  <c r="X92" i="12"/>
  <c r="AJ90" i="12"/>
  <c r="AF88" i="12"/>
  <c r="F87" i="12"/>
  <c r="AC104" i="12"/>
  <c r="AG99" i="12"/>
  <c r="AG95" i="12"/>
  <c r="Q93" i="12"/>
  <c r="U91" i="12"/>
  <c r="I105" i="12"/>
  <c r="AE99" i="12"/>
  <c r="AI102" i="12"/>
  <c r="AK98" i="12"/>
  <c r="M96" i="12"/>
  <c r="AE93" i="12"/>
  <c r="AI91" i="12"/>
  <c r="AE89" i="12"/>
  <c r="AI87" i="12"/>
  <c r="AE85" i="12"/>
  <c r="AI83" i="12"/>
  <c r="O95" i="12"/>
  <c r="H90" i="12"/>
  <c r="R87" i="12"/>
  <c r="R84" i="12"/>
  <c r="K82" i="12"/>
  <c r="AE96" i="12"/>
  <c r="H91" i="12"/>
  <c r="Q87" i="12"/>
  <c r="P84" i="12"/>
  <c r="J82" i="12"/>
  <c r="Z107" i="12"/>
  <c r="AD105" i="12"/>
  <c r="AH103" i="12"/>
  <c r="AL101" i="12"/>
  <c r="L100" i="12"/>
  <c r="K108" i="12"/>
  <c r="G106" i="12"/>
  <c r="X107" i="12"/>
  <c r="AJ105" i="12"/>
  <c r="AF103" i="12"/>
  <c r="F102" i="12"/>
  <c r="J100" i="12"/>
  <c r="N98" i="12"/>
  <c r="R96" i="12"/>
  <c r="AG108" i="12"/>
  <c r="AK106" i="12"/>
  <c r="AG104" i="12"/>
  <c r="AK102" i="12"/>
  <c r="AL107" i="12"/>
  <c r="L106" i="12"/>
  <c r="H104" i="12"/>
  <c r="T102" i="12"/>
  <c r="P100" i="12"/>
  <c r="AB98" i="12"/>
  <c r="AE108" i="12"/>
  <c r="AL108" i="12"/>
  <c r="L107" i="12"/>
  <c r="H105" i="12"/>
  <c r="T103" i="12"/>
  <c r="P101" i="12"/>
  <c r="AB99" i="12"/>
  <c r="X97" i="12"/>
  <c r="AJ95" i="12"/>
  <c r="W105" i="12"/>
  <c r="AI100" i="12"/>
  <c r="U97" i="12"/>
  <c r="F95" i="12"/>
  <c r="M93" i="12"/>
  <c r="I91" i="12"/>
  <c r="O104" i="12"/>
  <c r="Q100" i="12"/>
  <c r="I103" i="12"/>
  <c r="AE98" i="12"/>
  <c r="Y95" i="12"/>
  <c r="K93" i="12"/>
  <c r="G91" i="12"/>
  <c r="K89" i="12"/>
  <c r="G87" i="12"/>
  <c r="K85" i="12"/>
  <c r="U108" i="12"/>
  <c r="G101" i="12"/>
  <c r="O97" i="12"/>
  <c r="T94" i="12"/>
  <c r="P92" i="12"/>
  <c r="AB90" i="12"/>
  <c r="X88" i="12"/>
  <c r="AJ86" i="12"/>
  <c r="G104" i="12"/>
  <c r="Q99" i="12"/>
  <c r="V95" i="12"/>
  <c r="I93" i="12"/>
  <c r="M91" i="12"/>
  <c r="AA104" i="12"/>
  <c r="O99" i="12"/>
  <c r="O102" i="12"/>
  <c r="X98" i="12"/>
  <c r="AD95" i="12"/>
  <c r="W93" i="12"/>
  <c r="AA91" i="12"/>
  <c r="W89" i="12"/>
  <c r="AA87" i="12"/>
  <c r="W85" i="12"/>
  <c r="AA83" i="12"/>
  <c r="X94" i="12"/>
  <c r="AF89" i="12"/>
  <c r="AE86" i="12"/>
  <c r="G84" i="12"/>
  <c r="AG81" i="12"/>
  <c r="R107" i="12"/>
  <c r="V105" i="12"/>
  <c r="Z103" i="12"/>
  <c r="AD101" i="12"/>
  <c r="AH99" i="12"/>
  <c r="AG107" i="12"/>
  <c r="AK105" i="12"/>
  <c r="P107" i="12"/>
  <c r="AB105" i="12"/>
  <c r="X103" i="12"/>
  <c r="AJ101" i="12"/>
  <c r="AF99" i="12"/>
  <c r="F98" i="12"/>
  <c r="J96" i="12"/>
  <c r="Y108" i="12"/>
  <c r="AC106" i="12"/>
  <c r="Y104" i="12"/>
  <c r="AC102" i="12"/>
  <c r="AD107" i="12"/>
  <c r="AH105" i="12"/>
  <c r="AL103" i="12"/>
  <c r="L102" i="12"/>
  <c r="H100" i="12"/>
  <c r="T98" i="12"/>
  <c r="W108" i="12"/>
  <c r="AD108" i="12"/>
  <c r="AH106" i="12"/>
  <c r="AL104" i="12"/>
  <c r="L103" i="12"/>
  <c r="H101" i="12"/>
  <c r="T99" i="12"/>
  <c r="P97" i="12"/>
  <c r="AB95" i="12"/>
  <c r="S104" i="12"/>
  <c r="S100" i="12"/>
  <c r="G97" i="12"/>
  <c r="AG94" i="12"/>
  <c r="AI92" i="12"/>
  <c r="AE90" i="12"/>
  <c r="AG103" i="12"/>
  <c r="W99" i="12"/>
  <c r="Y102" i="12"/>
  <c r="Q98" i="12"/>
  <c r="N95" i="12"/>
  <c r="AG92" i="12"/>
  <c r="AK90" i="12"/>
  <c r="AG88" i="12"/>
  <c r="AK86" i="12"/>
  <c r="AG84" i="12"/>
  <c r="AI106" i="12"/>
  <c r="AC100" i="12"/>
  <c r="AB96" i="12"/>
  <c r="L94" i="12"/>
  <c r="H92" i="12"/>
  <c r="T90" i="12"/>
  <c r="P88" i="12"/>
  <c r="AB86" i="12"/>
  <c r="Y103" i="12"/>
  <c r="AA98" i="12"/>
  <c r="K95" i="12"/>
  <c r="AE92" i="12"/>
  <c r="AI90" i="12"/>
  <c r="U103" i="12"/>
  <c r="AI107" i="12"/>
  <c r="AG101" i="12"/>
  <c r="K98" i="12"/>
  <c r="S95" i="12"/>
  <c r="O93" i="12"/>
  <c r="S91" i="12"/>
  <c r="O89" i="12"/>
  <c r="S87" i="12"/>
  <c r="O85" i="12"/>
  <c r="S83" i="12"/>
  <c r="T93" i="12"/>
  <c r="T89" i="12"/>
  <c r="R86" i="12"/>
  <c r="AH83" i="12"/>
  <c r="Y81" i="12"/>
  <c r="V94" i="12"/>
  <c r="G90" i="12"/>
  <c r="P86" i="12"/>
  <c r="AG83" i="12"/>
  <c r="X81" i="12"/>
  <c r="G95" i="12"/>
  <c r="F90" i="12"/>
  <c r="J107" i="12"/>
  <c r="N105" i="12"/>
  <c r="R103" i="12"/>
  <c r="V101" i="12"/>
  <c r="Z99" i="12"/>
  <c r="Y107" i="12"/>
  <c r="AC105" i="12"/>
  <c r="H107" i="12"/>
  <c r="T105" i="12"/>
  <c r="P103" i="12"/>
  <c r="AB101" i="12"/>
  <c r="X99" i="12"/>
  <c r="AJ97" i="12"/>
  <c r="AF95" i="12"/>
  <c r="Q108" i="12"/>
  <c r="U106" i="12"/>
  <c r="Q104" i="12"/>
  <c r="U102" i="12"/>
  <c r="V107" i="12"/>
  <c r="Z105" i="12"/>
  <c r="AD103" i="12"/>
  <c r="AH101" i="12"/>
  <c r="AL99" i="12"/>
  <c r="L98" i="12"/>
  <c r="O108" i="12"/>
  <c r="V108" i="12"/>
  <c r="Z106" i="12"/>
  <c r="AD104" i="12"/>
  <c r="AH102" i="12"/>
  <c r="AL100" i="12"/>
  <c r="L99" i="12"/>
  <c r="H97" i="12"/>
  <c r="T95" i="12"/>
  <c r="AI103" i="12"/>
  <c r="Y99" i="12"/>
  <c r="AG96" i="12"/>
  <c r="W94" i="12"/>
  <c r="AA92" i="12"/>
  <c r="W90" i="12"/>
  <c r="K103" i="12"/>
  <c r="AC108" i="12"/>
  <c r="Y101" i="12"/>
  <c r="AD97" i="12"/>
  <c r="AE94" i="12"/>
  <c r="Y92" i="12"/>
  <c r="AC90" i="12"/>
  <c r="Y88" i="12"/>
  <c r="AC86" i="12"/>
  <c r="Y84" i="12"/>
  <c r="O105" i="12"/>
  <c r="M100" i="12"/>
  <c r="Q96" i="12"/>
  <c r="AH93" i="12"/>
  <c r="AL91" i="12"/>
  <c r="L90" i="12"/>
  <c r="H88" i="12"/>
  <c r="T86" i="12"/>
  <c r="S102" i="12"/>
  <c r="O98" i="12"/>
  <c r="AB94" i="12"/>
  <c r="W92" i="12"/>
  <c r="AA90" i="12"/>
  <c r="Q102" i="12"/>
  <c r="Y106" i="12"/>
  <c r="Q101" i="12"/>
  <c r="AK97" i="12"/>
  <c r="I95" i="12"/>
  <c r="G93" i="12"/>
  <c r="K91" i="12"/>
  <c r="G89" i="12"/>
  <c r="K87" i="12"/>
  <c r="G85" i="12"/>
  <c r="U104" i="12"/>
  <c r="AJ92" i="12"/>
  <c r="F89" i="12"/>
  <c r="F86" i="12"/>
  <c r="X83" i="12"/>
  <c r="Q81" i="12"/>
  <c r="AL93" i="12"/>
  <c r="AD89" i="12"/>
  <c r="AF85" i="12"/>
  <c r="V83" i="12"/>
  <c r="P81" i="12"/>
  <c r="AJ108" i="12"/>
  <c r="AF106" i="12"/>
  <c r="F105" i="12"/>
  <c r="J103" i="12"/>
  <c r="N101" i="12"/>
  <c r="R99" i="12"/>
  <c r="Q107" i="12"/>
  <c r="AH108" i="12"/>
  <c r="AL106" i="12"/>
  <c r="L105" i="12"/>
  <c r="H103" i="12"/>
  <c r="T101" i="12"/>
  <c r="P99" i="12"/>
  <c r="AB97" i="12"/>
  <c r="X95" i="12"/>
  <c r="I108" i="12"/>
  <c r="M106" i="12"/>
  <c r="I104" i="12"/>
  <c r="M102" i="12"/>
  <c r="N107" i="12"/>
  <c r="R105" i="12"/>
  <c r="V103" i="12"/>
  <c r="Z101" i="12"/>
  <c r="AD99" i="12"/>
  <c r="AH97" i="12"/>
  <c r="G108" i="12"/>
  <c r="N108" i="12"/>
  <c r="R106" i="12"/>
  <c r="V104" i="12"/>
  <c r="Z102" i="12"/>
  <c r="AD100" i="12"/>
  <c r="AH98" i="12"/>
  <c r="AL96" i="12"/>
  <c r="L95" i="12"/>
  <c r="M103" i="12"/>
  <c r="I99" i="12"/>
  <c r="U96" i="12"/>
  <c r="O94" i="12"/>
  <c r="S92" i="12"/>
  <c r="AK108" i="12"/>
  <c r="AA102" i="12"/>
  <c r="I106" i="12"/>
  <c r="I101" i="12"/>
  <c r="Q97" i="12"/>
  <c r="U94" i="12"/>
  <c r="Q92" i="12"/>
  <c r="U90" i="12"/>
  <c r="Q88" i="12"/>
  <c r="U86" i="12"/>
  <c r="Q84" i="12"/>
  <c r="AE104" i="12"/>
  <c r="AI99" i="12"/>
  <c r="G96" i="12"/>
  <c r="Z93" i="12"/>
  <c r="AD91" i="12"/>
  <c r="AH89" i="12"/>
  <c r="AL87" i="12"/>
  <c r="L86" i="12"/>
  <c r="AK101" i="12"/>
  <c r="AA97" i="12"/>
  <c r="S94" i="12"/>
  <c r="O92" i="12"/>
  <c r="S90" i="12"/>
  <c r="AI101" i="12"/>
  <c r="AE105" i="12"/>
  <c r="W100" i="12"/>
  <c r="W97" i="12"/>
  <c r="AJ94" i="12"/>
  <c r="AK92" i="12"/>
  <c r="AG90" i="12"/>
  <c r="AK88" i="12"/>
  <c r="AG86" i="12"/>
  <c r="AK84" i="12"/>
  <c r="U100" i="12"/>
  <c r="N92" i="12"/>
  <c r="AE88" i="12"/>
  <c r="AG85" i="12"/>
  <c r="M83" i="12"/>
  <c r="T108" i="12"/>
  <c r="P106" i="12"/>
  <c r="AB104" i="12"/>
  <c r="X102" i="12"/>
  <c r="AJ100" i="12"/>
  <c r="AI108" i="12"/>
  <c r="AE106" i="12"/>
  <c r="R108" i="12"/>
  <c r="V106" i="12"/>
  <c r="Z104" i="12"/>
  <c r="AD102" i="12"/>
  <c r="AH100" i="12"/>
  <c r="AL98" i="12"/>
  <c r="L97" i="12"/>
  <c r="H95" i="12"/>
  <c r="W107" i="12"/>
  <c r="AA105" i="12"/>
  <c r="W103" i="12"/>
  <c r="X108" i="12"/>
  <c r="AJ106" i="12"/>
  <c r="AF104" i="12"/>
  <c r="F103" i="12"/>
  <c r="J101" i="12"/>
  <c r="N99" i="12"/>
  <c r="R97" i="12"/>
  <c r="AC107" i="12"/>
  <c r="AJ107" i="12"/>
  <c r="AF105" i="12"/>
  <c r="F104" i="12"/>
  <c r="J102" i="12"/>
  <c r="N100" i="12"/>
  <c r="R98" i="12"/>
  <c r="V96" i="12"/>
  <c r="Z94" i="12"/>
  <c r="I102" i="12"/>
  <c r="U98" i="12"/>
  <c r="AL95" i="12"/>
  <c r="AK93" i="12"/>
  <c r="AG91" i="12"/>
  <c r="K106" i="12"/>
  <c r="AA101" i="12"/>
  <c r="AI104" i="12"/>
  <c r="O100" i="12"/>
  <c r="S96" i="12"/>
  <c r="AI93" i="12"/>
  <c r="AE91" i="12"/>
  <c r="AI89" i="12"/>
  <c r="AE87" i="12"/>
  <c r="AI85" i="12"/>
  <c r="AE83" i="12"/>
  <c r="AA103" i="12"/>
  <c r="AC98" i="12"/>
  <c r="W95" i="12"/>
  <c r="J93" i="12"/>
  <c r="N91" i="12"/>
  <c r="R89" i="12"/>
  <c r="V87" i="12"/>
  <c r="AG106" i="12"/>
  <c r="AA100" i="12"/>
  <c r="AA96" i="12"/>
  <c r="AG93" i="12"/>
  <c r="AK91" i="12"/>
  <c r="AA106" i="12"/>
  <c r="Y100" i="12"/>
  <c r="W104" i="12"/>
  <c r="AC99" i="12"/>
  <c r="AJ96" i="12"/>
  <c r="Q94" i="12"/>
  <c r="U92" i="12"/>
  <c r="Q90" i="12"/>
  <c r="U88" i="12"/>
  <c r="Q86" i="12"/>
  <c r="U84" i="12"/>
  <c r="AE97" i="12"/>
  <c r="J91" i="12"/>
  <c r="F88" i="12"/>
  <c r="L85" i="12"/>
  <c r="AA82" i="12"/>
  <c r="W98" i="12"/>
  <c r="L92" i="12"/>
  <c r="R88" i="12"/>
  <c r="AL84" i="12"/>
  <c r="Z82" i="12"/>
  <c r="S98" i="12"/>
  <c r="AD92" i="12"/>
  <c r="W80" i="12"/>
  <c r="O80" i="12"/>
  <c r="J81" i="12"/>
  <c r="F83" i="12"/>
  <c r="X85" i="12"/>
  <c r="G88" i="12"/>
  <c r="L91" i="12"/>
  <c r="I96" i="12"/>
  <c r="AG80" i="12"/>
  <c r="AK82" i="12"/>
  <c r="N85" i="12"/>
  <c r="AH87" i="12"/>
  <c r="AF90" i="12"/>
  <c r="L96" i="12"/>
  <c r="AB81" i="12"/>
  <c r="Q83" i="12"/>
  <c r="AK85" i="12"/>
  <c r="W88" i="12"/>
  <c r="V92" i="12"/>
  <c r="G98" i="12"/>
  <c r="O82" i="12"/>
  <c r="AH84" i="12"/>
  <c r="L87" i="12"/>
  <c r="AL89" i="12"/>
  <c r="AK94" i="12"/>
  <c r="L80" i="12"/>
  <c r="AL81" i="12"/>
  <c r="N84" i="12"/>
  <c r="M87" i="12"/>
  <c r="F92" i="12"/>
  <c r="M98" i="12"/>
  <c r="O81" i="12"/>
  <c r="U83" i="12"/>
  <c r="O86" i="12"/>
  <c r="V90" i="12"/>
  <c r="V97" i="12"/>
  <c r="AA84" i="12"/>
  <c r="AB91" i="12"/>
  <c r="AI82" i="12"/>
  <c r="Y98" i="12"/>
  <c r="Y90" i="12"/>
  <c r="G100" i="12"/>
  <c r="G92" i="12"/>
  <c r="M108" i="12"/>
  <c r="R93" i="12"/>
  <c r="I84" i="12"/>
  <c r="I92" i="12"/>
  <c r="Q105" i="12"/>
  <c r="G94" i="12"/>
  <c r="AH94" i="12"/>
  <c r="R102" i="12"/>
  <c r="AK107" i="12"/>
  <c r="N103" i="12"/>
  <c r="AE103" i="12"/>
  <c r="T97" i="12"/>
  <c r="AH104" i="12"/>
  <c r="J99" i="12"/>
  <c r="X106" i="12"/>
  <c r="J80" i="12"/>
  <c r="AE80" i="12"/>
  <c r="R81" i="12"/>
  <c r="N83" i="12"/>
  <c r="AH85" i="12"/>
  <c r="T88" i="12"/>
  <c r="AH91" i="12"/>
  <c r="AK96" i="12"/>
  <c r="K81" i="12"/>
  <c r="G83" i="12"/>
  <c r="Y85" i="12"/>
  <c r="J88" i="12"/>
  <c r="P91" i="12"/>
  <c r="F97" i="12"/>
  <c r="AJ81" i="12"/>
  <c r="AB83" i="12"/>
  <c r="J86" i="12"/>
  <c r="AJ88" i="12"/>
  <c r="F93" i="12"/>
  <c r="AE101" i="12"/>
  <c r="W82" i="12"/>
  <c r="F85" i="12"/>
  <c r="Y87" i="12"/>
  <c r="P90" i="12"/>
  <c r="AC95" i="12"/>
  <c r="T80" i="12"/>
  <c r="H82" i="12"/>
  <c r="X84" i="12"/>
  <c r="Z87" i="12"/>
  <c r="AB92" i="12"/>
  <c r="K99" i="12"/>
  <c r="W81" i="12"/>
  <c r="AF83" i="12"/>
  <c r="AA86" i="12"/>
  <c r="Z91" i="12"/>
  <c r="AA99" i="12"/>
  <c r="J85" i="12"/>
  <c r="AH92" i="12"/>
  <c r="AB84" i="12"/>
  <c r="M84" i="12"/>
  <c r="M92" i="12"/>
  <c r="S103" i="12"/>
  <c r="Y93" i="12"/>
  <c r="N87" i="12"/>
  <c r="M95" i="12"/>
  <c r="AA85" i="12"/>
  <c r="AA93" i="12"/>
  <c r="K101" i="12"/>
  <c r="AA95" i="12"/>
  <c r="N96" i="12"/>
  <c r="AJ103" i="12"/>
  <c r="J97" i="12"/>
  <c r="X104" i="12"/>
  <c r="S105" i="12"/>
  <c r="AD98" i="12"/>
  <c r="N106" i="12"/>
  <c r="AB100" i="12"/>
  <c r="L108" i="12"/>
  <c r="S80" i="12"/>
  <c r="Z80" i="12"/>
  <c r="R80" i="12"/>
  <c r="Z81" i="12"/>
  <c r="Y83" i="12"/>
  <c r="G86" i="12"/>
  <c r="AH88" i="12"/>
  <c r="R92" i="12"/>
  <c r="AI97" i="12"/>
  <c r="S81" i="12"/>
  <c r="P83" i="12"/>
  <c r="AJ85" i="12"/>
  <c r="V88" i="12"/>
  <c r="AJ91" i="12"/>
  <c r="AL97" i="12"/>
  <c r="F82" i="12"/>
  <c r="AL83" i="12"/>
  <c r="W86" i="12"/>
  <c r="L89" i="12"/>
  <c r="AB93" i="12"/>
  <c r="S106" i="12"/>
  <c r="AE82" i="12"/>
  <c r="Q85" i="12"/>
  <c r="AK87" i="12"/>
  <c r="AL90" i="12"/>
  <c r="T96" i="12"/>
  <c r="AB80" i="12"/>
  <c r="P82" i="12"/>
  <c r="AI84" i="12"/>
  <c r="N88" i="12"/>
  <c r="L93" i="12"/>
  <c r="AG102" i="12"/>
  <c r="AE81" i="12"/>
  <c r="O84" i="12"/>
  <c r="P87" i="12"/>
  <c r="J92" i="12"/>
  <c r="Q103" i="12"/>
  <c r="U85" i="12"/>
  <c r="P93" i="12"/>
  <c r="V85" i="12"/>
  <c r="AC84" i="12"/>
  <c r="AC92" i="12"/>
  <c r="G105" i="12"/>
  <c r="K94" i="12"/>
  <c r="AD87" i="12"/>
  <c r="AH95" i="12"/>
  <c r="M86" i="12"/>
  <c r="M94" i="12"/>
  <c r="G102" i="12"/>
  <c r="K96" i="12"/>
  <c r="AD96" i="12"/>
  <c r="N104" i="12"/>
  <c r="Z97" i="12"/>
  <c r="J105" i="12"/>
  <c r="AI105" i="12"/>
  <c r="H99" i="12"/>
  <c r="AD106" i="12"/>
  <c r="F101" i="12"/>
  <c r="AB108" i="12"/>
  <c r="AF101" i="12"/>
  <c r="AI80" i="12"/>
  <c r="K80" i="12"/>
  <c r="AH80" i="12"/>
  <c r="AH81" i="12"/>
  <c r="AJ83" i="12"/>
  <c r="S86" i="12"/>
  <c r="H89" i="12"/>
  <c r="AL92" i="12"/>
  <c r="AF98" i="12"/>
  <c r="AA81" i="12"/>
  <c r="Z83" i="12"/>
  <c r="H86" i="12"/>
  <c r="AI88" i="12"/>
  <c r="T92" i="12"/>
  <c r="AI98" i="12"/>
  <c r="N82" i="12"/>
  <c r="K84" i="12"/>
  <c r="AI86" i="12"/>
  <c r="X89" i="12"/>
  <c r="J94" i="12"/>
  <c r="M81" i="12"/>
  <c r="I83" i="12"/>
  <c r="AB85" i="12"/>
  <c r="L88" i="12"/>
  <c r="T91" i="12"/>
  <c r="M97" i="12"/>
  <c r="AJ80" i="12"/>
  <c r="X82" i="12"/>
  <c r="H85" i="12"/>
  <c r="AA88" i="12"/>
  <c r="AF93" i="12"/>
  <c r="M80" i="12"/>
  <c r="I82" i="12"/>
  <c r="Z84" i="12"/>
  <c r="AB87" i="12"/>
  <c r="N93" i="12"/>
  <c r="AF81" i="12"/>
  <c r="AD86" i="12"/>
  <c r="J95" i="12"/>
  <c r="AF87" i="12"/>
  <c r="I86" i="12"/>
  <c r="I94" i="12"/>
  <c r="I100" i="12"/>
  <c r="P96" i="12"/>
  <c r="J89" i="12"/>
  <c r="P98" i="12"/>
  <c r="W87" i="12"/>
  <c r="H96" i="12"/>
  <c r="U105" i="12"/>
  <c r="H98" i="12"/>
  <c r="J98" i="12"/>
  <c r="X105" i="12"/>
  <c r="F99" i="12"/>
  <c r="AB106" i="12"/>
  <c r="O107" i="12"/>
  <c r="Z100" i="12"/>
  <c r="J108" i="12"/>
  <c r="P102" i="12"/>
  <c r="F80" i="12"/>
  <c r="AA80" i="12"/>
  <c r="H80" i="12"/>
  <c r="L82" i="12"/>
  <c r="H84" i="12"/>
  <c r="AF86" i="12"/>
  <c r="U89" i="12"/>
  <c r="V93" i="12"/>
  <c r="AK100" i="12"/>
  <c r="AI81" i="12"/>
  <c r="AK83" i="12"/>
  <c r="V86" i="12"/>
  <c r="I89" i="12"/>
  <c r="X93" i="12"/>
  <c r="O101" i="12"/>
  <c r="V82" i="12"/>
  <c r="V84" i="12"/>
  <c r="J87" i="12"/>
  <c r="AK89" i="12"/>
  <c r="AI94" i="12"/>
  <c r="U81" i="12"/>
  <c r="R83" i="12"/>
  <c r="AL85" i="12"/>
  <c r="Z88" i="12"/>
  <c r="Z92" i="12"/>
  <c r="I98" i="12"/>
  <c r="F81" i="12"/>
  <c r="AF82" i="12"/>
  <c r="R85" i="12"/>
  <c r="N89" i="12"/>
  <c r="P94" i="12"/>
  <c r="U80" i="12"/>
  <c r="Q82" i="12"/>
  <c r="AJ84" i="12"/>
  <c r="O88" i="12"/>
  <c r="AJ93" i="12"/>
  <c r="R82" i="12"/>
  <c r="AC87" i="12"/>
  <c r="Y97" i="12"/>
  <c r="S88" i="12"/>
  <c r="Y86" i="12"/>
  <c r="Y94" i="12"/>
  <c r="S101" i="12"/>
  <c r="N97" i="12"/>
  <c r="Z89" i="12"/>
  <c r="S99" i="12"/>
  <c r="I88" i="12"/>
  <c r="AC96" i="12"/>
  <c r="K107" i="12"/>
  <c r="AG98" i="12"/>
  <c r="Z98" i="12"/>
  <c r="J106" i="12"/>
  <c r="V99" i="12"/>
  <c r="F107" i="12"/>
  <c r="AE107" i="12"/>
  <c r="L101" i="12"/>
  <c r="Z108" i="12"/>
  <c r="AF102" i="12"/>
  <c r="V80" i="12"/>
  <c r="N80" i="12"/>
  <c r="P80" i="12"/>
  <c r="T82" i="12"/>
  <c r="S84" i="12"/>
  <c r="H87" i="12"/>
  <c r="AG89" i="12"/>
  <c r="F94" i="12"/>
  <c r="I80" i="12"/>
  <c r="M82" i="12"/>
  <c r="J84" i="12"/>
  <c r="AH86" i="12"/>
  <c r="V89" i="12"/>
  <c r="H94" i="12"/>
  <c r="Y105" i="12"/>
  <c r="AD82" i="12"/>
  <c r="AF84" i="12"/>
  <c r="X87" i="12"/>
  <c r="O90" i="12"/>
  <c r="Z95" i="12"/>
  <c r="AC81" i="12"/>
  <c r="AC83" i="12"/>
  <c r="K86" i="12"/>
  <c r="AL88" i="12"/>
  <c r="H93" i="12"/>
  <c r="G99" i="12"/>
  <c r="N81" i="12"/>
  <c r="J83" i="12"/>
  <c r="AC85" i="12"/>
  <c r="AB89" i="12"/>
  <c r="AE95" i="12"/>
  <c r="AC80" i="12"/>
  <c r="Y82" i="12"/>
  <c r="I85" i="12"/>
  <c r="AB88" i="12"/>
  <c r="R94" i="12"/>
  <c r="AH82" i="12"/>
  <c r="AD88" i="12"/>
  <c r="AK103" i="12"/>
  <c r="Z90" i="12"/>
  <c r="M88" i="12"/>
  <c r="X96" i="12"/>
  <c r="AG105" i="12"/>
  <c r="K100" i="12"/>
  <c r="F91" i="12"/>
  <c r="W102" i="12"/>
  <c r="AA89" i="12"/>
  <c r="AK99" i="12"/>
  <c r="Y91" i="12"/>
  <c r="AC101" i="12"/>
  <c r="F100" i="12"/>
  <c r="AB107" i="12"/>
  <c r="AF100" i="12"/>
  <c r="P108" i="12"/>
  <c r="AL94" i="12"/>
  <c r="V102" i="12"/>
  <c r="W106" i="12"/>
  <c r="T104" i="12"/>
  <c r="AL80" i="12"/>
  <c r="AD80" i="12"/>
  <c r="X80" i="12"/>
  <c r="AB82" i="12"/>
  <c r="AD84" i="12"/>
  <c r="T87" i="12"/>
  <c r="J90" i="12"/>
  <c r="AA94" i="12"/>
  <c r="Q80" i="12"/>
  <c r="U82" i="12"/>
  <c r="T84" i="12"/>
  <c r="I87" i="12"/>
  <c r="AJ89" i="12"/>
  <c r="AF94" i="12"/>
  <c r="L81" i="12"/>
  <c r="AL82" i="12"/>
  <c r="P85" i="12"/>
  <c r="AJ87" i="12"/>
  <c r="AH90" i="12"/>
  <c r="O96" i="12"/>
  <c r="AK81" i="12"/>
  <c r="L84" i="12"/>
  <c r="X86" i="12"/>
  <c r="M89" i="12"/>
  <c r="AD93" i="12"/>
  <c r="K102" i="12"/>
  <c r="V81" i="12"/>
  <c r="T83" i="12"/>
  <c r="N86" i="12"/>
  <c r="R90" i="12"/>
  <c r="W96" i="12"/>
  <c r="AK80" i="12"/>
  <c r="AG82" i="12"/>
  <c r="T85" i="12"/>
  <c r="P89" i="12"/>
  <c r="AK95" i="12"/>
  <c r="L83" i="12"/>
  <c r="Q89" i="12"/>
  <c r="I81" i="12"/>
  <c r="AF91" i="12"/>
  <c r="AC88" i="12"/>
  <c r="K97" i="12"/>
  <c r="K90" i="12"/>
  <c r="U101" i="12"/>
  <c r="V91" i="12"/>
  <c r="K104" i="12"/>
  <c r="M90" i="12"/>
  <c r="AE100" i="12"/>
  <c r="K92" i="12"/>
  <c r="AE102" i="12"/>
  <c r="V100" i="12"/>
  <c r="F108" i="12"/>
  <c r="R101" i="12"/>
  <c r="AF108" i="12"/>
  <c r="P95" i="12"/>
  <c r="AL102" i="12"/>
  <c r="I107" i="12"/>
  <c r="AJ104" i="12"/>
  <c r="AC54" i="12"/>
  <c r="Y43" i="8" s="1"/>
  <c r="P74" i="11"/>
  <c r="L31" i="8" s="1"/>
  <c r="K69" i="11"/>
  <c r="G26" i="8" s="1"/>
  <c r="I41" i="12"/>
  <c r="Y41" i="12"/>
  <c r="M41" i="12"/>
  <c r="AK62" i="12"/>
  <c r="AG51" i="8" s="1"/>
  <c r="AG67" i="12"/>
  <c r="AC56" i="8" s="1"/>
  <c r="AA56" i="12"/>
  <c r="W45" i="8" s="1"/>
  <c r="AF74" i="11"/>
  <c r="AB31" i="8" s="1"/>
  <c r="K56" i="12"/>
  <c r="G45" i="8" s="1"/>
  <c r="U61" i="12"/>
  <c r="Q50" i="8" s="1"/>
  <c r="AG71" i="12"/>
  <c r="AC60" i="8" s="1"/>
  <c r="X49" i="11"/>
  <c r="T6" i="8" s="1"/>
  <c r="AG49" i="12"/>
  <c r="AC38" i="8" s="1"/>
  <c r="Q41" i="12"/>
  <c r="X73" i="11"/>
  <c r="T30" i="8" s="1"/>
  <c r="J74" i="12"/>
  <c r="F63" i="8" s="1"/>
  <c r="AG41" i="11"/>
  <c r="AA41" i="11"/>
  <c r="J41" i="11"/>
  <c r="N73" i="12"/>
  <c r="J62" i="8" s="1"/>
  <c r="AG59" i="12"/>
  <c r="AC48" i="8" s="1"/>
  <c r="AG69" i="12"/>
  <c r="AC58" i="8" s="1"/>
  <c r="AG57" i="12"/>
  <c r="AC46" i="8" s="1"/>
  <c r="AG73" i="12"/>
  <c r="AC62" i="8" s="1"/>
  <c r="AG65" i="12"/>
  <c r="AC54" i="8" s="1"/>
  <c r="AG61" i="12"/>
  <c r="AC50" i="8" s="1"/>
  <c r="AE57" i="12"/>
  <c r="AA46" i="8" s="1"/>
  <c r="Z73" i="12"/>
  <c r="V62" i="8" s="1"/>
  <c r="I66" i="12"/>
  <c r="E55" i="8" s="1"/>
  <c r="H59" i="12"/>
  <c r="D48" i="8" s="1"/>
  <c r="T59" i="12"/>
  <c r="P48" i="8" s="1"/>
  <c r="AB41" i="12"/>
  <c r="AG63" i="12"/>
  <c r="AC52" i="8" s="1"/>
  <c r="P64" i="11"/>
  <c r="L21" i="8" s="1"/>
  <c r="P63" i="11"/>
  <c r="L20" i="8" s="1"/>
  <c r="P53" i="11"/>
  <c r="L10" i="8" s="1"/>
  <c r="P57" i="11"/>
  <c r="L14" i="8" s="1"/>
  <c r="P62" i="11"/>
  <c r="L19" i="8" s="1"/>
  <c r="P58" i="11"/>
  <c r="L15" i="8" s="1"/>
  <c r="P69" i="11"/>
  <c r="L26" i="8" s="1"/>
  <c r="P70" i="11"/>
  <c r="L27" i="8" s="1"/>
  <c r="P67" i="11"/>
  <c r="L24" i="8" s="1"/>
  <c r="Y41" i="11"/>
  <c r="P59" i="11"/>
  <c r="L16" i="8" s="1"/>
  <c r="P47" i="11"/>
  <c r="L4" i="8" s="1"/>
  <c r="AL41" i="12"/>
  <c r="V61" i="12"/>
  <c r="R50" i="8" s="1"/>
  <c r="AJ41" i="12"/>
  <c r="H71" i="11"/>
  <c r="D28" i="8" s="1"/>
  <c r="AF69" i="12"/>
  <c r="AB58" i="8" s="1"/>
  <c r="AB73" i="12"/>
  <c r="X62" i="8" s="1"/>
  <c r="U56" i="12"/>
  <c r="Q45" i="8" s="1"/>
  <c r="W68" i="12"/>
  <c r="S57" i="8" s="1"/>
  <c r="AJ67" i="12"/>
  <c r="AF56" i="8" s="1"/>
  <c r="J60" i="12"/>
  <c r="F49" i="8" s="1"/>
  <c r="L41" i="12"/>
  <c r="F62" i="12"/>
  <c r="AI57" i="11"/>
  <c r="AE14" i="8" s="1"/>
  <c r="F41" i="11"/>
  <c r="O65" i="12"/>
  <c r="K54" i="8" s="1"/>
  <c r="Q73" i="12"/>
  <c r="M62" i="8" s="1"/>
  <c r="R59" i="12"/>
  <c r="N48" i="8" s="1"/>
  <c r="AD57" i="11"/>
  <c r="Z14" i="8" s="1"/>
  <c r="X64" i="11"/>
  <c r="T21" i="8" s="1"/>
  <c r="AC60" i="12"/>
  <c r="Y49" i="8" s="1"/>
  <c r="AJ71" i="12"/>
  <c r="AF60" i="8" s="1"/>
  <c r="V66" i="12"/>
  <c r="R55" i="8" s="1"/>
  <c r="X41" i="11"/>
  <c r="M51" i="11"/>
  <c r="I8" i="8" s="1"/>
  <c r="AJ57" i="12"/>
  <c r="AF46" i="8" s="1"/>
  <c r="T41" i="12"/>
  <c r="AD65" i="12"/>
  <c r="Z54" i="8" s="1"/>
  <c r="H71" i="12"/>
  <c r="D60" i="8" s="1"/>
  <c r="AJ65" i="12"/>
  <c r="AF54" i="8" s="1"/>
  <c r="V59" i="12"/>
  <c r="R48" i="8" s="1"/>
  <c r="AJ61" i="12"/>
  <c r="AF50" i="8" s="1"/>
  <c r="AJ69" i="12"/>
  <c r="AF58" i="8" s="1"/>
  <c r="L70" i="12"/>
  <c r="H59" i="8" s="1"/>
  <c r="F56" i="11"/>
  <c r="AJ73" i="12"/>
  <c r="AF62" i="8" s="1"/>
  <c r="V63" i="12"/>
  <c r="R52" i="8" s="1"/>
  <c r="AJ59" i="12"/>
  <c r="AF48" i="8" s="1"/>
  <c r="Q74" i="12"/>
  <c r="M63" i="8" s="1"/>
  <c r="X69" i="11"/>
  <c r="T26" i="8" s="1"/>
  <c r="AI41" i="12"/>
  <c r="F56" i="12"/>
  <c r="G59" i="12"/>
  <c r="C48" i="8" s="1"/>
  <c r="M56" i="12"/>
  <c r="I45" i="8" s="1"/>
  <c r="AJ68" i="12"/>
  <c r="AF57" i="8" s="1"/>
  <c r="AA41" i="12"/>
  <c r="AJ63" i="12"/>
  <c r="AF52" i="8" s="1"/>
  <c r="AB61" i="12"/>
  <c r="X50" i="8" s="1"/>
  <c r="AL71" i="12"/>
  <c r="AH60" i="8" s="1"/>
  <c r="J57" i="12"/>
  <c r="F46" i="8" s="1"/>
  <c r="Q49" i="11"/>
  <c r="M6" i="8" s="1"/>
  <c r="P70" i="12"/>
  <c r="L59" i="8" s="1"/>
  <c r="R69" i="12"/>
  <c r="N58" i="8" s="1"/>
  <c r="L67" i="12"/>
  <c r="H56" i="8" s="1"/>
  <c r="M65" i="12"/>
  <c r="I54" i="8" s="1"/>
  <c r="G63" i="12"/>
  <c r="C52" i="8" s="1"/>
  <c r="N57" i="12"/>
  <c r="J46" i="8" s="1"/>
  <c r="L53" i="12"/>
  <c r="H42" i="8" s="1"/>
  <c r="X69" i="12"/>
  <c r="T58" i="8" s="1"/>
  <c r="AE59" i="12"/>
  <c r="AA48" i="8" s="1"/>
  <c r="H48" i="12"/>
  <c r="D37" i="8" s="1"/>
  <c r="U73" i="12"/>
  <c r="Q62" i="8" s="1"/>
  <c r="I71" i="12"/>
  <c r="E60" i="8" s="1"/>
  <c r="V69" i="12"/>
  <c r="R58" i="8" s="1"/>
  <c r="U67" i="12"/>
  <c r="Q56" i="8" s="1"/>
  <c r="AK65" i="12"/>
  <c r="AG54" i="8" s="1"/>
  <c r="I63" i="12"/>
  <c r="E52" i="8" s="1"/>
  <c r="K61" i="12"/>
  <c r="G50" i="8" s="1"/>
  <c r="AB59" i="12"/>
  <c r="X48" i="8" s="1"/>
  <c r="AG72" i="12"/>
  <c r="AC61" i="8" s="1"/>
  <c r="AG58" i="12"/>
  <c r="AC47" i="8" s="1"/>
  <c r="W73" i="12"/>
  <c r="S62" i="8" s="1"/>
  <c r="K73" i="12"/>
  <c r="G62" i="8" s="1"/>
  <c r="AK73" i="12"/>
  <c r="AG62" i="8" s="1"/>
  <c r="N67" i="12"/>
  <c r="J56" i="8" s="1"/>
  <c r="AL65" i="12"/>
  <c r="AH54" i="8" s="1"/>
  <c r="AI61" i="12"/>
  <c r="AE50" i="8" s="1"/>
  <c r="J59" i="12"/>
  <c r="F48" i="8" s="1"/>
  <c r="P41" i="12"/>
  <c r="AD57" i="12"/>
  <c r="Z46" i="8" s="1"/>
  <c r="W72" i="12"/>
  <c r="S61" i="8" s="1"/>
  <c r="H58" i="12"/>
  <c r="D47" i="8" s="1"/>
  <c r="K41" i="12"/>
  <c r="AD63" i="11"/>
  <c r="Z20" i="8" s="1"/>
  <c r="R67" i="11"/>
  <c r="N24" i="8" s="1"/>
  <c r="O55" i="12"/>
  <c r="K44" i="8" s="1"/>
  <c r="L71" i="12"/>
  <c r="H60" i="8" s="1"/>
  <c r="U69" i="12"/>
  <c r="Q58" i="8" s="1"/>
  <c r="H67" i="12"/>
  <c r="D56" i="8" s="1"/>
  <c r="I65" i="12"/>
  <c r="E54" i="8" s="1"/>
  <c r="W65" i="12"/>
  <c r="S54" i="8" s="1"/>
  <c r="R63" i="12"/>
  <c r="N52" i="8" s="1"/>
  <c r="F61" i="12"/>
  <c r="L64" i="12"/>
  <c r="H53" i="8" s="1"/>
  <c r="AB60" i="12"/>
  <c r="X49" i="8" s="1"/>
  <c r="G61" i="12"/>
  <c r="C50" i="8" s="1"/>
  <c r="R73" i="12"/>
  <c r="N62" i="8" s="1"/>
  <c r="AC69" i="12"/>
  <c r="Y58" i="8" s="1"/>
  <c r="I67" i="12"/>
  <c r="E56" i="8" s="1"/>
  <c r="AF65" i="12"/>
  <c r="AB54" i="8" s="1"/>
  <c r="L63" i="12"/>
  <c r="H52" i="8" s="1"/>
  <c r="AF61" i="12"/>
  <c r="AB50" i="8" s="1"/>
  <c r="AE41" i="12"/>
  <c r="N68" i="12"/>
  <c r="J57" i="8" s="1"/>
  <c r="T66" i="12"/>
  <c r="P55" i="8" s="1"/>
  <c r="AC47" i="12"/>
  <c r="Y36" i="8" s="1"/>
  <c r="R67" i="12"/>
  <c r="N56" i="8" s="1"/>
  <c r="AB62" i="11"/>
  <c r="X19" i="8" s="1"/>
  <c r="Y74" i="12"/>
  <c r="U63" i="8" s="1"/>
  <c r="V73" i="12"/>
  <c r="R62" i="8" s="1"/>
  <c r="Z71" i="12"/>
  <c r="V60" i="8" s="1"/>
  <c r="U71" i="12"/>
  <c r="Q60" i="8" s="1"/>
  <c r="K65" i="12"/>
  <c r="G54" i="8" s="1"/>
  <c r="R70" i="12"/>
  <c r="N59" i="8" s="1"/>
  <c r="G52" i="12"/>
  <c r="C41" i="8" s="1"/>
  <c r="K69" i="12"/>
  <c r="G58" i="8" s="1"/>
  <c r="I61" i="12"/>
  <c r="E50" i="8" s="1"/>
  <c r="AC67" i="11"/>
  <c r="Y24" i="8" s="1"/>
  <c r="J47" i="11"/>
  <c r="F4" i="8" s="1"/>
  <c r="K59" i="12"/>
  <c r="G48" i="8" s="1"/>
  <c r="R71" i="12"/>
  <c r="N60" i="8" s="1"/>
  <c r="Y69" i="12"/>
  <c r="U58" i="8" s="1"/>
  <c r="J67" i="12"/>
  <c r="F56" i="8" s="1"/>
  <c r="AI65" i="12"/>
  <c r="AE54" i="8" s="1"/>
  <c r="U63" i="12"/>
  <c r="Q52" i="8" s="1"/>
  <c r="U59" i="12"/>
  <c r="Q48" i="8" s="1"/>
  <c r="L61" i="12"/>
  <c r="H50" i="8" s="1"/>
  <c r="AA59" i="12"/>
  <c r="W48" i="8" s="1"/>
  <c r="AK74" i="12"/>
  <c r="AG63" i="8" s="1"/>
  <c r="AH58" i="12"/>
  <c r="AD47" i="8" s="1"/>
  <c r="AH41" i="12"/>
  <c r="AH53" i="12"/>
  <c r="AD42" i="8" s="1"/>
  <c r="AH51" i="12"/>
  <c r="AD40" i="8" s="1"/>
  <c r="AH55" i="12"/>
  <c r="AD44" i="8" s="1"/>
  <c r="AH52" i="12"/>
  <c r="AD41" i="8" s="1"/>
  <c r="AH62" i="12"/>
  <c r="AD51" i="8" s="1"/>
  <c r="AH47" i="12"/>
  <c r="AD36" i="8" s="1"/>
  <c r="AH49" i="12"/>
  <c r="AD38" i="8" s="1"/>
  <c r="AH48" i="12"/>
  <c r="AD37" i="8" s="1"/>
  <c r="AH66" i="12"/>
  <c r="AD55" i="8" s="1"/>
  <c r="AH70" i="12"/>
  <c r="AD59" i="8" s="1"/>
  <c r="AH46" i="12"/>
  <c r="AD35" i="8" s="1"/>
  <c r="AH54" i="12"/>
  <c r="AD43" i="8" s="1"/>
  <c r="AD73" i="12"/>
  <c r="Z62" i="8" s="1"/>
  <c r="X73" i="12"/>
  <c r="T62" i="8" s="1"/>
  <c r="AH71" i="12"/>
  <c r="AD60" i="8" s="1"/>
  <c r="AD69" i="12"/>
  <c r="Z58" i="8" s="1"/>
  <c r="AD61" i="12"/>
  <c r="Z50" i="8" s="1"/>
  <c r="AH57" i="12"/>
  <c r="AD46" i="8" s="1"/>
  <c r="X59" i="12"/>
  <c r="T48" i="8" s="1"/>
  <c r="S47" i="12"/>
  <c r="O36" i="8" s="1"/>
  <c r="S51" i="12"/>
  <c r="O40" i="8" s="1"/>
  <c r="S62" i="12"/>
  <c r="O51" i="8" s="1"/>
  <c r="S49" i="12"/>
  <c r="O38" i="8" s="1"/>
  <c r="S48" i="12"/>
  <c r="O37" i="8" s="1"/>
  <c r="S64" i="12"/>
  <c r="O53" i="8" s="1"/>
  <c r="S52" i="12"/>
  <c r="O41" i="8" s="1"/>
  <c r="S55" i="12"/>
  <c r="O44" i="8" s="1"/>
  <c r="S46" i="12"/>
  <c r="O35" i="8" s="1"/>
  <c r="S60" i="12"/>
  <c r="O49" i="8" s="1"/>
  <c r="S50" i="12"/>
  <c r="O39" i="8" s="1"/>
  <c r="S58" i="12"/>
  <c r="O47" i="8" s="1"/>
  <c r="S72" i="12"/>
  <c r="O61" i="8" s="1"/>
  <c r="O74" i="12"/>
  <c r="K63" i="8" s="1"/>
  <c r="AE64" i="12"/>
  <c r="AA53" i="8" s="1"/>
  <c r="AA63" i="11"/>
  <c r="W20" i="8" s="1"/>
  <c r="V64" i="11"/>
  <c r="R21" i="8" s="1"/>
  <c r="X59" i="11"/>
  <c r="T16" i="8" s="1"/>
  <c r="X54" i="11"/>
  <c r="T11" i="8" s="1"/>
  <c r="G57" i="12"/>
  <c r="C46" i="8" s="1"/>
  <c r="AI59" i="12"/>
  <c r="AE48" i="8" s="1"/>
  <c r="Z50" i="12"/>
  <c r="V39" i="8" s="1"/>
  <c r="Z58" i="12"/>
  <c r="V47" i="8" s="1"/>
  <c r="Z41" i="12"/>
  <c r="Z53" i="12"/>
  <c r="V42" i="8" s="1"/>
  <c r="Z68" i="12"/>
  <c r="V57" i="8" s="1"/>
  <c r="Z72" i="12"/>
  <c r="V61" i="8" s="1"/>
  <c r="Z51" i="12"/>
  <c r="V40" i="8" s="1"/>
  <c r="Z55" i="12"/>
  <c r="V44" i="8" s="1"/>
  <c r="Z74" i="12"/>
  <c r="V63" i="8" s="1"/>
  <c r="Z62" i="12"/>
  <c r="V51" i="8" s="1"/>
  <c r="Z47" i="12"/>
  <c r="V36" i="8" s="1"/>
  <c r="Z49" i="12"/>
  <c r="V38" i="8" s="1"/>
  <c r="Z48" i="12"/>
  <c r="V37" i="8" s="1"/>
  <c r="Z52" i="12"/>
  <c r="V41" i="8" s="1"/>
  <c r="Z64" i="12"/>
  <c r="V53" i="8" s="1"/>
  <c r="Z66" i="12"/>
  <c r="V55" i="8" s="1"/>
  <c r="Z70" i="12"/>
  <c r="V59" i="8" s="1"/>
  <c r="AF52" i="12"/>
  <c r="AB41" i="8" s="1"/>
  <c r="AF56" i="12"/>
  <c r="AB45" i="8" s="1"/>
  <c r="AF47" i="12"/>
  <c r="AB36" i="8" s="1"/>
  <c r="AF51" i="12"/>
  <c r="AB40" i="8" s="1"/>
  <c r="AF55" i="12"/>
  <c r="AB44" i="8" s="1"/>
  <c r="AF54" i="12"/>
  <c r="AB43" i="8" s="1"/>
  <c r="AF60" i="12"/>
  <c r="AB49" i="8" s="1"/>
  <c r="AF70" i="12"/>
  <c r="AB59" i="8" s="1"/>
  <c r="AF74" i="12"/>
  <c r="AB63" i="8" s="1"/>
  <c r="AF49" i="12"/>
  <c r="AB38" i="8" s="1"/>
  <c r="AF53" i="12"/>
  <c r="AB42" i="8" s="1"/>
  <c r="AF48" i="12"/>
  <c r="AB37" i="8" s="1"/>
  <c r="AF58" i="12"/>
  <c r="AB47" i="8" s="1"/>
  <c r="AF66" i="12"/>
  <c r="AB55" i="8" s="1"/>
  <c r="AF68" i="12"/>
  <c r="AB57" i="8" s="1"/>
  <c r="AF46" i="12"/>
  <c r="AB35" i="8" s="1"/>
  <c r="AF62" i="12"/>
  <c r="AB51" i="8" s="1"/>
  <c r="AF72" i="12"/>
  <c r="AB61" i="8" s="1"/>
  <c r="O73" i="12"/>
  <c r="K62" i="8" s="1"/>
  <c r="AL73" i="12"/>
  <c r="AH62" i="8" s="1"/>
  <c r="AF73" i="12"/>
  <c r="AB62" i="8" s="1"/>
  <c r="K71" i="12"/>
  <c r="G60" i="8" s="1"/>
  <c r="S71" i="12"/>
  <c r="O60" i="8" s="1"/>
  <c r="P71" i="12"/>
  <c r="L60" i="8" s="1"/>
  <c r="T71" i="12"/>
  <c r="P60" i="8" s="1"/>
  <c r="G69" i="12"/>
  <c r="C58" i="8" s="1"/>
  <c r="O69" i="12"/>
  <c r="K58" i="8" s="1"/>
  <c r="AL69" i="12"/>
  <c r="AH58" i="8" s="1"/>
  <c r="AK69" i="12"/>
  <c r="AG58" i="8" s="1"/>
  <c r="V67" i="12"/>
  <c r="R56" i="8" s="1"/>
  <c r="P67" i="12"/>
  <c r="L56" i="8" s="1"/>
  <c r="T67" i="12"/>
  <c r="P56" i="8" s="1"/>
  <c r="J65" i="12"/>
  <c r="F54" i="8" s="1"/>
  <c r="L65" i="12"/>
  <c r="H54" i="8" s="1"/>
  <c r="F65" i="12"/>
  <c r="AE65" i="12"/>
  <c r="AA54" i="8" s="1"/>
  <c r="AC63" i="12"/>
  <c r="Y52" i="8" s="1"/>
  <c r="O63" i="12"/>
  <c r="K52" i="8" s="1"/>
  <c r="Q63" i="12"/>
  <c r="M52" i="8" s="1"/>
  <c r="T63" i="12"/>
  <c r="P52" i="8" s="1"/>
  <c r="J61" i="12"/>
  <c r="F50" i="8" s="1"/>
  <c r="M61" i="12"/>
  <c r="I50" i="8" s="1"/>
  <c r="AL61" i="12"/>
  <c r="AH50" i="8" s="1"/>
  <c r="AC59" i="12"/>
  <c r="Y48" i="8" s="1"/>
  <c r="O59" i="12"/>
  <c r="K48" i="8" s="1"/>
  <c r="I57" i="12"/>
  <c r="E46" i="8" s="1"/>
  <c r="K57" i="12"/>
  <c r="G46" i="8" s="1"/>
  <c r="V57" i="12"/>
  <c r="R46" i="8" s="1"/>
  <c r="Z60" i="12"/>
  <c r="V49" i="8" s="1"/>
  <c r="U60" i="12"/>
  <c r="Q49" i="8" s="1"/>
  <c r="H41" i="12"/>
  <c r="O57" i="12"/>
  <c r="K46" i="8" s="1"/>
  <c r="W41" i="12"/>
  <c r="M60" i="12"/>
  <c r="I49" i="8" s="1"/>
  <c r="K54" i="12"/>
  <c r="G43" i="8" s="1"/>
  <c r="K55" i="12"/>
  <c r="G44" i="8" s="1"/>
  <c r="K47" i="12"/>
  <c r="G36" i="8" s="1"/>
  <c r="K62" i="12"/>
  <c r="G51" i="8" s="1"/>
  <c r="K49" i="12"/>
  <c r="G38" i="8" s="1"/>
  <c r="K53" i="12"/>
  <c r="G42" i="8" s="1"/>
  <c r="K48" i="12"/>
  <c r="G37" i="8" s="1"/>
  <c r="K64" i="12"/>
  <c r="G53" i="8" s="1"/>
  <c r="K68" i="12"/>
  <c r="G57" i="8" s="1"/>
  <c r="K46" i="12"/>
  <c r="G35" i="8" s="1"/>
  <c r="K60" i="12"/>
  <c r="G49" i="8" s="1"/>
  <c r="K66" i="12"/>
  <c r="G55" i="8" s="1"/>
  <c r="K50" i="12"/>
  <c r="G39" i="8" s="1"/>
  <c r="K52" i="12"/>
  <c r="G41" i="8" s="1"/>
  <c r="K51" i="12"/>
  <c r="G40" i="8" s="1"/>
  <c r="H74" i="12"/>
  <c r="D63" i="8" s="1"/>
  <c r="AG74" i="12"/>
  <c r="AC63" i="8" s="1"/>
  <c r="AE74" i="12"/>
  <c r="AA63" i="8" s="1"/>
  <c r="T72" i="12"/>
  <c r="P61" i="8" s="1"/>
  <c r="J72" i="12"/>
  <c r="F61" i="8" s="1"/>
  <c r="AE72" i="12"/>
  <c r="AA61" i="8" s="1"/>
  <c r="AC70" i="12"/>
  <c r="Y59" i="8" s="1"/>
  <c r="K70" i="12"/>
  <c r="G59" i="8" s="1"/>
  <c r="AK68" i="12"/>
  <c r="AG57" i="8" s="1"/>
  <c r="AE68" i="12"/>
  <c r="AA57" i="8" s="1"/>
  <c r="G66" i="12"/>
  <c r="C55" i="8" s="1"/>
  <c r="H64" i="12"/>
  <c r="D53" i="8" s="1"/>
  <c r="W60" i="12"/>
  <c r="S49" i="8" s="1"/>
  <c r="AF59" i="12"/>
  <c r="AB48" i="8" s="1"/>
  <c r="P53" i="12"/>
  <c r="L42" i="8" s="1"/>
  <c r="F49" i="12"/>
  <c r="O47" i="12"/>
  <c r="K36" i="8" s="1"/>
  <c r="AI62" i="12"/>
  <c r="AE51" i="8" s="1"/>
  <c r="AE52" i="12"/>
  <c r="AA41" i="8" s="1"/>
  <c r="T48" i="12"/>
  <c r="P37" i="8" s="1"/>
  <c r="N58" i="11"/>
  <c r="J15" i="8" s="1"/>
  <c r="AK67" i="11"/>
  <c r="AG24" i="8" s="1"/>
  <c r="X70" i="11"/>
  <c r="T27" i="8" s="1"/>
  <c r="X62" i="11"/>
  <c r="T19" i="8" s="1"/>
  <c r="AA63" i="12"/>
  <c r="W52" i="8" s="1"/>
  <c r="Z56" i="12"/>
  <c r="V45" i="8" s="1"/>
  <c r="K63" i="12"/>
  <c r="G52" i="8" s="1"/>
  <c r="W57" i="12"/>
  <c r="S46" i="8" s="1"/>
  <c r="R46" i="12"/>
  <c r="N35" i="8" s="1"/>
  <c r="R54" i="12"/>
  <c r="N43" i="8" s="1"/>
  <c r="R50" i="12"/>
  <c r="N39" i="8" s="1"/>
  <c r="R58" i="12"/>
  <c r="N47" i="8" s="1"/>
  <c r="R41" i="12"/>
  <c r="R53" i="12"/>
  <c r="N42" i="8" s="1"/>
  <c r="R68" i="12"/>
  <c r="N57" i="8" s="1"/>
  <c r="R72" i="12"/>
  <c r="N61" i="8" s="1"/>
  <c r="R51" i="12"/>
  <c r="N40" i="8" s="1"/>
  <c r="R55" i="12"/>
  <c r="N44" i="8" s="1"/>
  <c r="R62" i="12"/>
  <c r="N51" i="8" s="1"/>
  <c r="R47" i="12"/>
  <c r="N36" i="8" s="1"/>
  <c r="R49" i="12"/>
  <c r="N38" i="8" s="1"/>
  <c r="R48" i="12"/>
  <c r="N37" i="8" s="1"/>
  <c r="R52" i="12"/>
  <c r="N41" i="8" s="1"/>
  <c r="R64" i="12"/>
  <c r="N53" i="8" s="1"/>
  <c r="X50" i="12"/>
  <c r="T39" i="8" s="1"/>
  <c r="X52" i="12"/>
  <c r="T41" i="8" s="1"/>
  <c r="X56" i="12"/>
  <c r="T45" i="8" s="1"/>
  <c r="X47" i="12"/>
  <c r="T36" i="8" s="1"/>
  <c r="X55" i="12"/>
  <c r="T44" i="8" s="1"/>
  <c r="X68" i="12"/>
  <c r="T57" i="8" s="1"/>
  <c r="X70" i="12"/>
  <c r="T59" i="8" s="1"/>
  <c r="X74" i="12"/>
  <c r="T63" i="8" s="1"/>
  <c r="X54" i="12"/>
  <c r="T43" i="8" s="1"/>
  <c r="X51" i="12"/>
  <c r="T40" i="8" s="1"/>
  <c r="X53" i="12"/>
  <c r="T42" i="8" s="1"/>
  <c r="X60" i="12"/>
  <c r="T49" i="8" s="1"/>
  <c r="X49" i="12"/>
  <c r="T38" i="8" s="1"/>
  <c r="X48" i="12"/>
  <c r="T37" i="8" s="1"/>
  <c r="X58" i="12"/>
  <c r="T47" i="8" s="1"/>
  <c r="X64" i="12"/>
  <c r="T53" i="8" s="1"/>
  <c r="X66" i="12"/>
  <c r="T55" i="8" s="1"/>
  <c r="X72" i="12"/>
  <c r="T61" i="8" s="1"/>
  <c r="AE73" i="12"/>
  <c r="AA62" i="8" s="1"/>
  <c r="G73" i="12"/>
  <c r="C62" i="8" s="1"/>
  <c r="M73" i="12"/>
  <c r="I62" i="8" s="1"/>
  <c r="I73" i="12"/>
  <c r="E62" i="8" s="1"/>
  <c r="AA71" i="12"/>
  <c r="W60" i="8" s="1"/>
  <c r="AI71" i="12"/>
  <c r="AE60" i="8" s="1"/>
  <c r="X71" i="12"/>
  <c r="T60" i="8" s="1"/>
  <c r="AB71" i="12"/>
  <c r="X60" i="8" s="1"/>
  <c r="W69" i="12"/>
  <c r="S58" i="8" s="1"/>
  <c r="AE69" i="12"/>
  <c r="AA58" i="8" s="1"/>
  <c r="L69" i="12"/>
  <c r="H58" i="8" s="1"/>
  <c r="H69" i="12"/>
  <c r="D58" i="8" s="1"/>
  <c r="AD67" i="12"/>
  <c r="Z56" i="8" s="1"/>
  <c r="X67" i="12"/>
  <c r="T56" i="8" s="1"/>
  <c r="Z67" i="12"/>
  <c r="V56" i="8" s="1"/>
  <c r="AB67" i="12"/>
  <c r="X56" i="8" s="1"/>
  <c r="R65" i="12"/>
  <c r="N54" i="8" s="1"/>
  <c r="T65" i="12"/>
  <c r="P54" i="8" s="1"/>
  <c r="N65" i="12"/>
  <c r="J54" i="8" s="1"/>
  <c r="H65" i="12"/>
  <c r="D54" i="8" s="1"/>
  <c r="AK63" i="12"/>
  <c r="AG52" i="8" s="1"/>
  <c r="W63" i="12"/>
  <c r="S52" i="8" s="1"/>
  <c r="Y63" i="12"/>
  <c r="U52" i="8" s="1"/>
  <c r="AB63" i="12"/>
  <c r="X52" i="8" s="1"/>
  <c r="R61" i="12"/>
  <c r="N50" i="8" s="1"/>
  <c r="H61" i="12"/>
  <c r="D50" i="8" s="1"/>
  <c r="AK59" i="12"/>
  <c r="AG48" i="8" s="1"/>
  <c r="W59" i="12"/>
  <c r="S48" i="8" s="1"/>
  <c r="Z59" i="12"/>
  <c r="V48" i="8" s="1"/>
  <c r="Q57" i="12"/>
  <c r="M46" i="8" s="1"/>
  <c r="S57" i="12"/>
  <c r="O46" i="8" s="1"/>
  <c r="AK56" i="12"/>
  <c r="AG45" i="8" s="1"/>
  <c r="AH56" i="12"/>
  <c r="AD45" i="8" s="1"/>
  <c r="O41" i="12"/>
  <c r="S59" i="12"/>
  <c r="O48" i="8" s="1"/>
  <c r="AL52" i="12"/>
  <c r="AH41" i="8" s="1"/>
  <c r="I74" i="12"/>
  <c r="E63" i="8" s="1"/>
  <c r="T74" i="12"/>
  <c r="P63" i="8" s="1"/>
  <c r="AK72" i="12"/>
  <c r="AG61" i="8" s="1"/>
  <c r="AH72" i="12"/>
  <c r="AD61" i="8" s="1"/>
  <c r="S70" i="12"/>
  <c r="O59" i="8" s="1"/>
  <c r="Y68" i="12"/>
  <c r="U57" i="8" s="1"/>
  <c r="H66" i="12"/>
  <c r="D55" i="8" s="1"/>
  <c r="AF64" i="12"/>
  <c r="AB53" i="8" s="1"/>
  <c r="Y60" i="12"/>
  <c r="U49" i="8" s="1"/>
  <c r="AG55" i="12"/>
  <c r="AC44" i="8" s="1"/>
  <c r="F53" i="12"/>
  <c r="AE49" i="12"/>
  <c r="AA38" i="8" s="1"/>
  <c r="Q47" i="12"/>
  <c r="M36" i="8" s="1"/>
  <c r="AE54" i="12"/>
  <c r="AA43" i="8" s="1"/>
  <c r="L52" i="12"/>
  <c r="H41" i="8" s="1"/>
  <c r="N48" i="12"/>
  <c r="J37" i="8" s="1"/>
  <c r="X63" i="11"/>
  <c r="T20" i="8" s="1"/>
  <c r="X52" i="11"/>
  <c r="T9" i="8" s="1"/>
  <c r="AE61" i="12"/>
  <c r="AA50" i="8" s="1"/>
  <c r="W61" i="12"/>
  <c r="S50" i="8" s="1"/>
  <c r="S56" i="12"/>
  <c r="O45" i="8" s="1"/>
  <c r="J46" i="12"/>
  <c r="F35" i="8" s="1"/>
  <c r="J52" i="12"/>
  <c r="F41" i="8" s="1"/>
  <c r="J54" i="12"/>
  <c r="F43" i="8" s="1"/>
  <c r="J51" i="12"/>
  <c r="F40" i="8" s="1"/>
  <c r="J50" i="12"/>
  <c r="F39" i="8" s="1"/>
  <c r="J58" i="12"/>
  <c r="F47" i="8" s="1"/>
  <c r="J41" i="12"/>
  <c r="J53" i="12"/>
  <c r="F42" i="8" s="1"/>
  <c r="J55" i="12"/>
  <c r="F44" i="8" s="1"/>
  <c r="J62" i="12"/>
  <c r="F51" i="8" s="1"/>
  <c r="J47" i="12"/>
  <c r="F36" i="8" s="1"/>
  <c r="J49" i="12"/>
  <c r="F38" i="8" s="1"/>
  <c r="J68" i="12"/>
  <c r="F57" i="8" s="1"/>
  <c r="P46" i="12"/>
  <c r="L35" i="8" s="1"/>
  <c r="P62" i="12"/>
  <c r="L51" i="8" s="1"/>
  <c r="P50" i="12"/>
  <c r="L39" i="8" s="1"/>
  <c r="P52" i="12"/>
  <c r="L41" i="8" s="1"/>
  <c r="P56" i="12"/>
  <c r="L45" i="8" s="1"/>
  <c r="P47" i="12"/>
  <c r="L36" i="8" s="1"/>
  <c r="P54" i="12"/>
  <c r="L43" i="8" s="1"/>
  <c r="P51" i="12"/>
  <c r="L40" i="8" s="1"/>
  <c r="P60" i="12"/>
  <c r="L49" i="8" s="1"/>
  <c r="P49" i="12"/>
  <c r="L38" i="8" s="1"/>
  <c r="P48" i="12"/>
  <c r="L37" i="8" s="1"/>
  <c r="P58" i="12"/>
  <c r="L47" i="8" s="1"/>
  <c r="P55" i="12"/>
  <c r="L44" i="8" s="1"/>
  <c r="P64" i="12"/>
  <c r="L53" i="8" s="1"/>
  <c r="P68" i="12"/>
  <c r="L57" i="8" s="1"/>
  <c r="N71" i="12"/>
  <c r="J60" i="8" s="1"/>
  <c r="F71" i="12"/>
  <c r="AF71" i="12"/>
  <c r="AB60" i="8" s="1"/>
  <c r="J69" i="12"/>
  <c r="F58" i="8" s="1"/>
  <c r="T69" i="12"/>
  <c r="P58" i="8" s="1"/>
  <c r="P69" i="12"/>
  <c r="L58" i="8" s="1"/>
  <c r="M67" i="12"/>
  <c r="I56" i="8" s="1"/>
  <c r="AL67" i="12"/>
  <c r="AH56" i="8" s="1"/>
  <c r="AF67" i="12"/>
  <c r="AB56" i="8" s="1"/>
  <c r="AH67" i="12"/>
  <c r="AD56" i="8" s="1"/>
  <c r="Z65" i="12"/>
  <c r="V54" i="8" s="1"/>
  <c r="AB65" i="12"/>
  <c r="X54" i="8" s="1"/>
  <c r="V65" i="12"/>
  <c r="R54" i="8" s="1"/>
  <c r="P65" i="12"/>
  <c r="L54" i="8" s="1"/>
  <c r="F63" i="12"/>
  <c r="AE63" i="12"/>
  <c r="AA52" i="8" s="1"/>
  <c r="Z61" i="12"/>
  <c r="V50" i="8" s="1"/>
  <c r="AC61" i="12"/>
  <c r="Y50" i="8" s="1"/>
  <c r="P61" i="12"/>
  <c r="L50" i="8" s="1"/>
  <c r="F59" i="12"/>
  <c r="AH59" i="12"/>
  <c r="AD48" i="8" s="1"/>
  <c r="Y57" i="12"/>
  <c r="U46" i="8" s="1"/>
  <c r="AA57" i="12"/>
  <c r="W46" i="8" s="1"/>
  <c r="AL57" i="12"/>
  <c r="AH46" i="8" s="1"/>
  <c r="R56" i="12"/>
  <c r="N45" i="8" s="1"/>
  <c r="T57" i="12"/>
  <c r="P46" i="8" s="1"/>
  <c r="G41" i="12"/>
  <c r="M57" i="12"/>
  <c r="I46" i="8" s="1"/>
  <c r="AD58" i="12"/>
  <c r="Z47" i="8" s="1"/>
  <c r="AD41" i="12"/>
  <c r="AD54" i="12"/>
  <c r="Z43" i="8" s="1"/>
  <c r="AD62" i="12"/>
  <c r="Z51" i="8" s="1"/>
  <c r="AD52" i="12"/>
  <c r="Z41" i="8" s="1"/>
  <c r="AD47" i="12"/>
  <c r="Z36" i="8" s="1"/>
  <c r="AD55" i="12"/>
  <c r="Z44" i="8" s="1"/>
  <c r="AD60" i="12"/>
  <c r="Z49" i="8" s="1"/>
  <c r="AD74" i="12"/>
  <c r="Z63" i="8" s="1"/>
  <c r="AD68" i="12"/>
  <c r="Z57" i="8" s="1"/>
  <c r="AD49" i="12"/>
  <c r="Z38" i="8" s="1"/>
  <c r="AD53" i="12"/>
  <c r="Z42" i="8" s="1"/>
  <c r="AD56" i="12"/>
  <c r="Z45" i="8" s="1"/>
  <c r="AD64" i="12"/>
  <c r="Z53" i="8" s="1"/>
  <c r="AD48" i="12"/>
  <c r="Z37" i="8" s="1"/>
  <c r="AD51" i="12"/>
  <c r="Z40" i="8" s="1"/>
  <c r="AD46" i="12"/>
  <c r="Z35" i="8" s="1"/>
  <c r="AD66" i="12"/>
  <c r="Z55" i="8" s="1"/>
  <c r="AD70" i="12"/>
  <c r="Z59" i="8" s="1"/>
  <c r="AJ58" i="12"/>
  <c r="AF47" i="8" s="1"/>
  <c r="AJ56" i="12"/>
  <c r="AF45" i="8" s="1"/>
  <c r="AJ54" i="12"/>
  <c r="AF43" i="8" s="1"/>
  <c r="AJ47" i="12"/>
  <c r="AF36" i="8" s="1"/>
  <c r="AJ72" i="12"/>
  <c r="AF61" i="8" s="1"/>
  <c r="AJ62" i="12"/>
  <c r="AF51" i="8" s="1"/>
  <c r="AJ49" i="12"/>
  <c r="AF38" i="8" s="1"/>
  <c r="AJ52" i="12"/>
  <c r="AF41" i="8" s="1"/>
  <c r="AJ64" i="12"/>
  <c r="AF53" i="8" s="1"/>
  <c r="AJ48" i="12"/>
  <c r="AF37" i="8" s="1"/>
  <c r="AJ53" i="12"/>
  <c r="AF42" i="8" s="1"/>
  <c r="AJ55" i="12"/>
  <c r="AF44" i="8" s="1"/>
  <c r="AJ46" i="12"/>
  <c r="AF35" i="8" s="1"/>
  <c r="AJ51" i="12"/>
  <c r="AF40" i="8" s="1"/>
  <c r="AJ60" i="12"/>
  <c r="AF49" i="8" s="1"/>
  <c r="AJ66" i="12"/>
  <c r="AF55" i="8" s="1"/>
  <c r="AJ70" i="12"/>
  <c r="AF59" i="8" s="1"/>
  <c r="AJ74" i="12"/>
  <c r="AF63" i="8" s="1"/>
  <c r="F74" i="12"/>
  <c r="R74" i="12"/>
  <c r="N63" i="8" s="1"/>
  <c r="H72" i="12"/>
  <c r="D61" i="8" s="1"/>
  <c r="K72" i="12"/>
  <c r="G61" i="8" s="1"/>
  <c r="AG70" i="12"/>
  <c r="AC59" i="8" s="1"/>
  <c r="N70" i="12"/>
  <c r="J59" i="8" s="1"/>
  <c r="M68" i="12"/>
  <c r="I57" i="8" s="1"/>
  <c r="S66" i="12"/>
  <c r="O55" i="8" s="1"/>
  <c r="P66" i="12"/>
  <c r="L55" i="8" s="1"/>
  <c r="AG64" i="12"/>
  <c r="AC53" i="8" s="1"/>
  <c r="AC55" i="12"/>
  <c r="Y44" i="8" s="1"/>
  <c r="X62" i="12"/>
  <c r="T51" i="8" s="1"/>
  <c r="S54" i="12"/>
  <c r="O43" i="8" s="1"/>
  <c r="X46" i="12"/>
  <c r="T35" i="8" s="1"/>
  <c r="O74" i="11"/>
  <c r="K31" i="8" s="1"/>
  <c r="X68" i="11"/>
  <c r="T25" i="8" s="1"/>
  <c r="AA66" i="11"/>
  <c r="W23" i="8" s="1"/>
  <c r="S63" i="12"/>
  <c r="O52" i="8" s="1"/>
  <c r="AH60" i="12"/>
  <c r="AD49" i="8" s="1"/>
  <c r="Y52" i="12"/>
  <c r="U41" i="8" s="1"/>
  <c r="Y58" i="12"/>
  <c r="U47" i="8" s="1"/>
  <c r="Y49" i="12"/>
  <c r="U38" i="8" s="1"/>
  <c r="Y48" i="12"/>
  <c r="U37" i="8" s="1"/>
  <c r="Y64" i="12"/>
  <c r="U53" i="8" s="1"/>
  <c r="Y62" i="12"/>
  <c r="U51" i="8" s="1"/>
  <c r="Y66" i="12"/>
  <c r="U55" i="8" s="1"/>
  <c r="Y46" i="12"/>
  <c r="U35" i="8" s="1"/>
  <c r="Y54" i="12"/>
  <c r="U43" i="8" s="1"/>
  <c r="Y50" i="12"/>
  <c r="U39" i="8" s="1"/>
  <c r="Y53" i="12"/>
  <c r="U42" i="8" s="1"/>
  <c r="Y55" i="12"/>
  <c r="U44" i="8" s="1"/>
  <c r="Y56" i="12"/>
  <c r="U45" i="8" s="1"/>
  <c r="Y47" i="12"/>
  <c r="U36" i="8" s="1"/>
  <c r="AE48" i="12"/>
  <c r="AA37" i="8" s="1"/>
  <c r="AE58" i="12"/>
  <c r="AA47" i="8" s="1"/>
  <c r="AE46" i="12"/>
  <c r="AA35" i="8" s="1"/>
  <c r="AE66" i="12"/>
  <c r="AA55" i="8" s="1"/>
  <c r="AE70" i="12"/>
  <c r="AA59" i="8" s="1"/>
  <c r="AE50" i="12"/>
  <c r="AA39" i="8" s="1"/>
  <c r="AE62" i="12"/>
  <c r="AA51" i="8" s="1"/>
  <c r="AE51" i="12"/>
  <c r="AA40" i="8" s="1"/>
  <c r="AE56" i="12"/>
  <c r="AA45" i="8" s="1"/>
  <c r="AE47" i="12"/>
  <c r="AA36" i="8" s="1"/>
  <c r="AE55" i="12"/>
  <c r="AA44" i="8" s="1"/>
  <c r="AE53" i="12"/>
  <c r="AA42" i="8" s="1"/>
  <c r="AE60" i="12"/>
  <c r="AA49" i="8" s="1"/>
  <c r="AK64" i="12"/>
  <c r="AG53" i="8" s="1"/>
  <c r="AK48" i="12"/>
  <c r="AG37" i="8" s="1"/>
  <c r="AK46" i="12"/>
  <c r="AG35" i="8" s="1"/>
  <c r="AK51" i="12"/>
  <c r="AG40" i="8" s="1"/>
  <c r="AK53" i="12"/>
  <c r="AG42" i="8" s="1"/>
  <c r="AK66" i="12"/>
  <c r="AG55" i="8" s="1"/>
  <c r="AK50" i="12"/>
  <c r="AG39" i="8" s="1"/>
  <c r="AK52" i="12"/>
  <c r="AG41" i="8" s="1"/>
  <c r="AK58" i="12"/>
  <c r="AG47" i="8" s="1"/>
  <c r="AK41" i="12"/>
  <c r="AK54" i="12"/>
  <c r="AG43" i="8" s="1"/>
  <c r="AK47" i="12"/>
  <c r="AG36" i="8" s="1"/>
  <c r="AK55" i="12"/>
  <c r="AG44" i="8" s="1"/>
  <c r="H53" i="12"/>
  <c r="D42" i="8" s="1"/>
  <c r="H46" i="12"/>
  <c r="D35" i="8" s="1"/>
  <c r="H62" i="12"/>
  <c r="D51" i="8" s="1"/>
  <c r="H50" i="12"/>
  <c r="D39" i="8" s="1"/>
  <c r="H52" i="12"/>
  <c r="D41" i="8" s="1"/>
  <c r="H56" i="12"/>
  <c r="D45" i="8" s="1"/>
  <c r="H47" i="12"/>
  <c r="D36" i="8" s="1"/>
  <c r="H55" i="12"/>
  <c r="D44" i="8" s="1"/>
  <c r="H54" i="12"/>
  <c r="D43" i="8" s="1"/>
  <c r="H51" i="12"/>
  <c r="D40" i="8" s="1"/>
  <c r="H60" i="12"/>
  <c r="D49" i="8" s="1"/>
  <c r="H49" i="12"/>
  <c r="D38" i="8" s="1"/>
  <c r="AH73" i="12"/>
  <c r="AD62" i="8" s="1"/>
  <c r="J73" i="12"/>
  <c r="F62" i="8" s="1"/>
  <c r="AC73" i="12"/>
  <c r="Y62" i="8" s="1"/>
  <c r="Y73" i="12"/>
  <c r="U62" i="8" s="1"/>
  <c r="AD71" i="12"/>
  <c r="Z60" i="8" s="1"/>
  <c r="V71" i="12"/>
  <c r="R60" i="8" s="1"/>
  <c r="M71" i="12"/>
  <c r="I60" i="8" s="1"/>
  <c r="Z69" i="12"/>
  <c r="V58" i="8" s="1"/>
  <c r="AH69" i="12"/>
  <c r="AD58" i="8" s="1"/>
  <c r="AB69" i="12"/>
  <c r="X58" i="8" s="1"/>
  <c r="G67" i="12"/>
  <c r="C56" i="8" s="1"/>
  <c r="K67" i="12"/>
  <c r="G56" i="8" s="1"/>
  <c r="AH65" i="12"/>
  <c r="AD54" i="8" s="1"/>
  <c r="X65" i="12"/>
  <c r="T54" i="8" s="1"/>
  <c r="N63" i="12"/>
  <c r="J52" i="8" s="1"/>
  <c r="H63" i="12"/>
  <c r="D52" i="8" s="1"/>
  <c r="J63" i="12"/>
  <c r="F52" i="8" s="1"/>
  <c r="AH61" i="12"/>
  <c r="AD50" i="8" s="1"/>
  <c r="AK61" i="12"/>
  <c r="AG50" i="8" s="1"/>
  <c r="X61" i="12"/>
  <c r="T50" i="8" s="1"/>
  <c r="N59" i="12"/>
  <c r="J48" i="8" s="1"/>
  <c r="I59" i="12"/>
  <c r="E48" i="8" s="1"/>
  <c r="L59" i="12"/>
  <c r="H48" i="8" s="1"/>
  <c r="AI57" i="12"/>
  <c r="AE46" i="8" s="1"/>
  <c r="H57" i="12"/>
  <c r="D46" i="8" s="1"/>
  <c r="AI56" i="12"/>
  <c r="AE45" i="8" s="1"/>
  <c r="AC56" i="12"/>
  <c r="Y45" i="8" s="1"/>
  <c r="V50" i="12"/>
  <c r="R39" i="8" s="1"/>
  <c r="V54" i="12"/>
  <c r="R43" i="8" s="1"/>
  <c r="V58" i="12"/>
  <c r="R47" i="8" s="1"/>
  <c r="V41" i="12"/>
  <c r="V72" i="12"/>
  <c r="R61" i="8" s="1"/>
  <c r="V62" i="12"/>
  <c r="R51" i="8" s="1"/>
  <c r="V47" i="12"/>
  <c r="R36" i="8" s="1"/>
  <c r="V55" i="12"/>
  <c r="R44" i="8" s="1"/>
  <c r="V60" i="12"/>
  <c r="R49" i="8" s="1"/>
  <c r="V52" i="12"/>
  <c r="R41" i="8" s="1"/>
  <c r="V49" i="12"/>
  <c r="R38" i="8" s="1"/>
  <c r="V53" i="12"/>
  <c r="R42" i="8" s="1"/>
  <c r="V56" i="12"/>
  <c r="R45" i="8" s="1"/>
  <c r="V64" i="12"/>
  <c r="R53" i="8" s="1"/>
  <c r="V48" i="12"/>
  <c r="R37" i="8" s="1"/>
  <c r="V51" i="12"/>
  <c r="R40" i="8" s="1"/>
  <c r="AB50" i="12"/>
  <c r="X39" i="8" s="1"/>
  <c r="AB58" i="12"/>
  <c r="X47" i="8" s="1"/>
  <c r="AB56" i="12"/>
  <c r="X45" i="8" s="1"/>
  <c r="AB54" i="12"/>
  <c r="X43" i="8" s="1"/>
  <c r="AB72" i="12"/>
  <c r="X61" i="8" s="1"/>
  <c r="AB47" i="12"/>
  <c r="X36" i="8" s="1"/>
  <c r="AB62" i="12"/>
  <c r="X51" i="8" s="1"/>
  <c r="AB49" i="12"/>
  <c r="X38" i="8" s="1"/>
  <c r="AB52" i="12"/>
  <c r="X41" i="8" s="1"/>
  <c r="AB64" i="12"/>
  <c r="X53" i="8" s="1"/>
  <c r="AB48" i="12"/>
  <c r="X37" i="8" s="1"/>
  <c r="AB53" i="12"/>
  <c r="X42" i="8" s="1"/>
  <c r="AB55" i="12"/>
  <c r="X44" i="8" s="1"/>
  <c r="AB68" i="12"/>
  <c r="X57" i="8" s="1"/>
  <c r="AB70" i="12"/>
  <c r="X59" i="8" s="1"/>
  <c r="AB74" i="12"/>
  <c r="X63" i="8" s="1"/>
  <c r="L74" i="12"/>
  <c r="H63" i="8" s="1"/>
  <c r="N74" i="12"/>
  <c r="J63" i="8" s="1"/>
  <c r="AH74" i="12"/>
  <c r="AD63" i="8" s="1"/>
  <c r="Y72" i="12"/>
  <c r="U61" i="8" s="1"/>
  <c r="AI72" i="12"/>
  <c r="AE61" i="8" s="1"/>
  <c r="T70" i="12"/>
  <c r="P59" i="8" s="1"/>
  <c r="V70" i="12"/>
  <c r="R59" i="8" s="1"/>
  <c r="G68" i="12"/>
  <c r="C57" i="8" s="1"/>
  <c r="J64" i="12"/>
  <c r="F53" i="8" s="1"/>
  <c r="AC51" i="12"/>
  <c r="Y40" i="8" s="1"/>
  <c r="AI49" i="12"/>
  <c r="AE38" i="8" s="1"/>
  <c r="AF50" i="12"/>
  <c r="AB39" i="8" s="1"/>
  <c r="J48" i="12"/>
  <c r="F37" i="8" s="1"/>
  <c r="Z46" i="12"/>
  <c r="V35" i="8" s="1"/>
  <c r="X67" i="11"/>
  <c r="T24" i="8" s="1"/>
  <c r="X65" i="11"/>
  <c r="T22" i="8" s="1"/>
  <c r="S41" i="11"/>
  <c r="Y59" i="11"/>
  <c r="U16" i="8" s="1"/>
  <c r="P59" i="12"/>
  <c r="L48" i="8" s="1"/>
  <c r="S41" i="12"/>
  <c r="Q51" i="12"/>
  <c r="M40" i="8" s="1"/>
  <c r="Q60" i="12"/>
  <c r="M49" i="8" s="1"/>
  <c r="Q49" i="12"/>
  <c r="M38" i="8" s="1"/>
  <c r="Q70" i="12"/>
  <c r="M59" i="8" s="1"/>
  <c r="Q48" i="12"/>
  <c r="M37" i="8" s="1"/>
  <c r="Q52" i="12"/>
  <c r="M41" i="8" s="1"/>
  <c r="Q54" i="12"/>
  <c r="M43" i="8" s="1"/>
  <c r="Q58" i="12"/>
  <c r="M47" i="8" s="1"/>
  <c r="Q53" i="12"/>
  <c r="M42" i="8" s="1"/>
  <c r="Q64" i="12"/>
  <c r="M53" i="8" s="1"/>
  <c r="Q66" i="12"/>
  <c r="M55" i="8" s="1"/>
  <c r="Q46" i="12"/>
  <c r="M35" i="8" s="1"/>
  <c r="Q62" i="12"/>
  <c r="M51" i="8" s="1"/>
  <c r="Q55" i="12"/>
  <c r="M44" i="8" s="1"/>
  <c r="Q50" i="12"/>
  <c r="M39" i="8" s="1"/>
  <c r="Q72" i="12"/>
  <c r="M61" i="8" s="1"/>
  <c r="Q56" i="12"/>
  <c r="M45" i="8" s="1"/>
  <c r="W49" i="12"/>
  <c r="S38" i="8" s="1"/>
  <c r="W48" i="12"/>
  <c r="S37" i="8" s="1"/>
  <c r="W58" i="12"/>
  <c r="S47" i="8" s="1"/>
  <c r="W64" i="12"/>
  <c r="S53" i="8" s="1"/>
  <c r="W46" i="12"/>
  <c r="S35" i="8" s="1"/>
  <c r="W66" i="12"/>
  <c r="S55" i="8" s="1"/>
  <c r="W70" i="12"/>
  <c r="S59" i="8" s="1"/>
  <c r="W50" i="12"/>
  <c r="S39" i="8" s="1"/>
  <c r="W52" i="12"/>
  <c r="S41" i="8" s="1"/>
  <c r="W62" i="12"/>
  <c r="S51" i="8" s="1"/>
  <c r="W54" i="12"/>
  <c r="S43" i="8" s="1"/>
  <c r="W56" i="12"/>
  <c r="S45" i="8" s="1"/>
  <c r="W47" i="12"/>
  <c r="S36" i="8" s="1"/>
  <c r="W53" i="12"/>
  <c r="S42" i="8" s="1"/>
  <c r="W55" i="12"/>
  <c r="S44" i="8" s="1"/>
  <c r="W74" i="12"/>
  <c r="S63" i="8" s="1"/>
  <c r="AC62" i="12"/>
  <c r="Y51" i="8" s="1"/>
  <c r="AC49" i="12"/>
  <c r="Y38" i="8" s="1"/>
  <c r="AC53" i="12"/>
  <c r="Y42" i="8" s="1"/>
  <c r="AC64" i="12"/>
  <c r="Y53" i="8" s="1"/>
  <c r="AC48" i="12"/>
  <c r="Y37" i="8" s="1"/>
  <c r="AC46" i="12"/>
  <c r="Y35" i="8" s="1"/>
  <c r="AC66" i="12"/>
  <c r="Y55" i="8" s="1"/>
  <c r="AC68" i="12"/>
  <c r="Y57" i="8" s="1"/>
  <c r="AC50" i="12"/>
  <c r="Y39" i="8" s="1"/>
  <c r="AC52" i="12"/>
  <c r="Y41" i="8" s="1"/>
  <c r="AC58" i="12"/>
  <c r="Y47" i="8" s="1"/>
  <c r="AC41" i="12"/>
  <c r="S73" i="12"/>
  <c r="O62" i="8" s="1"/>
  <c r="O71" i="12"/>
  <c r="K60" i="8" s="1"/>
  <c r="Q71" i="12"/>
  <c r="M60" i="8" s="1"/>
  <c r="S69" i="12"/>
  <c r="O58" i="8" s="1"/>
  <c r="AC67" i="12"/>
  <c r="Y56" i="8" s="1"/>
  <c r="O67" i="12"/>
  <c r="K56" i="8" s="1"/>
  <c r="Q67" i="12"/>
  <c r="M56" i="8" s="1"/>
  <c r="S67" i="12"/>
  <c r="O56" i="8" s="1"/>
  <c r="P63" i="12"/>
  <c r="L52" i="8" s="1"/>
  <c r="Q59" i="12"/>
  <c r="M48" i="8" s="1"/>
  <c r="AC57" i="12"/>
  <c r="Y46" i="8" s="1"/>
  <c r="P57" i="12"/>
  <c r="L46" i="8" s="1"/>
  <c r="J56" i="12"/>
  <c r="F45" i="8" s="1"/>
  <c r="N46" i="12"/>
  <c r="J35" i="8" s="1"/>
  <c r="N50" i="12"/>
  <c r="J39" i="8" s="1"/>
  <c r="N52" i="12"/>
  <c r="J41" i="8" s="1"/>
  <c r="N41" i="12"/>
  <c r="N72" i="12"/>
  <c r="J61" i="8" s="1"/>
  <c r="N58" i="12"/>
  <c r="J47" i="8" s="1"/>
  <c r="N47" i="12"/>
  <c r="J36" i="8" s="1"/>
  <c r="N51" i="12"/>
  <c r="J40" i="8" s="1"/>
  <c r="N55" i="12"/>
  <c r="J44" i="8" s="1"/>
  <c r="N60" i="12"/>
  <c r="J49" i="8" s="1"/>
  <c r="N62" i="12"/>
  <c r="J51" i="8" s="1"/>
  <c r="N54" i="12"/>
  <c r="J43" i="8" s="1"/>
  <c r="N49" i="12"/>
  <c r="J38" i="8" s="1"/>
  <c r="N53" i="12"/>
  <c r="J42" i="8" s="1"/>
  <c r="N56" i="12"/>
  <c r="J45" i="8" s="1"/>
  <c r="N64" i="12"/>
  <c r="J53" i="8" s="1"/>
  <c r="T46" i="12"/>
  <c r="P35" i="8" s="1"/>
  <c r="T60" i="12"/>
  <c r="P49" i="8" s="1"/>
  <c r="T50" i="12"/>
  <c r="P39" i="8" s="1"/>
  <c r="T58" i="12"/>
  <c r="P47" i="8" s="1"/>
  <c r="T56" i="12"/>
  <c r="P45" i="8" s="1"/>
  <c r="T54" i="12"/>
  <c r="P43" i="8" s="1"/>
  <c r="T47" i="12"/>
  <c r="P36" i="8" s="1"/>
  <c r="T53" i="12"/>
  <c r="P42" i="8" s="1"/>
  <c r="T62" i="12"/>
  <c r="P51" i="8" s="1"/>
  <c r="T49" i="12"/>
  <c r="P38" i="8" s="1"/>
  <c r="T51" i="12"/>
  <c r="P40" i="8" s="1"/>
  <c r="T52" i="12"/>
  <c r="P41" i="8" s="1"/>
  <c r="T64" i="12"/>
  <c r="P53" i="8" s="1"/>
  <c r="M74" i="12"/>
  <c r="I63" i="8" s="1"/>
  <c r="V74" i="12"/>
  <c r="R63" i="8" s="1"/>
  <c r="K74" i="12"/>
  <c r="G63" i="8" s="1"/>
  <c r="L72" i="12"/>
  <c r="H61" i="8" s="1"/>
  <c r="F72" i="12"/>
  <c r="AK70" i="12"/>
  <c r="AG59" i="8" s="1"/>
  <c r="G70" i="12"/>
  <c r="C59" i="8" s="1"/>
  <c r="H68" i="12"/>
  <c r="D57" i="8" s="1"/>
  <c r="AH68" i="12"/>
  <c r="AD57" i="8" s="1"/>
  <c r="AB66" i="12"/>
  <c r="X55" i="8" s="1"/>
  <c r="J66" i="12"/>
  <c r="F55" i="8" s="1"/>
  <c r="AH64" i="12"/>
  <c r="AD53" i="8" s="1"/>
  <c r="G56" i="12"/>
  <c r="C45" i="8" s="1"/>
  <c r="T55" i="12"/>
  <c r="P44" i="8" s="1"/>
  <c r="W51" i="12"/>
  <c r="S40" i="8" s="1"/>
  <c r="AK49" i="12"/>
  <c r="AG38" i="8" s="1"/>
  <c r="Z54" i="12"/>
  <c r="V43" i="8" s="1"/>
  <c r="AH50" i="12"/>
  <c r="AD39" i="8" s="1"/>
  <c r="AB46" i="12"/>
  <c r="X35" i="8" s="1"/>
  <c r="X57" i="11"/>
  <c r="T14" i="8" s="1"/>
  <c r="X53" i="11"/>
  <c r="T10" i="8" s="1"/>
  <c r="X60" i="11"/>
  <c r="T17" i="8" s="1"/>
  <c r="X66" i="11"/>
  <c r="T23" i="8" s="1"/>
  <c r="X58" i="11"/>
  <c r="T15" i="8" s="1"/>
  <c r="AK60" i="12"/>
  <c r="AG49" i="8" s="1"/>
  <c r="AB57" i="12"/>
  <c r="X46" i="8" s="1"/>
  <c r="I47" i="12"/>
  <c r="E36" i="8" s="1"/>
  <c r="I51" i="12"/>
  <c r="E40" i="8" s="1"/>
  <c r="I60" i="12"/>
  <c r="E49" i="8" s="1"/>
  <c r="I68" i="12"/>
  <c r="E57" i="8" s="1"/>
  <c r="I70" i="12"/>
  <c r="E59" i="8" s="1"/>
  <c r="I54" i="12"/>
  <c r="E43" i="8" s="1"/>
  <c r="I49" i="12"/>
  <c r="E38" i="8" s="1"/>
  <c r="I55" i="12"/>
  <c r="E44" i="8" s="1"/>
  <c r="I48" i="12"/>
  <c r="E37" i="8" s="1"/>
  <c r="I64" i="12"/>
  <c r="E53" i="8" s="1"/>
  <c r="I52" i="12"/>
  <c r="E41" i="8" s="1"/>
  <c r="I58" i="12"/>
  <c r="E47" i="8" s="1"/>
  <c r="I46" i="12"/>
  <c r="E35" i="8" s="1"/>
  <c r="I53" i="12"/>
  <c r="E42" i="8" s="1"/>
  <c r="I72" i="12"/>
  <c r="E61" i="8" s="1"/>
  <c r="I50" i="12"/>
  <c r="E39" i="8" s="1"/>
  <c r="I62" i="12"/>
  <c r="E51" i="8" s="1"/>
  <c r="O51" i="12"/>
  <c r="K40" i="8" s="1"/>
  <c r="O61" i="12"/>
  <c r="K50" i="8" s="1"/>
  <c r="O60" i="12"/>
  <c r="K49" i="8" s="1"/>
  <c r="O49" i="12"/>
  <c r="K38" i="8" s="1"/>
  <c r="O53" i="12"/>
  <c r="K42" i="8" s="1"/>
  <c r="O68" i="12"/>
  <c r="K57" i="8" s="1"/>
  <c r="O48" i="12"/>
  <c r="K37" i="8" s="1"/>
  <c r="O58" i="12"/>
  <c r="K47" i="8" s="1"/>
  <c r="O64" i="12"/>
  <c r="K53" i="8" s="1"/>
  <c r="O46" i="12"/>
  <c r="K35" i="8" s="1"/>
  <c r="O66" i="12"/>
  <c r="K55" i="8" s="1"/>
  <c r="O50" i="12"/>
  <c r="K39" i="8" s="1"/>
  <c r="O54" i="12"/>
  <c r="K43" i="8" s="1"/>
  <c r="O62" i="12"/>
  <c r="K51" i="8" s="1"/>
  <c r="O72" i="12"/>
  <c r="K61" i="8" s="1"/>
  <c r="O52" i="12"/>
  <c r="K41" i="8" s="1"/>
  <c r="O56" i="12"/>
  <c r="K45" i="8" s="1"/>
  <c r="U52" i="12"/>
  <c r="Q41" i="8" s="1"/>
  <c r="U54" i="12"/>
  <c r="Q43" i="8" s="1"/>
  <c r="U47" i="12"/>
  <c r="Q36" i="8" s="1"/>
  <c r="U55" i="12"/>
  <c r="Q44" i="8" s="1"/>
  <c r="U62" i="12"/>
  <c r="Q51" i="8" s="1"/>
  <c r="U49" i="12"/>
  <c r="Q38" i="8" s="1"/>
  <c r="U53" i="12"/>
  <c r="Q42" i="8" s="1"/>
  <c r="U72" i="12"/>
  <c r="Q61" i="8" s="1"/>
  <c r="U51" i="12"/>
  <c r="Q40" i="8" s="1"/>
  <c r="U64" i="12"/>
  <c r="Q53" i="8" s="1"/>
  <c r="U48" i="12"/>
  <c r="Q37" i="8" s="1"/>
  <c r="U46" i="12"/>
  <c r="Q35" i="8" s="1"/>
  <c r="U50" i="12"/>
  <c r="Q39" i="8" s="1"/>
  <c r="U68" i="12"/>
  <c r="Q57" i="8" s="1"/>
  <c r="U70" i="12"/>
  <c r="Q59" i="8" s="1"/>
  <c r="U58" i="12"/>
  <c r="Q47" i="8" s="1"/>
  <c r="U41" i="12"/>
  <c r="U57" i="12"/>
  <c r="Q46" i="8" s="1"/>
  <c r="AA73" i="12"/>
  <c r="W62" i="8" s="1"/>
  <c r="AI73" i="12"/>
  <c r="AE62" i="8" s="1"/>
  <c r="L73" i="12"/>
  <c r="H62" i="8" s="1"/>
  <c r="H73" i="12"/>
  <c r="D62" i="8" s="1"/>
  <c r="AE71" i="12"/>
  <c r="AA60" i="8" s="1"/>
  <c r="G71" i="12"/>
  <c r="C60" i="8" s="1"/>
  <c r="Y71" i="12"/>
  <c r="U60" i="8" s="1"/>
  <c r="AC71" i="12"/>
  <c r="Y60" i="8" s="1"/>
  <c r="AA69" i="12"/>
  <c r="W58" i="8" s="1"/>
  <c r="AI69" i="12"/>
  <c r="AE58" i="8" s="1"/>
  <c r="M69" i="12"/>
  <c r="I58" i="8" s="1"/>
  <c r="I69" i="12"/>
  <c r="E58" i="8" s="1"/>
  <c r="AK67" i="12"/>
  <c r="AG56" i="8" s="1"/>
  <c r="W67" i="12"/>
  <c r="S56" i="8" s="1"/>
  <c r="Y67" i="12"/>
  <c r="U56" i="8" s="1"/>
  <c r="AA67" i="12"/>
  <c r="W56" i="8" s="1"/>
  <c r="Q65" i="12"/>
  <c r="M54" i="8" s="1"/>
  <c r="S65" i="12"/>
  <c r="O54" i="8" s="1"/>
  <c r="U65" i="12"/>
  <c r="Q54" i="8" s="1"/>
  <c r="G65" i="12"/>
  <c r="C54" i="8" s="1"/>
  <c r="AD63" i="12"/>
  <c r="Z52" i="8" s="1"/>
  <c r="X63" i="12"/>
  <c r="T52" i="8" s="1"/>
  <c r="Z63" i="12"/>
  <c r="V52" i="8" s="1"/>
  <c r="Q61" i="12"/>
  <c r="M50" i="8" s="1"/>
  <c r="S61" i="12"/>
  <c r="O50" i="8" s="1"/>
  <c r="N61" i="12"/>
  <c r="J50" i="8" s="1"/>
  <c r="AD59" i="12"/>
  <c r="Z48" i="8" s="1"/>
  <c r="Y59" i="12"/>
  <c r="U48" i="8" s="1"/>
  <c r="R57" i="12"/>
  <c r="N46" i="8" s="1"/>
  <c r="AK57" i="12"/>
  <c r="AG46" i="8" s="1"/>
  <c r="X57" i="12"/>
  <c r="T46" i="8" s="1"/>
  <c r="AI48" i="12"/>
  <c r="AE37" i="8" s="1"/>
  <c r="F48" i="12"/>
  <c r="L48" i="12"/>
  <c r="H37" i="8" s="1"/>
  <c r="AC74" i="12"/>
  <c r="Y63" i="8" s="1"/>
  <c r="AL74" i="12"/>
  <c r="AH63" i="8" s="1"/>
  <c r="S74" i="12"/>
  <c r="O63" i="8" s="1"/>
  <c r="AC72" i="12"/>
  <c r="Y61" i="8" s="1"/>
  <c r="AD72" i="12"/>
  <c r="Z61" i="8" s="1"/>
  <c r="H70" i="12"/>
  <c r="D59" i="8" s="1"/>
  <c r="O70" i="12"/>
  <c r="K59" i="8" s="1"/>
  <c r="Q68" i="12"/>
  <c r="M57" i="8" s="1"/>
  <c r="S68" i="12"/>
  <c r="O57" i="8" s="1"/>
  <c r="U66" i="12"/>
  <c r="Q55" i="8" s="1"/>
  <c r="R66" i="12"/>
  <c r="N55" i="8" s="1"/>
  <c r="I56" i="12"/>
  <c r="E45" i="8" s="1"/>
  <c r="Y51" i="12"/>
  <c r="U40" i="8" s="1"/>
  <c r="K58" i="12"/>
  <c r="G47" i="8" s="1"/>
  <c r="AJ50" i="12"/>
  <c r="AF39" i="8" s="1"/>
  <c r="V46" i="12"/>
  <c r="R35" i="8" s="1"/>
  <c r="X74" i="11"/>
  <c r="T31" i="8" s="1"/>
  <c r="X61" i="11"/>
  <c r="T18" i="8" s="1"/>
  <c r="L57" i="12"/>
  <c r="H46" i="8" s="1"/>
  <c r="T61" i="12"/>
  <c r="P50" i="8" s="1"/>
  <c r="G47" i="12"/>
  <c r="C36" i="8" s="1"/>
  <c r="G55" i="12"/>
  <c r="C44" i="8" s="1"/>
  <c r="G51" i="12"/>
  <c r="C40" i="8" s="1"/>
  <c r="G60" i="12"/>
  <c r="C49" i="8" s="1"/>
  <c r="G49" i="12"/>
  <c r="C38" i="8" s="1"/>
  <c r="G48" i="12"/>
  <c r="C37" i="8" s="1"/>
  <c r="G58" i="12"/>
  <c r="C47" i="8" s="1"/>
  <c r="G53" i="12"/>
  <c r="C42" i="8" s="1"/>
  <c r="G64" i="12"/>
  <c r="C53" i="8" s="1"/>
  <c r="G46" i="12"/>
  <c r="C35" i="8" s="1"/>
  <c r="G54" i="12"/>
  <c r="C43" i="8" s="1"/>
  <c r="G50" i="12"/>
  <c r="C39" i="8" s="1"/>
  <c r="G62" i="12"/>
  <c r="C51" i="8" s="1"/>
  <c r="G72" i="12"/>
  <c r="C61" i="8" s="1"/>
  <c r="M54" i="12"/>
  <c r="I43" i="8" s="1"/>
  <c r="M51" i="12"/>
  <c r="I40" i="8" s="1"/>
  <c r="M47" i="12"/>
  <c r="I36" i="8" s="1"/>
  <c r="M55" i="12"/>
  <c r="I44" i="8" s="1"/>
  <c r="M72" i="12"/>
  <c r="I61" i="8" s="1"/>
  <c r="M62" i="12"/>
  <c r="I51" i="8" s="1"/>
  <c r="M49" i="12"/>
  <c r="I38" i="8" s="1"/>
  <c r="M64" i="12"/>
  <c r="I53" i="8" s="1"/>
  <c r="M48" i="12"/>
  <c r="I37" i="8" s="1"/>
  <c r="M52" i="12"/>
  <c r="I41" i="8" s="1"/>
  <c r="M53" i="12"/>
  <c r="I42" i="8" s="1"/>
  <c r="M46" i="12"/>
  <c r="I35" i="8" s="1"/>
  <c r="M66" i="12"/>
  <c r="I55" i="8" s="1"/>
  <c r="M70" i="12"/>
  <c r="I59" i="8" s="1"/>
  <c r="M50" i="12"/>
  <c r="I39" i="8" s="1"/>
  <c r="F73" i="12"/>
  <c r="T73" i="12"/>
  <c r="P62" i="8" s="1"/>
  <c r="P73" i="12"/>
  <c r="L62" i="8" s="1"/>
  <c r="J71" i="12"/>
  <c r="F60" i="8" s="1"/>
  <c r="W71" i="12"/>
  <c r="S60" i="8" s="1"/>
  <c r="AK71" i="12"/>
  <c r="AG60" i="8" s="1"/>
  <c r="N69" i="12"/>
  <c r="J58" i="8" s="1"/>
  <c r="F69" i="12"/>
  <c r="Q69" i="12"/>
  <c r="M58" i="8" s="1"/>
  <c r="F67" i="12"/>
  <c r="AE67" i="12"/>
  <c r="AA56" i="8" s="1"/>
  <c r="AI67" i="12"/>
  <c r="AE56" i="8" s="1"/>
  <c r="Y65" i="12"/>
  <c r="U54" i="8" s="1"/>
  <c r="AA65" i="12"/>
  <c r="W54" i="8" s="1"/>
  <c r="AC65" i="12"/>
  <c r="Y54" i="8" s="1"/>
  <c r="M63" i="12"/>
  <c r="I52" i="8" s="1"/>
  <c r="AL63" i="12"/>
  <c r="AH52" i="8" s="1"/>
  <c r="AF63" i="12"/>
  <c r="AB52" i="8" s="1"/>
  <c r="AH63" i="12"/>
  <c r="AD52" i="8" s="1"/>
  <c r="Y61" i="12"/>
  <c r="U50" i="8" s="1"/>
  <c r="AA61" i="12"/>
  <c r="W50" i="8" s="1"/>
  <c r="M59" i="12"/>
  <c r="I48" i="8" s="1"/>
  <c r="AL59" i="12"/>
  <c r="AH48" i="8" s="1"/>
  <c r="Z57" i="12"/>
  <c r="V46" i="8" s="1"/>
  <c r="F57" i="12"/>
  <c r="AF57" i="12"/>
  <c r="AB46" i="8" s="1"/>
  <c r="X41" i="12"/>
  <c r="R60" i="12"/>
  <c r="N49" i="8" s="1"/>
  <c r="AA62" i="12"/>
  <c r="W51" i="8" s="1"/>
  <c r="AA49" i="12"/>
  <c r="W38" i="8" s="1"/>
  <c r="AA53" i="12"/>
  <c r="W42" i="8" s="1"/>
  <c r="AA48" i="12"/>
  <c r="W37" i="8" s="1"/>
  <c r="AA52" i="12"/>
  <c r="W41" i="8" s="1"/>
  <c r="AA64" i="12"/>
  <c r="W53" i="8" s="1"/>
  <c r="AA70" i="12"/>
  <c r="W59" i="8" s="1"/>
  <c r="AA46" i="12"/>
  <c r="W35" i="8" s="1"/>
  <c r="AA51" i="12"/>
  <c r="W40" i="8" s="1"/>
  <c r="AA55" i="12"/>
  <c r="W44" i="8" s="1"/>
  <c r="AA60" i="12"/>
  <c r="W49" i="8" s="1"/>
  <c r="AA66" i="12"/>
  <c r="W55" i="8" s="1"/>
  <c r="AA50" i="12"/>
  <c r="W39" i="8" s="1"/>
  <c r="AA58" i="12"/>
  <c r="W47" i="8" s="1"/>
  <c r="AA72" i="12"/>
  <c r="W61" i="8" s="1"/>
  <c r="AA54" i="12"/>
  <c r="W43" i="8" s="1"/>
  <c r="AA68" i="12"/>
  <c r="W57" i="8" s="1"/>
  <c r="AA74" i="12"/>
  <c r="W63" i="8" s="1"/>
  <c r="AG48" i="12"/>
  <c r="AC37" i="8" s="1"/>
  <c r="AG62" i="12"/>
  <c r="AC51" i="8" s="1"/>
  <c r="AG66" i="12"/>
  <c r="AC55" i="8" s="1"/>
  <c r="AG46" i="12"/>
  <c r="AC35" i="8" s="1"/>
  <c r="AG68" i="12"/>
  <c r="AC57" i="8" s="1"/>
  <c r="AG50" i="12"/>
  <c r="AC39" i="8" s="1"/>
  <c r="AG52" i="12"/>
  <c r="AC41" i="8" s="1"/>
  <c r="AG41" i="12"/>
  <c r="AG53" i="12"/>
  <c r="AC42" i="8" s="1"/>
  <c r="AG56" i="12"/>
  <c r="AC45" i="8" s="1"/>
  <c r="AG54" i="12"/>
  <c r="AC43" i="8" s="1"/>
  <c r="AG47" i="12"/>
  <c r="AC36" i="8" s="1"/>
  <c r="AG51" i="12"/>
  <c r="AC40" i="8" s="1"/>
  <c r="AG60" i="12"/>
  <c r="AC49" i="8" s="1"/>
  <c r="U74" i="12"/>
  <c r="Q63" i="8" s="1"/>
  <c r="P74" i="12"/>
  <c r="L63" i="8" s="1"/>
  <c r="G74" i="12"/>
  <c r="C63" i="8" s="1"/>
  <c r="AI74" i="12"/>
  <c r="AE63" i="8" s="1"/>
  <c r="P72" i="12"/>
  <c r="L61" i="8" s="1"/>
  <c r="AL72" i="12"/>
  <c r="AH61" i="8" s="1"/>
  <c r="Y70" i="12"/>
  <c r="U59" i="8" s="1"/>
  <c r="J70" i="12"/>
  <c r="F59" i="8" s="1"/>
  <c r="T68" i="12"/>
  <c r="P57" i="8" s="1"/>
  <c r="V68" i="12"/>
  <c r="R57" i="8" s="1"/>
  <c r="N66" i="12"/>
  <c r="J55" i="8" s="1"/>
  <c r="F64" i="12"/>
  <c r="S53" i="12"/>
  <c r="O42" i="8" s="1"/>
  <c r="AB51" i="12"/>
  <c r="X40" i="8" s="1"/>
  <c r="AA47" i="12"/>
  <c r="W36" i="8" s="1"/>
  <c r="M58" i="12"/>
  <c r="I47" i="8" s="1"/>
  <c r="AI52" i="12"/>
  <c r="AE41" i="8" s="1"/>
  <c r="AD50" i="12"/>
  <c r="Z39" i="8" s="1"/>
  <c r="L49" i="12"/>
  <c r="H38" i="8" s="1"/>
  <c r="AI47" i="12"/>
  <c r="AE36" i="8" s="1"/>
  <c r="L62" i="12"/>
  <c r="H51" i="8" s="1"/>
  <c r="AL62" i="12"/>
  <c r="AH51" i="8" s="1"/>
  <c r="F58" i="12"/>
  <c r="F54" i="12"/>
  <c r="AL50" i="12"/>
  <c r="AH39" i="8" s="1"/>
  <c r="AL70" i="12"/>
  <c r="AH59" i="8" s="1"/>
  <c r="F68" i="12"/>
  <c r="AI68" i="12"/>
  <c r="AE57" i="8" s="1"/>
  <c r="AL66" i="12"/>
  <c r="AH55" i="8" s="1"/>
  <c r="F60" i="12"/>
  <c r="AI55" i="12"/>
  <c r="AE44" i="8" s="1"/>
  <c r="F55" i="12"/>
  <c r="F51" i="12"/>
  <c r="L47" i="12"/>
  <c r="H36" i="8" s="1"/>
  <c r="F47" i="12"/>
  <c r="AL58" i="12"/>
  <c r="AH47" i="8" s="1"/>
  <c r="AI54" i="12"/>
  <c r="AE43" i="8" s="1"/>
  <c r="AL46" i="12"/>
  <c r="AH35" i="8" s="1"/>
  <c r="AL51" i="12"/>
  <c r="AH40" i="8" s="1"/>
  <c r="AI58" i="12"/>
  <c r="AE47" i="8" s="1"/>
  <c r="L54" i="12"/>
  <c r="H43" i="8" s="1"/>
  <c r="AL48" i="12"/>
  <c r="AH37" i="8" s="1"/>
  <c r="AL64" i="12"/>
  <c r="AH53" i="8" s="1"/>
  <c r="L56" i="12"/>
  <c r="H45" i="8" s="1"/>
  <c r="AL56" i="12"/>
  <c r="AH45" i="8" s="1"/>
  <c r="AL53" i="12"/>
  <c r="AH42" i="8" s="1"/>
  <c r="L51" i="12"/>
  <c r="H40" i="8" s="1"/>
  <c r="AL49" i="12"/>
  <c r="AH38" i="8" s="1"/>
  <c r="F41" i="12"/>
  <c r="L58" i="12"/>
  <c r="H47" i="8" s="1"/>
  <c r="AL54" i="12"/>
  <c r="AH43" i="8" s="1"/>
  <c r="F52" i="12"/>
  <c r="AI50" i="12"/>
  <c r="AE39" i="8" s="1"/>
  <c r="AL68" i="12"/>
  <c r="AH57" i="8" s="1"/>
  <c r="AI66" i="12"/>
  <c r="AE55" i="8" s="1"/>
  <c r="AI60" i="12"/>
  <c r="AE49" i="8" s="1"/>
  <c r="AI51" i="12"/>
  <c r="AE40" i="8" s="1"/>
  <c r="L50" i="12"/>
  <c r="H39" i="8" s="1"/>
  <c r="F50" i="12"/>
  <c r="AI46" i="12"/>
  <c r="AE35" i="8" s="1"/>
  <c r="F70" i="12"/>
  <c r="AI70" i="12"/>
  <c r="AE59" i="8" s="1"/>
  <c r="L68" i="12"/>
  <c r="H57" i="8" s="1"/>
  <c r="L66" i="12"/>
  <c r="H55" i="8" s="1"/>
  <c r="F66" i="12"/>
  <c r="L60" i="12"/>
  <c r="H49" i="8" s="1"/>
  <c r="AL60" i="12"/>
  <c r="AH49" i="8" s="1"/>
  <c r="AI63" i="12"/>
  <c r="AE52" i="8" s="1"/>
  <c r="AL55" i="12"/>
  <c r="AH44" i="8" s="1"/>
  <c r="AL47" i="12"/>
  <c r="AH36" i="8" s="1"/>
  <c r="L46" i="12"/>
  <c r="H35" i="8" s="1"/>
  <c r="F46" i="12"/>
  <c r="AI64" i="12"/>
  <c r="AE53" i="8" s="1"/>
  <c r="L55" i="12"/>
  <c r="H44" i="8" s="1"/>
  <c r="AI53" i="12"/>
  <c r="AE42" i="8" s="1"/>
  <c r="T41" i="11"/>
  <c r="V63" i="11"/>
  <c r="R20" i="8" s="1"/>
  <c r="L57" i="11"/>
  <c r="H14" i="8" s="1"/>
  <c r="J68" i="11"/>
  <c r="F25" i="8" s="1"/>
  <c r="AH70" i="11"/>
  <c r="AD27" i="8" s="1"/>
  <c r="Q41" i="11"/>
  <c r="AC41" i="11"/>
  <c r="F67" i="11"/>
  <c r="N63" i="11"/>
  <c r="J20" i="8" s="1"/>
  <c r="Y73" i="11"/>
  <c r="U30" i="8" s="1"/>
  <c r="AG74" i="11"/>
  <c r="AC31" i="8" s="1"/>
  <c r="G63" i="11"/>
  <c r="C20" i="8" s="1"/>
  <c r="AJ56" i="11"/>
  <c r="AF13" i="8" s="1"/>
  <c r="AI62" i="11"/>
  <c r="AE19" i="8" s="1"/>
  <c r="K53" i="11"/>
  <c r="G10" i="8" s="1"/>
  <c r="H49" i="11"/>
  <c r="D6" i="8" s="1"/>
  <c r="G67" i="11"/>
  <c r="C24" i="8" s="1"/>
  <c r="K67" i="11"/>
  <c r="G24" i="8" s="1"/>
  <c r="M69" i="11"/>
  <c r="I26" i="8" s="1"/>
  <c r="K68" i="11"/>
  <c r="G25" i="8" s="1"/>
  <c r="F54" i="11"/>
  <c r="I49" i="11"/>
  <c r="E6" i="8" s="1"/>
  <c r="AH47" i="11"/>
  <c r="AD4" i="8" s="1"/>
  <c r="S58" i="11"/>
  <c r="O15" i="8" s="1"/>
  <c r="R63" i="11"/>
  <c r="N20" i="8" s="1"/>
  <c r="Q63" i="11"/>
  <c r="M20" i="8" s="1"/>
  <c r="T51" i="11"/>
  <c r="P8" i="8" s="1"/>
  <c r="M49" i="11"/>
  <c r="I6" i="8" s="1"/>
  <c r="AL74" i="11"/>
  <c r="AH31" i="8" s="1"/>
  <c r="J60" i="11"/>
  <c r="F17" i="8" s="1"/>
  <c r="J67" i="11"/>
  <c r="F24" i="8" s="1"/>
  <c r="M47" i="11"/>
  <c r="I4" i="8" s="1"/>
  <c r="AB55" i="11"/>
  <c r="X12" i="8" s="1"/>
  <c r="Z72" i="11"/>
  <c r="V29" i="8" s="1"/>
  <c r="AH63" i="11"/>
  <c r="AD20" i="8" s="1"/>
  <c r="J57" i="11"/>
  <c r="F14" i="8" s="1"/>
  <c r="AH54" i="11"/>
  <c r="AD11" i="8" s="1"/>
  <c r="J63" i="11"/>
  <c r="F20" i="8" s="1"/>
  <c r="AH49" i="11"/>
  <c r="AD6" i="8" s="1"/>
  <c r="AH67" i="11"/>
  <c r="AD24" i="8" s="1"/>
  <c r="AA57" i="11"/>
  <c r="W14" i="8" s="1"/>
  <c r="S74" i="11"/>
  <c r="O31" i="8" s="1"/>
  <c r="AJ70" i="11"/>
  <c r="AF27" i="8" s="1"/>
  <c r="Y69" i="11"/>
  <c r="U26" i="8" s="1"/>
  <c r="AG49" i="11"/>
  <c r="AC6" i="8" s="1"/>
  <c r="AG64" i="11"/>
  <c r="AC21" i="8" s="1"/>
  <c r="M67" i="11"/>
  <c r="I24" i="8" s="1"/>
  <c r="AK59" i="11"/>
  <c r="AG16" i="8" s="1"/>
  <c r="AK47" i="11"/>
  <c r="AG4" i="8" s="1"/>
  <c r="AK57" i="11"/>
  <c r="AG14" i="8" s="1"/>
  <c r="O70" i="11"/>
  <c r="K27" i="8" s="1"/>
  <c r="AB61" i="11"/>
  <c r="X18" i="8" s="1"/>
  <c r="AJ74" i="11"/>
  <c r="AF31" i="8" s="1"/>
  <c r="Z66" i="11"/>
  <c r="V23" i="8" s="1"/>
  <c r="S62" i="11"/>
  <c r="O19" i="8" s="1"/>
  <c r="S61" i="11"/>
  <c r="O18" i="8" s="1"/>
  <c r="S53" i="11"/>
  <c r="O10" i="8" s="1"/>
  <c r="M53" i="11"/>
  <c r="I10" i="8" s="1"/>
  <c r="K57" i="11"/>
  <c r="G14" i="8" s="1"/>
  <c r="Q70" i="11"/>
  <c r="M27" i="8" s="1"/>
  <c r="S46" i="11"/>
  <c r="O3" i="8" s="1"/>
  <c r="O67" i="11"/>
  <c r="K24" i="8" s="1"/>
  <c r="AA59" i="11"/>
  <c r="W16" i="8" s="1"/>
  <c r="M61" i="11"/>
  <c r="I18" i="8" s="1"/>
  <c r="O46" i="11"/>
  <c r="K3" i="8" s="1"/>
  <c r="S66" i="11"/>
  <c r="O23" i="8" s="1"/>
  <c r="O59" i="11"/>
  <c r="K16" i="8" s="1"/>
  <c r="AI70" i="11"/>
  <c r="AE27" i="8" s="1"/>
  <c r="I41" i="11"/>
  <c r="K63" i="11"/>
  <c r="G20" i="8" s="1"/>
  <c r="T49" i="11"/>
  <c r="P6" i="8" s="1"/>
  <c r="AB41" i="11"/>
  <c r="S67" i="11"/>
  <c r="O24" i="8" s="1"/>
  <c r="N67" i="11"/>
  <c r="J24" i="8" s="1"/>
  <c r="G59" i="11"/>
  <c r="C16" i="8" s="1"/>
  <c r="Y47" i="11"/>
  <c r="U4" i="8" s="1"/>
  <c r="W41" i="11"/>
  <c r="AF69" i="11"/>
  <c r="AB26" i="8" s="1"/>
  <c r="AJ57" i="11"/>
  <c r="AF14" i="8" s="1"/>
  <c r="AE66" i="11"/>
  <c r="AA23" i="8" s="1"/>
  <c r="L74" i="11"/>
  <c r="H31" i="8" s="1"/>
  <c r="S70" i="11"/>
  <c r="O27" i="8" s="1"/>
  <c r="Y64" i="11"/>
  <c r="U21" i="8" s="1"/>
  <c r="AF41" i="11"/>
  <c r="AK64" i="11"/>
  <c r="AG21" i="8" s="1"/>
  <c r="AD41" i="11"/>
  <c r="S59" i="11"/>
  <c r="O16" i="8" s="1"/>
  <c r="F50" i="11"/>
  <c r="M41" i="11"/>
  <c r="AK63" i="11"/>
  <c r="AG20" i="8" s="1"/>
  <c r="Y63" i="11"/>
  <c r="U20" i="8" s="1"/>
  <c r="AJ49" i="11"/>
  <c r="AF6" i="8" s="1"/>
  <c r="Z54" i="11"/>
  <c r="V11" i="8" s="1"/>
  <c r="J71" i="11"/>
  <c r="F28" i="8" s="1"/>
  <c r="AK74" i="11"/>
  <c r="AG31" i="8" s="1"/>
  <c r="K70" i="11"/>
  <c r="G27" i="8" s="1"/>
  <c r="AH64" i="11"/>
  <c r="AD21" i="8" s="1"/>
  <c r="AA62" i="11"/>
  <c r="W19" i="8" s="1"/>
  <c r="AH51" i="11"/>
  <c r="AD8" i="8" s="1"/>
  <c r="J50" i="11"/>
  <c r="F7" i="8" s="1"/>
  <c r="K71" i="11"/>
  <c r="G28" i="8" s="1"/>
  <c r="Z63" i="11"/>
  <c r="V20" i="8" s="1"/>
  <c r="AB63" i="11"/>
  <c r="X20" i="8" s="1"/>
  <c r="S47" i="11"/>
  <c r="O4" i="8" s="1"/>
  <c r="AA67" i="11"/>
  <c r="W24" i="8" s="1"/>
  <c r="K59" i="11"/>
  <c r="G16" i="8" s="1"/>
  <c r="G41" i="11"/>
  <c r="M64" i="11"/>
  <c r="I21" i="8" s="1"/>
  <c r="Y57" i="11"/>
  <c r="U14" i="8" s="1"/>
  <c r="M60" i="11"/>
  <c r="I17" i="8" s="1"/>
  <c r="V59" i="11"/>
  <c r="R16" i="8" s="1"/>
  <c r="F70" i="11"/>
  <c r="AJ64" i="11"/>
  <c r="AF21" i="8" s="1"/>
  <c r="G62" i="11"/>
  <c r="C19" i="8" s="1"/>
  <c r="AH56" i="11"/>
  <c r="AD13" i="8" s="1"/>
  <c r="S65" i="11"/>
  <c r="O22" i="8" s="1"/>
  <c r="S51" i="11"/>
  <c r="O8" i="8" s="1"/>
  <c r="S73" i="11"/>
  <c r="O30" i="8" s="1"/>
  <c r="X71" i="11"/>
  <c r="T28" i="8" s="1"/>
  <c r="U59" i="11"/>
  <c r="Q16" i="8" s="1"/>
  <c r="S63" i="11"/>
  <c r="O20" i="8" s="1"/>
  <c r="AL63" i="11"/>
  <c r="AH20" i="8" s="1"/>
  <c r="AK49" i="11"/>
  <c r="AG6" i="8" s="1"/>
  <c r="T70" i="11"/>
  <c r="P27" i="8" s="1"/>
  <c r="AG67" i="11"/>
  <c r="AC24" i="8" s="1"/>
  <c r="AG59" i="11"/>
  <c r="AC16" i="8" s="1"/>
  <c r="AJ59" i="11"/>
  <c r="AF16" i="8" s="1"/>
  <c r="AH41" i="11"/>
  <c r="AG57" i="11"/>
  <c r="AC14" i="8" s="1"/>
  <c r="AG66" i="11"/>
  <c r="AC23" i="8" s="1"/>
  <c r="N64" i="11"/>
  <c r="J21" i="8" s="1"/>
  <c r="Z62" i="11"/>
  <c r="V19" i="8" s="1"/>
  <c r="S56" i="11"/>
  <c r="O13" i="8" s="1"/>
  <c r="AG65" i="11"/>
  <c r="AC22" i="8" s="1"/>
  <c r="P73" i="11"/>
  <c r="L30" i="8" s="1"/>
  <c r="I74" i="11"/>
  <c r="E31" i="8" s="1"/>
  <c r="W63" i="11"/>
  <c r="S20" i="8" s="1"/>
  <c r="Z52" i="11"/>
  <c r="V9" i="8" s="1"/>
  <c r="AK66" i="11"/>
  <c r="AG23" i="8" s="1"/>
  <c r="AA73" i="11"/>
  <c r="W30" i="8" s="1"/>
  <c r="S55" i="11"/>
  <c r="O12" i="8" s="1"/>
  <c r="V49" i="11"/>
  <c r="R6" i="8" s="1"/>
  <c r="AC68" i="11"/>
  <c r="Y25" i="8" s="1"/>
  <c r="AC71" i="11"/>
  <c r="Y28" i="8" s="1"/>
  <c r="AC65" i="11"/>
  <c r="Y22" i="8" s="1"/>
  <c r="AC50" i="11"/>
  <c r="Y7" i="8" s="1"/>
  <c r="AC63" i="11"/>
  <c r="Y20" i="8" s="1"/>
  <c r="AC61" i="11"/>
  <c r="Y18" i="8" s="1"/>
  <c r="AC52" i="11"/>
  <c r="Y9" i="8" s="1"/>
  <c r="AC60" i="11"/>
  <c r="Y17" i="8" s="1"/>
  <c r="AC64" i="11"/>
  <c r="Y21" i="8" s="1"/>
  <c r="AC66" i="11"/>
  <c r="Y23" i="8" s="1"/>
  <c r="AC56" i="11"/>
  <c r="Y13" i="8" s="1"/>
  <c r="W69" i="11"/>
  <c r="S26" i="8" s="1"/>
  <c r="AC69" i="11"/>
  <c r="Y26" i="8" s="1"/>
  <c r="W57" i="11"/>
  <c r="S14" i="8" s="1"/>
  <c r="R52" i="11"/>
  <c r="N9" i="8" s="1"/>
  <c r="R60" i="11"/>
  <c r="N17" i="8" s="1"/>
  <c r="R59" i="11"/>
  <c r="N16" i="8" s="1"/>
  <c r="R56" i="11"/>
  <c r="N13" i="8" s="1"/>
  <c r="R65" i="11"/>
  <c r="N22" i="8" s="1"/>
  <c r="R58" i="11"/>
  <c r="N15" i="8" s="1"/>
  <c r="R57" i="11"/>
  <c r="N14" i="8" s="1"/>
  <c r="R47" i="11"/>
  <c r="N4" i="8" s="1"/>
  <c r="H74" i="11"/>
  <c r="D31" i="8" s="1"/>
  <c r="R74" i="11"/>
  <c r="N31" i="8" s="1"/>
  <c r="I68" i="11"/>
  <c r="E25" i="8" s="1"/>
  <c r="W58" i="11"/>
  <c r="S15" i="8" s="1"/>
  <c r="L51" i="11"/>
  <c r="H8" i="8" s="1"/>
  <c r="AF73" i="11"/>
  <c r="AB30" i="8" s="1"/>
  <c r="AL53" i="11"/>
  <c r="AH10" i="8" s="1"/>
  <c r="AC55" i="11"/>
  <c r="Y12" i="8" s="1"/>
  <c r="AC72" i="11"/>
  <c r="Y29" i="8" s="1"/>
  <c r="I59" i="11"/>
  <c r="E16" i="8" s="1"/>
  <c r="T47" i="11"/>
  <c r="P4" i="8" s="1"/>
  <c r="O50" i="11"/>
  <c r="K7" i="8" s="1"/>
  <c r="O72" i="11"/>
  <c r="K29" i="8" s="1"/>
  <c r="O63" i="11"/>
  <c r="K20" i="8" s="1"/>
  <c r="O64" i="11"/>
  <c r="K21" i="8" s="1"/>
  <c r="O57" i="11"/>
  <c r="K14" i="8" s="1"/>
  <c r="O48" i="11"/>
  <c r="K5" i="8" s="1"/>
  <c r="O71" i="11"/>
  <c r="K28" i="8" s="1"/>
  <c r="O47" i="11"/>
  <c r="K4" i="8" s="1"/>
  <c r="O73" i="11"/>
  <c r="K30" i="8" s="1"/>
  <c r="O52" i="11"/>
  <c r="K9" i="8" s="1"/>
  <c r="O58" i="11"/>
  <c r="K15" i="8" s="1"/>
  <c r="O49" i="11"/>
  <c r="K6" i="8" s="1"/>
  <c r="O60" i="11"/>
  <c r="K17" i="8" s="1"/>
  <c r="O62" i="11"/>
  <c r="K19" i="8" s="1"/>
  <c r="O66" i="11"/>
  <c r="K23" i="8" s="1"/>
  <c r="F63" i="11"/>
  <c r="AI63" i="11"/>
  <c r="AE20" i="8" s="1"/>
  <c r="AG63" i="11"/>
  <c r="AC20" i="8" s="1"/>
  <c r="Y49" i="11"/>
  <c r="U6" i="8" s="1"/>
  <c r="AB49" i="11"/>
  <c r="X6" i="8" s="1"/>
  <c r="M70" i="11"/>
  <c r="I27" i="8" s="1"/>
  <c r="AJ51" i="11"/>
  <c r="AF8" i="8" s="1"/>
  <c r="K41" i="11"/>
  <c r="AD59" i="11"/>
  <c r="Z16" i="8" s="1"/>
  <c r="AD53" i="11"/>
  <c r="Z10" i="8" s="1"/>
  <c r="AD56" i="11"/>
  <c r="Z13" i="8" s="1"/>
  <c r="AD51" i="11"/>
  <c r="Z8" i="8" s="1"/>
  <c r="AD60" i="11"/>
  <c r="Z17" i="8" s="1"/>
  <c r="AD70" i="11"/>
  <c r="Z27" i="8" s="1"/>
  <c r="AD74" i="11"/>
  <c r="Z31" i="8" s="1"/>
  <c r="AD65" i="11"/>
  <c r="Z22" i="8" s="1"/>
  <c r="AD64" i="11"/>
  <c r="Z21" i="8" s="1"/>
  <c r="AD48" i="11"/>
  <c r="Z5" i="8" s="1"/>
  <c r="AD50" i="11"/>
  <c r="Z7" i="8" s="1"/>
  <c r="AD52" i="11"/>
  <c r="Z9" i="8" s="1"/>
  <c r="AD46" i="11"/>
  <c r="Z3" i="8" s="1"/>
  <c r="AD55" i="11"/>
  <c r="Z12" i="8" s="1"/>
  <c r="AD73" i="11"/>
  <c r="Z30" i="8" s="1"/>
  <c r="AD54" i="11"/>
  <c r="Z11" i="8" s="1"/>
  <c r="AD71" i="11"/>
  <c r="Z28" i="8" s="1"/>
  <c r="AD49" i="11"/>
  <c r="Z6" i="8" s="1"/>
  <c r="AD61" i="11"/>
  <c r="Z18" i="8" s="1"/>
  <c r="AD68" i="11"/>
  <c r="Z25" i="8" s="1"/>
  <c r="AD69" i="11"/>
  <c r="Z26" i="8" s="1"/>
  <c r="AE67" i="11"/>
  <c r="AA24" i="8" s="1"/>
  <c r="Z67" i="11"/>
  <c r="V24" i="8" s="1"/>
  <c r="AD67" i="11"/>
  <c r="Z24" i="8" s="1"/>
  <c r="M59" i="11"/>
  <c r="I16" i="8" s="1"/>
  <c r="F59" i="11"/>
  <c r="AF59" i="11"/>
  <c r="AB16" i="8" s="1"/>
  <c r="F47" i="11"/>
  <c r="F49" i="11"/>
  <c r="F69" i="11"/>
  <c r="J69" i="11"/>
  <c r="F26" i="8" s="1"/>
  <c r="Z57" i="11"/>
  <c r="V14" i="8" s="1"/>
  <c r="M57" i="11"/>
  <c r="I14" i="8" s="1"/>
  <c r="AE57" i="11"/>
  <c r="AA14" i="8" s="1"/>
  <c r="AI49" i="11"/>
  <c r="AE6" i="8" s="1"/>
  <c r="Z61" i="11"/>
  <c r="V18" i="8" s="1"/>
  <c r="F74" i="11"/>
  <c r="AH74" i="11"/>
  <c r="AD31" i="8" s="1"/>
  <c r="N70" i="11"/>
  <c r="J27" i="8" s="1"/>
  <c r="AF70" i="11"/>
  <c r="AB27" i="8" s="1"/>
  <c r="M68" i="11"/>
  <c r="I25" i="8" s="1"/>
  <c r="AA68" i="11"/>
  <c r="W25" i="8" s="1"/>
  <c r="AF68" i="11"/>
  <c r="AB25" i="8" s="1"/>
  <c r="F66" i="11"/>
  <c r="AH66" i="11"/>
  <c r="AD23" i="8" s="1"/>
  <c r="Z60" i="11"/>
  <c r="V17" i="8" s="1"/>
  <c r="O54" i="11"/>
  <c r="K11" i="8" s="1"/>
  <c r="J52" i="11"/>
  <c r="F9" i="8" s="1"/>
  <c r="U65" i="11"/>
  <c r="Q22" i="8" s="1"/>
  <c r="O61" i="11"/>
  <c r="K18" i="8" s="1"/>
  <c r="R41" i="11"/>
  <c r="AC51" i="11"/>
  <c r="Y8" i="8" s="1"/>
  <c r="L55" i="11"/>
  <c r="H12" i="8" s="1"/>
  <c r="O53" i="11"/>
  <c r="K10" i="8" s="1"/>
  <c r="F55" i="11"/>
  <c r="Z46" i="11"/>
  <c r="V3" i="8" s="1"/>
  <c r="U72" i="11"/>
  <c r="Q29" i="8" s="1"/>
  <c r="AE50" i="11"/>
  <c r="AA7" i="8" s="1"/>
  <c r="H48" i="11"/>
  <c r="D5" i="8" s="1"/>
  <c r="H73" i="11"/>
  <c r="D30" i="8" s="1"/>
  <c r="H62" i="11"/>
  <c r="D19" i="8" s="1"/>
  <c r="H64" i="11"/>
  <c r="D21" i="8" s="1"/>
  <c r="H66" i="11"/>
  <c r="D23" i="8" s="1"/>
  <c r="H51" i="11"/>
  <c r="D8" i="8" s="1"/>
  <c r="H56" i="11"/>
  <c r="D13" i="8" s="1"/>
  <c r="H72" i="11"/>
  <c r="D29" i="8" s="1"/>
  <c r="H50" i="11"/>
  <c r="D7" i="8" s="1"/>
  <c r="H46" i="11"/>
  <c r="D3" i="8" s="1"/>
  <c r="H55" i="11"/>
  <c r="D12" i="8" s="1"/>
  <c r="H61" i="11"/>
  <c r="D18" i="8" s="1"/>
  <c r="H54" i="11"/>
  <c r="D11" i="8" s="1"/>
  <c r="H67" i="11"/>
  <c r="D24" i="8" s="1"/>
  <c r="H47" i="11"/>
  <c r="D4" i="8" s="1"/>
  <c r="Y55" i="11"/>
  <c r="U12" i="8" s="1"/>
  <c r="Y54" i="11"/>
  <c r="U11" i="8" s="1"/>
  <c r="Y62" i="11"/>
  <c r="U19" i="8" s="1"/>
  <c r="Y71" i="11"/>
  <c r="U28" i="8" s="1"/>
  <c r="Y61" i="11"/>
  <c r="U18" i="8" s="1"/>
  <c r="Y52" i="11"/>
  <c r="U9" i="8" s="1"/>
  <c r="Y46" i="11"/>
  <c r="U3" i="8" s="1"/>
  <c r="Y65" i="11"/>
  <c r="U22" i="8" s="1"/>
  <c r="Y51" i="11"/>
  <c r="U8" i="8" s="1"/>
  <c r="Y56" i="11"/>
  <c r="U13" i="8" s="1"/>
  <c r="Y66" i="11"/>
  <c r="U23" i="8" s="1"/>
  <c r="Y68" i="11"/>
  <c r="U25" i="8" s="1"/>
  <c r="Y74" i="11"/>
  <c r="U31" i="8" s="1"/>
  <c r="Y67" i="11"/>
  <c r="U24" i="8" s="1"/>
  <c r="G68" i="11"/>
  <c r="C25" i="8" s="1"/>
  <c r="G72" i="11"/>
  <c r="C29" i="8" s="1"/>
  <c r="G46" i="11"/>
  <c r="C3" i="8" s="1"/>
  <c r="G53" i="11"/>
  <c r="C10" i="8" s="1"/>
  <c r="G51" i="11"/>
  <c r="C8" i="8" s="1"/>
  <c r="G56" i="11"/>
  <c r="C13" i="8" s="1"/>
  <c r="G60" i="11"/>
  <c r="C17" i="8" s="1"/>
  <c r="G70" i="11"/>
  <c r="C27" i="8" s="1"/>
  <c r="G61" i="11"/>
  <c r="C18" i="8" s="1"/>
  <c r="G50" i="11"/>
  <c r="C7" i="8" s="1"/>
  <c r="G55" i="11"/>
  <c r="C12" i="8" s="1"/>
  <c r="G73" i="11"/>
  <c r="C30" i="8" s="1"/>
  <c r="G54" i="11"/>
  <c r="C11" i="8" s="1"/>
  <c r="G48" i="11"/>
  <c r="C5" i="8" s="1"/>
  <c r="G65" i="11"/>
  <c r="C22" i="8" s="1"/>
  <c r="G58" i="11"/>
  <c r="C15" i="8" s="1"/>
  <c r="G52" i="11"/>
  <c r="C9" i="8" s="1"/>
  <c r="H63" i="11"/>
  <c r="D20" i="8" s="1"/>
  <c r="L63" i="11"/>
  <c r="H20" i="8" s="1"/>
  <c r="W67" i="11"/>
  <c r="S24" i="8" s="1"/>
  <c r="G49" i="11"/>
  <c r="C6" i="8" s="1"/>
  <c r="O41" i="11"/>
  <c r="V72" i="11"/>
  <c r="R29" i="8" s="1"/>
  <c r="V56" i="11"/>
  <c r="R13" i="8" s="1"/>
  <c r="V52" i="11"/>
  <c r="R9" i="8" s="1"/>
  <c r="V58" i="11"/>
  <c r="R15" i="8" s="1"/>
  <c r="V48" i="11"/>
  <c r="R5" i="8" s="1"/>
  <c r="V46" i="11"/>
  <c r="R3" i="8" s="1"/>
  <c r="V62" i="11"/>
  <c r="R19" i="8" s="1"/>
  <c r="V66" i="11"/>
  <c r="R23" i="8" s="1"/>
  <c r="V53" i="11"/>
  <c r="R10" i="8" s="1"/>
  <c r="V51" i="11"/>
  <c r="R8" i="8" s="1"/>
  <c r="V60" i="11"/>
  <c r="R17" i="8" s="1"/>
  <c r="V65" i="11"/>
  <c r="R22" i="8" s="1"/>
  <c r="V50" i="11"/>
  <c r="R7" i="8" s="1"/>
  <c r="V55" i="11"/>
  <c r="R12" i="8" s="1"/>
  <c r="V73" i="11"/>
  <c r="R30" i="8" s="1"/>
  <c r="V54" i="11"/>
  <c r="R11" i="8" s="1"/>
  <c r="AL67" i="11"/>
  <c r="AH24" i="8" s="1"/>
  <c r="W59" i="11"/>
  <c r="S16" i="8" s="1"/>
  <c r="L59" i="11"/>
  <c r="H16" i="8" s="1"/>
  <c r="V47" i="11"/>
  <c r="R4" i="8" s="1"/>
  <c r="V41" i="11"/>
  <c r="M56" i="11"/>
  <c r="I13" i="8" s="1"/>
  <c r="M66" i="11"/>
  <c r="I23" i="8" s="1"/>
  <c r="M65" i="11"/>
  <c r="I22" i="8" s="1"/>
  <c r="M50" i="11"/>
  <c r="I7" i="8" s="1"/>
  <c r="M55" i="11"/>
  <c r="I12" i="8" s="1"/>
  <c r="M73" i="11"/>
  <c r="I30" i="8" s="1"/>
  <c r="M54" i="11"/>
  <c r="I11" i="8" s="1"/>
  <c r="M72" i="11"/>
  <c r="I29" i="8" s="1"/>
  <c r="M46" i="11"/>
  <c r="I3" i="8" s="1"/>
  <c r="M71" i="11"/>
  <c r="I28" i="8" s="1"/>
  <c r="M52" i="11"/>
  <c r="I9" i="8" s="1"/>
  <c r="M58" i="11"/>
  <c r="I15" i="8" s="1"/>
  <c r="M48" i="11"/>
  <c r="I5" i="8" s="1"/>
  <c r="M62" i="11"/>
  <c r="I19" i="8" s="1"/>
  <c r="M74" i="11"/>
  <c r="I31" i="8" s="1"/>
  <c r="G69" i="11"/>
  <c r="C26" i="8" s="1"/>
  <c r="N69" i="11"/>
  <c r="J26" i="8" s="1"/>
  <c r="R69" i="11"/>
  <c r="N26" i="8" s="1"/>
  <c r="AH57" i="11"/>
  <c r="AD14" i="8" s="1"/>
  <c r="AC57" i="11"/>
  <c r="Y14" i="8" s="1"/>
  <c r="AB47" i="11"/>
  <c r="X4" i="8" s="1"/>
  <c r="N74" i="11"/>
  <c r="J31" i="8" s="1"/>
  <c r="K74" i="11"/>
  <c r="G31" i="8" s="1"/>
  <c r="V70" i="11"/>
  <c r="R27" i="8" s="1"/>
  <c r="R70" i="11"/>
  <c r="N27" i="8" s="1"/>
  <c r="AG68" i="11"/>
  <c r="AC25" i="8" s="1"/>
  <c r="L68" i="11"/>
  <c r="H25" i="8" s="1"/>
  <c r="AD66" i="11"/>
  <c r="Z23" i="8" s="1"/>
  <c r="AB66" i="11"/>
  <c r="X23" i="8" s="1"/>
  <c r="AE64" i="11"/>
  <c r="AA21" i="8" s="1"/>
  <c r="L62" i="11"/>
  <c r="H19" i="8" s="1"/>
  <c r="Y60" i="11"/>
  <c r="U17" i="8" s="1"/>
  <c r="AL60" i="11"/>
  <c r="AH17" i="8" s="1"/>
  <c r="AE54" i="11"/>
  <c r="AA11" i="8" s="1"/>
  <c r="AK65" i="11"/>
  <c r="AG22" i="8" s="1"/>
  <c r="AL61" i="11"/>
  <c r="AH18" i="8" s="1"/>
  <c r="P46" i="11"/>
  <c r="L3" i="8" s="1"/>
  <c r="P71" i="11"/>
  <c r="L28" i="8" s="1"/>
  <c r="P65" i="11"/>
  <c r="L22" i="8" s="1"/>
  <c r="P52" i="11"/>
  <c r="L9" i="8" s="1"/>
  <c r="P66" i="11"/>
  <c r="L23" i="8" s="1"/>
  <c r="P51" i="11"/>
  <c r="L8" i="8" s="1"/>
  <c r="P56" i="11"/>
  <c r="L13" i="8" s="1"/>
  <c r="P60" i="11"/>
  <c r="L17" i="8" s="1"/>
  <c r="P68" i="11"/>
  <c r="L25" i="8" s="1"/>
  <c r="P72" i="11"/>
  <c r="L29" i="8" s="1"/>
  <c r="P50" i="11"/>
  <c r="L7" i="8" s="1"/>
  <c r="P55" i="11"/>
  <c r="L12" i="8" s="1"/>
  <c r="P49" i="11"/>
  <c r="L6" i="8" s="1"/>
  <c r="P61" i="11"/>
  <c r="L18" i="8" s="1"/>
  <c r="P54" i="11"/>
  <c r="L11" i="8" s="1"/>
  <c r="P41" i="11"/>
  <c r="AL51" i="11"/>
  <c r="AH8" i="8" s="1"/>
  <c r="AE49" i="11"/>
  <c r="AA6" i="8" s="1"/>
  <c r="AE73" i="11"/>
  <c r="AA30" i="8" s="1"/>
  <c r="I53" i="11"/>
  <c r="E10" i="8" s="1"/>
  <c r="AG48" i="11"/>
  <c r="AC5" i="8" s="1"/>
  <c r="O55" i="11"/>
  <c r="K12" i="8" s="1"/>
  <c r="AC46" i="11"/>
  <c r="Y3" i="8" s="1"/>
  <c r="AI72" i="11"/>
  <c r="AE29" i="8" s="1"/>
  <c r="O65" i="11"/>
  <c r="K22" i="8" s="1"/>
  <c r="AE63" i="11"/>
  <c r="AA20" i="8" s="1"/>
  <c r="T63" i="11"/>
  <c r="P20" i="8" s="1"/>
  <c r="J49" i="11"/>
  <c r="F6" i="8" s="1"/>
  <c r="AF47" i="11"/>
  <c r="AB4" i="8" s="1"/>
  <c r="N56" i="11"/>
  <c r="J13" i="8" s="1"/>
  <c r="N71" i="11"/>
  <c r="J28" i="8" s="1"/>
  <c r="N68" i="11"/>
  <c r="J25" i="8" s="1"/>
  <c r="N72" i="11"/>
  <c r="J29" i="8" s="1"/>
  <c r="N46" i="11"/>
  <c r="J3" i="8" s="1"/>
  <c r="N47" i="11"/>
  <c r="J4" i="8" s="1"/>
  <c r="N48" i="11"/>
  <c r="J5" i="8" s="1"/>
  <c r="N62" i="11"/>
  <c r="J19" i="8" s="1"/>
  <c r="N66" i="11"/>
  <c r="J23" i="8" s="1"/>
  <c r="N53" i="11"/>
  <c r="J10" i="8" s="1"/>
  <c r="N51" i="11"/>
  <c r="J8" i="8" s="1"/>
  <c r="N61" i="11"/>
  <c r="J18" i="8" s="1"/>
  <c r="N60" i="11"/>
  <c r="J17" i="8" s="1"/>
  <c r="N49" i="11"/>
  <c r="J6" i="8" s="1"/>
  <c r="N65" i="11"/>
  <c r="J22" i="8" s="1"/>
  <c r="N50" i="11"/>
  <c r="J7" i="8" s="1"/>
  <c r="N55" i="11"/>
  <c r="J12" i="8" s="1"/>
  <c r="N73" i="11"/>
  <c r="J30" i="8" s="1"/>
  <c r="N54" i="11"/>
  <c r="J11" i="8" s="1"/>
  <c r="N57" i="11"/>
  <c r="J14" i="8" s="1"/>
  <c r="AI67" i="11"/>
  <c r="AE24" i="8" s="1"/>
  <c r="AF67" i="11"/>
  <c r="AB24" i="8" s="1"/>
  <c r="L67" i="11"/>
  <c r="H24" i="8" s="1"/>
  <c r="N59" i="11"/>
  <c r="J16" i="8" s="1"/>
  <c r="AL59" i="11"/>
  <c r="AH16" i="8" s="1"/>
  <c r="T59" i="11"/>
  <c r="P16" i="8" s="1"/>
  <c r="AD47" i="11"/>
  <c r="Z4" i="8" s="1"/>
  <c r="L69" i="11"/>
  <c r="H26" i="8" s="1"/>
  <c r="V69" i="11"/>
  <c r="R26" i="8" s="1"/>
  <c r="AH69" i="11"/>
  <c r="AD26" i="8" s="1"/>
  <c r="AL57" i="11"/>
  <c r="AH14" i="8" s="1"/>
  <c r="AJ61" i="11"/>
  <c r="AF18" i="8" s="1"/>
  <c r="AJ66" i="11"/>
  <c r="AF23" i="8" s="1"/>
  <c r="AJ71" i="11"/>
  <c r="AF28" i="8" s="1"/>
  <c r="AJ53" i="11"/>
  <c r="AF10" i="8" s="1"/>
  <c r="AJ62" i="11"/>
  <c r="AF19" i="8" s="1"/>
  <c r="AJ68" i="11"/>
  <c r="AF25" i="8" s="1"/>
  <c r="AJ48" i="11"/>
  <c r="AF5" i="8" s="1"/>
  <c r="AJ72" i="11"/>
  <c r="AF29" i="8" s="1"/>
  <c r="AJ65" i="11"/>
  <c r="AF22" i="8" s="1"/>
  <c r="AJ50" i="11"/>
  <c r="AF7" i="8" s="1"/>
  <c r="AJ47" i="11"/>
  <c r="AF4" i="8" s="1"/>
  <c r="AJ73" i="11"/>
  <c r="AF30" i="8" s="1"/>
  <c r="AJ54" i="11"/>
  <c r="AF11" i="8" s="1"/>
  <c r="AJ60" i="11"/>
  <c r="AF17" i="8" s="1"/>
  <c r="AJ52" i="11"/>
  <c r="AF9" i="8" s="1"/>
  <c r="AJ69" i="11"/>
  <c r="AF26" i="8" s="1"/>
  <c r="AJ58" i="11"/>
  <c r="AF15" i="8" s="1"/>
  <c r="V74" i="11"/>
  <c r="R31" i="8" s="1"/>
  <c r="U70" i="11"/>
  <c r="Q27" i="8" s="1"/>
  <c r="AL70" i="11"/>
  <c r="AH27" i="8" s="1"/>
  <c r="O68" i="11"/>
  <c r="K25" i="8" s="1"/>
  <c r="T68" i="11"/>
  <c r="P25" i="8" s="1"/>
  <c r="U66" i="11"/>
  <c r="Q23" i="8" s="1"/>
  <c r="G66" i="11"/>
  <c r="C23" i="8" s="1"/>
  <c r="R64" i="11"/>
  <c r="N21" i="8" s="1"/>
  <c r="AK62" i="11"/>
  <c r="AG19" i="8" s="1"/>
  <c r="AK60" i="11"/>
  <c r="AG17" i="8" s="1"/>
  <c r="AD58" i="11"/>
  <c r="Z15" i="8" s="1"/>
  <c r="U56" i="11"/>
  <c r="Q13" i="8" s="1"/>
  <c r="L52" i="11"/>
  <c r="H9" i="8" s="1"/>
  <c r="H65" i="11"/>
  <c r="D22" i="8" s="1"/>
  <c r="H41" i="11"/>
  <c r="O51" i="11"/>
  <c r="K8" i="8" s="1"/>
  <c r="AA64" i="11"/>
  <c r="W21" i="8" s="1"/>
  <c r="AA70" i="11"/>
  <c r="W27" i="8" s="1"/>
  <c r="AA69" i="11"/>
  <c r="W26" i="8" s="1"/>
  <c r="AA65" i="11"/>
  <c r="W22" i="8" s="1"/>
  <c r="AA52" i="11"/>
  <c r="W9" i="8" s="1"/>
  <c r="AA47" i="11"/>
  <c r="W4" i="8" s="1"/>
  <c r="AA61" i="11"/>
  <c r="W18" i="8" s="1"/>
  <c r="AA74" i="11"/>
  <c r="W31" i="8" s="1"/>
  <c r="Y53" i="11"/>
  <c r="U10" i="8" s="1"/>
  <c r="R61" i="11"/>
  <c r="N18" i="8" s="1"/>
  <c r="Y48" i="11"/>
  <c r="U5" i="8" s="1"/>
  <c r="AE55" i="11"/>
  <c r="AA12" i="8" s="1"/>
  <c r="R46" i="11"/>
  <c r="N3" i="8" s="1"/>
  <c r="AD72" i="11"/>
  <c r="Z29" i="8" s="1"/>
  <c r="AK48" i="11"/>
  <c r="AG5" i="8" s="1"/>
  <c r="U67" i="11"/>
  <c r="Q24" i="8" s="1"/>
  <c r="W50" i="11"/>
  <c r="S7" i="8" s="1"/>
  <c r="W55" i="11"/>
  <c r="S12" i="8" s="1"/>
  <c r="W73" i="11"/>
  <c r="S30" i="8" s="1"/>
  <c r="W54" i="11"/>
  <c r="S11" i="8" s="1"/>
  <c r="W48" i="11"/>
  <c r="S5" i="8" s="1"/>
  <c r="W72" i="11"/>
  <c r="S29" i="8" s="1"/>
  <c r="W71" i="11"/>
  <c r="S28" i="8" s="1"/>
  <c r="W52" i="11"/>
  <c r="S9" i="8" s="1"/>
  <c r="W60" i="11"/>
  <c r="S17" i="8" s="1"/>
  <c r="W49" i="11"/>
  <c r="S6" i="8" s="1"/>
  <c r="W47" i="11"/>
  <c r="S4" i="8" s="1"/>
  <c r="W46" i="11"/>
  <c r="S3" i="8" s="1"/>
  <c r="W53" i="11"/>
  <c r="S10" i="8" s="1"/>
  <c r="W51" i="11"/>
  <c r="S8" i="8" s="1"/>
  <c r="W61" i="11"/>
  <c r="S18" i="8" s="1"/>
  <c r="W65" i="11"/>
  <c r="S22" i="8" s="1"/>
  <c r="W56" i="11"/>
  <c r="S13" i="8" s="1"/>
  <c r="W70" i="11"/>
  <c r="S27" i="8" s="1"/>
  <c r="W74" i="11"/>
  <c r="S31" i="8" s="1"/>
  <c r="V67" i="11"/>
  <c r="R24" i="8" s="1"/>
  <c r="R49" i="11"/>
  <c r="N6" i="8" s="1"/>
  <c r="U49" i="11"/>
  <c r="Q6" i="8" s="1"/>
  <c r="AI41" i="11"/>
  <c r="AE41" i="11"/>
  <c r="F52" i="11"/>
  <c r="F48" i="11"/>
  <c r="F72" i="11"/>
  <c r="F46" i="11"/>
  <c r="F58" i="11"/>
  <c r="F62" i="11"/>
  <c r="F53" i="11"/>
  <c r="F51" i="11"/>
  <c r="F60" i="11"/>
  <c r="F61" i="11"/>
  <c r="F65" i="11"/>
  <c r="F64" i="11"/>
  <c r="I67" i="11"/>
  <c r="E24" i="8" s="1"/>
  <c r="T67" i="11"/>
  <c r="P24" i="8" s="1"/>
  <c r="AL47" i="11"/>
  <c r="AH4" i="8" s="1"/>
  <c r="H57" i="11"/>
  <c r="D14" i="8" s="1"/>
  <c r="AF46" i="11"/>
  <c r="AB3" i="8" s="1"/>
  <c r="AF64" i="11"/>
  <c r="AB21" i="8" s="1"/>
  <c r="AF66" i="11"/>
  <c r="AB23" i="8" s="1"/>
  <c r="AF72" i="11"/>
  <c r="AB29" i="8" s="1"/>
  <c r="AF50" i="11"/>
  <c r="AB7" i="8" s="1"/>
  <c r="AF55" i="11"/>
  <c r="AB12" i="8" s="1"/>
  <c r="AF61" i="11"/>
  <c r="AB18" i="8" s="1"/>
  <c r="AF54" i="11"/>
  <c r="AB11" i="8" s="1"/>
  <c r="AF62" i="11"/>
  <c r="AB19" i="8" s="1"/>
  <c r="AF48" i="11"/>
  <c r="AB5" i="8" s="1"/>
  <c r="AF60" i="11"/>
  <c r="AB17" i="8" s="1"/>
  <c r="AF53" i="11"/>
  <c r="AB10" i="8" s="1"/>
  <c r="AF71" i="11"/>
  <c r="AB28" i="8" s="1"/>
  <c r="AF49" i="11"/>
  <c r="AB6" i="8" s="1"/>
  <c r="AF65" i="11"/>
  <c r="AB22" i="8" s="1"/>
  <c r="AF52" i="11"/>
  <c r="AB9" i="8" s="1"/>
  <c r="Z74" i="11"/>
  <c r="V31" i="8" s="1"/>
  <c r="Z58" i="11"/>
  <c r="V15" i="8" s="1"/>
  <c r="Z68" i="11"/>
  <c r="V25" i="8" s="1"/>
  <c r="Z41" i="11"/>
  <c r="Z69" i="11"/>
  <c r="V26" i="8" s="1"/>
  <c r="T69" i="11"/>
  <c r="P26" i="8" s="1"/>
  <c r="AL69" i="11"/>
  <c r="AH26" i="8" s="1"/>
  <c r="F57" i="11"/>
  <c r="AB64" i="11"/>
  <c r="X21" i="8" s="1"/>
  <c r="AB48" i="11"/>
  <c r="X5" i="8" s="1"/>
  <c r="AB46" i="11"/>
  <c r="X3" i="8" s="1"/>
  <c r="AB56" i="11"/>
  <c r="X13" i="8" s="1"/>
  <c r="AB58" i="11"/>
  <c r="X15" i="8" s="1"/>
  <c r="AB70" i="11"/>
  <c r="X27" i="8" s="1"/>
  <c r="AB74" i="11"/>
  <c r="X31" i="8" s="1"/>
  <c r="AB51" i="11"/>
  <c r="X8" i="8" s="1"/>
  <c r="AB59" i="11"/>
  <c r="X16" i="8" s="1"/>
  <c r="AB71" i="11"/>
  <c r="X28" i="8" s="1"/>
  <c r="AB53" i="11"/>
  <c r="X10" i="8" s="1"/>
  <c r="AB68" i="11"/>
  <c r="X25" i="8" s="1"/>
  <c r="AB72" i="11"/>
  <c r="X29" i="8" s="1"/>
  <c r="AB65" i="11"/>
  <c r="X22" i="8" s="1"/>
  <c r="AB50" i="11"/>
  <c r="X7" i="8" s="1"/>
  <c r="AB73" i="11"/>
  <c r="X30" i="8" s="1"/>
  <c r="AB54" i="11"/>
  <c r="X11" i="8" s="1"/>
  <c r="AB60" i="11"/>
  <c r="X17" i="8" s="1"/>
  <c r="AB67" i="11"/>
  <c r="X24" i="8" s="1"/>
  <c r="AI74" i="11"/>
  <c r="AE31" i="8" s="1"/>
  <c r="Y70" i="11"/>
  <c r="U27" i="8" s="1"/>
  <c r="L70" i="11"/>
  <c r="H27" i="8" s="1"/>
  <c r="Q68" i="11"/>
  <c r="M25" i="8" s="1"/>
  <c r="F68" i="11"/>
  <c r="W66" i="11"/>
  <c r="S23" i="8" s="1"/>
  <c r="AC62" i="11"/>
  <c r="Y19" i="8" s="1"/>
  <c r="Q60" i="11"/>
  <c r="M17" i="8" s="1"/>
  <c r="Q54" i="11"/>
  <c r="M11" i="8" s="1"/>
  <c r="AB52" i="11"/>
  <c r="X9" i="8" s="1"/>
  <c r="AK61" i="11"/>
  <c r="AG18" i="8" s="1"/>
  <c r="AI50" i="11"/>
  <c r="AE7" i="8" s="1"/>
  <c r="AF51" i="11"/>
  <c r="AB8" i="8" s="1"/>
  <c r="L73" i="11"/>
  <c r="H30" i="8" s="1"/>
  <c r="N52" i="11"/>
  <c r="J9" i="8" s="1"/>
  <c r="K51" i="11"/>
  <c r="G8" i="8" s="1"/>
  <c r="K65" i="11"/>
  <c r="G22" i="8" s="1"/>
  <c r="K56" i="11"/>
  <c r="G13" i="8" s="1"/>
  <c r="K61" i="11"/>
  <c r="G18" i="8" s="1"/>
  <c r="K66" i="11"/>
  <c r="G23" i="8" s="1"/>
  <c r="K54" i="11"/>
  <c r="G11" i="8" s="1"/>
  <c r="K58" i="11"/>
  <c r="G15" i="8" s="1"/>
  <c r="K62" i="11"/>
  <c r="G19" i="8" s="1"/>
  <c r="K52" i="11"/>
  <c r="G9" i="8" s="1"/>
  <c r="Q48" i="11"/>
  <c r="M5" i="8" s="1"/>
  <c r="Q72" i="11"/>
  <c r="M29" i="8" s="1"/>
  <c r="Q53" i="11"/>
  <c r="M10" i="8" s="1"/>
  <c r="Q65" i="11"/>
  <c r="M22" i="8" s="1"/>
  <c r="Q50" i="11"/>
  <c r="M7" i="8" s="1"/>
  <c r="Q73" i="11"/>
  <c r="M30" i="8" s="1"/>
  <c r="Q57" i="11"/>
  <c r="M14" i="8" s="1"/>
  <c r="Q58" i="11"/>
  <c r="M15" i="8" s="1"/>
  <c r="Q71" i="11"/>
  <c r="M28" i="8" s="1"/>
  <c r="Q52" i="11"/>
  <c r="M9" i="8" s="1"/>
  <c r="Q46" i="11"/>
  <c r="M3" i="8" s="1"/>
  <c r="Q61" i="11"/>
  <c r="M18" i="8" s="1"/>
  <c r="Q62" i="11"/>
  <c r="M19" i="8" s="1"/>
  <c r="Q64" i="11"/>
  <c r="M21" i="8" s="1"/>
  <c r="Q66" i="11"/>
  <c r="M23" i="8" s="1"/>
  <c r="Q59" i="11"/>
  <c r="M16" i="8" s="1"/>
  <c r="Z71" i="11"/>
  <c r="V28" i="8" s="1"/>
  <c r="Q55" i="11"/>
  <c r="M12" i="8" s="1"/>
  <c r="AK46" i="11"/>
  <c r="AG3" i="8" s="1"/>
  <c r="AC48" i="11"/>
  <c r="Y5" i="8" s="1"/>
  <c r="U68" i="11"/>
  <c r="Q25" i="8" s="1"/>
  <c r="U57" i="11"/>
  <c r="Q14" i="8" s="1"/>
  <c r="U47" i="11"/>
  <c r="Q4" i="8" s="1"/>
  <c r="I73" i="11"/>
  <c r="E30" i="8" s="1"/>
  <c r="I51" i="11"/>
  <c r="E8" i="8" s="1"/>
  <c r="I61" i="11"/>
  <c r="E18" i="8" s="1"/>
  <c r="I56" i="11"/>
  <c r="E13" i="8" s="1"/>
  <c r="I64" i="11"/>
  <c r="E21" i="8" s="1"/>
  <c r="I65" i="11"/>
  <c r="E22" i="8" s="1"/>
  <c r="I54" i="11"/>
  <c r="E11" i="8" s="1"/>
  <c r="I60" i="11"/>
  <c r="E17" i="8" s="1"/>
  <c r="I71" i="11"/>
  <c r="E28" i="8" s="1"/>
  <c r="I52" i="11"/>
  <c r="E9" i="8" s="1"/>
  <c r="I58" i="11"/>
  <c r="E15" i="8" s="1"/>
  <c r="H53" i="11"/>
  <c r="D10" i="8" s="1"/>
  <c r="AL62" i="11"/>
  <c r="AH19" i="8" s="1"/>
  <c r="AL66" i="11"/>
  <c r="AH23" i="8" s="1"/>
  <c r="AL65" i="11"/>
  <c r="AH22" i="8" s="1"/>
  <c r="AL64" i="11"/>
  <c r="AH21" i="8" s="1"/>
  <c r="AL50" i="11"/>
  <c r="AH7" i="8" s="1"/>
  <c r="AL46" i="11"/>
  <c r="AH3" i="8" s="1"/>
  <c r="AL55" i="11"/>
  <c r="AH12" i="8" s="1"/>
  <c r="AL73" i="11"/>
  <c r="AH30" i="8" s="1"/>
  <c r="AL54" i="11"/>
  <c r="AH11" i="8" s="1"/>
  <c r="AL48" i="11"/>
  <c r="AH5" i="8" s="1"/>
  <c r="AL56" i="11"/>
  <c r="AH13" i="8" s="1"/>
  <c r="AL71" i="11"/>
  <c r="AH28" i="8" s="1"/>
  <c r="AL72" i="11"/>
  <c r="AH29" i="8" s="1"/>
  <c r="AL58" i="11"/>
  <c r="AH15" i="8" s="1"/>
  <c r="K49" i="11"/>
  <c r="G6" i="8" s="1"/>
  <c r="U63" i="11"/>
  <c r="Q20" i="8" s="1"/>
  <c r="M63" i="11"/>
  <c r="I20" i="8" s="1"/>
  <c r="AF63" i="11"/>
  <c r="AB20" i="8" s="1"/>
  <c r="AJ63" i="11"/>
  <c r="AF20" i="8" s="1"/>
  <c r="Z49" i="11"/>
  <c r="V6" i="8" s="1"/>
  <c r="AC49" i="11"/>
  <c r="Y6" i="8" s="1"/>
  <c r="AI60" i="11"/>
  <c r="AE17" i="8" s="1"/>
  <c r="G47" i="11"/>
  <c r="C4" i="8" s="1"/>
  <c r="L41" i="11"/>
  <c r="AG61" i="11"/>
  <c r="AC18" i="8" s="1"/>
  <c r="AG62" i="11"/>
  <c r="AC19" i="8" s="1"/>
  <c r="AG60" i="11"/>
  <c r="AC17" i="8" s="1"/>
  <c r="AG69" i="11"/>
  <c r="AC26" i="8" s="1"/>
  <c r="AG47" i="11"/>
  <c r="AC4" i="8" s="1"/>
  <c r="AG73" i="11"/>
  <c r="AC30" i="8" s="1"/>
  <c r="AG51" i="11"/>
  <c r="AC8" i="8" s="1"/>
  <c r="AG56" i="11"/>
  <c r="AC13" i="8" s="1"/>
  <c r="AG58" i="11"/>
  <c r="AC15" i="8" s="1"/>
  <c r="AG70" i="11"/>
  <c r="AC27" i="8" s="1"/>
  <c r="Q67" i="11"/>
  <c r="M24" i="8" s="1"/>
  <c r="AJ67" i="11"/>
  <c r="AF24" i="8" s="1"/>
  <c r="AE59" i="11"/>
  <c r="AA16" i="8" s="1"/>
  <c r="AI59" i="11"/>
  <c r="AE16" i="8" s="1"/>
  <c r="AC59" i="11"/>
  <c r="Y16" i="8" s="1"/>
  <c r="AJ55" i="11"/>
  <c r="AF12" i="8" s="1"/>
  <c r="O69" i="11"/>
  <c r="K26" i="8" s="1"/>
  <c r="AB69" i="11"/>
  <c r="X26" i="8" s="1"/>
  <c r="H69" i="11"/>
  <c r="D26" i="8" s="1"/>
  <c r="I57" i="11"/>
  <c r="E14" i="8" s="1"/>
  <c r="V57" i="11"/>
  <c r="R14" i="8" s="1"/>
  <c r="Y58" i="11"/>
  <c r="U15" i="8" s="1"/>
  <c r="T55" i="11"/>
  <c r="P12" i="8" s="1"/>
  <c r="G74" i="11"/>
  <c r="C31" i="8" s="1"/>
  <c r="Q74" i="11"/>
  <c r="M31" i="8" s="1"/>
  <c r="I70" i="11"/>
  <c r="E27" i="8" s="1"/>
  <c r="AE70" i="11"/>
  <c r="AA27" i="8" s="1"/>
  <c r="W68" i="11"/>
  <c r="S25" i="8" s="1"/>
  <c r="V68" i="11"/>
  <c r="R25" i="8" s="1"/>
  <c r="I66" i="11"/>
  <c r="E23" i="8" s="1"/>
  <c r="G64" i="11"/>
  <c r="C21" i="8" s="1"/>
  <c r="K64" i="11"/>
  <c r="G21" i="8" s="1"/>
  <c r="AD62" i="11"/>
  <c r="Z19" i="8" s="1"/>
  <c r="H60" i="11"/>
  <c r="D17" i="8" s="1"/>
  <c r="H58" i="11"/>
  <c r="D15" i="8" s="1"/>
  <c r="O56" i="11"/>
  <c r="K13" i="8" s="1"/>
  <c r="AA54" i="11"/>
  <c r="W11" i="8" s="1"/>
  <c r="AG54" i="11"/>
  <c r="AC11" i="8" s="1"/>
  <c r="AA72" i="11"/>
  <c r="W29" i="8" s="1"/>
  <c r="Q51" i="11"/>
  <c r="M8" i="8" s="1"/>
  <c r="AH62" i="11"/>
  <c r="AD19" i="8" s="1"/>
  <c r="AH53" i="11"/>
  <c r="AD10" i="8" s="1"/>
  <c r="AH65" i="11"/>
  <c r="AD22" i="8" s="1"/>
  <c r="AH58" i="11"/>
  <c r="AD15" i="8" s="1"/>
  <c r="AH68" i="11"/>
  <c r="AD25" i="8" s="1"/>
  <c r="AH72" i="11"/>
  <c r="AD29" i="8" s="1"/>
  <c r="AH55" i="11"/>
  <c r="AD12" i="8" s="1"/>
  <c r="AH73" i="11"/>
  <c r="AD30" i="8" s="1"/>
  <c r="AH48" i="11"/>
  <c r="AD5" i="8" s="1"/>
  <c r="AH61" i="11"/>
  <c r="AD18" i="8" s="1"/>
  <c r="AH50" i="11"/>
  <c r="AD7" i="8" s="1"/>
  <c r="AH71" i="11"/>
  <c r="AD28" i="8" s="1"/>
  <c r="AH52" i="11"/>
  <c r="AD9" i="8" s="1"/>
  <c r="AH60" i="11"/>
  <c r="AD17" i="8" s="1"/>
  <c r="AH59" i="11"/>
  <c r="AD16" i="8" s="1"/>
  <c r="AC73" i="11"/>
  <c r="Y30" i="8" s="1"/>
  <c r="AA53" i="11"/>
  <c r="W10" i="8" s="1"/>
  <c r="I55" i="11"/>
  <c r="E12" i="8" s="1"/>
  <c r="F71" i="11"/>
  <c r="AG55" i="11"/>
  <c r="AC12" i="8" s="1"/>
  <c r="AH46" i="11"/>
  <c r="AD3" i="8" s="1"/>
  <c r="I48" i="11"/>
  <c r="E5" i="8" s="1"/>
  <c r="L49" i="11"/>
  <c r="H6" i="8" s="1"/>
  <c r="AI58" i="11"/>
  <c r="AE15" i="8" s="1"/>
  <c r="AI56" i="11"/>
  <c r="AE13" i="8" s="1"/>
  <c r="I63" i="11"/>
  <c r="E20" i="8" s="1"/>
  <c r="T64" i="11"/>
  <c r="P21" i="8" s="1"/>
  <c r="T65" i="11"/>
  <c r="P22" i="8" s="1"/>
  <c r="T58" i="11"/>
  <c r="P15" i="8" s="1"/>
  <c r="H59" i="11"/>
  <c r="D16" i="8" s="1"/>
  <c r="I47" i="11"/>
  <c r="E4" i="8" s="1"/>
  <c r="R54" i="11"/>
  <c r="N11" i="8" s="1"/>
  <c r="AI69" i="11"/>
  <c r="AE26" i="8" s="1"/>
  <c r="AE60" i="11"/>
  <c r="AA17" i="8" s="1"/>
  <c r="AE48" i="11"/>
  <c r="AA5" i="8" s="1"/>
  <c r="AE52" i="11"/>
  <c r="AA9" i="8" s="1"/>
  <c r="AE61" i="11"/>
  <c r="AA18" i="8" s="1"/>
  <c r="AE47" i="11"/>
  <c r="AA4" i="8" s="1"/>
  <c r="AE69" i="11"/>
  <c r="AA26" i="8" s="1"/>
  <c r="AE58" i="11"/>
  <c r="AA15" i="8" s="1"/>
  <c r="AE62" i="11"/>
  <c r="AA19" i="8" s="1"/>
  <c r="AE72" i="11"/>
  <c r="AA29" i="8" s="1"/>
  <c r="AE46" i="11"/>
  <c r="AA3" i="8" s="1"/>
  <c r="AE53" i="11"/>
  <c r="AA10" i="8" s="1"/>
  <c r="AE51" i="11"/>
  <c r="AA8" i="8" s="1"/>
  <c r="AE56" i="11"/>
  <c r="AA13" i="8" s="1"/>
  <c r="AE71" i="11"/>
  <c r="AA28" i="8" s="1"/>
  <c r="AE68" i="11"/>
  <c r="AA25" i="8" s="1"/>
  <c r="L58" i="11"/>
  <c r="H15" i="8" s="1"/>
  <c r="L48" i="11"/>
  <c r="H5" i="8" s="1"/>
  <c r="L61" i="11"/>
  <c r="H18" i="8" s="1"/>
  <c r="L66" i="11"/>
  <c r="H23" i="8" s="1"/>
  <c r="L46" i="11"/>
  <c r="H3" i="8" s="1"/>
  <c r="L47" i="11"/>
  <c r="H4" i="8" s="1"/>
  <c r="L56" i="11"/>
  <c r="H13" i="8" s="1"/>
  <c r="L60" i="11"/>
  <c r="H17" i="8" s="1"/>
  <c r="L71" i="11"/>
  <c r="H28" i="8" s="1"/>
  <c r="L53" i="11"/>
  <c r="H10" i="8" s="1"/>
  <c r="L72" i="11"/>
  <c r="H29" i="8" s="1"/>
  <c r="L65" i="11"/>
  <c r="H22" i="8" s="1"/>
  <c r="L64" i="11"/>
  <c r="H21" i="8" s="1"/>
  <c r="T74" i="11"/>
  <c r="P31" i="8" s="1"/>
  <c r="AC70" i="11"/>
  <c r="Y27" i="8" s="1"/>
  <c r="H70" i="11"/>
  <c r="D27" i="8" s="1"/>
  <c r="AL68" i="11"/>
  <c r="AH25" i="8" s="1"/>
  <c r="U64" i="11"/>
  <c r="Q21" i="8" s="1"/>
  <c r="AI64" i="11"/>
  <c r="AE21" i="8" s="1"/>
  <c r="T62" i="11"/>
  <c r="P19" i="8" s="1"/>
  <c r="T60" i="11"/>
  <c r="P17" i="8" s="1"/>
  <c r="AC58" i="11"/>
  <c r="Y15" i="8" s="1"/>
  <c r="AF56" i="11"/>
  <c r="AB13" i="8" s="1"/>
  <c r="L54" i="11"/>
  <c r="H11" i="8" s="1"/>
  <c r="F73" i="11"/>
  <c r="V71" i="11"/>
  <c r="R28" i="8" s="1"/>
  <c r="Y50" i="11"/>
  <c r="U7" i="8" s="1"/>
  <c r="P48" i="11"/>
  <c r="L5" i="8" s="1"/>
  <c r="Z59" i="11"/>
  <c r="V16" i="8" s="1"/>
  <c r="AC47" i="11"/>
  <c r="Y4" i="8" s="1"/>
  <c r="Q47" i="11"/>
  <c r="M4" i="8" s="1"/>
  <c r="AL49" i="11"/>
  <c r="AH6" i="8" s="1"/>
  <c r="AK50" i="11"/>
  <c r="AG7" i="8" s="1"/>
  <c r="AK55" i="11"/>
  <c r="AG12" i="8" s="1"/>
  <c r="AK73" i="11"/>
  <c r="AG30" i="8" s="1"/>
  <c r="AK54" i="11"/>
  <c r="AG11" i="8" s="1"/>
  <c r="AK72" i="11"/>
  <c r="AG29" i="8" s="1"/>
  <c r="AK71" i="11"/>
  <c r="AG28" i="8" s="1"/>
  <c r="AK52" i="11"/>
  <c r="AG9" i="8" s="1"/>
  <c r="AK68" i="11"/>
  <c r="AG25" i="8" s="1"/>
  <c r="AK69" i="11"/>
  <c r="AG26" i="8" s="1"/>
  <c r="AK56" i="11"/>
  <c r="AG13" i="8" s="1"/>
  <c r="AK58" i="11"/>
  <c r="AG15" i="8" s="1"/>
  <c r="AK53" i="11"/>
  <c r="AG10" i="8" s="1"/>
  <c r="AK51" i="11"/>
  <c r="AG8" i="8" s="1"/>
  <c r="AK70" i="11"/>
  <c r="AG27" i="8" s="1"/>
  <c r="Q69" i="11"/>
  <c r="M26" i="8" s="1"/>
  <c r="U69" i="11"/>
  <c r="Q26" i="8" s="1"/>
  <c r="AB57" i="11"/>
  <c r="X14" i="8" s="1"/>
  <c r="G57" i="11"/>
  <c r="C14" i="8" s="1"/>
  <c r="AL52" i="11"/>
  <c r="AH9" i="8" s="1"/>
  <c r="J64" i="11"/>
  <c r="F21" i="8" s="1"/>
  <c r="J70" i="11"/>
  <c r="F27" i="8" s="1"/>
  <c r="J54" i="11"/>
  <c r="F11" i="8" s="1"/>
  <c r="J62" i="11"/>
  <c r="F19" i="8" s="1"/>
  <c r="J51" i="11"/>
  <c r="F8" i="8" s="1"/>
  <c r="J56" i="11"/>
  <c r="F13" i="8" s="1"/>
  <c r="J53" i="11"/>
  <c r="F10" i="8" s="1"/>
  <c r="J61" i="11"/>
  <c r="F18" i="8" s="1"/>
  <c r="J65" i="11"/>
  <c r="F22" i="8" s="1"/>
  <c r="J58" i="11"/>
  <c r="F15" i="8" s="1"/>
  <c r="J59" i="11"/>
  <c r="F16" i="8" s="1"/>
  <c r="AC74" i="11"/>
  <c r="Y31" i="8" s="1"/>
  <c r="AE74" i="11"/>
  <c r="AA31" i="8" s="1"/>
  <c r="J74" i="11"/>
  <c r="F31" i="8" s="1"/>
  <c r="R68" i="11"/>
  <c r="N25" i="8" s="1"/>
  <c r="H68" i="11"/>
  <c r="D25" i="8" s="1"/>
  <c r="AI66" i="11"/>
  <c r="AE23" i="8" s="1"/>
  <c r="J66" i="11"/>
  <c r="F23" i="8" s="1"/>
  <c r="W64" i="11"/>
  <c r="S21" i="8" s="1"/>
  <c r="I62" i="11"/>
  <c r="E19" i="8" s="1"/>
  <c r="W62" i="11"/>
  <c r="S19" i="8" s="1"/>
  <c r="K60" i="11"/>
  <c r="G17" i="8" s="1"/>
  <c r="AF58" i="11"/>
  <c r="AB15" i="8" s="1"/>
  <c r="Q56" i="11"/>
  <c r="M13" i="8" s="1"/>
  <c r="AC54" i="11"/>
  <c r="Y11" i="8" s="1"/>
  <c r="H52" i="11"/>
  <c r="D9" i="8" s="1"/>
  <c r="AE65" i="11"/>
  <c r="AA22" i="8" s="1"/>
  <c r="V61" i="11"/>
  <c r="R18" i="8" s="1"/>
  <c r="I69" i="11"/>
  <c r="E26" i="8" s="1"/>
  <c r="K46" i="11"/>
  <c r="G3" i="8" s="1"/>
  <c r="R50" i="11"/>
  <c r="N7" i="8" s="1"/>
  <c r="AC53" i="11"/>
  <c r="Y10" i="8" s="1"/>
  <c r="G71" i="11"/>
  <c r="C28" i="8" s="1"/>
  <c r="AI55" i="11"/>
  <c r="AE12" i="8" s="1"/>
  <c r="AJ46" i="11"/>
  <c r="AF3" i="8" s="1"/>
  <c r="AF57" i="11"/>
  <c r="AB14" i="8" s="1"/>
  <c r="L50" i="11"/>
  <c r="H7" i="8" s="1"/>
  <c r="U74" i="11"/>
  <c r="Q31" i="8" s="1"/>
  <c r="S69" i="11"/>
  <c r="O26" i="8" s="1"/>
  <c r="T57" i="11"/>
  <c r="P14" i="8" s="1"/>
  <c r="S49" i="11"/>
  <c r="O6" i="8" s="1"/>
  <c r="Z70" i="11"/>
  <c r="V27" i="8" s="1"/>
  <c r="AI68" i="11"/>
  <c r="AE25" i="8" s="1"/>
  <c r="R66" i="11"/>
  <c r="N23" i="8" s="1"/>
  <c r="Z64" i="11"/>
  <c r="V21" i="8" s="1"/>
  <c r="U62" i="11"/>
  <c r="Q19" i="8" s="1"/>
  <c r="U60" i="11"/>
  <c r="Q17" i="8" s="1"/>
  <c r="AA58" i="11"/>
  <c r="W15" i="8" s="1"/>
  <c r="AA56" i="11"/>
  <c r="W13" i="8" s="1"/>
  <c r="T54" i="11"/>
  <c r="P11" i="8" s="1"/>
  <c r="AA51" i="11"/>
  <c r="W8" i="8" s="1"/>
  <c r="K73" i="11"/>
  <c r="G30" i="8" s="1"/>
  <c r="T73" i="11"/>
  <c r="P30" i="8" s="1"/>
  <c r="J73" i="11"/>
  <c r="F30" i="8" s="1"/>
  <c r="AG53" i="11"/>
  <c r="AC10" i="8" s="1"/>
  <c r="AI53" i="11"/>
  <c r="AE10" i="8" s="1"/>
  <c r="AA49" i="11"/>
  <c r="W6" i="8" s="1"/>
  <c r="J55" i="11"/>
  <c r="F12" i="8" s="1"/>
  <c r="X46" i="11"/>
  <c r="T3" i="8" s="1"/>
  <c r="AA46" i="11"/>
  <c r="W3" i="8" s="1"/>
  <c r="I72" i="11"/>
  <c r="E29" i="8" s="1"/>
  <c r="J72" i="11"/>
  <c r="F29" i="8" s="1"/>
  <c r="T50" i="11"/>
  <c r="P7" i="8" s="1"/>
  <c r="J48" i="11"/>
  <c r="F5" i="8" s="1"/>
  <c r="U48" i="11"/>
  <c r="Q5" i="8" s="1"/>
  <c r="X48" i="11"/>
  <c r="T5" i="8" s="1"/>
  <c r="AI51" i="11"/>
  <c r="AE8" i="8" s="1"/>
  <c r="Z47" i="11"/>
  <c r="V4" i="8" s="1"/>
  <c r="R73" i="11"/>
  <c r="N30" i="8" s="1"/>
  <c r="N41" i="11"/>
  <c r="R55" i="11"/>
  <c r="N12" i="8" s="1"/>
  <c r="U46" i="11"/>
  <c r="Q3" i="8" s="1"/>
  <c r="AI46" i="11"/>
  <c r="AE3" i="8" s="1"/>
  <c r="R72" i="11"/>
  <c r="N29" i="8" s="1"/>
  <c r="T72" i="11"/>
  <c r="P29" i="8" s="1"/>
  <c r="Z50" i="11"/>
  <c r="V7" i="8" s="1"/>
  <c r="Z48" i="11"/>
  <c r="V5" i="8" s="1"/>
  <c r="R48" i="11"/>
  <c r="N5" i="8" s="1"/>
  <c r="S60" i="11"/>
  <c r="O17" i="8" s="1"/>
  <c r="S52" i="11"/>
  <c r="O9" i="8" s="1"/>
  <c r="U52" i="11"/>
  <c r="Q9" i="8" s="1"/>
  <c r="U61" i="11"/>
  <c r="Q18" i="8" s="1"/>
  <c r="U41" i="11"/>
  <c r="Z73" i="11"/>
  <c r="V30" i="8" s="1"/>
  <c r="R53" i="11"/>
  <c r="N10" i="8" s="1"/>
  <c r="T53" i="11"/>
  <c r="P10" i="8" s="1"/>
  <c r="U71" i="11"/>
  <c r="Q28" i="8" s="1"/>
  <c r="AI71" i="11"/>
  <c r="AE28" i="8" s="1"/>
  <c r="T71" i="11"/>
  <c r="P28" i="8" s="1"/>
  <c r="X55" i="11"/>
  <c r="T12" i="8" s="1"/>
  <c r="Z55" i="11"/>
  <c r="V12" i="8" s="1"/>
  <c r="AG46" i="11"/>
  <c r="AC3" i="8" s="1"/>
  <c r="AG50" i="11"/>
  <c r="AC7" i="8" s="1"/>
  <c r="X50" i="11"/>
  <c r="T7" i="8" s="1"/>
  <c r="K48" i="11"/>
  <c r="G5" i="8" s="1"/>
  <c r="S64" i="11"/>
  <c r="O21" i="8" s="1"/>
  <c r="T56" i="11"/>
  <c r="P13" i="8" s="1"/>
  <c r="Z65" i="11"/>
  <c r="V22" i="8" s="1"/>
  <c r="R51" i="11"/>
  <c r="N8" i="8" s="1"/>
  <c r="AI47" i="11"/>
  <c r="AE4" i="8" s="1"/>
  <c r="AI73" i="11"/>
  <c r="AE30" i="8" s="1"/>
  <c r="Z53" i="11"/>
  <c r="V10" i="8" s="1"/>
  <c r="S71" i="11"/>
  <c r="O28" i="8" s="1"/>
  <c r="X47" i="11"/>
  <c r="T4" i="8" s="1"/>
  <c r="J46" i="11"/>
  <c r="F3" i="8" s="1"/>
  <c r="I46" i="11"/>
  <c r="E3" i="8" s="1"/>
  <c r="T46" i="11"/>
  <c r="P3" i="8" s="1"/>
  <c r="AI65" i="11"/>
  <c r="AE22" i="8" s="1"/>
  <c r="AG72" i="11"/>
  <c r="AC29" i="8" s="1"/>
  <c r="X72" i="11"/>
  <c r="T29" i="8" s="1"/>
  <c r="I50" i="11"/>
  <c r="E7" i="8" s="1"/>
  <c r="K50" i="11"/>
  <c r="G7" i="8" s="1"/>
  <c r="S48" i="11"/>
  <c r="O5" i="8" s="1"/>
  <c r="S57" i="11"/>
  <c r="O14" i="8" s="1"/>
  <c r="T66" i="11"/>
  <c r="P23" i="8" s="1"/>
  <c r="R62" i="11"/>
  <c r="N19" i="8" s="1"/>
  <c r="AA60" i="11"/>
  <c r="W17" i="8" s="1"/>
  <c r="U58" i="11"/>
  <c r="Q15" i="8" s="1"/>
  <c r="X56" i="11"/>
  <c r="T13" i="8" s="1"/>
  <c r="Z56" i="11"/>
  <c r="V13" i="8" s="1"/>
  <c r="S54" i="11"/>
  <c r="O11" i="8" s="1"/>
  <c r="U54" i="11"/>
  <c r="Q11" i="8" s="1"/>
  <c r="AG52" i="11"/>
  <c r="AC9" i="8" s="1"/>
  <c r="AI52" i="11"/>
  <c r="AE9" i="8" s="1"/>
  <c r="AI61" i="11"/>
  <c r="AE18" i="8" s="1"/>
  <c r="T61" i="11"/>
  <c r="P18" i="8" s="1"/>
  <c r="X51" i="11"/>
  <c r="T8" i="8" s="1"/>
  <c r="Z51" i="11"/>
  <c r="V8" i="8" s="1"/>
  <c r="U73" i="11"/>
  <c r="Q30" i="8" s="1"/>
  <c r="K47" i="11"/>
  <c r="G4" i="8" s="1"/>
  <c r="AA71" i="11"/>
  <c r="W28" i="8" s="1"/>
  <c r="AG71" i="11"/>
  <c r="AC28" i="8" s="1"/>
  <c r="U55" i="11"/>
  <c r="Q12" i="8" s="1"/>
  <c r="K55" i="11"/>
  <c r="G12" i="8" s="1"/>
  <c r="K72" i="11"/>
  <c r="G29" i="8" s="1"/>
  <c r="S50" i="11"/>
  <c r="O7" i="8" s="1"/>
  <c r="U50" i="11"/>
  <c r="Q7" i="8" s="1"/>
  <c r="AA48" i="11"/>
  <c r="W5" i="8" s="1"/>
  <c r="Y72" i="11"/>
  <c r="U29" i="8" s="1"/>
  <c r="S72" i="11"/>
  <c r="O29" i="8" s="1"/>
  <c r="AA50" i="11"/>
  <c r="W7" i="8" s="1"/>
  <c r="T48" i="11"/>
  <c r="P5" i="8" s="1"/>
  <c r="AI48" i="11"/>
  <c r="AE5" i="8" s="1"/>
  <c r="S68" i="11"/>
  <c r="O25" i="8" s="1"/>
  <c r="AI54" i="11"/>
  <c r="AE11" i="8" s="1"/>
  <c r="T52" i="11"/>
  <c r="P9" i="8" s="1"/>
  <c r="U51" i="11"/>
  <c r="Q8" i="8" s="1"/>
  <c r="U53" i="11"/>
  <c r="Q10" i="8" s="1"/>
  <c r="R71" i="11"/>
  <c r="N28" i="8" s="1"/>
  <c r="AA55" i="11"/>
  <c r="W12" i="8" s="1"/>
  <c r="D34" i="4"/>
  <c r="B25" i="8" l="1"/>
  <c r="B14" i="8"/>
  <c r="B41" i="8"/>
  <c r="B53" i="8"/>
  <c r="B58" i="8"/>
  <c r="B52" i="8"/>
  <c r="B30" i="8"/>
  <c r="B10" i="8"/>
  <c r="B16" i="8"/>
  <c r="B27" i="8"/>
  <c r="B7" i="8"/>
  <c r="B24" i="8"/>
  <c r="B39" i="8"/>
  <c r="B36" i="8"/>
  <c r="B57" i="8"/>
  <c r="B19" i="8"/>
  <c r="B20" i="8"/>
  <c r="B37" i="8"/>
  <c r="B15" i="8"/>
  <c r="B55" i="8"/>
  <c r="B40" i="8"/>
  <c r="B48" i="8"/>
  <c r="B38" i="8"/>
  <c r="B21" i="8"/>
  <c r="B12" i="8"/>
  <c r="B11" i="8"/>
  <c r="B35" i="8"/>
  <c r="B44" i="8"/>
  <c r="B43" i="8"/>
  <c r="B61" i="8"/>
  <c r="B29" i="8"/>
  <c r="B26" i="8"/>
  <c r="B47" i="8"/>
  <c r="B63" i="8"/>
  <c r="B60" i="8"/>
  <c r="B54" i="8"/>
  <c r="B18" i="8"/>
  <c r="B31" i="8"/>
  <c r="B6" i="8"/>
  <c r="B49" i="8"/>
  <c r="B56" i="8"/>
  <c r="B28" i="8"/>
  <c r="B17" i="8"/>
  <c r="B9" i="8"/>
  <c r="B23" i="8"/>
  <c r="B4" i="8"/>
  <c r="B59" i="8"/>
  <c r="B46" i="8"/>
  <c r="B62" i="8"/>
  <c r="B50" i="8"/>
  <c r="B51" i="8"/>
  <c r="AE114" i="11"/>
  <c r="AL115" i="11"/>
  <c r="U114" i="11"/>
  <c r="I115" i="11"/>
  <c r="L115" i="11"/>
  <c r="AH115" i="11"/>
  <c r="AB115" i="11"/>
  <c r="T115" i="11"/>
  <c r="AB114" i="11"/>
  <c r="W115" i="11"/>
  <c r="J115" i="11"/>
  <c r="T114" i="11"/>
  <c r="AI115" i="11"/>
  <c r="AA114" i="11"/>
  <c r="O114" i="11"/>
  <c r="AC115" i="11"/>
  <c r="P114" i="11"/>
  <c r="G114" i="11"/>
  <c r="AD115" i="11"/>
  <c r="AH114" i="11"/>
  <c r="Z114" i="11"/>
  <c r="U115" i="11"/>
  <c r="Q114" i="11"/>
  <c r="AE115" i="11"/>
  <c r="AL114" i="11"/>
  <c r="AF115" i="11"/>
  <c r="W114" i="11"/>
  <c r="N114" i="11"/>
  <c r="H115" i="11"/>
  <c r="X115" i="11"/>
  <c r="X114" i="11"/>
  <c r="AK114" i="11"/>
  <c r="M115" i="11"/>
  <c r="M114" i="11"/>
  <c r="V115" i="11"/>
  <c r="Y114" i="11"/>
  <c r="AD114" i="11"/>
  <c r="AC114" i="11"/>
  <c r="O115" i="11"/>
  <c r="AJ115" i="11"/>
  <c r="S115" i="11"/>
  <c r="K115" i="11"/>
  <c r="J114" i="11"/>
  <c r="AI114" i="11"/>
  <c r="G115" i="11"/>
  <c r="R114" i="11"/>
  <c r="AJ114" i="11"/>
  <c r="AG114" i="11"/>
  <c r="I114" i="11"/>
  <c r="AK115" i="11"/>
  <c r="Q115" i="11"/>
  <c r="H114" i="11"/>
  <c r="P115" i="11"/>
  <c r="V114" i="11"/>
  <c r="S114" i="11"/>
  <c r="AG115" i="11"/>
  <c r="AA115" i="11"/>
  <c r="AF114" i="11"/>
  <c r="L114" i="11"/>
  <c r="K114" i="11"/>
  <c r="R115" i="11"/>
  <c r="N115" i="11"/>
  <c r="Y115" i="11"/>
  <c r="Z115" i="11"/>
  <c r="M115" i="12"/>
  <c r="M116" i="12"/>
  <c r="G114" i="12"/>
  <c r="AC115" i="12"/>
  <c r="AC116" i="12"/>
  <c r="AC114" i="12"/>
  <c r="AE114" i="12"/>
  <c r="AK114" i="12"/>
  <c r="P115" i="12"/>
  <c r="P116" i="12"/>
  <c r="K115" i="12"/>
  <c r="K116" i="12"/>
  <c r="U114" i="12"/>
  <c r="G115" i="12"/>
  <c r="G116" i="12"/>
  <c r="I114" i="12"/>
  <c r="O114" i="12"/>
  <c r="AI114" i="12"/>
  <c r="H114" i="12"/>
  <c r="AJ115" i="12"/>
  <c r="AJ116" i="12"/>
  <c r="AF115" i="12"/>
  <c r="AF116" i="12"/>
  <c r="Z115" i="12"/>
  <c r="Z116" i="12"/>
  <c r="AL115" i="12"/>
  <c r="AL116" i="12"/>
  <c r="U115" i="12"/>
  <c r="U116" i="12"/>
  <c r="T116" i="12"/>
  <c r="T115" i="12"/>
  <c r="J114" i="12"/>
  <c r="Y114" i="12"/>
  <c r="AJ114" i="12"/>
  <c r="AD114" i="12"/>
  <c r="R114" i="12"/>
  <c r="AF114" i="12"/>
  <c r="AL114" i="12"/>
  <c r="S115" i="12"/>
  <c r="S116" i="12"/>
  <c r="N114" i="12"/>
  <c r="Q114" i="12"/>
  <c r="Q115" i="12"/>
  <c r="Q116" i="12"/>
  <c r="V114" i="12"/>
  <c r="AD115" i="12"/>
  <c r="AD116" i="12"/>
  <c r="K114" i="12"/>
  <c r="L114" i="12"/>
  <c r="AG114" i="12"/>
  <c r="N115" i="12"/>
  <c r="N116" i="12"/>
  <c r="AB116" i="12"/>
  <c r="AB115" i="12"/>
  <c r="V115" i="12"/>
  <c r="V116" i="12"/>
  <c r="Y115" i="12"/>
  <c r="Y116" i="12"/>
  <c r="R115" i="12"/>
  <c r="R116" i="12"/>
  <c r="Z114" i="12"/>
  <c r="AH115" i="12"/>
  <c r="AH116" i="12"/>
  <c r="M114" i="12"/>
  <c r="AI115" i="12"/>
  <c r="AI116" i="12"/>
  <c r="AG115" i="12"/>
  <c r="AG116" i="12"/>
  <c r="AA115" i="12"/>
  <c r="AA116" i="12"/>
  <c r="O115" i="12"/>
  <c r="O116" i="12"/>
  <c r="I115" i="12"/>
  <c r="I116" i="12"/>
  <c r="T114" i="12"/>
  <c r="W115" i="12"/>
  <c r="W116" i="12"/>
  <c r="AB114" i="12"/>
  <c r="AE115" i="12"/>
  <c r="AE117" i="12" s="1"/>
  <c r="AE116" i="12"/>
  <c r="P114" i="12"/>
  <c r="AA114" i="12"/>
  <c r="H115" i="12"/>
  <c r="H116" i="12"/>
  <c r="L115" i="12"/>
  <c r="L116" i="12"/>
  <c r="W114" i="12"/>
  <c r="AK115" i="12"/>
  <c r="AK116" i="12"/>
  <c r="J115" i="12"/>
  <c r="J116" i="12"/>
  <c r="S114" i="12"/>
  <c r="AH114" i="12"/>
  <c r="X115" i="12"/>
  <c r="X116" i="12"/>
  <c r="X114" i="12"/>
  <c r="F116" i="12"/>
  <c r="F115" i="12"/>
  <c r="F114" i="12"/>
  <c r="B42" i="8"/>
  <c r="B45" i="8"/>
  <c r="F115" i="11"/>
  <c r="F114" i="11"/>
  <c r="B3" i="8"/>
  <c r="B13" i="8"/>
  <c r="B22" i="8"/>
  <c r="B5" i="8"/>
  <c r="B8" i="8"/>
  <c r="N37" i="4"/>
  <c r="V37" i="4"/>
  <c r="AD37" i="4"/>
  <c r="AL37" i="4"/>
  <c r="U37" i="4"/>
  <c r="G37" i="4"/>
  <c r="O37" i="4"/>
  <c r="W37" i="4"/>
  <c r="AE37" i="4"/>
  <c r="AC37" i="4"/>
  <c r="H37" i="4"/>
  <c r="P37" i="4"/>
  <c r="X37" i="4"/>
  <c r="AF37" i="4"/>
  <c r="M37" i="4"/>
  <c r="AK37" i="4"/>
  <c r="I37" i="4"/>
  <c r="Q37" i="4"/>
  <c r="Y37" i="4"/>
  <c r="AG37" i="4"/>
  <c r="J37" i="4"/>
  <c r="R37" i="4"/>
  <c r="Z37" i="4"/>
  <c r="AH37" i="4"/>
  <c r="K37" i="4"/>
  <c r="S37" i="4"/>
  <c r="AA37" i="4"/>
  <c r="AI37" i="4"/>
  <c r="L37" i="4"/>
  <c r="T37" i="4"/>
  <c r="AB37" i="4"/>
  <c r="AJ37" i="4"/>
  <c r="N35" i="4"/>
  <c r="V35" i="4"/>
  <c r="AD35" i="4"/>
  <c r="AL35" i="4"/>
  <c r="AC35" i="4"/>
  <c r="G35" i="4"/>
  <c r="O35" i="4"/>
  <c r="W35" i="4"/>
  <c r="AE35" i="4"/>
  <c r="M35" i="4"/>
  <c r="H35" i="4"/>
  <c r="P35" i="4"/>
  <c r="X35" i="4"/>
  <c r="AF35" i="4"/>
  <c r="U35" i="4"/>
  <c r="AK35" i="4"/>
  <c r="I35" i="4"/>
  <c r="Q35" i="4"/>
  <c r="Y35" i="4"/>
  <c r="AG35" i="4"/>
  <c r="J35" i="4"/>
  <c r="R35" i="4"/>
  <c r="Z35" i="4"/>
  <c r="AH35" i="4"/>
  <c r="K35" i="4"/>
  <c r="S35" i="4"/>
  <c r="AA35" i="4"/>
  <c r="AI35" i="4"/>
  <c r="L35" i="4"/>
  <c r="T35" i="4"/>
  <c r="AB35" i="4"/>
  <c r="AJ35" i="4"/>
  <c r="N36" i="4"/>
  <c r="V36" i="4"/>
  <c r="AD36" i="4"/>
  <c r="AL36" i="4"/>
  <c r="M36" i="4"/>
  <c r="AC36" i="4"/>
  <c r="AK36" i="4"/>
  <c r="G36" i="4"/>
  <c r="O36" i="4"/>
  <c r="W36" i="4"/>
  <c r="AE36" i="4"/>
  <c r="H36" i="4"/>
  <c r="P36" i="4"/>
  <c r="X36" i="4"/>
  <c r="AF36" i="4"/>
  <c r="U36" i="4"/>
  <c r="I36" i="4"/>
  <c r="Q36" i="4"/>
  <c r="Y36" i="4"/>
  <c r="AG36" i="4"/>
  <c r="J36" i="4"/>
  <c r="R36" i="4"/>
  <c r="Z36" i="4"/>
  <c r="AH36" i="4"/>
  <c r="K36" i="4"/>
  <c r="S36" i="4"/>
  <c r="AA36" i="4"/>
  <c r="AI36" i="4"/>
  <c r="L36" i="4"/>
  <c r="T36" i="4"/>
  <c r="AB36" i="4"/>
  <c r="AJ36" i="4"/>
  <c r="N34" i="4"/>
  <c r="V34" i="4"/>
  <c r="AD34" i="4"/>
  <c r="AL34" i="4"/>
  <c r="G34" i="4"/>
  <c r="O34" i="4"/>
  <c r="W34" i="4"/>
  <c r="AE34" i="4"/>
  <c r="H34" i="4"/>
  <c r="P34" i="4"/>
  <c r="X34" i="4"/>
  <c r="AF34" i="4"/>
  <c r="I34" i="4"/>
  <c r="Q34" i="4"/>
  <c r="Y34" i="4"/>
  <c r="AG34" i="4"/>
  <c r="AK34" i="4"/>
  <c r="J34" i="4"/>
  <c r="R34" i="4"/>
  <c r="Z34" i="4"/>
  <c r="AH34" i="4"/>
  <c r="AC34" i="4"/>
  <c r="K34" i="4"/>
  <c r="S34" i="4"/>
  <c r="AA34" i="4"/>
  <c r="AI34" i="4"/>
  <c r="U34" i="4"/>
  <c r="L34" i="4"/>
  <c r="T34" i="4"/>
  <c r="AB34" i="4"/>
  <c r="AJ34" i="4"/>
  <c r="M34" i="4"/>
  <c r="I117" i="12" l="1"/>
  <c r="J117" i="12"/>
  <c r="V117" i="12"/>
  <c r="AI117" i="12"/>
  <c r="Y117" i="12"/>
  <c r="G117" i="12"/>
  <c r="AD117" i="12"/>
  <c r="P117" i="12"/>
  <c r="L117" i="12"/>
  <c r="N117" i="12"/>
  <c r="Z116" i="11"/>
  <c r="AG116" i="11"/>
  <c r="AJ116" i="11"/>
  <c r="AE116" i="11"/>
  <c r="AC116" i="11"/>
  <c r="T116" i="11"/>
  <c r="I116" i="11"/>
  <c r="O117" i="12"/>
  <c r="Y116" i="11"/>
  <c r="Q116" i="11"/>
  <c r="O116" i="11"/>
  <c r="V116" i="11"/>
  <c r="AD116" i="11"/>
  <c r="J116" i="11"/>
  <c r="AB116" i="11"/>
  <c r="N116" i="11"/>
  <c r="AK116" i="11"/>
  <c r="K116" i="11"/>
  <c r="X116" i="11"/>
  <c r="AF116" i="11"/>
  <c r="U116" i="11"/>
  <c r="W116" i="11"/>
  <c r="AH116" i="11"/>
  <c r="AL116" i="11"/>
  <c r="AK117" i="12"/>
  <c r="H117" i="12"/>
  <c r="R116" i="11"/>
  <c r="AA116" i="11"/>
  <c r="P116" i="11"/>
  <c r="G116" i="11"/>
  <c r="S116" i="11"/>
  <c r="M116" i="11"/>
  <c r="H116" i="11"/>
  <c r="AI116" i="11"/>
  <c r="L116" i="11"/>
  <c r="W117" i="12"/>
  <c r="U117" i="12"/>
  <c r="AA117" i="12"/>
  <c r="R117" i="12"/>
  <c r="AL117" i="12"/>
  <c r="AJ117" i="12"/>
  <c r="AG117" i="12"/>
  <c r="AC117" i="12"/>
  <c r="AF117" i="12"/>
  <c r="X117" i="12"/>
  <c r="AB117" i="12"/>
  <c r="S117" i="12"/>
  <c r="T117" i="12"/>
  <c r="K117" i="12"/>
  <c r="F117" i="12"/>
  <c r="Q117" i="12"/>
  <c r="M117" i="12"/>
  <c r="AH117" i="12"/>
  <c r="Z117" i="12"/>
  <c r="F116" i="11"/>
  <c r="F37" i="4"/>
  <c r="E37" i="4"/>
  <c r="B37" i="4" s="1"/>
  <c r="E34" i="4"/>
  <c r="B34" i="4" s="1"/>
  <c r="F35" i="4"/>
  <c r="E35" i="4"/>
  <c r="B35" i="4" s="1"/>
  <c r="F36" i="4"/>
  <c r="E36" i="4"/>
  <c r="B36" i="4" s="1"/>
  <c r="F34" i="4"/>
  <c r="E122" i="12" l="1" a="1"/>
  <c r="AL135" i="12" s="1"/>
  <c r="A17" i="4"/>
  <c r="B17" i="4"/>
  <c r="C17" i="4"/>
  <c r="D17" i="4"/>
  <c r="A18" i="4"/>
  <c r="B18" i="4"/>
  <c r="C18" i="4"/>
  <c r="D18" i="4"/>
  <c r="A19" i="4"/>
  <c r="B19" i="4"/>
  <c r="C19" i="4"/>
  <c r="D19" i="4"/>
  <c r="A20" i="4"/>
  <c r="B20" i="4"/>
  <c r="C20" i="4"/>
  <c r="D20" i="4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C28" i="4"/>
  <c r="D28" i="4"/>
  <c r="A29" i="4"/>
  <c r="B29" i="4"/>
  <c r="C29" i="4"/>
  <c r="D29" i="4"/>
  <c r="A30" i="4"/>
  <c r="B30" i="4"/>
  <c r="C30" i="4"/>
  <c r="D30" i="4"/>
  <c r="A31" i="4"/>
  <c r="B31" i="4"/>
  <c r="C31" i="4"/>
  <c r="D31" i="4"/>
  <c r="A32" i="4"/>
  <c r="B32" i="4"/>
  <c r="C32" i="4"/>
  <c r="D32" i="4"/>
  <c r="B96" i="8"/>
  <c r="AE123" i="12" l="1"/>
  <c r="AJ129" i="12"/>
  <c r="I131" i="12"/>
  <c r="P132" i="12"/>
  <c r="O133" i="12"/>
  <c r="N134" i="12"/>
  <c r="M135" i="12"/>
  <c r="E124" i="12"/>
  <c r="AF131" i="12"/>
  <c r="E133" i="12"/>
  <c r="L134" i="12"/>
  <c r="K135" i="12"/>
  <c r="G122" i="12"/>
  <c r="F123" i="12"/>
  <c r="M124" i="12"/>
  <c r="AB133" i="12"/>
  <c r="AI134" i="12"/>
  <c r="E122" i="12"/>
  <c r="AL122" i="12"/>
  <c r="AK123" i="12"/>
  <c r="AJ124" i="12"/>
  <c r="U124" i="12"/>
  <c r="X135" i="12"/>
  <c r="AJ122" i="12"/>
  <c r="AI123" i="12"/>
  <c r="AH124" i="12"/>
  <c r="AG125" i="12"/>
  <c r="AF126" i="12"/>
  <c r="R122" i="12"/>
  <c r="Y123" i="12"/>
  <c r="AF124" i="12"/>
  <c r="AE125" i="12"/>
  <c r="AD126" i="12"/>
  <c r="AC127" i="12"/>
  <c r="AB128" i="12"/>
  <c r="Q130" i="12"/>
  <c r="N124" i="12"/>
  <c r="U125" i="12"/>
  <c r="AB126" i="12"/>
  <c r="AA127" i="12"/>
  <c r="Z128" i="12"/>
  <c r="Y129" i="12"/>
  <c r="X130" i="12"/>
  <c r="U132" i="12"/>
  <c r="J126" i="12"/>
  <c r="Q127" i="12"/>
  <c r="X128" i="12"/>
  <c r="W129" i="12"/>
  <c r="V130" i="12"/>
  <c r="U131" i="12"/>
  <c r="T132" i="12"/>
  <c r="Y134" i="12"/>
  <c r="F128" i="12"/>
  <c r="M129" i="12"/>
  <c r="T130" i="12"/>
  <c r="S131" i="12"/>
  <c r="R132" i="12"/>
  <c r="Q133" i="12"/>
  <c r="P134" i="12"/>
  <c r="M132" i="12"/>
  <c r="Q134" i="12"/>
  <c r="W123" i="12"/>
  <c r="AA125" i="12"/>
  <c r="AI125" i="12"/>
  <c r="I126" i="12"/>
  <c r="Q126" i="12"/>
  <c r="Z122" i="12"/>
  <c r="V124" i="12"/>
  <c r="R126" i="12"/>
  <c r="N128" i="12"/>
  <c r="J130" i="12"/>
  <c r="F132" i="12"/>
  <c r="AJ133" i="12"/>
  <c r="AF135" i="12"/>
  <c r="AG123" i="12"/>
  <c r="AC125" i="12"/>
  <c r="Y127" i="12"/>
  <c r="U129" i="12"/>
  <c r="Q131" i="12"/>
  <c r="M133" i="12"/>
  <c r="I135" i="12"/>
  <c r="J123" i="12"/>
  <c r="F125" i="12"/>
  <c r="AJ126" i="12"/>
  <c r="AF128" i="12"/>
  <c r="AB130" i="12"/>
  <c r="X132" i="12"/>
  <c r="T134" i="12"/>
  <c r="M122" i="12"/>
  <c r="I124" i="12"/>
  <c r="E126" i="12"/>
  <c r="AI127" i="12"/>
  <c r="AE129" i="12"/>
  <c r="AA131" i="12"/>
  <c r="W133" i="12"/>
  <c r="S135" i="12"/>
  <c r="L123" i="12"/>
  <c r="H125" i="12"/>
  <c r="AL126" i="12"/>
  <c r="AH128" i="12"/>
  <c r="AD130" i="12"/>
  <c r="Z132" i="12"/>
  <c r="V134" i="12"/>
  <c r="O122" i="12"/>
  <c r="K124" i="12"/>
  <c r="G126" i="12"/>
  <c r="AK127" i="12"/>
  <c r="AG129" i="12"/>
  <c r="AC131" i="12"/>
  <c r="Y133" i="12"/>
  <c r="U135" i="12"/>
  <c r="N123" i="12"/>
  <c r="J125" i="12"/>
  <c r="F127" i="12"/>
  <c r="AJ128" i="12"/>
  <c r="AF130" i="12"/>
  <c r="AB132" i="12"/>
  <c r="X134" i="12"/>
  <c r="I134" i="12"/>
  <c r="O123" i="12"/>
  <c r="S125" i="12"/>
  <c r="W127" i="12"/>
  <c r="AE127" i="12"/>
  <c r="E128" i="12"/>
  <c r="M128" i="12"/>
  <c r="AH122" i="12"/>
  <c r="AD124" i="12"/>
  <c r="Z126" i="12"/>
  <c r="V128" i="12"/>
  <c r="R130" i="12"/>
  <c r="N132" i="12"/>
  <c r="J134" i="12"/>
  <c r="K122" i="12"/>
  <c r="G124" i="12"/>
  <c r="AK125" i="12"/>
  <c r="AG127" i="12"/>
  <c r="AC129" i="12"/>
  <c r="Y131" i="12"/>
  <c r="U133" i="12"/>
  <c r="Q135" i="12"/>
  <c r="R123" i="12"/>
  <c r="N125" i="12"/>
  <c r="J127" i="12"/>
  <c r="F129" i="12"/>
  <c r="AJ130" i="12"/>
  <c r="AF132" i="12"/>
  <c r="AB134" i="12"/>
  <c r="U122" i="12"/>
  <c r="Q124" i="12"/>
  <c r="M126" i="12"/>
  <c r="I128" i="12"/>
  <c r="E130" i="12"/>
  <c r="AI131" i="12"/>
  <c r="AE133" i="12"/>
  <c r="AA135" i="12"/>
  <c r="T123" i="12"/>
  <c r="P125" i="12"/>
  <c r="L127" i="12"/>
  <c r="H129" i="12"/>
  <c r="AL130" i="12"/>
  <c r="AH132" i="12"/>
  <c r="AD134" i="12"/>
  <c r="W122" i="12"/>
  <c r="S124" i="12"/>
  <c r="O126" i="12"/>
  <c r="K128" i="12"/>
  <c r="G130" i="12"/>
  <c r="AK131" i="12"/>
  <c r="AG133" i="12"/>
  <c r="AC135" i="12"/>
  <c r="V123" i="12"/>
  <c r="R125" i="12"/>
  <c r="N127" i="12"/>
  <c r="J129" i="12"/>
  <c r="F131" i="12"/>
  <c r="AJ132" i="12"/>
  <c r="AF134" i="12"/>
  <c r="G123" i="12"/>
  <c r="K125" i="12"/>
  <c r="O127" i="12"/>
  <c r="S129" i="12"/>
  <c r="AA129" i="12"/>
  <c r="AI129" i="12"/>
  <c r="I130" i="12"/>
  <c r="H123" i="12"/>
  <c r="AL124" i="12"/>
  <c r="AH126" i="12"/>
  <c r="AD128" i="12"/>
  <c r="Z130" i="12"/>
  <c r="V132" i="12"/>
  <c r="R134" i="12"/>
  <c r="S122" i="12"/>
  <c r="O124" i="12"/>
  <c r="K126" i="12"/>
  <c r="G128" i="12"/>
  <c r="AK129" i="12"/>
  <c r="AG131" i="12"/>
  <c r="AC133" i="12"/>
  <c r="Y135" i="12"/>
  <c r="Z123" i="12"/>
  <c r="V125" i="12"/>
  <c r="R127" i="12"/>
  <c r="N129" i="12"/>
  <c r="J131" i="12"/>
  <c r="F133" i="12"/>
  <c r="AJ134" i="12"/>
  <c r="AC122" i="12"/>
  <c r="Y124" i="12"/>
  <c r="U126" i="12"/>
  <c r="Q128" i="12"/>
  <c r="M130" i="12"/>
  <c r="I132" i="12"/>
  <c r="E134" i="12"/>
  <c r="AI135" i="12"/>
  <c r="AB123" i="12"/>
  <c r="X125" i="12"/>
  <c r="T127" i="12"/>
  <c r="P129" i="12"/>
  <c r="L131" i="12"/>
  <c r="H133" i="12"/>
  <c r="AL134" i="12"/>
  <c r="AE122" i="12"/>
  <c r="AA124" i="12"/>
  <c r="W126" i="12"/>
  <c r="S128" i="12"/>
  <c r="O130" i="12"/>
  <c r="K132" i="12"/>
  <c r="G134" i="12"/>
  <c r="AK135" i="12"/>
  <c r="AD123" i="12"/>
  <c r="Z125" i="12"/>
  <c r="V127" i="12"/>
  <c r="R129" i="12"/>
  <c r="N131" i="12"/>
  <c r="J133" i="12"/>
  <c r="F135" i="12"/>
  <c r="AG122" i="12"/>
  <c r="AK124" i="12"/>
  <c r="G127" i="12"/>
  <c r="K129" i="12"/>
  <c r="O131" i="12"/>
  <c r="W131" i="12"/>
  <c r="AE131" i="12"/>
  <c r="E132" i="12"/>
  <c r="P123" i="12"/>
  <c r="L125" i="12"/>
  <c r="H127" i="12"/>
  <c r="AL128" i="12"/>
  <c r="AH130" i="12"/>
  <c r="AD132" i="12"/>
  <c r="Z134" i="12"/>
  <c r="AA122" i="12"/>
  <c r="W124" i="12"/>
  <c r="S126" i="12"/>
  <c r="O128" i="12"/>
  <c r="K130" i="12"/>
  <c r="G132" i="12"/>
  <c r="AK133" i="12"/>
  <c r="AG135" i="12"/>
  <c r="AH123" i="12"/>
  <c r="AD125" i="12"/>
  <c r="Z127" i="12"/>
  <c r="V129" i="12"/>
  <c r="R131" i="12"/>
  <c r="N133" i="12"/>
  <c r="J135" i="12"/>
  <c r="AK122" i="12"/>
  <c r="AG124" i="12"/>
  <c r="AC126" i="12"/>
  <c r="Y128" i="12"/>
  <c r="U130" i="12"/>
  <c r="Q132" i="12"/>
  <c r="M134" i="12"/>
  <c r="F122" i="12"/>
  <c r="AJ123" i="12"/>
  <c r="AF125" i="12"/>
  <c r="AB127" i="12"/>
  <c r="X129" i="12"/>
  <c r="T131" i="12"/>
  <c r="P133" i="12"/>
  <c r="L135" i="12"/>
  <c r="E123" i="12"/>
  <c r="AI124" i="12"/>
  <c r="AE126" i="12"/>
  <c r="AA128" i="12"/>
  <c r="W130" i="12"/>
  <c r="S132" i="12"/>
  <c r="O134" i="12"/>
  <c r="H122" i="12"/>
  <c r="AL123" i="12"/>
  <c r="AH125" i="12"/>
  <c r="AD127" i="12"/>
  <c r="Z129" i="12"/>
  <c r="V131" i="12"/>
  <c r="R133" i="12"/>
  <c r="N135" i="12"/>
  <c r="AC124" i="12"/>
  <c r="AG126" i="12"/>
  <c r="AK128" i="12"/>
  <c r="G131" i="12"/>
  <c r="K133" i="12"/>
  <c r="S133" i="12"/>
  <c r="AA133" i="12"/>
  <c r="AI133" i="12"/>
  <c r="X123" i="12"/>
  <c r="T125" i="12"/>
  <c r="P127" i="12"/>
  <c r="L129" i="12"/>
  <c r="H131" i="12"/>
  <c r="AL132" i="12"/>
  <c r="AH134" i="12"/>
  <c r="AI122" i="12"/>
  <c r="AE124" i="12"/>
  <c r="AA126" i="12"/>
  <c r="W128" i="12"/>
  <c r="S130" i="12"/>
  <c r="O132" i="12"/>
  <c r="K134" i="12"/>
  <c r="L122" i="12"/>
  <c r="H124" i="12"/>
  <c r="AL125" i="12"/>
  <c r="AH127" i="12"/>
  <c r="AD129" i="12"/>
  <c r="Z131" i="12"/>
  <c r="V133" i="12"/>
  <c r="R135" i="12"/>
  <c r="K123" i="12"/>
  <c r="G125" i="12"/>
  <c r="AK126" i="12"/>
  <c r="AG128" i="12"/>
  <c r="AC130" i="12"/>
  <c r="Y132" i="12"/>
  <c r="U134" i="12"/>
  <c r="N122" i="12"/>
  <c r="J124" i="12"/>
  <c r="F126" i="12"/>
  <c r="AJ127" i="12"/>
  <c r="AF129" i="12"/>
  <c r="AB131" i="12"/>
  <c r="X133" i="12"/>
  <c r="T135" i="12"/>
  <c r="M123" i="12"/>
  <c r="I125" i="12"/>
  <c r="E127" i="12"/>
  <c r="AI128" i="12"/>
  <c r="AE130" i="12"/>
  <c r="AA132" i="12"/>
  <c r="W134" i="12"/>
  <c r="P122" i="12"/>
  <c r="L124" i="12"/>
  <c r="H126" i="12"/>
  <c r="AL127" i="12"/>
  <c r="AH129" i="12"/>
  <c r="AD131" i="12"/>
  <c r="Z133" i="12"/>
  <c r="V135" i="12"/>
  <c r="Y126" i="12"/>
  <c r="AC128" i="12"/>
  <c r="AG130" i="12"/>
  <c r="AK132" i="12"/>
  <c r="G135" i="12"/>
  <c r="O135" i="12"/>
  <c r="W135" i="12"/>
  <c r="AE135" i="12"/>
  <c r="AF123" i="12"/>
  <c r="AB125" i="12"/>
  <c r="X127" i="12"/>
  <c r="T129" i="12"/>
  <c r="P131" i="12"/>
  <c r="L133" i="12"/>
  <c r="H135" i="12"/>
  <c r="I123" i="12"/>
  <c r="E125" i="12"/>
  <c r="AI126" i="12"/>
  <c r="AE128" i="12"/>
  <c r="AA130" i="12"/>
  <c r="W132" i="12"/>
  <c r="S134" i="12"/>
  <c r="T122" i="12"/>
  <c r="P124" i="12"/>
  <c r="L126" i="12"/>
  <c r="H128" i="12"/>
  <c r="AL129" i="12"/>
  <c r="AH131" i="12"/>
  <c r="AD133" i="12"/>
  <c r="Z135" i="12"/>
  <c r="S123" i="12"/>
  <c r="O125" i="12"/>
  <c r="K127" i="12"/>
  <c r="G129" i="12"/>
  <c r="AK130" i="12"/>
  <c r="AG132" i="12"/>
  <c r="AC134" i="12"/>
  <c r="V122" i="12"/>
  <c r="R124" i="12"/>
  <c r="N126" i="12"/>
  <c r="J128" i="12"/>
  <c r="F130" i="12"/>
  <c r="AJ131" i="12"/>
  <c r="AF133" i="12"/>
  <c r="AB135" i="12"/>
  <c r="U123" i="12"/>
  <c r="Q125" i="12"/>
  <c r="M127" i="12"/>
  <c r="I129" i="12"/>
  <c r="E131" i="12"/>
  <c r="AI132" i="12"/>
  <c r="AE134" i="12"/>
  <c r="X122" i="12"/>
  <c r="T124" i="12"/>
  <c r="P126" i="12"/>
  <c r="L128" i="12"/>
  <c r="H130" i="12"/>
  <c r="AL131" i="12"/>
  <c r="AH133" i="12"/>
  <c r="AD135" i="12"/>
  <c r="U128" i="12"/>
  <c r="Y130" i="12"/>
  <c r="AC132" i="12"/>
  <c r="AG134" i="12"/>
  <c r="I122" i="12"/>
  <c r="Q122" i="12"/>
  <c r="Y122" i="12"/>
  <c r="J122" i="12"/>
  <c r="F124" i="12"/>
  <c r="AJ125" i="12"/>
  <c r="AF127" i="12"/>
  <c r="AB129" i="12"/>
  <c r="X131" i="12"/>
  <c r="T133" i="12"/>
  <c r="P135" i="12"/>
  <c r="Q123" i="12"/>
  <c r="M125" i="12"/>
  <c r="I127" i="12"/>
  <c r="E129" i="12"/>
  <c r="AI130" i="12"/>
  <c r="AE132" i="12"/>
  <c r="AA134" i="12"/>
  <c r="AB122" i="12"/>
  <c r="X124" i="12"/>
  <c r="T126" i="12"/>
  <c r="P128" i="12"/>
  <c r="L130" i="12"/>
  <c r="H132" i="12"/>
  <c r="AL133" i="12"/>
  <c r="AH135" i="12"/>
  <c r="AA123" i="12"/>
  <c r="W125" i="12"/>
  <c r="S127" i="12"/>
  <c r="O129" i="12"/>
  <c r="K131" i="12"/>
  <c r="G133" i="12"/>
  <c r="AK134" i="12"/>
  <c r="AD122" i="12"/>
  <c r="Z124" i="12"/>
  <c r="V126" i="12"/>
  <c r="R128" i="12"/>
  <c r="N130" i="12"/>
  <c r="J132" i="12"/>
  <c r="F134" i="12"/>
  <c r="AJ135" i="12"/>
  <c r="AC123" i="12"/>
  <c r="Y125" i="12"/>
  <c r="U127" i="12"/>
  <c r="Q129" i="12"/>
  <c r="M131" i="12"/>
  <c r="I133" i="12"/>
  <c r="E135" i="12"/>
  <c r="AF122" i="12"/>
  <c r="AB124" i="12"/>
  <c r="X126" i="12"/>
  <c r="T128" i="12"/>
  <c r="P130" i="12"/>
  <c r="L132" i="12"/>
  <c r="H134" i="12"/>
  <c r="A2" i="4"/>
  <c r="C114" i="4"/>
  <c r="F113" i="4"/>
  <c r="F79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F45" i="4"/>
  <c r="B66" i="8" s="1"/>
  <c r="E45" i="4"/>
  <c r="F40" i="4"/>
  <c r="D33" i="4"/>
  <c r="D75" i="4" s="1"/>
  <c r="D109" i="4" s="1"/>
  <c r="C33" i="4"/>
  <c r="C75" i="4" s="1"/>
  <c r="C109" i="4" s="1"/>
  <c r="B33" i="4"/>
  <c r="B75" i="4" s="1"/>
  <c r="B109" i="4" s="1"/>
  <c r="A33" i="4"/>
  <c r="A75" i="4" s="1"/>
  <c r="A109" i="4" s="1"/>
  <c r="D74" i="4"/>
  <c r="D108" i="4" s="1"/>
  <c r="C74" i="4"/>
  <c r="C108" i="4" s="1"/>
  <c r="B74" i="4"/>
  <c r="B108" i="4" s="1"/>
  <c r="A74" i="4"/>
  <c r="D73" i="4"/>
  <c r="D107" i="4" s="1"/>
  <c r="C73" i="4"/>
  <c r="C107" i="4" s="1"/>
  <c r="B73" i="4"/>
  <c r="B107" i="4" s="1"/>
  <c r="A73" i="4"/>
  <c r="D72" i="4"/>
  <c r="D106" i="4" s="1"/>
  <c r="C72" i="4"/>
  <c r="C106" i="4" s="1"/>
  <c r="B72" i="4"/>
  <c r="B106" i="4" s="1"/>
  <c r="A72" i="4"/>
  <c r="D71" i="4"/>
  <c r="D105" i="4" s="1"/>
  <c r="C71" i="4"/>
  <c r="C105" i="4" s="1"/>
  <c r="B71" i="4"/>
  <c r="B105" i="4" s="1"/>
  <c r="A71" i="4"/>
  <c r="D70" i="4"/>
  <c r="D104" i="4" s="1"/>
  <c r="C70" i="4"/>
  <c r="C104" i="4" s="1"/>
  <c r="B70" i="4"/>
  <c r="B104" i="4" s="1"/>
  <c r="A70" i="4"/>
  <c r="D69" i="4"/>
  <c r="D103" i="4" s="1"/>
  <c r="C69" i="4"/>
  <c r="C103" i="4" s="1"/>
  <c r="B69" i="4"/>
  <c r="B103" i="4" s="1"/>
  <c r="A69" i="4"/>
  <c r="D68" i="4"/>
  <c r="D102" i="4" s="1"/>
  <c r="C68" i="4"/>
  <c r="C102" i="4" s="1"/>
  <c r="B68" i="4"/>
  <c r="B102" i="4" s="1"/>
  <c r="A68" i="4"/>
  <c r="D67" i="4"/>
  <c r="D101" i="4" s="1"/>
  <c r="C67" i="4"/>
  <c r="C101" i="4" s="1"/>
  <c r="B67" i="4"/>
  <c r="B101" i="4" s="1"/>
  <c r="A67" i="4"/>
  <c r="D66" i="4"/>
  <c r="D100" i="4" s="1"/>
  <c r="C66" i="4"/>
  <c r="C100" i="4" s="1"/>
  <c r="B66" i="4"/>
  <c r="B100" i="4" s="1"/>
  <c r="A66" i="4"/>
  <c r="D65" i="4"/>
  <c r="D99" i="4" s="1"/>
  <c r="C65" i="4"/>
  <c r="C99" i="4" s="1"/>
  <c r="B65" i="4"/>
  <c r="B99" i="4" s="1"/>
  <c r="A65" i="4"/>
  <c r="D64" i="4"/>
  <c r="D98" i="4" s="1"/>
  <c r="C64" i="4"/>
  <c r="C98" i="4" s="1"/>
  <c r="B64" i="4"/>
  <c r="B98" i="4" s="1"/>
  <c r="A64" i="4"/>
  <c r="D63" i="4"/>
  <c r="D97" i="4" s="1"/>
  <c r="C63" i="4"/>
  <c r="C97" i="4" s="1"/>
  <c r="B63" i="4"/>
  <c r="B97" i="4" s="1"/>
  <c r="A63" i="4"/>
  <c r="D62" i="4"/>
  <c r="D96" i="4" s="1"/>
  <c r="C62" i="4"/>
  <c r="C96" i="4" s="1"/>
  <c r="B62" i="4"/>
  <c r="B96" i="4" s="1"/>
  <c r="A62" i="4"/>
  <c r="D61" i="4"/>
  <c r="D95" i="4" s="1"/>
  <c r="C61" i="4"/>
  <c r="C95" i="4" s="1"/>
  <c r="B61" i="4"/>
  <c r="B95" i="4" s="1"/>
  <c r="A61" i="4"/>
  <c r="D60" i="4"/>
  <c r="D94" i="4" s="1"/>
  <c r="C60" i="4"/>
  <c r="C94" i="4" s="1"/>
  <c r="B60" i="4"/>
  <c r="B94" i="4" s="1"/>
  <c r="A60" i="4"/>
  <c r="D59" i="4"/>
  <c r="D93" i="4" s="1"/>
  <c r="C59" i="4"/>
  <c r="C93" i="4" s="1"/>
  <c r="B59" i="4"/>
  <c r="B93" i="4" s="1"/>
  <c r="A59" i="4"/>
  <c r="D16" i="4"/>
  <c r="D58" i="4" s="1"/>
  <c r="D92" i="4" s="1"/>
  <c r="C16" i="4"/>
  <c r="C58" i="4" s="1"/>
  <c r="C92" i="4" s="1"/>
  <c r="B16" i="4"/>
  <c r="B58" i="4" s="1"/>
  <c r="B92" i="4" s="1"/>
  <c r="A16" i="4"/>
  <c r="A58" i="4" s="1"/>
  <c r="D15" i="4"/>
  <c r="D57" i="4" s="1"/>
  <c r="D91" i="4" s="1"/>
  <c r="C15" i="4"/>
  <c r="C57" i="4" s="1"/>
  <c r="C91" i="4" s="1"/>
  <c r="B15" i="4"/>
  <c r="B57" i="4" s="1"/>
  <c r="B91" i="4" s="1"/>
  <c r="A15" i="4"/>
  <c r="A57" i="4" s="1"/>
  <c r="D14" i="4"/>
  <c r="D56" i="4" s="1"/>
  <c r="D90" i="4" s="1"/>
  <c r="C14" i="4"/>
  <c r="C56" i="4" s="1"/>
  <c r="C90" i="4" s="1"/>
  <c r="B14" i="4"/>
  <c r="B56" i="4" s="1"/>
  <c r="B90" i="4" s="1"/>
  <c r="A14" i="4"/>
  <c r="A56" i="4" s="1"/>
  <c r="D13" i="4"/>
  <c r="D55" i="4" s="1"/>
  <c r="D89" i="4" s="1"/>
  <c r="C13" i="4"/>
  <c r="C55" i="4" s="1"/>
  <c r="C89" i="4" s="1"/>
  <c r="B13" i="4"/>
  <c r="B55" i="4" s="1"/>
  <c r="B89" i="4" s="1"/>
  <c r="A13" i="4"/>
  <c r="A55" i="4" s="1"/>
  <c r="D12" i="4"/>
  <c r="D54" i="4" s="1"/>
  <c r="D88" i="4" s="1"/>
  <c r="C12" i="4"/>
  <c r="C54" i="4" s="1"/>
  <c r="C88" i="4" s="1"/>
  <c r="B12" i="4"/>
  <c r="B54" i="4" s="1"/>
  <c r="B88" i="4" s="1"/>
  <c r="A12" i="4"/>
  <c r="A54" i="4" s="1"/>
  <c r="D11" i="4"/>
  <c r="D53" i="4" s="1"/>
  <c r="D87" i="4" s="1"/>
  <c r="C11" i="4"/>
  <c r="C53" i="4" s="1"/>
  <c r="C87" i="4" s="1"/>
  <c r="B11" i="4"/>
  <c r="B53" i="4" s="1"/>
  <c r="B87" i="4" s="1"/>
  <c r="A11" i="4"/>
  <c r="A53" i="4" s="1"/>
  <c r="D10" i="4"/>
  <c r="D52" i="4" s="1"/>
  <c r="D86" i="4" s="1"/>
  <c r="C10" i="4"/>
  <c r="C52" i="4" s="1"/>
  <c r="C86" i="4" s="1"/>
  <c r="B10" i="4"/>
  <c r="B52" i="4" s="1"/>
  <c r="B86" i="4" s="1"/>
  <c r="A10" i="4"/>
  <c r="A52" i="4" s="1"/>
  <c r="D9" i="4"/>
  <c r="D51" i="4" s="1"/>
  <c r="D85" i="4" s="1"/>
  <c r="C9" i="4"/>
  <c r="C51" i="4" s="1"/>
  <c r="C85" i="4" s="1"/>
  <c r="B9" i="4"/>
  <c r="B51" i="4" s="1"/>
  <c r="B85" i="4" s="1"/>
  <c r="A9" i="4"/>
  <c r="A51" i="4" s="1"/>
  <c r="D8" i="4"/>
  <c r="D50" i="4" s="1"/>
  <c r="D84" i="4" s="1"/>
  <c r="C8" i="4"/>
  <c r="C50" i="4" s="1"/>
  <c r="C84" i="4" s="1"/>
  <c r="B8" i="4"/>
  <c r="B50" i="4" s="1"/>
  <c r="B84" i="4" s="1"/>
  <c r="A8" i="4"/>
  <c r="A50" i="4" s="1"/>
  <c r="D7" i="4"/>
  <c r="D49" i="4" s="1"/>
  <c r="D83" i="4" s="1"/>
  <c r="C7" i="4"/>
  <c r="C49" i="4" s="1"/>
  <c r="C83" i="4" s="1"/>
  <c r="B7" i="4"/>
  <c r="B49" i="4" s="1"/>
  <c r="B83" i="4" s="1"/>
  <c r="A7" i="4"/>
  <c r="A49" i="4" s="1"/>
  <c r="D6" i="4"/>
  <c r="D48" i="4" s="1"/>
  <c r="D82" i="4" s="1"/>
  <c r="C6" i="4"/>
  <c r="C48" i="4" s="1"/>
  <c r="C82" i="4" s="1"/>
  <c r="B6" i="4"/>
  <c r="B48" i="4" s="1"/>
  <c r="B82" i="4" s="1"/>
  <c r="A6" i="4"/>
  <c r="A48" i="4" s="1"/>
  <c r="D5" i="4"/>
  <c r="D47" i="4" s="1"/>
  <c r="D81" i="4" s="1"/>
  <c r="C5" i="4"/>
  <c r="C47" i="4" s="1"/>
  <c r="C81" i="4" s="1"/>
  <c r="B5" i="4"/>
  <c r="B47" i="4" s="1"/>
  <c r="B81" i="4" s="1"/>
  <c r="A5" i="4"/>
  <c r="A47" i="4" s="1"/>
  <c r="D4" i="4"/>
  <c r="D46" i="4" s="1"/>
  <c r="D80" i="4" s="1"/>
  <c r="C4" i="4"/>
  <c r="C46" i="4" s="1"/>
  <c r="C80" i="4" s="1"/>
  <c r="B4" i="4"/>
  <c r="B46" i="4" s="1"/>
  <c r="B80" i="4" s="1"/>
  <c r="A4" i="4"/>
  <c r="A46" i="4" s="1"/>
  <c r="G46" i="4" l="1"/>
  <c r="C67" i="8" s="1"/>
  <c r="T46" i="4"/>
  <c r="P67" i="8" s="1"/>
  <c r="Z46" i="4"/>
  <c r="V67" i="8" s="1"/>
  <c r="U46" i="4"/>
  <c r="Q67" i="8" s="1"/>
  <c r="Q46" i="4"/>
  <c r="M67" i="8" s="1"/>
  <c r="S46" i="4"/>
  <c r="O67" i="8" s="1"/>
  <c r="X46" i="4"/>
  <c r="T67" i="8" s="1"/>
  <c r="AF46" i="4"/>
  <c r="AB67" i="8" s="1"/>
  <c r="AJ46" i="4"/>
  <c r="AF67" i="8" s="1"/>
  <c r="Y46" i="4"/>
  <c r="U67" i="8" s="1"/>
  <c r="N46" i="4"/>
  <c r="J67" i="8" s="1"/>
  <c r="P46" i="4"/>
  <c r="L67" i="8" s="1"/>
  <c r="AG46" i="4"/>
  <c r="AC67" i="8" s="1"/>
  <c r="AH46" i="4"/>
  <c r="AD67" i="8" s="1"/>
  <c r="AA46" i="4"/>
  <c r="W67" i="8" s="1"/>
  <c r="AC46" i="4"/>
  <c r="Y67" i="8" s="1"/>
  <c r="H46" i="4"/>
  <c r="D67" i="8" s="1"/>
  <c r="AB46" i="4"/>
  <c r="X67" i="8" s="1"/>
  <c r="R46" i="4"/>
  <c r="N67" i="8" s="1"/>
  <c r="J46" i="4"/>
  <c r="F67" i="8" s="1"/>
  <c r="AI46" i="4"/>
  <c r="AE67" i="8" s="1"/>
  <c r="V46" i="4"/>
  <c r="R67" i="8" s="1"/>
  <c r="AE46" i="4"/>
  <c r="AA67" i="8" s="1"/>
  <c r="AD46" i="4"/>
  <c r="Z67" i="8" s="1"/>
  <c r="AK46" i="4"/>
  <c r="AG67" i="8" s="1"/>
  <c r="AL46" i="4"/>
  <c r="AH67" i="8" s="1"/>
  <c r="O46" i="4"/>
  <c r="K67" i="8" s="1"/>
  <c r="L46" i="4"/>
  <c r="H67" i="8" s="1"/>
  <c r="K46" i="4"/>
  <c r="G67" i="8" s="1"/>
  <c r="I46" i="4"/>
  <c r="E67" i="8" s="1"/>
  <c r="M46" i="4"/>
  <c r="I67" i="8" s="1"/>
  <c r="W46" i="4"/>
  <c r="S67" i="8" s="1"/>
  <c r="AG48" i="4"/>
  <c r="AC69" i="8" s="1"/>
  <c r="AH48" i="4"/>
  <c r="AD69" i="8" s="1"/>
  <c r="AA48" i="4"/>
  <c r="W69" i="8" s="1"/>
  <c r="V48" i="4"/>
  <c r="R69" i="8" s="1"/>
  <c r="AC48" i="4"/>
  <c r="Y69" i="8" s="1"/>
  <c r="H48" i="4"/>
  <c r="D69" i="8" s="1"/>
  <c r="AK48" i="4"/>
  <c r="AG69" i="8" s="1"/>
  <c r="G48" i="4"/>
  <c r="C69" i="8" s="1"/>
  <c r="T48" i="4"/>
  <c r="P69" i="8" s="1"/>
  <c r="Z48" i="4"/>
  <c r="V69" i="8" s="1"/>
  <c r="K48" i="4"/>
  <c r="G69" i="8" s="1"/>
  <c r="U48" i="4"/>
  <c r="Q69" i="8" s="1"/>
  <c r="Q48" i="4"/>
  <c r="M69" i="8" s="1"/>
  <c r="X48" i="4"/>
  <c r="T69" i="8" s="1"/>
  <c r="N48" i="4"/>
  <c r="J69" i="8" s="1"/>
  <c r="AJ48" i="4"/>
  <c r="AF69" i="8" s="1"/>
  <c r="Y48" i="4"/>
  <c r="U69" i="8" s="1"/>
  <c r="AB48" i="4"/>
  <c r="X69" i="8" s="1"/>
  <c r="I48" i="4"/>
  <c r="E69" i="8" s="1"/>
  <c r="M48" i="4"/>
  <c r="I69" i="8" s="1"/>
  <c r="W48" i="4"/>
  <c r="S69" i="8" s="1"/>
  <c r="R48" i="4"/>
  <c r="N69" i="8" s="1"/>
  <c r="AL48" i="4"/>
  <c r="AH69" i="8" s="1"/>
  <c r="J48" i="4"/>
  <c r="F69" i="8" s="1"/>
  <c r="AI48" i="4"/>
  <c r="AE69" i="8" s="1"/>
  <c r="AD48" i="4"/>
  <c r="Z69" i="8" s="1"/>
  <c r="AE48" i="4"/>
  <c r="AA69" i="8" s="1"/>
  <c r="P48" i="4"/>
  <c r="L69" i="8" s="1"/>
  <c r="L48" i="4"/>
  <c r="H69" i="8" s="1"/>
  <c r="O48" i="4"/>
  <c r="K69" i="8" s="1"/>
  <c r="AF48" i="4"/>
  <c r="AB69" i="8" s="1"/>
  <c r="S48" i="4"/>
  <c r="O69" i="8" s="1"/>
  <c r="AJ50" i="4"/>
  <c r="AF71" i="8" s="1"/>
  <c r="Y50" i="4"/>
  <c r="U71" i="8" s="1"/>
  <c r="P50" i="4"/>
  <c r="L71" i="8" s="1"/>
  <c r="V50" i="4"/>
  <c r="R71" i="8" s="1"/>
  <c r="AG50" i="4"/>
  <c r="AC71" i="8" s="1"/>
  <c r="AH50" i="4"/>
  <c r="AD71" i="8" s="1"/>
  <c r="AA50" i="4"/>
  <c r="W71" i="8" s="1"/>
  <c r="AC50" i="4"/>
  <c r="Y71" i="8" s="1"/>
  <c r="H50" i="4"/>
  <c r="D71" i="8" s="1"/>
  <c r="AK50" i="4"/>
  <c r="AG71" i="8" s="1"/>
  <c r="G50" i="4"/>
  <c r="C71" i="8" s="1"/>
  <c r="T50" i="4"/>
  <c r="P71" i="8" s="1"/>
  <c r="Z50" i="4"/>
  <c r="V71" i="8" s="1"/>
  <c r="U50" i="4"/>
  <c r="Q71" i="8" s="1"/>
  <c r="K50" i="4"/>
  <c r="G71" i="8" s="1"/>
  <c r="Q50" i="4"/>
  <c r="M71" i="8" s="1"/>
  <c r="N50" i="4"/>
  <c r="J71" i="8" s="1"/>
  <c r="S50" i="4"/>
  <c r="O71" i="8" s="1"/>
  <c r="AD50" i="4"/>
  <c r="Z71" i="8" s="1"/>
  <c r="AF50" i="4"/>
  <c r="AB71" i="8" s="1"/>
  <c r="O50" i="4"/>
  <c r="K71" i="8" s="1"/>
  <c r="I50" i="4"/>
  <c r="E71" i="8" s="1"/>
  <c r="M50" i="4"/>
  <c r="I71" i="8" s="1"/>
  <c r="W50" i="4"/>
  <c r="S71" i="8" s="1"/>
  <c r="X50" i="4"/>
  <c r="T71" i="8" s="1"/>
  <c r="AB50" i="4"/>
  <c r="X71" i="8" s="1"/>
  <c r="R50" i="4"/>
  <c r="N71" i="8" s="1"/>
  <c r="AL50" i="4"/>
  <c r="AH71" i="8" s="1"/>
  <c r="J50" i="4"/>
  <c r="F71" i="8" s="1"/>
  <c r="AI50" i="4"/>
  <c r="AE71" i="8" s="1"/>
  <c r="AE50" i="4"/>
  <c r="AA71" i="8" s="1"/>
  <c r="L50" i="4"/>
  <c r="H71" i="8" s="1"/>
  <c r="Q52" i="4"/>
  <c r="M73" i="8" s="1"/>
  <c r="X52" i="4"/>
  <c r="T73" i="8" s="1"/>
  <c r="AF52" i="4"/>
  <c r="AB73" i="8" s="1"/>
  <c r="AJ52" i="4"/>
  <c r="AF73" i="8" s="1"/>
  <c r="Y52" i="4"/>
  <c r="U73" i="8" s="1"/>
  <c r="V52" i="4"/>
  <c r="R73" i="8" s="1"/>
  <c r="AB52" i="4"/>
  <c r="X73" i="8" s="1"/>
  <c r="P52" i="4"/>
  <c r="L73" i="8" s="1"/>
  <c r="AG52" i="4"/>
  <c r="AC73" i="8" s="1"/>
  <c r="AH52" i="4"/>
  <c r="AD73" i="8" s="1"/>
  <c r="AA52" i="4"/>
  <c r="W73" i="8" s="1"/>
  <c r="AC52" i="4"/>
  <c r="Y73" i="8" s="1"/>
  <c r="H52" i="4"/>
  <c r="D73" i="8" s="1"/>
  <c r="AK52" i="4"/>
  <c r="AG73" i="8" s="1"/>
  <c r="G52" i="4"/>
  <c r="C73" i="8" s="1"/>
  <c r="L52" i="4"/>
  <c r="H73" i="8" s="1"/>
  <c r="AE52" i="4"/>
  <c r="AA73" i="8" s="1"/>
  <c r="K52" i="4"/>
  <c r="G73" i="8" s="1"/>
  <c r="T52" i="4"/>
  <c r="P73" i="8" s="1"/>
  <c r="S52" i="4"/>
  <c r="O73" i="8" s="1"/>
  <c r="O52" i="4"/>
  <c r="K73" i="8" s="1"/>
  <c r="U52" i="4"/>
  <c r="Q73" i="8" s="1"/>
  <c r="I52" i="4"/>
  <c r="E73" i="8" s="1"/>
  <c r="M52" i="4"/>
  <c r="I73" i="8" s="1"/>
  <c r="AL52" i="4"/>
  <c r="AH73" i="8" s="1"/>
  <c r="Z52" i="4"/>
  <c r="V73" i="8" s="1"/>
  <c r="N52" i="4"/>
  <c r="J73" i="8" s="1"/>
  <c r="AD52" i="4"/>
  <c r="Z73" i="8" s="1"/>
  <c r="W52" i="4"/>
  <c r="S73" i="8" s="1"/>
  <c r="R52" i="4"/>
  <c r="N73" i="8" s="1"/>
  <c r="J52" i="4"/>
  <c r="F73" i="8" s="1"/>
  <c r="AI52" i="4"/>
  <c r="AE73" i="8" s="1"/>
  <c r="N54" i="4"/>
  <c r="J75" i="8" s="1"/>
  <c r="G54" i="4"/>
  <c r="C75" i="8" s="1"/>
  <c r="T54" i="4"/>
  <c r="P75" i="8" s="1"/>
  <c r="Z54" i="4"/>
  <c r="V75" i="8" s="1"/>
  <c r="U54" i="4"/>
  <c r="Q75" i="8" s="1"/>
  <c r="Q54" i="4"/>
  <c r="M75" i="8" s="1"/>
  <c r="S54" i="4"/>
  <c r="O75" i="8" s="1"/>
  <c r="X54" i="4"/>
  <c r="T75" i="8" s="1"/>
  <c r="V54" i="4"/>
  <c r="R75" i="8" s="1"/>
  <c r="AF54" i="4"/>
  <c r="AB75" i="8" s="1"/>
  <c r="AJ54" i="4"/>
  <c r="AF75" i="8" s="1"/>
  <c r="Y54" i="4"/>
  <c r="U75" i="8" s="1"/>
  <c r="P54" i="4"/>
  <c r="L75" i="8" s="1"/>
  <c r="AG54" i="4"/>
  <c r="AC75" i="8" s="1"/>
  <c r="AH54" i="4"/>
  <c r="AD75" i="8" s="1"/>
  <c r="AA54" i="4"/>
  <c r="W75" i="8" s="1"/>
  <c r="AC54" i="4"/>
  <c r="Y75" i="8" s="1"/>
  <c r="K54" i="4"/>
  <c r="G75" i="8" s="1"/>
  <c r="L54" i="4"/>
  <c r="H75" i="8" s="1"/>
  <c r="R54" i="4"/>
  <c r="N75" i="8" s="1"/>
  <c r="J54" i="4"/>
  <c r="F75" i="8" s="1"/>
  <c r="AI54" i="4"/>
  <c r="AE75" i="8" s="1"/>
  <c r="H54" i="4"/>
  <c r="D75" i="8" s="1"/>
  <c r="AE54" i="4"/>
  <c r="AA75" i="8" s="1"/>
  <c r="O54" i="4"/>
  <c r="K75" i="8" s="1"/>
  <c r="AK54" i="4"/>
  <c r="AG75" i="8" s="1"/>
  <c r="AL54" i="4"/>
  <c r="AH75" i="8" s="1"/>
  <c r="AD54" i="4"/>
  <c r="Z75" i="8" s="1"/>
  <c r="I54" i="4"/>
  <c r="E75" i="8" s="1"/>
  <c r="M54" i="4"/>
  <c r="I75" i="8" s="1"/>
  <c r="AB54" i="4"/>
  <c r="X75" i="8" s="1"/>
  <c r="W54" i="4"/>
  <c r="S75" i="8" s="1"/>
  <c r="AG56" i="4"/>
  <c r="AC77" i="8" s="1"/>
  <c r="AH56" i="4"/>
  <c r="AD77" i="8" s="1"/>
  <c r="AA56" i="4"/>
  <c r="W77" i="8" s="1"/>
  <c r="H56" i="4"/>
  <c r="D77" i="8" s="1"/>
  <c r="AK56" i="4"/>
  <c r="AG77" i="8" s="1"/>
  <c r="N56" i="4"/>
  <c r="J77" i="8" s="1"/>
  <c r="K56" i="4"/>
  <c r="G77" i="8" s="1"/>
  <c r="G56" i="4"/>
  <c r="C77" i="8" s="1"/>
  <c r="T56" i="4"/>
  <c r="P77" i="8" s="1"/>
  <c r="Z56" i="4"/>
  <c r="V77" i="8" s="1"/>
  <c r="Q56" i="4"/>
  <c r="M77" i="8" s="1"/>
  <c r="V56" i="4"/>
  <c r="R77" i="8" s="1"/>
  <c r="AC56" i="4"/>
  <c r="Y77" i="8" s="1"/>
  <c r="X56" i="4"/>
  <c r="T77" i="8" s="1"/>
  <c r="AJ56" i="4"/>
  <c r="AF77" i="8" s="1"/>
  <c r="Y56" i="4"/>
  <c r="U77" i="8" s="1"/>
  <c r="AB56" i="4"/>
  <c r="X77" i="8" s="1"/>
  <c r="I56" i="4"/>
  <c r="E77" i="8" s="1"/>
  <c r="M56" i="4"/>
  <c r="I77" i="8" s="1"/>
  <c r="AF56" i="4"/>
  <c r="AB77" i="8" s="1"/>
  <c r="W56" i="4"/>
  <c r="S77" i="8" s="1"/>
  <c r="L56" i="4"/>
  <c r="H77" i="8" s="1"/>
  <c r="AD56" i="4"/>
  <c r="Z77" i="8" s="1"/>
  <c r="R56" i="4"/>
  <c r="N77" i="8" s="1"/>
  <c r="J56" i="4"/>
  <c r="F77" i="8" s="1"/>
  <c r="AI56" i="4"/>
  <c r="AE77" i="8" s="1"/>
  <c r="AE56" i="4"/>
  <c r="AA77" i="8" s="1"/>
  <c r="S56" i="4"/>
  <c r="O77" i="8" s="1"/>
  <c r="P56" i="4"/>
  <c r="L77" i="8" s="1"/>
  <c r="U56" i="4"/>
  <c r="Q77" i="8" s="1"/>
  <c r="AL56" i="4"/>
  <c r="AH77" i="8" s="1"/>
  <c r="O56" i="4"/>
  <c r="K77" i="8" s="1"/>
  <c r="AJ58" i="4"/>
  <c r="AF79" i="8" s="1"/>
  <c r="Y58" i="4"/>
  <c r="U79" i="8" s="1"/>
  <c r="P58" i="4"/>
  <c r="L79" i="8" s="1"/>
  <c r="U58" i="4"/>
  <c r="Q79" i="8" s="1"/>
  <c r="AG58" i="4"/>
  <c r="AC79" i="8" s="1"/>
  <c r="AH58" i="4"/>
  <c r="AD79" i="8" s="1"/>
  <c r="AA58" i="4"/>
  <c r="W79" i="8" s="1"/>
  <c r="H58" i="4"/>
  <c r="D79" i="8" s="1"/>
  <c r="AK58" i="4"/>
  <c r="AG79" i="8" s="1"/>
  <c r="N58" i="4"/>
  <c r="J79" i="8" s="1"/>
  <c r="G58" i="4"/>
  <c r="C79" i="8" s="1"/>
  <c r="T58" i="4"/>
  <c r="P79" i="8" s="1"/>
  <c r="K58" i="4"/>
  <c r="G79" i="8" s="1"/>
  <c r="Z58" i="4"/>
  <c r="V79" i="8" s="1"/>
  <c r="AC58" i="4"/>
  <c r="Y79" i="8" s="1"/>
  <c r="Q58" i="4"/>
  <c r="M79" i="8" s="1"/>
  <c r="V58" i="4"/>
  <c r="R79" i="8" s="1"/>
  <c r="S58" i="4"/>
  <c r="O79" i="8" s="1"/>
  <c r="AL58" i="4"/>
  <c r="AH79" i="8" s="1"/>
  <c r="O58" i="4"/>
  <c r="K79" i="8" s="1"/>
  <c r="AF58" i="4"/>
  <c r="AB79" i="8" s="1"/>
  <c r="AB58" i="4"/>
  <c r="X79" i="8" s="1"/>
  <c r="I58" i="4"/>
  <c r="E79" i="8" s="1"/>
  <c r="L58" i="4"/>
  <c r="H79" i="8" s="1"/>
  <c r="W58" i="4"/>
  <c r="S79" i="8" s="1"/>
  <c r="X58" i="4"/>
  <c r="T79" i="8" s="1"/>
  <c r="AD58" i="4"/>
  <c r="Z79" i="8" s="1"/>
  <c r="R58" i="4"/>
  <c r="N79" i="8" s="1"/>
  <c r="J58" i="4"/>
  <c r="F79" i="8" s="1"/>
  <c r="AI58" i="4"/>
  <c r="AE79" i="8" s="1"/>
  <c r="M58" i="4"/>
  <c r="I79" i="8" s="1"/>
  <c r="AE58" i="4"/>
  <c r="AA79" i="8" s="1"/>
  <c r="Q60" i="4"/>
  <c r="M81" i="8" s="1"/>
  <c r="V60" i="4"/>
  <c r="R81" i="8" s="1"/>
  <c r="X60" i="4"/>
  <c r="T81" i="8" s="1"/>
  <c r="AJ60" i="4"/>
  <c r="AF81" i="8" s="1"/>
  <c r="Y60" i="4"/>
  <c r="U81" i="8" s="1"/>
  <c r="AC60" i="4"/>
  <c r="Y81" i="8" s="1"/>
  <c r="AB60" i="4"/>
  <c r="X81" i="8" s="1"/>
  <c r="P60" i="4"/>
  <c r="L81" i="8" s="1"/>
  <c r="U60" i="4"/>
  <c r="Q81" i="8" s="1"/>
  <c r="AG60" i="4"/>
  <c r="AC81" i="8" s="1"/>
  <c r="AH60" i="4"/>
  <c r="AD81" i="8" s="1"/>
  <c r="AA60" i="4"/>
  <c r="W81" i="8" s="1"/>
  <c r="H60" i="4"/>
  <c r="D81" i="8" s="1"/>
  <c r="AK60" i="4"/>
  <c r="AG81" i="8" s="1"/>
  <c r="N60" i="4"/>
  <c r="J81" i="8" s="1"/>
  <c r="G60" i="4"/>
  <c r="C81" i="8" s="1"/>
  <c r="S60" i="4"/>
  <c r="O81" i="8" s="1"/>
  <c r="M60" i="4"/>
  <c r="I81" i="8" s="1"/>
  <c r="AE60" i="4"/>
  <c r="AA81" i="8" s="1"/>
  <c r="AL60" i="4"/>
  <c r="AH81" i="8" s="1"/>
  <c r="O60" i="4"/>
  <c r="K81" i="8" s="1"/>
  <c r="T60" i="4"/>
  <c r="P81" i="8" s="1"/>
  <c r="AF60" i="4"/>
  <c r="AB81" i="8" s="1"/>
  <c r="L60" i="4"/>
  <c r="H81" i="8" s="1"/>
  <c r="I60" i="4"/>
  <c r="E81" i="8" s="1"/>
  <c r="W60" i="4"/>
  <c r="S81" i="8" s="1"/>
  <c r="Z60" i="4"/>
  <c r="V81" i="8" s="1"/>
  <c r="AD60" i="4"/>
  <c r="Z81" i="8" s="1"/>
  <c r="R60" i="4"/>
  <c r="N81" i="8" s="1"/>
  <c r="J60" i="4"/>
  <c r="F81" i="8" s="1"/>
  <c r="K60" i="4"/>
  <c r="G81" i="8" s="1"/>
  <c r="AI60" i="4"/>
  <c r="AE81" i="8" s="1"/>
  <c r="N62" i="4"/>
  <c r="J83" i="8" s="1"/>
  <c r="G62" i="4"/>
  <c r="C83" i="8" s="1"/>
  <c r="T62" i="4"/>
  <c r="P83" i="8" s="1"/>
  <c r="Z62" i="4"/>
  <c r="V83" i="8" s="1"/>
  <c r="Q62" i="4"/>
  <c r="M83" i="8" s="1"/>
  <c r="S62" i="4"/>
  <c r="O83" i="8" s="1"/>
  <c r="AJ62" i="4"/>
  <c r="AF83" i="8" s="1"/>
  <c r="X62" i="4"/>
  <c r="T83" i="8" s="1"/>
  <c r="Y62" i="4"/>
  <c r="U83" i="8" s="1"/>
  <c r="P62" i="4"/>
  <c r="L83" i="8" s="1"/>
  <c r="AG62" i="4"/>
  <c r="AC83" i="8" s="1"/>
  <c r="AH62" i="4"/>
  <c r="AD83" i="8" s="1"/>
  <c r="AK62" i="4"/>
  <c r="AG83" i="8" s="1"/>
  <c r="AA62" i="4"/>
  <c r="W83" i="8" s="1"/>
  <c r="V62" i="4"/>
  <c r="R83" i="8" s="1"/>
  <c r="U62" i="4"/>
  <c r="Q83" i="8" s="1"/>
  <c r="AC62" i="4"/>
  <c r="Y83" i="8" s="1"/>
  <c r="AD62" i="4"/>
  <c r="Z83" i="8" s="1"/>
  <c r="R62" i="4"/>
  <c r="N83" i="8" s="1"/>
  <c r="M62" i="4"/>
  <c r="I83" i="8" s="1"/>
  <c r="J62" i="4"/>
  <c r="F83" i="8" s="1"/>
  <c r="AI62" i="4"/>
  <c r="AE83" i="8" s="1"/>
  <c r="AE62" i="4"/>
  <c r="AA83" i="8" s="1"/>
  <c r="H62" i="4"/>
  <c r="D83" i="8" s="1"/>
  <c r="AL62" i="4"/>
  <c r="AH83" i="8" s="1"/>
  <c r="AF62" i="4"/>
  <c r="AB83" i="8" s="1"/>
  <c r="O62" i="4"/>
  <c r="K83" i="8" s="1"/>
  <c r="K62" i="4"/>
  <c r="G83" i="8" s="1"/>
  <c r="L62" i="4"/>
  <c r="H83" i="8" s="1"/>
  <c r="AB62" i="4"/>
  <c r="X83" i="8" s="1"/>
  <c r="I62" i="4"/>
  <c r="E83" i="8" s="1"/>
  <c r="W62" i="4"/>
  <c r="S83" i="8" s="1"/>
  <c r="AH64" i="4"/>
  <c r="AD85" i="8" s="1"/>
  <c r="AK64" i="4"/>
  <c r="AG85" i="8" s="1"/>
  <c r="AA64" i="4"/>
  <c r="W85" i="8" s="1"/>
  <c r="H64" i="4"/>
  <c r="D85" i="8" s="1"/>
  <c r="K64" i="4"/>
  <c r="G85" i="8" s="1"/>
  <c r="N64" i="4"/>
  <c r="J85" i="8" s="1"/>
  <c r="G64" i="4"/>
  <c r="C85" i="8" s="1"/>
  <c r="Z64" i="4"/>
  <c r="V85" i="8" s="1"/>
  <c r="V64" i="4"/>
  <c r="R85" i="8" s="1"/>
  <c r="U64" i="4"/>
  <c r="Q85" i="8" s="1"/>
  <c r="Q64" i="4"/>
  <c r="M85" i="8" s="1"/>
  <c r="L64" i="4"/>
  <c r="H85" i="8" s="1"/>
  <c r="AJ64" i="4"/>
  <c r="AF85" i="8" s="1"/>
  <c r="T64" i="4"/>
  <c r="P85" i="8" s="1"/>
  <c r="X64" i="4"/>
  <c r="T85" i="8" s="1"/>
  <c r="Y64" i="4"/>
  <c r="U85" i="8" s="1"/>
  <c r="I64" i="4"/>
  <c r="E85" i="8" s="1"/>
  <c r="W64" i="4"/>
  <c r="S85" i="8" s="1"/>
  <c r="AC64" i="4"/>
  <c r="Y85" i="8" s="1"/>
  <c r="M64" i="4"/>
  <c r="I85" i="8" s="1"/>
  <c r="S64" i="4"/>
  <c r="O85" i="8" s="1"/>
  <c r="R64" i="4"/>
  <c r="N85" i="8" s="1"/>
  <c r="J64" i="4"/>
  <c r="F85" i="8" s="1"/>
  <c r="AI64" i="4"/>
  <c r="AE85" i="8" s="1"/>
  <c r="AL64" i="4"/>
  <c r="AH85" i="8" s="1"/>
  <c r="AE64" i="4"/>
  <c r="AA85" i="8" s="1"/>
  <c r="AF64" i="4"/>
  <c r="AB85" i="8" s="1"/>
  <c r="O64" i="4"/>
  <c r="K85" i="8" s="1"/>
  <c r="AG64" i="4"/>
  <c r="AC85" i="8" s="1"/>
  <c r="P64" i="4"/>
  <c r="L85" i="8" s="1"/>
  <c r="AD64" i="4"/>
  <c r="Z85" i="8" s="1"/>
  <c r="AB64" i="4"/>
  <c r="X85" i="8" s="1"/>
  <c r="Y66" i="4"/>
  <c r="U87" i="8" s="1"/>
  <c r="T66" i="4"/>
  <c r="P87" i="8" s="1"/>
  <c r="P66" i="4"/>
  <c r="L87" i="8" s="1"/>
  <c r="Z66" i="4"/>
  <c r="V87" i="8" s="1"/>
  <c r="AG66" i="4"/>
  <c r="AC87" i="8" s="1"/>
  <c r="AA66" i="4"/>
  <c r="W87" i="8" s="1"/>
  <c r="H66" i="4"/>
  <c r="D87" i="8" s="1"/>
  <c r="AC66" i="4"/>
  <c r="Y87" i="8" s="1"/>
  <c r="N66" i="4"/>
  <c r="J87" i="8" s="1"/>
  <c r="AJ66" i="4"/>
  <c r="AF87" i="8" s="1"/>
  <c r="K66" i="4"/>
  <c r="G87" i="8" s="1"/>
  <c r="G66" i="4"/>
  <c r="C87" i="8" s="1"/>
  <c r="V66" i="4"/>
  <c r="R87" i="8" s="1"/>
  <c r="U66" i="4"/>
  <c r="Q87" i="8" s="1"/>
  <c r="Q66" i="4"/>
  <c r="M87" i="8" s="1"/>
  <c r="AH66" i="4"/>
  <c r="AD87" i="8" s="1"/>
  <c r="L66" i="4"/>
  <c r="H87" i="8" s="1"/>
  <c r="S66" i="4"/>
  <c r="O87" i="8" s="1"/>
  <c r="O66" i="4"/>
  <c r="K87" i="8" s="1"/>
  <c r="R66" i="4"/>
  <c r="N87" i="8" s="1"/>
  <c r="I66" i="4"/>
  <c r="E87" i="8" s="1"/>
  <c r="AL66" i="4"/>
  <c r="AH87" i="8" s="1"/>
  <c r="W66" i="4"/>
  <c r="S87" i="8" s="1"/>
  <c r="AD66" i="4"/>
  <c r="Z87" i="8" s="1"/>
  <c r="M66" i="4"/>
  <c r="I87" i="8" s="1"/>
  <c r="J66" i="4"/>
  <c r="F87" i="8" s="1"/>
  <c r="AI66" i="4"/>
  <c r="AE87" i="8" s="1"/>
  <c r="AK66" i="4"/>
  <c r="AG87" i="8" s="1"/>
  <c r="X66" i="4"/>
  <c r="T87" i="8" s="1"/>
  <c r="AF66" i="4"/>
  <c r="AB87" i="8" s="1"/>
  <c r="AB66" i="4"/>
  <c r="X87" i="8" s="1"/>
  <c r="AE66" i="4"/>
  <c r="AA87" i="8" s="1"/>
  <c r="Q68" i="4"/>
  <c r="M89" i="8" s="1"/>
  <c r="AH68" i="4"/>
  <c r="AD89" i="8" s="1"/>
  <c r="L68" i="4"/>
  <c r="H89" i="8" s="1"/>
  <c r="AK68" i="4"/>
  <c r="AG89" i="8" s="1"/>
  <c r="X68" i="4"/>
  <c r="T89" i="8" s="1"/>
  <c r="Y68" i="4"/>
  <c r="U89" i="8" s="1"/>
  <c r="T68" i="4"/>
  <c r="P89" i="8" s="1"/>
  <c r="Z68" i="4"/>
  <c r="V89" i="8" s="1"/>
  <c r="H68" i="4"/>
  <c r="D89" i="8" s="1"/>
  <c r="P68" i="4"/>
  <c r="L89" i="8" s="1"/>
  <c r="AG68" i="4"/>
  <c r="AC89" i="8" s="1"/>
  <c r="AA68" i="4"/>
  <c r="W89" i="8" s="1"/>
  <c r="G68" i="4"/>
  <c r="C89" i="8" s="1"/>
  <c r="AC68" i="4"/>
  <c r="Y89" i="8" s="1"/>
  <c r="N68" i="4"/>
  <c r="J89" i="8" s="1"/>
  <c r="AJ68" i="4"/>
  <c r="AF89" i="8" s="1"/>
  <c r="AE68" i="4"/>
  <c r="AA89" i="8" s="1"/>
  <c r="V68" i="4"/>
  <c r="R89" i="8" s="1"/>
  <c r="R68" i="4"/>
  <c r="N89" i="8" s="1"/>
  <c r="O68" i="4"/>
  <c r="K89" i="8" s="1"/>
  <c r="J68" i="4"/>
  <c r="F89" i="8" s="1"/>
  <c r="I68" i="4"/>
  <c r="E89" i="8" s="1"/>
  <c r="U68" i="4"/>
  <c r="Q89" i="8" s="1"/>
  <c r="AL68" i="4"/>
  <c r="AH89" i="8" s="1"/>
  <c r="W68" i="4"/>
  <c r="S89" i="8" s="1"/>
  <c r="S68" i="4"/>
  <c r="O89" i="8" s="1"/>
  <c r="AD68" i="4"/>
  <c r="Z89" i="8" s="1"/>
  <c r="M68" i="4"/>
  <c r="I89" i="8" s="1"/>
  <c r="K68" i="4"/>
  <c r="G89" i="8" s="1"/>
  <c r="AF68" i="4"/>
  <c r="AB89" i="8" s="1"/>
  <c r="AB68" i="4"/>
  <c r="X89" i="8" s="1"/>
  <c r="AI68" i="4"/>
  <c r="AE89" i="8" s="1"/>
  <c r="AJ70" i="4"/>
  <c r="AF91" i="8" s="1"/>
  <c r="AH70" i="4"/>
  <c r="AD91" i="8" s="1"/>
  <c r="V70" i="4"/>
  <c r="R91" i="8" s="1"/>
  <c r="U70" i="4"/>
  <c r="Q91" i="8" s="1"/>
  <c r="Q70" i="4"/>
  <c r="M91" i="8" s="1"/>
  <c r="L70" i="4"/>
  <c r="H91" i="8" s="1"/>
  <c r="S70" i="4"/>
  <c r="O91" i="8" s="1"/>
  <c r="Z70" i="4"/>
  <c r="V91" i="8" s="1"/>
  <c r="AK70" i="4"/>
  <c r="AG91" i="8" s="1"/>
  <c r="X70" i="4"/>
  <c r="T91" i="8" s="1"/>
  <c r="Y70" i="4"/>
  <c r="U91" i="8" s="1"/>
  <c r="T70" i="4"/>
  <c r="P91" i="8" s="1"/>
  <c r="K70" i="4"/>
  <c r="G91" i="8" s="1"/>
  <c r="H70" i="4"/>
  <c r="D91" i="8" s="1"/>
  <c r="P70" i="4"/>
  <c r="L91" i="8" s="1"/>
  <c r="AG70" i="4"/>
  <c r="AC91" i="8" s="1"/>
  <c r="AA70" i="4"/>
  <c r="W91" i="8" s="1"/>
  <c r="G70" i="4"/>
  <c r="C91" i="8" s="1"/>
  <c r="AF70" i="4"/>
  <c r="AB91" i="8" s="1"/>
  <c r="M70" i="4"/>
  <c r="I91" i="8" s="1"/>
  <c r="AC70" i="4"/>
  <c r="Y91" i="8" s="1"/>
  <c r="AB70" i="4"/>
  <c r="X91" i="8" s="1"/>
  <c r="AI70" i="4"/>
  <c r="AE91" i="8" s="1"/>
  <c r="AE70" i="4"/>
  <c r="AA91" i="8" s="1"/>
  <c r="R70" i="4"/>
  <c r="N91" i="8" s="1"/>
  <c r="J70" i="4"/>
  <c r="F91" i="8" s="1"/>
  <c r="N70" i="4"/>
  <c r="J91" i="8" s="1"/>
  <c r="O70" i="4"/>
  <c r="K91" i="8" s="1"/>
  <c r="I70" i="4"/>
  <c r="E91" i="8" s="1"/>
  <c r="AD70" i="4"/>
  <c r="Z91" i="8" s="1"/>
  <c r="AL70" i="4"/>
  <c r="AH91" i="8" s="1"/>
  <c r="W70" i="4"/>
  <c r="S91" i="8" s="1"/>
  <c r="AG72" i="4"/>
  <c r="AC93" i="8" s="1"/>
  <c r="AA72" i="4"/>
  <c r="W93" i="8" s="1"/>
  <c r="K72" i="4"/>
  <c r="G93" i="8" s="1"/>
  <c r="G72" i="4"/>
  <c r="C93" i="8" s="1"/>
  <c r="AC72" i="4"/>
  <c r="Y93" i="8" s="1"/>
  <c r="N72" i="4"/>
  <c r="J93" i="8" s="1"/>
  <c r="AJ72" i="4"/>
  <c r="AF93" i="8" s="1"/>
  <c r="V72" i="4"/>
  <c r="R93" i="8" s="1"/>
  <c r="U72" i="4"/>
  <c r="Q93" i="8" s="1"/>
  <c r="Q72" i="4"/>
  <c r="M93" i="8" s="1"/>
  <c r="Z72" i="4"/>
  <c r="V93" i="8" s="1"/>
  <c r="AK72" i="4"/>
  <c r="AG93" i="8" s="1"/>
  <c r="X72" i="4"/>
  <c r="T93" i="8" s="1"/>
  <c r="Y72" i="4"/>
  <c r="U93" i="8" s="1"/>
  <c r="T72" i="4"/>
  <c r="P93" i="8" s="1"/>
  <c r="P72" i="4"/>
  <c r="L93" i="8" s="1"/>
  <c r="I72" i="4"/>
  <c r="E93" i="8" s="1"/>
  <c r="AF72" i="4"/>
  <c r="AB93" i="8" s="1"/>
  <c r="L72" i="4"/>
  <c r="H93" i="8" s="1"/>
  <c r="S72" i="4"/>
  <c r="O93" i="8" s="1"/>
  <c r="AD72" i="4"/>
  <c r="Z93" i="8" s="1"/>
  <c r="AL72" i="4"/>
  <c r="AH93" i="8" s="1"/>
  <c r="W72" i="4"/>
  <c r="S93" i="8" s="1"/>
  <c r="M72" i="4"/>
  <c r="I93" i="8" s="1"/>
  <c r="AH72" i="4"/>
  <c r="AD93" i="8" s="1"/>
  <c r="AB72" i="4"/>
  <c r="X93" i="8" s="1"/>
  <c r="AI72" i="4"/>
  <c r="AE93" i="8" s="1"/>
  <c r="H72" i="4"/>
  <c r="D93" i="8" s="1"/>
  <c r="R72" i="4"/>
  <c r="N93" i="8" s="1"/>
  <c r="AE72" i="4"/>
  <c r="AA93" i="8" s="1"/>
  <c r="J72" i="4"/>
  <c r="F93" i="8" s="1"/>
  <c r="O72" i="4"/>
  <c r="K93" i="8" s="1"/>
  <c r="Y74" i="4"/>
  <c r="U95" i="8" s="1"/>
  <c r="T74" i="4"/>
  <c r="P95" i="8" s="1"/>
  <c r="H74" i="4"/>
  <c r="D95" i="8" s="1"/>
  <c r="P74" i="4"/>
  <c r="L95" i="8" s="1"/>
  <c r="AG74" i="4"/>
  <c r="AC95" i="8" s="1"/>
  <c r="AH74" i="4"/>
  <c r="AD95" i="8" s="1"/>
  <c r="AA74" i="4"/>
  <c r="W95" i="8" s="1"/>
  <c r="G74" i="4"/>
  <c r="C95" i="8" s="1"/>
  <c r="K74" i="4"/>
  <c r="G95" i="8" s="1"/>
  <c r="AC74" i="4"/>
  <c r="Y95" i="8" s="1"/>
  <c r="N74" i="4"/>
  <c r="J95" i="8" s="1"/>
  <c r="AJ74" i="4"/>
  <c r="AF95" i="8" s="1"/>
  <c r="Z74" i="4"/>
  <c r="V95" i="8" s="1"/>
  <c r="V74" i="4"/>
  <c r="R95" i="8" s="1"/>
  <c r="U74" i="4"/>
  <c r="Q95" i="8" s="1"/>
  <c r="Q74" i="4"/>
  <c r="M95" i="8" s="1"/>
  <c r="L74" i="4"/>
  <c r="H95" i="8" s="1"/>
  <c r="S74" i="4"/>
  <c r="O95" i="8" s="1"/>
  <c r="O74" i="4"/>
  <c r="K95" i="8" s="1"/>
  <c r="AF74" i="4"/>
  <c r="AB95" i="8" s="1"/>
  <c r="AD74" i="4"/>
  <c r="Z95" i="8" s="1"/>
  <c r="I74" i="4"/>
  <c r="E95" i="8" s="1"/>
  <c r="AL74" i="4"/>
  <c r="AH95" i="8" s="1"/>
  <c r="W74" i="4"/>
  <c r="S95" i="8" s="1"/>
  <c r="M74" i="4"/>
  <c r="I95" i="8" s="1"/>
  <c r="AB74" i="4"/>
  <c r="X95" i="8" s="1"/>
  <c r="R74" i="4"/>
  <c r="N95" i="8" s="1"/>
  <c r="J74" i="4"/>
  <c r="F95" i="8" s="1"/>
  <c r="AI74" i="4"/>
  <c r="AE95" i="8" s="1"/>
  <c r="AE74" i="4"/>
  <c r="AA95" i="8" s="1"/>
  <c r="AK74" i="4"/>
  <c r="AG95" i="8" s="1"/>
  <c r="X74" i="4"/>
  <c r="T95" i="8" s="1"/>
  <c r="H47" i="4"/>
  <c r="D68" i="8" s="1"/>
  <c r="AK47" i="4"/>
  <c r="AG68" i="8" s="1"/>
  <c r="T47" i="4"/>
  <c r="P68" i="8" s="1"/>
  <c r="Z47" i="4"/>
  <c r="V68" i="8" s="1"/>
  <c r="U47" i="4"/>
  <c r="Q68" i="8" s="1"/>
  <c r="Q47" i="4"/>
  <c r="M68" i="8" s="1"/>
  <c r="N47" i="4"/>
  <c r="J68" i="8" s="1"/>
  <c r="X47" i="4"/>
  <c r="T68" i="8" s="1"/>
  <c r="AF47" i="4"/>
  <c r="AB68" i="8" s="1"/>
  <c r="AJ47" i="4"/>
  <c r="AF68" i="8" s="1"/>
  <c r="Y47" i="4"/>
  <c r="U68" i="8" s="1"/>
  <c r="P47" i="4"/>
  <c r="L68" i="8" s="1"/>
  <c r="V47" i="4"/>
  <c r="R68" i="8" s="1"/>
  <c r="L47" i="4"/>
  <c r="H68" i="8" s="1"/>
  <c r="AH47" i="4"/>
  <c r="AD68" i="8" s="1"/>
  <c r="AA47" i="4"/>
  <c r="W68" i="8" s="1"/>
  <c r="W47" i="4"/>
  <c r="S68" i="8" s="1"/>
  <c r="AB47" i="4"/>
  <c r="X68" i="8" s="1"/>
  <c r="R47" i="4"/>
  <c r="N68" i="8" s="1"/>
  <c r="J47" i="4"/>
  <c r="F68" i="8" s="1"/>
  <c r="AI47" i="4"/>
  <c r="AE68" i="8" s="1"/>
  <c r="AE47" i="4"/>
  <c r="AA68" i="8" s="1"/>
  <c r="K47" i="4"/>
  <c r="G68" i="8" s="1"/>
  <c r="AG47" i="4"/>
  <c r="AC68" i="8" s="1"/>
  <c r="O47" i="4"/>
  <c r="K68" i="8" s="1"/>
  <c r="S47" i="4"/>
  <c r="O68" i="8" s="1"/>
  <c r="AL47" i="4"/>
  <c r="AH68" i="8" s="1"/>
  <c r="AC47" i="4"/>
  <c r="Y68" i="8" s="1"/>
  <c r="G47" i="4"/>
  <c r="C68" i="8" s="1"/>
  <c r="AD47" i="4"/>
  <c r="Z68" i="8" s="1"/>
  <c r="I47" i="4"/>
  <c r="E68" i="8" s="1"/>
  <c r="M47" i="4"/>
  <c r="I68" i="8" s="1"/>
  <c r="P49" i="4"/>
  <c r="L70" i="8" s="1"/>
  <c r="L49" i="4"/>
  <c r="H70" i="8" s="1"/>
  <c r="AG49" i="4"/>
  <c r="AC70" i="8" s="1"/>
  <c r="AH49" i="4"/>
  <c r="AD70" i="8" s="1"/>
  <c r="AA49" i="4"/>
  <c r="W70" i="8" s="1"/>
  <c r="AC49" i="4"/>
  <c r="Y70" i="8" s="1"/>
  <c r="H49" i="4"/>
  <c r="D70" i="8" s="1"/>
  <c r="AK49" i="4"/>
  <c r="AG70" i="8" s="1"/>
  <c r="T49" i="4"/>
  <c r="P70" i="8" s="1"/>
  <c r="Z49" i="4"/>
  <c r="V70" i="8" s="1"/>
  <c r="U49" i="4"/>
  <c r="Q70" i="8" s="1"/>
  <c r="N49" i="4"/>
  <c r="J70" i="8" s="1"/>
  <c r="Q49" i="4"/>
  <c r="M70" i="8" s="1"/>
  <c r="K49" i="4"/>
  <c r="G70" i="8" s="1"/>
  <c r="X49" i="4"/>
  <c r="T70" i="8" s="1"/>
  <c r="AF49" i="4"/>
  <c r="AB70" i="8" s="1"/>
  <c r="V49" i="4"/>
  <c r="R70" i="8" s="1"/>
  <c r="G49" i="4"/>
  <c r="C70" i="8" s="1"/>
  <c r="S49" i="4"/>
  <c r="O70" i="8" s="1"/>
  <c r="AD49" i="4"/>
  <c r="Z70" i="8" s="1"/>
  <c r="I49" i="4"/>
  <c r="E70" i="8" s="1"/>
  <c r="M49" i="4"/>
  <c r="I70" i="8" s="1"/>
  <c r="AJ49" i="4"/>
  <c r="AF70" i="8" s="1"/>
  <c r="W49" i="4"/>
  <c r="S70" i="8" s="1"/>
  <c r="AB49" i="4"/>
  <c r="X70" i="8" s="1"/>
  <c r="R49" i="4"/>
  <c r="N70" i="8" s="1"/>
  <c r="J49" i="4"/>
  <c r="F70" i="8" s="1"/>
  <c r="AI49" i="4"/>
  <c r="AE70" i="8" s="1"/>
  <c r="AE49" i="4"/>
  <c r="AA70" i="8" s="1"/>
  <c r="Y49" i="4"/>
  <c r="U70" i="8" s="1"/>
  <c r="AL49" i="4"/>
  <c r="AH70" i="8" s="1"/>
  <c r="O49" i="4"/>
  <c r="K70" i="8" s="1"/>
  <c r="K51" i="4"/>
  <c r="G72" i="8" s="1"/>
  <c r="X51" i="4"/>
  <c r="T72" i="8" s="1"/>
  <c r="V51" i="4"/>
  <c r="R72" i="8" s="1"/>
  <c r="AF51" i="4"/>
  <c r="AB72" i="8" s="1"/>
  <c r="AJ51" i="4"/>
  <c r="AF72" i="8" s="1"/>
  <c r="Y51" i="4"/>
  <c r="U72" i="8" s="1"/>
  <c r="P51" i="4"/>
  <c r="L72" i="8" s="1"/>
  <c r="L51" i="4"/>
  <c r="H72" i="8" s="1"/>
  <c r="AG51" i="4"/>
  <c r="AC72" i="8" s="1"/>
  <c r="AH51" i="4"/>
  <c r="AD72" i="8" s="1"/>
  <c r="AA51" i="4"/>
  <c r="W72" i="8" s="1"/>
  <c r="AC51" i="4"/>
  <c r="Y72" i="8" s="1"/>
  <c r="H51" i="4"/>
  <c r="D72" i="8" s="1"/>
  <c r="AK51" i="4"/>
  <c r="AG72" i="8" s="1"/>
  <c r="N51" i="4"/>
  <c r="J72" i="8" s="1"/>
  <c r="T51" i="4"/>
  <c r="P72" i="8" s="1"/>
  <c r="Z51" i="4"/>
  <c r="V72" i="8" s="1"/>
  <c r="U51" i="4"/>
  <c r="Q72" i="8" s="1"/>
  <c r="AD51" i="4"/>
  <c r="Z72" i="8" s="1"/>
  <c r="AL51" i="4"/>
  <c r="AH72" i="8" s="1"/>
  <c r="Q51" i="4"/>
  <c r="M72" i="8" s="1"/>
  <c r="G51" i="4"/>
  <c r="C72" i="8" s="1"/>
  <c r="S51" i="4"/>
  <c r="O72" i="8" s="1"/>
  <c r="O51" i="4"/>
  <c r="K72" i="8" s="1"/>
  <c r="I51" i="4"/>
  <c r="E72" i="8" s="1"/>
  <c r="M51" i="4"/>
  <c r="I72" i="8" s="1"/>
  <c r="W51" i="4"/>
  <c r="S72" i="8" s="1"/>
  <c r="AB51" i="4"/>
  <c r="X72" i="8" s="1"/>
  <c r="R51" i="4"/>
  <c r="N72" i="8" s="1"/>
  <c r="J51" i="4"/>
  <c r="F72" i="8" s="1"/>
  <c r="AI51" i="4"/>
  <c r="AE72" i="8" s="1"/>
  <c r="AE51" i="4"/>
  <c r="AA72" i="8" s="1"/>
  <c r="T53" i="4"/>
  <c r="P74" i="8" s="1"/>
  <c r="Z53" i="4"/>
  <c r="V74" i="8" s="1"/>
  <c r="U53" i="4"/>
  <c r="Q74" i="8" s="1"/>
  <c r="Q53" i="4"/>
  <c r="M74" i="8" s="1"/>
  <c r="V53" i="4"/>
  <c r="R74" i="8" s="1"/>
  <c r="X53" i="4"/>
  <c r="T74" i="8" s="1"/>
  <c r="AF53" i="4"/>
  <c r="AB74" i="8" s="1"/>
  <c r="AJ53" i="4"/>
  <c r="AF74" i="8" s="1"/>
  <c r="Y53" i="4"/>
  <c r="U74" i="8" s="1"/>
  <c r="P53" i="4"/>
  <c r="L74" i="8" s="1"/>
  <c r="L53" i="4"/>
  <c r="H74" i="8" s="1"/>
  <c r="AG53" i="4"/>
  <c r="AC74" i="8" s="1"/>
  <c r="AH53" i="4"/>
  <c r="AD74" i="8" s="1"/>
  <c r="AA53" i="4"/>
  <c r="W74" i="8" s="1"/>
  <c r="AC53" i="4"/>
  <c r="Y74" i="8" s="1"/>
  <c r="H53" i="4"/>
  <c r="D74" i="8" s="1"/>
  <c r="AK53" i="4"/>
  <c r="AG74" i="8" s="1"/>
  <c r="N53" i="4"/>
  <c r="J74" i="8" s="1"/>
  <c r="R53" i="4"/>
  <c r="N74" i="8" s="1"/>
  <c r="J53" i="4"/>
  <c r="F74" i="8" s="1"/>
  <c r="AI53" i="4"/>
  <c r="AE74" i="8" s="1"/>
  <c r="AD53" i="4"/>
  <c r="Z74" i="8" s="1"/>
  <c r="AL53" i="4"/>
  <c r="AH74" i="8" s="1"/>
  <c r="AE53" i="4"/>
  <c r="AA74" i="8" s="1"/>
  <c r="G53" i="4"/>
  <c r="C74" i="8" s="1"/>
  <c r="S53" i="4"/>
  <c r="O74" i="8" s="1"/>
  <c r="O53" i="4"/>
  <c r="K74" i="8" s="1"/>
  <c r="I53" i="4"/>
  <c r="E74" i="8" s="1"/>
  <c r="K53" i="4"/>
  <c r="G74" i="8" s="1"/>
  <c r="M53" i="4"/>
  <c r="I74" i="8" s="1"/>
  <c r="AB53" i="4"/>
  <c r="X74" i="8" s="1"/>
  <c r="W53" i="4"/>
  <c r="S74" i="8" s="1"/>
  <c r="H55" i="4"/>
  <c r="D76" i="8" s="1"/>
  <c r="AK55" i="4"/>
  <c r="AG76" i="8" s="1"/>
  <c r="T55" i="4"/>
  <c r="P76" i="8" s="1"/>
  <c r="Z55" i="4"/>
  <c r="V76" i="8" s="1"/>
  <c r="V55" i="4"/>
  <c r="R76" i="8" s="1"/>
  <c r="U55" i="4"/>
  <c r="Q76" i="8" s="1"/>
  <c r="K55" i="4"/>
  <c r="G76" i="8" s="1"/>
  <c r="Q55" i="4"/>
  <c r="M76" i="8" s="1"/>
  <c r="X55" i="4"/>
  <c r="T76" i="8" s="1"/>
  <c r="AF55" i="4"/>
  <c r="AB76" i="8" s="1"/>
  <c r="AJ55" i="4"/>
  <c r="AF76" i="8" s="1"/>
  <c r="Y55" i="4"/>
  <c r="U76" i="8" s="1"/>
  <c r="P55" i="4"/>
  <c r="L76" i="8" s="1"/>
  <c r="L55" i="4"/>
  <c r="H76" i="8" s="1"/>
  <c r="AC55" i="4"/>
  <c r="Y76" i="8" s="1"/>
  <c r="AB55" i="4"/>
  <c r="X76" i="8" s="1"/>
  <c r="W55" i="4"/>
  <c r="S76" i="8" s="1"/>
  <c r="AH55" i="4"/>
  <c r="AD76" i="8" s="1"/>
  <c r="AA55" i="4"/>
  <c r="W76" i="8" s="1"/>
  <c r="AD55" i="4"/>
  <c r="Z76" i="8" s="1"/>
  <c r="R55" i="4"/>
  <c r="N76" i="8" s="1"/>
  <c r="AL55" i="4"/>
  <c r="AH76" i="8" s="1"/>
  <c r="J55" i="4"/>
  <c r="F76" i="8" s="1"/>
  <c r="AI55" i="4"/>
  <c r="AE76" i="8" s="1"/>
  <c r="N55" i="4"/>
  <c r="J76" i="8" s="1"/>
  <c r="G55" i="4"/>
  <c r="C76" i="8" s="1"/>
  <c r="AE55" i="4"/>
  <c r="AA76" i="8" s="1"/>
  <c r="S55" i="4"/>
  <c r="O76" i="8" s="1"/>
  <c r="O55" i="4"/>
  <c r="K76" i="8" s="1"/>
  <c r="AG55" i="4"/>
  <c r="AC76" i="8" s="1"/>
  <c r="I55" i="4"/>
  <c r="E76" i="8" s="1"/>
  <c r="M55" i="4"/>
  <c r="I76" i="8" s="1"/>
  <c r="P57" i="4"/>
  <c r="L78" i="8" s="1"/>
  <c r="U57" i="4"/>
  <c r="Q78" i="8" s="1"/>
  <c r="AC57" i="4"/>
  <c r="Y78" i="8" s="1"/>
  <c r="L57" i="4"/>
  <c r="H78" i="8" s="1"/>
  <c r="AG57" i="4"/>
  <c r="AC78" i="8" s="1"/>
  <c r="AH57" i="4"/>
  <c r="AD78" i="8" s="1"/>
  <c r="AA57" i="4"/>
  <c r="W78" i="8" s="1"/>
  <c r="H57" i="4"/>
  <c r="D78" i="8" s="1"/>
  <c r="AK57" i="4"/>
  <c r="AG78" i="8" s="1"/>
  <c r="N57" i="4"/>
  <c r="J78" i="8" s="1"/>
  <c r="T57" i="4"/>
  <c r="P78" i="8" s="1"/>
  <c r="Z57" i="4"/>
  <c r="V78" i="8" s="1"/>
  <c r="Q57" i="4"/>
  <c r="M78" i="8" s="1"/>
  <c r="K57" i="4"/>
  <c r="G78" i="8" s="1"/>
  <c r="V57" i="4"/>
  <c r="R78" i="8" s="1"/>
  <c r="X57" i="4"/>
  <c r="T78" i="8" s="1"/>
  <c r="AF57" i="4"/>
  <c r="AB78" i="8" s="1"/>
  <c r="AB57" i="4"/>
  <c r="X78" i="8" s="1"/>
  <c r="I57" i="4"/>
  <c r="E78" i="8" s="1"/>
  <c r="W57" i="4"/>
  <c r="S78" i="8" s="1"/>
  <c r="AJ57" i="4"/>
  <c r="AF78" i="8" s="1"/>
  <c r="G57" i="4"/>
  <c r="C78" i="8" s="1"/>
  <c r="AD57" i="4"/>
  <c r="Z78" i="8" s="1"/>
  <c r="R57" i="4"/>
  <c r="N78" i="8" s="1"/>
  <c r="J57" i="4"/>
  <c r="F78" i="8" s="1"/>
  <c r="AI57" i="4"/>
  <c r="AE78" i="8" s="1"/>
  <c r="M57" i="4"/>
  <c r="I78" i="8" s="1"/>
  <c r="AE57" i="4"/>
  <c r="AA78" i="8" s="1"/>
  <c r="S57" i="4"/>
  <c r="O78" i="8" s="1"/>
  <c r="Y57" i="4"/>
  <c r="U78" i="8" s="1"/>
  <c r="AL57" i="4"/>
  <c r="AH78" i="8" s="1"/>
  <c r="O57" i="4"/>
  <c r="K78" i="8" s="1"/>
  <c r="X59" i="4"/>
  <c r="T80" i="8" s="1"/>
  <c r="AF59" i="4"/>
  <c r="AB80" i="8" s="1"/>
  <c r="AJ59" i="4"/>
  <c r="AF80" i="8" s="1"/>
  <c r="Y59" i="4"/>
  <c r="U80" i="8" s="1"/>
  <c r="AC59" i="4"/>
  <c r="Y80" i="8" s="1"/>
  <c r="P59" i="4"/>
  <c r="L80" i="8" s="1"/>
  <c r="U59" i="4"/>
  <c r="Q80" i="8" s="1"/>
  <c r="L59" i="4"/>
  <c r="H80" i="8" s="1"/>
  <c r="AD59" i="4"/>
  <c r="Z80" i="8" s="1"/>
  <c r="AG59" i="4"/>
  <c r="AC80" i="8" s="1"/>
  <c r="AH59" i="4"/>
  <c r="AD80" i="8" s="1"/>
  <c r="AA59" i="4"/>
  <c r="W80" i="8" s="1"/>
  <c r="H59" i="4"/>
  <c r="D80" i="8" s="1"/>
  <c r="AK59" i="4"/>
  <c r="AG80" i="8" s="1"/>
  <c r="N59" i="4"/>
  <c r="J80" i="8" s="1"/>
  <c r="T59" i="4"/>
  <c r="P80" i="8" s="1"/>
  <c r="Z59" i="4"/>
  <c r="V80" i="8" s="1"/>
  <c r="AL59" i="4"/>
  <c r="AH80" i="8" s="1"/>
  <c r="O59" i="4"/>
  <c r="K80" i="8" s="1"/>
  <c r="Q59" i="4"/>
  <c r="M80" i="8" s="1"/>
  <c r="V59" i="4"/>
  <c r="R80" i="8" s="1"/>
  <c r="AB59" i="4"/>
  <c r="X80" i="8" s="1"/>
  <c r="I59" i="4"/>
  <c r="E80" i="8" s="1"/>
  <c r="W59" i="4"/>
  <c r="S80" i="8" s="1"/>
  <c r="G59" i="4"/>
  <c r="C80" i="8" s="1"/>
  <c r="R59" i="4"/>
  <c r="N80" i="8" s="1"/>
  <c r="J59" i="4"/>
  <c r="F80" i="8" s="1"/>
  <c r="AI59" i="4"/>
  <c r="AE80" i="8" s="1"/>
  <c r="S59" i="4"/>
  <c r="O80" i="8" s="1"/>
  <c r="M59" i="4"/>
  <c r="I80" i="8" s="1"/>
  <c r="AE59" i="4"/>
  <c r="AA80" i="8" s="1"/>
  <c r="K59" i="4"/>
  <c r="G80" i="8" s="1"/>
  <c r="Z61" i="4"/>
  <c r="V82" i="8" s="1"/>
  <c r="Q61" i="4"/>
  <c r="M82" i="8" s="1"/>
  <c r="AC61" i="4"/>
  <c r="Y82" i="8" s="1"/>
  <c r="T61" i="4"/>
  <c r="P82" i="8" s="1"/>
  <c r="AK61" i="4"/>
  <c r="AG82" i="8" s="1"/>
  <c r="X61" i="4"/>
  <c r="T82" i="8" s="1"/>
  <c r="AF61" i="4"/>
  <c r="AB82" i="8" s="1"/>
  <c r="Y61" i="4"/>
  <c r="U82" i="8" s="1"/>
  <c r="P61" i="4"/>
  <c r="L82" i="8" s="1"/>
  <c r="V61" i="4"/>
  <c r="R82" i="8" s="1"/>
  <c r="U61" i="4"/>
  <c r="Q82" i="8" s="1"/>
  <c r="AG61" i="4"/>
  <c r="AC82" i="8" s="1"/>
  <c r="AH61" i="4"/>
  <c r="AD82" i="8" s="1"/>
  <c r="AA61" i="4"/>
  <c r="W82" i="8" s="1"/>
  <c r="H61" i="4"/>
  <c r="D82" i="8" s="1"/>
  <c r="N61" i="4"/>
  <c r="J82" i="8" s="1"/>
  <c r="R61" i="4"/>
  <c r="N82" i="8" s="1"/>
  <c r="J61" i="4"/>
  <c r="F82" i="8" s="1"/>
  <c r="AI61" i="4"/>
  <c r="AE82" i="8" s="1"/>
  <c r="S61" i="4"/>
  <c r="O82" i="8" s="1"/>
  <c r="M61" i="4"/>
  <c r="I82" i="8" s="1"/>
  <c r="AE61" i="4"/>
  <c r="AA82" i="8" s="1"/>
  <c r="L61" i="4"/>
  <c r="H82" i="8" s="1"/>
  <c r="AD61" i="4"/>
  <c r="Z82" i="8" s="1"/>
  <c r="O61" i="4"/>
  <c r="K82" i="8" s="1"/>
  <c r="AB61" i="4"/>
  <c r="X82" i="8" s="1"/>
  <c r="K61" i="4"/>
  <c r="G82" i="8" s="1"/>
  <c r="AJ61" i="4"/>
  <c r="AF82" i="8" s="1"/>
  <c r="I61" i="4"/>
  <c r="E82" i="8" s="1"/>
  <c r="G61" i="4"/>
  <c r="C82" i="8" s="1"/>
  <c r="AL61" i="4"/>
  <c r="AH82" i="8" s="1"/>
  <c r="W61" i="4"/>
  <c r="S82" i="8" s="1"/>
  <c r="AJ63" i="4"/>
  <c r="AF84" i="8" s="1"/>
  <c r="H63" i="4"/>
  <c r="D84" i="8" s="1"/>
  <c r="AG63" i="4"/>
  <c r="AC84" i="8" s="1"/>
  <c r="Z63" i="4"/>
  <c r="V84" i="8" s="1"/>
  <c r="AC63" i="4"/>
  <c r="Y84" i="8" s="1"/>
  <c r="AD63" i="4"/>
  <c r="Z84" i="8" s="1"/>
  <c r="T63" i="4"/>
  <c r="P84" i="8" s="1"/>
  <c r="Q63" i="4"/>
  <c r="M84" i="8" s="1"/>
  <c r="AK63" i="4"/>
  <c r="AG84" i="8" s="1"/>
  <c r="X63" i="4"/>
  <c r="T84" i="8" s="1"/>
  <c r="AF63" i="4"/>
  <c r="AB84" i="8" s="1"/>
  <c r="Y63" i="4"/>
  <c r="U84" i="8" s="1"/>
  <c r="V63" i="4"/>
  <c r="R84" i="8" s="1"/>
  <c r="U63" i="4"/>
  <c r="Q84" i="8" s="1"/>
  <c r="P63" i="4"/>
  <c r="L84" i="8" s="1"/>
  <c r="W63" i="4"/>
  <c r="S84" i="8" s="1"/>
  <c r="AH63" i="4"/>
  <c r="AD84" i="8" s="1"/>
  <c r="AA63" i="4"/>
  <c r="W84" i="8" s="1"/>
  <c r="S63" i="4"/>
  <c r="O84" i="8" s="1"/>
  <c r="R63" i="4"/>
  <c r="N84" i="8" s="1"/>
  <c r="M63" i="4"/>
  <c r="I84" i="8" s="1"/>
  <c r="J63" i="4"/>
  <c r="F84" i="8" s="1"/>
  <c r="AI63" i="4"/>
  <c r="AE84" i="8" s="1"/>
  <c r="K63" i="4"/>
  <c r="G84" i="8" s="1"/>
  <c r="AE63" i="4"/>
  <c r="AA84" i="8" s="1"/>
  <c r="L63" i="4"/>
  <c r="H84" i="8" s="1"/>
  <c r="AB63" i="4"/>
  <c r="X84" i="8" s="1"/>
  <c r="O63" i="4"/>
  <c r="K84" i="8" s="1"/>
  <c r="N63" i="4"/>
  <c r="J84" i="8" s="1"/>
  <c r="G63" i="4"/>
  <c r="C84" i="8" s="1"/>
  <c r="I63" i="4"/>
  <c r="E84" i="8" s="1"/>
  <c r="AL63" i="4"/>
  <c r="AH84" i="8" s="1"/>
  <c r="AG65" i="4"/>
  <c r="AC86" i="8" s="1"/>
  <c r="P65" i="4"/>
  <c r="L86" i="8" s="1"/>
  <c r="AC65" i="4"/>
  <c r="Y86" i="8" s="1"/>
  <c r="AH65" i="4"/>
  <c r="AD86" i="8" s="1"/>
  <c r="AK65" i="4"/>
  <c r="AG86" i="8" s="1"/>
  <c r="AA65" i="4"/>
  <c r="W86" i="8" s="1"/>
  <c r="H65" i="4"/>
  <c r="D86" i="8" s="1"/>
  <c r="N65" i="4"/>
  <c r="J86" i="8" s="1"/>
  <c r="AD65" i="4"/>
  <c r="Z86" i="8" s="1"/>
  <c r="T65" i="4"/>
  <c r="P86" i="8" s="1"/>
  <c r="Z65" i="4"/>
  <c r="V86" i="8" s="1"/>
  <c r="K65" i="4"/>
  <c r="G86" i="8" s="1"/>
  <c r="V65" i="4"/>
  <c r="R86" i="8" s="1"/>
  <c r="U65" i="4"/>
  <c r="Q86" i="8" s="1"/>
  <c r="Q65" i="4"/>
  <c r="M86" i="8" s="1"/>
  <c r="AJ65" i="4"/>
  <c r="AF86" i="8" s="1"/>
  <c r="X65" i="4"/>
  <c r="T86" i="8" s="1"/>
  <c r="AF65" i="4"/>
  <c r="AB86" i="8" s="1"/>
  <c r="Y65" i="4"/>
  <c r="U86" i="8" s="1"/>
  <c r="AB65" i="4"/>
  <c r="X86" i="8" s="1"/>
  <c r="I65" i="4"/>
  <c r="E86" i="8" s="1"/>
  <c r="W65" i="4"/>
  <c r="S86" i="8" s="1"/>
  <c r="M65" i="4"/>
  <c r="I86" i="8" s="1"/>
  <c r="G65" i="4"/>
  <c r="C86" i="8" s="1"/>
  <c r="S65" i="4"/>
  <c r="O86" i="8" s="1"/>
  <c r="R65" i="4"/>
  <c r="N86" i="8" s="1"/>
  <c r="J65" i="4"/>
  <c r="F86" i="8" s="1"/>
  <c r="AI65" i="4"/>
  <c r="AE86" i="8" s="1"/>
  <c r="L65" i="4"/>
  <c r="H86" i="8" s="1"/>
  <c r="AL65" i="4"/>
  <c r="AH86" i="8" s="1"/>
  <c r="AE65" i="4"/>
  <c r="AA86" i="8" s="1"/>
  <c r="O65" i="4"/>
  <c r="K86" i="8" s="1"/>
  <c r="AK67" i="4"/>
  <c r="AG88" i="8" s="1"/>
  <c r="X67" i="4"/>
  <c r="T88" i="8" s="1"/>
  <c r="AF67" i="4"/>
  <c r="AB88" i="8" s="1"/>
  <c r="Y67" i="4"/>
  <c r="U88" i="8" s="1"/>
  <c r="T67" i="4"/>
  <c r="P88" i="8" s="1"/>
  <c r="H67" i="4"/>
  <c r="D88" i="8" s="1"/>
  <c r="P67" i="4"/>
  <c r="L88" i="8" s="1"/>
  <c r="AH67" i="4"/>
  <c r="AD88" i="8" s="1"/>
  <c r="AG67" i="4"/>
  <c r="AC88" i="8" s="1"/>
  <c r="AA67" i="4"/>
  <c r="W88" i="8" s="1"/>
  <c r="AC67" i="4"/>
  <c r="Y88" i="8" s="1"/>
  <c r="N67" i="4"/>
  <c r="J88" i="8" s="1"/>
  <c r="AJ67" i="4"/>
  <c r="AF88" i="8" s="1"/>
  <c r="Z67" i="4"/>
  <c r="V88" i="8" s="1"/>
  <c r="V67" i="4"/>
  <c r="R88" i="8" s="1"/>
  <c r="U67" i="4"/>
  <c r="Q88" i="8" s="1"/>
  <c r="AB67" i="4"/>
  <c r="X88" i="8" s="1"/>
  <c r="G67" i="4"/>
  <c r="C88" i="8" s="1"/>
  <c r="O67" i="4"/>
  <c r="K88" i="8" s="1"/>
  <c r="Q67" i="4"/>
  <c r="M88" i="8" s="1"/>
  <c r="I67" i="4"/>
  <c r="E88" i="8" s="1"/>
  <c r="AL67" i="4"/>
  <c r="AH88" i="8" s="1"/>
  <c r="W67" i="4"/>
  <c r="S88" i="8" s="1"/>
  <c r="S67" i="4"/>
  <c r="O88" i="8" s="1"/>
  <c r="AD67" i="4"/>
  <c r="Z88" i="8" s="1"/>
  <c r="R67" i="4"/>
  <c r="N88" i="8" s="1"/>
  <c r="M67" i="4"/>
  <c r="I88" i="8" s="1"/>
  <c r="L67" i="4"/>
  <c r="H88" i="8" s="1"/>
  <c r="J67" i="4"/>
  <c r="F88" i="8" s="1"/>
  <c r="AI67" i="4"/>
  <c r="AE88" i="8" s="1"/>
  <c r="K67" i="4"/>
  <c r="G88" i="8" s="1"/>
  <c r="AE67" i="4"/>
  <c r="AA88" i="8" s="1"/>
  <c r="V69" i="4"/>
  <c r="R90" i="8" s="1"/>
  <c r="U69" i="4"/>
  <c r="Q90" i="8" s="1"/>
  <c r="Q69" i="4"/>
  <c r="M90" i="8" s="1"/>
  <c r="AK69" i="4"/>
  <c r="AG90" i="8" s="1"/>
  <c r="X69" i="4"/>
  <c r="T90" i="8" s="1"/>
  <c r="AF69" i="4"/>
  <c r="AB90" i="8" s="1"/>
  <c r="Y69" i="4"/>
  <c r="U90" i="8" s="1"/>
  <c r="T69" i="4"/>
  <c r="P90" i="8" s="1"/>
  <c r="AH69" i="4"/>
  <c r="AD90" i="8" s="1"/>
  <c r="H69" i="4"/>
  <c r="D90" i="8" s="1"/>
  <c r="P69" i="4"/>
  <c r="L90" i="8" s="1"/>
  <c r="AG69" i="4"/>
  <c r="AC90" i="8" s="1"/>
  <c r="AA69" i="4"/>
  <c r="W90" i="8" s="1"/>
  <c r="Z69" i="4"/>
  <c r="V90" i="8" s="1"/>
  <c r="AC69" i="4"/>
  <c r="Y90" i="8" s="1"/>
  <c r="N69" i="4"/>
  <c r="J90" i="8" s="1"/>
  <c r="AD69" i="4"/>
  <c r="Z90" i="8" s="1"/>
  <c r="AB69" i="4"/>
  <c r="X90" i="8" s="1"/>
  <c r="AI69" i="4"/>
  <c r="AE90" i="8" s="1"/>
  <c r="G69" i="4"/>
  <c r="C90" i="8" s="1"/>
  <c r="AE69" i="4"/>
  <c r="AA90" i="8" s="1"/>
  <c r="K69" i="4"/>
  <c r="G90" i="8" s="1"/>
  <c r="O69" i="4"/>
  <c r="K90" i="8" s="1"/>
  <c r="AJ69" i="4"/>
  <c r="AF90" i="8" s="1"/>
  <c r="I69" i="4"/>
  <c r="E90" i="8" s="1"/>
  <c r="R69" i="4"/>
  <c r="N90" i="8" s="1"/>
  <c r="AL69" i="4"/>
  <c r="AH90" i="8" s="1"/>
  <c r="W69" i="4"/>
  <c r="S90" i="8" s="1"/>
  <c r="L69" i="4"/>
  <c r="H90" i="8" s="1"/>
  <c r="S69" i="4"/>
  <c r="O90" i="8" s="1"/>
  <c r="M69" i="4"/>
  <c r="I90" i="8" s="1"/>
  <c r="J69" i="4"/>
  <c r="F90" i="8" s="1"/>
  <c r="AC71" i="4"/>
  <c r="Y92" i="8" s="1"/>
  <c r="N71" i="4"/>
  <c r="J92" i="8" s="1"/>
  <c r="K71" i="4"/>
  <c r="G92" i="8" s="1"/>
  <c r="AJ71" i="4"/>
  <c r="AF92" i="8" s="1"/>
  <c r="V71" i="4"/>
  <c r="R92" i="8" s="1"/>
  <c r="U71" i="4"/>
  <c r="Q92" i="8" s="1"/>
  <c r="Q71" i="4"/>
  <c r="M92" i="8" s="1"/>
  <c r="AH71" i="4"/>
  <c r="AD92" i="8" s="1"/>
  <c r="AK71" i="4"/>
  <c r="AG92" i="8" s="1"/>
  <c r="X71" i="4"/>
  <c r="T92" i="8" s="1"/>
  <c r="AF71" i="4"/>
  <c r="AB92" i="8" s="1"/>
  <c r="Y71" i="4"/>
  <c r="U92" i="8" s="1"/>
  <c r="T71" i="4"/>
  <c r="P92" i="8" s="1"/>
  <c r="H71" i="4"/>
  <c r="D92" i="8" s="1"/>
  <c r="P71" i="4"/>
  <c r="L92" i="8" s="1"/>
  <c r="AG71" i="4"/>
  <c r="AC92" i="8" s="1"/>
  <c r="L71" i="4"/>
  <c r="H92" i="8" s="1"/>
  <c r="S71" i="4"/>
  <c r="O92" i="8" s="1"/>
  <c r="AD71" i="4"/>
  <c r="Z92" i="8" s="1"/>
  <c r="AL71" i="4"/>
  <c r="AH92" i="8" s="1"/>
  <c r="W71" i="4"/>
  <c r="S92" i="8" s="1"/>
  <c r="J71" i="4"/>
  <c r="F92" i="8" s="1"/>
  <c r="M71" i="4"/>
  <c r="I92" i="8" s="1"/>
  <c r="G71" i="4"/>
  <c r="C92" i="8" s="1"/>
  <c r="AB71" i="4"/>
  <c r="X92" i="8" s="1"/>
  <c r="AI71" i="4"/>
  <c r="AE92" i="8" s="1"/>
  <c r="AA71" i="4"/>
  <c r="W92" i="8" s="1"/>
  <c r="AE71" i="4"/>
  <c r="AA92" i="8" s="1"/>
  <c r="O71" i="4"/>
  <c r="K92" i="8" s="1"/>
  <c r="Z71" i="4"/>
  <c r="V92" i="8" s="1"/>
  <c r="R71" i="4"/>
  <c r="N92" i="8" s="1"/>
  <c r="I71" i="4"/>
  <c r="E92" i="8" s="1"/>
  <c r="H73" i="4"/>
  <c r="D94" i="8" s="1"/>
  <c r="P73" i="4"/>
  <c r="L94" i="8" s="1"/>
  <c r="Z73" i="4"/>
  <c r="V94" i="8" s="1"/>
  <c r="AG73" i="4"/>
  <c r="AC94" i="8" s="1"/>
  <c r="AA73" i="4"/>
  <c r="W94" i="8" s="1"/>
  <c r="AC73" i="4"/>
  <c r="Y94" i="8" s="1"/>
  <c r="N73" i="4"/>
  <c r="J94" i="8" s="1"/>
  <c r="AD73" i="4"/>
  <c r="Z94" i="8" s="1"/>
  <c r="AJ73" i="4"/>
  <c r="AF94" i="8" s="1"/>
  <c r="K73" i="4"/>
  <c r="G94" i="8" s="1"/>
  <c r="V73" i="4"/>
  <c r="R94" i="8" s="1"/>
  <c r="U73" i="4"/>
  <c r="Q94" i="8" s="1"/>
  <c r="Q73" i="4"/>
  <c r="M94" i="8" s="1"/>
  <c r="AH73" i="4"/>
  <c r="AD94" i="8" s="1"/>
  <c r="AK73" i="4"/>
  <c r="AG94" i="8" s="1"/>
  <c r="X73" i="4"/>
  <c r="T94" i="8" s="1"/>
  <c r="AF73" i="4"/>
  <c r="AB94" i="8" s="1"/>
  <c r="R73" i="4"/>
  <c r="N94" i="8" s="1"/>
  <c r="Y73" i="4"/>
  <c r="U94" i="8" s="1"/>
  <c r="I73" i="4"/>
  <c r="E94" i="8" s="1"/>
  <c r="J73" i="4"/>
  <c r="F94" i="8" s="1"/>
  <c r="L73" i="4"/>
  <c r="H94" i="8" s="1"/>
  <c r="S73" i="4"/>
  <c r="O94" i="8" s="1"/>
  <c r="AL73" i="4"/>
  <c r="AH94" i="8" s="1"/>
  <c r="W73" i="4"/>
  <c r="S94" i="8" s="1"/>
  <c r="G73" i="4"/>
  <c r="C94" i="8" s="1"/>
  <c r="M73" i="4"/>
  <c r="I94" i="8" s="1"/>
  <c r="T73" i="4"/>
  <c r="P94" i="8" s="1"/>
  <c r="AB73" i="4"/>
  <c r="X94" i="8" s="1"/>
  <c r="AI73" i="4"/>
  <c r="AE94" i="8" s="1"/>
  <c r="AE73" i="4"/>
  <c r="AA94" i="8" s="1"/>
  <c r="O73" i="4"/>
  <c r="K94" i="8" s="1"/>
  <c r="E108" i="4"/>
  <c r="A95" i="8"/>
  <c r="E85" i="4"/>
  <c r="A72" i="8"/>
  <c r="E93" i="4"/>
  <c r="A80" i="8"/>
  <c r="E101" i="4"/>
  <c r="A88" i="8"/>
  <c r="E109" i="4"/>
  <c r="A96" i="8"/>
  <c r="E92" i="4"/>
  <c r="A79" i="8"/>
  <c r="E79" i="4"/>
  <c r="E86" i="4"/>
  <c r="A73" i="8"/>
  <c r="E94" i="4"/>
  <c r="A81" i="8"/>
  <c r="E102" i="4"/>
  <c r="A89" i="8"/>
  <c r="E87" i="4"/>
  <c r="A74" i="8"/>
  <c r="E95" i="4"/>
  <c r="A82" i="8"/>
  <c r="E103" i="4"/>
  <c r="A90" i="8"/>
  <c r="E80" i="4"/>
  <c r="A67" i="8"/>
  <c r="E88" i="4"/>
  <c r="A75" i="8"/>
  <c r="E96" i="4"/>
  <c r="A83" i="8"/>
  <c r="E104" i="4"/>
  <c r="A91" i="8"/>
  <c r="E84" i="4"/>
  <c r="A71" i="8"/>
  <c r="E81" i="4"/>
  <c r="A68" i="8"/>
  <c r="E89" i="4"/>
  <c r="A76" i="8"/>
  <c r="E97" i="4"/>
  <c r="A84" i="8"/>
  <c r="E105" i="4"/>
  <c r="A92" i="8"/>
  <c r="E100" i="4"/>
  <c r="A87" i="8"/>
  <c r="E82" i="4"/>
  <c r="A69" i="8"/>
  <c r="E90" i="4"/>
  <c r="A77" i="8"/>
  <c r="E98" i="4"/>
  <c r="A85" i="8"/>
  <c r="E106" i="4"/>
  <c r="A93" i="8"/>
  <c r="E83" i="4"/>
  <c r="A70" i="8"/>
  <c r="E91" i="4"/>
  <c r="A78" i="8"/>
  <c r="E99" i="4"/>
  <c r="A86" i="8"/>
  <c r="E107" i="4"/>
  <c r="A94" i="8"/>
  <c r="A83" i="4"/>
  <c r="F49" i="4"/>
  <c r="A87" i="4"/>
  <c r="F53" i="4"/>
  <c r="A80" i="4"/>
  <c r="F46" i="4"/>
  <c r="A84" i="4"/>
  <c r="F50" i="4"/>
  <c r="A88" i="4"/>
  <c r="F54" i="4"/>
  <c r="A90" i="4"/>
  <c r="F56" i="4"/>
  <c r="A94" i="4"/>
  <c r="F60" i="4"/>
  <c r="A82" i="4"/>
  <c r="F48" i="4"/>
  <c r="A86" i="4"/>
  <c r="F52" i="4"/>
  <c r="A92" i="4"/>
  <c r="F58" i="4"/>
  <c r="A91" i="4"/>
  <c r="F57" i="4"/>
  <c r="F47" i="4"/>
  <c r="A96" i="4"/>
  <c r="F62" i="4"/>
  <c r="A98" i="4"/>
  <c r="F64" i="4"/>
  <c r="A100" i="4"/>
  <c r="F66" i="4"/>
  <c r="A102" i="4"/>
  <c r="F68" i="4"/>
  <c r="A104" i="4"/>
  <c r="F70" i="4"/>
  <c r="A106" i="4"/>
  <c r="F72" i="4"/>
  <c r="A108" i="4"/>
  <c r="F74" i="4"/>
  <c r="F59" i="4"/>
  <c r="F51" i="4"/>
  <c r="A81" i="4"/>
  <c r="A85" i="4"/>
  <c r="A89" i="4"/>
  <c r="A93" i="4"/>
  <c r="A95" i="4"/>
  <c r="F61" i="4"/>
  <c r="A97" i="4"/>
  <c r="F63" i="4"/>
  <c r="A99" i="4"/>
  <c r="F65" i="4"/>
  <c r="A101" i="4"/>
  <c r="F67" i="4"/>
  <c r="A103" i="4"/>
  <c r="F69" i="4"/>
  <c r="A105" i="4"/>
  <c r="F71" i="4"/>
  <c r="A107" i="4"/>
  <c r="F73" i="4"/>
  <c r="F55" i="4"/>
  <c r="C115" i="4"/>
  <c r="B92" i="8" l="1"/>
  <c r="B80" i="8"/>
  <c r="B89" i="8"/>
  <c r="B68" i="8"/>
  <c r="B82" i="8"/>
  <c r="B95" i="8"/>
  <c r="B78" i="8"/>
  <c r="B70" i="8"/>
  <c r="B90" i="8"/>
  <c r="B87" i="8"/>
  <c r="B88" i="8"/>
  <c r="B93" i="8"/>
  <c r="B76" i="8"/>
  <c r="B85" i="8"/>
  <c r="B79" i="8"/>
  <c r="B91" i="8"/>
  <c r="B81" i="8"/>
  <c r="B94" i="8"/>
  <c r="B83" i="8"/>
  <c r="B73" i="8"/>
  <c r="B84" i="8"/>
  <c r="B74" i="8"/>
  <c r="I41" i="4"/>
  <c r="AL41" i="4"/>
  <c r="B71" i="8"/>
  <c r="B86" i="8"/>
  <c r="B75" i="8"/>
  <c r="B69" i="8"/>
  <c r="B72" i="8"/>
  <c r="B67" i="8"/>
  <c r="B77" i="8"/>
  <c r="O41" i="4"/>
  <c r="P41" i="4" l="1"/>
  <c r="AH41" i="4"/>
  <c r="AD41" i="4"/>
  <c r="K41" i="4"/>
  <c r="AJ41" i="4"/>
  <c r="N41" i="4"/>
  <c r="AC41" i="4"/>
  <c r="AA41" i="4"/>
  <c r="AG41" i="4"/>
  <c r="V41" i="4"/>
  <c r="T41" i="4"/>
  <c r="R41" i="4"/>
  <c r="Y41" i="4"/>
  <c r="G41" i="4"/>
  <c r="U41" i="4"/>
  <c r="AB41" i="4"/>
  <c r="Z41" i="4"/>
  <c r="AE41" i="4"/>
  <c r="L41" i="4"/>
  <c r="S41" i="4"/>
  <c r="Q41" i="4"/>
  <c r="AF41" i="4"/>
  <c r="M41" i="4"/>
  <c r="J41" i="4"/>
  <c r="H41" i="4"/>
  <c r="X41" i="4"/>
  <c r="AK41" i="4"/>
  <c r="AI41" i="4"/>
  <c r="W41" i="4"/>
  <c r="F41" i="4"/>
  <c r="E41" i="4"/>
  <c r="C78" i="4" s="1"/>
  <c r="G80" i="4" l="1"/>
  <c r="O80" i="4"/>
  <c r="W80" i="4"/>
  <c r="AE80" i="4"/>
  <c r="G81" i="4"/>
  <c r="O81" i="4"/>
  <c r="W81" i="4"/>
  <c r="AE81" i="4"/>
  <c r="G82" i="4"/>
  <c r="O82" i="4"/>
  <c r="W82" i="4"/>
  <c r="AE82" i="4"/>
  <c r="G83" i="4"/>
  <c r="O83" i="4"/>
  <c r="W83" i="4"/>
  <c r="AE83" i="4"/>
  <c r="G84" i="4"/>
  <c r="O84" i="4"/>
  <c r="W84" i="4"/>
  <c r="AE84" i="4"/>
  <c r="G85" i="4"/>
  <c r="O85" i="4"/>
  <c r="W85" i="4"/>
  <c r="AE85" i="4"/>
  <c r="G86" i="4"/>
  <c r="O86" i="4"/>
  <c r="W86" i="4"/>
  <c r="AE86" i="4"/>
  <c r="G87" i="4"/>
  <c r="O87" i="4"/>
  <c r="W87" i="4"/>
  <c r="AE87" i="4"/>
  <c r="G88" i="4"/>
  <c r="O88" i="4"/>
  <c r="W88" i="4"/>
  <c r="AE88" i="4"/>
  <c r="G89" i="4"/>
  <c r="O89" i="4"/>
  <c r="W89" i="4"/>
  <c r="AE89" i="4"/>
  <c r="G90" i="4"/>
  <c r="O90" i="4"/>
  <c r="W90" i="4"/>
  <c r="AE90" i="4"/>
  <c r="G91" i="4"/>
  <c r="O91" i="4"/>
  <c r="W91" i="4"/>
  <c r="AE91" i="4"/>
  <c r="G92" i="4"/>
  <c r="O92" i="4"/>
  <c r="W92" i="4"/>
  <c r="AE92" i="4"/>
  <c r="G93" i="4"/>
  <c r="O93" i="4"/>
  <c r="W93" i="4"/>
  <c r="AE93" i="4"/>
  <c r="G94" i="4"/>
  <c r="O94" i="4"/>
  <c r="W94" i="4"/>
  <c r="AE94" i="4"/>
  <c r="G95" i="4"/>
  <c r="O95" i="4"/>
  <c r="W95" i="4"/>
  <c r="AE95" i="4"/>
  <c r="G96" i="4"/>
  <c r="O96" i="4"/>
  <c r="W96" i="4"/>
  <c r="AE96" i="4"/>
  <c r="G97" i="4"/>
  <c r="O97" i="4"/>
  <c r="W97" i="4"/>
  <c r="AE97" i="4"/>
  <c r="G98" i="4"/>
  <c r="O98" i="4"/>
  <c r="W98" i="4"/>
  <c r="H80" i="4"/>
  <c r="P80" i="4"/>
  <c r="X80" i="4"/>
  <c r="AF80" i="4"/>
  <c r="H81" i="4"/>
  <c r="P81" i="4"/>
  <c r="X81" i="4"/>
  <c r="AF81" i="4"/>
  <c r="H82" i="4"/>
  <c r="P82" i="4"/>
  <c r="X82" i="4"/>
  <c r="X116" i="4" s="1"/>
  <c r="AF82" i="4"/>
  <c r="AF116" i="4" s="1"/>
  <c r="H83" i="4"/>
  <c r="P83" i="4"/>
  <c r="X83" i="4"/>
  <c r="AF83" i="4"/>
  <c r="H84" i="4"/>
  <c r="P84" i="4"/>
  <c r="X84" i="4"/>
  <c r="AF84" i="4"/>
  <c r="H85" i="4"/>
  <c r="P85" i="4"/>
  <c r="X85" i="4"/>
  <c r="AF85" i="4"/>
  <c r="H86" i="4"/>
  <c r="P86" i="4"/>
  <c r="X86" i="4"/>
  <c r="AF86" i="4"/>
  <c r="H87" i="4"/>
  <c r="P87" i="4"/>
  <c r="X87" i="4"/>
  <c r="AF87" i="4"/>
  <c r="H88" i="4"/>
  <c r="P88" i="4"/>
  <c r="X88" i="4"/>
  <c r="AF88" i="4"/>
  <c r="H89" i="4"/>
  <c r="P89" i="4"/>
  <c r="X89" i="4"/>
  <c r="AF89" i="4"/>
  <c r="H90" i="4"/>
  <c r="P90" i="4"/>
  <c r="X90" i="4"/>
  <c r="AF90" i="4"/>
  <c r="H91" i="4"/>
  <c r="P91" i="4"/>
  <c r="X91" i="4"/>
  <c r="AF91" i="4"/>
  <c r="H92" i="4"/>
  <c r="P92" i="4"/>
  <c r="X92" i="4"/>
  <c r="AF92" i="4"/>
  <c r="H93" i="4"/>
  <c r="P93" i="4"/>
  <c r="X93" i="4"/>
  <c r="AF93" i="4"/>
  <c r="H94" i="4"/>
  <c r="P94" i="4"/>
  <c r="X94" i="4"/>
  <c r="AF94" i="4"/>
  <c r="H95" i="4"/>
  <c r="P95" i="4"/>
  <c r="X95" i="4"/>
  <c r="AF95" i="4"/>
  <c r="H96" i="4"/>
  <c r="P96" i="4"/>
  <c r="X96" i="4"/>
  <c r="AF96" i="4"/>
  <c r="H97" i="4"/>
  <c r="P97" i="4"/>
  <c r="X97" i="4"/>
  <c r="AF97" i="4"/>
  <c r="H98" i="4"/>
  <c r="P98" i="4"/>
  <c r="X98" i="4"/>
  <c r="AF98" i="4"/>
  <c r="H99" i="4"/>
  <c r="P99" i="4"/>
  <c r="X99" i="4"/>
  <c r="AF99" i="4"/>
  <c r="H100" i="4"/>
  <c r="P100" i="4"/>
  <c r="X100" i="4"/>
  <c r="AF100" i="4"/>
  <c r="H101" i="4"/>
  <c r="I80" i="4"/>
  <c r="Q80" i="4"/>
  <c r="Y80" i="4"/>
  <c r="AG80" i="4"/>
  <c r="I81" i="4"/>
  <c r="Q81" i="4"/>
  <c r="Y81" i="4"/>
  <c r="AG81" i="4"/>
  <c r="I82" i="4"/>
  <c r="I116" i="4" s="1"/>
  <c r="Q82" i="4"/>
  <c r="Y82" i="4"/>
  <c r="AG82" i="4"/>
  <c r="I83" i="4"/>
  <c r="Q83" i="4"/>
  <c r="Y83" i="4"/>
  <c r="AG83" i="4"/>
  <c r="I84" i="4"/>
  <c r="Q84" i="4"/>
  <c r="Y84" i="4"/>
  <c r="AG84" i="4"/>
  <c r="I85" i="4"/>
  <c r="Q85" i="4"/>
  <c r="Y85" i="4"/>
  <c r="AG85" i="4"/>
  <c r="I86" i="4"/>
  <c r="Q86" i="4"/>
  <c r="Y86" i="4"/>
  <c r="AG86" i="4"/>
  <c r="I87" i="4"/>
  <c r="Q87" i="4"/>
  <c r="Y87" i="4"/>
  <c r="AG87" i="4"/>
  <c r="I88" i="4"/>
  <c r="Q88" i="4"/>
  <c r="Y88" i="4"/>
  <c r="AG88" i="4"/>
  <c r="I89" i="4"/>
  <c r="Q89" i="4"/>
  <c r="Y89" i="4"/>
  <c r="AG89" i="4"/>
  <c r="I90" i="4"/>
  <c r="Q90" i="4"/>
  <c r="Y90" i="4"/>
  <c r="AG90" i="4"/>
  <c r="I91" i="4"/>
  <c r="Q91" i="4"/>
  <c r="Y91" i="4"/>
  <c r="J80" i="4"/>
  <c r="R80" i="4"/>
  <c r="Z80" i="4"/>
  <c r="AH80" i="4"/>
  <c r="J81" i="4"/>
  <c r="R81" i="4"/>
  <c r="Z81" i="4"/>
  <c r="AH81" i="4"/>
  <c r="J82" i="4"/>
  <c r="J116" i="4" s="1"/>
  <c r="R82" i="4"/>
  <c r="R116" i="4" s="1"/>
  <c r="Z82" i="4"/>
  <c r="AH82" i="4"/>
  <c r="J83" i="4"/>
  <c r="R83" i="4"/>
  <c r="Z83" i="4"/>
  <c r="AH83" i="4"/>
  <c r="J84" i="4"/>
  <c r="R84" i="4"/>
  <c r="Z84" i="4"/>
  <c r="AH84" i="4"/>
  <c r="J85" i="4"/>
  <c r="R85" i="4"/>
  <c r="Z85" i="4"/>
  <c r="AH85" i="4"/>
  <c r="J86" i="4"/>
  <c r="R86" i="4"/>
  <c r="Z86" i="4"/>
  <c r="AH86" i="4"/>
  <c r="J87" i="4"/>
  <c r="R87" i="4"/>
  <c r="Z87" i="4"/>
  <c r="AH87" i="4"/>
  <c r="J88" i="4"/>
  <c r="R88" i="4"/>
  <c r="Z88" i="4"/>
  <c r="AH88" i="4"/>
  <c r="J89" i="4"/>
  <c r="R89" i="4"/>
  <c r="Z89" i="4"/>
  <c r="AH89" i="4"/>
  <c r="J90" i="4"/>
  <c r="R90" i="4"/>
  <c r="Z90" i="4"/>
  <c r="AH90" i="4"/>
  <c r="J91" i="4"/>
  <c r="R91" i="4"/>
  <c r="Z91" i="4"/>
  <c r="AH91" i="4"/>
  <c r="J92" i="4"/>
  <c r="R92" i="4"/>
  <c r="Z92" i="4"/>
  <c r="AH92" i="4"/>
  <c r="J93" i="4"/>
  <c r="R93" i="4"/>
  <c r="Z93" i="4"/>
  <c r="AH93" i="4"/>
  <c r="J94" i="4"/>
  <c r="R94" i="4"/>
  <c r="Z94" i="4"/>
  <c r="AH94" i="4"/>
  <c r="J95" i="4"/>
  <c r="R95" i="4"/>
  <c r="Z95" i="4"/>
  <c r="AH95" i="4"/>
  <c r="J96" i="4"/>
  <c r="R96" i="4"/>
  <c r="Z96" i="4"/>
  <c r="AH96" i="4"/>
  <c r="J97" i="4"/>
  <c r="R97" i="4"/>
  <c r="Z97" i="4"/>
  <c r="AH97" i="4"/>
  <c r="J98" i="4"/>
  <c r="R98" i="4"/>
  <c r="Z98" i="4"/>
  <c r="AH98" i="4"/>
  <c r="K80" i="4"/>
  <c r="S80" i="4"/>
  <c r="AA80" i="4"/>
  <c r="AI80" i="4"/>
  <c r="K81" i="4"/>
  <c r="S81" i="4"/>
  <c r="AA81" i="4"/>
  <c r="AI81" i="4"/>
  <c r="K82" i="4"/>
  <c r="S82" i="4"/>
  <c r="AA82" i="4"/>
  <c r="AA116" i="4" s="1"/>
  <c r="AI82" i="4"/>
  <c r="AI116" i="4" s="1"/>
  <c r="K83" i="4"/>
  <c r="S83" i="4"/>
  <c r="AA83" i="4"/>
  <c r="AI83" i="4"/>
  <c r="K84" i="4"/>
  <c r="S84" i="4"/>
  <c r="AA84" i="4"/>
  <c r="AI84" i="4"/>
  <c r="K85" i="4"/>
  <c r="S85" i="4"/>
  <c r="AA85" i="4"/>
  <c r="AI85" i="4"/>
  <c r="K86" i="4"/>
  <c r="S86" i="4"/>
  <c r="AA86" i="4"/>
  <c r="AI86" i="4"/>
  <c r="K87" i="4"/>
  <c r="S87" i="4"/>
  <c r="AA87" i="4"/>
  <c r="AI87" i="4"/>
  <c r="K88" i="4"/>
  <c r="S88" i="4"/>
  <c r="AA88" i="4"/>
  <c r="AI88" i="4"/>
  <c r="K89" i="4"/>
  <c r="S89" i="4"/>
  <c r="AA89" i="4"/>
  <c r="AI89" i="4"/>
  <c r="K90" i="4"/>
  <c r="S90" i="4"/>
  <c r="AA90" i="4"/>
  <c r="AI90" i="4"/>
  <c r="K91" i="4"/>
  <c r="S91" i="4"/>
  <c r="AA91" i="4"/>
  <c r="AI91" i="4"/>
  <c r="K92" i="4"/>
  <c r="S92" i="4"/>
  <c r="AA92" i="4"/>
  <c r="AI92" i="4"/>
  <c r="K93" i="4"/>
  <c r="S93" i="4"/>
  <c r="AA93" i="4"/>
  <c r="AI93" i="4"/>
  <c r="K94" i="4"/>
  <c r="S94" i="4"/>
  <c r="AA94" i="4"/>
  <c r="AI94" i="4"/>
  <c r="K95" i="4"/>
  <c r="S95" i="4"/>
  <c r="AA95" i="4"/>
  <c r="AI95" i="4"/>
  <c r="K96" i="4"/>
  <c r="S96" i="4"/>
  <c r="AA96" i="4"/>
  <c r="AI96" i="4"/>
  <c r="K97" i="4"/>
  <c r="S97" i="4"/>
  <c r="AA97" i="4"/>
  <c r="AI97" i="4"/>
  <c r="K98" i="4"/>
  <c r="S98" i="4"/>
  <c r="AA98" i="4"/>
  <c r="AI98" i="4"/>
  <c r="K99" i="4"/>
  <c r="S99" i="4"/>
  <c r="AA99" i="4"/>
  <c r="AI99" i="4"/>
  <c r="K100" i="4"/>
  <c r="S100" i="4"/>
  <c r="AA100" i="4"/>
  <c r="L80" i="4"/>
  <c r="T80" i="4"/>
  <c r="AB80" i="4"/>
  <c r="AJ80" i="4"/>
  <c r="L81" i="4"/>
  <c r="T81" i="4"/>
  <c r="AB81" i="4"/>
  <c r="AJ81" i="4"/>
  <c r="L82" i="4"/>
  <c r="L116" i="4" s="1"/>
  <c r="T82" i="4"/>
  <c r="T116" i="4" s="1"/>
  <c r="AB82" i="4"/>
  <c r="AB116" i="4" s="1"/>
  <c r="AJ82" i="4"/>
  <c r="L83" i="4"/>
  <c r="T83" i="4"/>
  <c r="AB83" i="4"/>
  <c r="AJ83" i="4"/>
  <c r="L84" i="4"/>
  <c r="T84" i="4"/>
  <c r="AB84" i="4"/>
  <c r="AJ84" i="4"/>
  <c r="L85" i="4"/>
  <c r="T85" i="4"/>
  <c r="AB85" i="4"/>
  <c r="AJ85" i="4"/>
  <c r="L86" i="4"/>
  <c r="T86" i="4"/>
  <c r="AB86" i="4"/>
  <c r="AJ86" i="4"/>
  <c r="L87" i="4"/>
  <c r="T87" i="4"/>
  <c r="AB87" i="4"/>
  <c r="AJ87" i="4"/>
  <c r="L88" i="4"/>
  <c r="T88" i="4"/>
  <c r="AB88" i="4"/>
  <c r="AJ88" i="4"/>
  <c r="L89" i="4"/>
  <c r="T89" i="4"/>
  <c r="AB89" i="4"/>
  <c r="AJ89" i="4"/>
  <c r="L90" i="4"/>
  <c r="T90" i="4"/>
  <c r="AB90" i="4"/>
  <c r="AJ90" i="4"/>
  <c r="L91" i="4"/>
  <c r="T91" i="4"/>
  <c r="AB91" i="4"/>
  <c r="AJ91" i="4"/>
  <c r="L92" i="4"/>
  <c r="T92" i="4"/>
  <c r="AB92" i="4"/>
  <c r="AJ92" i="4"/>
  <c r="L93" i="4"/>
  <c r="T93" i="4"/>
  <c r="AB93" i="4"/>
  <c r="AJ93" i="4"/>
  <c r="L94" i="4"/>
  <c r="T94" i="4"/>
  <c r="AB94" i="4"/>
  <c r="AJ94" i="4"/>
  <c r="L95" i="4"/>
  <c r="T95" i="4"/>
  <c r="AB95" i="4"/>
  <c r="AJ95" i="4"/>
  <c r="L96" i="4"/>
  <c r="T96" i="4"/>
  <c r="AB96" i="4"/>
  <c r="AJ96" i="4"/>
  <c r="L97" i="4"/>
  <c r="T97" i="4"/>
  <c r="AB97" i="4"/>
  <c r="AJ97" i="4"/>
  <c r="L98" i="4"/>
  <c r="T98" i="4"/>
  <c r="AB98" i="4"/>
  <c r="AJ98" i="4"/>
  <c r="L99" i="4"/>
  <c r="T99" i="4"/>
  <c r="AB99" i="4"/>
  <c r="AJ99" i="4"/>
  <c r="L100" i="4"/>
  <c r="L115" i="4" s="1"/>
  <c r="T100" i="4"/>
  <c r="AB100" i="4"/>
  <c r="AJ100" i="4"/>
  <c r="L101" i="4"/>
  <c r="M80" i="4"/>
  <c r="M81" i="4"/>
  <c r="M82" i="4"/>
  <c r="M83" i="4"/>
  <c r="M84" i="4"/>
  <c r="M85" i="4"/>
  <c r="M86" i="4"/>
  <c r="M87" i="4"/>
  <c r="M88" i="4"/>
  <c r="M89" i="4"/>
  <c r="M90" i="4"/>
  <c r="M91" i="4"/>
  <c r="AL91" i="4"/>
  <c r="AC92" i="4"/>
  <c r="Q93" i="4"/>
  <c r="AL93" i="4"/>
  <c r="AC94" i="4"/>
  <c r="Q95" i="4"/>
  <c r="AL95" i="4"/>
  <c r="AC96" i="4"/>
  <c r="Q97" i="4"/>
  <c r="AL97" i="4"/>
  <c r="AC98" i="4"/>
  <c r="J99" i="4"/>
  <c r="W99" i="4"/>
  <c r="AK99" i="4"/>
  <c r="Q100" i="4"/>
  <c r="AD100" i="4"/>
  <c r="I101" i="4"/>
  <c r="R101" i="4"/>
  <c r="Z101" i="4"/>
  <c r="AH101" i="4"/>
  <c r="J102" i="4"/>
  <c r="R102" i="4"/>
  <c r="Z102" i="4"/>
  <c r="AH102" i="4"/>
  <c r="J103" i="4"/>
  <c r="R103" i="4"/>
  <c r="Z103" i="4"/>
  <c r="AH103" i="4"/>
  <c r="J104" i="4"/>
  <c r="R104" i="4"/>
  <c r="Z104" i="4"/>
  <c r="AH104" i="4"/>
  <c r="J105" i="4"/>
  <c r="R105" i="4"/>
  <c r="Z105" i="4"/>
  <c r="AH105" i="4"/>
  <c r="J106" i="4"/>
  <c r="R106" i="4"/>
  <c r="Z106" i="4"/>
  <c r="AH106" i="4"/>
  <c r="J107" i="4"/>
  <c r="R107" i="4"/>
  <c r="Z107" i="4"/>
  <c r="AH107" i="4"/>
  <c r="J108" i="4"/>
  <c r="R108" i="4"/>
  <c r="Z108" i="4"/>
  <c r="AH108" i="4"/>
  <c r="AL89" i="4"/>
  <c r="N80" i="4"/>
  <c r="N81" i="4"/>
  <c r="N82" i="4"/>
  <c r="N83" i="4"/>
  <c r="N84" i="4"/>
  <c r="N85" i="4"/>
  <c r="N86" i="4"/>
  <c r="N87" i="4"/>
  <c r="N88" i="4"/>
  <c r="N89" i="4"/>
  <c r="N90" i="4"/>
  <c r="N91" i="4"/>
  <c r="I92" i="4"/>
  <c r="AD92" i="4"/>
  <c r="U93" i="4"/>
  <c r="I94" i="4"/>
  <c r="AD94" i="4"/>
  <c r="U95" i="4"/>
  <c r="I96" i="4"/>
  <c r="AD96" i="4"/>
  <c r="U97" i="4"/>
  <c r="I98" i="4"/>
  <c r="AD98" i="4"/>
  <c r="M99" i="4"/>
  <c r="Y99" i="4"/>
  <c r="AL99" i="4"/>
  <c r="R100" i="4"/>
  <c r="AE100" i="4"/>
  <c r="J101" i="4"/>
  <c r="S101" i="4"/>
  <c r="AA101" i="4"/>
  <c r="AI101" i="4"/>
  <c r="K102" i="4"/>
  <c r="S102" i="4"/>
  <c r="AA102" i="4"/>
  <c r="AI102" i="4"/>
  <c r="K103" i="4"/>
  <c r="S103" i="4"/>
  <c r="AA103" i="4"/>
  <c r="AI103" i="4"/>
  <c r="K104" i="4"/>
  <c r="S104" i="4"/>
  <c r="AA104" i="4"/>
  <c r="AI104" i="4"/>
  <c r="K105" i="4"/>
  <c r="S105" i="4"/>
  <c r="AA105" i="4"/>
  <c r="AI105" i="4"/>
  <c r="K106" i="4"/>
  <c r="S106" i="4"/>
  <c r="AA106" i="4"/>
  <c r="AI106" i="4"/>
  <c r="K107" i="4"/>
  <c r="S107" i="4"/>
  <c r="AA107" i="4"/>
  <c r="AI107" i="4"/>
  <c r="K108" i="4"/>
  <c r="S108" i="4"/>
  <c r="AA108" i="4"/>
  <c r="AI108" i="4"/>
  <c r="AK95" i="4"/>
  <c r="U80" i="4"/>
  <c r="U81" i="4"/>
  <c r="U82" i="4"/>
  <c r="U83" i="4"/>
  <c r="U84" i="4"/>
  <c r="U85" i="4"/>
  <c r="U86" i="4"/>
  <c r="U87" i="4"/>
  <c r="U88" i="4"/>
  <c r="U89" i="4"/>
  <c r="U90" i="4"/>
  <c r="U91" i="4"/>
  <c r="M92" i="4"/>
  <c r="AG92" i="4"/>
  <c r="V93" i="4"/>
  <c r="M94" i="4"/>
  <c r="AG94" i="4"/>
  <c r="V95" i="4"/>
  <c r="M96" i="4"/>
  <c r="AG96" i="4"/>
  <c r="V97" i="4"/>
  <c r="M98" i="4"/>
  <c r="AE98" i="4"/>
  <c r="N99" i="4"/>
  <c r="Z99" i="4"/>
  <c r="G100" i="4"/>
  <c r="U100" i="4"/>
  <c r="AG100" i="4"/>
  <c r="K101" i="4"/>
  <c r="T101" i="4"/>
  <c r="AB101" i="4"/>
  <c r="AJ101" i="4"/>
  <c r="L102" i="4"/>
  <c r="T102" i="4"/>
  <c r="AB102" i="4"/>
  <c r="AJ102" i="4"/>
  <c r="L103" i="4"/>
  <c r="T103" i="4"/>
  <c r="AB103" i="4"/>
  <c r="AJ103" i="4"/>
  <c r="L104" i="4"/>
  <c r="T104" i="4"/>
  <c r="AB104" i="4"/>
  <c r="AJ104" i="4"/>
  <c r="L105" i="4"/>
  <c r="T105" i="4"/>
  <c r="AB105" i="4"/>
  <c r="AJ105" i="4"/>
  <c r="L106" i="4"/>
  <c r="T106" i="4"/>
  <c r="AB106" i="4"/>
  <c r="AJ106" i="4"/>
  <c r="L107" i="4"/>
  <c r="T107" i="4"/>
  <c r="AB107" i="4"/>
  <c r="AJ107" i="4"/>
  <c r="L108" i="4"/>
  <c r="T108" i="4"/>
  <c r="AB108" i="4"/>
  <c r="AJ108" i="4"/>
  <c r="V80" i="4"/>
  <c r="V81" i="4"/>
  <c r="V82" i="4"/>
  <c r="V116" i="4" s="1"/>
  <c r="V83" i="4"/>
  <c r="V84" i="4"/>
  <c r="V85" i="4"/>
  <c r="V86" i="4"/>
  <c r="V87" i="4"/>
  <c r="V88" i="4"/>
  <c r="V89" i="4"/>
  <c r="V90" i="4"/>
  <c r="V91" i="4"/>
  <c r="N92" i="4"/>
  <c r="AK92" i="4"/>
  <c r="Y93" i="4"/>
  <c r="N94" i="4"/>
  <c r="AK94" i="4"/>
  <c r="Y95" i="4"/>
  <c r="N96" i="4"/>
  <c r="AK96" i="4"/>
  <c r="Y97" i="4"/>
  <c r="N98" i="4"/>
  <c r="AG98" i="4"/>
  <c r="O99" i="4"/>
  <c r="AC99" i="4"/>
  <c r="I100" i="4"/>
  <c r="V100" i="4"/>
  <c r="AH100" i="4"/>
  <c r="AH115" i="4" s="1"/>
  <c r="M101" i="4"/>
  <c r="U101" i="4"/>
  <c r="AC101" i="4"/>
  <c r="AK101" i="4"/>
  <c r="M102" i="4"/>
  <c r="U102" i="4"/>
  <c r="AC102" i="4"/>
  <c r="AK102" i="4"/>
  <c r="M103" i="4"/>
  <c r="U103" i="4"/>
  <c r="AC103" i="4"/>
  <c r="AK103" i="4"/>
  <c r="M104" i="4"/>
  <c r="U104" i="4"/>
  <c r="AC104" i="4"/>
  <c r="AK104" i="4"/>
  <c r="M105" i="4"/>
  <c r="U105" i="4"/>
  <c r="AC105" i="4"/>
  <c r="AK105" i="4"/>
  <c r="M106" i="4"/>
  <c r="U106" i="4"/>
  <c r="AC106" i="4"/>
  <c r="AK106" i="4"/>
  <c r="M107" i="4"/>
  <c r="U107" i="4"/>
  <c r="AC107" i="4"/>
  <c r="AK107" i="4"/>
  <c r="M108" i="4"/>
  <c r="U108" i="4"/>
  <c r="AC108" i="4"/>
  <c r="AK108" i="4"/>
  <c r="Y98" i="4"/>
  <c r="I103" i="4"/>
  <c r="AG104" i="4"/>
  <c r="Q106" i="4"/>
  <c r="Q107" i="4"/>
  <c r="Q108" i="4"/>
  <c r="AC80" i="4"/>
  <c r="AC81" i="4"/>
  <c r="AC82" i="4"/>
  <c r="AC83" i="4"/>
  <c r="AC84" i="4"/>
  <c r="AC85" i="4"/>
  <c r="AC86" i="4"/>
  <c r="AC87" i="4"/>
  <c r="AC88" i="4"/>
  <c r="AC89" i="4"/>
  <c r="AC90" i="4"/>
  <c r="AC91" i="4"/>
  <c r="Q92" i="4"/>
  <c r="AL92" i="4"/>
  <c r="AC93" i="4"/>
  <c r="Q94" i="4"/>
  <c r="AL94" i="4"/>
  <c r="AC95" i="4"/>
  <c r="Q96" i="4"/>
  <c r="AL96" i="4"/>
  <c r="AC97" i="4"/>
  <c r="Q98" i="4"/>
  <c r="AK98" i="4"/>
  <c r="Q99" i="4"/>
  <c r="AD99" i="4"/>
  <c r="J100" i="4"/>
  <c r="J115" i="4" s="1"/>
  <c r="W100" i="4"/>
  <c r="AI100" i="4"/>
  <c r="N101" i="4"/>
  <c r="V101" i="4"/>
  <c r="AD101" i="4"/>
  <c r="AL101" i="4"/>
  <c r="N102" i="4"/>
  <c r="V102" i="4"/>
  <c r="AD102" i="4"/>
  <c r="AL102" i="4"/>
  <c r="N103" i="4"/>
  <c r="V103" i="4"/>
  <c r="AD103" i="4"/>
  <c r="AL103" i="4"/>
  <c r="N104" i="4"/>
  <c r="V104" i="4"/>
  <c r="AD104" i="4"/>
  <c r="AL104" i="4"/>
  <c r="N105" i="4"/>
  <c r="V105" i="4"/>
  <c r="AD105" i="4"/>
  <c r="AL105" i="4"/>
  <c r="N106" i="4"/>
  <c r="V106" i="4"/>
  <c r="AD106" i="4"/>
  <c r="AL106" i="4"/>
  <c r="N107" i="4"/>
  <c r="V107" i="4"/>
  <c r="AD107" i="4"/>
  <c r="AL107" i="4"/>
  <c r="N108" i="4"/>
  <c r="V108" i="4"/>
  <c r="AD108" i="4"/>
  <c r="AL108" i="4"/>
  <c r="AL80" i="4"/>
  <c r="AL82" i="4"/>
  <c r="AL84" i="4"/>
  <c r="AL86" i="4"/>
  <c r="AL87" i="4"/>
  <c r="AL90" i="4"/>
  <c r="Y92" i="4"/>
  <c r="AK93" i="4"/>
  <c r="Y94" i="4"/>
  <c r="N97" i="4"/>
  <c r="I99" i="4"/>
  <c r="AH99" i="4"/>
  <c r="G101" i="4"/>
  <c r="Q102" i="4"/>
  <c r="Q103" i="4"/>
  <c r="I104" i="4"/>
  <c r="Q105" i="4"/>
  <c r="Y106" i="4"/>
  <c r="Y107" i="4"/>
  <c r="Y108" i="4"/>
  <c r="AD80" i="4"/>
  <c r="AD81" i="4"/>
  <c r="AD82" i="4"/>
  <c r="AD83" i="4"/>
  <c r="AD84" i="4"/>
  <c r="AD85" i="4"/>
  <c r="AD86" i="4"/>
  <c r="AD87" i="4"/>
  <c r="AD88" i="4"/>
  <c r="AD89" i="4"/>
  <c r="AD90" i="4"/>
  <c r="AD91" i="4"/>
  <c r="U92" i="4"/>
  <c r="I93" i="4"/>
  <c r="AD93" i="4"/>
  <c r="U94" i="4"/>
  <c r="I95" i="4"/>
  <c r="AD95" i="4"/>
  <c r="U96" i="4"/>
  <c r="I97" i="4"/>
  <c r="AD97" i="4"/>
  <c r="U98" i="4"/>
  <c r="AL98" i="4"/>
  <c r="R99" i="4"/>
  <c r="AE99" i="4"/>
  <c r="M100" i="4"/>
  <c r="Y100" i="4"/>
  <c r="AK100" i="4"/>
  <c r="O101" i="4"/>
  <c r="W101" i="4"/>
  <c r="AE101" i="4"/>
  <c r="G102" i="4"/>
  <c r="O102" i="4"/>
  <c r="W102" i="4"/>
  <c r="AE102" i="4"/>
  <c r="G103" i="4"/>
  <c r="O103" i="4"/>
  <c r="W103" i="4"/>
  <c r="AE103" i="4"/>
  <c r="G104" i="4"/>
  <c r="O104" i="4"/>
  <c r="W104" i="4"/>
  <c r="AE104" i="4"/>
  <c r="G105" i="4"/>
  <c r="O105" i="4"/>
  <c r="W105" i="4"/>
  <c r="AE105" i="4"/>
  <c r="G106" i="4"/>
  <c r="O106" i="4"/>
  <c r="W106" i="4"/>
  <c r="AE106" i="4"/>
  <c r="G107" i="4"/>
  <c r="O107" i="4"/>
  <c r="W107" i="4"/>
  <c r="AE107" i="4"/>
  <c r="G108" i="4"/>
  <c r="O108" i="4"/>
  <c r="W108" i="4"/>
  <c r="AE108" i="4"/>
  <c r="AL81" i="4"/>
  <c r="AL83" i="4"/>
  <c r="AL85" i="4"/>
  <c r="AL88" i="4"/>
  <c r="AK91" i="4"/>
  <c r="N93" i="4"/>
  <c r="N95" i="4"/>
  <c r="AK97" i="4"/>
  <c r="V99" i="4"/>
  <c r="O100" i="4"/>
  <c r="O115" i="4" s="1"/>
  <c r="Q101" i="4"/>
  <c r="AG101" i="4"/>
  <c r="Y102" i="4"/>
  <c r="AG103" i="4"/>
  <c r="Y104" i="4"/>
  <c r="Y105" i="4"/>
  <c r="I106" i="4"/>
  <c r="I107" i="4"/>
  <c r="AG107" i="4"/>
  <c r="AG108" i="4"/>
  <c r="AK80" i="4"/>
  <c r="AK81" i="4"/>
  <c r="AK82" i="4"/>
  <c r="AK83" i="4"/>
  <c r="AK84" i="4"/>
  <c r="AK85" i="4"/>
  <c r="AK86" i="4"/>
  <c r="AK87" i="4"/>
  <c r="AK88" i="4"/>
  <c r="AK89" i="4"/>
  <c r="AK90" i="4"/>
  <c r="AG91" i="4"/>
  <c r="V92" i="4"/>
  <c r="M93" i="4"/>
  <c r="AG93" i="4"/>
  <c r="V94" i="4"/>
  <c r="M95" i="4"/>
  <c r="AG95" i="4"/>
  <c r="V96" i="4"/>
  <c r="M97" i="4"/>
  <c r="AG97" i="4"/>
  <c r="V98" i="4"/>
  <c r="G99" i="4"/>
  <c r="U99" i="4"/>
  <c r="AG99" i="4"/>
  <c r="N100" i="4"/>
  <c r="Z100" i="4"/>
  <c r="Z115" i="4" s="1"/>
  <c r="AL100" i="4"/>
  <c r="AL115" i="4" s="1"/>
  <c r="P101" i="4"/>
  <c r="X101" i="4"/>
  <c r="AF101" i="4"/>
  <c r="H102" i="4"/>
  <c r="P102" i="4"/>
  <c r="X102" i="4"/>
  <c r="AF102" i="4"/>
  <c r="H103" i="4"/>
  <c r="P103" i="4"/>
  <c r="X103" i="4"/>
  <c r="AF103" i="4"/>
  <c r="H104" i="4"/>
  <c r="P104" i="4"/>
  <c r="X104" i="4"/>
  <c r="AF104" i="4"/>
  <c r="H105" i="4"/>
  <c r="P105" i="4"/>
  <c r="X105" i="4"/>
  <c r="AF105" i="4"/>
  <c r="H106" i="4"/>
  <c r="P106" i="4"/>
  <c r="X106" i="4"/>
  <c r="AF106" i="4"/>
  <c r="H107" i="4"/>
  <c r="P107" i="4"/>
  <c r="X107" i="4"/>
  <c r="AF107" i="4"/>
  <c r="H108" i="4"/>
  <c r="P108" i="4"/>
  <c r="X108" i="4"/>
  <c r="AF108" i="4"/>
  <c r="Y96" i="4"/>
  <c r="AC100" i="4"/>
  <c r="Y101" i="4"/>
  <c r="I102" i="4"/>
  <c r="AG102" i="4"/>
  <c r="Y103" i="4"/>
  <c r="Q104" i="4"/>
  <c r="I105" i="4"/>
  <c r="AG105" i="4"/>
  <c r="AG106" i="4"/>
  <c r="I108" i="4"/>
  <c r="F106" i="4"/>
  <c r="F92" i="4"/>
  <c r="F102" i="4"/>
  <c r="F108" i="4"/>
  <c r="F88" i="4"/>
  <c r="F98" i="4"/>
  <c r="F104" i="4"/>
  <c r="F91" i="4"/>
  <c r="F84" i="4"/>
  <c r="F93" i="4"/>
  <c r="F107" i="4"/>
  <c r="F100" i="4"/>
  <c r="F80" i="4"/>
  <c r="F89" i="4"/>
  <c r="F103" i="4"/>
  <c r="F96" i="4"/>
  <c r="F95" i="4"/>
  <c r="F99" i="4"/>
  <c r="F101" i="4"/>
  <c r="F85" i="4"/>
  <c r="F94" i="4"/>
  <c r="F90" i="4"/>
  <c r="F97" i="4"/>
  <c r="F87" i="4"/>
  <c r="F83" i="4"/>
  <c r="F86" i="4"/>
  <c r="F82" i="4"/>
  <c r="F105" i="4"/>
  <c r="F81" i="4"/>
  <c r="AD116" i="4" l="1"/>
  <c r="G116" i="4"/>
  <c r="AL114" i="4"/>
  <c r="U115" i="4"/>
  <c r="U116" i="4"/>
  <c r="T115" i="4"/>
  <c r="T118" i="4" s="1"/>
  <c r="AC116" i="4"/>
  <c r="M116" i="4"/>
  <c r="AD114" i="4"/>
  <c r="AE114" i="4"/>
  <c r="AJ114" i="4"/>
  <c r="AA115" i="4"/>
  <c r="AA118" i="4" s="1"/>
  <c r="AE115" i="4"/>
  <c r="K115" i="4"/>
  <c r="AE116" i="4"/>
  <c r="AL116" i="4"/>
  <c r="AL118" i="4" s="1"/>
  <c r="AC114" i="4"/>
  <c r="AG115" i="4"/>
  <c r="K114" i="4"/>
  <c r="AG114" i="4"/>
  <c r="H114" i="4"/>
  <c r="AC115" i="4"/>
  <c r="AK115" i="4"/>
  <c r="AI115" i="4"/>
  <c r="AI118" i="4" s="1"/>
  <c r="V114" i="4"/>
  <c r="G115" i="4"/>
  <c r="AD115" i="4"/>
  <c r="AH114" i="4"/>
  <c r="Y114" i="4"/>
  <c r="AF115" i="4"/>
  <c r="AF118" i="4" s="1"/>
  <c r="W114" i="4"/>
  <c r="Y115" i="4"/>
  <c r="Q115" i="4"/>
  <c r="Z114" i="4"/>
  <c r="Q114" i="4"/>
  <c r="X115" i="4"/>
  <c r="X118" i="4" s="1"/>
  <c r="O114" i="4"/>
  <c r="AK116" i="4"/>
  <c r="M115" i="4"/>
  <c r="AB114" i="4"/>
  <c r="S115" i="4"/>
  <c r="S116" i="4"/>
  <c r="R114" i="4"/>
  <c r="I114" i="4"/>
  <c r="P115" i="4"/>
  <c r="P116" i="4"/>
  <c r="G114" i="4"/>
  <c r="AK114" i="4"/>
  <c r="W115" i="4"/>
  <c r="T114" i="4"/>
  <c r="K116" i="4"/>
  <c r="K117" i="4" s="1"/>
  <c r="J114" i="4"/>
  <c r="J119" i="4" s="1"/>
  <c r="AG116" i="4"/>
  <c r="H115" i="4"/>
  <c r="H116" i="4"/>
  <c r="I115" i="4"/>
  <c r="I118" i="4" s="1"/>
  <c r="U114" i="4"/>
  <c r="R115" i="4"/>
  <c r="R118" i="4" s="1"/>
  <c r="N116" i="4"/>
  <c r="L114" i="4"/>
  <c r="L119" i="4" s="1"/>
  <c r="AI114" i="4"/>
  <c r="AH116" i="4"/>
  <c r="AH118" i="4" s="1"/>
  <c r="Y116" i="4"/>
  <c r="AF114" i="4"/>
  <c r="W116" i="4"/>
  <c r="N114" i="4"/>
  <c r="N115" i="4"/>
  <c r="V115" i="4"/>
  <c r="V118" i="4" s="1"/>
  <c r="AJ115" i="4"/>
  <c r="AJ116" i="4"/>
  <c r="AA114" i="4"/>
  <c r="Z116" i="4"/>
  <c r="Z118" i="4" s="1"/>
  <c r="Q116" i="4"/>
  <c r="X114" i="4"/>
  <c r="O116" i="4"/>
  <c r="O118" i="4" s="1"/>
  <c r="M114" i="4"/>
  <c r="AB115" i="4"/>
  <c r="AB118" i="4" s="1"/>
  <c r="S114" i="4"/>
  <c r="P114" i="4"/>
  <c r="J118" i="4"/>
  <c r="L118" i="4"/>
  <c r="F115" i="4"/>
  <c r="F116" i="4"/>
  <c r="F114" i="4"/>
  <c r="X119" i="4" l="1"/>
  <c r="T119" i="4"/>
  <c r="AF119" i="4"/>
  <c r="G118" i="4"/>
  <c r="AC119" i="4"/>
  <c r="P119" i="4"/>
  <c r="M119" i="4"/>
  <c r="AD118" i="4"/>
  <c r="AA119" i="4"/>
  <c r="G117" i="4"/>
  <c r="AI119" i="4"/>
  <c r="AL119" i="4"/>
  <c r="U119" i="4"/>
  <c r="AE119" i="4"/>
  <c r="N119" i="4"/>
  <c r="AK119" i="4"/>
  <c r="Z119" i="4"/>
  <c r="V119" i="4"/>
  <c r="AD119" i="4"/>
  <c r="AB119" i="4"/>
  <c r="G119" i="4"/>
  <c r="W119" i="4"/>
  <c r="S119" i="4"/>
  <c r="O119" i="4"/>
  <c r="Y119" i="4"/>
  <c r="H119" i="4"/>
  <c r="I119" i="4"/>
  <c r="AH119" i="4"/>
  <c r="AG119" i="4"/>
  <c r="R119" i="4"/>
  <c r="Q119" i="4"/>
  <c r="K119" i="4"/>
  <c r="AJ119" i="4"/>
  <c r="AL117" i="4"/>
  <c r="W117" i="4"/>
  <c r="AK118" i="4"/>
  <c r="Q117" i="4"/>
  <c r="Y118" i="4"/>
  <c r="M118" i="4"/>
  <c r="AE118" i="4"/>
  <c r="Y117" i="4"/>
  <c r="I117" i="4"/>
  <c r="H117" i="4"/>
  <c r="R117" i="4"/>
  <c r="AB117" i="4"/>
  <c r="K118" i="4"/>
  <c r="AJ117" i="4"/>
  <c r="AG118" i="4"/>
  <c r="U118" i="4"/>
  <c r="O117" i="4"/>
  <c r="AF117" i="4"/>
  <c r="AG117" i="4"/>
  <c r="W118" i="4"/>
  <c r="L117" i="4"/>
  <c r="Q118" i="4"/>
  <c r="AD117" i="4"/>
  <c r="AC118" i="4"/>
  <c r="AC117" i="4"/>
  <c r="V117" i="4"/>
  <c r="N117" i="4"/>
  <c r="AE117" i="4"/>
  <c r="S118" i="4"/>
  <c r="H118" i="4"/>
  <c r="M117" i="4"/>
  <c r="AJ118" i="4"/>
  <c r="P117" i="4"/>
  <c r="N118" i="4"/>
  <c r="X117" i="4"/>
  <c r="AH117" i="4"/>
  <c r="P118" i="4"/>
  <c r="Z117" i="4"/>
  <c r="AA117" i="4"/>
  <c r="U117" i="4"/>
  <c r="J117" i="4"/>
  <c r="S117" i="4"/>
  <c r="T117" i="4"/>
  <c r="AK117" i="4"/>
  <c r="AI117" i="4"/>
  <c r="F119" i="4"/>
  <c r="F117" i="4"/>
  <c r="F118" i="4"/>
  <c r="E122" i="4" l="1" a="1"/>
  <c r="E122" i="4" s="1"/>
  <c r="E122" i="11" a="1"/>
  <c r="AD127" i="11" s="1"/>
  <c r="S134" i="4" l="1"/>
  <c r="Q123" i="4"/>
  <c r="AB133" i="4"/>
  <c r="W135" i="4"/>
  <c r="AH122" i="4"/>
  <c r="AH125" i="4"/>
  <c r="AA128" i="4"/>
  <c r="N133" i="4"/>
  <c r="I131" i="4"/>
  <c r="AJ133" i="4"/>
  <c r="L130" i="4"/>
  <c r="R135" i="4"/>
  <c r="W127" i="4"/>
  <c r="H134" i="4"/>
  <c r="Q133" i="4"/>
  <c r="N123" i="4"/>
  <c r="G134" i="4"/>
  <c r="Z127" i="4"/>
  <c r="AJ125" i="4"/>
  <c r="O135" i="4"/>
  <c r="P134" i="4"/>
  <c r="U124" i="4"/>
  <c r="AK126" i="4"/>
  <c r="S123" i="4"/>
  <c r="T125" i="4"/>
  <c r="F122" i="4"/>
  <c r="Q131" i="4"/>
  <c r="Q135" i="4"/>
  <c r="T135" i="4"/>
  <c r="R124" i="4"/>
  <c r="K131" i="4"/>
  <c r="AF132" i="4"/>
  <c r="AJ127" i="4"/>
  <c r="O134" i="4"/>
  <c r="P122" i="4"/>
  <c r="Q125" i="4"/>
  <c r="J132" i="4"/>
  <c r="S131" i="4"/>
  <c r="S135" i="4"/>
  <c r="Q124" i="4"/>
  <c r="W123" i="4"/>
  <c r="P126" i="4"/>
  <c r="I133" i="4"/>
  <c r="R132" i="4"/>
  <c r="O122" i="4"/>
  <c r="O126" i="4"/>
  <c r="AJ122" i="4"/>
  <c r="I132" i="4"/>
  <c r="Z134" i="4"/>
  <c r="O123" i="4"/>
  <c r="L124" i="4"/>
  <c r="V133" i="4"/>
  <c r="N126" i="4"/>
  <c r="AF127" i="4"/>
  <c r="AJ126" i="4"/>
  <c r="E135" i="4"/>
  <c r="E133" i="4"/>
  <c r="O133" i="4"/>
  <c r="AF135" i="4"/>
  <c r="L123" i="4"/>
  <c r="K122" i="4"/>
  <c r="Z129" i="4"/>
  <c r="K128" i="4"/>
  <c r="J129" i="4"/>
  <c r="Q130" i="4"/>
  <c r="AD128" i="4"/>
  <c r="K126" i="4"/>
  <c r="AF124" i="4"/>
  <c r="AL132" i="4"/>
  <c r="AL134" i="4"/>
  <c r="AK135" i="4"/>
  <c r="AK133" i="4"/>
  <c r="AC132" i="4"/>
  <c r="AC130" i="4"/>
  <c r="I125" i="4"/>
  <c r="H126" i="4"/>
  <c r="O127" i="4"/>
  <c r="AB125" i="4"/>
  <c r="I123" i="4"/>
  <c r="H132" i="4"/>
  <c r="K125" i="4"/>
  <c r="K127" i="4"/>
  <c r="J128" i="4"/>
  <c r="I129" i="4"/>
  <c r="H130" i="4"/>
  <c r="O131" i="4"/>
  <c r="AB129" i="4"/>
  <c r="I127" i="4"/>
  <c r="AB126" i="4"/>
  <c r="R123" i="4"/>
  <c r="AK134" i="4"/>
  <c r="AJ135" i="4"/>
  <c r="AF122" i="4"/>
  <c r="E124" i="4"/>
  <c r="R122" i="4"/>
  <c r="AF128" i="4"/>
  <c r="AI134" i="4"/>
  <c r="S132" i="4"/>
  <c r="K134" i="4"/>
  <c r="K135" i="4"/>
  <c r="G122" i="4"/>
  <c r="F123" i="4"/>
  <c r="M124" i="4"/>
  <c r="Z122" i="4"/>
  <c r="V129" i="4"/>
  <c r="I135" i="4"/>
  <c r="I124" i="4"/>
  <c r="H125" i="4"/>
  <c r="G126" i="4"/>
  <c r="F127" i="4"/>
  <c r="M128" i="4"/>
  <c r="Z126" i="4"/>
  <c r="G124" i="4"/>
  <c r="Z135" i="4"/>
  <c r="AK128" i="4"/>
  <c r="I128" i="4"/>
  <c r="H129" i="4"/>
  <c r="G130" i="4"/>
  <c r="F131" i="4"/>
  <c r="M132" i="4"/>
  <c r="Z130" i="4"/>
  <c r="G128" i="4"/>
  <c r="X132" i="4"/>
  <c r="AB122" i="4"/>
  <c r="AI135" i="4"/>
  <c r="AE122" i="4"/>
  <c r="AD123" i="4"/>
  <c r="AK124" i="4"/>
  <c r="P123" i="4"/>
  <c r="AH131" i="4"/>
  <c r="AG135" i="4"/>
  <c r="L129" i="4"/>
  <c r="Y132" i="4"/>
  <c r="E127" i="4"/>
  <c r="AL127" i="4"/>
  <c r="K129" i="4"/>
  <c r="X127" i="4"/>
  <c r="E125" i="4"/>
  <c r="Z123" i="4"/>
  <c r="T134" i="4"/>
  <c r="G129" i="4"/>
  <c r="F130" i="4"/>
  <c r="E131" i="4"/>
  <c r="AL131" i="4"/>
  <c r="K133" i="4"/>
  <c r="X131" i="4"/>
  <c r="E129" i="4"/>
  <c r="Y128" i="4"/>
  <c r="AF129" i="4"/>
  <c r="AD122" i="4"/>
  <c r="AC123" i="4"/>
  <c r="AB124" i="4"/>
  <c r="AI125" i="4"/>
  <c r="N124" i="4"/>
  <c r="J135" i="4"/>
  <c r="R127" i="4"/>
  <c r="AL123" i="4"/>
  <c r="J124" i="4"/>
  <c r="AL122" i="4"/>
  <c r="AK123" i="4"/>
  <c r="AJ124" i="4"/>
  <c r="I126" i="4"/>
  <c r="V124" i="4"/>
  <c r="AH135" i="4"/>
  <c r="P128" i="4"/>
  <c r="E126" i="4"/>
  <c r="AL126" i="4"/>
  <c r="AK127" i="4"/>
  <c r="AJ128" i="4"/>
  <c r="I130" i="4"/>
  <c r="V128" i="4"/>
  <c r="AK125" i="4"/>
  <c r="X124" i="4"/>
  <c r="X123" i="4"/>
  <c r="E130" i="4"/>
  <c r="AL130" i="4"/>
  <c r="AK131" i="4"/>
  <c r="AJ132" i="4"/>
  <c r="I134" i="4"/>
  <c r="V132" i="4"/>
  <c r="AK129" i="4"/>
  <c r="U130" i="4"/>
  <c r="AC122" i="4"/>
  <c r="AB123" i="4"/>
  <c r="AA124" i="4"/>
  <c r="Z125" i="4"/>
  <c r="AG126" i="4"/>
  <c r="L125" i="4"/>
  <c r="AA122" i="4"/>
  <c r="AB130" i="4"/>
  <c r="AF123" i="4"/>
  <c r="X135" i="4"/>
  <c r="E134" i="4"/>
  <c r="N122" i="4"/>
  <c r="AI126" i="4"/>
  <c r="H131" i="4"/>
  <c r="AJ131" i="4"/>
  <c r="AI132" i="4"/>
  <c r="AH133" i="4"/>
  <c r="G135" i="4"/>
  <c r="T133" i="4"/>
  <c r="AI130" i="4"/>
  <c r="AB127" i="4"/>
  <c r="AA123" i="4"/>
  <c r="Z124" i="4"/>
  <c r="Y125" i="4"/>
  <c r="X126" i="4"/>
  <c r="AE127" i="4"/>
  <c r="J126" i="4"/>
  <c r="Y123" i="4"/>
  <c r="AL133" i="4"/>
  <c r="V131" i="4"/>
  <c r="AI123" i="4"/>
  <c r="AH124" i="4"/>
  <c r="AG125" i="4"/>
  <c r="AF126" i="4"/>
  <c r="E128" i="4"/>
  <c r="R126" i="4"/>
  <c r="AG123" i="4"/>
  <c r="AJ134" i="4"/>
  <c r="AI127" i="4"/>
  <c r="AH128" i="4"/>
  <c r="AG129" i="4"/>
  <c r="AF130" i="4"/>
  <c r="E132" i="4"/>
  <c r="R130" i="4"/>
  <c r="AG127" i="4"/>
  <c r="AJ130" i="4"/>
  <c r="AH134" i="4"/>
  <c r="AI131" i="4"/>
  <c r="AH132" i="4"/>
  <c r="AG133" i="4"/>
  <c r="AF134" i="4"/>
  <c r="AL135" i="4"/>
  <c r="R134" i="4"/>
  <c r="AG131" i="4"/>
  <c r="AF125" i="4"/>
  <c r="Y124" i="4"/>
  <c r="X125" i="4"/>
  <c r="W126" i="4"/>
  <c r="V127" i="4"/>
  <c r="AC128" i="4"/>
  <c r="H127" i="4"/>
  <c r="W124" i="4"/>
  <c r="J123" i="4"/>
  <c r="AH126" i="4"/>
  <c r="T122" i="4"/>
  <c r="S125" i="4"/>
  <c r="O125" i="4"/>
  <c r="M125" i="4"/>
  <c r="I122" i="4"/>
  <c r="M135" i="4"/>
  <c r="M133" i="4"/>
  <c r="J125" i="4"/>
  <c r="M126" i="4"/>
  <c r="L126" i="4"/>
  <c r="AI128" i="4"/>
  <c r="T129" i="4"/>
  <c r="AL125" i="4"/>
  <c r="AK130" i="4"/>
  <c r="M134" i="4"/>
  <c r="V125" i="4"/>
  <c r="F126" i="4"/>
  <c r="AE130" i="4"/>
  <c r="AD131" i="4"/>
  <c r="AK132" i="4"/>
  <c r="P131" i="4"/>
  <c r="AE128" i="4"/>
  <c r="AG124" i="4"/>
  <c r="AI122" i="4"/>
  <c r="AG132" i="4"/>
  <c r="AF133" i="4"/>
  <c r="AE134" i="4"/>
  <c r="AD135" i="4"/>
  <c r="AD129" i="4"/>
  <c r="P135" i="4"/>
  <c r="AE132" i="4"/>
  <c r="W130" i="4"/>
  <c r="W125" i="4"/>
  <c r="V126" i="4"/>
  <c r="U127" i="4"/>
  <c r="T128" i="4"/>
  <c r="AA129" i="4"/>
  <c r="F128" i="4"/>
  <c r="U125" i="4"/>
  <c r="H124" i="4"/>
  <c r="G127" i="4"/>
  <c r="AE125" i="4"/>
  <c r="AD126" i="4"/>
  <c r="AC127" i="4"/>
  <c r="AB128" i="4"/>
  <c r="AI129" i="4"/>
  <c r="N128" i="4"/>
  <c r="AC125" i="4"/>
  <c r="P124" i="4"/>
  <c r="AE129" i="4"/>
  <c r="AD130" i="4"/>
  <c r="AC131" i="4"/>
  <c r="AB132" i="4"/>
  <c r="AI133" i="4"/>
  <c r="N132" i="4"/>
  <c r="AC129" i="4"/>
  <c r="Q132" i="4"/>
  <c r="AA126" i="4"/>
  <c r="AE133" i="4"/>
  <c r="AD134" i="4"/>
  <c r="AC135" i="4"/>
  <c r="AG122" i="4"/>
  <c r="F133" i="4"/>
  <c r="N125" i="4"/>
  <c r="AC133" i="4"/>
  <c r="E123" i="4"/>
  <c r="U126" i="4"/>
  <c r="T127" i="4"/>
  <c r="S128" i="4"/>
  <c r="R129" i="4"/>
  <c r="Y130" i="4"/>
  <c r="AL128" i="4"/>
  <c r="S126" i="4"/>
  <c r="F125" i="4"/>
  <c r="P125" i="4"/>
  <c r="U128" i="4"/>
  <c r="J127" i="4"/>
  <c r="F135" i="4"/>
  <c r="AG128" i="4"/>
  <c r="AD125" i="4"/>
  <c r="L128" i="4"/>
  <c r="AH123" i="4"/>
  <c r="F134" i="4"/>
  <c r="L135" i="4"/>
  <c r="Q122" i="4"/>
  <c r="Q126" i="4"/>
  <c r="AD133" i="4"/>
  <c r="AK122" i="4"/>
  <c r="AH129" i="4"/>
  <c r="X129" i="4"/>
  <c r="AB131" i="4"/>
  <c r="AA132" i="4"/>
  <c r="Z133" i="4"/>
  <c r="AG134" i="4"/>
  <c r="L133" i="4"/>
  <c r="AA130" i="4"/>
  <c r="AJ123" i="4"/>
  <c r="R131" i="4"/>
  <c r="AC134" i="4"/>
  <c r="AB135" i="4"/>
  <c r="X122" i="4"/>
  <c r="AE123" i="4"/>
  <c r="J122" i="4"/>
  <c r="H128" i="4"/>
  <c r="AA134" i="4"/>
  <c r="R133" i="4"/>
  <c r="S127" i="4"/>
  <c r="R128" i="4"/>
  <c r="Q129" i="4"/>
  <c r="P130" i="4"/>
  <c r="W131" i="4"/>
  <c r="AJ129" i="4"/>
  <c r="Q127" i="4"/>
  <c r="AH127" i="4"/>
  <c r="Y134" i="4"/>
  <c r="AA127" i="4"/>
  <c r="Z128" i="4"/>
  <c r="Y129" i="4"/>
  <c r="X130" i="4"/>
  <c r="AE131" i="4"/>
  <c r="J130" i="4"/>
  <c r="Y127" i="4"/>
  <c r="N129" i="4"/>
  <c r="AA131" i="4"/>
  <c r="Z132" i="4"/>
  <c r="Y133" i="4"/>
  <c r="X134" i="4"/>
  <c r="AE135" i="4"/>
  <c r="J134" i="4"/>
  <c r="Y131" i="4"/>
  <c r="T131" i="4"/>
  <c r="O132" i="4"/>
  <c r="AA135" i="4"/>
  <c r="W122" i="4"/>
  <c r="V123" i="4"/>
  <c r="AC124" i="4"/>
  <c r="H123" i="4"/>
  <c r="J131" i="4"/>
  <c r="Y135" i="4"/>
  <c r="H122" i="4"/>
  <c r="Q128" i="4"/>
  <c r="P129" i="4"/>
  <c r="O130" i="4"/>
  <c r="N131" i="4"/>
  <c r="U132" i="4"/>
  <c r="AH130" i="4"/>
  <c r="O128" i="4"/>
  <c r="AB134" i="4"/>
  <c r="N127" i="4"/>
  <c r="O124" i="4"/>
  <c r="H133" i="4"/>
  <c r="G132" i="4"/>
  <c r="M123" i="4"/>
  <c r="AD127" i="4"/>
  <c r="M127" i="4"/>
  <c r="S129" i="4"/>
  <c r="G133" i="4"/>
  <c r="T130" i="4"/>
  <c r="W128" i="4"/>
  <c r="N134" i="4"/>
  <c r="Z131" i="4"/>
  <c r="M122" i="4"/>
  <c r="K124" i="4"/>
  <c r="AD124" i="4"/>
  <c r="F129" i="4"/>
  <c r="L127" i="4"/>
  <c r="G123" i="4"/>
  <c r="AE124" i="4"/>
  <c r="G131" i="4"/>
  <c r="K123" i="4"/>
  <c r="AE126" i="4"/>
  <c r="G125" i="4"/>
  <c r="X133" i="4"/>
  <c r="W134" i="4"/>
  <c r="V135" i="4"/>
  <c r="X128" i="4"/>
  <c r="H135" i="4"/>
  <c r="W132" i="4"/>
  <c r="P133" i="4"/>
  <c r="U134" i="4"/>
  <c r="V122" i="4"/>
  <c r="U123" i="4"/>
  <c r="T124" i="4"/>
  <c r="AA125" i="4"/>
  <c r="F124" i="4"/>
  <c r="L134" i="4"/>
  <c r="T126" i="4"/>
  <c r="AG130" i="4"/>
  <c r="O129" i="4"/>
  <c r="N130" i="4"/>
  <c r="M131" i="4"/>
  <c r="L132" i="4"/>
  <c r="S133" i="4"/>
  <c r="AF131" i="4"/>
  <c r="M129" i="4"/>
  <c r="AC126" i="4"/>
  <c r="P127" i="4"/>
  <c r="W129" i="4"/>
  <c r="V130" i="4"/>
  <c r="U131" i="4"/>
  <c r="T132" i="4"/>
  <c r="AA133" i="4"/>
  <c r="F132" i="4"/>
  <c r="U129" i="4"/>
  <c r="S130" i="4"/>
  <c r="W133" i="4"/>
  <c r="V134" i="4"/>
  <c r="U135" i="4"/>
  <c r="Y122" i="4"/>
  <c r="P132" i="4"/>
  <c r="L122" i="4"/>
  <c r="U133" i="4"/>
  <c r="AI124" i="4"/>
  <c r="U122" i="4"/>
  <c r="T123" i="4"/>
  <c r="S124" i="4"/>
  <c r="R125" i="4"/>
  <c r="Y126" i="4"/>
  <c r="AL124" i="4"/>
  <c r="S122" i="4"/>
  <c r="AL129" i="4"/>
  <c r="N135" i="4"/>
  <c r="M130" i="4"/>
  <c r="L131" i="4"/>
  <c r="K132" i="4"/>
  <c r="J133" i="4"/>
  <c r="Q134" i="4"/>
  <c r="AD132" i="4"/>
  <c r="K130" i="4"/>
  <c r="F129" i="11"/>
  <c r="AA123" i="11"/>
  <c r="U128" i="11"/>
  <c r="H131" i="11"/>
  <c r="H124" i="11"/>
  <c r="AC130" i="11"/>
  <c r="AH129" i="11"/>
  <c r="G135" i="11"/>
  <c r="H135" i="11"/>
  <c r="AC134" i="11"/>
  <c r="Q125" i="11"/>
  <c r="G133" i="11"/>
  <c r="M131" i="11"/>
  <c r="Y123" i="11"/>
  <c r="X128" i="11"/>
  <c r="AC127" i="11"/>
  <c r="R126" i="11"/>
  <c r="Y131" i="11"/>
  <c r="F127" i="11"/>
  <c r="Y130" i="11"/>
  <c r="G131" i="11"/>
  <c r="AH134" i="11"/>
  <c r="AL125" i="11"/>
  <c r="Y132" i="11"/>
  <c r="E127" i="11"/>
  <c r="AD131" i="11"/>
  <c r="O135" i="11"/>
  <c r="E125" i="11"/>
  <c r="AL129" i="11"/>
  <c r="V122" i="11"/>
  <c r="I129" i="11"/>
  <c r="AH133" i="11"/>
  <c r="AD122" i="11"/>
  <c r="AF122" i="11"/>
  <c r="E124" i="11"/>
  <c r="U125" i="11"/>
  <c r="P132" i="11"/>
  <c r="AL122" i="11"/>
  <c r="Y129" i="11"/>
  <c r="M132" i="11"/>
  <c r="N128" i="11"/>
  <c r="I135" i="11"/>
  <c r="AE129" i="11"/>
  <c r="K124" i="11"/>
  <c r="L132" i="11"/>
  <c r="Q135" i="11"/>
  <c r="W122" i="11"/>
  <c r="K125" i="11"/>
  <c r="V125" i="11"/>
  <c r="AA124" i="11"/>
  <c r="G127" i="11"/>
  <c r="AD125" i="11"/>
  <c r="AI124" i="11"/>
  <c r="Q122" i="11"/>
  <c r="AF129" i="11"/>
  <c r="AJ131" i="11"/>
  <c r="AI134" i="11"/>
  <c r="AC125" i="11"/>
  <c r="R130" i="11"/>
  <c r="M130" i="11"/>
  <c r="K133" i="11"/>
  <c r="AI122" i="11"/>
  <c r="AD129" i="11"/>
  <c r="U134" i="11"/>
  <c r="AI128" i="11"/>
  <c r="V135" i="11"/>
  <c r="W135" i="11"/>
  <c r="AI126" i="11"/>
  <c r="AD133" i="11"/>
  <c r="R124" i="11"/>
  <c r="E131" i="11"/>
  <c r="I127" i="11"/>
  <c r="Z124" i="11"/>
  <c r="AB124" i="11"/>
  <c r="U124" i="11"/>
  <c r="Q127" i="11"/>
  <c r="L134" i="11"/>
  <c r="AD126" i="11"/>
  <c r="U131" i="11"/>
  <c r="Q134" i="11"/>
  <c r="F132" i="11"/>
  <c r="J123" i="11"/>
  <c r="AA131" i="11"/>
  <c r="G126" i="11"/>
  <c r="W127" i="11"/>
  <c r="N125" i="11"/>
  <c r="O126" i="11"/>
  <c r="AI129" i="11"/>
  <c r="N129" i="11"/>
  <c r="S128" i="11"/>
  <c r="AE131" i="11"/>
  <c r="V129" i="11"/>
  <c r="AA128" i="11"/>
  <c r="S130" i="11"/>
  <c r="S134" i="11"/>
  <c r="AC123" i="11"/>
  <c r="AF126" i="11"/>
  <c r="U135" i="11"/>
  <c r="R134" i="11"/>
  <c r="AG134" i="11"/>
  <c r="AF127" i="11"/>
  <c r="AE124" i="11"/>
  <c r="J124" i="11"/>
  <c r="E129" i="11"/>
  <c r="AE128" i="11"/>
  <c r="J128" i="11"/>
  <c r="AB122" i="11"/>
  <c r="X126" i="11"/>
  <c r="R122" i="11"/>
  <c r="I131" i="11"/>
  <c r="E122" i="11"/>
  <c r="Z128" i="11"/>
  <c r="M135" i="11"/>
  <c r="W123" i="11"/>
  <c r="AJ133" i="11"/>
  <c r="AF128" i="11"/>
  <c r="W133" i="11"/>
  <c r="AC131" i="11"/>
  <c r="E128" i="11"/>
  <c r="AB134" i="11"/>
  <c r="G130" i="11"/>
  <c r="H123" i="11"/>
  <c r="AC122" i="11"/>
  <c r="K132" i="11"/>
  <c r="P123" i="11"/>
  <c r="AK122" i="11"/>
  <c r="S132" i="11"/>
  <c r="AH135" i="11"/>
  <c r="Y126" i="11"/>
  <c r="T124" i="11"/>
  <c r="AA127" i="11"/>
  <c r="X132" i="11"/>
  <c r="R129" i="11"/>
  <c r="AC132" i="11"/>
  <c r="F126" i="11"/>
  <c r="AB129" i="11"/>
  <c r="AA133" i="11"/>
  <c r="Z131" i="11"/>
  <c r="AE130" i="11"/>
  <c r="AF123" i="11"/>
  <c r="Z135" i="11"/>
  <c r="AI132" i="11"/>
  <c r="N130" i="11"/>
  <c r="F128" i="11"/>
  <c r="X131" i="11"/>
  <c r="T133" i="11"/>
  <c r="AI133" i="11"/>
  <c r="W128" i="11"/>
  <c r="V133" i="11"/>
  <c r="AJ127" i="11"/>
  <c r="W134" i="11"/>
  <c r="L130" i="11"/>
  <c r="AB125" i="11"/>
  <c r="W132" i="11"/>
  <c r="S123" i="11"/>
  <c r="F130" i="11"/>
  <c r="X122" i="11"/>
  <c r="T126" i="11"/>
  <c r="J132" i="11"/>
  <c r="H134" i="11"/>
  <c r="N124" i="11"/>
  <c r="E133" i="11"/>
  <c r="AE125" i="11"/>
  <c r="V130" i="11"/>
  <c r="AJ124" i="11"/>
  <c r="AI125" i="11"/>
  <c r="AF135" i="11"/>
  <c r="AB130" i="11"/>
  <c r="L123" i="11"/>
  <c r="Y133" i="11"/>
  <c r="AH122" i="11"/>
  <c r="Q124" i="11"/>
  <c r="V123" i="11"/>
  <c r="AH126" i="11"/>
  <c r="U126" i="11"/>
  <c r="Z125" i="11"/>
  <c r="H127" i="11"/>
  <c r="AC126" i="11"/>
  <c r="Z129" i="11"/>
  <c r="X123" i="11"/>
  <c r="P122" i="11"/>
  <c r="K127" i="11"/>
  <c r="AJ129" i="11"/>
  <c r="I126" i="11"/>
  <c r="I128" i="11"/>
  <c r="Z134" i="11"/>
  <c r="F123" i="11"/>
  <c r="F134" i="11"/>
  <c r="P127" i="11"/>
  <c r="O132" i="11"/>
  <c r="G125" i="11"/>
  <c r="X133" i="11"/>
  <c r="L124" i="11"/>
  <c r="AC128" i="11"/>
  <c r="P131" i="11"/>
  <c r="T122" i="11"/>
  <c r="G129" i="11"/>
  <c r="AB135" i="11"/>
  <c r="P126" i="11"/>
  <c r="W125" i="11"/>
  <c r="U127" i="11"/>
  <c r="Q130" i="11"/>
  <c r="AF131" i="11"/>
  <c r="AF124" i="11"/>
  <c r="W129" i="11"/>
  <c r="G122" i="11"/>
  <c r="X130" i="11"/>
  <c r="Q126" i="11"/>
  <c r="Y127" i="11"/>
  <c r="M122" i="11"/>
  <c r="AD130" i="11"/>
  <c r="J125" i="11"/>
  <c r="J134" i="11"/>
  <c r="AA135" i="11"/>
  <c r="F131" i="11"/>
  <c r="O124" i="11"/>
  <c r="AB123" i="11"/>
  <c r="J133" i="11"/>
  <c r="W124" i="11"/>
  <c r="AJ123" i="11"/>
  <c r="K123" i="11"/>
  <c r="X127" i="11"/>
  <c r="AL135" i="11"/>
  <c r="N134" i="11"/>
  <c r="H125" i="11"/>
  <c r="N127" i="11"/>
  <c r="U130" i="11"/>
  <c r="Q123" i="11"/>
  <c r="J122" i="11"/>
  <c r="L129" i="11"/>
  <c r="AK126" i="11"/>
  <c r="AL127" i="11"/>
  <c r="L126" i="11"/>
  <c r="U123" i="11"/>
  <c r="S127" i="11"/>
  <c r="Y134" i="11"/>
  <c r="AB133" i="11"/>
  <c r="O133" i="11"/>
  <c r="AK123" i="11"/>
  <c r="T132" i="11"/>
  <c r="V124" i="11"/>
  <c r="U129" i="11"/>
  <c r="I124" i="11"/>
  <c r="Z132" i="11"/>
  <c r="X134" i="11"/>
  <c r="G124" i="11"/>
  <c r="P125" i="11"/>
  <c r="X124" i="11"/>
  <c r="G128" i="11"/>
  <c r="T127" i="11"/>
  <c r="AL133" i="11"/>
  <c r="O128" i="11"/>
  <c r="AB127" i="11"/>
  <c r="AC124" i="11"/>
  <c r="L122" i="11"/>
  <c r="T135" i="11"/>
  <c r="AG130" i="11"/>
  <c r="L133" i="11"/>
  <c r="AK130" i="11"/>
  <c r="H130" i="11"/>
  <c r="Q129" i="11"/>
  <c r="AB126" i="11"/>
  <c r="AK128" i="11"/>
  <c r="M123" i="11"/>
  <c r="H128" i="11"/>
  <c r="AL131" i="11"/>
  <c r="AE123" i="11"/>
  <c r="K135" i="11"/>
  <c r="P134" i="11"/>
  <c r="M133" i="11"/>
  <c r="E126" i="11"/>
  <c r="V134" i="11"/>
  <c r="P128" i="11"/>
  <c r="H129" i="11"/>
  <c r="T128" i="11"/>
  <c r="Y135" i="11"/>
  <c r="L131" i="11"/>
  <c r="AG122" i="11"/>
  <c r="AG135" i="11"/>
  <c r="T131" i="11"/>
  <c r="F125" i="11"/>
  <c r="I122" i="11"/>
  <c r="AJ125" i="11"/>
  <c r="AG126" i="11"/>
  <c r="T125" i="11"/>
  <c r="AA126" i="11"/>
  <c r="AH127" i="11"/>
  <c r="AG128" i="11"/>
  <c r="AB131" i="11"/>
  <c r="AA132" i="11"/>
  <c r="Z133" i="11"/>
  <c r="AK132" i="11"/>
  <c r="T129" i="11"/>
  <c r="AA130" i="11"/>
  <c r="AH131" i="11"/>
  <c r="AG132" i="11"/>
  <c r="AF133" i="11"/>
  <c r="AE134" i="11"/>
  <c r="AD135" i="11"/>
  <c r="K131" i="11"/>
  <c r="Y125" i="11"/>
  <c r="P130" i="11"/>
  <c r="M124" i="11"/>
  <c r="X135" i="11"/>
  <c r="AJ122" i="11"/>
  <c r="AI123" i="11"/>
  <c r="AH124" i="11"/>
  <c r="AG125" i="11"/>
  <c r="AB128" i="11"/>
  <c r="AA125" i="11"/>
  <c r="J130" i="11"/>
  <c r="Q131" i="11"/>
  <c r="T134" i="11"/>
  <c r="S135" i="11"/>
  <c r="O122" i="11"/>
  <c r="N123" i="11"/>
  <c r="AK134" i="11"/>
  <c r="M128" i="11"/>
  <c r="K122" i="11"/>
  <c r="R123" i="11"/>
  <c r="M126" i="11"/>
  <c r="L127" i="11"/>
  <c r="K128" i="11"/>
  <c r="J129" i="11"/>
  <c r="G123" i="11"/>
  <c r="AL124" i="11"/>
  <c r="K126" i="11"/>
  <c r="R127" i="11"/>
  <c r="Q128" i="11"/>
  <c r="P129" i="11"/>
  <c r="O130" i="11"/>
  <c r="N131" i="11"/>
  <c r="AK124" i="11"/>
  <c r="L125" i="11"/>
  <c r="S126" i="11"/>
  <c r="Z127" i="11"/>
  <c r="Y128" i="11"/>
  <c r="X129" i="11"/>
  <c r="W130" i="11"/>
  <c r="V131" i="11"/>
  <c r="R133" i="11"/>
  <c r="AJ128" i="11"/>
  <c r="I134" i="11"/>
  <c r="AD124" i="11"/>
  <c r="AK125" i="11"/>
  <c r="J127" i="11"/>
  <c r="E130" i="11"/>
  <c r="AL130" i="11"/>
  <c r="AK131" i="11"/>
  <c r="AJ132" i="11"/>
  <c r="O127" i="11"/>
  <c r="AD128" i="11"/>
  <c r="AK129" i="11"/>
  <c r="J131" i="11"/>
  <c r="I132" i="11"/>
  <c r="H133" i="11"/>
  <c r="G134" i="11"/>
  <c r="F135" i="11"/>
  <c r="K129" i="11"/>
  <c r="AL128" i="11"/>
  <c r="K130" i="11"/>
  <c r="R131" i="11"/>
  <c r="Q132" i="11"/>
  <c r="P133" i="11"/>
  <c r="O134" i="11"/>
  <c r="N135" i="11"/>
  <c r="AL126" i="11"/>
  <c r="AK127" i="11"/>
  <c r="AF130" i="11"/>
  <c r="O123" i="11"/>
  <c r="Z126" i="11"/>
  <c r="AG127" i="11"/>
  <c r="AJ130" i="11"/>
  <c r="AI131" i="11"/>
  <c r="AH132" i="11"/>
  <c r="AG133" i="11"/>
  <c r="AF134" i="11"/>
  <c r="S129" i="11"/>
  <c r="Z130" i="11"/>
  <c r="AG131" i="11"/>
  <c r="F133" i="11"/>
  <c r="E134" i="11"/>
  <c r="AL134" i="11"/>
  <c r="AK135" i="11"/>
  <c r="P135" i="11"/>
  <c r="O131" i="11"/>
  <c r="AH130" i="11"/>
  <c r="G132" i="11"/>
  <c r="N133" i="11"/>
  <c r="M134" i="11"/>
  <c r="L135" i="11"/>
  <c r="H122" i="11"/>
  <c r="F124" i="11"/>
  <c r="Y122" i="11"/>
  <c r="AA134" i="11"/>
  <c r="S133" i="11"/>
  <c r="AL132" i="11"/>
  <c r="K134" i="11"/>
  <c r="R135" i="11"/>
  <c r="N122" i="11"/>
  <c r="I125" i="11"/>
  <c r="H126" i="11"/>
  <c r="R128" i="11"/>
  <c r="AE135" i="11"/>
  <c r="I123" i="11"/>
  <c r="P124" i="11"/>
  <c r="O125" i="11"/>
  <c r="N126" i="11"/>
  <c r="M127" i="11"/>
  <c r="L128" i="11"/>
  <c r="H132" i="11"/>
  <c r="V126" i="11"/>
  <c r="E135" i="11"/>
  <c r="U132" i="11"/>
  <c r="J126" i="11"/>
  <c r="M129" i="11"/>
  <c r="T130" i="11"/>
  <c r="S131" i="11"/>
  <c r="R132" i="11"/>
  <c r="Q133" i="11"/>
  <c r="I133" i="11"/>
  <c r="Z122" i="11"/>
  <c r="AG123" i="11"/>
  <c r="AJ126" i="11"/>
  <c r="AI127" i="11"/>
  <c r="AH128" i="11"/>
  <c r="AG129" i="11"/>
  <c r="AB132" i="11"/>
  <c r="S125" i="11"/>
  <c r="V128" i="11"/>
  <c r="AC129" i="11"/>
  <c r="AF132" i="11"/>
  <c r="AE133" i="11"/>
  <c r="AD134" i="11"/>
  <c r="AC135" i="11"/>
  <c r="M125" i="11"/>
  <c r="AA129" i="11"/>
  <c r="V132" i="11"/>
  <c r="AC133" i="11"/>
  <c r="AJ134" i="11"/>
  <c r="AI135" i="11"/>
  <c r="AE122" i="11"/>
  <c r="AD123" i="11"/>
  <c r="AE132" i="11"/>
  <c r="W131" i="11"/>
  <c r="AD132" i="11"/>
  <c r="AK133" i="11"/>
  <c r="J135" i="11"/>
  <c r="F122" i="11"/>
  <c r="E123" i="11"/>
  <c r="AL123" i="11"/>
  <c r="AH125" i="11"/>
  <c r="AI130" i="11"/>
  <c r="AE127" i="11"/>
  <c r="N132" i="11"/>
  <c r="U133" i="11"/>
  <c r="U122" i="11"/>
  <c r="T123" i="11"/>
  <c r="S124" i="11"/>
  <c r="R125" i="11"/>
  <c r="O129" i="11"/>
  <c r="I130" i="11"/>
  <c r="S122" i="11"/>
  <c r="Z123" i="11"/>
  <c r="Y124" i="11"/>
  <c r="X125" i="11"/>
  <c r="W126" i="11"/>
  <c r="V127" i="11"/>
  <c r="AJ135" i="11"/>
  <c r="E132" i="11"/>
  <c r="AA122" i="11"/>
  <c r="AH123" i="11"/>
  <c r="AG124" i="11"/>
  <c r="AF125" i="11"/>
  <c r="AE126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3918A722-5DA0-46E7-9636-19AFF6A53BD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B7BFF688-8FF7-43E4-8A6E-0410D9C0BB23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DC0EB8C3-F1F4-4202-81F8-4EF95141A1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A63E3F70-D42B-4D47-A850-448E34E73C5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4AC65004-1483-48A2-B8CC-307A7E8FE6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72C223DB-F1A0-4167-8568-7A71915FB08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68F935A8-FE0E-4490-936D-2ACED3759B68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8D170626-7B29-47C7-8553-8611A55ABFF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<sst xmlns="http://schemas.openxmlformats.org/spreadsheetml/2006/main" count="281" uniqueCount="86">
  <si>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</si>
  <si>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</si>
  <si>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</si>
  <si>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</si>
  <si>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</si>
  <si>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H (Ga)</t>
  </si>
  <si>
    <t>H (Ge)</t>
  </si>
  <si>
    <t>H (Se)</t>
  </si>
  <si>
    <t>Состав смеси в атомах</t>
  </si>
  <si>
    <t>Сумма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</si>
  <si>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</si>
  <si>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</si>
  <si>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</si>
  <si>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</si>
  <si>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Газовая: </t>
  </si>
  <si>
    <t xml:space="preserve">Раствор + газовая без Ar: </t>
  </si>
  <si>
    <t>Начало/конец=</t>
  </si>
  <si>
    <t xml:space="preserve">Частота= 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</si>
  <si>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</si>
  <si>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</si>
  <si>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</si>
  <si>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</si>
  <si>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</si>
  <si>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</si>
  <si>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</si>
  <si>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</si>
  <si>
    <t>H (Ar)</t>
  </si>
  <si>
    <t>FLUID</t>
  </si>
  <si>
    <t>SOLID</t>
  </si>
  <si>
    <t>ALL</t>
  </si>
  <si>
    <t>Тип сорт/\ 0E- выбранный столбец, 1 по всей таблице</t>
  </si>
  <si>
    <t xml:space="preserve">Расвор: </t>
  </si>
  <si>
    <t>Раствор + газовая без Ar</t>
  </si>
  <si>
    <t xml:space="preserve">Раствор 1(тв): </t>
  </si>
  <si>
    <t xml:space="preserve">Раствор 1 + газовая без Ar: </t>
  </si>
  <si>
    <t xml:space="preserve">Раствор 3 (жид): </t>
  </si>
  <si>
    <t xml:space="preserve">Раствор 3 + газовая без Ar: </t>
  </si>
  <si>
    <r>
      <t xml:space="preserve">Состав </t>
    </r>
    <r>
      <rPr>
        <b/>
        <i/>
        <sz val="18"/>
        <color rgb="FFFF0000"/>
        <rFont val="Calibri"/>
        <family val="2"/>
        <charset val="204"/>
        <scheme val="minor"/>
      </rPr>
      <t xml:space="preserve">Ge - 1 </t>
    </r>
    <r>
      <rPr>
        <b/>
        <i/>
        <sz val="18"/>
        <color theme="0" tint="-4.9989318521683403E-2"/>
        <rFont val="Calibri"/>
        <family val="2"/>
        <charset val="204"/>
        <scheme val="minor"/>
      </rPr>
      <t>alltime</t>
    </r>
  </si>
  <si>
    <t>Р1+Р3+газ без Ar</t>
  </si>
  <si>
    <t>end1</t>
  </si>
  <si>
    <t>End2</t>
  </si>
  <si>
    <t>Энергия Гиббса фаз в данной системе. КДж</t>
  </si>
  <si>
    <t>Энергия Гиббса отдельных веществ в данной системе Дж</t>
  </si>
  <si>
    <t>Big Table</t>
  </si>
  <si>
    <t>Small Table</t>
  </si>
  <si>
    <t>h</t>
  </si>
  <si>
    <t>j</t>
  </si>
  <si>
    <t>k</t>
  </si>
  <si>
    <t>Color</t>
  </si>
  <si>
    <t>l</t>
  </si>
  <si>
    <t>Аппроксимация</t>
  </si>
  <si>
    <t>*Se[M]</t>
  </si>
  <si>
    <t>*Ge</t>
  </si>
  <si>
    <t>*GaSe</t>
  </si>
  <si>
    <t>*Ge[l]</t>
  </si>
  <si>
    <t>*GeSe</t>
  </si>
  <si>
    <t>Vapor</t>
  </si>
  <si>
    <r>
      <t>Temperature,</t>
    </r>
    <r>
      <rPr>
        <sz val="8"/>
        <rFont val="Arial"/>
        <family val="2"/>
        <charset val="204"/>
      </rPr>
      <t>К</t>
    </r>
  </si>
  <si>
    <r>
      <t>*Ga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  <r>
      <rPr>
        <vertAlign val="subscript"/>
        <sz val="8"/>
        <rFont val="Arial"/>
        <family val="2"/>
        <charset val="204"/>
      </rPr>
      <t>3</t>
    </r>
  </si>
  <si>
    <r>
      <t>*GeSe</t>
    </r>
    <r>
      <rPr>
        <vertAlign val="subscript"/>
        <sz val="8"/>
        <rFont val="Arial"/>
        <family val="2"/>
        <charset val="204"/>
      </rPr>
      <t>2</t>
    </r>
  </si>
  <si>
    <r>
      <t>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</si>
  <si>
    <t>*Ga[1]</t>
  </si>
  <si>
    <t>So1ution #1</t>
  </si>
  <si>
    <t>(1)Ga[l]</t>
  </si>
  <si>
    <t>(1)GeSe[l]</t>
  </si>
  <si>
    <t>(1)ge[l]</t>
  </si>
  <si>
    <t>Temperature,К</t>
  </si>
  <si>
    <t>*Ga2Se3</t>
  </si>
  <si>
    <t>*GeSe2</t>
  </si>
  <si>
    <t>Ga2Se</t>
  </si>
  <si>
    <t>(1)Ge[l]</t>
  </si>
  <si>
    <t>(DGeSe</t>
  </si>
  <si>
    <t>(DGaSe</t>
  </si>
  <si>
    <t>(DGe</t>
  </si>
  <si>
    <t>(DGa</t>
  </si>
  <si>
    <t>(DSe[M]</t>
  </si>
  <si>
    <t>(DSe</t>
  </si>
  <si>
    <t>(2)Ga[l]</t>
  </si>
  <si>
    <r>
      <t>(DGeSe</t>
    </r>
    <r>
      <rPr>
        <vertAlign val="subscript"/>
        <sz val="8"/>
        <rFont val="Arial"/>
        <family val="2"/>
        <charset val="204"/>
      </rPr>
      <t>2</t>
    </r>
  </si>
  <si>
    <r>
      <t>(DGa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Sej</t>
    </r>
  </si>
  <si>
    <t>(1)Se[A]</t>
  </si>
  <si>
    <t>(2)Ga[1]</t>
  </si>
  <si>
    <t>(DGeSe2</t>
  </si>
  <si>
    <t>(DGa2Sej</t>
  </si>
  <si>
    <t>(1)Se[M]</t>
  </si>
  <si>
    <t>(1)Se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</si>
</sst>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E+00"/>
    <numFmt numFmtId="166" formatCode="0.000"/>
  </numFmts>
  <fonts count="30" x14ac:knownFonts="1">
    <font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2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i/>
      <sz val="18"/>
      <color rgb="FFFF0000"/>
      <name val="Calibri"/>
      <family val="2"/>
      <charset val="204"/>
      <scheme val="minor"/>
    </font>
    <font>
      <b/>
      <sz val="22"/>
      <color theme="0"/>
      <name val="Calibri"/>
      <family val="2"/>
      <charset val="204"/>
      <scheme val="minor"/>
    </font>
    <font>
      <vertAlign val="subscript"/>
      <sz val="8"/>
      <name val="Arial"/>
      <family val="2"/>
      <charset val="204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4.9989318521683403E-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0" fontId="5" fillId="5" borderId="0"/>
    <xf numFmtId="1" fontId="8" fillId="7" borderId="2">
      <alignment horizontal="left" vertical="center"/>
    </xf>
    <xf numFmtId="0" fontId="9" fillId="6" borderId="3" applyNumberFormat="0">
      <alignment horizontal="left" vertical="center"/>
    </xf>
    <xf numFmtId="11" fontId="12" fillId="10" borderId="0">
      <alignment vertical="top"/>
    </xf>
    <xf numFmtId="0" fontId="2" fillId="4" borderId="0">
      <alignment horizontal="center" vertical="center"/>
    </xf>
    <xf numFmtId="0" fontId="20" fillId="3" borderId="1">
      <alignment horizontal="center" vertical="center"/>
    </xf>
    <xf numFmtId="165" fontId="10" fillId="0" borderId="0"/>
    <xf numFmtId="165" fontId="10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</cellStyleXfs>
  <cellXfs count="136">
    <xf numFmtId="0" fontId="0" fillId="0" borderId="0" xfId="0"/>
    <xf numFmtId="0" fontId="8" fillId="7" borderId="29" xfId="2" applyNumberFormat="1" applyBorder="1">
      <alignment horizontal="left" vertical="center"/>
    </xf>
    <xf numFmtId="0" fontId="7" fillId="6" borderId="1" xfId="0" applyFont="1" applyFill="1" applyBorder="1" applyAlignment="1">
      <alignment horizontal="center" vertical="center"/>
    </xf>
    <xf numFmtId="0" fontId="8" fillId="7" borderId="2" xfId="2" applyNumberFormat="1">
      <alignment horizontal="left" vertical="center"/>
    </xf>
    <xf numFmtId="1" fontId="8" fillId="7" borderId="2" xfId="2">
      <alignment horizontal="left" vertical="center"/>
    </xf>
    <xf numFmtId="0" fontId="3" fillId="8" borderId="0" xfId="0" applyFont="1" applyFill="1"/>
    <xf numFmtId="0" fontId="9" fillId="6" borderId="3" xfId="3" applyNumberFormat="1">
      <alignment horizontal="left" vertical="center"/>
    </xf>
    <xf numFmtId="0" fontId="6" fillId="7" borderId="7" xfId="0" applyFont="1" applyFill="1" applyBorder="1" applyAlignment="1">
      <alignment horizontal="center" vertical="center"/>
    </xf>
    <xf numFmtId="0" fontId="8" fillId="7" borderId="2" xfId="0" applyFont="1" applyFill="1" applyBorder="1"/>
    <xf numFmtId="0" fontId="0" fillId="8" borderId="8" xfId="0" applyFill="1" applyBorder="1"/>
    <xf numFmtId="165" fontId="0" fillId="8" borderId="0" xfId="0" applyNumberFormat="1" applyFill="1"/>
    <xf numFmtId="0" fontId="2" fillId="4" borderId="0" xfId="5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11" fontId="12" fillId="10" borderId="0" xfId="4">
      <alignment vertical="top"/>
    </xf>
    <xf numFmtId="0" fontId="8" fillId="9" borderId="0" xfId="0" applyFont="1" applyFill="1"/>
    <xf numFmtId="1" fontId="12" fillId="10" borderId="0" xfId="4" applyNumberFormat="1">
      <alignment vertical="top"/>
    </xf>
    <xf numFmtId="0" fontId="9" fillId="6" borderId="3" xfId="3" applyAlignment="1">
      <alignment horizontal="right" vertical="center"/>
    </xf>
    <xf numFmtId="0" fontId="9" fillId="6" borderId="3" xfId="3">
      <alignment horizontal="left" vertical="center"/>
    </xf>
    <xf numFmtId="1" fontId="14" fillId="7" borderId="4" xfId="2" applyFont="1" applyBorder="1">
      <alignment horizontal="left" vertical="center"/>
    </xf>
    <xf numFmtId="1" fontId="8" fillId="7" borderId="4" xfId="2" applyBorder="1">
      <alignment horizontal="left" vertical="center"/>
    </xf>
    <xf numFmtId="0" fontId="2" fillId="4" borderId="8" xfId="5" applyBorder="1">
      <alignment horizontal="center" vertical="center"/>
    </xf>
    <xf numFmtId="0" fontId="2" fillId="4" borderId="17" xfId="5" applyBorder="1">
      <alignment horizontal="center" vertical="center"/>
    </xf>
    <xf numFmtId="0" fontId="2" fillId="4" borderId="18" xfId="5" applyBorder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20" xfId="0" applyBorder="1"/>
    <xf numFmtId="0" fontId="0" fillId="0" borderId="0" xfId="0" applyBorder="1"/>
    <xf numFmtId="0" fontId="0" fillId="0" borderId="21" xfId="0" applyBorder="1"/>
    <xf numFmtId="0" fontId="0" fillId="0" borderId="13" xfId="0" applyBorder="1"/>
    <xf numFmtId="0" fontId="0" fillId="0" borderId="22" xfId="0" applyBorder="1"/>
    <xf numFmtId="0" fontId="0" fillId="0" borderId="23" xfId="0" applyBorder="1"/>
    <xf numFmtId="0" fontId="4" fillId="11" borderId="3" xfId="0" applyFont="1" applyFill="1" applyBorder="1" applyAlignment="1">
      <alignment horizontal="right" vertical="center"/>
    </xf>
    <xf numFmtId="1" fontId="9" fillId="6" borderId="3" xfId="3" applyNumberFormat="1">
      <alignment horizontal="left" vertical="center"/>
    </xf>
    <xf numFmtId="164" fontId="9" fillId="6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5" fillId="11" borderId="9" xfId="0" applyNumberFormat="1" applyFont="1" applyFill="1" applyBorder="1" applyAlignment="1">
      <alignment horizontal="center" vertical="center"/>
    </xf>
    <xf numFmtId="0" fontId="20" fillId="3" borderId="1" xfId="6">
      <alignment horizontal="center" vertical="center"/>
    </xf>
    <xf numFmtId="0" fontId="9" fillId="6" borderId="12" xfId="3" applyNumberFormat="1" applyBorder="1">
      <alignment horizontal="left" vertical="center"/>
    </xf>
    <xf numFmtId="0" fontId="7" fillId="6" borderId="24" xfId="0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3" fillId="8" borderId="9" xfId="0" applyFont="1" applyFill="1" applyBorder="1"/>
    <xf numFmtId="0" fontId="21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0" fontId="3" fillId="8" borderId="0" xfId="0" applyFont="1" applyFill="1" applyBorder="1"/>
    <xf numFmtId="11" fontId="9" fillId="6" borderId="3" xfId="3" applyNumberFormat="1">
      <alignment horizontal="left" vertical="center"/>
    </xf>
    <xf numFmtId="11" fontId="12" fillId="10" borderId="0" xfId="4" applyNumberFormat="1">
      <alignment vertical="top"/>
    </xf>
    <xf numFmtId="0" fontId="0" fillId="0" borderId="0" xfId="0"/>
    <xf numFmtId="11" fontId="13" fillId="0" borderId="0" xfId="0" applyNumberFormat="1" applyFont="1" applyFill="1" applyBorder="1" applyAlignment="1" applyProtection="1">
      <alignment vertical="top"/>
    </xf>
    <xf numFmtId="11" fontId="23" fillId="0" borderId="0" xfId="0" applyNumberFormat="1" applyFont="1" applyFill="1" applyBorder="1" applyAlignment="1" applyProtection="1">
      <alignment vertical="top"/>
    </xf>
    <xf numFmtId="11" fontId="24" fillId="0" borderId="0" xfId="0" applyNumberFormat="1" applyFont="1" applyFill="1" applyBorder="1" applyAlignment="1" applyProtection="1">
      <alignment vertical="top"/>
    </xf>
    <xf numFmtId="0" fontId="8" fillId="7" borderId="4" xfId="2" applyNumberFormat="1" applyBorder="1">
      <alignment horizontal="left" vertical="center"/>
    </xf>
    <xf numFmtId="0" fontId="8" fillId="7" borderId="27" xfId="2" applyNumberFormat="1" applyBorder="1">
      <alignment horizontal="left" vertical="center"/>
    </xf>
    <xf numFmtId="1" fontId="8" fillId="7" borderId="27" xfId="2" applyBorder="1">
      <alignment horizontal="left" vertical="center"/>
    </xf>
    <xf numFmtId="0" fontId="8" fillId="7" borderId="28" xfId="2" applyNumberFormat="1" applyBorder="1">
      <alignment horizontal="left" vertical="center"/>
    </xf>
    <xf numFmtId="1" fontId="8" fillId="7" borderId="28" xfId="2" applyBorder="1">
      <alignment horizontal="left" vertical="center"/>
    </xf>
    <xf numFmtId="1" fontId="8" fillId="7" borderId="2" xfId="2" applyBorder="1">
      <alignment horizontal="left" vertical="center"/>
    </xf>
    <xf numFmtId="0" fontId="0" fillId="0" borderId="26" xfId="0" applyBorder="1"/>
    <xf numFmtId="1" fontId="8" fillId="7" borderId="29" xfId="2" applyBorder="1">
      <alignment horizontal="left" vertical="center"/>
    </xf>
    <xf numFmtId="1" fontId="25" fillId="11" borderId="12" xfId="0" applyNumberFormat="1" applyFont="1" applyFill="1" applyBorder="1" applyAlignment="1">
      <alignment horizontal="center" vertical="center"/>
    </xf>
    <xf numFmtId="1" fontId="4" fillId="12" borderId="3" xfId="0" applyNumberFormat="1" applyFont="1" applyFill="1" applyBorder="1" applyAlignment="1">
      <alignment horizontal="right" vertical="center"/>
    </xf>
    <xf numFmtId="1" fontId="15" fillId="12" borderId="12" xfId="0" applyNumberFormat="1" applyFont="1" applyFill="1" applyBorder="1" applyAlignment="1">
      <alignment horizontal="center" vertical="center"/>
    </xf>
    <xf numFmtId="1" fontId="8" fillId="7" borderId="2" xfId="2" applyNumberFormat="1">
      <alignment horizontal="left" vertical="center"/>
    </xf>
    <xf numFmtId="0" fontId="26" fillId="7" borderId="7" xfId="0" applyFont="1" applyFill="1" applyBorder="1" applyAlignment="1">
      <alignment horizontal="center" vertical="center"/>
    </xf>
    <xf numFmtId="0" fontId="5" fillId="9" borderId="0" xfId="1" applyFill="1"/>
    <xf numFmtId="0" fontId="0" fillId="9" borderId="0" xfId="0" applyFill="1"/>
    <xf numFmtId="0" fontId="6" fillId="9" borderId="0" xfId="0" applyFont="1" applyFill="1"/>
    <xf numFmtId="0" fontId="6" fillId="9" borderId="20" xfId="0" applyFont="1" applyFill="1" applyBorder="1"/>
    <xf numFmtId="0" fontId="6" fillId="9" borderId="0" xfId="0" applyFont="1" applyFill="1" applyBorder="1"/>
    <xf numFmtId="0" fontId="6" fillId="9" borderId="26" xfId="0" applyFont="1" applyFill="1" applyBorder="1"/>
    <xf numFmtId="0" fontId="0" fillId="9" borderId="15" xfId="0" applyFill="1" applyBorder="1"/>
    <xf numFmtId="0" fontId="11" fillId="9" borderId="4" xfId="0" applyFont="1" applyFill="1" applyBorder="1"/>
    <xf numFmtId="0" fontId="11" fillId="9" borderId="5" xfId="0" applyFont="1" applyFill="1" applyBorder="1"/>
    <xf numFmtId="0" fontId="11" fillId="9" borderId="6" xfId="0" applyFont="1" applyFill="1" applyBorder="1"/>
    <xf numFmtId="0" fontId="0" fillId="9" borderId="19" xfId="0" applyFill="1" applyBorder="1"/>
    <xf numFmtId="1" fontId="12" fillId="9" borderId="0" xfId="4" applyNumberFormat="1" applyFill="1">
      <alignment vertical="top"/>
    </xf>
    <xf numFmtId="166" fontId="12" fillId="9" borderId="0" xfId="4" applyNumberFormat="1" applyFill="1">
      <alignment vertical="top"/>
    </xf>
    <xf numFmtId="0" fontId="0" fillId="9" borderId="16" xfId="0" applyFill="1" applyBorder="1"/>
    <xf numFmtId="11" fontId="12" fillId="9" borderId="0" xfId="4" applyFill="1">
      <alignment vertical="top"/>
    </xf>
    <xf numFmtId="2" fontId="12" fillId="9" borderId="0" xfId="4" applyNumberFormat="1" applyFill="1">
      <alignment vertical="top"/>
    </xf>
    <xf numFmtId="0" fontId="9" fillId="6" borderId="30" xfId="3" applyBorder="1" applyAlignment="1">
      <alignment horizontal="right" vertical="center"/>
    </xf>
    <xf numFmtId="11" fontId="0" fillId="0" borderId="0" xfId="0" applyNumberFormat="1"/>
    <xf numFmtId="11" fontId="9" fillId="6" borderId="3" xfId="3" applyNumberFormat="1" applyBorder="1">
      <alignment horizontal="left" vertical="center"/>
    </xf>
    <xf numFmtId="0" fontId="9" fillId="6" borderId="3" xfId="3" applyNumberFormat="1" applyBorder="1">
      <alignment horizontal="left" vertical="center"/>
    </xf>
    <xf numFmtId="0" fontId="0" fillId="0" borderId="19" xfId="0" applyBorder="1"/>
    <xf numFmtId="165" fontId="10" fillId="0" borderId="0" xfId="8"/>
    <xf numFmtId="0" fontId="0" fillId="0" borderId="0" xfId="0" applyFill="1" applyBorder="1"/>
    <xf numFmtId="49" fontId="9" fillId="6" borderId="3" xfId="3" applyNumberFormat="1">
      <alignment horizontal="left" vertical="center"/>
    </xf>
    <xf numFmtId="0" fontId="8" fillId="7" borderId="0" xfId="0" applyFont="1" applyFill="1" applyBorder="1"/>
    <xf numFmtId="49" fontId="4" fillId="11" borderId="3" xfId="0" applyNumberFormat="1" applyFont="1" applyFill="1" applyBorder="1" applyAlignment="1">
      <alignment horizontal="right" vertical="center"/>
    </xf>
    <xf numFmtId="49" fontId="8" fillId="7" borderId="2" xfId="2" applyNumberFormat="1">
      <alignment horizontal="left" vertical="center"/>
    </xf>
    <xf numFmtId="49" fontId="0" fillId="0" borderId="0" xfId="0" applyNumberFormat="1"/>
    <xf numFmtId="49" fontId="9" fillId="6" borderId="12" xfId="3" applyNumberFormat="1" applyBorder="1">
      <alignment horizontal="left" vertical="center"/>
    </xf>
    <xf numFmtId="0" fontId="0" fillId="0" borderId="0" xfId="0" applyAlignment="1"/>
    <xf numFmtId="0" fontId="0" fillId="14" borderId="0" xfId="0" applyFill="1"/>
    <xf numFmtId="1" fontId="0" fillId="14" borderId="0" xfId="0" applyNumberFormat="1" applyFill="1"/>
    <xf numFmtId="0" fontId="28" fillId="14" borderId="0" xfId="0" applyFont="1" applyFill="1" applyAlignment="1">
      <alignment horizontal="left"/>
    </xf>
    <xf numFmtId="0" fontId="1" fillId="13" borderId="0" xfId="0" applyFont="1" applyFill="1" applyAlignment="1">
      <alignment vertical="center" wrapText="1"/>
    </xf>
    <xf numFmtId="1" fontId="16" fillId="7" borderId="14" xfId="2" applyFont="1" applyBorder="1" applyAlignment="1">
      <alignment horizontal="center" vertical="center"/>
    </xf>
    <xf numFmtId="1" fontId="16" fillId="7" borderId="6" xfId="2" applyFont="1" applyBorder="1" applyAlignment="1">
      <alignment horizontal="center" vertical="center"/>
    </xf>
    <xf numFmtId="0" fontId="0" fillId="0" borderId="0" xfId="0"/>
    <xf numFmtId="0" fontId="22" fillId="2" borderId="0" xfId="0" applyFont="1" applyFill="1" applyAlignment="1">
      <alignment horizontal="center" vertical="center" wrapText="1"/>
    </xf>
    <xf numFmtId="0" fontId="22" fillId="6" borderId="0" xfId="0" applyFont="1" applyFill="1" applyAlignment="1">
      <alignment horizontal="center" vertical="center" wrapText="1"/>
    </xf>
    <xf numFmtId="0" fontId="13" fillId="0" borderId="26" xfId="9" applyNumberFormat="1" applyFont="1" applyFill="1" applyBorder="1" applyAlignment="1" applyProtection="1">
      <alignment horizontal="left" vertical="top"/>
    </xf>
    <xf numFmtId="0" fontId="13" fillId="0" borderId="31" xfId="9" applyNumberFormat="1" applyFont="1" applyFill="1" applyBorder="1" applyAlignment="1" applyProtection="1">
      <alignment horizontal="center" vertical="top"/>
    </xf>
    <xf numFmtId="0" fontId="13" fillId="0" borderId="31" xfId="9" applyNumberFormat="1" applyFont="1" applyFill="1" applyBorder="1" applyAlignment="1" applyProtection="1">
      <alignment horizontal="left" vertical="top" indent="3"/>
    </xf>
    <xf numFmtId="0" fontId="13" fillId="0" borderId="31" xfId="9" applyNumberFormat="1" applyFont="1" applyFill="1" applyBorder="1" applyAlignment="1" applyProtection="1">
      <alignment horizontal="right" vertical="top"/>
    </xf>
    <xf numFmtId="0" fontId="13" fillId="0" borderId="32" xfId="9" applyNumberFormat="1" applyFont="1" applyFill="1" applyBorder="1" applyAlignment="1" applyProtection="1">
      <alignment horizontal="left" vertical="top"/>
    </xf>
    <xf numFmtId="0" fontId="13" fillId="0" borderId="33" xfId="9" applyNumberFormat="1" applyFont="1" applyFill="1" applyBorder="1" applyAlignment="1" applyProtection="1">
      <alignment horizontal="left"/>
    </xf>
    <xf numFmtId="0" fontId="13" fillId="0" borderId="26" xfId="9" applyNumberFormat="1" applyFont="1" applyFill="1" applyBorder="1" applyAlignment="1" applyProtection="1">
      <alignment horizontal="left"/>
    </xf>
    <xf numFmtId="0" fontId="13" fillId="0" borderId="31" xfId="9" applyNumberFormat="1" applyFont="1" applyFill="1" applyBorder="1" applyAlignment="1" applyProtection="1">
      <alignment horizontal="left" vertical="top" indent="4"/>
    </xf>
    <xf numFmtId="11" fontId="13" fillId="0" borderId="24" xfId="9" applyNumberFormat="1" applyFont="1" applyFill="1" applyBorder="1" applyAlignment="1" applyProtection="1">
      <alignment horizontal="center"/>
    </xf>
    <xf numFmtId="11" fontId="13" fillId="0" borderId="24" xfId="9" applyNumberFormat="1" applyFont="1" applyFill="1" applyBorder="1" applyAlignment="1" applyProtection="1">
      <alignment horizontal="justify"/>
    </xf>
    <xf numFmtId="11" fontId="13" fillId="0" borderId="31" xfId="9" applyNumberFormat="1" applyFont="1" applyFill="1" applyBorder="1" applyAlignment="1" applyProtection="1">
      <alignment horizontal="center" vertical="top"/>
    </xf>
    <xf numFmtId="11" fontId="13" fillId="0" borderId="31" xfId="9" applyNumberFormat="1" applyFont="1" applyFill="1" applyBorder="1" applyAlignment="1" applyProtection="1">
      <alignment horizontal="justify" vertical="top"/>
    </xf>
    <xf numFmtId="11" fontId="13" fillId="0" borderId="31" xfId="9" applyNumberFormat="1" applyFont="1" applyFill="1" applyBorder="1" applyAlignment="1" applyProtection="1">
      <alignment horizontal="center"/>
    </xf>
    <xf numFmtId="11" fontId="13" fillId="0" borderId="31" xfId="9" applyNumberFormat="1" applyFont="1" applyFill="1" applyBorder="1" applyAlignment="1" applyProtection="1">
      <alignment horizontal="justify"/>
    </xf>
    <xf numFmtId="11" fontId="13" fillId="0" borderId="10" xfId="9" applyNumberFormat="1" applyFont="1" applyFill="1" applyBorder="1" applyAlignment="1" applyProtection="1">
      <alignment horizontal="center" vertical="top"/>
    </xf>
    <xf numFmtId="11" fontId="13" fillId="0" borderId="10" xfId="9" applyNumberFormat="1" applyFont="1" applyFill="1" applyBorder="1" applyAlignment="1" applyProtection="1">
      <alignment horizontal="justify" vertical="top"/>
    </xf>
    <xf numFmtId="0" fontId="13" fillId="0" borderId="31" xfId="10" applyNumberFormat="1" applyFont="1" applyFill="1" applyBorder="1" applyAlignment="1" applyProtection="1">
      <alignment horizontal="left" vertical="top"/>
    </xf>
    <xf numFmtId="0" fontId="13" fillId="0" borderId="31" xfId="10" applyNumberFormat="1" applyFont="1" applyFill="1" applyBorder="1" applyAlignment="1" applyProtection="1">
      <alignment horizontal="justify" vertical="top"/>
    </xf>
    <xf numFmtId="0" fontId="13" fillId="0" borderId="31" xfId="10" applyNumberFormat="1" applyFont="1" applyFill="1" applyBorder="1" applyAlignment="1" applyProtection="1">
      <alignment horizontal="left" vertical="top" indent="3"/>
    </xf>
    <xf numFmtId="0" fontId="13" fillId="0" borderId="31" xfId="10" applyNumberFormat="1" applyFont="1" applyFill="1" applyBorder="1" applyAlignment="1" applyProtection="1">
      <alignment horizontal="right" vertical="top"/>
    </xf>
    <xf numFmtId="0" fontId="13" fillId="0" borderId="10" xfId="10" applyNumberFormat="1" applyFont="1" applyFill="1" applyBorder="1" applyAlignment="1" applyProtection="1">
      <alignment horizontal="left" vertical="top"/>
    </xf>
    <xf numFmtId="0" fontId="13" fillId="0" borderId="24" xfId="10" applyNumberFormat="1" applyFont="1" applyFill="1" applyBorder="1" applyAlignment="1" applyProtection="1">
      <alignment horizontal="left"/>
    </xf>
    <xf numFmtId="0" fontId="13" fillId="0" borderId="31" xfId="10" applyNumberFormat="1" applyFont="1" applyFill="1" applyBorder="1" applyAlignment="1" applyProtection="1">
      <alignment horizontal="left"/>
    </xf>
    <xf numFmtId="0" fontId="13" fillId="0" borderId="31" xfId="10" applyNumberFormat="1" applyFont="1" applyFill="1" applyBorder="1" applyAlignment="1" applyProtection="1">
      <alignment horizontal="left" vertical="top" indent="4"/>
    </xf>
    <xf numFmtId="11" fontId="13" fillId="0" borderId="24" xfId="10" applyNumberFormat="1" applyFont="1" applyFill="1" applyBorder="1" applyAlignment="1" applyProtection="1">
      <alignment horizontal="justify"/>
    </xf>
    <xf numFmtId="11" fontId="13" fillId="0" borderId="24" xfId="10" applyNumberFormat="1" applyFont="1" applyFill="1" applyBorder="1" applyAlignment="1" applyProtection="1">
      <alignment horizontal="left"/>
    </xf>
    <xf numFmtId="11" fontId="13" fillId="0" borderId="31" xfId="10" applyNumberFormat="1" applyFont="1" applyFill="1" applyBorder="1" applyAlignment="1" applyProtection="1">
      <alignment horizontal="justify" vertical="top"/>
    </xf>
    <xf numFmtId="11" fontId="13" fillId="0" borderId="31" xfId="10" applyNumberFormat="1" applyFont="1" applyFill="1" applyBorder="1" applyAlignment="1" applyProtection="1">
      <alignment horizontal="left" vertical="top"/>
    </xf>
    <xf numFmtId="11" fontId="13" fillId="0" borderId="31" xfId="10" applyNumberFormat="1" applyFont="1" applyFill="1" applyBorder="1" applyAlignment="1" applyProtection="1">
      <alignment horizontal="justify"/>
    </xf>
    <xf numFmtId="11" fontId="13" fillId="0" borderId="31" xfId="10" applyNumberFormat="1" applyFont="1" applyFill="1" applyBorder="1" applyAlignment="1" applyProtection="1">
      <alignment horizontal="left"/>
    </xf>
    <xf numFmtId="11" fontId="13" fillId="0" borderId="10" xfId="10" applyNumberFormat="1" applyFont="1" applyFill="1" applyBorder="1" applyAlignment="1" applyProtection="1">
      <alignment horizontal="justify" vertical="top"/>
    </xf>
    <xf numFmtId="11" fontId="13" fillId="0" borderId="10" xfId="10" applyNumberFormat="1" applyFont="1" applyFill="1" applyBorder="1" applyAlignment="1" applyProtection="1">
      <alignment horizontal="left" vertical="top"/>
    </xf>
  </cellXfs>
  <cellStyles count="11">
    <cellStyle name="Ввод" xfId="6" xr:uid="{A9A7DDE3-643E-4013-945F-2DCD94967680}"/>
    <cellStyle name="Ввод_Данные" xfId="8" xr:uid="{960221D4-7DEA-4526-97E1-BCE2A0247B24}"/>
    <cellStyle name="Выделение" xfId="5" xr:uid="{37775524-F980-4450-AF6C-9C309192D59A}"/>
    <cellStyle name="Данные" xfId="7" xr:uid="{EEF62ACF-781B-41BC-8B45-3A8C42DFFB61}"/>
    <cellStyle name="Заглавие" xfId="1" xr:uid="{4208A270-18DD-410E-8837-B08A76518C4A}"/>
    <cellStyle name="Заголовок" xfId="2" xr:uid="{9303C5E4-F101-4E3B-B5E9-8F618981352D}"/>
    <cellStyle name="Заголовок2" xfId="3" xr:uid="{DC978976-E92D-4926-BFE4-AB0167FB91D0}"/>
    <cellStyle name="Обычный" xfId="0" builtinId="0"/>
    <cellStyle name="Обычный_dall" xfId="10" xr:uid="{6AF2E210-41FF-40FD-8DBA-CD508B0FBE30}"/>
    <cellStyle name="Обычный_dsolid" xfId="9" xr:uid="{2231EF88-8E0F-4B3B-B3BC-002D2140C5AF}"/>
    <cellStyle name="Форм" xfId="4" xr:uid="{810E17FE-2F7B-4E62-B173-29B9F2A26C86}"/>
  </cellStyles>
  <dxfs count="16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801.8</c:v>
                </c:pt>
                <c:pt idx="24">
                  <c:v>867.8</c:v>
                </c:pt>
                <c:pt idx="25">
                  <c:v>884.4</c:v>
                </c:pt>
                <c:pt idx="26">
                  <c:v>900.9</c:v>
                </c:pt>
                <c:pt idx="27">
                  <c:v>917.4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-196.11949098150004</c:v>
                </c:pt>
                <c:pt idx="1">
                  <c:v>-198.397467205</c:v>
                </c:pt>
                <c:pt idx="2">
                  <c:v>-200.78663878000003</c:v>
                </c:pt>
                <c:pt idx="3">
                  <c:v>-203.46759387499998</c:v>
                </c:pt>
                <c:pt idx="4">
                  <c:v>-206.58539279999999</c:v>
                </c:pt>
                <c:pt idx="5">
                  <c:v>-221.89000602720003</c:v>
                </c:pt>
                <c:pt idx="6">
                  <c:v>-226.18992120690001</c:v>
                </c:pt>
                <c:pt idx="7">
                  <c:v>-230.66250942825005</c:v>
                </c:pt>
                <c:pt idx="8">
                  <c:v>-235.45992992135001</c:v>
                </c:pt>
                <c:pt idx="9">
                  <c:v>-240.56048849280003</c:v>
                </c:pt>
                <c:pt idx="10">
                  <c:v>-246.24508525925</c:v>
                </c:pt>
                <c:pt idx="11">
                  <c:v>-252.60719127540003</c:v>
                </c:pt>
                <c:pt idx="12">
                  <c:v>-259.6765926832</c:v>
                </c:pt>
                <c:pt idx="13">
                  <c:v>-267.28903764375002</c:v>
                </c:pt>
                <c:pt idx="14">
                  <c:v>-275.34064839700005</c:v>
                </c:pt>
                <c:pt idx="15">
                  <c:v>-283.77049268399998</c:v>
                </c:pt>
                <c:pt idx="16">
                  <c:v>-292.5389726985</c:v>
                </c:pt>
                <c:pt idx="17">
                  <c:v>-301.40925545099998</c:v>
                </c:pt>
                <c:pt idx="18">
                  <c:v>-310.61590046955001</c:v>
                </c:pt>
                <c:pt idx="19">
                  <c:v>-319.81605685229999</c:v>
                </c:pt>
                <c:pt idx="20">
                  <c:v>-329.17872096900004</c:v>
                </c:pt>
                <c:pt idx="21">
                  <c:v>-338.64572707200006</c:v>
                </c:pt>
                <c:pt idx="22">
                  <c:v>-377.72133089495003</c:v>
                </c:pt>
                <c:pt idx="23">
                  <c:v>-418.59590760770004</c:v>
                </c:pt>
                <c:pt idx="24">
                  <c:v>-463.07222123490004</c:v>
                </c:pt>
                <c:pt idx="25">
                  <c:v>-474.98924276100007</c:v>
                </c:pt>
                <c:pt idx="26">
                  <c:v>-487.07690526495003</c:v>
                </c:pt>
                <c:pt idx="27">
                  <c:v>-499.3361274990001</c:v>
                </c:pt>
                <c:pt idx="28">
                  <c:v>-511.75167231044998</c:v>
                </c:pt>
                <c:pt idx="29">
                  <c:v>-524.15688219840001</c:v>
                </c:pt>
                <c:pt idx="30">
                  <c:v>-536.89519340549998</c:v>
                </c:pt>
                <c:pt idx="31">
                  <c:v>-549.71426362825002</c:v>
                </c:pt>
                <c:pt idx="32">
                  <c:v>-562.48701100000005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9501956807763544E-2"/>
          <c:w val="0.90709538866538997"/>
          <c:h val="0.8012453667849937"/>
        </c:manualLayout>
      </c:layout>
      <c:scatterChart>
        <c:scatterStyle val="lineMarker"/>
        <c:varyColors val="0"/>
        <c:ser>
          <c:idx val="2"/>
          <c:order val="2"/>
          <c:tx>
            <c:strRef>
              <c:f>ALL!$E$6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</c:numRef>
          </c:xVal>
          <c:yVal>
            <c:numRef>
              <c:f>ALL!$F$6:$BR$6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CC3-45FD-9794-5F85E67C1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ALL!$F$4:$BR$4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1.2332000000000001E-32</c:v>
                      </c:pt>
                      <c:pt idx="2">
                        <c:v>2.6809000000000002E-23</c:v>
                      </c:pt>
                      <c:pt idx="3">
                        <c:v>1.3057000000000001E-19</c:v>
                      </c:pt>
                      <c:pt idx="4">
                        <c:v>4.9528000000000003E-18</c:v>
                      </c:pt>
                      <c:pt idx="5">
                        <c:v>6.4772999999999998E-16</c:v>
                      </c:pt>
                      <c:pt idx="6">
                        <c:v>5.5125000000000003E-15</c:v>
                      </c:pt>
                      <c:pt idx="7">
                        <c:v>2.107E-13</c:v>
                      </c:pt>
                      <c:pt idx="8">
                        <c:v>3.3470000000000002E-11</c:v>
                      </c:pt>
                      <c:pt idx="9">
                        <c:v>1.7606999999999999E-9</c:v>
                      </c:pt>
                      <c:pt idx="10">
                        <c:v>5.4517000000000001E-9</c:v>
                      </c:pt>
                      <c:pt idx="11">
                        <c:v>8.0913000000000008E-9</c:v>
                      </c:pt>
                      <c:pt idx="12">
                        <c:v>1.0287999999999999E-8</c:v>
                      </c:pt>
                      <c:pt idx="13">
                        <c:v>1.6545E-8</c:v>
                      </c:pt>
                      <c:pt idx="14">
                        <c:v>1.8688000000000002E-8</c:v>
                      </c:pt>
                      <c:pt idx="15">
                        <c:v>1.6283000000000001E-8</c:v>
                      </c:pt>
                      <c:pt idx="16">
                        <c:v>1.2261999999999999E-8</c:v>
                      </c:pt>
                      <c:pt idx="17">
                        <c:v>1.5364999999999999E-8</c:v>
                      </c:pt>
                      <c:pt idx="18">
                        <c:v>1.7704000000000001E-8</c:v>
                      </c:pt>
                      <c:pt idx="19">
                        <c:v>1.8891E-8</c:v>
                      </c:pt>
                      <c:pt idx="20">
                        <c:v>1.9265000000000001E-8</c:v>
                      </c:pt>
                      <c:pt idx="21">
                        <c:v>1.9264E-8</c:v>
                      </c:pt>
                      <c:pt idx="22">
                        <c:v>1.9528000000000001E-8</c:v>
                      </c:pt>
                      <c:pt idx="23">
                        <c:v>1.4852E-8</c:v>
                      </c:pt>
                      <c:pt idx="24">
                        <c:v>1.8445999999999999E-8</c:v>
                      </c:pt>
                      <c:pt idx="25">
                        <c:v>2.4019000000000002E-8</c:v>
                      </c:pt>
                      <c:pt idx="26">
                        <c:v>2.8652999999999999E-8</c:v>
                      </c:pt>
                      <c:pt idx="27">
                        <c:v>1.9151999999999998E-8</c:v>
                      </c:pt>
                      <c:pt idx="28">
                        <c:v>2.0821999999999999E-8</c:v>
                      </c:pt>
                      <c:pt idx="29">
                        <c:v>2.2121E-8</c:v>
                      </c:pt>
                      <c:pt idx="30">
                        <c:v>2.3125E-8</c:v>
                      </c:pt>
                      <c:pt idx="31">
                        <c:v>2.3739999999999999E-8</c:v>
                      </c:pt>
                      <c:pt idx="32">
                        <c:v>2.4061E-8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CC3-45FD-9794-5F85E67C14B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5.0425999999999999E-11</c:v>
                      </c:pt>
                      <c:pt idx="1">
                        <c:v>3.5906999999999998E-10</c:v>
                      </c:pt>
                      <c:pt idx="2">
                        <c:v>4.9991000000000002E-9</c:v>
                      </c:pt>
                      <c:pt idx="3">
                        <c:v>1.1377E-8</c:v>
                      </c:pt>
                      <c:pt idx="4">
                        <c:v>1.5484000000000002E-8</c:v>
                      </c:pt>
                      <c:pt idx="5">
                        <c:v>2.6606E-8</c:v>
                      </c:pt>
                      <c:pt idx="6">
                        <c:v>2.3353000000000001E-8</c:v>
                      </c:pt>
                      <c:pt idx="7">
                        <c:v>1.5670999999999999E-8</c:v>
                      </c:pt>
                      <c:pt idx="8">
                        <c:v>7.0690999999999999E-9</c:v>
                      </c:pt>
                      <c:pt idx="9">
                        <c:v>4.8526000000000004E-10</c:v>
                      </c:pt>
                      <c:pt idx="10">
                        <c:v>2.4603000000000001E-13</c:v>
                      </c:pt>
                      <c:pt idx="11">
                        <c:v>1.3894000000000001E-18</c:v>
                      </c:pt>
                      <c:pt idx="12">
                        <c:v>2.2517000000000001E-25</c:v>
                      </c:pt>
                      <c:pt idx="13">
                        <c:v>1.5275000000000001E-32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CC3-45FD-9794-5F85E67C14B3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(DGeSe2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0.11772000000000001</c:v>
                      </c:pt>
                      <c:pt idx="1">
                        <c:v>0.11226</c:v>
                      </c:pt>
                      <c:pt idx="2">
                        <c:v>9.8857E-2</c:v>
                      </c:pt>
                      <c:pt idx="3">
                        <c:v>7.5493000000000005E-2</c:v>
                      </c:pt>
                      <c:pt idx="4">
                        <c:v>4.7884000000000003E-2</c:v>
                      </c:pt>
                      <c:pt idx="5">
                        <c:v>2.8065E-3</c:v>
                      </c:pt>
                      <c:pt idx="6">
                        <c:v>1.3795999999999999E-3</c:v>
                      </c:pt>
                      <c:pt idx="7">
                        <c:v>7.0160999999999997E-4</c:v>
                      </c:pt>
                      <c:pt idx="8">
                        <c:v>3.6528999999999999E-4</c:v>
                      </c:pt>
                      <c:pt idx="9">
                        <c:v>1.8887E-4</c:v>
                      </c:pt>
                      <c:pt idx="10">
                        <c:v>9.2763999999999995E-5</c:v>
                      </c:pt>
                      <c:pt idx="11">
                        <c:v>4.1637999999999997E-5</c:v>
                      </c:pt>
                      <c:pt idx="12">
                        <c:v>1.6872999999999999E-5</c:v>
                      </c:pt>
                      <c:pt idx="13">
                        <c:v>6.2983000000000003E-6</c:v>
                      </c:pt>
                      <c:pt idx="14">
                        <c:v>2.2473999999999999E-6</c:v>
                      </c:pt>
                      <c:pt idx="15">
                        <c:v>7.9329999999999999E-7</c:v>
                      </c:pt>
                      <c:pt idx="16">
                        <c:v>2.8335000000000001E-7</c:v>
                      </c:pt>
                      <c:pt idx="17">
                        <c:v>1.0365E-7</c:v>
                      </c:pt>
                      <c:pt idx="18">
                        <c:v>3.9033999999999997E-8</c:v>
                      </c:pt>
                      <c:pt idx="19">
                        <c:v>1.5157000000000001E-8</c:v>
                      </c:pt>
                      <c:pt idx="20">
                        <c:v>6.0667000000000002E-9</c:v>
                      </c:pt>
                      <c:pt idx="21">
                        <c:v>2.5005999999999998E-9</c:v>
                      </c:pt>
                      <c:pt idx="22">
                        <c:v>9.4172000000000001E-11</c:v>
                      </c:pt>
                      <c:pt idx="23">
                        <c:v>5.1854000000000001E-12</c:v>
                      </c:pt>
                      <c:pt idx="24">
                        <c:v>4.0165999999999998E-13</c:v>
                      </c:pt>
                      <c:pt idx="25">
                        <c:v>2.1891E-13</c:v>
                      </c:pt>
                      <c:pt idx="26">
                        <c:v>1.2035000000000001E-13</c:v>
                      </c:pt>
                      <c:pt idx="27">
                        <c:v>6.6755999999999998E-14</c:v>
                      </c:pt>
                      <c:pt idx="28">
                        <c:v>3.7386E-14</c:v>
                      </c:pt>
                      <c:pt idx="29">
                        <c:v>2.1146000000000001E-14</c:v>
                      </c:pt>
                      <c:pt idx="30">
                        <c:v>1.2082E-14</c:v>
                      </c:pt>
                      <c:pt idx="31">
                        <c:v>6.9717000000000001E-15</c:v>
                      </c:pt>
                      <c:pt idx="32">
                        <c:v>4.0621999999999996E-15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CC3-45FD-9794-5F85E67C14B3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  <c:pt idx="0">
                        <c:v>(DGeSe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0.12228</c:v>
                      </c:pt>
                      <c:pt idx="1">
                        <c:v>0.12773999999999999</c:v>
                      </c:pt>
                      <c:pt idx="2">
                        <c:v>0.14113999999999999</c:v>
                      </c:pt>
                      <c:pt idx="3">
                        <c:v>0.16450000000000001</c:v>
                      </c:pt>
                      <c:pt idx="4">
                        <c:v>0.19209000000000001</c:v>
                      </c:pt>
                      <c:pt idx="5">
                        <c:v>0.23471</c:v>
                      </c:pt>
                      <c:pt idx="6">
                        <c:v>0.23205000000000001</c:v>
                      </c:pt>
                      <c:pt idx="7">
                        <c:v>0.22372</c:v>
                      </c:pt>
                      <c:pt idx="8">
                        <c:v>0.20701</c:v>
                      </c:pt>
                      <c:pt idx="9">
                        <c:v>0.18007999999999999</c:v>
                      </c:pt>
                      <c:pt idx="10">
                        <c:v>0.14408000000000001</c:v>
                      </c:pt>
                      <c:pt idx="11">
                        <c:v>0.10426000000000001</c:v>
                      </c:pt>
                      <c:pt idx="12">
                        <c:v>6.8220000000000003E-2</c:v>
                      </c:pt>
                      <c:pt idx="13">
                        <c:v>4.1203999999999998E-2</c:v>
                      </c:pt>
                      <c:pt idx="14">
                        <c:v>2.3717999999999999E-2</c:v>
                      </c:pt>
                      <c:pt idx="15">
                        <c:v>1.3390000000000001E-2</c:v>
                      </c:pt>
                      <c:pt idx="16">
                        <c:v>7.5570000000000003E-3</c:v>
                      </c:pt>
                      <c:pt idx="17">
                        <c:v>4.3089000000000001E-3</c:v>
                      </c:pt>
                      <c:pt idx="18">
                        <c:v>2.4943999999999999E-3</c:v>
                      </c:pt>
                      <c:pt idx="19">
                        <c:v>1.4687999999999999E-3</c:v>
                      </c:pt>
                      <c:pt idx="20">
                        <c:v>8.8009999999999998E-4</c:v>
                      </c:pt>
                      <c:pt idx="21">
                        <c:v>5.3644000000000001E-4</c:v>
                      </c:pt>
                      <c:pt idx="22">
                        <c:v>8.6570000000000006E-5</c:v>
                      </c:pt>
                      <c:pt idx="23">
                        <c:v>1.7442E-5</c:v>
                      </c:pt>
                      <c:pt idx="24">
                        <c:v>4.2738999999999999E-6</c:v>
                      </c:pt>
                      <c:pt idx="25">
                        <c:v>3.0663000000000002E-6</c:v>
                      </c:pt>
                      <c:pt idx="26">
                        <c:v>2.2118999999999999E-6</c:v>
                      </c:pt>
                      <c:pt idx="27">
                        <c:v>1.6046000000000001E-6</c:v>
                      </c:pt>
                      <c:pt idx="28">
                        <c:v>1.1708000000000001E-6</c:v>
                      </c:pt>
                      <c:pt idx="29">
                        <c:v>8.5937E-7</c:v>
                      </c:pt>
                      <c:pt idx="30">
                        <c:v>6.3453999999999996E-7</c:v>
                      </c:pt>
                      <c:pt idx="31">
                        <c:v>4.7128999999999998E-7</c:v>
                      </c:pt>
                      <c:pt idx="32">
                        <c:v>3.5203000000000001E-7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DCC3-45FD-9794-5F85E67C14B3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(DGa2Sej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3.9999E-2</c:v>
                      </c:pt>
                      <c:pt idx="1">
                        <c:v>3.9996999999999998E-2</c:v>
                      </c:pt>
                      <c:pt idx="2">
                        <c:v>3.9995000000000003E-2</c:v>
                      </c:pt>
                      <c:pt idx="3">
                        <c:v>3.9989999999999998E-2</c:v>
                      </c:pt>
                      <c:pt idx="4">
                        <c:v>3.9978E-2</c:v>
                      </c:pt>
                      <c:pt idx="5">
                        <c:v>3.9584000000000001E-2</c:v>
                      </c:pt>
                      <c:pt idx="6">
                        <c:v>3.9222E-2</c:v>
                      </c:pt>
                      <c:pt idx="7">
                        <c:v>3.8613000000000001E-2</c:v>
                      </c:pt>
                      <c:pt idx="8">
                        <c:v>3.7638999999999999E-2</c:v>
                      </c:pt>
                      <c:pt idx="9">
                        <c:v>3.6138999999999998E-2</c:v>
                      </c:pt>
                      <c:pt idx="10">
                        <c:v>3.3898999999999999E-2</c:v>
                      </c:pt>
                      <c:pt idx="11">
                        <c:v>3.0683999999999999E-2</c:v>
                      </c:pt>
                      <c:pt idx="12">
                        <c:v>2.6362E-2</c:v>
                      </c:pt>
                      <c:pt idx="13">
                        <c:v>2.1083000000000001E-2</c:v>
                      </c:pt>
                      <c:pt idx="14">
                        <c:v>1.5407000000000001E-2</c:v>
                      </c:pt>
                      <c:pt idx="15">
                        <c:v>1.0189E-2</c:v>
                      </c:pt>
                      <c:pt idx="16">
                        <c:v>6.1503E-3</c:v>
                      </c:pt>
                      <c:pt idx="17">
                        <c:v>3.4772000000000002E-3</c:v>
                      </c:pt>
                      <c:pt idx="18">
                        <c:v>1.8994999999999999E-3</c:v>
                      </c:pt>
                      <c:pt idx="19">
                        <c:v>1.0275E-3</c:v>
                      </c:pt>
                      <c:pt idx="20">
                        <c:v>5.5864E-4</c:v>
                      </c:pt>
                      <c:pt idx="21">
                        <c:v>3.0761999999999999E-4</c:v>
                      </c:pt>
                      <c:pt idx="22">
                        <c:v>3.2917999999999999E-5</c:v>
                      </c:pt>
                      <c:pt idx="23">
                        <c:v>3.388E-6</c:v>
                      </c:pt>
                      <c:pt idx="24">
                        <c:v>8.3001000000000003E-8</c:v>
                      </c:pt>
                      <c:pt idx="25">
                        <c:v>2.3695000000000001E-8</c:v>
                      </c:pt>
                      <c:pt idx="26">
                        <c:v>6.2944999999999997E-9</c:v>
                      </c:pt>
                      <c:pt idx="27">
                        <c:v>1.6136999999999999E-9</c:v>
                      </c:pt>
                      <c:pt idx="28">
                        <c:v>4.1002E-10</c:v>
                      </c:pt>
                      <c:pt idx="29">
                        <c:v>1.0503E-10</c:v>
                      </c:pt>
                      <c:pt idx="30">
                        <c:v>2.7389999999999999E-11</c:v>
                      </c:pt>
                      <c:pt idx="31">
                        <c:v>7.3112999999999994E-12</c:v>
                      </c:pt>
                      <c:pt idx="32">
                        <c:v>2.0026E-12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CC3-45FD-9794-5F85E67C14B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(DGaSe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DCC3-45FD-9794-5F85E67C14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2.7043000000000001E-6</c:v>
                      </c:pt>
                      <c:pt idx="1">
                        <c:v>5.1414999999999998E-6</c:v>
                      </c:pt>
                      <c:pt idx="2">
                        <c:v>9.9526000000000002E-6</c:v>
                      </c:pt>
                      <c:pt idx="3">
                        <c:v>2.0440000000000001E-5</c:v>
                      </c:pt>
                      <c:pt idx="4">
                        <c:v>4.4202000000000001E-5</c:v>
                      </c:pt>
                      <c:pt idx="5">
                        <c:v>8.3197999999999996E-4</c:v>
                      </c:pt>
                      <c:pt idx="6">
                        <c:v>1.5556999999999999E-3</c:v>
                      </c:pt>
                      <c:pt idx="7">
                        <c:v>2.7734000000000001E-3</c:v>
                      </c:pt>
                      <c:pt idx="8">
                        <c:v>4.7219999999999996E-3</c:v>
                      </c:pt>
                      <c:pt idx="9">
                        <c:v>7.7216999999999997E-3</c:v>
                      </c:pt>
                      <c:pt idx="10">
                        <c:v>1.2201999999999999E-2</c:v>
                      </c:pt>
                      <c:pt idx="11">
                        <c:v>1.8631999999999999E-2</c:v>
                      </c:pt>
                      <c:pt idx="12">
                        <c:v>2.7276999999999999E-2</c:v>
                      </c:pt>
                      <c:pt idx="13">
                        <c:v>3.7834E-2</c:v>
                      </c:pt>
                      <c:pt idx="14">
                        <c:v>4.9186000000000001E-2</c:v>
                      </c:pt>
                      <c:pt idx="15">
                        <c:v>5.9621E-2</c:v>
                      </c:pt>
                      <c:pt idx="16">
                        <c:v>6.7698999999999995E-2</c:v>
                      </c:pt>
                      <c:pt idx="17">
                        <c:v>7.3044999999999999E-2</c:v>
                      </c:pt>
                      <c:pt idx="18">
                        <c:v>7.6199000000000003E-2</c:v>
                      </c:pt>
                      <c:pt idx="19">
                        <c:v>7.7939999999999995E-2</c:v>
                      </c:pt>
                      <c:pt idx="20">
                        <c:v>7.8869999999999996E-2</c:v>
                      </c:pt>
                      <c:pt idx="21">
                        <c:v>7.9353000000000007E-2</c:v>
                      </c:pt>
                      <c:pt idx="22">
                        <c:v>7.9082E-2</c:v>
                      </c:pt>
                      <c:pt idx="23">
                        <c:v>6.7571999999999993E-2</c:v>
                      </c:pt>
                      <c:pt idx="24">
                        <c:v>2.5463E-2</c:v>
                      </c:pt>
                      <c:pt idx="25">
                        <c:v>1.6709000000000002E-2</c:v>
                      </c:pt>
                      <c:pt idx="26">
                        <c:v>1.0519000000000001E-2</c:v>
                      </c:pt>
                      <c:pt idx="27">
                        <c:v>6.4719E-3</c:v>
                      </c:pt>
                      <c:pt idx="28">
                        <c:v>3.9449999999999997E-3</c:v>
                      </c:pt>
                      <c:pt idx="29">
                        <c:v>2.4034999999999998E-3</c:v>
                      </c:pt>
                      <c:pt idx="30">
                        <c:v>1.4714000000000001E-3</c:v>
                      </c:pt>
                      <c:pt idx="31">
                        <c:v>9.0764999999999997E-4</c:v>
                      </c:pt>
                      <c:pt idx="32">
                        <c:v>5.6503E-4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CC3-45FD-9794-5F85E67C14B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(DGe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4.5573999999999998E-7</c:v>
                      </c:pt>
                      <c:pt idx="1">
                        <c:v>9.7942000000000002E-7</c:v>
                      </c:pt>
                      <c:pt idx="2">
                        <c:v>2.3769999999999999E-6</c:v>
                      </c:pt>
                      <c:pt idx="3">
                        <c:v>6.9770000000000003E-6</c:v>
                      </c:pt>
                      <c:pt idx="4">
                        <c:v>2.3535000000000001E-5</c:v>
                      </c:pt>
                      <c:pt idx="5">
                        <c:v>2.4867999999999999E-3</c:v>
                      </c:pt>
                      <c:pt idx="6">
                        <c:v>6.5661000000000001E-3</c:v>
                      </c:pt>
                      <c:pt idx="7">
                        <c:v>1.5582E-2</c:v>
                      </c:pt>
                      <c:pt idx="8">
                        <c:v>3.2625000000000001E-2</c:v>
                      </c:pt>
                      <c:pt idx="9">
                        <c:v>5.9728000000000003E-2</c:v>
                      </c:pt>
                      <c:pt idx="10">
                        <c:v>9.5829999999999999E-2</c:v>
                      </c:pt>
                      <c:pt idx="11">
                        <c:v>0.13569999999999999</c:v>
                      </c:pt>
                      <c:pt idx="12">
                        <c:v>0.17176</c:v>
                      </c:pt>
                      <c:pt idx="13">
                        <c:v>0.19878999999999999</c:v>
                      </c:pt>
                      <c:pt idx="14">
                        <c:v>0.21628</c:v>
                      </c:pt>
                      <c:pt idx="15">
                        <c:v>0.22661000000000001</c:v>
                      </c:pt>
                      <c:pt idx="16">
                        <c:v>0.23244000000000001</c:v>
                      </c:pt>
                      <c:pt idx="17">
                        <c:v>0.23569000000000001</c:v>
                      </c:pt>
                      <c:pt idx="18">
                        <c:v>0.23751</c:v>
                      </c:pt>
                      <c:pt idx="19">
                        <c:v>0.23852999999999999</c:v>
                      </c:pt>
                      <c:pt idx="20">
                        <c:v>0.23912</c:v>
                      </c:pt>
                      <c:pt idx="21">
                        <c:v>0.23946000000000001</c:v>
                      </c:pt>
                      <c:pt idx="22">
                        <c:v>0.23991000000000001</c:v>
                      </c:pt>
                      <c:pt idx="23">
                        <c:v>0.23998</c:v>
                      </c:pt>
                      <c:pt idx="24">
                        <c:v>0.24</c:v>
                      </c:pt>
                      <c:pt idx="25">
                        <c:v>0.24</c:v>
                      </c:pt>
                      <c:pt idx="26">
                        <c:v>0.24</c:v>
                      </c:pt>
                      <c:pt idx="27">
                        <c:v>0.24</c:v>
                      </c:pt>
                      <c:pt idx="28">
                        <c:v>0.24</c:v>
                      </c:pt>
                      <c:pt idx="29">
                        <c:v>0.24</c:v>
                      </c:pt>
                      <c:pt idx="30">
                        <c:v>0.24</c:v>
                      </c:pt>
                      <c:pt idx="31">
                        <c:v>0.24</c:v>
                      </c:pt>
                      <c:pt idx="32">
                        <c:v>0.24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CC3-45FD-9794-5F85E67C14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(DGa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5.1747999999999996E-28</c:v>
                      </c:pt>
                      <c:pt idx="1">
                        <c:v>1.9352999999999999E-26</c:v>
                      </c:pt>
                      <c:pt idx="2">
                        <c:v>6.1775000000000004E-25</c:v>
                      </c:pt>
                      <c:pt idx="3">
                        <c:v>1.9541999999999999E-23</c:v>
                      </c:pt>
                      <c:pt idx="4">
                        <c:v>6.2668999999999996E-22</c:v>
                      </c:pt>
                      <c:pt idx="5">
                        <c:v>1.8846000000000001E-16</c:v>
                      </c:pt>
                      <c:pt idx="6">
                        <c:v>2.6924000000000001E-15</c:v>
                      </c:pt>
                      <c:pt idx="7">
                        <c:v>3.1248E-14</c:v>
                      </c:pt>
                      <c:pt idx="8">
                        <c:v>2.9683000000000001E-13</c:v>
                      </c:pt>
                      <c:pt idx="9">
                        <c:v>2.3656999999999999E-12</c:v>
                      </c:pt>
                      <c:pt idx="10">
                        <c:v>1.6410000000000001E-11</c:v>
                      </c:pt>
                      <c:pt idx="11">
                        <c:v>1.0201E-10</c:v>
                      </c:pt>
                      <c:pt idx="12">
                        <c:v>5.7400999999999996E-10</c:v>
                      </c:pt>
                      <c:pt idx="13">
                        <c:v>2.907E-9</c:v>
                      </c:pt>
                      <c:pt idx="14">
                        <c:v>1.3103E-8</c:v>
                      </c:pt>
                      <c:pt idx="15">
                        <c:v>5.222E-8</c:v>
                      </c:pt>
                      <c:pt idx="16">
                        <c:v>1.8493E-7</c:v>
                      </c:pt>
                      <c:pt idx="17">
                        <c:v>5.9134E-7</c:v>
                      </c:pt>
                      <c:pt idx="18">
                        <c:v>1.742E-6</c:v>
                      </c:pt>
                      <c:pt idx="19">
                        <c:v>4.809E-6</c:v>
                      </c:pt>
                      <c:pt idx="20">
                        <c:v>1.2591E-5</c:v>
                      </c:pt>
                      <c:pt idx="21">
                        <c:v>3.1511999999999999E-5</c:v>
                      </c:pt>
                      <c:pt idx="22">
                        <c:v>8.5201999999999999E-4</c:v>
                      </c:pt>
                      <c:pt idx="23">
                        <c:v>1.2422000000000001E-2</c:v>
                      </c:pt>
                      <c:pt idx="24">
                        <c:v>5.4536000000000001E-2</c:v>
                      </c:pt>
                      <c:pt idx="25">
                        <c:v>6.3291E-2</c:v>
                      </c:pt>
                      <c:pt idx="26">
                        <c:v>6.9481000000000001E-2</c:v>
                      </c:pt>
                      <c:pt idx="27">
                        <c:v>7.3527999999999996E-2</c:v>
                      </c:pt>
                      <c:pt idx="28">
                        <c:v>7.6054999999999998E-2</c:v>
                      </c:pt>
                      <c:pt idx="29">
                        <c:v>7.7595999999999998E-2</c:v>
                      </c:pt>
                      <c:pt idx="30">
                        <c:v>7.8529000000000002E-2</c:v>
                      </c:pt>
                      <c:pt idx="31">
                        <c:v>7.9091999999999996E-2</c:v>
                      </c:pt>
                      <c:pt idx="32">
                        <c:v>7.9435000000000006E-2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CC3-45FD-9794-5F85E67C14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6.2095000000000001E-10</c:v>
                      </c:pt>
                      <c:pt idx="1">
                        <c:v>1.9735999999999999E-9</c:v>
                      </c:pt>
                      <c:pt idx="2">
                        <c:v>4.9362000000000004E-9</c:v>
                      </c:pt>
                      <c:pt idx="3">
                        <c:v>9.3578999999999997E-9</c:v>
                      </c:pt>
                      <c:pt idx="4">
                        <c:v>1.3474E-8</c:v>
                      </c:pt>
                      <c:pt idx="5">
                        <c:v>1.2793000000000001E-8</c:v>
                      </c:pt>
                      <c:pt idx="6">
                        <c:v>1.15E-8</c:v>
                      </c:pt>
                      <c:pt idx="7">
                        <c:v>1.0627E-8</c:v>
                      </c:pt>
                      <c:pt idx="8">
                        <c:v>1.0274E-8</c:v>
                      </c:pt>
                      <c:pt idx="9">
                        <c:v>1.0363999999999999E-8</c:v>
                      </c:pt>
                      <c:pt idx="10">
                        <c:v>1.0645E-8</c:v>
                      </c:pt>
                      <c:pt idx="11">
                        <c:v>1.0786999999999999E-8</c:v>
                      </c:pt>
                      <c:pt idx="12">
                        <c:v>1.054E-8</c:v>
                      </c:pt>
                      <c:pt idx="13">
                        <c:v>9.8784999999999997E-9</c:v>
                      </c:pt>
                      <c:pt idx="14">
                        <c:v>8.9458000000000003E-9</c:v>
                      </c:pt>
                      <c:pt idx="15">
                        <c:v>7.9083000000000001E-9</c:v>
                      </c:pt>
                      <c:pt idx="16">
                        <c:v>6.8798999999999998E-9</c:v>
                      </c:pt>
                      <c:pt idx="17">
                        <c:v>5.9239999999999998E-9</c:v>
                      </c:pt>
                      <c:pt idx="18">
                        <c:v>5.0698E-9</c:v>
                      </c:pt>
                      <c:pt idx="19">
                        <c:v>4.3247999999999998E-9</c:v>
                      </c:pt>
                      <c:pt idx="20">
                        <c:v>3.6839000000000001E-9</c:v>
                      </c:pt>
                      <c:pt idx="21">
                        <c:v>3.1366000000000001E-9</c:v>
                      </c:pt>
                      <c:pt idx="22">
                        <c:v>1.6574999999999999E-9</c:v>
                      </c:pt>
                      <c:pt idx="23">
                        <c:v>9.0996000000000003E-10</c:v>
                      </c:pt>
                      <c:pt idx="24">
                        <c:v>5.4217E-10</c:v>
                      </c:pt>
                      <c:pt idx="25">
                        <c:v>4.7478999999999997E-10</c:v>
                      </c:pt>
                      <c:pt idx="26">
                        <c:v>4.1369999999999998E-10</c:v>
                      </c:pt>
                      <c:pt idx="27">
                        <c:v>3.5906E-10</c:v>
                      </c:pt>
                      <c:pt idx="28">
                        <c:v>3.1083999999999998E-10</c:v>
                      </c:pt>
                      <c:pt idx="29">
                        <c:v>2.6873000000000001E-10</c:v>
                      </c:pt>
                      <c:pt idx="30">
                        <c:v>2.3219E-10</c:v>
                      </c:pt>
                      <c:pt idx="31">
                        <c:v>2.0060000000000001E-10</c:v>
                      </c:pt>
                      <c:pt idx="32">
                        <c:v>1.7333999999999999E-10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CC3-45FD-9794-5F85E67C14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2.2807000000000001E-3</c:v>
                      </c:pt>
                      <c:pt idx="1">
                        <c:v>7.7456000000000001E-3</c:v>
                      </c:pt>
                      <c:pt idx="2">
                        <c:v>2.1149999999999999E-2</c:v>
                      </c:pt>
                      <c:pt idx="3">
                        <c:v>4.4524000000000001E-2</c:v>
                      </c:pt>
                      <c:pt idx="4">
                        <c:v>7.2162000000000004E-2</c:v>
                      </c:pt>
                      <c:pt idx="5">
                        <c:v>0.1201</c:v>
                      </c:pt>
                      <c:pt idx="6">
                        <c:v>0.12595999999999999</c:v>
                      </c:pt>
                      <c:pt idx="7">
                        <c:v>0.13627</c:v>
                      </c:pt>
                      <c:pt idx="8">
                        <c:v>0.15462000000000001</c:v>
                      </c:pt>
                      <c:pt idx="9">
                        <c:v>0.18340000000000001</c:v>
                      </c:pt>
                      <c:pt idx="10">
                        <c:v>0.22184000000000001</c:v>
                      </c:pt>
                      <c:pt idx="11">
                        <c:v>0.26496999999999998</c:v>
                      </c:pt>
                      <c:pt idx="12">
                        <c:v>0.30537999999999998</c:v>
                      </c:pt>
                      <c:pt idx="13">
                        <c:v>0.3377</c:v>
                      </c:pt>
                      <c:pt idx="14">
                        <c:v>0.36087000000000002</c:v>
                      </c:pt>
                      <c:pt idx="15">
                        <c:v>0.37641999999999998</c:v>
                      </c:pt>
                      <c:pt idx="16">
                        <c:v>0.38629000000000002</c:v>
                      </c:pt>
                      <c:pt idx="17">
                        <c:v>0.39221</c:v>
                      </c:pt>
                      <c:pt idx="18">
                        <c:v>0.39561000000000002</c:v>
                      </c:pt>
                      <c:pt idx="19">
                        <c:v>0.39750999999999997</c:v>
                      </c:pt>
                      <c:pt idx="20">
                        <c:v>0.39856999999999998</c:v>
                      </c:pt>
                      <c:pt idx="21">
                        <c:v>0.39918999999999999</c:v>
                      </c:pt>
                      <c:pt idx="22">
                        <c:v>0.40072999999999998</c:v>
                      </c:pt>
                      <c:pt idx="23">
                        <c:v>0.41239999999999999</c:v>
                      </c:pt>
                      <c:pt idx="24">
                        <c:v>0.45452999999999999</c:v>
                      </c:pt>
                      <c:pt idx="25">
                        <c:v>0.46328999999999998</c:v>
                      </c:pt>
                      <c:pt idx="26">
                        <c:v>0.46948000000000001</c:v>
                      </c:pt>
                      <c:pt idx="27">
                        <c:v>0.47353000000000001</c:v>
                      </c:pt>
                      <c:pt idx="28">
                        <c:v>0.47604999999999997</c:v>
                      </c:pt>
                      <c:pt idx="29">
                        <c:v>0.47760000000000002</c:v>
                      </c:pt>
                      <c:pt idx="30">
                        <c:v>0.47853000000000001</c:v>
                      </c:pt>
                      <c:pt idx="31">
                        <c:v>0.47909000000000002</c:v>
                      </c:pt>
                      <c:pt idx="32">
                        <c:v>0.47943000000000002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2.7022E-9</c:v>
                      </c:pt>
                      <c:pt idx="1">
                        <c:v>7.5784000000000002E-9</c:v>
                      </c:pt>
                      <c:pt idx="2">
                        <c:v>1.6939E-8</c:v>
                      </c:pt>
                      <c:pt idx="3">
                        <c:v>2.9011000000000001E-8</c:v>
                      </c:pt>
                      <c:pt idx="4">
                        <c:v>3.8093000000000002E-8</c:v>
                      </c:pt>
                      <c:pt idx="5">
                        <c:v>2.6884000000000001E-8</c:v>
                      </c:pt>
                      <c:pt idx="6">
                        <c:v>2.2758999999999999E-8</c:v>
                      </c:pt>
                      <c:pt idx="7">
                        <c:v>1.9893999999999999E-8</c:v>
                      </c:pt>
                      <c:pt idx="8">
                        <c:v>1.8266E-8</c:v>
                      </c:pt>
                      <c:pt idx="9">
                        <c:v>1.7561000000000001E-8</c:v>
                      </c:pt>
                      <c:pt idx="10">
                        <c:v>1.7249000000000001E-8</c:v>
                      </c:pt>
                      <c:pt idx="11">
                        <c:v>1.7409000000000001E-8</c:v>
                      </c:pt>
                      <c:pt idx="12">
                        <c:v>1.7155E-8</c:v>
                      </c:pt>
                      <c:pt idx="13">
                        <c:v>1.6222000000000001E-8</c:v>
                      </c:pt>
                      <c:pt idx="14">
                        <c:v>1.4826999999999999E-8</c:v>
                      </c:pt>
                      <c:pt idx="15">
                        <c:v>1.3233E-8</c:v>
                      </c:pt>
                      <c:pt idx="16">
                        <c:v>1.1625E-8</c:v>
                      </c:pt>
                      <c:pt idx="17">
                        <c:v>1.0109E-8</c:v>
                      </c:pt>
                      <c:pt idx="18">
                        <c:v>8.7381000000000007E-9</c:v>
                      </c:pt>
                      <c:pt idx="19">
                        <c:v>7.5290999999999996E-9</c:v>
                      </c:pt>
                      <c:pt idx="20">
                        <c:v>6.4780999999999998E-9</c:v>
                      </c:pt>
                      <c:pt idx="21">
                        <c:v>5.5714999999999996E-9</c:v>
                      </c:pt>
                      <c:pt idx="22">
                        <c:v>3.0642999999999999E-9</c:v>
                      </c:pt>
                      <c:pt idx="23">
                        <c:v>1.7491999999999999E-9</c:v>
                      </c:pt>
                      <c:pt idx="24">
                        <c:v>1.0823999999999999E-9</c:v>
                      </c:pt>
                      <c:pt idx="25">
                        <c:v>9.5671999999999998E-10</c:v>
                      </c:pt>
                      <c:pt idx="26">
                        <c:v>8.4134999999999999E-10</c:v>
                      </c:pt>
                      <c:pt idx="27">
                        <c:v>7.3694000000000004E-10</c:v>
                      </c:pt>
                      <c:pt idx="28">
                        <c:v>6.4383000000000004E-10</c:v>
                      </c:pt>
                      <c:pt idx="29">
                        <c:v>5.6167999999999997E-10</c:v>
                      </c:pt>
                      <c:pt idx="30">
                        <c:v>4.8969999999999997E-10</c:v>
                      </c:pt>
                      <c:pt idx="31">
                        <c:v>4.2689000000000001E-10</c:v>
                      </c:pt>
                      <c:pt idx="32">
                        <c:v>3.7218999999999998E-10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(2)Ga[l]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2.6743000000000002E-28</c:v>
                      </c:pt>
                      <c:pt idx="24">
                        <c:v>2.5268E-14</c:v>
                      </c:pt>
                      <c:pt idx="25">
                        <c:v>1.6865999999999999E-12</c:v>
                      </c:pt>
                      <c:pt idx="26">
                        <c:v>3.0434000000000001E-11</c:v>
                      </c:pt>
                      <c:pt idx="27">
                        <c:v>1.2171999999999999E-10</c:v>
                      </c:pt>
                      <c:pt idx="28">
                        <c:v>5.7717999999999997E-10</c:v>
                      </c:pt>
                      <c:pt idx="29">
                        <c:v>1.9796000000000001E-9</c:v>
                      </c:pt>
                      <c:pt idx="30">
                        <c:v>5.5962000000000002E-9</c:v>
                      </c:pt>
                      <c:pt idx="31">
                        <c:v>1.4063E-8</c:v>
                      </c:pt>
                      <c:pt idx="32">
                        <c:v>3.2876000000000003E-8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-18.62</c:v>
                      </c:pt>
                      <c:pt idx="4">
                        <c:v>-18.63</c:v>
                      </c:pt>
                      <c:pt idx="5">
                        <c:v>-18.72</c:v>
                      </c:pt>
                      <c:pt idx="6">
                        <c:v>-18.75</c:v>
                      </c:pt>
                      <c:pt idx="7">
                        <c:v>-18.78</c:v>
                      </c:pt>
                      <c:pt idx="8">
                        <c:v>-18.809999999999999</c:v>
                      </c:pt>
                      <c:pt idx="9">
                        <c:v>-18.84</c:v>
                      </c:pt>
                      <c:pt idx="10">
                        <c:v>-18.87</c:v>
                      </c:pt>
                      <c:pt idx="11">
                        <c:v>-18.899999999999999</c:v>
                      </c:pt>
                      <c:pt idx="12">
                        <c:v>-18.940000000000001</c:v>
                      </c:pt>
                      <c:pt idx="13">
                        <c:v>-18.97</c:v>
                      </c:pt>
                      <c:pt idx="14">
                        <c:v>-19.010000000000002</c:v>
                      </c:pt>
                      <c:pt idx="15">
                        <c:v>-19.04</c:v>
                      </c:pt>
                      <c:pt idx="16">
                        <c:v>-19.07</c:v>
                      </c:pt>
                      <c:pt idx="17">
                        <c:v>-19.11</c:v>
                      </c:pt>
                      <c:pt idx="18">
                        <c:v>-19.14</c:v>
                      </c:pt>
                      <c:pt idx="19">
                        <c:v>-19.18</c:v>
                      </c:pt>
                      <c:pt idx="20">
                        <c:v>-19.21</c:v>
                      </c:pt>
                      <c:pt idx="21">
                        <c:v>-19.25</c:v>
                      </c:pt>
                      <c:pt idx="22">
                        <c:v>-19.38</c:v>
                      </c:pt>
                      <c:pt idx="23">
                        <c:v>-19.510000000000002</c:v>
                      </c:pt>
                      <c:pt idx="24">
                        <c:v>-19.64</c:v>
                      </c:pt>
                      <c:pt idx="25">
                        <c:v>-19.670000000000002</c:v>
                      </c:pt>
                      <c:pt idx="26">
                        <c:v>-19.7</c:v>
                      </c:pt>
                      <c:pt idx="27">
                        <c:v>-19.73</c:v>
                      </c:pt>
                      <c:pt idx="28">
                        <c:v>-19.760000000000002</c:v>
                      </c:pt>
                      <c:pt idx="29">
                        <c:v>-19.79</c:v>
                      </c:pt>
                      <c:pt idx="30">
                        <c:v>-19.82</c:v>
                      </c:pt>
                      <c:pt idx="31">
                        <c:v>-19.850000000000001</c:v>
                      </c:pt>
                      <c:pt idx="32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CC3-45FD-9794-5F85E67C14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-66.48</c:v>
                      </c:pt>
                      <c:pt idx="1">
                        <c:v>-62.87</c:v>
                      </c:pt>
                      <c:pt idx="2">
                        <c:v>-59.45</c:v>
                      </c:pt>
                      <c:pt idx="3">
                        <c:v>-56.08</c:v>
                      </c:pt>
                      <c:pt idx="4">
                        <c:v>-52.71</c:v>
                      </c:pt>
                      <c:pt idx="5">
                        <c:v>-40.33</c:v>
                      </c:pt>
                      <c:pt idx="6">
                        <c:v>-37.729999999999997</c:v>
                      </c:pt>
                      <c:pt idx="7">
                        <c:v>-35.340000000000003</c:v>
                      </c:pt>
                      <c:pt idx="8">
                        <c:v>-33.17</c:v>
                      </c:pt>
                      <c:pt idx="9">
                        <c:v>-31.2</c:v>
                      </c:pt>
                      <c:pt idx="10">
                        <c:v>-29.39</c:v>
                      </c:pt>
                      <c:pt idx="11">
                        <c:v>-27.69</c:v>
                      </c:pt>
                      <c:pt idx="12">
                        <c:v>-26.08</c:v>
                      </c:pt>
                      <c:pt idx="13">
                        <c:v>-24.57</c:v>
                      </c:pt>
                      <c:pt idx="14">
                        <c:v>-23.15</c:v>
                      </c:pt>
                      <c:pt idx="15">
                        <c:v>-21.84</c:v>
                      </c:pt>
                      <c:pt idx="16">
                        <c:v>-20.64</c:v>
                      </c:pt>
                      <c:pt idx="17">
                        <c:v>-19.53</c:v>
                      </c:pt>
                      <c:pt idx="18">
                        <c:v>-18.5</c:v>
                      </c:pt>
                      <c:pt idx="19">
                        <c:v>-17.53</c:v>
                      </c:pt>
                      <c:pt idx="20">
                        <c:v>-16.62</c:v>
                      </c:pt>
                      <c:pt idx="21">
                        <c:v>-15.74</c:v>
                      </c:pt>
                      <c:pt idx="22">
                        <c:v>-12.62</c:v>
                      </c:pt>
                      <c:pt idx="23">
                        <c:v>-10.119999999999999</c:v>
                      </c:pt>
                      <c:pt idx="24">
                        <c:v>-8.859</c:v>
                      </c:pt>
                      <c:pt idx="25">
                        <c:v>-8.76</c:v>
                      </c:pt>
                      <c:pt idx="26">
                        <c:v>-8.7140000000000004</c:v>
                      </c:pt>
                      <c:pt idx="27">
                        <c:v>-8.7010000000000005</c:v>
                      </c:pt>
                      <c:pt idx="28">
                        <c:v>-8.7080000000000002</c:v>
                      </c:pt>
                      <c:pt idx="29">
                        <c:v>-8.7279999999999998</c:v>
                      </c:pt>
                      <c:pt idx="30">
                        <c:v>-8.7539999999999996</c:v>
                      </c:pt>
                      <c:pt idx="31">
                        <c:v>-8.7850000000000001</c:v>
                      </c:pt>
                      <c:pt idx="32">
                        <c:v>-8.8179999999999996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A7F-415D-A5BE-37FA2449D1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-17.09</c:v>
                      </c:pt>
                      <c:pt idx="1">
                        <c:v>-16.329999999999998</c:v>
                      </c:pt>
                      <c:pt idx="2">
                        <c:v>-15.49</c:v>
                      </c:pt>
                      <c:pt idx="3">
                        <c:v>-14.5</c:v>
                      </c:pt>
                      <c:pt idx="4">
                        <c:v>-13.38</c:v>
                      </c:pt>
                      <c:pt idx="5">
                        <c:v>-8.9420000000000002</c:v>
                      </c:pt>
                      <c:pt idx="6">
                        <c:v>-8.0190000000000001</c:v>
                      </c:pt>
                      <c:pt idx="7">
                        <c:v>-7.2149999999999999</c:v>
                      </c:pt>
                      <c:pt idx="8">
                        <c:v>-6.5570000000000004</c:v>
                      </c:pt>
                      <c:pt idx="9">
                        <c:v>-6.056</c:v>
                      </c:pt>
                      <c:pt idx="10">
                        <c:v>-5.7050000000000001</c:v>
                      </c:pt>
                      <c:pt idx="11">
                        <c:v>-5.4829999999999997</c:v>
                      </c:pt>
                      <c:pt idx="12">
                        <c:v>-5.3639999999999999</c:v>
                      </c:pt>
                      <c:pt idx="13">
                        <c:v>-5.319</c:v>
                      </c:pt>
                      <c:pt idx="14">
                        <c:v>-5.319</c:v>
                      </c:pt>
                      <c:pt idx="15">
                        <c:v>-5.3440000000000003</c:v>
                      </c:pt>
                      <c:pt idx="16">
                        <c:v>-5.3789999999999996</c:v>
                      </c:pt>
                      <c:pt idx="17">
                        <c:v>-5.4180000000000001</c:v>
                      </c:pt>
                      <c:pt idx="18">
                        <c:v>-5.4589999999999996</c:v>
                      </c:pt>
                      <c:pt idx="19">
                        <c:v>-5.4989999999999997</c:v>
                      </c:pt>
                      <c:pt idx="20">
                        <c:v>-5.54</c:v>
                      </c:pt>
                      <c:pt idx="21">
                        <c:v>-5.58</c:v>
                      </c:pt>
                      <c:pt idx="22">
                        <c:v>-5.7430000000000003</c:v>
                      </c:pt>
                      <c:pt idx="23">
                        <c:v>-5.9169999999999998</c:v>
                      </c:pt>
                      <c:pt idx="24">
                        <c:v>-6.1260000000000003</c:v>
                      </c:pt>
                      <c:pt idx="25">
                        <c:v>-6.1749999999999998</c:v>
                      </c:pt>
                      <c:pt idx="26">
                        <c:v>-6.2210000000000001</c:v>
                      </c:pt>
                      <c:pt idx="27">
                        <c:v>-6.2629999999999999</c:v>
                      </c:pt>
                      <c:pt idx="28">
                        <c:v>-6.3029999999999999</c:v>
                      </c:pt>
                      <c:pt idx="29">
                        <c:v>-6.3419999999999996</c:v>
                      </c:pt>
                      <c:pt idx="30">
                        <c:v>-6.3789999999999996</c:v>
                      </c:pt>
                      <c:pt idx="31">
                        <c:v>-6.4160000000000004</c:v>
                      </c:pt>
                      <c:pt idx="32">
                        <c:v>-6.452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A7F-415D-A5BE-37FA2449D1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-23.56</c:v>
                      </c:pt>
                      <c:pt idx="1">
                        <c:v>-22.54</c:v>
                      </c:pt>
                      <c:pt idx="2">
                        <c:v>-21.78</c:v>
                      </c:pt>
                      <c:pt idx="3">
                        <c:v>-21.32</c:v>
                      </c:pt>
                      <c:pt idx="4">
                        <c:v>-21.15</c:v>
                      </c:pt>
                      <c:pt idx="5">
                        <c:v>-21.73</c:v>
                      </c:pt>
                      <c:pt idx="6">
                        <c:v>-21.95</c:v>
                      </c:pt>
                      <c:pt idx="7">
                        <c:v>-22.15</c:v>
                      </c:pt>
                      <c:pt idx="8">
                        <c:v>-22.32</c:v>
                      </c:pt>
                      <c:pt idx="9">
                        <c:v>-22.46</c:v>
                      </c:pt>
                      <c:pt idx="10">
                        <c:v>-22.6</c:v>
                      </c:pt>
                      <c:pt idx="11">
                        <c:v>-22.76</c:v>
                      </c:pt>
                      <c:pt idx="12">
                        <c:v>-22.95</c:v>
                      </c:pt>
                      <c:pt idx="13">
                        <c:v>-23.15</c:v>
                      </c:pt>
                      <c:pt idx="14">
                        <c:v>-23.37</c:v>
                      </c:pt>
                      <c:pt idx="15">
                        <c:v>-23.6</c:v>
                      </c:pt>
                      <c:pt idx="16">
                        <c:v>-23.84</c:v>
                      </c:pt>
                      <c:pt idx="17">
                        <c:v>-24.07</c:v>
                      </c:pt>
                      <c:pt idx="18">
                        <c:v>-24.31</c:v>
                      </c:pt>
                      <c:pt idx="19">
                        <c:v>-24.54</c:v>
                      </c:pt>
                      <c:pt idx="20">
                        <c:v>-24.77</c:v>
                      </c:pt>
                      <c:pt idx="21">
                        <c:v>-25</c:v>
                      </c:pt>
                      <c:pt idx="22">
                        <c:v>-25.9</c:v>
                      </c:pt>
                      <c:pt idx="23">
                        <c:v>-26.75</c:v>
                      </c:pt>
                      <c:pt idx="24">
                        <c:v>-27.55</c:v>
                      </c:pt>
                      <c:pt idx="25">
                        <c:v>-27.75</c:v>
                      </c:pt>
                      <c:pt idx="26">
                        <c:v>-27.95</c:v>
                      </c:pt>
                      <c:pt idx="27">
                        <c:v>-28.15</c:v>
                      </c:pt>
                      <c:pt idx="28">
                        <c:v>-28.35</c:v>
                      </c:pt>
                      <c:pt idx="29">
                        <c:v>-28.54</c:v>
                      </c:pt>
                      <c:pt idx="30">
                        <c:v>-28.74</c:v>
                      </c:pt>
                      <c:pt idx="31">
                        <c:v>-28.94</c:v>
                      </c:pt>
                      <c:pt idx="32">
                        <c:v>-29.13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A7F-415D-A5BE-37FA2449D1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A7F-415D-A5BE-37FA2449D17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A7F-415D-A5BE-37FA2449D17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A7F-415D-A5BE-37FA2449D17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A7F-415D-A5BE-37FA2449D17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A7F-415D-A5BE-37FA2449D17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A7F-415D-A5BE-37FA2449D17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A7F-415D-A5BE-37FA2449D17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A7F-415D-A5BE-37FA2449D17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A7F-415D-A5BE-37FA2449D17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A7F-415D-A5BE-37FA2449D17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A7F-415D-A5BE-37FA2449D17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A7F-415D-A5BE-37FA2449D171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  <c:majorUnit val="100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44928,41415</c:v>
                  </c:pt>
                  <c:pt idx="2">
                    <c:v>42977,89466</c:v>
                  </c:pt>
                  <c:pt idx="3">
                    <c:v>40999,45952</c:v>
                  </c:pt>
                  <c:pt idx="4">
                    <c:v>38875,1035</c:v>
                  </c:pt>
                  <c:pt idx="5">
                    <c:v>36574,76864</c:v>
                  </c:pt>
                  <c:pt idx="6">
                    <c:v>27609,31327</c:v>
                  </c:pt>
                  <c:pt idx="7">
                    <c:v>25785,08692</c:v>
                  </c:pt>
                  <c:pt idx="8">
                    <c:v>24157,35567</c:v>
                  </c:pt>
                  <c:pt idx="9">
                    <c:v>22741,19233</c:v>
                  </c:pt>
                  <c:pt idx="10">
                    <c:v>21502,22964</c:v>
                  </c:pt>
                  <c:pt idx="11">
                    <c:v>20403,51748</c:v>
                  </c:pt>
                  <c:pt idx="12">
                    <c:v>19397,38271</c:v>
                  </c:pt>
                  <c:pt idx="13">
                    <c:v>18476,3952</c:v>
                  </c:pt>
                  <c:pt idx="14">
                    <c:v>17644,28426</c:v>
                  </c:pt>
                  <c:pt idx="15">
                    <c:v>16900,17327</c:v>
                  </c:pt>
                  <c:pt idx="16">
                    <c:v>16250,37065</c:v>
                  </c:pt>
                  <c:pt idx="17">
                    <c:v>15699,08219</c:v>
                  </c:pt>
                  <c:pt idx="18">
                    <c:v>15234,65445</c:v>
                  </c:pt>
                  <c:pt idx="19">
                    <c:v>14833,0659</c:v>
                  </c:pt>
                  <c:pt idx="20">
                    <c:v>14488,08332</c:v>
                  </c:pt>
                  <c:pt idx="21">
                    <c:v>14184,4097</c:v>
                  </c:pt>
                  <c:pt idx="22">
                    <c:v>13916,00134</c:v>
                  </c:pt>
                  <c:pt idx="23">
                    <c:v>13155,51405</c:v>
                  </c:pt>
                  <c:pt idx="24">
                    <c:v>12891,01634</c:v>
                  </c:pt>
                  <c:pt idx="25">
                    <c:v>13374,82553</c:v>
                  </c:pt>
                  <c:pt idx="26">
                    <c:v>13610,11183</c:v>
                  </c:pt>
                  <c:pt idx="27">
                    <c:v>13872,39429</c:v>
                  </c:pt>
                  <c:pt idx="28">
                    <c:v>14153,33561</c:v>
                  </c:pt>
                  <c:pt idx="29">
                    <c:v>14446,54177</c:v>
                  </c:pt>
                  <c:pt idx="30">
                    <c:v>14748,75976</c:v>
                  </c:pt>
                  <c:pt idx="31">
                    <c:v>15057,61968</c:v>
                  </c:pt>
                  <c:pt idx="32">
                    <c:v>15369,76514</c:v>
                  </c:pt>
                  <c:pt idx="33">
                    <c:v>15685,28167</c:v>
                  </c:pt>
                </c:lvl>
                <c:lvl>
                  <c:pt idx="0">
                    <c:v>Раствор 3 + газовая без Ar: </c:v>
                  </c:pt>
                  <c:pt idx="1">
                    <c:v>-106,7489304</c:v>
                  </c:pt>
                  <c:pt idx="2">
                    <c:v>-106,544163</c:v>
                  </c:pt>
                  <c:pt idx="3">
                    <c:v>-101,4064374</c:v>
                  </c:pt>
                  <c:pt idx="4">
                    <c:v>-89,85743842</c:v>
                  </c:pt>
                  <c:pt idx="5">
                    <c:v>-75,11554309</c:v>
                  </c:pt>
                  <c:pt idx="6">
                    <c:v>-54,63489601</c:v>
                  </c:pt>
                  <c:pt idx="7">
                    <c:v>-55,84442445</c:v>
                  </c:pt>
                  <c:pt idx="8">
                    <c:v>-57,58125456</c:v>
                  </c:pt>
                  <c:pt idx="9">
                    <c:v>-59,58174951</c:v>
                  </c:pt>
                  <c:pt idx="10">
                    <c:v>-61,69268103</c:v>
                  </c:pt>
                  <c:pt idx="11">
                    <c:v>-63,87055259</c:v>
                  </c:pt>
                  <c:pt idx="12">
                    <c:v>-66,08999189</c:v>
                  </c:pt>
                  <c:pt idx="13">
                    <c:v>-68,37358979</c:v>
                  </c:pt>
                  <c:pt idx="14">
                    <c:v>-70,6541872</c:v>
                  </c:pt>
                  <c:pt idx="15">
                    <c:v>-72,97265326</c:v>
                  </c:pt>
                  <c:pt idx="16">
                    <c:v>-75,26312354</c:v>
                  </c:pt>
                  <c:pt idx="17">
                    <c:v>-77,56135682</c:v>
                  </c:pt>
                  <c:pt idx="18">
                    <c:v>-79,90859301</c:v>
                  </c:pt>
                  <c:pt idx="19">
                    <c:v>-82,23539748</c:v>
                  </c:pt>
                  <c:pt idx="20">
                    <c:v>-84,5999726</c:v>
                  </c:pt>
                  <c:pt idx="21">
                    <c:v>-86,92845843</c:v>
                  </c:pt>
                  <c:pt idx="22">
                    <c:v>-89,31020497</c:v>
                  </c:pt>
                  <c:pt idx="23">
                    <c:v>-98,78918919</c:v>
                  </c:pt>
                  <c:pt idx="24">
                    <c:v>-108,3872539</c:v>
                  </c:pt>
                  <c:pt idx="25">
                    <c:v>-118,0907881</c:v>
                  </c:pt>
                  <c:pt idx="26">
                    <c:v>-120,5335605</c:v>
                  </c:pt>
                  <c:pt idx="27">
                    <c:v>-122,9695842</c:v>
                  </c:pt>
                  <c:pt idx="28">
                    <c:v>-125,4124675</c:v>
                  </c:pt>
                  <c:pt idx="29">
                    <c:v>-127,8622102</c:v>
                  </c:pt>
                  <c:pt idx="30">
                    <c:v>-130,3188124</c:v>
                  </c:pt>
                  <c:pt idx="31">
                    <c:v>-132,7960068</c:v>
                  </c:pt>
                  <c:pt idx="32">
                    <c:v>-135,2663487</c:v>
                  </c:pt>
                  <c:pt idx="33">
                    <c:v>-137,74355</c:v>
                  </c:pt>
                </c:lvl>
                <c:lvl>
                  <c:pt idx="0">
                    <c:v>Раствор 1 + газовая без Ar: </c:v>
                  </c:pt>
                  <c:pt idx="1">
                    <c:v>44928,41415</c:v>
                  </c:pt>
                  <c:pt idx="2">
                    <c:v>42977,89466</c:v>
                  </c:pt>
                  <c:pt idx="3">
                    <c:v>40999,45952</c:v>
                  </c:pt>
                  <c:pt idx="4">
                    <c:v>38875,1035</c:v>
                  </c:pt>
                  <c:pt idx="5">
                    <c:v>36574,76864</c:v>
                  </c:pt>
                  <c:pt idx="6">
                    <c:v>27609,31327</c:v>
                  </c:pt>
                  <c:pt idx="7">
                    <c:v>25785,08692</c:v>
                  </c:pt>
                  <c:pt idx="8">
                    <c:v>24157,35567</c:v>
                  </c:pt>
                  <c:pt idx="9">
                    <c:v>22741,19233</c:v>
                  </c:pt>
                  <c:pt idx="10">
                    <c:v>21502,22964</c:v>
                  </c:pt>
                  <c:pt idx="11">
                    <c:v>20403,51748</c:v>
                  </c:pt>
                  <c:pt idx="12">
                    <c:v>19397,38271</c:v>
                  </c:pt>
                  <c:pt idx="13">
                    <c:v>18476,3952</c:v>
                  </c:pt>
                  <c:pt idx="14">
                    <c:v>17644,28426</c:v>
                  </c:pt>
                  <c:pt idx="15">
                    <c:v>16900,17327</c:v>
                  </c:pt>
                  <c:pt idx="16">
                    <c:v>16250,37065</c:v>
                  </c:pt>
                  <c:pt idx="17">
                    <c:v>15699,08219</c:v>
                  </c:pt>
                  <c:pt idx="18">
                    <c:v>15234,65445</c:v>
                  </c:pt>
                  <c:pt idx="19">
                    <c:v>14833,0659</c:v>
                  </c:pt>
                  <c:pt idx="20">
                    <c:v>14488,08332</c:v>
                  </c:pt>
                  <c:pt idx="21">
                    <c:v>14184,4097</c:v>
                  </c:pt>
                  <c:pt idx="22">
                    <c:v>13916,00134</c:v>
                  </c:pt>
                  <c:pt idx="23">
                    <c:v>13155,51405</c:v>
                  </c:pt>
                  <c:pt idx="24">
                    <c:v>12891,01634</c:v>
                  </c:pt>
                  <c:pt idx="25">
                    <c:v>13374,82553</c:v>
                  </c:pt>
                  <c:pt idx="26">
                    <c:v>13610,11183</c:v>
                  </c:pt>
                  <c:pt idx="27">
                    <c:v>13872,39429</c:v>
                  </c:pt>
                  <c:pt idx="28">
                    <c:v>14153,33561</c:v>
                  </c:pt>
                  <c:pt idx="29">
                    <c:v>14446,54177</c:v>
                  </c:pt>
                  <c:pt idx="30">
                    <c:v>14748,75976</c:v>
                  </c:pt>
                  <c:pt idx="31">
                    <c:v>15057,61968</c:v>
                  </c:pt>
                  <c:pt idx="32">
                    <c:v>15369,76514</c:v>
                  </c:pt>
                  <c:pt idx="33">
                    <c:v>15685,28167</c:v>
                  </c:pt>
                </c:lvl>
                <c:lvl>
                  <c:pt idx="0">
                    <c:v>Газовая без Ar: </c:v>
                  </c:pt>
                  <c:pt idx="1">
                    <c:v>-106,7489304</c:v>
                  </c:pt>
                  <c:pt idx="2">
                    <c:v>-106,544163</c:v>
                  </c:pt>
                  <c:pt idx="3">
                    <c:v>-101,4064374</c:v>
                  </c:pt>
                  <c:pt idx="4">
                    <c:v>-89,85743842</c:v>
                  </c:pt>
                  <c:pt idx="5">
                    <c:v>-75,11554309</c:v>
                  </c:pt>
                  <c:pt idx="6">
                    <c:v>-54,63489601</c:v>
                  </c:pt>
                  <c:pt idx="7">
                    <c:v>-55,84442445</c:v>
                  </c:pt>
                  <c:pt idx="8">
                    <c:v>-57,58125456</c:v>
                  </c:pt>
                  <c:pt idx="9">
                    <c:v>-59,58174951</c:v>
                  </c:pt>
                  <c:pt idx="10">
                    <c:v>-61,69268103</c:v>
                  </c:pt>
                  <c:pt idx="11">
                    <c:v>-63,87055259</c:v>
                  </c:pt>
                  <c:pt idx="12">
                    <c:v>-66,08999189</c:v>
                  </c:pt>
                  <c:pt idx="13">
                    <c:v>-68,37358979</c:v>
                  </c:pt>
                  <c:pt idx="14">
                    <c:v>-70,6541872</c:v>
                  </c:pt>
                  <c:pt idx="15">
                    <c:v>-72,97265326</c:v>
                  </c:pt>
                  <c:pt idx="16">
                    <c:v>-75,26312354</c:v>
                  </c:pt>
                  <c:pt idx="17">
                    <c:v>-77,56135682</c:v>
                  </c:pt>
                  <c:pt idx="18">
                    <c:v>-79,90859301</c:v>
                  </c:pt>
                  <c:pt idx="19">
                    <c:v>-82,23539748</c:v>
                  </c:pt>
                  <c:pt idx="20">
                    <c:v>-84,5999726</c:v>
                  </c:pt>
                  <c:pt idx="21">
                    <c:v>-86,92845843</c:v>
                  </c:pt>
                  <c:pt idx="22">
                    <c:v>-89,31020497</c:v>
                  </c:pt>
                  <c:pt idx="23">
                    <c:v>-98,78918919</c:v>
                  </c:pt>
                  <c:pt idx="24">
                    <c:v>-108,3872539</c:v>
                  </c:pt>
                  <c:pt idx="25">
                    <c:v>-118,0907881</c:v>
                  </c:pt>
                  <c:pt idx="26">
                    <c:v>-120,5335605</c:v>
                  </c:pt>
                  <c:pt idx="27">
                    <c:v>-122,9695842</c:v>
                  </c:pt>
                  <c:pt idx="28">
                    <c:v>-125,4124675</c:v>
                  </c:pt>
                  <c:pt idx="29">
                    <c:v>-127,8622102</c:v>
                  </c:pt>
                  <c:pt idx="30">
                    <c:v>-130,3188124</c:v>
                  </c:pt>
                  <c:pt idx="31">
                    <c:v>-132,7960068</c:v>
                  </c:pt>
                  <c:pt idx="32">
                    <c:v>-135,2663487</c:v>
                  </c:pt>
                  <c:pt idx="33">
                    <c:v>-137,74355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  <c:lvl>
                  <c:pt idx="0">
                    <c:v>Раствор 1(тв): </c:v>
                  </c:pt>
                  <c:pt idx="1">
                    <c:v>45035,16308</c:v>
                  </c:pt>
                  <c:pt idx="2">
                    <c:v>43084,43882</c:v>
                  </c:pt>
                  <c:pt idx="3">
                    <c:v>41100,86595</c:v>
                  </c:pt>
                  <c:pt idx="4">
                    <c:v>38964,96094</c:v>
                  </c:pt>
                  <c:pt idx="5">
                    <c:v>36649,88418</c:v>
                  </c:pt>
                  <c:pt idx="6">
                    <c:v>27663,94816</c:v>
                  </c:pt>
                  <c:pt idx="7">
                    <c:v>25840,93135</c:v>
                  </c:pt>
                  <c:pt idx="8">
                    <c:v>24214,93693</c:v>
                  </c:pt>
                  <c:pt idx="9">
                    <c:v>22800,77408</c:v>
                  </c:pt>
                  <c:pt idx="10">
                    <c:v>21563,92233</c:v>
                  </c:pt>
                  <c:pt idx="11">
                    <c:v>20467,38803</c:v>
                  </c:pt>
                  <c:pt idx="12">
                    <c:v>19463,4727</c:v>
                  </c:pt>
                  <c:pt idx="13">
                    <c:v>18544,76879</c:v>
                  </c:pt>
                  <c:pt idx="14">
                    <c:v>17714,93845</c:v>
                  </c:pt>
                  <c:pt idx="15">
                    <c:v>16973,14592</c:v>
                  </c:pt>
                  <c:pt idx="16">
                    <c:v>16325,63377</c:v>
                  </c:pt>
                  <c:pt idx="17">
                    <c:v>15776,64354</c:v>
                  </c:pt>
                  <c:pt idx="18">
                    <c:v>15314,56304</c:v>
                  </c:pt>
                  <c:pt idx="19">
                    <c:v>14915,3013</c:v>
                  </c:pt>
                  <c:pt idx="20">
                    <c:v>14572,68329</c:v>
                  </c:pt>
                  <c:pt idx="21">
                    <c:v>14271,33816</c:v>
                  </c:pt>
                  <c:pt idx="22">
                    <c:v>14005,31155</c:v>
                  </c:pt>
                  <c:pt idx="23">
                    <c:v>13254,30324</c:v>
                  </c:pt>
                  <c:pt idx="24">
                    <c:v>12999,40359</c:v>
                  </c:pt>
                  <c:pt idx="25">
                    <c:v>13492,91632</c:v>
                  </c:pt>
                  <c:pt idx="26">
                    <c:v>13730,64539</c:v>
                  </c:pt>
                  <c:pt idx="27">
                    <c:v>13995,36387</c:v>
                  </c:pt>
                  <c:pt idx="28">
                    <c:v>14278,74808</c:v>
                  </c:pt>
                  <c:pt idx="29">
                    <c:v>14574,40398</c:v>
                  </c:pt>
                  <c:pt idx="30">
                    <c:v>14879,07857</c:v>
                  </c:pt>
                  <c:pt idx="31">
                    <c:v>15190,41569</c:v>
                  </c:pt>
                  <c:pt idx="32">
                    <c:v>15505,03148</c:v>
                  </c:pt>
                  <c:pt idx="33">
                    <c:v>15823,02522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422</c:v>
                  </c:pt>
                  <c:pt idx="8">
                    <c:v>438</c:v>
                  </c:pt>
                  <c:pt idx="9">
                    <c:v>455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736</c:v>
                  </c:pt>
                  <c:pt idx="24">
                    <c:v>802</c:v>
                  </c:pt>
                  <c:pt idx="25">
                    <c:v>868</c:v>
                  </c:pt>
                  <c:pt idx="26">
                    <c:v>884</c:v>
                  </c:pt>
                  <c:pt idx="27">
                    <c:v>901</c:v>
                  </c:pt>
                  <c:pt idx="28">
                    <c:v>917</c:v>
                  </c:pt>
                  <c:pt idx="29">
                    <c:v>934</c:v>
                  </c:pt>
                  <c:pt idx="30">
                    <c:v>950</c:v>
                  </c:pt>
                  <c:pt idx="31">
                    <c:v>967</c:v>
                  </c:pt>
                  <c:pt idx="32">
                    <c:v>984</c:v>
                  </c:pt>
                  <c:pt idx="33">
                    <c:v>1000</c:v>
                  </c:pt>
                </c:lvl>
              </c:multiLvlStrCache>
            </c:multiLvlStrRef>
          </c:xVal>
          <c:yVal>
            <c:numRef>
              <c:f>ALL!$E$130:$AL$130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44928,41415</c:v>
                  </c:pt>
                  <c:pt idx="2">
                    <c:v>42977,89466</c:v>
                  </c:pt>
                  <c:pt idx="3">
                    <c:v>40999,45952</c:v>
                  </c:pt>
                  <c:pt idx="4">
                    <c:v>38875,1035</c:v>
                  </c:pt>
                  <c:pt idx="5">
                    <c:v>36574,76864</c:v>
                  </c:pt>
                  <c:pt idx="6">
                    <c:v>27609,31327</c:v>
                  </c:pt>
                  <c:pt idx="7">
                    <c:v>25785,08692</c:v>
                  </c:pt>
                  <c:pt idx="8">
                    <c:v>24157,35567</c:v>
                  </c:pt>
                  <c:pt idx="9">
                    <c:v>22741,19233</c:v>
                  </c:pt>
                  <c:pt idx="10">
                    <c:v>21502,22964</c:v>
                  </c:pt>
                  <c:pt idx="11">
                    <c:v>20403,51748</c:v>
                  </c:pt>
                  <c:pt idx="12">
                    <c:v>19397,38271</c:v>
                  </c:pt>
                  <c:pt idx="13">
                    <c:v>18476,3952</c:v>
                  </c:pt>
                  <c:pt idx="14">
                    <c:v>17644,28426</c:v>
                  </c:pt>
                  <c:pt idx="15">
                    <c:v>16900,17327</c:v>
                  </c:pt>
                  <c:pt idx="16">
                    <c:v>16250,37065</c:v>
                  </c:pt>
                  <c:pt idx="17">
                    <c:v>15699,08219</c:v>
                  </c:pt>
                  <c:pt idx="18">
                    <c:v>15234,65445</c:v>
                  </c:pt>
                  <c:pt idx="19">
                    <c:v>14833,0659</c:v>
                  </c:pt>
                  <c:pt idx="20">
                    <c:v>14488,08332</c:v>
                  </c:pt>
                  <c:pt idx="21">
                    <c:v>14184,4097</c:v>
                  </c:pt>
                  <c:pt idx="22">
                    <c:v>13916,00134</c:v>
                  </c:pt>
                  <c:pt idx="23">
                    <c:v>13155,51405</c:v>
                  </c:pt>
                  <c:pt idx="24">
                    <c:v>12891,01634</c:v>
                  </c:pt>
                  <c:pt idx="25">
                    <c:v>13374,82553</c:v>
                  </c:pt>
                  <c:pt idx="26">
                    <c:v>13610,11183</c:v>
                  </c:pt>
                  <c:pt idx="27">
                    <c:v>13872,39429</c:v>
                  </c:pt>
                  <c:pt idx="28">
                    <c:v>14153,33561</c:v>
                  </c:pt>
                  <c:pt idx="29">
                    <c:v>14446,54177</c:v>
                  </c:pt>
                  <c:pt idx="30">
                    <c:v>14748,75976</c:v>
                  </c:pt>
                  <c:pt idx="31">
                    <c:v>15057,61968</c:v>
                  </c:pt>
                  <c:pt idx="32">
                    <c:v>15369,76514</c:v>
                  </c:pt>
                  <c:pt idx="33">
                    <c:v>15685,28167</c:v>
                  </c:pt>
                </c:lvl>
                <c:lvl>
                  <c:pt idx="0">
                    <c:v>Раствор 3 + газовая без Ar: </c:v>
                  </c:pt>
                  <c:pt idx="1">
                    <c:v>-106,7489304</c:v>
                  </c:pt>
                  <c:pt idx="2">
                    <c:v>-106,544163</c:v>
                  </c:pt>
                  <c:pt idx="3">
                    <c:v>-101,4064374</c:v>
                  </c:pt>
                  <c:pt idx="4">
                    <c:v>-89,85743842</c:v>
                  </c:pt>
                  <c:pt idx="5">
                    <c:v>-75,11554309</c:v>
                  </c:pt>
                  <c:pt idx="6">
                    <c:v>-54,63489601</c:v>
                  </c:pt>
                  <c:pt idx="7">
                    <c:v>-55,84442445</c:v>
                  </c:pt>
                  <c:pt idx="8">
                    <c:v>-57,58125456</c:v>
                  </c:pt>
                  <c:pt idx="9">
                    <c:v>-59,58174951</c:v>
                  </c:pt>
                  <c:pt idx="10">
                    <c:v>-61,69268103</c:v>
                  </c:pt>
                  <c:pt idx="11">
                    <c:v>-63,87055259</c:v>
                  </c:pt>
                  <c:pt idx="12">
                    <c:v>-66,08999189</c:v>
                  </c:pt>
                  <c:pt idx="13">
                    <c:v>-68,37358979</c:v>
                  </c:pt>
                  <c:pt idx="14">
                    <c:v>-70,6541872</c:v>
                  </c:pt>
                  <c:pt idx="15">
                    <c:v>-72,97265326</c:v>
                  </c:pt>
                  <c:pt idx="16">
                    <c:v>-75,26312354</c:v>
                  </c:pt>
                  <c:pt idx="17">
                    <c:v>-77,56135682</c:v>
                  </c:pt>
                  <c:pt idx="18">
                    <c:v>-79,90859301</c:v>
                  </c:pt>
                  <c:pt idx="19">
                    <c:v>-82,23539748</c:v>
                  </c:pt>
                  <c:pt idx="20">
                    <c:v>-84,5999726</c:v>
                  </c:pt>
                  <c:pt idx="21">
                    <c:v>-86,92845843</c:v>
                  </c:pt>
                  <c:pt idx="22">
                    <c:v>-89,31020497</c:v>
                  </c:pt>
                  <c:pt idx="23">
                    <c:v>-98,78918919</c:v>
                  </c:pt>
                  <c:pt idx="24">
                    <c:v>-108,3872539</c:v>
                  </c:pt>
                  <c:pt idx="25">
                    <c:v>-118,0907881</c:v>
                  </c:pt>
                  <c:pt idx="26">
                    <c:v>-120,5335605</c:v>
                  </c:pt>
                  <c:pt idx="27">
                    <c:v>-122,9695842</c:v>
                  </c:pt>
                  <c:pt idx="28">
                    <c:v>-125,4124675</c:v>
                  </c:pt>
                  <c:pt idx="29">
                    <c:v>-127,8622102</c:v>
                  </c:pt>
                  <c:pt idx="30">
                    <c:v>-130,3188124</c:v>
                  </c:pt>
                  <c:pt idx="31">
                    <c:v>-132,7960068</c:v>
                  </c:pt>
                  <c:pt idx="32">
                    <c:v>-135,2663487</c:v>
                  </c:pt>
                  <c:pt idx="33">
                    <c:v>-137,74355</c:v>
                  </c:pt>
                </c:lvl>
                <c:lvl>
                  <c:pt idx="0">
                    <c:v>Раствор 1 + газовая без Ar: </c:v>
                  </c:pt>
                  <c:pt idx="1">
                    <c:v>44928,41415</c:v>
                  </c:pt>
                  <c:pt idx="2">
                    <c:v>42977,89466</c:v>
                  </c:pt>
                  <c:pt idx="3">
                    <c:v>40999,45952</c:v>
                  </c:pt>
                  <c:pt idx="4">
                    <c:v>38875,1035</c:v>
                  </c:pt>
                  <c:pt idx="5">
                    <c:v>36574,76864</c:v>
                  </c:pt>
                  <c:pt idx="6">
                    <c:v>27609,31327</c:v>
                  </c:pt>
                  <c:pt idx="7">
                    <c:v>25785,08692</c:v>
                  </c:pt>
                  <c:pt idx="8">
                    <c:v>24157,35567</c:v>
                  </c:pt>
                  <c:pt idx="9">
                    <c:v>22741,19233</c:v>
                  </c:pt>
                  <c:pt idx="10">
                    <c:v>21502,22964</c:v>
                  </c:pt>
                  <c:pt idx="11">
                    <c:v>20403,51748</c:v>
                  </c:pt>
                  <c:pt idx="12">
                    <c:v>19397,38271</c:v>
                  </c:pt>
                  <c:pt idx="13">
                    <c:v>18476,3952</c:v>
                  </c:pt>
                  <c:pt idx="14">
                    <c:v>17644,28426</c:v>
                  </c:pt>
                  <c:pt idx="15">
                    <c:v>16900,17327</c:v>
                  </c:pt>
                  <c:pt idx="16">
                    <c:v>16250,37065</c:v>
                  </c:pt>
                  <c:pt idx="17">
                    <c:v>15699,08219</c:v>
                  </c:pt>
                  <c:pt idx="18">
                    <c:v>15234,65445</c:v>
                  </c:pt>
                  <c:pt idx="19">
                    <c:v>14833,0659</c:v>
                  </c:pt>
                  <c:pt idx="20">
                    <c:v>14488,08332</c:v>
                  </c:pt>
                  <c:pt idx="21">
                    <c:v>14184,4097</c:v>
                  </c:pt>
                  <c:pt idx="22">
                    <c:v>13916,00134</c:v>
                  </c:pt>
                  <c:pt idx="23">
                    <c:v>13155,51405</c:v>
                  </c:pt>
                  <c:pt idx="24">
                    <c:v>12891,01634</c:v>
                  </c:pt>
                  <c:pt idx="25">
                    <c:v>13374,82553</c:v>
                  </c:pt>
                  <c:pt idx="26">
                    <c:v>13610,11183</c:v>
                  </c:pt>
                  <c:pt idx="27">
                    <c:v>13872,39429</c:v>
                  </c:pt>
                  <c:pt idx="28">
                    <c:v>14153,33561</c:v>
                  </c:pt>
                  <c:pt idx="29">
                    <c:v>14446,54177</c:v>
                  </c:pt>
                  <c:pt idx="30">
                    <c:v>14748,75976</c:v>
                  </c:pt>
                  <c:pt idx="31">
                    <c:v>15057,61968</c:v>
                  </c:pt>
                  <c:pt idx="32">
                    <c:v>15369,76514</c:v>
                  </c:pt>
                  <c:pt idx="33">
                    <c:v>15685,28167</c:v>
                  </c:pt>
                </c:lvl>
                <c:lvl>
                  <c:pt idx="0">
                    <c:v>Газовая без Ar: </c:v>
                  </c:pt>
                  <c:pt idx="1">
                    <c:v>-106,7489304</c:v>
                  </c:pt>
                  <c:pt idx="2">
                    <c:v>-106,544163</c:v>
                  </c:pt>
                  <c:pt idx="3">
                    <c:v>-101,4064374</c:v>
                  </c:pt>
                  <c:pt idx="4">
                    <c:v>-89,85743842</c:v>
                  </c:pt>
                  <c:pt idx="5">
                    <c:v>-75,11554309</c:v>
                  </c:pt>
                  <c:pt idx="6">
                    <c:v>-54,63489601</c:v>
                  </c:pt>
                  <c:pt idx="7">
                    <c:v>-55,84442445</c:v>
                  </c:pt>
                  <c:pt idx="8">
                    <c:v>-57,58125456</c:v>
                  </c:pt>
                  <c:pt idx="9">
                    <c:v>-59,58174951</c:v>
                  </c:pt>
                  <c:pt idx="10">
                    <c:v>-61,69268103</c:v>
                  </c:pt>
                  <c:pt idx="11">
                    <c:v>-63,87055259</c:v>
                  </c:pt>
                  <c:pt idx="12">
                    <c:v>-66,08999189</c:v>
                  </c:pt>
                  <c:pt idx="13">
                    <c:v>-68,37358979</c:v>
                  </c:pt>
                  <c:pt idx="14">
                    <c:v>-70,6541872</c:v>
                  </c:pt>
                  <c:pt idx="15">
                    <c:v>-72,97265326</c:v>
                  </c:pt>
                  <c:pt idx="16">
                    <c:v>-75,26312354</c:v>
                  </c:pt>
                  <c:pt idx="17">
                    <c:v>-77,56135682</c:v>
                  </c:pt>
                  <c:pt idx="18">
                    <c:v>-79,90859301</c:v>
                  </c:pt>
                  <c:pt idx="19">
                    <c:v>-82,23539748</c:v>
                  </c:pt>
                  <c:pt idx="20">
                    <c:v>-84,5999726</c:v>
                  </c:pt>
                  <c:pt idx="21">
                    <c:v>-86,92845843</c:v>
                  </c:pt>
                  <c:pt idx="22">
                    <c:v>-89,31020497</c:v>
                  </c:pt>
                  <c:pt idx="23">
                    <c:v>-98,78918919</c:v>
                  </c:pt>
                  <c:pt idx="24">
                    <c:v>-108,3872539</c:v>
                  </c:pt>
                  <c:pt idx="25">
                    <c:v>-118,0907881</c:v>
                  </c:pt>
                  <c:pt idx="26">
                    <c:v>-120,5335605</c:v>
                  </c:pt>
                  <c:pt idx="27">
                    <c:v>-122,9695842</c:v>
                  </c:pt>
                  <c:pt idx="28">
                    <c:v>-125,4124675</c:v>
                  </c:pt>
                  <c:pt idx="29">
                    <c:v>-127,8622102</c:v>
                  </c:pt>
                  <c:pt idx="30">
                    <c:v>-130,3188124</c:v>
                  </c:pt>
                  <c:pt idx="31">
                    <c:v>-132,7960068</c:v>
                  </c:pt>
                  <c:pt idx="32">
                    <c:v>-135,2663487</c:v>
                  </c:pt>
                  <c:pt idx="33">
                    <c:v>-137,74355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  <c:lvl>
                  <c:pt idx="0">
                    <c:v>Раствор 1(тв): </c:v>
                  </c:pt>
                  <c:pt idx="1">
                    <c:v>45035,16308</c:v>
                  </c:pt>
                  <c:pt idx="2">
                    <c:v>43084,43882</c:v>
                  </c:pt>
                  <c:pt idx="3">
                    <c:v>41100,86595</c:v>
                  </c:pt>
                  <c:pt idx="4">
                    <c:v>38964,96094</c:v>
                  </c:pt>
                  <c:pt idx="5">
                    <c:v>36649,88418</c:v>
                  </c:pt>
                  <c:pt idx="6">
                    <c:v>27663,94816</c:v>
                  </c:pt>
                  <c:pt idx="7">
                    <c:v>25840,93135</c:v>
                  </c:pt>
                  <c:pt idx="8">
                    <c:v>24214,93693</c:v>
                  </c:pt>
                  <c:pt idx="9">
                    <c:v>22800,77408</c:v>
                  </c:pt>
                  <c:pt idx="10">
                    <c:v>21563,92233</c:v>
                  </c:pt>
                  <c:pt idx="11">
                    <c:v>20467,38803</c:v>
                  </c:pt>
                  <c:pt idx="12">
                    <c:v>19463,4727</c:v>
                  </c:pt>
                  <c:pt idx="13">
                    <c:v>18544,76879</c:v>
                  </c:pt>
                  <c:pt idx="14">
                    <c:v>17714,93845</c:v>
                  </c:pt>
                  <c:pt idx="15">
                    <c:v>16973,14592</c:v>
                  </c:pt>
                  <c:pt idx="16">
                    <c:v>16325,63377</c:v>
                  </c:pt>
                  <c:pt idx="17">
                    <c:v>15776,64354</c:v>
                  </c:pt>
                  <c:pt idx="18">
                    <c:v>15314,56304</c:v>
                  </c:pt>
                  <c:pt idx="19">
                    <c:v>14915,3013</c:v>
                  </c:pt>
                  <c:pt idx="20">
                    <c:v>14572,68329</c:v>
                  </c:pt>
                  <c:pt idx="21">
                    <c:v>14271,33816</c:v>
                  </c:pt>
                  <c:pt idx="22">
                    <c:v>14005,31155</c:v>
                  </c:pt>
                  <c:pt idx="23">
                    <c:v>13254,30324</c:v>
                  </c:pt>
                  <c:pt idx="24">
                    <c:v>12999,40359</c:v>
                  </c:pt>
                  <c:pt idx="25">
                    <c:v>13492,91632</c:v>
                  </c:pt>
                  <c:pt idx="26">
                    <c:v>13730,64539</c:v>
                  </c:pt>
                  <c:pt idx="27">
                    <c:v>13995,36387</c:v>
                  </c:pt>
                  <c:pt idx="28">
                    <c:v>14278,74808</c:v>
                  </c:pt>
                  <c:pt idx="29">
                    <c:v>14574,40398</c:v>
                  </c:pt>
                  <c:pt idx="30">
                    <c:v>14879,07857</c:v>
                  </c:pt>
                  <c:pt idx="31">
                    <c:v>15190,41569</c:v>
                  </c:pt>
                  <c:pt idx="32">
                    <c:v>15505,03148</c:v>
                  </c:pt>
                  <c:pt idx="33">
                    <c:v>15823,02522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422</c:v>
                  </c:pt>
                  <c:pt idx="8">
                    <c:v>438</c:v>
                  </c:pt>
                  <c:pt idx="9">
                    <c:v>455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736</c:v>
                  </c:pt>
                  <c:pt idx="24">
                    <c:v>802</c:v>
                  </c:pt>
                  <c:pt idx="25">
                    <c:v>868</c:v>
                  </c:pt>
                  <c:pt idx="26">
                    <c:v>884</c:v>
                  </c:pt>
                  <c:pt idx="27">
                    <c:v>901</c:v>
                  </c:pt>
                  <c:pt idx="28">
                    <c:v>917</c:v>
                  </c:pt>
                  <c:pt idx="29">
                    <c:v>934</c:v>
                  </c:pt>
                  <c:pt idx="30">
                    <c:v>950</c:v>
                  </c:pt>
                  <c:pt idx="31">
                    <c:v>967</c:v>
                  </c:pt>
                  <c:pt idx="32">
                    <c:v>984</c:v>
                  </c:pt>
                  <c:pt idx="33">
                    <c:v>1000</c:v>
                  </c:pt>
                </c:lvl>
              </c:multiLvlStrCache>
            </c:multiLvlStrRef>
          </c:xVal>
          <c:yVal>
            <c:numRef>
              <c:f>ALL!$E$131:$AL$131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74B-47E8-A19D-44B695C09DB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44928,41415</c:v>
                  </c:pt>
                  <c:pt idx="2">
                    <c:v>42977,89466</c:v>
                  </c:pt>
                  <c:pt idx="3">
                    <c:v>40999,45952</c:v>
                  </c:pt>
                  <c:pt idx="4">
                    <c:v>38875,1035</c:v>
                  </c:pt>
                  <c:pt idx="5">
                    <c:v>36574,76864</c:v>
                  </c:pt>
                  <c:pt idx="6">
                    <c:v>27609,31327</c:v>
                  </c:pt>
                  <c:pt idx="7">
                    <c:v>25785,08692</c:v>
                  </c:pt>
                  <c:pt idx="8">
                    <c:v>24157,35567</c:v>
                  </c:pt>
                  <c:pt idx="9">
                    <c:v>22741,19233</c:v>
                  </c:pt>
                  <c:pt idx="10">
                    <c:v>21502,22964</c:v>
                  </c:pt>
                  <c:pt idx="11">
                    <c:v>20403,51748</c:v>
                  </c:pt>
                  <c:pt idx="12">
                    <c:v>19397,38271</c:v>
                  </c:pt>
                  <c:pt idx="13">
                    <c:v>18476,3952</c:v>
                  </c:pt>
                  <c:pt idx="14">
                    <c:v>17644,28426</c:v>
                  </c:pt>
                  <c:pt idx="15">
                    <c:v>16900,17327</c:v>
                  </c:pt>
                  <c:pt idx="16">
                    <c:v>16250,37065</c:v>
                  </c:pt>
                  <c:pt idx="17">
                    <c:v>15699,08219</c:v>
                  </c:pt>
                  <c:pt idx="18">
                    <c:v>15234,65445</c:v>
                  </c:pt>
                  <c:pt idx="19">
                    <c:v>14833,0659</c:v>
                  </c:pt>
                  <c:pt idx="20">
                    <c:v>14488,08332</c:v>
                  </c:pt>
                  <c:pt idx="21">
                    <c:v>14184,4097</c:v>
                  </c:pt>
                  <c:pt idx="22">
                    <c:v>13916,00134</c:v>
                  </c:pt>
                  <c:pt idx="23">
                    <c:v>13155,51405</c:v>
                  </c:pt>
                  <c:pt idx="24">
                    <c:v>12891,01634</c:v>
                  </c:pt>
                  <c:pt idx="25">
                    <c:v>13374,82553</c:v>
                  </c:pt>
                  <c:pt idx="26">
                    <c:v>13610,11183</c:v>
                  </c:pt>
                  <c:pt idx="27">
                    <c:v>13872,39429</c:v>
                  </c:pt>
                  <c:pt idx="28">
                    <c:v>14153,33561</c:v>
                  </c:pt>
                  <c:pt idx="29">
                    <c:v>14446,54177</c:v>
                  </c:pt>
                  <c:pt idx="30">
                    <c:v>14748,75976</c:v>
                  </c:pt>
                  <c:pt idx="31">
                    <c:v>15057,61968</c:v>
                  </c:pt>
                  <c:pt idx="32">
                    <c:v>15369,76514</c:v>
                  </c:pt>
                  <c:pt idx="33">
                    <c:v>15685,28167</c:v>
                  </c:pt>
                </c:lvl>
                <c:lvl>
                  <c:pt idx="0">
                    <c:v>Раствор 3 + газовая без Ar: </c:v>
                  </c:pt>
                  <c:pt idx="1">
                    <c:v>-106,7489304</c:v>
                  </c:pt>
                  <c:pt idx="2">
                    <c:v>-106,544163</c:v>
                  </c:pt>
                  <c:pt idx="3">
                    <c:v>-101,4064374</c:v>
                  </c:pt>
                  <c:pt idx="4">
                    <c:v>-89,85743842</c:v>
                  </c:pt>
                  <c:pt idx="5">
                    <c:v>-75,11554309</c:v>
                  </c:pt>
                  <c:pt idx="6">
                    <c:v>-54,63489601</c:v>
                  </c:pt>
                  <c:pt idx="7">
                    <c:v>-55,84442445</c:v>
                  </c:pt>
                  <c:pt idx="8">
                    <c:v>-57,58125456</c:v>
                  </c:pt>
                  <c:pt idx="9">
                    <c:v>-59,58174951</c:v>
                  </c:pt>
                  <c:pt idx="10">
                    <c:v>-61,69268103</c:v>
                  </c:pt>
                  <c:pt idx="11">
                    <c:v>-63,87055259</c:v>
                  </c:pt>
                  <c:pt idx="12">
                    <c:v>-66,08999189</c:v>
                  </c:pt>
                  <c:pt idx="13">
                    <c:v>-68,37358979</c:v>
                  </c:pt>
                  <c:pt idx="14">
                    <c:v>-70,6541872</c:v>
                  </c:pt>
                  <c:pt idx="15">
                    <c:v>-72,97265326</c:v>
                  </c:pt>
                  <c:pt idx="16">
                    <c:v>-75,26312354</c:v>
                  </c:pt>
                  <c:pt idx="17">
                    <c:v>-77,56135682</c:v>
                  </c:pt>
                  <c:pt idx="18">
                    <c:v>-79,90859301</c:v>
                  </c:pt>
                  <c:pt idx="19">
                    <c:v>-82,23539748</c:v>
                  </c:pt>
                  <c:pt idx="20">
                    <c:v>-84,5999726</c:v>
                  </c:pt>
                  <c:pt idx="21">
                    <c:v>-86,92845843</c:v>
                  </c:pt>
                  <c:pt idx="22">
                    <c:v>-89,31020497</c:v>
                  </c:pt>
                  <c:pt idx="23">
                    <c:v>-98,78918919</c:v>
                  </c:pt>
                  <c:pt idx="24">
                    <c:v>-108,3872539</c:v>
                  </c:pt>
                  <c:pt idx="25">
                    <c:v>-118,0907881</c:v>
                  </c:pt>
                  <c:pt idx="26">
                    <c:v>-120,5335605</c:v>
                  </c:pt>
                  <c:pt idx="27">
                    <c:v>-122,9695842</c:v>
                  </c:pt>
                  <c:pt idx="28">
                    <c:v>-125,4124675</c:v>
                  </c:pt>
                  <c:pt idx="29">
                    <c:v>-127,8622102</c:v>
                  </c:pt>
                  <c:pt idx="30">
                    <c:v>-130,3188124</c:v>
                  </c:pt>
                  <c:pt idx="31">
                    <c:v>-132,7960068</c:v>
                  </c:pt>
                  <c:pt idx="32">
                    <c:v>-135,2663487</c:v>
                  </c:pt>
                  <c:pt idx="33">
                    <c:v>-137,74355</c:v>
                  </c:pt>
                </c:lvl>
                <c:lvl>
                  <c:pt idx="0">
                    <c:v>Раствор 1 + газовая без Ar: </c:v>
                  </c:pt>
                  <c:pt idx="1">
                    <c:v>44928,41415</c:v>
                  </c:pt>
                  <c:pt idx="2">
                    <c:v>42977,89466</c:v>
                  </c:pt>
                  <c:pt idx="3">
                    <c:v>40999,45952</c:v>
                  </c:pt>
                  <c:pt idx="4">
                    <c:v>38875,1035</c:v>
                  </c:pt>
                  <c:pt idx="5">
                    <c:v>36574,76864</c:v>
                  </c:pt>
                  <c:pt idx="6">
                    <c:v>27609,31327</c:v>
                  </c:pt>
                  <c:pt idx="7">
                    <c:v>25785,08692</c:v>
                  </c:pt>
                  <c:pt idx="8">
                    <c:v>24157,35567</c:v>
                  </c:pt>
                  <c:pt idx="9">
                    <c:v>22741,19233</c:v>
                  </c:pt>
                  <c:pt idx="10">
                    <c:v>21502,22964</c:v>
                  </c:pt>
                  <c:pt idx="11">
                    <c:v>20403,51748</c:v>
                  </c:pt>
                  <c:pt idx="12">
                    <c:v>19397,38271</c:v>
                  </c:pt>
                  <c:pt idx="13">
                    <c:v>18476,3952</c:v>
                  </c:pt>
                  <c:pt idx="14">
                    <c:v>17644,28426</c:v>
                  </c:pt>
                  <c:pt idx="15">
                    <c:v>16900,17327</c:v>
                  </c:pt>
                  <c:pt idx="16">
                    <c:v>16250,37065</c:v>
                  </c:pt>
                  <c:pt idx="17">
                    <c:v>15699,08219</c:v>
                  </c:pt>
                  <c:pt idx="18">
                    <c:v>15234,65445</c:v>
                  </c:pt>
                  <c:pt idx="19">
                    <c:v>14833,0659</c:v>
                  </c:pt>
                  <c:pt idx="20">
                    <c:v>14488,08332</c:v>
                  </c:pt>
                  <c:pt idx="21">
                    <c:v>14184,4097</c:v>
                  </c:pt>
                  <c:pt idx="22">
                    <c:v>13916,00134</c:v>
                  </c:pt>
                  <c:pt idx="23">
                    <c:v>13155,51405</c:v>
                  </c:pt>
                  <c:pt idx="24">
                    <c:v>12891,01634</c:v>
                  </c:pt>
                  <c:pt idx="25">
                    <c:v>13374,82553</c:v>
                  </c:pt>
                  <c:pt idx="26">
                    <c:v>13610,11183</c:v>
                  </c:pt>
                  <c:pt idx="27">
                    <c:v>13872,39429</c:v>
                  </c:pt>
                  <c:pt idx="28">
                    <c:v>14153,33561</c:v>
                  </c:pt>
                  <c:pt idx="29">
                    <c:v>14446,54177</c:v>
                  </c:pt>
                  <c:pt idx="30">
                    <c:v>14748,75976</c:v>
                  </c:pt>
                  <c:pt idx="31">
                    <c:v>15057,61968</c:v>
                  </c:pt>
                  <c:pt idx="32">
                    <c:v>15369,76514</c:v>
                  </c:pt>
                  <c:pt idx="33">
                    <c:v>15685,28167</c:v>
                  </c:pt>
                </c:lvl>
                <c:lvl>
                  <c:pt idx="0">
                    <c:v>Газовая без Ar: </c:v>
                  </c:pt>
                  <c:pt idx="1">
                    <c:v>-106,7489304</c:v>
                  </c:pt>
                  <c:pt idx="2">
                    <c:v>-106,544163</c:v>
                  </c:pt>
                  <c:pt idx="3">
                    <c:v>-101,4064374</c:v>
                  </c:pt>
                  <c:pt idx="4">
                    <c:v>-89,85743842</c:v>
                  </c:pt>
                  <c:pt idx="5">
                    <c:v>-75,11554309</c:v>
                  </c:pt>
                  <c:pt idx="6">
                    <c:v>-54,63489601</c:v>
                  </c:pt>
                  <c:pt idx="7">
                    <c:v>-55,84442445</c:v>
                  </c:pt>
                  <c:pt idx="8">
                    <c:v>-57,58125456</c:v>
                  </c:pt>
                  <c:pt idx="9">
                    <c:v>-59,58174951</c:v>
                  </c:pt>
                  <c:pt idx="10">
                    <c:v>-61,69268103</c:v>
                  </c:pt>
                  <c:pt idx="11">
                    <c:v>-63,87055259</c:v>
                  </c:pt>
                  <c:pt idx="12">
                    <c:v>-66,08999189</c:v>
                  </c:pt>
                  <c:pt idx="13">
                    <c:v>-68,37358979</c:v>
                  </c:pt>
                  <c:pt idx="14">
                    <c:v>-70,6541872</c:v>
                  </c:pt>
                  <c:pt idx="15">
                    <c:v>-72,97265326</c:v>
                  </c:pt>
                  <c:pt idx="16">
                    <c:v>-75,26312354</c:v>
                  </c:pt>
                  <c:pt idx="17">
                    <c:v>-77,56135682</c:v>
                  </c:pt>
                  <c:pt idx="18">
                    <c:v>-79,90859301</c:v>
                  </c:pt>
                  <c:pt idx="19">
                    <c:v>-82,23539748</c:v>
                  </c:pt>
                  <c:pt idx="20">
                    <c:v>-84,5999726</c:v>
                  </c:pt>
                  <c:pt idx="21">
                    <c:v>-86,92845843</c:v>
                  </c:pt>
                  <c:pt idx="22">
                    <c:v>-89,31020497</c:v>
                  </c:pt>
                  <c:pt idx="23">
                    <c:v>-98,78918919</c:v>
                  </c:pt>
                  <c:pt idx="24">
                    <c:v>-108,3872539</c:v>
                  </c:pt>
                  <c:pt idx="25">
                    <c:v>-118,0907881</c:v>
                  </c:pt>
                  <c:pt idx="26">
                    <c:v>-120,5335605</c:v>
                  </c:pt>
                  <c:pt idx="27">
                    <c:v>-122,9695842</c:v>
                  </c:pt>
                  <c:pt idx="28">
                    <c:v>-125,4124675</c:v>
                  </c:pt>
                  <c:pt idx="29">
                    <c:v>-127,8622102</c:v>
                  </c:pt>
                  <c:pt idx="30">
                    <c:v>-130,3188124</c:v>
                  </c:pt>
                  <c:pt idx="31">
                    <c:v>-132,7960068</c:v>
                  </c:pt>
                  <c:pt idx="32">
                    <c:v>-135,2663487</c:v>
                  </c:pt>
                  <c:pt idx="33">
                    <c:v>-137,74355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  <c:lvl>
                  <c:pt idx="0">
                    <c:v>Раствор 1(тв): </c:v>
                  </c:pt>
                  <c:pt idx="1">
                    <c:v>45035,16308</c:v>
                  </c:pt>
                  <c:pt idx="2">
                    <c:v>43084,43882</c:v>
                  </c:pt>
                  <c:pt idx="3">
                    <c:v>41100,86595</c:v>
                  </c:pt>
                  <c:pt idx="4">
                    <c:v>38964,96094</c:v>
                  </c:pt>
                  <c:pt idx="5">
                    <c:v>36649,88418</c:v>
                  </c:pt>
                  <c:pt idx="6">
                    <c:v>27663,94816</c:v>
                  </c:pt>
                  <c:pt idx="7">
                    <c:v>25840,93135</c:v>
                  </c:pt>
                  <c:pt idx="8">
                    <c:v>24214,93693</c:v>
                  </c:pt>
                  <c:pt idx="9">
                    <c:v>22800,77408</c:v>
                  </c:pt>
                  <c:pt idx="10">
                    <c:v>21563,92233</c:v>
                  </c:pt>
                  <c:pt idx="11">
                    <c:v>20467,38803</c:v>
                  </c:pt>
                  <c:pt idx="12">
                    <c:v>19463,4727</c:v>
                  </c:pt>
                  <c:pt idx="13">
                    <c:v>18544,76879</c:v>
                  </c:pt>
                  <c:pt idx="14">
                    <c:v>17714,93845</c:v>
                  </c:pt>
                  <c:pt idx="15">
                    <c:v>16973,14592</c:v>
                  </c:pt>
                  <c:pt idx="16">
                    <c:v>16325,63377</c:v>
                  </c:pt>
                  <c:pt idx="17">
                    <c:v>15776,64354</c:v>
                  </c:pt>
                  <c:pt idx="18">
                    <c:v>15314,56304</c:v>
                  </c:pt>
                  <c:pt idx="19">
                    <c:v>14915,3013</c:v>
                  </c:pt>
                  <c:pt idx="20">
                    <c:v>14572,68329</c:v>
                  </c:pt>
                  <c:pt idx="21">
                    <c:v>14271,33816</c:v>
                  </c:pt>
                  <c:pt idx="22">
                    <c:v>14005,31155</c:v>
                  </c:pt>
                  <c:pt idx="23">
                    <c:v>13254,30324</c:v>
                  </c:pt>
                  <c:pt idx="24">
                    <c:v>12999,40359</c:v>
                  </c:pt>
                  <c:pt idx="25">
                    <c:v>13492,91632</c:v>
                  </c:pt>
                  <c:pt idx="26">
                    <c:v>13730,64539</c:v>
                  </c:pt>
                  <c:pt idx="27">
                    <c:v>13995,36387</c:v>
                  </c:pt>
                  <c:pt idx="28">
                    <c:v>14278,74808</c:v>
                  </c:pt>
                  <c:pt idx="29">
                    <c:v>14574,40398</c:v>
                  </c:pt>
                  <c:pt idx="30">
                    <c:v>14879,07857</c:v>
                  </c:pt>
                  <c:pt idx="31">
                    <c:v>15190,41569</c:v>
                  </c:pt>
                  <c:pt idx="32">
                    <c:v>15505,03148</c:v>
                  </c:pt>
                  <c:pt idx="33">
                    <c:v>15823,02522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422</c:v>
                  </c:pt>
                  <c:pt idx="8">
                    <c:v>438</c:v>
                  </c:pt>
                  <c:pt idx="9">
                    <c:v>455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736</c:v>
                  </c:pt>
                  <c:pt idx="24">
                    <c:v>802</c:v>
                  </c:pt>
                  <c:pt idx="25">
                    <c:v>868</c:v>
                  </c:pt>
                  <c:pt idx="26">
                    <c:v>884</c:v>
                  </c:pt>
                  <c:pt idx="27">
                    <c:v>901</c:v>
                  </c:pt>
                  <c:pt idx="28">
                    <c:v>917</c:v>
                  </c:pt>
                  <c:pt idx="29">
                    <c:v>934</c:v>
                  </c:pt>
                  <c:pt idx="30">
                    <c:v>950</c:v>
                  </c:pt>
                  <c:pt idx="31">
                    <c:v>967</c:v>
                  </c:pt>
                  <c:pt idx="32">
                    <c:v>984</c:v>
                  </c:pt>
                  <c:pt idx="33">
                    <c:v>1000</c:v>
                  </c:pt>
                </c:lvl>
              </c:multiLvlStrCache>
            </c:multiLvlStrRef>
          </c:xVal>
          <c:yVal>
            <c:numRef>
              <c:f>ALL!$E$132:$AL$132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74B-47E8-A19D-44B695C09DB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44928,41415</c:v>
                  </c:pt>
                  <c:pt idx="2">
                    <c:v>42977,89466</c:v>
                  </c:pt>
                  <c:pt idx="3">
                    <c:v>40999,45952</c:v>
                  </c:pt>
                  <c:pt idx="4">
                    <c:v>38875,1035</c:v>
                  </c:pt>
                  <c:pt idx="5">
                    <c:v>36574,76864</c:v>
                  </c:pt>
                  <c:pt idx="6">
                    <c:v>27609,31327</c:v>
                  </c:pt>
                  <c:pt idx="7">
                    <c:v>25785,08692</c:v>
                  </c:pt>
                  <c:pt idx="8">
                    <c:v>24157,35567</c:v>
                  </c:pt>
                  <c:pt idx="9">
                    <c:v>22741,19233</c:v>
                  </c:pt>
                  <c:pt idx="10">
                    <c:v>21502,22964</c:v>
                  </c:pt>
                  <c:pt idx="11">
                    <c:v>20403,51748</c:v>
                  </c:pt>
                  <c:pt idx="12">
                    <c:v>19397,38271</c:v>
                  </c:pt>
                  <c:pt idx="13">
                    <c:v>18476,3952</c:v>
                  </c:pt>
                  <c:pt idx="14">
                    <c:v>17644,28426</c:v>
                  </c:pt>
                  <c:pt idx="15">
                    <c:v>16900,17327</c:v>
                  </c:pt>
                  <c:pt idx="16">
                    <c:v>16250,37065</c:v>
                  </c:pt>
                  <c:pt idx="17">
                    <c:v>15699,08219</c:v>
                  </c:pt>
                  <c:pt idx="18">
                    <c:v>15234,65445</c:v>
                  </c:pt>
                  <c:pt idx="19">
                    <c:v>14833,0659</c:v>
                  </c:pt>
                  <c:pt idx="20">
                    <c:v>14488,08332</c:v>
                  </c:pt>
                  <c:pt idx="21">
                    <c:v>14184,4097</c:v>
                  </c:pt>
                  <c:pt idx="22">
                    <c:v>13916,00134</c:v>
                  </c:pt>
                  <c:pt idx="23">
                    <c:v>13155,51405</c:v>
                  </c:pt>
                  <c:pt idx="24">
                    <c:v>12891,01634</c:v>
                  </c:pt>
                  <c:pt idx="25">
                    <c:v>13374,82553</c:v>
                  </c:pt>
                  <c:pt idx="26">
                    <c:v>13610,11183</c:v>
                  </c:pt>
                  <c:pt idx="27">
                    <c:v>13872,39429</c:v>
                  </c:pt>
                  <c:pt idx="28">
                    <c:v>14153,33561</c:v>
                  </c:pt>
                  <c:pt idx="29">
                    <c:v>14446,54177</c:v>
                  </c:pt>
                  <c:pt idx="30">
                    <c:v>14748,75976</c:v>
                  </c:pt>
                  <c:pt idx="31">
                    <c:v>15057,61968</c:v>
                  </c:pt>
                  <c:pt idx="32">
                    <c:v>15369,76514</c:v>
                  </c:pt>
                  <c:pt idx="33">
                    <c:v>15685,28167</c:v>
                  </c:pt>
                </c:lvl>
                <c:lvl>
                  <c:pt idx="0">
                    <c:v>Раствор 3 + газовая без Ar: </c:v>
                  </c:pt>
                  <c:pt idx="1">
                    <c:v>-106,7489304</c:v>
                  </c:pt>
                  <c:pt idx="2">
                    <c:v>-106,544163</c:v>
                  </c:pt>
                  <c:pt idx="3">
                    <c:v>-101,4064374</c:v>
                  </c:pt>
                  <c:pt idx="4">
                    <c:v>-89,85743842</c:v>
                  </c:pt>
                  <c:pt idx="5">
                    <c:v>-75,11554309</c:v>
                  </c:pt>
                  <c:pt idx="6">
                    <c:v>-54,63489601</c:v>
                  </c:pt>
                  <c:pt idx="7">
                    <c:v>-55,84442445</c:v>
                  </c:pt>
                  <c:pt idx="8">
                    <c:v>-57,58125456</c:v>
                  </c:pt>
                  <c:pt idx="9">
                    <c:v>-59,58174951</c:v>
                  </c:pt>
                  <c:pt idx="10">
                    <c:v>-61,69268103</c:v>
                  </c:pt>
                  <c:pt idx="11">
                    <c:v>-63,87055259</c:v>
                  </c:pt>
                  <c:pt idx="12">
                    <c:v>-66,08999189</c:v>
                  </c:pt>
                  <c:pt idx="13">
                    <c:v>-68,37358979</c:v>
                  </c:pt>
                  <c:pt idx="14">
                    <c:v>-70,6541872</c:v>
                  </c:pt>
                  <c:pt idx="15">
                    <c:v>-72,97265326</c:v>
                  </c:pt>
                  <c:pt idx="16">
                    <c:v>-75,26312354</c:v>
                  </c:pt>
                  <c:pt idx="17">
                    <c:v>-77,56135682</c:v>
                  </c:pt>
                  <c:pt idx="18">
                    <c:v>-79,90859301</c:v>
                  </c:pt>
                  <c:pt idx="19">
                    <c:v>-82,23539748</c:v>
                  </c:pt>
                  <c:pt idx="20">
                    <c:v>-84,5999726</c:v>
                  </c:pt>
                  <c:pt idx="21">
                    <c:v>-86,92845843</c:v>
                  </c:pt>
                  <c:pt idx="22">
                    <c:v>-89,31020497</c:v>
                  </c:pt>
                  <c:pt idx="23">
                    <c:v>-98,78918919</c:v>
                  </c:pt>
                  <c:pt idx="24">
                    <c:v>-108,3872539</c:v>
                  </c:pt>
                  <c:pt idx="25">
                    <c:v>-118,0907881</c:v>
                  </c:pt>
                  <c:pt idx="26">
                    <c:v>-120,5335605</c:v>
                  </c:pt>
                  <c:pt idx="27">
                    <c:v>-122,9695842</c:v>
                  </c:pt>
                  <c:pt idx="28">
                    <c:v>-125,4124675</c:v>
                  </c:pt>
                  <c:pt idx="29">
                    <c:v>-127,8622102</c:v>
                  </c:pt>
                  <c:pt idx="30">
                    <c:v>-130,3188124</c:v>
                  </c:pt>
                  <c:pt idx="31">
                    <c:v>-132,7960068</c:v>
                  </c:pt>
                  <c:pt idx="32">
                    <c:v>-135,2663487</c:v>
                  </c:pt>
                  <c:pt idx="33">
                    <c:v>-137,74355</c:v>
                  </c:pt>
                </c:lvl>
                <c:lvl>
                  <c:pt idx="0">
                    <c:v>Раствор 1 + газовая без Ar: </c:v>
                  </c:pt>
                  <c:pt idx="1">
                    <c:v>44928,41415</c:v>
                  </c:pt>
                  <c:pt idx="2">
                    <c:v>42977,89466</c:v>
                  </c:pt>
                  <c:pt idx="3">
                    <c:v>40999,45952</c:v>
                  </c:pt>
                  <c:pt idx="4">
                    <c:v>38875,1035</c:v>
                  </c:pt>
                  <c:pt idx="5">
                    <c:v>36574,76864</c:v>
                  </c:pt>
                  <c:pt idx="6">
                    <c:v>27609,31327</c:v>
                  </c:pt>
                  <c:pt idx="7">
                    <c:v>25785,08692</c:v>
                  </c:pt>
                  <c:pt idx="8">
                    <c:v>24157,35567</c:v>
                  </c:pt>
                  <c:pt idx="9">
                    <c:v>22741,19233</c:v>
                  </c:pt>
                  <c:pt idx="10">
                    <c:v>21502,22964</c:v>
                  </c:pt>
                  <c:pt idx="11">
                    <c:v>20403,51748</c:v>
                  </c:pt>
                  <c:pt idx="12">
                    <c:v>19397,38271</c:v>
                  </c:pt>
                  <c:pt idx="13">
                    <c:v>18476,3952</c:v>
                  </c:pt>
                  <c:pt idx="14">
                    <c:v>17644,28426</c:v>
                  </c:pt>
                  <c:pt idx="15">
                    <c:v>16900,17327</c:v>
                  </c:pt>
                  <c:pt idx="16">
                    <c:v>16250,37065</c:v>
                  </c:pt>
                  <c:pt idx="17">
                    <c:v>15699,08219</c:v>
                  </c:pt>
                  <c:pt idx="18">
                    <c:v>15234,65445</c:v>
                  </c:pt>
                  <c:pt idx="19">
                    <c:v>14833,0659</c:v>
                  </c:pt>
                  <c:pt idx="20">
                    <c:v>14488,08332</c:v>
                  </c:pt>
                  <c:pt idx="21">
                    <c:v>14184,4097</c:v>
                  </c:pt>
                  <c:pt idx="22">
                    <c:v>13916,00134</c:v>
                  </c:pt>
                  <c:pt idx="23">
                    <c:v>13155,51405</c:v>
                  </c:pt>
                  <c:pt idx="24">
                    <c:v>12891,01634</c:v>
                  </c:pt>
                  <c:pt idx="25">
                    <c:v>13374,82553</c:v>
                  </c:pt>
                  <c:pt idx="26">
                    <c:v>13610,11183</c:v>
                  </c:pt>
                  <c:pt idx="27">
                    <c:v>13872,39429</c:v>
                  </c:pt>
                  <c:pt idx="28">
                    <c:v>14153,33561</c:v>
                  </c:pt>
                  <c:pt idx="29">
                    <c:v>14446,54177</c:v>
                  </c:pt>
                  <c:pt idx="30">
                    <c:v>14748,75976</c:v>
                  </c:pt>
                  <c:pt idx="31">
                    <c:v>15057,61968</c:v>
                  </c:pt>
                  <c:pt idx="32">
                    <c:v>15369,76514</c:v>
                  </c:pt>
                  <c:pt idx="33">
                    <c:v>15685,28167</c:v>
                  </c:pt>
                </c:lvl>
                <c:lvl>
                  <c:pt idx="0">
                    <c:v>Газовая без Ar: </c:v>
                  </c:pt>
                  <c:pt idx="1">
                    <c:v>-106,7489304</c:v>
                  </c:pt>
                  <c:pt idx="2">
                    <c:v>-106,544163</c:v>
                  </c:pt>
                  <c:pt idx="3">
                    <c:v>-101,4064374</c:v>
                  </c:pt>
                  <c:pt idx="4">
                    <c:v>-89,85743842</c:v>
                  </c:pt>
                  <c:pt idx="5">
                    <c:v>-75,11554309</c:v>
                  </c:pt>
                  <c:pt idx="6">
                    <c:v>-54,63489601</c:v>
                  </c:pt>
                  <c:pt idx="7">
                    <c:v>-55,84442445</c:v>
                  </c:pt>
                  <c:pt idx="8">
                    <c:v>-57,58125456</c:v>
                  </c:pt>
                  <c:pt idx="9">
                    <c:v>-59,58174951</c:v>
                  </c:pt>
                  <c:pt idx="10">
                    <c:v>-61,69268103</c:v>
                  </c:pt>
                  <c:pt idx="11">
                    <c:v>-63,87055259</c:v>
                  </c:pt>
                  <c:pt idx="12">
                    <c:v>-66,08999189</c:v>
                  </c:pt>
                  <c:pt idx="13">
                    <c:v>-68,37358979</c:v>
                  </c:pt>
                  <c:pt idx="14">
                    <c:v>-70,6541872</c:v>
                  </c:pt>
                  <c:pt idx="15">
                    <c:v>-72,97265326</c:v>
                  </c:pt>
                  <c:pt idx="16">
                    <c:v>-75,26312354</c:v>
                  </c:pt>
                  <c:pt idx="17">
                    <c:v>-77,56135682</c:v>
                  </c:pt>
                  <c:pt idx="18">
                    <c:v>-79,90859301</c:v>
                  </c:pt>
                  <c:pt idx="19">
                    <c:v>-82,23539748</c:v>
                  </c:pt>
                  <c:pt idx="20">
                    <c:v>-84,5999726</c:v>
                  </c:pt>
                  <c:pt idx="21">
                    <c:v>-86,92845843</c:v>
                  </c:pt>
                  <c:pt idx="22">
                    <c:v>-89,31020497</c:v>
                  </c:pt>
                  <c:pt idx="23">
                    <c:v>-98,78918919</c:v>
                  </c:pt>
                  <c:pt idx="24">
                    <c:v>-108,3872539</c:v>
                  </c:pt>
                  <c:pt idx="25">
                    <c:v>-118,0907881</c:v>
                  </c:pt>
                  <c:pt idx="26">
                    <c:v>-120,5335605</c:v>
                  </c:pt>
                  <c:pt idx="27">
                    <c:v>-122,9695842</c:v>
                  </c:pt>
                  <c:pt idx="28">
                    <c:v>-125,4124675</c:v>
                  </c:pt>
                  <c:pt idx="29">
                    <c:v>-127,8622102</c:v>
                  </c:pt>
                  <c:pt idx="30">
                    <c:v>-130,3188124</c:v>
                  </c:pt>
                  <c:pt idx="31">
                    <c:v>-132,7960068</c:v>
                  </c:pt>
                  <c:pt idx="32">
                    <c:v>-135,2663487</c:v>
                  </c:pt>
                  <c:pt idx="33">
                    <c:v>-137,74355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  <c:lvl>
                  <c:pt idx="0">
                    <c:v>Раствор 1(тв): </c:v>
                  </c:pt>
                  <c:pt idx="1">
                    <c:v>45035,16308</c:v>
                  </c:pt>
                  <c:pt idx="2">
                    <c:v>43084,43882</c:v>
                  </c:pt>
                  <c:pt idx="3">
                    <c:v>41100,86595</c:v>
                  </c:pt>
                  <c:pt idx="4">
                    <c:v>38964,96094</c:v>
                  </c:pt>
                  <c:pt idx="5">
                    <c:v>36649,88418</c:v>
                  </c:pt>
                  <c:pt idx="6">
                    <c:v>27663,94816</c:v>
                  </c:pt>
                  <c:pt idx="7">
                    <c:v>25840,93135</c:v>
                  </c:pt>
                  <c:pt idx="8">
                    <c:v>24214,93693</c:v>
                  </c:pt>
                  <c:pt idx="9">
                    <c:v>22800,77408</c:v>
                  </c:pt>
                  <c:pt idx="10">
                    <c:v>21563,92233</c:v>
                  </c:pt>
                  <c:pt idx="11">
                    <c:v>20467,38803</c:v>
                  </c:pt>
                  <c:pt idx="12">
                    <c:v>19463,4727</c:v>
                  </c:pt>
                  <c:pt idx="13">
                    <c:v>18544,76879</c:v>
                  </c:pt>
                  <c:pt idx="14">
                    <c:v>17714,93845</c:v>
                  </c:pt>
                  <c:pt idx="15">
                    <c:v>16973,14592</c:v>
                  </c:pt>
                  <c:pt idx="16">
                    <c:v>16325,63377</c:v>
                  </c:pt>
                  <c:pt idx="17">
                    <c:v>15776,64354</c:v>
                  </c:pt>
                  <c:pt idx="18">
                    <c:v>15314,56304</c:v>
                  </c:pt>
                  <c:pt idx="19">
                    <c:v>14915,3013</c:v>
                  </c:pt>
                  <c:pt idx="20">
                    <c:v>14572,68329</c:v>
                  </c:pt>
                  <c:pt idx="21">
                    <c:v>14271,33816</c:v>
                  </c:pt>
                  <c:pt idx="22">
                    <c:v>14005,31155</c:v>
                  </c:pt>
                  <c:pt idx="23">
                    <c:v>13254,30324</c:v>
                  </c:pt>
                  <c:pt idx="24">
                    <c:v>12999,40359</c:v>
                  </c:pt>
                  <c:pt idx="25">
                    <c:v>13492,91632</c:v>
                  </c:pt>
                  <c:pt idx="26">
                    <c:v>13730,64539</c:v>
                  </c:pt>
                  <c:pt idx="27">
                    <c:v>13995,36387</c:v>
                  </c:pt>
                  <c:pt idx="28">
                    <c:v>14278,74808</c:v>
                  </c:pt>
                  <c:pt idx="29">
                    <c:v>14574,40398</c:v>
                  </c:pt>
                  <c:pt idx="30">
                    <c:v>14879,07857</c:v>
                  </c:pt>
                  <c:pt idx="31">
                    <c:v>15190,41569</c:v>
                  </c:pt>
                  <c:pt idx="32">
                    <c:v>15505,03148</c:v>
                  </c:pt>
                  <c:pt idx="33">
                    <c:v>15823,02522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422</c:v>
                  </c:pt>
                  <c:pt idx="8">
                    <c:v>438</c:v>
                  </c:pt>
                  <c:pt idx="9">
                    <c:v>455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736</c:v>
                  </c:pt>
                  <c:pt idx="24">
                    <c:v>802</c:v>
                  </c:pt>
                  <c:pt idx="25">
                    <c:v>868</c:v>
                  </c:pt>
                  <c:pt idx="26">
                    <c:v>884</c:v>
                  </c:pt>
                  <c:pt idx="27">
                    <c:v>901</c:v>
                  </c:pt>
                  <c:pt idx="28">
                    <c:v>917</c:v>
                  </c:pt>
                  <c:pt idx="29">
                    <c:v>934</c:v>
                  </c:pt>
                  <c:pt idx="30">
                    <c:v>950</c:v>
                  </c:pt>
                  <c:pt idx="31">
                    <c:v>967</c:v>
                  </c:pt>
                  <c:pt idx="32">
                    <c:v>984</c:v>
                  </c:pt>
                  <c:pt idx="33">
                    <c:v>1000</c:v>
                  </c:pt>
                </c:lvl>
              </c:multiLvlStrCache>
            </c:multiLvlStrRef>
          </c:xVal>
          <c:yVal>
            <c:numRef>
              <c:f>ALL!$E$133:$AL$133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74B-47E8-A19D-44B695C09DB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44928,41415</c:v>
                  </c:pt>
                  <c:pt idx="2">
                    <c:v>42977,89466</c:v>
                  </c:pt>
                  <c:pt idx="3">
                    <c:v>40999,45952</c:v>
                  </c:pt>
                  <c:pt idx="4">
                    <c:v>38875,1035</c:v>
                  </c:pt>
                  <c:pt idx="5">
                    <c:v>36574,76864</c:v>
                  </c:pt>
                  <c:pt idx="6">
                    <c:v>27609,31327</c:v>
                  </c:pt>
                  <c:pt idx="7">
                    <c:v>25785,08692</c:v>
                  </c:pt>
                  <c:pt idx="8">
                    <c:v>24157,35567</c:v>
                  </c:pt>
                  <c:pt idx="9">
                    <c:v>22741,19233</c:v>
                  </c:pt>
                  <c:pt idx="10">
                    <c:v>21502,22964</c:v>
                  </c:pt>
                  <c:pt idx="11">
                    <c:v>20403,51748</c:v>
                  </c:pt>
                  <c:pt idx="12">
                    <c:v>19397,38271</c:v>
                  </c:pt>
                  <c:pt idx="13">
                    <c:v>18476,3952</c:v>
                  </c:pt>
                  <c:pt idx="14">
                    <c:v>17644,28426</c:v>
                  </c:pt>
                  <c:pt idx="15">
                    <c:v>16900,17327</c:v>
                  </c:pt>
                  <c:pt idx="16">
                    <c:v>16250,37065</c:v>
                  </c:pt>
                  <c:pt idx="17">
                    <c:v>15699,08219</c:v>
                  </c:pt>
                  <c:pt idx="18">
                    <c:v>15234,65445</c:v>
                  </c:pt>
                  <c:pt idx="19">
                    <c:v>14833,0659</c:v>
                  </c:pt>
                  <c:pt idx="20">
                    <c:v>14488,08332</c:v>
                  </c:pt>
                  <c:pt idx="21">
                    <c:v>14184,4097</c:v>
                  </c:pt>
                  <c:pt idx="22">
                    <c:v>13916,00134</c:v>
                  </c:pt>
                  <c:pt idx="23">
                    <c:v>13155,51405</c:v>
                  </c:pt>
                  <c:pt idx="24">
                    <c:v>12891,01634</c:v>
                  </c:pt>
                  <c:pt idx="25">
                    <c:v>13374,82553</c:v>
                  </c:pt>
                  <c:pt idx="26">
                    <c:v>13610,11183</c:v>
                  </c:pt>
                  <c:pt idx="27">
                    <c:v>13872,39429</c:v>
                  </c:pt>
                  <c:pt idx="28">
                    <c:v>14153,33561</c:v>
                  </c:pt>
                  <c:pt idx="29">
                    <c:v>14446,54177</c:v>
                  </c:pt>
                  <c:pt idx="30">
                    <c:v>14748,75976</c:v>
                  </c:pt>
                  <c:pt idx="31">
                    <c:v>15057,61968</c:v>
                  </c:pt>
                  <c:pt idx="32">
                    <c:v>15369,76514</c:v>
                  </c:pt>
                  <c:pt idx="33">
                    <c:v>15685,28167</c:v>
                  </c:pt>
                </c:lvl>
                <c:lvl>
                  <c:pt idx="0">
                    <c:v>Раствор 3 + газовая без Ar: </c:v>
                  </c:pt>
                  <c:pt idx="1">
                    <c:v>-106,7489304</c:v>
                  </c:pt>
                  <c:pt idx="2">
                    <c:v>-106,544163</c:v>
                  </c:pt>
                  <c:pt idx="3">
                    <c:v>-101,4064374</c:v>
                  </c:pt>
                  <c:pt idx="4">
                    <c:v>-89,85743842</c:v>
                  </c:pt>
                  <c:pt idx="5">
                    <c:v>-75,11554309</c:v>
                  </c:pt>
                  <c:pt idx="6">
                    <c:v>-54,63489601</c:v>
                  </c:pt>
                  <c:pt idx="7">
                    <c:v>-55,84442445</c:v>
                  </c:pt>
                  <c:pt idx="8">
                    <c:v>-57,58125456</c:v>
                  </c:pt>
                  <c:pt idx="9">
                    <c:v>-59,58174951</c:v>
                  </c:pt>
                  <c:pt idx="10">
                    <c:v>-61,69268103</c:v>
                  </c:pt>
                  <c:pt idx="11">
                    <c:v>-63,87055259</c:v>
                  </c:pt>
                  <c:pt idx="12">
                    <c:v>-66,08999189</c:v>
                  </c:pt>
                  <c:pt idx="13">
                    <c:v>-68,37358979</c:v>
                  </c:pt>
                  <c:pt idx="14">
                    <c:v>-70,6541872</c:v>
                  </c:pt>
                  <c:pt idx="15">
                    <c:v>-72,97265326</c:v>
                  </c:pt>
                  <c:pt idx="16">
                    <c:v>-75,26312354</c:v>
                  </c:pt>
                  <c:pt idx="17">
                    <c:v>-77,56135682</c:v>
                  </c:pt>
                  <c:pt idx="18">
                    <c:v>-79,90859301</c:v>
                  </c:pt>
                  <c:pt idx="19">
                    <c:v>-82,23539748</c:v>
                  </c:pt>
                  <c:pt idx="20">
                    <c:v>-84,5999726</c:v>
                  </c:pt>
                  <c:pt idx="21">
                    <c:v>-86,92845843</c:v>
                  </c:pt>
                  <c:pt idx="22">
                    <c:v>-89,31020497</c:v>
                  </c:pt>
                  <c:pt idx="23">
                    <c:v>-98,78918919</c:v>
                  </c:pt>
                  <c:pt idx="24">
                    <c:v>-108,3872539</c:v>
                  </c:pt>
                  <c:pt idx="25">
                    <c:v>-118,0907881</c:v>
                  </c:pt>
                  <c:pt idx="26">
                    <c:v>-120,5335605</c:v>
                  </c:pt>
                  <c:pt idx="27">
                    <c:v>-122,9695842</c:v>
                  </c:pt>
                  <c:pt idx="28">
                    <c:v>-125,4124675</c:v>
                  </c:pt>
                  <c:pt idx="29">
                    <c:v>-127,8622102</c:v>
                  </c:pt>
                  <c:pt idx="30">
                    <c:v>-130,3188124</c:v>
                  </c:pt>
                  <c:pt idx="31">
                    <c:v>-132,7960068</c:v>
                  </c:pt>
                  <c:pt idx="32">
                    <c:v>-135,2663487</c:v>
                  </c:pt>
                  <c:pt idx="33">
                    <c:v>-137,74355</c:v>
                  </c:pt>
                </c:lvl>
                <c:lvl>
                  <c:pt idx="0">
                    <c:v>Раствор 1 + газовая без Ar: </c:v>
                  </c:pt>
                  <c:pt idx="1">
                    <c:v>44928,41415</c:v>
                  </c:pt>
                  <c:pt idx="2">
                    <c:v>42977,89466</c:v>
                  </c:pt>
                  <c:pt idx="3">
                    <c:v>40999,45952</c:v>
                  </c:pt>
                  <c:pt idx="4">
                    <c:v>38875,1035</c:v>
                  </c:pt>
                  <c:pt idx="5">
                    <c:v>36574,76864</c:v>
                  </c:pt>
                  <c:pt idx="6">
                    <c:v>27609,31327</c:v>
                  </c:pt>
                  <c:pt idx="7">
                    <c:v>25785,08692</c:v>
                  </c:pt>
                  <c:pt idx="8">
                    <c:v>24157,35567</c:v>
                  </c:pt>
                  <c:pt idx="9">
                    <c:v>22741,19233</c:v>
                  </c:pt>
                  <c:pt idx="10">
                    <c:v>21502,22964</c:v>
                  </c:pt>
                  <c:pt idx="11">
                    <c:v>20403,51748</c:v>
                  </c:pt>
                  <c:pt idx="12">
                    <c:v>19397,38271</c:v>
                  </c:pt>
                  <c:pt idx="13">
                    <c:v>18476,3952</c:v>
                  </c:pt>
                  <c:pt idx="14">
                    <c:v>17644,28426</c:v>
                  </c:pt>
                  <c:pt idx="15">
                    <c:v>16900,17327</c:v>
                  </c:pt>
                  <c:pt idx="16">
                    <c:v>16250,37065</c:v>
                  </c:pt>
                  <c:pt idx="17">
                    <c:v>15699,08219</c:v>
                  </c:pt>
                  <c:pt idx="18">
                    <c:v>15234,65445</c:v>
                  </c:pt>
                  <c:pt idx="19">
                    <c:v>14833,0659</c:v>
                  </c:pt>
                  <c:pt idx="20">
                    <c:v>14488,08332</c:v>
                  </c:pt>
                  <c:pt idx="21">
                    <c:v>14184,4097</c:v>
                  </c:pt>
                  <c:pt idx="22">
                    <c:v>13916,00134</c:v>
                  </c:pt>
                  <c:pt idx="23">
                    <c:v>13155,51405</c:v>
                  </c:pt>
                  <c:pt idx="24">
                    <c:v>12891,01634</c:v>
                  </c:pt>
                  <c:pt idx="25">
                    <c:v>13374,82553</c:v>
                  </c:pt>
                  <c:pt idx="26">
                    <c:v>13610,11183</c:v>
                  </c:pt>
                  <c:pt idx="27">
                    <c:v>13872,39429</c:v>
                  </c:pt>
                  <c:pt idx="28">
                    <c:v>14153,33561</c:v>
                  </c:pt>
                  <c:pt idx="29">
                    <c:v>14446,54177</c:v>
                  </c:pt>
                  <c:pt idx="30">
                    <c:v>14748,75976</c:v>
                  </c:pt>
                  <c:pt idx="31">
                    <c:v>15057,61968</c:v>
                  </c:pt>
                  <c:pt idx="32">
                    <c:v>15369,76514</c:v>
                  </c:pt>
                  <c:pt idx="33">
                    <c:v>15685,28167</c:v>
                  </c:pt>
                </c:lvl>
                <c:lvl>
                  <c:pt idx="0">
                    <c:v>Газовая без Ar: </c:v>
                  </c:pt>
                  <c:pt idx="1">
                    <c:v>-106,7489304</c:v>
                  </c:pt>
                  <c:pt idx="2">
                    <c:v>-106,544163</c:v>
                  </c:pt>
                  <c:pt idx="3">
                    <c:v>-101,4064374</c:v>
                  </c:pt>
                  <c:pt idx="4">
                    <c:v>-89,85743842</c:v>
                  </c:pt>
                  <c:pt idx="5">
                    <c:v>-75,11554309</c:v>
                  </c:pt>
                  <c:pt idx="6">
                    <c:v>-54,63489601</c:v>
                  </c:pt>
                  <c:pt idx="7">
                    <c:v>-55,84442445</c:v>
                  </c:pt>
                  <c:pt idx="8">
                    <c:v>-57,58125456</c:v>
                  </c:pt>
                  <c:pt idx="9">
                    <c:v>-59,58174951</c:v>
                  </c:pt>
                  <c:pt idx="10">
                    <c:v>-61,69268103</c:v>
                  </c:pt>
                  <c:pt idx="11">
                    <c:v>-63,87055259</c:v>
                  </c:pt>
                  <c:pt idx="12">
                    <c:v>-66,08999189</c:v>
                  </c:pt>
                  <c:pt idx="13">
                    <c:v>-68,37358979</c:v>
                  </c:pt>
                  <c:pt idx="14">
                    <c:v>-70,6541872</c:v>
                  </c:pt>
                  <c:pt idx="15">
                    <c:v>-72,97265326</c:v>
                  </c:pt>
                  <c:pt idx="16">
                    <c:v>-75,26312354</c:v>
                  </c:pt>
                  <c:pt idx="17">
                    <c:v>-77,56135682</c:v>
                  </c:pt>
                  <c:pt idx="18">
                    <c:v>-79,90859301</c:v>
                  </c:pt>
                  <c:pt idx="19">
                    <c:v>-82,23539748</c:v>
                  </c:pt>
                  <c:pt idx="20">
                    <c:v>-84,5999726</c:v>
                  </c:pt>
                  <c:pt idx="21">
                    <c:v>-86,92845843</c:v>
                  </c:pt>
                  <c:pt idx="22">
                    <c:v>-89,31020497</c:v>
                  </c:pt>
                  <c:pt idx="23">
                    <c:v>-98,78918919</c:v>
                  </c:pt>
                  <c:pt idx="24">
                    <c:v>-108,3872539</c:v>
                  </c:pt>
                  <c:pt idx="25">
                    <c:v>-118,0907881</c:v>
                  </c:pt>
                  <c:pt idx="26">
                    <c:v>-120,5335605</c:v>
                  </c:pt>
                  <c:pt idx="27">
                    <c:v>-122,9695842</c:v>
                  </c:pt>
                  <c:pt idx="28">
                    <c:v>-125,4124675</c:v>
                  </c:pt>
                  <c:pt idx="29">
                    <c:v>-127,8622102</c:v>
                  </c:pt>
                  <c:pt idx="30">
                    <c:v>-130,3188124</c:v>
                  </c:pt>
                  <c:pt idx="31">
                    <c:v>-132,7960068</c:v>
                  </c:pt>
                  <c:pt idx="32">
                    <c:v>-135,2663487</c:v>
                  </c:pt>
                  <c:pt idx="33">
                    <c:v>-137,74355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  <c:lvl>
                  <c:pt idx="0">
                    <c:v>Раствор 1(тв): </c:v>
                  </c:pt>
                  <c:pt idx="1">
                    <c:v>45035,16308</c:v>
                  </c:pt>
                  <c:pt idx="2">
                    <c:v>43084,43882</c:v>
                  </c:pt>
                  <c:pt idx="3">
                    <c:v>41100,86595</c:v>
                  </c:pt>
                  <c:pt idx="4">
                    <c:v>38964,96094</c:v>
                  </c:pt>
                  <c:pt idx="5">
                    <c:v>36649,88418</c:v>
                  </c:pt>
                  <c:pt idx="6">
                    <c:v>27663,94816</c:v>
                  </c:pt>
                  <c:pt idx="7">
                    <c:v>25840,93135</c:v>
                  </c:pt>
                  <c:pt idx="8">
                    <c:v>24214,93693</c:v>
                  </c:pt>
                  <c:pt idx="9">
                    <c:v>22800,77408</c:v>
                  </c:pt>
                  <c:pt idx="10">
                    <c:v>21563,92233</c:v>
                  </c:pt>
                  <c:pt idx="11">
                    <c:v>20467,38803</c:v>
                  </c:pt>
                  <c:pt idx="12">
                    <c:v>19463,4727</c:v>
                  </c:pt>
                  <c:pt idx="13">
                    <c:v>18544,76879</c:v>
                  </c:pt>
                  <c:pt idx="14">
                    <c:v>17714,93845</c:v>
                  </c:pt>
                  <c:pt idx="15">
                    <c:v>16973,14592</c:v>
                  </c:pt>
                  <c:pt idx="16">
                    <c:v>16325,63377</c:v>
                  </c:pt>
                  <c:pt idx="17">
                    <c:v>15776,64354</c:v>
                  </c:pt>
                  <c:pt idx="18">
                    <c:v>15314,56304</c:v>
                  </c:pt>
                  <c:pt idx="19">
                    <c:v>14915,3013</c:v>
                  </c:pt>
                  <c:pt idx="20">
                    <c:v>14572,68329</c:v>
                  </c:pt>
                  <c:pt idx="21">
                    <c:v>14271,33816</c:v>
                  </c:pt>
                  <c:pt idx="22">
                    <c:v>14005,31155</c:v>
                  </c:pt>
                  <c:pt idx="23">
                    <c:v>13254,30324</c:v>
                  </c:pt>
                  <c:pt idx="24">
                    <c:v>12999,40359</c:v>
                  </c:pt>
                  <c:pt idx="25">
                    <c:v>13492,91632</c:v>
                  </c:pt>
                  <c:pt idx="26">
                    <c:v>13730,64539</c:v>
                  </c:pt>
                  <c:pt idx="27">
                    <c:v>13995,36387</c:v>
                  </c:pt>
                  <c:pt idx="28">
                    <c:v>14278,74808</c:v>
                  </c:pt>
                  <c:pt idx="29">
                    <c:v>14574,40398</c:v>
                  </c:pt>
                  <c:pt idx="30">
                    <c:v>14879,07857</c:v>
                  </c:pt>
                  <c:pt idx="31">
                    <c:v>15190,41569</c:v>
                  </c:pt>
                  <c:pt idx="32">
                    <c:v>15505,03148</c:v>
                  </c:pt>
                  <c:pt idx="33">
                    <c:v>15823,02522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422</c:v>
                  </c:pt>
                  <c:pt idx="8">
                    <c:v>438</c:v>
                  </c:pt>
                  <c:pt idx="9">
                    <c:v>455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736</c:v>
                  </c:pt>
                  <c:pt idx="24">
                    <c:v>802</c:v>
                  </c:pt>
                  <c:pt idx="25">
                    <c:v>868</c:v>
                  </c:pt>
                  <c:pt idx="26">
                    <c:v>884</c:v>
                  </c:pt>
                  <c:pt idx="27">
                    <c:v>901</c:v>
                  </c:pt>
                  <c:pt idx="28">
                    <c:v>917</c:v>
                  </c:pt>
                  <c:pt idx="29">
                    <c:v>934</c:v>
                  </c:pt>
                  <c:pt idx="30">
                    <c:v>950</c:v>
                  </c:pt>
                  <c:pt idx="31">
                    <c:v>967</c:v>
                  </c:pt>
                  <c:pt idx="32">
                    <c:v>984</c:v>
                  </c:pt>
                  <c:pt idx="33">
                    <c:v>1000</c:v>
                  </c:pt>
                </c:lvl>
              </c:multiLvlStrCache>
            </c:multiLvlStrRef>
          </c:xVal>
          <c:yVal>
            <c:numRef>
              <c:f>ALL!$E$134:$AL$134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74B-47E8-A19D-44B695C09DB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44928,41415</c:v>
                  </c:pt>
                  <c:pt idx="2">
                    <c:v>42977,89466</c:v>
                  </c:pt>
                  <c:pt idx="3">
                    <c:v>40999,45952</c:v>
                  </c:pt>
                  <c:pt idx="4">
                    <c:v>38875,1035</c:v>
                  </c:pt>
                  <c:pt idx="5">
                    <c:v>36574,76864</c:v>
                  </c:pt>
                  <c:pt idx="6">
                    <c:v>27609,31327</c:v>
                  </c:pt>
                  <c:pt idx="7">
                    <c:v>25785,08692</c:v>
                  </c:pt>
                  <c:pt idx="8">
                    <c:v>24157,35567</c:v>
                  </c:pt>
                  <c:pt idx="9">
                    <c:v>22741,19233</c:v>
                  </c:pt>
                  <c:pt idx="10">
                    <c:v>21502,22964</c:v>
                  </c:pt>
                  <c:pt idx="11">
                    <c:v>20403,51748</c:v>
                  </c:pt>
                  <c:pt idx="12">
                    <c:v>19397,38271</c:v>
                  </c:pt>
                  <c:pt idx="13">
                    <c:v>18476,3952</c:v>
                  </c:pt>
                  <c:pt idx="14">
                    <c:v>17644,28426</c:v>
                  </c:pt>
                  <c:pt idx="15">
                    <c:v>16900,17327</c:v>
                  </c:pt>
                  <c:pt idx="16">
                    <c:v>16250,37065</c:v>
                  </c:pt>
                  <c:pt idx="17">
                    <c:v>15699,08219</c:v>
                  </c:pt>
                  <c:pt idx="18">
                    <c:v>15234,65445</c:v>
                  </c:pt>
                  <c:pt idx="19">
                    <c:v>14833,0659</c:v>
                  </c:pt>
                  <c:pt idx="20">
                    <c:v>14488,08332</c:v>
                  </c:pt>
                  <c:pt idx="21">
                    <c:v>14184,4097</c:v>
                  </c:pt>
                  <c:pt idx="22">
                    <c:v>13916,00134</c:v>
                  </c:pt>
                  <c:pt idx="23">
                    <c:v>13155,51405</c:v>
                  </c:pt>
                  <c:pt idx="24">
                    <c:v>12891,01634</c:v>
                  </c:pt>
                  <c:pt idx="25">
                    <c:v>13374,82553</c:v>
                  </c:pt>
                  <c:pt idx="26">
                    <c:v>13610,11183</c:v>
                  </c:pt>
                  <c:pt idx="27">
                    <c:v>13872,39429</c:v>
                  </c:pt>
                  <c:pt idx="28">
                    <c:v>14153,33561</c:v>
                  </c:pt>
                  <c:pt idx="29">
                    <c:v>14446,54177</c:v>
                  </c:pt>
                  <c:pt idx="30">
                    <c:v>14748,75976</c:v>
                  </c:pt>
                  <c:pt idx="31">
                    <c:v>15057,61968</c:v>
                  </c:pt>
                  <c:pt idx="32">
                    <c:v>15369,76514</c:v>
                  </c:pt>
                  <c:pt idx="33">
                    <c:v>15685,28167</c:v>
                  </c:pt>
                </c:lvl>
                <c:lvl>
                  <c:pt idx="0">
                    <c:v>Раствор 3 + газовая без Ar: </c:v>
                  </c:pt>
                  <c:pt idx="1">
                    <c:v>-106,7489304</c:v>
                  </c:pt>
                  <c:pt idx="2">
                    <c:v>-106,544163</c:v>
                  </c:pt>
                  <c:pt idx="3">
                    <c:v>-101,4064374</c:v>
                  </c:pt>
                  <c:pt idx="4">
                    <c:v>-89,85743842</c:v>
                  </c:pt>
                  <c:pt idx="5">
                    <c:v>-75,11554309</c:v>
                  </c:pt>
                  <c:pt idx="6">
                    <c:v>-54,63489601</c:v>
                  </c:pt>
                  <c:pt idx="7">
                    <c:v>-55,84442445</c:v>
                  </c:pt>
                  <c:pt idx="8">
                    <c:v>-57,58125456</c:v>
                  </c:pt>
                  <c:pt idx="9">
                    <c:v>-59,58174951</c:v>
                  </c:pt>
                  <c:pt idx="10">
                    <c:v>-61,69268103</c:v>
                  </c:pt>
                  <c:pt idx="11">
                    <c:v>-63,87055259</c:v>
                  </c:pt>
                  <c:pt idx="12">
                    <c:v>-66,08999189</c:v>
                  </c:pt>
                  <c:pt idx="13">
                    <c:v>-68,37358979</c:v>
                  </c:pt>
                  <c:pt idx="14">
                    <c:v>-70,6541872</c:v>
                  </c:pt>
                  <c:pt idx="15">
                    <c:v>-72,97265326</c:v>
                  </c:pt>
                  <c:pt idx="16">
                    <c:v>-75,26312354</c:v>
                  </c:pt>
                  <c:pt idx="17">
                    <c:v>-77,56135682</c:v>
                  </c:pt>
                  <c:pt idx="18">
                    <c:v>-79,90859301</c:v>
                  </c:pt>
                  <c:pt idx="19">
                    <c:v>-82,23539748</c:v>
                  </c:pt>
                  <c:pt idx="20">
                    <c:v>-84,5999726</c:v>
                  </c:pt>
                  <c:pt idx="21">
                    <c:v>-86,92845843</c:v>
                  </c:pt>
                  <c:pt idx="22">
                    <c:v>-89,31020497</c:v>
                  </c:pt>
                  <c:pt idx="23">
                    <c:v>-98,78918919</c:v>
                  </c:pt>
                  <c:pt idx="24">
                    <c:v>-108,3872539</c:v>
                  </c:pt>
                  <c:pt idx="25">
                    <c:v>-118,0907881</c:v>
                  </c:pt>
                  <c:pt idx="26">
                    <c:v>-120,5335605</c:v>
                  </c:pt>
                  <c:pt idx="27">
                    <c:v>-122,9695842</c:v>
                  </c:pt>
                  <c:pt idx="28">
                    <c:v>-125,4124675</c:v>
                  </c:pt>
                  <c:pt idx="29">
                    <c:v>-127,8622102</c:v>
                  </c:pt>
                  <c:pt idx="30">
                    <c:v>-130,3188124</c:v>
                  </c:pt>
                  <c:pt idx="31">
                    <c:v>-132,7960068</c:v>
                  </c:pt>
                  <c:pt idx="32">
                    <c:v>-135,2663487</c:v>
                  </c:pt>
                  <c:pt idx="33">
                    <c:v>-137,74355</c:v>
                  </c:pt>
                </c:lvl>
                <c:lvl>
                  <c:pt idx="0">
                    <c:v>Раствор 1 + газовая без Ar: </c:v>
                  </c:pt>
                  <c:pt idx="1">
                    <c:v>44928,41415</c:v>
                  </c:pt>
                  <c:pt idx="2">
                    <c:v>42977,89466</c:v>
                  </c:pt>
                  <c:pt idx="3">
                    <c:v>40999,45952</c:v>
                  </c:pt>
                  <c:pt idx="4">
                    <c:v>38875,1035</c:v>
                  </c:pt>
                  <c:pt idx="5">
                    <c:v>36574,76864</c:v>
                  </c:pt>
                  <c:pt idx="6">
                    <c:v>27609,31327</c:v>
                  </c:pt>
                  <c:pt idx="7">
                    <c:v>25785,08692</c:v>
                  </c:pt>
                  <c:pt idx="8">
                    <c:v>24157,35567</c:v>
                  </c:pt>
                  <c:pt idx="9">
                    <c:v>22741,19233</c:v>
                  </c:pt>
                  <c:pt idx="10">
                    <c:v>21502,22964</c:v>
                  </c:pt>
                  <c:pt idx="11">
                    <c:v>20403,51748</c:v>
                  </c:pt>
                  <c:pt idx="12">
                    <c:v>19397,38271</c:v>
                  </c:pt>
                  <c:pt idx="13">
                    <c:v>18476,3952</c:v>
                  </c:pt>
                  <c:pt idx="14">
                    <c:v>17644,28426</c:v>
                  </c:pt>
                  <c:pt idx="15">
                    <c:v>16900,17327</c:v>
                  </c:pt>
                  <c:pt idx="16">
                    <c:v>16250,37065</c:v>
                  </c:pt>
                  <c:pt idx="17">
                    <c:v>15699,08219</c:v>
                  </c:pt>
                  <c:pt idx="18">
                    <c:v>15234,65445</c:v>
                  </c:pt>
                  <c:pt idx="19">
                    <c:v>14833,0659</c:v>
                  </c:pt>
                  <c:pt idx="20">
                    <c:v>14488,08332</c:v>
                  </c:pt>
                  <c:pt idx="21">
                    <c:v>14184,4097</c:v>
                  </c:pt>
                  <c:pt idx="22">
                    <c:v>13916,00134</c:v>
                  </c:pt>
                  <c:pt idx="23">
                    <c:v>13155,51405</c:v>
                  </c:pt>
                  <c:pt idx="24">
                    <c:v>12891,01634</c:v>
                  </c:pt>
                  <c:pt idx="25">
                    <c:v>13374,82553</c:v>
                  </c:pt>
                  <c:pt idx="26">
                    <c:v>13610,11183</c:v>
                  </c:pt>
                  <c:pt idx="27">
                    <c:v>13872,39429</c:v>
                  </c:pt>
                  <c:pt idx="28">
                    <c:v>14153,33561</c:v>
                  </c:pt>
                  <c:pt idx="29">
                    <c:v>14446,54177</c:v>
                  </c:pt>
                  <c:pt idx="30">
                    <c:v>14748,75976</c:v>
                  </c:pt>
                  <c:pt idx="31">
                    <c:v>15057,61968</c:v>
                  </c:pt>
                  <c:pt idx="32">
                    <c:v>15369,76514</c:v>
                  </c:pt>
                  <c:pt idx="33">
                    <c:v>15685,28167</c:v>
                  </c:pt>
                </c:lvl>
                <c:lvl>
                  <c:pt idx="0">
                    <c:v>Газовая без Ar: </c:v>
                  </c:pt>
                  <c:pt idx="1">
                    <c:v>-106,7489304</c:v>
                  </c:pt>
                  <c:pt idx="2">
                    <c:v>-106,544163</c:v>
                  </c:pt>
                  <c:pt idx="3">
                    <c:v>-101,4064374</c:v>
                  </c:pt>
                  <c:pt idx="4">
                    <c:v>-89,85743842</c:v>
                  </c:pt>
                  <c:pt idx="5">
                    <c:v>-75,11554309</c:v>
                  </c:pt>
                  <c:pt idx="6">
                    <c:v>-54,63489601</c:v>
                  </c:pt>
                  <c:pt idx="7">
                    <c:v>-55,84442445</c:v>
                  </c:pt>
                  <c:pt idx="8">
                    <c:v>-57,58125456</c:v>
                  </c:pt>
                  <c:pt idx="9">
                    <c:v>-59,58174951</c:v>
                  </c:pt>
                  <c:pt idx="10">
                    <c:v>-61,69268103</c:v>
                  </c:pt>
                  <c:pt idx="11">
                    <c:v>-63,87055259</c:v>
                  </c:pt>
                  <c:pt idx="12">
                    <c:v>-66,08999189</c:v>
                  </c:pt>
                  <c:pt idx="13">
                    <c:v>-68,37358979</c:v>
                  </c:pt>
                  <c:pt idx="14">
                    <c:v>-70,6541872</c:v>
                  </c:pt>
                  <c:pt idx="15">
                    <c:v>-72,97265326</c:v>
                  </c:pt>
                  <c:pt idx="16">
                    <c:v>-75,26312354</c:v>
                  </c:pt>
                  <c:pt idx="17">
                    <c:v>-77,56135682</c:v>
                  </c:pt>
                  <c:pt idx="18">
                    <c:v>-79,90859301</c:v>
                  </c:pt>
                  <c:pt idx="19">
                    <c:v>-82,23539748</c:v>
                  </c:pt>
                  <c:pt idx="20">
                    <c:v>-84,5999726</c:v>
                  </c:pt>
                  <c:pt idx="21">
                    <c:v>-86,92845843</c:v>
                  </c:pt>
                  <c:pt idx="22">
                    <c:v>-89,31020497</c:v>
                  </c:pt>
                  <c:pt idx="23">
                    <c:v>-98,78918919</c:v>
                  </c:pt>
                  <c:pt idx="24">
                    <c:v>-108,3872539</c:v>
                  </c:pt>
                  <c:pt idx="25">
                    <c:v>-118,0907881</c:v>
                  </c:pt>
                  <c:pt idx="26">
                    <c:v>-120,5335605</c:v>
                  </c:pt>
                  <c:pt idx="27">
                    <c:v>-122,9695842</c:v>
                  </c:pt>
                  <c:pt idx="28">
                    <c:v>-125,4124675</c:v>
                  </c:pt>
                  <c:pt idx="29">
                    <c:v>-127,8622102</c:v>
                  </c:pt>
                  <c:pt idx="30">
                    <c:v>-130,3188124</c:v>
                  </c:pt>
                  <c:pt idx="31">
                    <c:v>-132,7960068</c:v>
                  </c:pt>
                  <c:pt idx="32">
                    <c:v>-135,2663487</c:v>
                  </c:pt>
                  <c:pt idx="33">
                    <c:v>-137,74355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  <c:lvl>
                  <c:pt idx="0">
                    <c:v>Раствор 1(тв): </c:v>
                  </c:pt>
                  <c:pt idx="1">
                    <c:v>45035,16308</c:v>
                  </c:pt>
                  <c:pt idx="2">
                    <c:v>43084,43882</c:v>
                  </c:pt>
                  <c:pt idx="3">
                    <c:v>41100,86595</c:v>
                  </c:pt>
                  <c:pt idx="4">
                    <c:v>38964,96094</c:v>
                  </c:pt>
                  <c:pt idx="5">
                    <c:v>36649,88418</c:v>
                  </c:pt>
                  <c:pt idx="6">
                    <c:v>27663,94816</c:v>
                  </c:pt>
                  <c:pt idx="7">
                    <c:v>25840,93135</c:v>
                  </c:pt>
                  <c:pt idx="8">
                    <c:v>24214,93693</c:v>
                  </c:pt>
                  <c:pt idx="9">
                    <c:v>22800,77408</c:v>
                  </c:pt>
                  <c:pt idx="10">
                    <c:v>21563,92233</c:v>
                  </c:pt>
                  <c:pt idx="11">
                    <c:v>20467,38803</c:v>
                  </c:pt>
                  <c:pt idx="12">
                    <c:v>19463,4727</c:v>
                  </c:pt>
                  <c:pt idx="13">
                    <c:v>18544,76879</c:v>
                  </c:pt>
                  <c:pt idx="14">
                    <c:v>17714,93845</c:v>
                  </c:pt>
                  <c:pt idx="15">
                    <c:v>16973,14592</c:v>
                  </c:pt>
                  <c:pt idx="16">
                    <c:v>16325,63377</c:v>
                  </c:pt>
                  <c:pt idx="17">
                    <c:v>15776,64354</c:v>
                  </c:pt>
                  <c:pt idx="18">
                    <c:v>15314,56304</c:v>
                  </c:pt>
                  <c:pt idx="19">
                    <c:v>14915,3013</c:v>
                  </c:pt>
                  <c:pt idx="20">
                    <c:v>14572,68329</c:v>
                  </c:pt>
                  <c:pt idx="21">
                    <c:v>14271,33816</c:v>
                  </c:pt>
                  <c:pt idx="22">
                    <c:v>14005,31155</c:v>
                  </c:pt>
                  <c:pt idx="23">
                    <c:v>13254,30324</c:v>
                  </c:pt>
                  <c:pt idx="24">
                    <c:v>12999,40359</c:v>
                  </c:pt>
                  <c:pt idx="25">
                    <c:v>13492,91632</c:v>
                  </c:pt>
                  <c:pt idx="26">
                    <c:v>13730,64539</c:v>
                  </c:pt>
                  <c:pt idx="27">
                    <c:v>13995,36387</c:v>
                  </c:pt>
                  <c:pt idx="28">
                    <c:v>14278,74808</c:v>
                  </c:pt>
                  <c:pt idx="29">
                    <c:v>14574,40398</c:v>
                  </c:pt>
                  <c:pt idx="30">
                    <c:v>14879,07857</c:v>
                  </c:pt>
                  <c:pt idx="31">
                    <c:v>15190,41569</c:v>
                  </c:pt>
                  <c:pt idx="32">
                    <c:v>15505,03148</c:v>
                  </c:pt>
                  <c:pt idx="33">
                    <c:v>15823,02522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422</c:v>
                  </c:pt>
                  <c:pt idx="8">
                    <c:v>438</c:v>
                  </c:pt>
                  <c:pt idx="9">
                    <c:v>455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736</c:v>
                  </c:pt>
                  <c:pt idx="24">
                    <c:v>802</c:v>
                  </c:pt>
                  <c:pt idx="25">
                    <c:v>868</c:v>
                  </c:pt>
                  <c:pt idx="26">
                    <c:v>884</c:v>
                  </c:pt>
                  <c:pt idx="27">
                    <c:v>901</c:v>
                  </c:pt>
                  <c:pt idx="28">
                    <c:v>917</c:v>
                  </c:pt>
                  <c:pt idx="29">
                    <c:v>934</c:v>
                  </c:pt>
                  <c:pt idx="30">
                    <c:v>950</c:v>
                  </c:pt>
                  <c:pt idx="31">
                    <c:v>967</c:v>
                  </c:pt>
                  <c:pt idx="32">
                    <c:v>984</c:v>
                  </c:pt>
                  <c:pt idx="33">
                    <c:v>1000</c:v>
                  </c:pt>
                </c:lvl>
              </c:multiLvlStrCache>
            </c:multiLvlStrRef>
          </c:xVal>
          <c:yVal>
            <c:numRef>
              <c:f>ALL!$E$135:$AL$135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74B-47E8-A19D-44B695C09DB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44928,41415</c:v>
                  </c:pt>
                  <c:pt idx="2">
                    <c:v>42977,89466</c:v>
                  </c:pt>
                  <c:pt idx="3">
                    <c:v>40999,45952</c:v>
                  </c:pt>
                  <c:pt idx="4">
                    <c:v>38875,1035</c:v>
                  </c:pt>
                  <c:pt idx="5">
                    <c:v>36574,76864</c:v>
                  </c:pt>
                  <c:pt idx="6">
                    <c:v>27609,31327</c:v>
                  </c:pt>
                  <c:pt idx="7">
                    <c:v>25785,08692</c:v>
                  </c:pt>
                  <c:pt idx="8">
                    <c:v>24157,35567</c:v>
                  </c:pt>
                  <c:pt idx="9">
                    <c:v>22741,19233</c:v>
                  </c:pt>
                  <c:pt idx="10">
                    <c:v>21502,22964</c:v>
                  </c:pt>
                  <c:pt idx="11">
                    <c:v>20403,51748</c:v>
                  </c:pt>
                  <c:pt idx="12">
                    <c:v>19397,38271</c:v>
                  </c:pt>
                  <c:pt idx="13">
                    <c:v>18476,3952</c:v>
                  </c:pt>
                  <c:pt idx="14">
                    <c:v>17644,28426</c:v>
                  </c:pt>
                  <c:pt idx="15">
                    <c:v>16900,17327</c:v>
                  </c:pt>
                  <c:pt idx="16">
                    <c:v>16250,37065</c:v>
                  </c:pt>
                  <c:pt idx="17">
                    <c:v>15699,08219</c:v>
                  </c:pt>
                  <c:pt idx="18">
                    <c:v>15234,65445</c:v>
                  </c:pt>
                  <c:pt idx="19">
                    <c:v>14833,0659</c:v>
                  </c:pt>
                  <c:pt idx="20">
                    <c:v>14488,08332</c:v>
                  </c:pt>
                  <c:pt idx="21">
                    <c:v>14184,4097</c:v>
                  </c:pt>
                  <c:pt idx="22">
                    <c:v>13916,00134</c:v>
                  </c:pt>
                  <c:pt idx="23">
                    <c:v>13155,51405</c:v>
                  </c:pt>
                  <c:pt idx="24">
                    <c:v>12891,01634</c:v>
                  </c:pt>
                  <c:pt idx="25">
                    <c:v>13374,82553</c:v>
                  </c:pt>
                  <c:pt idx="26">
                    <c:v>13610,11183</c:v>
                  </c:pt>
                  <c:pt idx="27">
                    <c:v>13872,39429</c:v>
                  </c:pt>
                  <c:pt idx="28">
                    <c:v>14153,33561</c:v>
                  </c:pt>
                  <c:pt idx="29">
                    <c:v>14446,54177</c:v>
                  </c:pt>
                  <c:pt idx="30">
                    <c:v>14748,75976</c:v>
                  </c:pt>
                  <c:pt idx="31">
                    <c:v>15057,61968</c:v>
                  </c:pt>
                  <c:pt idx="32">
                    <c:v>15369,76514</c:v>
                  </c:pt>
                  <c:pt idx="33">
                    <c:v>15685,28167</c:v>
                  </c:pt>
                </c:lvl>
                <c:lvl>
                  <c:pt idx="0">
                    <c:v>Раствор 3 + газовая без Ar: </c:v>
                  </c:pt>
                  <c:pt idx="1">
                    <c:v>-106,7489304</c:v>
                  </c:pt>
                  <c:pt idx="2">
                    <c:v>-106,544163</c:v>
                  </c:pt>
                  <c:pt idx="3">
                    <c:v>-101,4064374</c:v>
                  </c:pt>
                  <c:pt idx="4">
                    <c:v>-89,85743842</c:v>
                  </c:pt>
                  <c:pt idx="5">
                    <c:v>-75,11554309</c:v>
                  </c:pt>
                  <c:pt idx="6">
                    <c:v>-54,63489601</c:v>
                  </c:pt>
                  <c:pt idx="7">
                    <c:v>-55,84442445</c:v>
                  </c:pt>
                  <c:pt idx="8">
                    <c:v>-57,58125456</c:v>
                  </c:pt>
                  <c:pt idx="9">
                    <c:v>-59,58174951</c:v>
                  </c:pt>
                  <c:pt idx="10">
                    <c:v>-61,69268103</c:v>
                  </c:pt>
                  <c:pt idx="11">
                    <c:v>-63,87055259</c:v>
                  </c:pt>
                  <c:pt idx="12">
                    <c:v>-66,08999189</c:v>
                  </c:pt>
                  <c:pt idx="13">
                    <c:v>-68,37358979</c:v>
                  </c:pt>
                  <c:pt idx="14">
                    <c:v>-70,6541872</c:v>
                  </c:pt>
                  <c:pt idx="15">
                    <c:v>-72,97265326</c:v>
                  </c:pt>
                  <c:pt idx="16">
                    <c:v>-75,26312354</c:v>
                  </c:pt>
                  <c:pt idx="17">
                    <c:v>-77,56135682</c:v>
                  </c:pt>
                  <c:pt idx="18">
                    <c:v>-79,90859301</c:v>
                  </c:pt>
                  <c:pt idx="19">
                    <c:v>-82,23539748</c:v>
                  </c:pt>
                  <c:pt idx="20">
                    <c:v>-84,5999726</c:v>
                  </c:pt>
                  <c:pt idx="21">
                    <c:v>-86,92845843</c:v>
                  </c:pt>
                  <c:pt idx="22">
                    <c:v>-89,31020497</c:v>
                  </c:pt>
                  <c:pt idx="23">
                    <c:v>-98,78918919</c:v>
                  </c:pt>
                  <c:pt idx="24">
                    <c:v>-108,3872539</c:v>
                  </c:pt>
                  <c:pt idx="25">
                    <c:v>-118,0907881</c:v>
                  </c:pt>
                  <c:pt idx="26">
                    <c:v>-120,5335605</c:v>
                  </c:pt>
                  <c:pt idx="27">
                    <c:v>-122,9695842</c:v>
                  </c:pt>
                  <c:pt idx="28">
                    <c:v>-125,4124675</c:v>
                  </c:pt>
                  <c:pt idx="29">
                    <c:v>-127,8622102</c:v>
                  </c:pt>
                  <c:pt idx="30">
                    <c:v>-130,3188124</c:v>
                  </c:pt>
                  <c:pt idx="31">
                    <c:v>-132,7960068</c:v>
                  </c:pt>
                  <c:pt idx="32">
                    <c:v>-135,2663487</c:v>
                  </c:pt>
                  <c:pt idx="33">
                    <c:v>-137,74355</c:v>
                  </c:pt>
                </c:lvl>
                <c:lvl>
                  <c:pt idx="0">
                    <c:v>Раствор 1 + газовая без Ar: </c:v>
                  </c:pt>
                  <c:pt idx="1">
                    <c:v>44928,41415</c:v>
                  </c:pt>
                  <c:pt idx="2">
                    <c:v>42977,89466</c:v>
                  </c:pt>
                  <c:pt idx="3">
                    <c:v>40999,45952</c:v>
                  </c:pt>
                  <c:pt idx="4">
                    <c:v>38875,1035</c:v>
                  </c:pt>
                  <c:pt idx="5">
                    <c:v>36574,76864</c:v>
                  </c:pt>
                  <c:pt idx="6">
                    <c:v>27609,31327</c:v>
                  </c:pt>
                  <c:pt idx="7">
                    <c:v>25785,08692</c:v>
                  </c:pt>
                  <c:pt idx="8">
                    <c:v>24157,35567</c:v>
                  </c:pt>
                  <c:pt idx="9">
                    <c:v>22741,19233</c:v>
                  </c:pt>
                  <c:pt idx="10">
                    <c:v>21502,22964</c:v>
                  </c:pt>
                  <c:pt idx="11">
                    <c:v>20403,51748</c:v>
                  </c:pt>
                  <c:pt idx="12">
                    <c:v>19397,38271</c:v>
                  </c:pt>
                  <c:pt idx="13">
                    <c:v>18476,3952</c:v>
                  </c:pt>
                  <c:pt idx="14">
                    <c:v>17644,28426</c:v>
                  </c:pt>
                  <c:pt idx="15">
                    <c:v>16900,17327</c:v>
                  </c:pt>
                  <c:pt idx="16">
                    <c:v>16250,37065</c:v>
                  </c:pt>
                  <c:pt idx="17">
                    <c:v>15699,08219</c:v>
                  </c:pt>
                  <c:pt idx="18">
                    <c:v>15234,65445</c:v>
                  </c:pt>
                  <c:pt idx="19">
                    <c:v>14833,0659</c:v>
                  </c:pt>
                  <c:pt idx="20">
                    <c:v>14488,08332</c:v>
                  </c:pt>
                  <c:pt idx="21">
                    <c:v>14184,4097</c:v>
                  </c:pt>
                  <c:pt idx="22">
                    <c:v>13916,00134</c:v>
                  </c:pt>
                  <c:pt idx="23">
                    <c:v>13155,51405</c:v>
                  </c:pt>
                  <c:pt idx="24">
                    <c:v>12891,01634</c:v>
                  </c:pt>
                  <c:pt idx="25">
                    <c:v>13374,82553</c:v>
                  </c:pt>
                  <c:pt idx="26">
                    <c:v>13610,11183</c:v>
                  </c:pt>
                  <c:pt idx="27">
                    <c:v>13872,39429</c:v>
                  </c:pt>
                  <c:pt idx="28">
                    <c:v>14153,33561</c:v>
                  </c:pt>
                  <c:pt idx="29">
                    <c:v>14446,54177</c:v>
                  </c:pt>
                  <c:pt idx="30">
                    <c:v>14748,75976</c:v>
                  </c:pt>
                  <c:pt idx="31">
                    <c:v>15057,61968</c:v>
                  </c:pt>
                  <c:pt idx="32">
                    <c:v>15369,76514</c:v>
                  </c:pt>
                  <c:pt idx="33">
                    <c:v>15685,28167</c:v>
                  </c:pt>
                </c:lvl>
                <c:lvl>
                  <c:pt idx="0">
                    <c:v>Газовая без Ar: </c:v>
                  </c:pt>
                  <c:pt idx="1">
                    <c:v>-106,7489304</c:v>
                  </c:pt>
                  <c:pt idx="2">
                    <c:v>-106,544163</c:v>
                  </c:pt>
                  <c:pt idx="3">
                    <c:v>-101,4064374</c:v>
                  </c:pt>
                  <c:pt idx="4">
                    <c:v>-89,85743842</c:v>
                  </c:pt>
                  <c:pt idx="5">
                    <c:v>-75,11554309</c:v>
                  </c:pt>
                  <c:pt idx="6">
                    <c:v>-54,63489601</c:v>
                  </c:pt>
                  <c:pt idx="7">
                    <c:v>-55,84442445</c:v>
                  </c:pt>
                  <c:pt idx="8">
                    <c:v>-57,58125456</c:v>
                  </c:pt>
                  <c:pt idx="9">
                    <c:v>-59,58174951</c:v>
                  </c:pt>
                  <c:pt idx="10">
                    <c:v>-61,69268103</c:v>
                  </c:pt>
                  <c:pt idx="11">
                    <c:v>-63,87055259</c:v>
                  </c:pt>
                  <c:pt idx="12">
                    <c:v>-66,08999189</c:v>
                  </c:pt>
                  <c:pt idx="13">
                    <c:v>-68,37358979</c:v>
                  </c:pt>
                  <c:pt idx="14">
                    <c:v>-70,6541872</c:v>
                  </c:pt>
                  <c:pt idx="15">
                    <c:v>-72,97265326</c:v>
                  </c:pt>
                  <c:pt idx="16">
                    <c:v>-75,26312354</c:v>
                  </c:pt>
                  <c:pt idx="17">
                    <c:v>-77,56135682</c:v>
                  </c:pt>
                  <c:pt idx="18">
                    <c:v>-79,90859301</c:v>
                  </c:pt>
                  <c:pt idx="19">
                    <c:v>-82,23539748</c:v>
                  </c:pt>
                  <c:pt idx="20">
                    <c:v>-84,5999726</c:v>
                  </c:pt>
                  <c:pt idx="21">
                    <c:v>-86,92845843</c:v>
                  </c:pt>
                  <c:pt idx="22">
                    <c:v>-89,31020497</c:v>
                  </c:pt>
                  <c:pt idx="23">
                    <c:v>-98,78918919</c:v>
                  </c:pt>
                  <c:pt idx="24">
                    <c:v>-108,3872539</c:v>
                  </c:pt>
                  <c:pt idx="25">
                    <c:v>-118,0907881</c:v>
                  </c:pt>
                  <c:pt idx="26">
                    <c:v>-120,5335605</c:v>
                  </c:pt>
                  <c:pt idx="27">
                    <c:v>-122,9695842</c:v>
                  </c:pt>
                  <c:pt idx="28">
                    <c:v>-125,4124675</c:v>
                  </c:pt>
                  <c:pt idx="29">
                    <c:v>-127,8622102</c:v>
                  </c:pt>
                  <c:pt idx="30">
                    <c:v>-130,3188124</c:v>
                  </c:pt>
                  <c:pt idx="31">
                    <c:v>-132,7960068</c:v>
                  </c:pt>
                  <c:pt idx="32">
                    <c:v>-135,2663487</c:v>
                  </c:pt>
                  <c:pt idx="33">
                    <c:v>-137,74355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  <c:lvl>
                  <c:pt idx="0">
                    <c:v>Раствор 1(тв): </c:v>
                  </c:pt>
                  <c:pt idx="1">
                    <c:v>45035,16308</c:v>
                  </c:pt>
                  <c:pt idx="2">
                    <c:v>43084,43882</c:v>
                  </c:pt>
                  <c:pt idx="3">
                    <c:v>41100,86595</c:v>
                  </c:pt>
                  <c:pt idx="4">
                    <c:v>38964,96094</c:v>
                  </c:pt>
                  <c:pt idx="5">
                    <c:v>36649,88418</c:v>
                  </c:pt>
                  <c:pt idx="6">
                    <c:v>27663,94816</c:v>
                  </c:pt>
                  <c:pt idx="7">
                    <c:v>25840,93135</c:v>
                  </c:pt>
                  <c:pt idx="8">
                    <c:v>24214,93693</c:v>
                  </c:pt>
                  <c:pt idx="9">
                    <c:v>22800,77408</c:v>
                  </c:pt>
                  <c:pt idx="10">
                    <c:v>21563,92233</c:v>
                  </c:pt>
                  <c:pt idx="11">
                    <c:v>20467,38803</c:v>
                  </c:pt>
                  <c:pt idx="12">
                    <c:v>19463,4727</c:v>
                  </c:pt>
                  <c:pt idx="13">
                    <c:v>18544,76879</c:v>
                  </c:pt>
                  <c:pt idx="14">
                    <c:v>17714,93845</c:v>
                  </c:pt>
                  <c:pt idx="15">
                    <c:v>16973,14592</c:v>
                  </c:pt>
                  <c:pt idx="16">
                    <c:v>16325,63377</c:v>
                  </c:pt>
                  <c:pt idx="17">
                    <c:v>15776,64354</c:v>
                  </c:pt>
                  <c:pt idx="18">
                    <c:v>15314,56304</c:v>
                  </c:pt>
                  <c:pt idx="19">
                    <c:v>14915,3013</c:v>
                  </c:pt>
                  <c:pt idx="20">
                    <c:v>14572,68329</c:v>
                  </c:pt>
                  <c:pt idx="21">
                    <c:v>14271,33816</c:v>
                  </c:pt>
                  <c:pt idx="22">
                    <c:v>14005,31155</c:v>
                  </c:pt>
                  <c:pt idx="23">
                    <c:v>13254,30324</c:v>
                  </c:pt>
                  <c:pt idx="24">
                    <c:v>12999,40359</c:v>
                  </c:pt>
                  <c:pt idx="25">
                    <c:v>13492,91632</c:v>
                  </c:pt>
                  <c:pt idx="26">
                    <c:v>13730,64539</c:v>
                  </c:pt>
                  <c:pt idx="27">
                    <c:v>13995,36387</c:v>
                  </c:pt>
                  <c:pt idx="28">
                    <c:v>14278,74808</c:v>
                  </c:pt>
                  <c:pt idx="29">
                    <c:v>14574,40398</c:v>
                  </c:pt>
                  <c:pt idx="30">
                    <c:v>14879,07857</c:v>
                  </c:pt>
                  <c:pt idx="31">
                    <c:v>15190,41569</c:v>
                  </c:pt>
                  <c:pt idx="32">
                    <c:v>15505,03148</c:v>
                  </c:pt>
                  <c:pt idx="33">
                    <c:v>15823,02522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422</c:v>
                  </c:pt>
                  <c:pt idx="8">
                    <c:v>438</c:v>
                  </c:pt>
                  <c:pt idx="9">
                    <c:v>455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736</c:v>
                  </c:pt>
                  <c:pt idx="24">
                    <c:v>802</c:v>
                  </c:pt>
                  <c:pt idx="25">
                    <c:v>868</c:v>
                  </c:pt>
                  <c:pt idx="26">
                    <c:v>884</c:v>
                  </c:pt>
                  <c:pt idx="27">
                    <c:v>901</c:v>
                  </c:pt>
                  <c:pt idx="28">
                    <c:v>917</c:v>
                  </c:pt>
                  <c:pt idx="29">
                    <c:v>934</c:v>
                  </c:pt>
                  <c:pt idx="30">
                    <c:v>950</c:v>
                  </c:pt>
                  <c:pt idx="31">
                    <c:v>967</c:v>
                  </c:pt>
                  <c:pt idx="32">
                    <c:v>984</c:v>
                  </c:pt>
                  <c:pt idx="33">
                    <c:v>1000</c:v>
                  </c:pt>
                </c:lvl>
              </c:multiLvlStrCache>
            </c:multiLvlStrRef>
          </c:xVal>
          <c:yVal>
            <c:numRef>
              <c:f>ALL!$E$136:$AL$136</c:f>
              <c:numCache>
                <c:formatCode>General</c:formatCode>
                <c:ptCount val="3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74B-47E8-A19D-44B695C09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/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10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977923918009719E-2"/>
          <c:y val="9.0586236023553687E-2"/>
          <c:w val="0.91743241838991729"/>
          <c:h val="0.78945009536176713"/>
        </c:manualLayout>
      </c:layout>
      <c:scatterChart>
        <c:scatterStyle val="lineMarker"/>
        <c:varyColors val="0"/>
        <c:ser>
          <c:idx val="0"/>
          <c:order val="0"/>
          <c:tx>
            <c:strRef>
              <c:f>ALL!$E$4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</c:numRef>
          </c:xVal>
          <c:yVal>
            <c:numRef>
              <c:f>ALL!$F$4:$BR$4</c:f>
              <c:numCache>
                <c:formatCode>0.0E+00</c:formatCode>
                <c:ptCount val="65"/>
                <c:pt idx="0">
                  <c:v>0</c:v>
                </c:pt>
                <c:pt idx="1">
                  <c:v>1.2332000000000001E-32</c:v>
                </c:pt>
                <c:pt idx="2">
                  <c:v>2.6809000000000002E-23</c:v>
                </c:pt>
                <c:pt idx="3">
                  <c:v>1.3057000000000001E-19</c:v>
                </c:pt>
                <c:pt idx="4">
                  <c:v>4.9528000000000003E-18</c:v>
                </c:pt>
                <c:pt idx="5">
                  <c:v>6.4772999999999998E-16</c:v>
                </c:pt>
                <c:pt idx="6">
                  <c:v>5.5125000000000003E-15</c:v>
                </c:pt>
                <c:pt idx="7">
                  <c:v>2.107E-13</c:v>
                </c:pt>
                <c:pt idx="8">
                  <c:v>3.3470000000000002E-11</c:v>
                </c:pt>
                <c:pt idx="9">
                  <c:v>1.7606999999999999E-9</c:v>
                </c:pt>
                <c:pt idx="10">
                  <c:v>5.4517000000000001E-9</c:v>
                </c:pt>
                <c:pt idx="11">
                  <c:v>8.0913000000000008E-9</c:v>
                </c:pt>
                <c:pt idx="12">
                  <c:v>1.0287999999999999E-8</c:v>
                </c:pt>
                <c:pt idx="13">
                  <c:v>1.6545E-8</c:v>
                </c:pt>
                <c:pt idx="14">
                  <c:v>1.8688000000000002E-8</c:v>
                </c:pt>
                <c:pt idx="15">
                  <c:v>1.6283000000000001E-8</c:v>
                </c:pt>
                <c:pt idx="16">
                  <c:v>1.2261999999999999E-8</c:v>
                </c:pt>
                <c:pt idx="17">
                  <c:v>1.5364999999999999E-8</c:v>
                </c:pt>
                <c:pt idx="18">
                  <c:v>1.7704000000000001E-8</c:v>
                </c:pt>
                <c:pt idx="19">
                  <c:v>1.8891E-8</c:v>
                </c:pt>
                <c:pt idx="20">
                  <c:v>1.9265000000000001E-8</c:v>
                </c:pt>
                <c:pt idx="21">
                  <c:v>1.9264E-8</c:v>
                </c:pt>
                <c:pt idx="22">
                  <c:v>1.9528000000000001E-8</c:v>
                </c:pt>
                <c:pt idx="23">
                  <c:v>1.4852E-8</c:v>
                </c:pt>
                <c:pt idx="24">
                  <c:v>1.8445999999999999E-8</c:v>
                </c:pt>
                <c:pt idx="25">
                  <c:v>2.4019000000000002E-8</c:v>
                </c:pt>
                <c:pt idx="26">
                  <c:v>2.8652999999999999E-8</c:v>
                </c:pt>
                <c:pt idx="27">
                  <c:v>1.9151999999999998E-8</c:v>
                </c:pt>
                <c:pt idx="28">
                  <c:v>2.0821999999999999E-8</c:v>
                </c:pt>
                <c:pt idx="29">
                  <c:v>2.2121E-8</c:v>
                </c:pt>
                <c:pt idx="30">
                  <c:v>2.3125E-8</c:v>
                </c:pt>
                <c:pt idx="31">
                  <c:v>2.3739999999999999E-8</c:v>
                </c:pt>
                <c:pt idx="32">
                  <c:v>2.4061E-8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E7A-412E-BBF5-89E233391AB6}"/>
            </c:ext>
          </c:extLst>
        </c:ser>
        <c:ser>
          <c:idx val="1"/>
          <c:order val="1"/>
          <c:tx>
            <c:strRef>
              <c:f>ALL!$E$5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</c:numRef>
          </c:xVal>
          <c:yVal>
            <c:numRef>
              <c:f>ALL!$F$5:$BR$5</c:f>
              <c:numCache>
                <c:formatCode>0.0E+00</c:formatCode>
                <c:ptCount val="65"/>
                <c:pt idx="0">
                  <c:v>5.0425999999999999E-11</c:v>
                </c:pt>
                <c:pt idx="1">
                  <c:v>3.5906999999999998E-10</c:v>
                </c:pt>
                <c:pt idx="2">
                  <c:v>4.9991000000000002E-9</c:v>
                </c:pt>
                <c:pt idx="3">
                  <c:v>1.1377E-8</c:v>
                </c:pt>
                <c:pt idx="4">
                  <c:v>1.5484000000000002E-8</c:v>
                </c:pt>
                <c:pt idx="5">
                  <c:v>2.6606E-8</c:v>
                </c:pt>
                <c:pt idx="6">
                  <c:v>2.3353000000000001E-8</c:v>
                </c:pt>
                <c:pt idx="7">
                  <c:v>1.5670999999999999E-8</c:v>
                </c:pt>
                <c:pt idx="8">
                  <c:v>7.0690999999999999E-9</c:v>
                </c:pt>
                <c:pt idx="9">
                  <c:v>4.8526000000000004E-10</c:v>
                </c:pt>
                <c:pt idx="10">
                  <c:v>2.4603000000000001E-13</c:v>
                </c:pt>
                <c:pt idx="11">
                  <c:v>1.3894000000000001E-18</c:v>
                </c:pt>
                <c:pt idx="12">
                  <c:v>2.2517000000000001E-25</c:v>
                </c:pt>
                <c:pt idx="13">
                  <c:v>1.5275000000000001E-32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E7A-412E-BBF5-89E233391AB6}"/>
            </c:ext>
          </c:extLst>
        </c:ser>
        <c:ser>
          <c:idx val="2"/>
          <c:order val="2"/>
          <c:tx>
            <c:strRef>
              <c:f>ALL!$E$6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</c:numRef>
          </c:xVal>
          <c:yVal>
            <c:numRef>
              <c:f>ALL!$F$6:$BR$6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E7A-412E-BBF5-89E233391AB6}"/>
            </c:ext>
          </c:extLst>
        </c:ser>
        <c:ser>
          <c:idx val="5"/>
          <c:order val="5"/>
          <c:tx>
            <c:strRef>
              <c:f>ALL!$E$9</c:f>
              <c:strCache>
                <c:ptCount val="1"/>
                <c:pt idx="0">
                  <c:v>(DGa2Sej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</c:numRef>
          </c:xVal>
          <c:yVal>
            <c:numRef>
              <c:f>ALL!$F$9:$BR$9</c:f>
              <c:numCache>
                <c:formatCode>0.0E+00</c:formatCode>
                <c:ptCount val="65"/>
                <c:pt idx="0">
                  <c:v>3.9999E-2</c:v>
                </c:pt>
                <c:pt idx="1">
                  <c:v>3.9996999999999998E-2</c:v>
                </c:pt>
                <c:pt idx="2">
                  <c:v>3.9995000000000003E-2</c:v>
                </c:pt>
                <c:pt idx="3">
                  <c:v>3.9989999999999998E-2</c:v>
                </c:pt>
                <c:pt idx="4">
                  <c:v>3.9978E-2</c:v>
                </c:pt>
                <c:pt idx="5">
                  <c:v>3.9584000000000001E-2</c:v>
                </c:pt>
                <c:pt idx="6">
                  <c:v>3.9222E-2</c:v>
                </c:pt>
                <c:pt idx="7">
                  <c:v>3.8613000000000001E-2</c:v>
                </c:pt>
                <c:pt idx="8">
                  <c:v>3.7638999999999999E-2</c:v>
                </c:pt>
                <c:pt idx="9">
                  <c:v>3.6138999999999998E-2</c:v>
                </c:pt>
                <c:pt idx="10">
                  <c:v>3.3898999999999999E-2</c:v>
                </c:pt>
                <c:pt idx="11">
                  <c:v>3.0683999999999999E-2</c:v>
                </c:pt>
                <c:pt idx="12">
                  <c:v>2.6362E-2</c:v>
                </c:pt>
                <c:pt idx="13">
                  <c:v>2.1083000000000001E-2</c:v>
                </c:pt>
                <c:pt idx="14">
                  <c:v>1.5407000000000001E-2</c:v>
                </c:pt>
                <c:pt idx="15">
                  <c:v>1.0189E-2</c:v>
                </c:pt>
                <c:pt idx="16">
                  <c:v>6.1503E-3</c:v>
                </c:pt>
                <c:pt idx="17">
                  <c:v>3.4772000000000002E-3</c:v>
                </c:pt>
                <c:pt idx="18">
                  <c:v>1.8994999999999999E-3</c:v>
                </c:pt>
                <c:pt idx="19">
                  <c:v>1.0275E-3</c:v>
                </c:pt>
                <c:pt idx="20">
                  <c:v>5.5864E-4</c:v>
                </c:pt>
                <c:pt idx="21">
                  <c:v>3.0761999999999999E-4</c:v>
                </c:pt>
                <c:pt idx="22">
                  <c:v>3.2917999999999999E-5</c:v>
                </c:pt>
                <c:pt idx="23">
                  <c:v>3.388E-6</c:v>
                </c:pt>
                <c:pt idx="24">
                  <c:v>8.3001000000000003E-8</c:v>
                </c:pt>
                <c:pt idx="25">
                  <c:v>2.3695000000000001E-8</c:v>
                </c:pt>
                <c:pt idx="26">
                  <c:v>6.2944999999999997E-9</c:v>
                </c:pt>
                <c:pt idx="27">
                  <c:v>1.6136999999999999E-9</c:v>
                </c:pt>
                <c:pt idx="28">
                  <c:v>4.1002E-10</c:v>
                </c:pt>
                <c:pt idx="29">
                  <c:v>1.0503E-10</c:v>
                </c:pt>
                <c:pt idx="30">
                  <c:v>2.7389999999999999E-11</c:v>
                </c:pt>
                <c:pt idx="31">
                  <c:v>7.3112999999999994E-12</c:v>
                </c:pt>
                <c:pt idx="32">
                  <c:v>2.0026E-12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AE7A-412E-BBF5-89E233391AB6}"/>
            </c:ext>
          </c:extLst>
        </c:ser>
        <c:ser>
          <c:idx val="6"/>
          <c:order val="6"/>
          <c:tx>
            <c:strRef>
              <c:f>ALL!$E$10</c:f>
              <c:strCache>
                <c:ptCount val="1"/>
                <c:pt idx="0">
                  <c:v>(DGaSe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6-AE7A-412E-BBF5-89E233391AB6}"/>
              </c:ext>
            </c:extLst>
          </c:dPt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</c:numRef>
          </c:xVal>
          <c:yVal>
            <c:numRef>
              <c:f>ALL!$F$10:$BR$10</c:f>
              <c:numCache>
                <c:formatCode>0.0E+00</c:formatCode>
                <c:ptCount val="65"/>
                <c:pt idx="0">
                  <c:v>2.7043000000000001E-6</c:v>
                </c:pt>
                <c:pt idx="1">
                  <c:v>5.1414999999999998E-6</c:v>
                </c:pt>
                <c:pt idx="2">
                  <c:v>9.9526000000000002E-6</c:v>
                </c:pt>
                <c:pt idx="3">
                  <c:v>2.0440000000000001E-5</c:v>
                </c:pt>
                <c:pt idx="4">
                  <c:v>4.4202000000000001E-5</c:v>
                </c:pt>
                <c:pt idx="5">
                  <c:v>8.3197999999999996E-4</c:v>
                </c:pt>
                <c:pt idx="6">
                  <c:v>1.5556999999999999E-3</c:v>
                </c:pt>
                <c:pt idx="7">
                  <c:v>2.7734000000000001E-3</c:v>
                </c:pt>
                <c:pt idx="8">
                  <c:v>4.7219999999999996E-3</c:v>
                </c:pt>
                <c:pt idx="9">
                  <c:v>7.7216999999999997E-3</c:v>
                </c:pt>
                <c:pt idx="10">
                  <c:v>1.2201999999999999E-2</c:v>
                </c:pt>
                <c:pt idx="11">
                  <c:v>1.8631999999999999E-2</c:v>
                </c:pt>
                <c:pt idx="12">
                  <c:v>2.7276999999999999E-2</c:v>
                </c:pt>
                <c:pt idx="13">
                  <c:v>3.7834E-2</c:v>
                </c:pt>
                <c:pt idx="14">
                  <c:v>4.9186000000000001E-2</c:v>
                </c:pt>
                <c:pt idx="15">
                  <c:v>5.9621E-2</c:v>
                </c:pt>
                <c:pt idx="16">
                  <c:v>6.7698999999999995E-2</c:v>
                </c:pt>
                <c:pt idx="17">
                  <c:v>7.3044999999999999E-2</c:v>
                </c:pt>
                <c:pt idx="18">
                  <c:v>7.6199000000000003E-2</c:v>
                </c:pt>
                <c:pt idx="19">
                  <c:v>7.7939999999999995E-2</c:v>
                </c:pt>
                <c:pt idx="20">
                  <c:v>7.8869999999999996E-2</c:v>
                </c:pt>
                <c:pt idx="21">
                  <c:v>7.9353000000000007E-2</c:v>
                </c:pt>
                <c:pt idx="22">
                  <c:v>7.9082E-2</c:v>
                </c:pt>
                <c:pt idx="23">
                  <c:v>6.7571999999999993E-2</c:v>
                </c:pt>
                <c:pt idx="24">
                  <c:v>2.5463E-2</c:v>
                </c:pt>
                <c:pt idx="25">
                  <c:v>1.6709000000000002E-2</c:v>
                </c:pt>
                <c:pt idx="26">
                  <c:v>1.0519000000000001E-2</c:v>
                </c:pt>
                <c:pt idx="27">
                  <c:v>6.4719E-3</c:v>
                </c:pt>
                <c:pt idx="28">
                  <c:v>3.9449999999999997E-3</c:v>
                </c:pt>
                <c:pt idx="29">
                  <c:v>2.4034999999999998E-3</c:v>
                </c:pt>
                <c:pt idx="30">
                  <c:v>1.4714000000000001E-3</c:v>
                </c:pt>
                <c:pt idx="31">
                  <c:v>9.0764999999999997E-4</c:v>
                </c:pt>
                <c:pt idx="32">
                  <c:v>5.6503E-4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AE7A-412E-BBF5-89E233391AB6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(DGe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</c:numRef>
          </c:xVal>
          <c:yVal>
            <c:numRef>
              <c:f>ALL!$F$11:$BR$11</c:f>
              <c:numCache>
                <c:formatCode>0.0E+00</c:formatCode>
                <c:ptCount val="65"/>
                <c:pt idx="0">
                  <c:v>4.5573999999999998E-7</c:v>
                </c:pt>
                <c:pt idx="1">
                  <c:v>9.7942000000000002E-7</c:v>
                </c:pt>
                <c:pt idx="2">
                  <c:v>2.3769999999999999E-6</c:v>
                </c:pt>
                <c:pt idx="3">
                  <c:v>6.9770000000000003E-6</c:v>
                </c:pt>
                <c:pt idx="4">
                  <c:v>2.3535000000000001E-5</c:v>
                </c:pt>
                <c:pt idx="5">
                  <c:v>2.4867999999999999E-3</c:v>
                </c:pt>
                <c:pt idx="6">
                  <c:v>6.5661000000000001E-3</c:v>
                </c:pt>
                <c:pt idx="7">
                  <c:v>1.5582E-2</c:v>
                </c:pt>
                <c:pt idx="8">
                  <c:v>3.2625000000000001E-2</c:v>
                </c:pt>
                <c:pt idx="9">
                  <c:v>5.9728000000000003E-2</c:v>
                </c:pt>
                <c:pt idx="10">
                  <c:v>9.5829999999999999E-2</c:v>
                </c:pt>
                <c:pt idx="11">
                  <c:v>0.13569999999999999</c:v>
                </c:pt>
                <c:pt idx="12">
                  <c:v>0.17176</c:v>
                </c:pt>
                <c:pt idx="13">
                  <c:v>0.19878999999999999</c:v>
                </c:pt>
                <c:pt idx="14">
                  <c:v>0.21628</c:v>
                </c:pt>
                <c:pt idx="15">
                  <c:v>0.22661000000000001</c:v>
                </c:pt>
                <c:pt idx="16">
                  <c:v>0.23244000000000001</c:v>
                </c:pt>
                <c:pt idx="17">
                  <c:v>0.23569000000000001</c:v>
                </c:pt>
                <c:pt idx="18">
                  <c:v>0.23751</c:v>
                </c:pt>
                <c:pt idx="19">
                  <c:v>0.23852999999999999</c:v>
                </c:pt>
                <c:pt idx="20">
                  <c:v>0.23912</c:v>
                </c:pt>
                <c:pt idx="21">
                  <c:v>0.23946000000000001</c:v>
                </c:pt>
                <c:pt idx="22">
                  <c:v>0.23991000000000001</c:v>
                </c:pt>
                <c:pt idx="23">
                  <c:v>0.23998</c:v>
                </c:pt>
                <c:pt idx="24">
                  <c:v>0.24</c:v>
                </c:pt>
                <c:pt idx="25">
                  <c:v>0.24</c:v>
                </c:pt>
                <c:pt idx="26">
                  <c:v>0.24</c:v>
                </c:pt>
                <c:pt idx="27">
                  <c:v>0.24</c:v>
                </c:pt>
                <c:pt idx="28">
                  <c:v>0.24</c:v>
                </c:pt>
                <c:pt idx="29">
                  <c:v>0.24</c:v>
                </c:pt>
                <c:pt idx="30">
                  <c:v>0.24</c:v>
                </c:pt>
                <c:pt idx="31">
                  <c:v>0.24</c:v>
                </c:pt>
                <c:pt idx="32">
                  <c:v>0.24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AE7A-412E-BBF5-89E233391AB6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(DGa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</c:numRef>
          </c:xVal>
          <c:yVal>
            <c:numRef>
              <c:f>ALL!$F$12:$BR$12</c:f>
              <c:numCache>
                <c:formatCode>0.0E+00</c:formatCode>
                <c:ptCount val="65"/>
                <c:pt idx="0">
                  <c:v>5.1747999999999996E-28</c:v>
                </c:pt>
                <c:pt idx="1">
                  <c:v>1.9352999999999999E-26</c:v>
                </c:pt>
                <c:pt idx="2">
                  <c:v>6.1775000000000004E-25</c:v>
                </c:pt>
                <c:pt idx="3">
                  <c:v>1.9541999999999999E-23</c:v>
                </c:pt>
                <c:pt idx="4">
                  <c:v>6.2668999999999996E-22</c:v>
                </c:pt>
                <c:pt idx="5">
                  <c:v>1.8846000000000001E-16</c:v>
                </c:pt>
                <c:pt idx="6">
                  <c:v>2.6924000000000001E-15</c:v>
                </c:pt>
                <c:pt idx="7">
                  <c:v>3.1248E-14</c:v>
                </c:pt>
                <c:pt idx="8">
                  <c:v>2.9683000000000001E-13</c:v>
                </c:pt>
                <c:pt idx="9">
                  <c:v>2.3656999999999999E-12</c:v>
                </c:pt>
                <c:pt idx="10">
                  <c:v>1.6410000000000001E-11</c:v>
                </c:pt>
                <c:pt idx="11">
                  <c:v>1.0201E-10</c:v>
                </c:pt>
                <c:pt idx="12">
                  <c:v>5.7400999999999996E-10</c:v>
                </c:pt>
                <c:pt idx="13">
                  <c:v>2.907E-9</c:v>
                </c:pt>
                <c:pt idx="14">
                  <c:v>1.3103E-8</c:v>
                </c:pt>
                <c:pt idx="15">
                  <c:v>5.222E-8</c:v>
                </c:pt>
                <c:pt idx="16">
                  <c:v>1.8493E-7</c:v>
                </c:pt>
                <c:pt idx="17">
                  <c:v>5.9134E-7</c:v>
                </c:pt>
                <c:pt idx="18">
                  <c:v>1.742E-6</c:v>
                </c:pt>
                <c:pt idx="19">
                  <c:v>4.809E-6</c:v>
                </c:pt>
                <c:pt idx="20">
                  <c:v>1.2591E-5</c:v>
                </c:pt>
                <c:pt idx="21">
                  <c:v>3.1511999999999999E-5</c:v>
                </c:pt>
                <c:pt idx="22">
                  <c:v>8.5201999999999999E-4</c:v>
                </c:pt>
                <c:pt idx="23">
                  <c:v>1.2422000000000001E-2</c:v>
                </c:pt>
                <c:pt idx="24">
                  <c:v>5.4536000000000001E-2</c:v>
                </c:pt>
                <c:pt idx="25">
                  <c:v>6.3291E-2</c:v>
                </c:pt>
                <c:pt idx="26">
                  <c:v>6.9481000000000001E-2</c:v>
                </c:pt>
                <c:pt idx="27">
                  <c:v>7.3527999999999996E-2</c:v>
                </c:pt>
                <c:pt idx="28">
                  <c:v>7.6054999999999998E-2</c:v>
                </c:pt>
                <c:pt idx="29">
                  <c:v>7.7595999999999998E-2</c:v>
                </c:pt>
                <c:pt idx="30">
                  <c:v>7.8529000000000002E-2</c:v>
                </c:pt>
                <c:pt idx="31">
                  <c:v>7.9091999999999996E-2</c:v>
                </c:pt>
                <c:pt idx="32">
                  <c:v>7.9435000000000006E-2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E7A-412E-BBF5-89E233391AB6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(1)Se[A]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</c:numRef>
          </c:xVal>
          <c:yVal>
            <c:numRef>
              <c:f>ALL!$F$13:$BR$13</c:f>
              <c:numCache>
                <c:formatCode>0.0E+00</c:formatCode>
                <c:ptCount val="65"/>
                <c:pt idx="0">
                  <c:v>6.2095000000000001E-10</c:v>
                </c:pt>
                <c:pt idx="1">
                  <c:v>1.9735999999999999E-9</c:v>
                </c:pt>
                <c:pt idx="2">
                  <c:v>4.9362000000000004E-9</c:v>
                </c:pt>
                <c:pt idx="3">
                  <c:v>9.3578999999999997E-9</c:v>
                </c:pt>
                <c:pt idx="4">
                  <c:v>1.3474E-8</c:v>
                </c:pt>
                <c:pt idx="5">
                  <c:v>1.2793000000000001E-8</c:v>
                </c:pt>
                <c:pt idx="6">
                  <c:v>1.15E-8</c:v>
                </c:pt>
                <c:pt idx="7">
                  <c:v>1.0627E-8</c:v>
                </c:pt>
                <c:pt idx="8">
                  <c:v>1.0274E-8</c:v>
                </c:pt>
                <c:pt idx="9">
                  <c:v>1.0363999999999999E-8</c:v>
                </c:pt>
                <c:pt idx="10">
                  <c:v>1.0645E-8</c:v>
                </c:pt>
                <c:pt idx="11">
                  <c:v>1.0786999999999999E-8</c:v>
                </c:pt>
                <c:pt idx="12">
                  <c:v>1.054E-8</c:v>
                </c:pt>
                <c:pt idx="13">
                  <c:v>9.8784999999999997E-9</c:v>
                </c:pt>
                <c:pt idx="14">
                  <c:v>8.9458000000000003E-9</c:v>
                </c:pt>
                <c:pt idx="15">
                  <c:v>7.9083000000000001E-9</c:v>
                </c:pt>
                <c:pt idx="16">
                  <c:v>6.8798999999999998E-9</c:v>
                </c:pt>
                <c:pt idx="17">
                  <c:v>5.9239999999999998E-9</c:v>
                </c:pt>
                <c:pt idx="18">
                  <c:v>5.0698E-9</c:v>
                </c:pt>
                <c:pt idx="19">
                  <c:v>4.3247999999999998E-9</c:v>
                </c:pt>
                <c:pt idx="20">
                  <c:v>3.6839000000000001E-9</c:v>
                </c:pt>
                <c:pt idx="21">
                  <c:v>3.1366000000000001E-9</c:v>
                </c:pt>
                <c:pt idx="22">
                  <c:v>1.6574999999999999E-9</c:v>
                </c:pt>
                <c:pt idx="23">
                  <c:v>9.0996000000000003E-10</c:v>
                </c:pt>
                <c:pt idx="24">
                  <c:v>5.4217E-10</c:v>
                </c:pt>
                <c:pt idx="25">
                  <c:v>4.7478999999999997E-10</c:v>
                </c:pt>
                <c:pt idx="26">
                  <c:v>4.1369999999999998E-10</c:v>
                </c:pt>
                <c:pt idx="27">
                  <c:v>3.5906E-10</c:v>
                </c:pt>
                <c:pt idx="28">
                  <c:v>3.1083999999999998E-10</c:v>
                </c:pt>
                <c:pt idx="29">
                  <c:v>2.6873000000000001E-10</c:v>
                </c:pt>
                <c:pt idx="30">
                  <c:v>2.3219E-10</c:v>
                </c:pt>
                <c:pt idx="31">
                  <c:v>2.0060000000000001E-10</c:v>
                </c:pt>
                <c:pt idx="32">
                  <c:v>1.7333999999999999E-10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E7A-412E-BBF5-89E233391AB6}"/>
            </c:ext>
          </c:extLst>
        </c:ser>
        <c:ser>
          <c:idx val="10"/>
          <c:order val="10"/>
          <c:tx>
            <c:strRef>
              <c:f>ALL!$E$14</c:f>
              <c:strCache>
                <c:ptCount val="1"/>
                <c:pt idx="0">
                  <c:v>(1)Se[M]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</c:numRef>
          </c:xVal>
          <c:yVal>
            <c:numRef>
              <c:f>ALL!$F$14:$BR$14</c:f>
              <c:numCache>
                <c:formatCode>0.0E+00</c:formatCode>
                <c:ptCount val="65"/>
                <c:pt idx="0">
                  <c:v>2.2807000000000001E-3</c:v>
                </c:pt>
                <c:pt idx="1">
                  <c:v>7.7456000000000001E-3</c:v>
                </c:pt>
                <c:pt idx="2">
                  <c:v>2.1149999999999999E-2</c:v>
                </c:pt>
                <c:pt idx="3">
                  <c:v>4.4524000000000001E-2</c:v>
                </c:pt>
                <c:pt idx="4">
                  <c:v>7.2162000000000004E-2</c:v>
                </c:pt>
                <c:pt idx="5">
                  <c:v>0.1201</c:v>
                </c:pt>
                <c:pt idx="6">
                  <c:v>0.12595999999999999</c:v>
                </c:pt>
                <c:pt idx="7">
                  <c:v>0.13627</c:v>
                </c:pt>
                <c:pt idx="8">
                  <c:v>0.15462000000000001</c:v>
                </c:pt>
                <c:pt idx="9">
                  <c:v>0.18340000000000001</c:v>
                </c:pt>
                <c:pt idx="10">
                  <c:v>0.22184000000000001</c:v>
                </c:pt>
                <c:pt idx="11">
                  <c:v>0.26496999999999998</c:v>
                </c:pt>
                <c:pt idx="12">
                  <c:v>0.30537999999999998</c:v>
                </c:pt>
                <c:pt idx="13">
                  <c:v>0.3377</c:v>
                </c:pt>
                <c:pt idx="14">
                  <c:v>0.36087000000000002</c:v>
                </c:pt>
                <c:pt idx="15">
                  <c:v>0.37641999999999998</c:v>
                </c:pt>
                <c:pt idx="16">
                  <c:v>0.38629000000000002</c:v>
                </c:pt>
                <c:pt idx="17">
                  <c:v>0.39221</c:v>
                </c:pt>
                <c:pt idx="18">
                  <c:v>0.39561000000000002</c:v>
                </c:pt>
                <c:pt idx="19">
                  <c:v>0.39750999999999997</c:v>
                </c:pt>
                <c:pt idx="20">
                  <c:v>0.39856999999999998</c:v>
                </c:pt>
                <c:pt idx="21">
                  <c:v>0.39918999999999999</c:v>
                </c:pt>
                <c:pt idx="22">
                  <c:v>0.40072999999999998</c:v>
                </c:pt>
                <c:pt idx="23">
                  <c:v>0.41239999999999999</c:v>
                </c:pt>
                <c:pt idx="24">
                  <c:v>0.45452999999999999</c:v>
                </c:pt>
                <c:pt idx="25">
                  <c:v>0.46328999999999998</c:v>
                </c:pt>
                <c:pt idx="26">
                  <c:v>0.46948000000000001</c:v>
                </c:pt>
                <c:pt idx="27">
                  <c:v>0.47353000000000001</c:v>
                </c:pt>
                <c:pt idx="28">
                  <c:v>0.47604999999999997</c:v>
                </c:pt>
                <c:pt idx="29">
                  <c:v>0.47760000000000002</c:v>
                </c:pt>
                <c:pt idx="30">
                  <c:v>0.47853000000000001</c:v>
                </c:pt>
                <c:pt idx="31">
                  <c:v>0.47909000000000002</c:v>
                </c:pt>
                <c:pt idx="32">
                  <c:v>0.47943000000000002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E7A-412E-BBF5-89E233391AB6}"/>
            </c:ext>
          </c:extLst>
        </c:ser>
        <c:ser>
          <c:idx val="11"/>
          <c:order val="11"/>
          <c:tx>
            <c:strRef>
              <c:f>ALL!$E$15</c:f>
              <c:strCache>
                <c:ptCount val="1"/>
                <c:pt idx="0">
                  <c:v>(1)Se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</c:numRef>
          </c:xVal>
          <c:yVal>
            <c:numRef>
              <c:f>ALL!$F$15:$BR$15</c:f>
              <c:numCache>
                <c:formatCode>0.0E+00</c:formatCode>
                <c:ptCount val="65"/>
                <c:pt idx="0">
                  <c:v>2.7022E-9</c:v>
                </c:pt>
                <c:pt idx="1">
                  <c:v>7.5784000000000002E-9</c:v>
                </c:pt>
                <c:pt idx="2">
                  <c:v>1.6939E-8</c:v>
                </c:pt>
                <c:pt idx="3">
                  <c:v>2.9011000000000001E-8</c:v>
                </c:pt>
                <c:pt idx="4">
                  <c:v>3.8093000000000002E-8</c:v>
                </c:pt>
                <c:pt idx="5">
                  <c:v>2.6884000000000001E-8</c:v>
                </c:pt>
                <c:pt idx="6">
                  <c:v>2.2758999999999999E-8</c:v>
                </c:pt>
                <c:pt idx="7">
                  <c:v>1.9893999999999999E-8</c:v>
                </c:pt>
                <c:pt idx="8">
                  <c:v>1.8266E-8</c:v>
                </c:pt>
                <c:pt idx="9">
                  <c:v>1.7561000000000001E-8</c:v>
                </c:pt>
                <c:pt idx="10">
                  <c:v>1.7249000000000001E-8</c:v>
                </c:pt>
                <c:pt idx="11">
                  <c:v>1.7409000000000001E-8</c:v>
                </c:pt>
                <c:pt idx="12">
                  <c:v>1.7155E-8</c:v>
                </c:pt>
                <c:pt idx="13">
                  <c:v>1.6222000000000001E-8</c:v>
                </c:pt>
                <c:pt idx="14">
                  <c:v>1.4826999999999999E-8</c:v>
                </c:pt>
                <c:pt idx="15">
                  <c:v>1.3233E-8</c:v>
                </c:pt>
                <c:pt idx="16">
                  <c:v>1.1625E-8</c:v>
                </c:pt>
                <c:pt idx="17">
                  <c:v>1.0109E-8</c:v>
                </c:pt>
                <c:pt idx="18">
                  <c:v>8.7381000000000007E-9</c:v>
                </c:pt>
                <c:pt idx="19">
                  <c:v>7.5290999999999996E-9</c:v>
                </c:pt>
                <c:pt idx="20">
                  <c:v>6.4780999999999998E-9</c:v>
                </c:pt>
                <c:pt idx="21">
                  <c:v>5.5714999999999996E-9</c:v>
                </c:pt>
                <c:pt idx="22">
                  <c:v>3.0642999999999999E-9</c:v>
                </c:pt>
                <c:pt idx="23">
                  <c:v>1.7491999999999999E-9</c:v>
                </c:pt>
                <c:pt idx="24">
                  <c:v>1.0823999999999999E-9</c:v>
                </c:pt>
                <c:pt idx="25">
                  <c:v>9.5671999999999998E-10</c:v>
                </c:pt>
                <c:pt idx="26">
                  <c:v>8.4134999999999999E-10</c:v>
                </c:pt>
                <c:pt idx="27">
                  <c:v>7.3694000000000004E-10</c:v>
                </c:pt>
                <c:pt idx="28">
                  <c:v>6.4383000000000004E-10</c:v>
                </c:pt>
                <c:pt idx="29">
                  <c:v>5.6167999999999997E-10</c:v>
                </c:pt>
                <c:pt idx="30">
                  <c:v>4.8969999999999997E-10</c:v>
                </c:pt>
                <c:pt idx="31">
                  <c:v>4.2689000000000001E-10</c:v>
                </c:pt>
                <c:pt idx="32">
                  <c:v>3.7218999999999998E-10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AE7A-412E-BBF5-89E233391AB6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(2)Ga[l]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</c:numRef>
          </c:xVal>
          <c:yVal>
            <c:numRef>
              <c:f>ALL!$F$16:$BR$16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2.6743000000000002E-28</c:v>
                </c:pt>
                <c:pt idx="24">
                  <c:v>2.5268E-14</c:v>
                </c:pt>
                <c:pt idx="25">
                  <c:v>1.6865999999999999E-12</c:v>
                </c:pt>
                <c:pt idx="26">
                  <c:v>3.0434000000000001E-11</c:v>
                </c:pt>
                <c:pt idx="27">
                  <c:v>1.2171999999999999E-10</c:v>
                </c:pt>
                <c:pt idx="28">
                  <c:v>5.7717999999999997E-10</c:v>
                </c:pt>
                <c:pt idx="29">
                  <c:v>1.9796000000000001E-9</c:v>
                </c:pt>
                <c:pt idx="30">
                  <c:v>5.5962000000000002E-9</c:v>
                </c:pt>
                <c:pt idx="31">
                  <c:v>1.4063E-8</c:v>
                </c:pt>
                <c:pt idx="32">
                  <c:v>3.2876000000000003E-8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AE7A-412E-BBF5-89E233391AB6}"/>
            </c:ext>
          </c:extLst>
        </c:ser>
        <c:ser>
          <c:idx val="13"/>
          <c:order val="13"/>
          <c:tx>
            <c:strRef>
              <c:f>ALL!$E$17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</c:numRef>
          </c:xVal>
          <c:yVal>
            <c:numRef>
              <c:f>ALL!$F$17:$BR$17</c:f>
              <c:numCache>
                <c:formatCode>0.0E+00</c:formatCode>
                <c:ptCount val="65"/>
                <c:pt idx="0">
                  <c:v>-18.62</c:v>
                </c:pt>
                <c:pt idx="1">
                  <c:v>-18.61</c:v>
                </c:pt>
                <c:pt idx="2">
                  <c:v>-18.61</c:v>
                </c:pt>
                <c:pt idx="3">
                  <c:v>-18.62</c:v>
                </c:pt>
                <c:pt idx="4">
                  <c:v>-18.63</c:v>
                </c:pt>
                <c:pt idx="5">
                  <c:v>-18.72</c:v>
                </c:pt>
                <c:pt idx="6">
                  <c:v>-18.75</c:v>
                </c:pt>
                <c:pt idx="7">
                  <c:v>-18.78</c:v>
                </c:pt>
                <c:pt idx="8">
                  <c:v>-18.809999999999999</c:v>
                </c:pt>
                <c:pt idx="9">
                  <c:v>-18.84</c:v>
                </c:pt>
                <c:pt idx="10">
                  <c:v>-18.87</c:v>
                </c:pt>
                <c:pt idx="11">
                  <c:v>-18.899999999999999</c:v>
                </c:pt>
                <c:pt idx="12">
                  <c:v>-18.940000000000001</c:v>
                </c:pt>
                <c:pt idx="13">
                  <c:v>-18.97</c:v>
                </c:pt>
                <c:pt idx="14">
                  <c:v>-19.010000000000002</c:v>
                </c:pt>
                <c:pt idx="15">
                  <c:v>-19.04</c:v>
                </c:pt>
                <c:pt idx="16">
                  <c:v>-19.07</c:v>
                </c:pt>
                <c:pt idx="17">
                  <c:v>-19.11</c:v>
                </c:pt>
                <c:pt idx="18">
                  <c:v>-19.14</c:v>
                </c:pt>
                <c:pt idx="19">
                  <c:v>-19.18</c:v>
                </c:pt>
                <c:pt idx="20">
                  <c:v>-19.21</c:v>
                </c:pt>
                <c:pt idx="21">
                  <c:v>-19.25</c:v>
                </c:pt>
                <c:pt idx="22">
                  <c:v>-19.38</c:v>
                </c:pt>
                <c:pt idx="23">
                  <c:v>-19.510000000000002</c:v>
                </c:pt>
                <c:pt idx="24">
                  <c:v>-19.64</c:v>
                </c:pt>
                <c:pt idx="25">
                  <c:v>-19.670000000000002</c:v>
                </c:pt>
                <c:pt idx="26">
                  <c:v>-19.7</c:v>
                </c:pt>
                <c:pt idx="27">
                  <c:v>-19.73</c:v>
                </c:pt>
                <c:pt idx="28">
                  <c:v>-19.760000000000002</c:v>
                </c:pt>
                <c:pt idx="29">
                  <c:v>-19.79</c:v>
                </c:pt>
                <c:pt idx="30">
                  <c:v>-19.82</c:v>
                </c:pt>
                <c:pt idx="31">
                  <c:v>-19.850000000000001</c:v>
                </c:pt>
                <c:pt idx="32">
                  <c:v>-19.88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E7A-412E-BBF5-89E233391AB6}"/>
            </c:ext>
          </c:extLst>
        </c:ser>
        <c:ser>
          <c:idx val="14"/>
          <c:order val="14"/>
          <c:tx>
            <c:strRef>
              <c:f>ALL!$E$18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</c:numRef>
          </c:xVal>
          <c:yVal>
            <c:numRef>
              <c:f>ALL!$F$18:$BR$18</c:f>
              <c:numCache>
                <c:formatCode>0.0E+00</c:formatCode>
                <c:ptCount val="65"/>
                <c:pt idx="0">
                  <c:v>-66.48</c:v>
                </c:pt>
                <c:pt idx="1">
                  <c:v>-62.87</c:v>
                </c:pt>
                <c:pt idx="2">
                  <c:v>-59.45</c:v>
                </c:pt>
                <c:pt idx="3">
                  <c:v>-56.08</c:v>
                </c:pt>
                <c:pt idx="4">
                  <c:v>-52.71</c:v>
                </c:pt>
                <c:pt idx="5">
                  <c:v>-40.33</c:v>
                </c:pt>
                <c:pt idx="6">
                  <c:v>-37.729999999999997</c:v>
                </c:pt>
                <c:pt idx="7">
                  <c:v>-35.340000000000003</c:v>
                </c:pt>
                <c:pt idx="8">
                  <c:v>-33.17</c:v>
                </c:pt>
                <c:pt idx="9">
                  <c:v>-31.2</c:v>
                </c:pt>
                <c:pt idx="10">
                  <c:v>-29.39</c:v>
                </c:pt>
                <c:pt idx="11">
                  <c:v>-27.69</c:v>
                </c:pt>
                <c:pt idx="12">
                  <c:v>-26.08</c:v>
                </c:pt>
                <c:pt idx="13">
                  <c:v>-24.57</c:v>
                </c:pt>
                <c:pt idx="14">
                  <c:v>-23.15</c:v>
                </c:pt>
                <c:pt idx="15">
                  <c:v>-21.84</c:v>
                </c:pt>
                <c:pt idx="16">
                  <c:v>-20.64</c:v>
                </c:pt>
                <c:pt idx="17">
                  <c:v>-19.53</c:v>
                </c:pt>
                <c:pt idx="18">
                  <c:v>-18.5</c:v>
                </c:pt>
                <c:pt idx="19">
                  <c:v>-17.53</c:v>
                </c:pt>
                <c:pt idx="20">
                  <c:v>-16.62</c:v>
                </c:pt>
                <c:pt idx="21">
                  <c:v>-15.74</c:v>
                </c:pt>
                <c:pt idx="22">
                  <c:v>-12.62</c:v>
                </c:pt>
                <c:pt idx="23">
                  <c:v>-10.119999999999999</c:v>
                </c:pt>
                <c:pt idx="24">
                  <c:v>-8.859</c:v>
                </c:pt>
                <c:pt idx="25">
                  <c:v>-8.76</c:v>
                </c:pt>
                <c:pt idx="26">
                  <c:v>-8.7140000000000004</c:v>
                </c:pt>
                <c:pt idx="27">
                  <c:v>-8.7010000000000005</c:v>
                </c:pt>
                <c:pt idx="28">
                  <c:v>-8.7080000000000002</c:v>
                </c:pt>
                <c:pt idx="29">
                  <c:v>-8.7279999999999998</c:v>
                </c:pt>
                <c:pt idx="30">
                  <c:v>-8.7539999999999996</c:v>
                </c:pt>
                <c:pt idx="31">
                  <c:v>-8.7850000000000001</c:v>
                </c:pt>
                <c:pt idx="32">
                  <c:v>-8.8179999999999996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E7A-412E-BBF5-89E233391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(DGeSe2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0.11772000000000001</c:v>
                      </c:pt>
                      <c:pt idx="1">
                        <c:v>0.11226</c:v>
                      </c:pt>
                      <c:pt idx="2">
                        <c:v>9.8857E-2</c:v>
                      </c:pt>
                      <c:pt idx="3">
                        <c:v>7.5493000000000005E-2</c:v>
                      </c:pt>
                      <c:pt idx="4">
                        <c:v>4.7884000000000003E-2</c:v>
                      </c:pt>
                      <c:pt idx="5">
                        <c:v>2.8065E-3</c:v>
                      </c:pt>
                      <c:pt idx="6">
                        <c:v>1.3795999999999999E-3</c:v>
                      </c:pt>
                      <c:pt idx="7">
                        <c:v>7.0160999999999997E-4</c:v>
                      </c:pt>
                      <c:pt idx="8">
                        <c:v>3.6528999999999999E-4</c:v>
                      </c:pt>
                      <c:pt idx="9">
                        <c:v>1.8887E-4</c:v>
                      </c:pt>
                      <c:pt idx="10">
                        <c:v>9.2763999999999995E-5</c:v>
                      </c:pt>
                      <c:pt idx="11">
                        <c:v>4.1637999999999997E-5</c:v>
                      </c:pt>
                      <c:pt idx="12">
                        <c:v>1.6872999999999999E-5</c:v>
                      </c:pt>
                      <c:pt idx="13">
                        <c:v>6.2983000000000003E-6</c:v>
                      </c:pt>
                      <c:pt idx="14">
                        <c:v>2.2473999999999999E-6</c:v>
                      </c:pt>
                      <c:pt idx="15">
                        <c:v>7.9329999999999999E-7</c:v>
                      </c:pt>
                      <c:pt idx="16">
                        <c:v>2.8335000000000001E-7</c:v>
                      </c:pt>
                      <c:pt idx="17">
                        <c:v>1.0365E-7</c:v>
                      </c:pt>
                      <c:pt idx="18">
                        <c:v>3.9033999999999997E-8</c:v>
                      </c:pt>
                      <c:pt idx="19">
                        <c:v>1.5157000000000001E-8</c:v>
                      </c:pt>
                      <c:pt idx="20">
                        <c:v>6.0667000000000002E-9</c:v>
                      </c:pt>
                      <c:pt idx="21">
                        <c:v>2.5005999999999998E-9</c:v>
                      </c:pt>
                      <c:pt idx="22">
                        <c:v>9.4172000000000001E-11</c:v>
                      </c:pt>
                      <c:pt idx="23">
                        <c:v>5.1854000000000001E-12</c:v>
                      </c:pt>
                      <c:pt idx="24">
                        <c:v>4.0165999999999998E-13</c:v>
                      </c:pt>
                      <c:pt idx="25">
                        <c:v>2.1891E-13</c:v>
                      </c:pt>
                      <c:pt idx="26">
                        <c:v>1.2035000000000001E-13</c:v>
                      </c:pt>
                      <c:pt idx="27">
                        <c:v>6.6755999999999998E-14</c:v>
                      </c:pt>
                      <c:pt idx="28">
                        <c:v>3.7386E-14</c:v>
                      </c:pt>
                      <c:pt idx="29">
                        <c:v>2.1146000000000001E-14</c:v>
                      </c:pt>
                      <c:pt idx="30">
                        <c:v>1.2082E-14</c:v>
                      </c:pt>
                      <c:pt idx="31">
                        <c:v>6.9717000000000001E-15</c:v>
                      </c:pt>
                      <c:pt idx="32">
                        <c:v>4.0621999999999996E-15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AE7A-412E-BBF5-89E233391AB6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  <c:pt idx="0">
                        <c:v>(DGeSe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0.12228</c:v>
                      </c:pt>
                      <c:pt idx="1">
                        <c:v>0.12773999999999999</c:v>
                      </c:pt>
                      <c:pt idx="2">
                        <c:v>0.14113999999999999</c:v>
                      </c:pt>
                      <c:pt idx="3">
                        <c:v>0.16450000000000001</c:v>
                      </c:pt>
                      <c:pt idx="4">
                        <c:v>0.19209000000000001</c:v>
                      </c:pt>
                      <c:pt idx="5">
                        <c:v>0.23471</c:v>
                      </c:pt>
                      <c:pt idx="6">
                        <c:v>0.23205000000000001</c:v>
                      </c:pt>
                      <c:pt idx="7">
                        <c:v>0.22372</c:v>
                      </c:pt>
                      <c:pt idx="8">
                        <c:v>0.20701</c:v>
                      </c:pt>
                      <c:pt idx="9">
                        <c:v>0.18007999999999999</c:v>
                      </c:pt>
                      <c:pt idx="10">
                        <c:v>0.14408000000000001</c:v>
                      </c:pt>
                      <c:pt idx="11">
                        <c:v>0.10426000000000001</c:v>
                      </c:pt>
                      <c:pt idx="12">
                        <c:v>6.8220000000000003E-2</c:v>
                      </c:pt>
                      <c:pt idx="13">
                        <c:v>4.1203999999999998E-2</c:v>
                      </c:pt>
                      <c:pt idx="14">
                        <c:v>2.3717999999999999E-2</c:v>
                      </c:pt>
                      <c:pt idx="15">
                        <c:v>1.3390000000000001E-2</c:v>
                      </c:pt>
                      <c:pt idx="16">
                        <c:v>7.5570000000000003E-3</c:v>
                      </c:pt>
                      <c:pt idx="17">
                        <c:v>4.3089000000000001E-3</c:v>
                      </c:pt>
                      <c:pt idx="18">
                        <c:v>2.4943999999999999E-3</c:v>
                      </c:pt>
                      <c:pt idx="19">
                        <c:v>1.4687999999999999E-3</c:v>
                      </c:pt>
                      <c:pt idx="20">
                        <c:v>8.8009999999999998E-4</c:v>
                      </c:pt>
                      <c:pt idx="21">
                        <c:v>5.3644000000000001E-4</c:v>
                      </c:pt>
                      <c:pt idx="22">
                        <c:v>8.6570000000000006E-5</c:v>
                      </c:pt>
                      <c:pt idx="23">
                        <c:v>1.7442E-5</c:v>
                      </c:pt>
                      <c:pt idx="24">
                        <c:v>4.2738999999999999E-6</c:v>
                      </c:pt>
                      <c:pt idx="25">
                        <c:v>3.0663000000000002E-6</c:v>
                      </c:pt>
                      <c:pt idx="26">
                        <c:v>2.2118999999999999E-6</c:v>
                      </c:pt>
                      <c:pt idx="27">
                        <c:v>1.6046000000000001E-6</c:v>
                      </c:pt>
                      <c:pt idx="28">
                        <c:v>1.1708000000000001E-6</c:v>
                      </c:pt>
                      <c:pt idx="29">
                        <c:v>8.5937E-7</c:v>
                      </c:pt>
                      <c:pt idx="30">
                        <c:v>6.3453999999999996E-7</c:v>
                      </c:pt>
                      <c:pt idx="31">
                        <c:v>4.7128999999999998E-7</c:v>
                      </c:pt>
                      <c:pt idx="32">
                        <c:v>3.5203000000000001E-7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E7A-412E-BBF5-89E233391AB6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-17.09</c:v>
                      </c:pt>
                      <c:pt idx="1">
                        <c:v>-16.329999999999998</c:v>
                      </c:pt>
                      <c:pt idx="2">
                        <c:v>-15.49</c:v>
                      </c:pt>
                      <c:pt idx="3">
                        <c:v>-14.5</c:v>
                      </c:pt>
                      <c:pt idx="4">
                        <c:v>-13.38</c:v>
                      </c:pt>
                      <c:pt idx="5">
                        <c:v>-8.9420000000000002</c:v>
                      </c:pt>
                      <c:pt idx="6">
                        <c:v>-8.0190000000000001</c:v>
                      </c:pt>
                      <c:pt idx="7">
                        <c:v>-7.2149999999999999</c:v>
                      </c:pt>
                      <c:pt idx="8">
                        <c:v>-6.5570000000000004</c:v>
                      </c:pt>
                      <c:pt idx="9">
                        <c:v>-6.056</c:v>
                      </c:pt>
                      <c:pt idx="10">
                        <c:v>-5.7050000000000001</c:v>
                      </c:pt>
                      <c:pt idx="11">
                        <c:v>-5.4829999999999997</c:v>
                      </c:pt>
                      <c:pt idx="12">
                        <c:v>-5.3639999999999999</c:v>
                      </c:pt>
                      <c:pt idx="13">
                        <c:v>-5.319</c:v>
                      </c:pt>
                      <c:pt idx="14">
                        <c:v>-5.319</c:v>
                      </c:pt>
                      <c:pt idx="15">
                        <c:v>-5.3440000000000003</c:v>
                      </c:pt>
                      <c:pt idx="16">
                        <c:v>-5.3789999999999996</c:v>
                      </c:pt>
                      <c:pt idx="17">
                        <c:v>-5.4180000000000001</c:v>
                      </c:pt>
                      <c:pt idx="18">
                        <c:v>-5.4589999999999996</c:v>
                      </c:pt>
                      <c:pt idx="19">
                        <c:v>-5.4989999999999997</c:v>
                      </c:pt>
                      <c:pt idx="20">
                        <c:v>-5.54</c:v>
                      </c:pt>
                      <c:pt idx="21">
                        <c:v>-5.58</c:v>
                      </c:pt>
                      <c:pt idx="22">
                        <c:v>-5.7430000000000003</c:v>
                      </c:pt>
                      <c:pt idx="23">
                        <c:v>-5.9169999999999998</c:v>
                      </c:pt>
                      <c:pt idx="24">
                        <c:v>-6.1260000000000003</c:v>
                      </c:pt>
                      <c:pt idx="25">
                        <c:v>-6.1749999999999998</c:v>
                      </c:pt>
                      <c:pt idx="26">
                        <c:v>-6.2210000000000001</c:v>
                      </c:pt>
                      <c:pt idx="27">
                        <c:v>-6.2629999999999999</c:v>
                      </c:pt>
                      <c:pt idx="28">
                        <c:v>-6.3029999999999999</c:v>
                      </c:pt>
                      <c:pt idx="29">
                        <c:v>-6.3419999999999996</c:v>
                      </c:pt>
                      <c:pt idx="30">
                        <c:v>-6.3789999999999996</c:v>
                      </c:pt>
                      <c:pt idx="31">
                        <c:v>-6.4160000000000004</c:v>
                      </c:pt>
                      <c:pt idx="32">
                        <c:v>-6.452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E7A-412E-BBF5-89E233391AB6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-23.56</c:v>
                      </c:pt>
                      <c:pt idx="1">
                        <c:v>-22.54</c:v>
                      </c:pt>
                      <c:pt idx="2">
                        <c:v>-21.78</c:v>
                      </c:pt>
                      <c:pt idx="3">
                        <c:v>-21.32</c:v>
                      </c:pt>
                      <c:pt idx="4">
                        <c:v>-21.15</c:v>
                      </c:pt>
                      <c:pt idx="5">
                        <c:v>-21.73</c:v>
                      </c:pt>
                      <c:pt idx="6">
                        <c:v>-21.95</c:v>
                      </c:pt>
                      <c:pt idx="7">
                        <c:v>-22.15</c:v>
                      </c:pt>
                      <c:pt idx="8">
                        <c:v>-22.32</c:v>
                      </c:pt>
                      <c:pt idx="9">
                        <c:v>-22.46</c:v>
                      </c:pt>
                      <c:pt idx="10">
                        <c:v>-22.6</c:v>
                      </c:pt>
                      <c:pt idx="11">
                        <c:v>-22.76</c:v>
                      </c:pt>
                      <c:pt idx="12">
                        <c:v>-22.95</c:v>
                      </c:pt>
                      <c:pt idx="13">
                        <c:v>-23.15</c:v>
                      </c:pt>
                      <c:pt idx="14">
                        <c:v>-23.37</c:v>
                      </c:pt>
                      <c:pt idx="15">
                        <c:v>-23.6</c:v>
                      </c:pt>
                      <c:pt idx="16">
                        <c:v>-23.84</c:v>
                      </c:pt>
                      <c:pt idx="17">
                        <c:v>-24.07</c:v>
                      </c:pt>
                      <c:pt idx="18">
                        <c:v>-24.31</c:v>
                      </c:pt>
                      <c:pt idx="19">
                        <c:v>-24.54</c:v>
                      </c:pt>
                      <c:pt idx="20">
                        <c:v>-24.77</c:v>
                      </c:pt>
                      <c:pt idx="21">
                        <c:v>-25</c:v>
                      </c:pt>
                      <c:pt idx="22">
                        <c:v>-25.9</c:v>
                      </c:pt>
                      <c:pt idx="23">
                        <c:v>-26.75</c:v>
                      </c:pt>
                      <c:pt idx="24">
                        <c:v>-27.55</c:v>
                      </c:pt>
                      <c:pt idx="25">
                        <c:v>-27.75</c:v>
                      </c:pt>
                      <c:pt idx="26">
                        <c:v>-27.95</c:v>
                      </c:pt>
                      <c:pt idx="27">
                        <c:v>-28.15</c:v>
                      </c:pt>
                      <c:pt idx="28">
                        <c:v>-28.35</c:v>
                      </c:pt>
                      <c:pt idx="29">
                        <c:v>-28.54</c:v>
                      </c:pt>
                      <c:pt idx="30">
                        <c:v>-28.74</c:v>
                      </c:pt>
                      <c:pt idx="31">
                        <c:v>-28.94</c:v>
                      </c:pt>
                      <c:pt idx="32">
                        <c:v>-29.13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E7A-412E-BBF5-89E233391AB6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E7A-412E-BBF5-89E233391AB6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E7A-412E-BBF5-89E233391AB6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E7A-412E-BBF5-89E233391AB6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E7A-412E-BBF5-89E233391AB6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E7A-412E-BBF5-89E233391AB6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E7A-412E-BBF5-89E233391AB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E7A-412E-BBF5-89E233391AB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E7A-412E-BBF5-89E233391AB6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E7A-412E-BBF5-89E233391AB6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E7A-412E-BBF5-89E233391AB6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E7A-412E-BBF5-89E233391AB6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E7A-412E-BBF5-89E233391AB6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  <c:majorUnit val="100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37-45DC-B3E4-270B1B08C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3704491710618209E-2"/>
          <c:w val="0.91684723434101179"/>
          <c:h val="0.80704283188213899"/>
        </c:manualLayout>
      </c:layout>
      <c:scatterChart>
        <c:scatterStyle val="lineMarker"/>
        <c:varyColors val="0"/>
        <c:ser>
          <c:idx val="0"/>
          <c:order val="0"/>
          <c:tx>
            <c:strRef>
              <c:f>FLUID!$E$4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FLUID!$F$4:$BR$4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F8F-421C-B882-6FC6CED20D0E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FLUID!$F$5:$BR$5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F8F-421C-B882-6FC6CED20D0E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FLUID!$F$6:$BR$6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F8F-421C-B882-6FC6CED20D0E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FLUID!$F$7:$BR$7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F8F-421C-B882-6FC6CED20D0E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FLUID!$F$8:$BR$8</c:f>
              <c:numCache>
                <c:formatCode>0.0E+00</c:formatCode>
                <c:ptCount val="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8F-421C-B882-6FC6CED20D0E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FLUID!$F$9:$BR$9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F8F-421C-B882-6FC6CED20D0E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9-5F8F-421C-B882-6FC6CED20D0E}"/>
              </c:ext>
            </c:extLst>
          </c:dPt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FLUID!$F$10:$BR$10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F8F-421C-B882-6FC6CED20D0E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FLUID!$F$11:$BR$11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F8F-421C-B882-6FC6CED20D0E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FLUID!$F$12:$BR$12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F8F-421C-B882-6FC6CED20D0E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FLUID!$F$13:$BR$13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F8F-421C-B882-6FC6CED20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E-5F8F-421C-B882-6FC6CED20D0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F8F-421C-B882-6FC6CED20D0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F8F-421C-B882-6FC6CED20D0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F8F-421C-B882-6FC6CED20D0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F8F-421C-B882-6FC6CED20D0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F8F-421C-B882-6FC6CED20D0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F8F-421C-B882-6FC6CED20D0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F8F-421C-B882-6FC6CED20D0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F8F-421C-B882-6FC6CED20D0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F8F-421C-B882-6FC6CED20D0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F8F-421C-B882-6FC6CED20D0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F8F-421C-B882-6FC6CED20D0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F8F-421C-B882-6FC6CED20D0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F8F-421C-B882-6FC6CED20D0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F8F-421C-B882-6FC6CED20D0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F8F-421C-B882-6FC6CED20D0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F8F-421C-B882-6FC6CED20D0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F8F-421C-B882-6FC6CED20D0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F8F-421C-B882-6FC6CED20D0E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FLUID!$F$123:$AL$123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5-4163-9D9F-2926A592827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FLUID!$F$126:$AL$126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005-4163-9D9F-2926A592827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005-4163-9D9F-2926A5928271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FLUID!$A$114:$A$115</c:f>
              <c:numCache>
                <c:formatCode>General</c:formatCode>
                <c:ptCount val="2"/>
              </c:numCache>
            </c:numRef>
          </c:xVal>
          <c:yVal>
            <c:numRef>
              <c:f>FLUID!$B$114:$B$115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05-4163-9D9F-2926A5928271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05-4163-9D9F-2926A5928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C005-4163-9D9F-2926A5928271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005-4163-9D9F-2926A5928271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005-4163-9D9F-2926A5928271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005-4163-9D9F-2926A5928271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005-4163-9D9F-2926A5928271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005-4163-9D9F-2926A5928271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005-4163-9D9F-2926A592827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005-4163-9D9F-2926A592827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005-4163-9D9F-2926A592827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005-4163-9D9F-2926A5928271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  <c:min val="-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237878159966847E-2"/>
          <c:y val="8.2117355881280038E-2"/>
          <c:w val="0.9170194778284293"/>
          <c:h val="0.82818830570436563"/>
        </c:manualLayout>
      </c:layout>
      <c:scatterChart>
        <c:scatterStyle val="lineMarker"/>
        <c:varyColors val="0"/>
        <c:ser>
          <c:idx val="10"/>
          <c:order val="10"/>
          <c:tx>
            <c:strRef>
              <c:f>FLUID!$E$14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FLUID!$F$14:$BR$14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3B3-4D01-BEA3-739B2EC62692}"/>
            </c:ext>
          </c:extLst>
        </c:ser>
        <c:ser>
          <c:idx val="11"/>
          <c:order val="11"/>
          <c:tx>
            <c:strRef>
              <c:f>FLUID!$E$15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FLUID!$F$15:$BR$15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3B3-4D01-BEA3-739B2EC62692}"/>
            </c:ext>
          </c:extLst>
        </c:ser>
        <c:ser>
          <c:idx val="12"/>
          <c:order val="12"/>
          <c:tx>
            <c:strRef>
              <c:f>FLUID!$E$16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FLUID!$F$16:$BR$16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3B3-4D01-BEA3-739B2EC62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FLUID!$F$4:$BR$4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63B3-4D01-BEA3-739B2EC62692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3B3-4D01-BEA3-739B2EC6269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FLUID!$F$6:$BR$6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3B3-4D01-BEA3-739B2EC6269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3B3-4D01-BEA3-739B2EC6269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3B3-4D01-BEA3-739B2EC6269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3B3-4D01-BEA3-739B2EC6269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63B3-4D01-BEA3-739B2EC6269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3B3-4D01-BEA3-739B2EC6269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3B3-4D01-BEA3-739B2EC6269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B3-4D01-BEA3-739B2EC6269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3B3-4D01-BEA3-739B2EC6269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3B3-4D01-BEA3-739B2EC6269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3B3-4D01-BEA3-739B2EC6269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3B3-4D01-BEA3-739B2EC6269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3B3-4D01-BEA3-739B2EC6269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3B3-4D01-BEA3-739B2EC6269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3B3-4D01-BEA3-739B2EC6269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3B3-4D01-BEA3-739B2EC6269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3B3-4D01-BEA3-739B2EC6269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3B3-4D01-BEA3-739B2EC6269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3B3-4D01-BEA3-739B2EC6269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3B3-4D01-BEA3-739B2EC6269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3B3-4D01-BEA3-739B2EC6269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3B3-4D01-BEA3-739B2EC6269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63B3-4D01-BEA3-739B2EC6269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63B3-4D01-BEA3-739B2EC6269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3B3-4D01-BEA3-739B2EC6269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-193.42493890750004</c:v>
                </c:pt>
                <c:pt idx="1">
                  <c:v>-195.49898538949998</c:v>
                </c:pt>
                <c:pt idx="2">
                  <c:v>-197.53637324100004</c:v>
                </c:pt>
                <c:pt idx="3">
                  <c:v>-199.63077639049999</c:v>
                </c:pt>
                <c:pt idx="4">
                  <c:v>-201.88492880000004</c:v>
                </c:pt>
                <c:pt idx="5">
                  <c:v>-205.26797136100001</c:v>
                </c:pt>
                <c:pt idx="6">
                  <c:v>-209.04864657000002</c:v>
                </c:pt>
                <c:pt idx="7">
                  <c:v>-212.87181996000001</c:v>
                </c:pt>
                <c:pt idx="8">
                  <c:v>-216.79364406105003</c:v>
                </c:pt>
                <c:pt idx="9">
                  <c:v>-233.35652965140002</c:v>
                </c:pt>
                <c:pt idx="10">
                  <c:v>-237.69097411815005</c:v>
                </c:pt>
                <c:pt idx="11">
                  <c:v>-242.01216915200001</c:v>
                </c:pt>
                <c:pt idx="12">
                  <c:v>-247.58293265325</c:v>
                </c:pt>
                <c:pt idx="13">
                  <c:v>-255.32391784374997</c:v>
                </c:pt>
                <c:pt idx="14">
                  <c:v>-263.05428957499998</c:v>
                </c:pt>
                <c:pt idx="15">
                  <c:v>-270.90949382350004</c:v>
                </c:pt>
                <c:pt idx="16">
                  <c:v>-278.89115607399998</c:v>
                </c:pt>
                <c:pt idx="17">
                  <c:v>-287.15368352025001</c:v>
                </c:pt>
                <c:pt idx="18">
                  <c:v>-296.0197699446</c:v>
                </c:pt>
                <c:pt idx="19">
                  <c:v>-304.87212330929998</c:v>
                </c:pt>
                <c:pt idx="20">
                  <c:v>-313.86555711000005</c:v>
                </c:pt>
                <c:pt idx="21">
                  <c:v>-322.96981488120002</c:v>
                </c:pt>
                <c:pt idx="22">
                  <c:v>-360.47145392195</c:v>
                </c:pt>
                <c:pt idx="23">
                  <c:v>-370.07781797370006</c:v>
                </c:pt>
                <c:pt idx="24">
                  <c:v>-379.79994785760005</c:v>
                </c:pt>
                <c:pt idx="25">
                  <c:v>-389.65405601720005</c:v>
                </c:pt>
                <c:pt idx="26">
                  <c:v>-399.54063950520003</c:v>
                </c:pt>
                <c:pt idx="27">
                  <c:v>-409.52937410875001</c:v>
                </c:pt>
                <c:pt idx="28">
                  <c:v>-421.15569549420013</c:v>
                </c:pt>
                <c:pt idx="29">
                  <c:v>-432.92226004550002</c:v>
                </c:pt>
                <c:pt idx="30">
                  <c:v>-444.81985889959998</c:v>
                </c:pt>
                <c:pt idx="31">
                  <c:v>-493.35918515234999</c:v>
                </c:pt>
                <c:pt idx="32">
                  <c:v>-505.78186380480003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D-43FC-B23C-A90222152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73"/>
          <c:h val="0.80534181504717084"/>
        </c:manualLayout>
      </c:layout>
      <c:scatterChart>
        <c:scatterStyle val="lineMarker"/>
        <c:varyColors val="0"/>
        <c:ser>
          <c:idx val="8"/>
          <c:order val="8"/>
          <c:tx>
            <c:strRef>
              <c:f>SOLID!$E$12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SOLID!$F$12:$BR$12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6.7158000000000004E-32</c:v>
                </c:pt>
                <c:pt idx="10">
                  <c:v>7.8559999999999994E-30</c:v>
                </c:pt>
                <c:pt idx="11">
                  <c:v>6.8758000000000001E-28</c:v>
                </c:pt>
                <c:pt idx="12">
                  <c:v>4.6262E-26</c:v>
                </c:pt>
                <c:pt idx="13">
                  <c:v>2.4502999999999999E-24</c:v>
                </c:pt>
                <c:pt idx="14">
                  <c:v>1.0432999999999999E-22</c:v>
                </c:pt>
                <c:pt idx="15">
                  <c:v>3.6384000000000001E-21</c:v>
                </c:pt>
                <c:pt idx="16">
                  <c:v>1.0564E-19</c:v>
                </c:pt>
                <c:pt idx="17">
                  <c:v>2.1632000000000002E-18</c:v>
                </c:pt>
                <c:pt idx="18">
                  <c:v>2.2930999999999999E-17</c:v>
                </c:pt>
                <c:pt idx="19">
                  <c:v>2.164E-16</c:v>
                </c:pt>
                <c:pt idx="20">
                  <c:v>1.8337999999999999E-15</c:v>
                </c:pt>
                <c:pt idx="21">
                  <c:v>1.4064E-14</c:v>
                </c:pt>
                <c:pt idx="22">
                  <c:v>2.0505000000000001E-11</c:v>
                </c:pt>
                <c:pt idx="23">
                  <c:v>1.0499E-10</c:v>
                </c:pt>
                <c:pt idx="24">
                  <c:v>5.0348E-10</c:v>
                </c:pt>
                <c:pt idx="25">
                  <c:v>2.2703999999999999E-9</c:v>
                </c:pt>
                <c:pt idx="26">
                  <c:v>9.6634000000000004E-9</c:v>
                </c:pt>
                <c:pt idx="27">
                  <c:v>3.7785999999999998E-8</c:v>
                </c:pt>
                <c:pt idx="28">
                  <c:v>3.7529999999999999E-8</c:v>
                </c:pt>
                <c:pt idx="29">
                  <c:v>3.6855000000000001E-8</c:v>
                </c:pt>
                <c:pt idx="30">
                  <c:v>3.5753999999999997E-8</c:v>
                </c:pt>
                <c:pt idx="31">
                  <c:v>2.8010999999999999E-8</c:v>
                </c:pt>
                <c:pt idx="32">
                  <c:v>2.5524999999999999E-8</c:v>
                </c:pt>
                <c:pt idx="33">
                  <c:v>2.2941E-8</c:v>
                </c:pt>
                <c:pt idx="34">
                  <c:v>2.0319999999999999E-8</c:v>
                </c:pt>
                <c:pt idx="35">
                  <c:v>1.7716999999999999E-8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2E1-40A6-A933-2A862B83ED7D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SOLID!$F$13:$BR$13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2E1-40A6-A933-2A862B83E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SOLID!$E$4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SOLID!$F$4:$BR$4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2.7791999999999999E-19</c:v>
                      </c:pt>
                      <c:pt idx="1">
                        <c:v>2.1402999999999999E-14</c:v>
                      </c:pt>
                      <c:pt idx="2">
                        <c:v>6.4261000000000002E-11</c:v>
                      </c:pt>
                      <c:pt idx="3">
                        <c:v>1.7173000000000001E-9</c:v>
                      </c:pt>
                      <c:pt idx="4">
                        <c:v>3.5577999999999997E-7</c:v>
                      </c:pt>
                      <c:pt idx="5">
                        <c:v>0.12</c:v>
                      </c:pt>
                      <c:pt idx="6">
                        <c:v>0.12</c:v>
                      </c:pt>
                      <c:pt idx="7">
                        <c:v>0.12</c:v>
                      </c:pt>
                      <c:pt idx="8">
                        <c:v>0.12</c:v>
                      </c:pt>
                      <c:pt idx="9">
                        <c:v>0.12</c:v>
                      </c:pt>
                      <c:pt idx="10">
                        <c:v>0.12</c:v>
                      </c:pt>
                      <c:pt idx="11">
                        <c:v>0.12</c:v>
                      </c:pt>
                      <c:pt idx="12">
                        <c:v>0.36</c:v>
                      </c:pt>
                      <c:pt idx="13">
                        <c:v>0.36</c:v>
                      </c:pt>
                      <c:pt idx="14">
                        <c:v>0.36</c:v>
                      </c:pt>
                      <c:pt idx="15">
                        <c:v>0.36</c:v>
                      </c:pt>
                      <c:pt idx="16">
                        <c:v>0.36</c:v>
                      </c:pt>
                      <c:pt idx="17">
                        <c:v>0.4</c:v>
                      </c:pt>
                      <c:pt idx="18">
                        <c:v>0.4</c:v>
                      </c:pt>
                      <c:pt idx="19">
                        <c:v>0.4</c:v>
                      </c:pt>
                      <c:pt idx="20">
                        <c:v>0.4</c:v>
                      </c:pt>
                      <c:pt idx="21">
                        <c:v>0.4</c:v>
                      </c:pt>
                      <c:pt idx="22">
                        <c:v>0.4</c:v>
                      </c:pt>
                      <c:pt idx="23">
                        <c:v>0.4</c:v>
                      </c:pt>
                      <c:pt idx="24">
                        <c:v>0.4</c:v>
                      </c:pt>
                      <c:pt idx="25">
                        <c:v>0.4</c:v>
                      </c:pt>
                      <c:pt idx="26">
                        <c:v>0.4</c:v>
                      </c:pt>
                      <c:pt idx="27">
                        <c:v>0.47810000000000002</c:v>
                      </c:pt>
                      <c:pt idx="28">
                        <c:v>0.48</c:v>
                      </c:pt>
                      <c:pt idx="29">
                        <c:v>0.48</c:v>
                      </c:pt>
                      <c:pt idx="30">
                        <c:v>0.48</c:v>
                      </c:pt>
                      <c:pt idx="31">
                        <c:v>0.48</c:v>
                      </c:pt>
                      <c:pt idx="32">
                        <c:v>0.48</c:v>
                      </c:pt>
                      <c:pt idx="33">
                        <c:v>0.48</c:v>
                      </c:pt>
                      <c:pt idx="34">
                        <c:v>0.48</c:v>
                      </c:pt>
                      <c:pt idx="35">
                        <c:v>0.48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6-D2E1-40A6-A933-2A862B83ED7D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2.0308999999999998E-33</c:v>
                      </c:pt>
                      <c:pt idx="8">
                        <c:v>5.1163E-26</c:v>
                      </c:pt>
                      <c:pt idx="9">
                        <c:v>2.7971999999999999E-10</c:v>
                      </c:pt>
                      <c:pt idx="10">
                        <c:v>1.4144E-9</c:v>
                      </c:pt>
                      <c:pt idx="11">
                        <c:v>3.0423000000000001E-8</c:v>
                      </c:pt>
                      <c:pt idx="12">
                        <c:v>0.24</c:v>
                      </c:pt>
                      <c:pt idx="13">
                        <c:v>0.24</c:v>
                      </c:pt>
                      <c:pt idx="14">
                        <c:v>0.24</c:v>
                      </c:pt>
                      <c:pt idx="15">
                        <c:v>0.24</c:v>
                      </c:pt>
                      <c:pt idx="16">
                        <c:v>0.24</c:v>
                      </c:pt>
                      <c:pt idx="17">
                        <c:v>0.24</c:v>
                      </c:pt>
                      <c:pt idx="18">
                        <c:v>0.24</c:v>
                      </c:pt>
                      <c:pt idx="19">
                        <c:v>0.24</c:v>
                      </c:pt>
                      <c:pt idx="20">
                        <c:v>0.24</c:v>
                      </c:pt>
                      <c:pt idx="21">
                        <c:v>0.24</c:v>
                      </c:pt>
                      <c:pt idx="22">
                        <c:v>0.24</c:v>
                      </c:pt>
                      <c:pt idx="23">
                        <c:v>0.24</c:v>
                      </c:pt>
                      <c:pt idx="24">
                        <c:v>0.24</c:v>
                      </c:pt>
                      <c:pt idx="25">
                        <c:v>0.24</c:v>
                      </c:pt>
                      <c:pt idx="26">
                        <c:v>0.24</c:v>
                      </c:pt>
                      <c:pt idx="27">
                        <c:v>0.2238</c:v>
                      </c:pt>
                      <c:pt idx="28">
                        <c:v>0.22109000000000001</c:v>
                      </c:pt>
                      <c:pt idx="29">
                        <c:v>0.21848999999999999</c:v>
                      </c:pt>
                      <c:pt idx="30">
                        <c:v>0.21556</c:v>
                      </c:pt>
                      <c:pt idx="31">
                        <c:v>0.19954</c:v>
                      </c:pt>
                      <c:pt idx="32">
                        <c:v>0.19405</c:v>
                      </c:pt>
                      <c:pt idx="33">
                        <c:v>0.18773999999999999</c:v>
                      </c:pt>
                      <c:pt idx="34">
                        <c:v>0.18042</c:v>
                      </c:pt>
                      <c:pt idx="35">
                        <c:v>0.17186999999999999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2E1-40A6-A933-2A862B83ED7D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SOLID!$F$6:$BR$6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0.04</c:v>
                      </c:pt>
                      <c:pt idx="1">
                        <c:v>0.04</c:v>
                      </c:pt>
                      <c:pt idx="2">
                        <c:v>0.04</c:v>
                      </c:pt>
                      <c:pt idx="3">
                        <c:v>0.04</c:v>
                      </c:pt>
                      <c:pt idx="4">
                        <c:v>0.04</c:v>
                      </c:pt>
                      <c:pt idx="5">
                        <c:v>0.04</c:v>
                      </c:pt>
                      <c:pt idx="6">
                        <c:v>0.04</c:v>
                      </c:pt>
                      <c:pt idx="7">
                        <c:v>0.04</c:v>
                      </c:pt>
                      <c:pt idx="8">
                        <c:v>0.04</c:v>
                      </c:pt>
                      <c:pt idx="9">
                        <c:v>0.04</c:v>
                      </c:pt>
                      <c:pt idx="10">
                        <c:v>0.04</c:v>
                      </c:pt>
                      <c:pt idx="11">
                        <c:v>0.04</c:v>
                      </c:pt>
                      <c:pt idx="12">
                        <c:v>0.04</c:v>
                      </c:pt>
                      <c:pt idx="13">
                        <c:v>0.04</c:v>
                      </c:pt>
                      <c:pt idx="14">
                        <c:v>0.04</c:v>
                      </c:pt>
                      <c:pt idx="15">
                        <c:v>0.04</c:v>
                      </c:pt>
                      <c:pt idx="16">
                        <c:v>0.04</c:v>
                      </c:pt>
                      <c:pt idx="17">
                        <c:v>1.5046000000000001E-7</c:v>
                      </c:pt>
                      <c:pt idx="18">
                        <c:v>1.1942999999999999E-9</c:v>
                      </c:pt>
                      <c:pt idx="19">
                        <c:v>2.1249999999999999E-10</c:v>
                      </c:pt>
                      <c:pt idx="20">
                        <c:v>1.3668999999999999E-11</c:v>
                      </c:pt>
                      <c:pt idx="21">
                        <c:v>3.2248000000000002E-12</c:v>
                      </c:pt>
                      <c:pt idx="22">
                        <c:v>1.6861000000000001E-25</c:v>
                      </c:pt>
                      <c:pt idx="23">
                        <c:v>1.9193000000000001E-30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2E1-40A6-A933-2A862B83ED7D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SOLID!$E$7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5.6901999999999997E-27</c:v>
                      </c:pt>
                      <c:pt idx="23">
                        <c:v>3.1843000000000001E-24</c:v>
                      </c:pt>
                      <c:pt idx="24">
                        <c:v>5.7928999999999997E-22</c:v>
                      </c:pt>
                      <c:pt idx="25">
                        <c:v>1.234E-20</c:v>
                      </c:pt>
                      <c:pt idx="26">
                        <c:v>5.3800000000000005E-19</c:v>
                      </c:pt>
                      <c:pt idx="27">
                        <c:v>6.8602000000000001E-20</c:v>
                      </c:pt>
                      <c:pt idx="28">
                        <c:v>1.9737999999999999E-9</c:v>
                      </c:pt>
                      <c:pt idx="29">
                        <c:v>2.8302999999999999E-8</c:v>
                      </c:pt>
                      <c:pt idx="30">
                        <c:v>4.2121999999999998E-8</c:v>
                      </c:pt>
                      <c:pt idx="31">
                        <c:v>4.5977000000000002E-8</c:v>
                      </c:pt>
                      <c:pt idx="32">
                        <c:v>4.2164E-8</c:v>
                      </c:pt>
                      <c:pt idx="33">
                        <c:v>1.5687E-8</c:v>
                      </c:pt>
                      <c:pt idx="34">
                        <c:v>4.4632000000000001E-9</c:v>
                      </c:pt>
                      <c:pt idx="35">
                        <c:v>5.2946000000000005E-10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2E1-40A6-A933-2A862B83ED7D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0.12</c:v>
                      </c:pt>
                      <c:pt idx="5">
                        <c:v>4.3104000000000003E-9</c:v>
                      </c:pt>
                      <c:pt idx="6">
                        <c:v>1.2547000000000001E-10</c:v>
                      </c:pt>
                      <c:pt idx="7">
                        <c:v>5.4450999999999999E-12</c:v>
                      </c:pt>
                      <c:pt idx="8">
                        <c:v>6.7970999999999996E-14</c:v>
                      </c:pt>
                      <c:pt idx="9">
                        <c:v>1.5473999999999999E-21</c:v>
                      </c:pt>
                      <c:pt idx="10">
                        <c:v>7.8785000000000001E-35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D2E1-40A6-A933-2A862B83ED7D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SOLID!$E$9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3.0406999999999999E-30</c:v>
                      </c:pt>
                      <c:pt idx="8">
                        <c:v>9.2899000000000001E-25</c:v>
                      </c:pt>
                      <c:pt idx="9">
                        <c:v>6.1753000000000005E-14</c:v>
                      </c:pt>
                      <c:pt idx="10">
                        <c:v>5.7183000000000001E-17</c:v>
                      </c:pt>
                      <c:pt idx="11">
                        <c:v>1.6400999999999999E-27</c:v>
                      </c:pt>
                      <c:pt idx="12">
                        <c:v>0</c:v>
                      </c:pt>
                      <c:pt idx="13">
                        <c:v>3.9739999999999998E-18</c:v>
                      </c:pt>
                      <c:pt idx="14">
                        <c:v>4.2968999999999999E-10</c:v>
                      </c:pt>
                      <c:pt idx="15">
                        <c:v>1.4141000000000001E-8</c:v>
                      </c:pt>
                      <c:pt idx="16">
                        <c:v>1.4919E-7</c:v>
                      </c:pt>
                      <c:pt idx="17">
                        <c:v>0.08</c:v>
                      </c:pt>
                      <c:pt idx="18">
                        <c:v>0.08</c:v>
                      </c:pt>
                      <c:pt idx="19">
                        <c:v>0.08</c:v>
                      </c:pt>
                      <c:pt idx="20">
                        <c:v>0.08</c:v>
                      </c:pt>
                      <c:pt idx="21">
                        <c:v>0.08</c:v>
                      </c:pt>
                      <c:pt idx="22">
                        <c:v>0.08</c:v>
                      </c:pt>
                      <c:pt idx="23">
                        <c:v>0.08</c:v>
                      </c:pt>
                      <c:pt idx="24">
                        <c:v>0.08</c:v>
                      </c:pt>
                      <c:pt idx="25">
                        <c:v>0.08</c:v>
                      </c:pt>
                      <c:pt idx="26">
                        <c:v>0.08</c:v>
                      </c:pt>
                      <c:pt idx="27">
                        <c:v>1.8994000000000001E-3</c:v>
                      </c:pt>
                      <c:pt idx="28">
                        <c:v>1.0451E-8</c:v>
                      </c:pt>
                      <c:pt idx="29">
                        <c:v>5.5252999999999995E-10</c:v>
                      </c:pt>
                      <c:pt idx="30">
                        <c:v>1.4544999999999999E-14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2E1-40A6-A933-2A862B83ED7D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SOLID!$E$10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9-D2E1-40A6-A933-2A862B83ED7D}"/>
                    </c:ext>
                  </c:extLst>
                </c:dPt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1.3843E-31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2.5900000000000001E-34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2.9135999999999998E-22</c:v>
                      </c:pt>
                      <c:pt idx="20">
                        <c:v>8.8544E-17</c:v>
                      </c:pt>
                      <c:pt idx="21">
                        <c:v>3.4012000000000002E-13</c:v>
                      </c:pt>
                      <c:pt idx="22">
                        <c:v>1.1625999999999999E-12</c:v>
                      </c:pt>
                      <c:pt idx="23">
                        <c:v>7.2173E-13</c:v>
                      </c:pt>
                      <c:pt idx="24">
                        <c:v>6.0849000000000004E-14</c:v>
                      </c:pt>
                      <c:pt idx="25">
                        <c:v>1.8339000000000001E-17</c:v>
                      </c:pt>
                      <c:pt idx="26">
                        <c:v>3.1429000000000002E-26</c:v>
                      </c:pt>
                      <c:pt idx="27">
                        <c:v>0</c:v>
                      </c:pt>
                      <c:pt idx="28">
                        <c:v>7.9657999999999999E-17</c:v>
                      </c:pt>
                      <c:pt idx="29">
                        <c:v>2.0289999999999999E-10</c:v>
                      </c:pt>
                      <c:pt idx="30">
                        <c:v>2.2776E-10</c:v>
                      </c:pt>
                      <c:pt idx="31">
                        <c:v>3.9276E-10</c:v>
                      </c:pt>
                      <c:pt idx="32">
                        <c:v>1.6722000000000001E-9</c:v>
                      </c:pt>
                      <c:pt idx="33">
                        <c:v>2.6638999999999999E-9</c:v>
                      </c:pt>
                      <c:pt idx="34">
                        <c:v>4.7114000000000001E-9</c:v>
                      </c:pt>
                      <c:pt idx="35">
                        <c:v>4.2391000000000004E-9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2E1-40A6-A933-2A862B83ED7D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0.12</c:v>
                      </c:pt>
                      <c:pt idx="5">
                        <c:v>0.24</c:v>
                      </c:pt>
                      <c:pt idx="6">
                        <c:v>0.24</c:v>
                      </c:pt>
                      <c:pt idx="7">
                        <c:v>0.24</c:v>
                      </c:pt>
                      <c:pt idx="8">
                        <c:v>0.24</c:v>
                      </c:pt>
                      <c:pt idx="9">
                        <c:v>0.24</c:v>
                      </c:pt>
                      <c:pt idx="10">
                        <c:v>0.24</c:v>
                      </c:pt>
                      <c:pt idx="11">
                        <c:v>0.24</c:v>
                      </c:pt>
                      <c:pt idx="12">
                        <c:v>1.7126000000000001E-7</c:v>
                      </c:pt>
                      <c:pt idx="13">
                        <c:v>2.3768999999999999E-9</c:v>
                      </c:pt>
                      <c:pt idx="14">
                        <c:v>7.5112000000000004E-11</c:v>
                      </c:pt>
                      <c:pt idx="15">
                        <c:v>4.8776E-20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1.6351E-26</c:v>
                      </c:pt>
                      <c:pt idx="20">
                        <c:v>5.1509999999999999E-23</c:v>
                      </c:pt>
                      <c:pt idx="21">
                        <c:v>1.2508E-20</c:v>
                      </c:pt>
                      <c:pt idx="22">
                        <c:v>1.1250000000000001E-34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2E1-40A6-A933-2A862B83ED7D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SOLID!$E$14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6.5842999999999998E-34</c:v>
                      </c:pt>
                      <c:pt idx="8">
                        <c:v>8.0557000000000007E-30</c:v>
                      </c:pt>
                      <c:pt idx="9">
                        <c:v>8.1721000000000007E-21</c:v>
                      </c:pt>
                      <c:pt idx="10">
                        <c:v>5.8907000000000001E-24</c:v>
                      </c:pt>
                      <c:pt idx="11">
                        <c:v>2.5721999999999999E-36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3.2716000000000001E-28</c:v>
                      </c:pt>
                      <c:pt idx="15">
                        <c:v>4.8587999999999997E-36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5.1753000000000001E-36</c:v>
                      </c:pt>
                      <c:pt idx="19">
                        <c:v>1.1580999999999999E-21</c:v>
                      </c:pt>
                      <c:pt idx="20">
                        <c:v>2.2131999999999999E-16</c:v>
                      </c:pt>
                      <c:pt idx="21">
                        <c:v>7.9740000000000002E-13</c:v>
                      </c:pt>
                      <c:pt idx="22">
                        <c:v>4.4061000000000003E-11</c:v>
                      </c:pt>
                      <c:pt idx="23">
                        <c:v>1.8770000000000001E-10</c:v>
                      </c:pt>
                      <c:pt idx="24">
                        <c:v>6.8880000000000004E-10</c:v>
                      </c:pt>
                      <c:pt idx="25">
                        <c:v>1.3270000000000001E-9</c:v>
                      </c:pt>
                      <c:pt idx="26">
                        <c:v>2.2525999999999999E-8</c:v>
                      </c:pt>
                      <c:pt idx="27">
                        <c:v>7.8101000000000004E-2</c:v>
                      </c:pt>
                      <c:pt idx="28">
                        <c:v>0.08</c:v>
                      </c:pt>
                      <c:pt idx="29">
                        <c:v>0.08</c:v>
                      </c:pt>
                      <c:pt idx="30">
                        <c:v>0.08</c:v>
                      </c:pt>
                      <c:pt idx="31">
                        <c:v>0.08</c:v>
                      </c:pt>
                      <c:pt idx="32">
                        <c:v>0.08</c:v>
                      </c:pt>
                      <c:pt idx="33">
                        <c:v>0.08</c:v>
                      </c:pt>
                      <c:pt idx="34">
                        <c:v>0.08</c:v>
                      </c:pt>
                      <c:pt idx="35">
                        <c:v>0.08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2E1-40A6-A933-2A862B83ED7D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SOLID!$E$15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1.1818E-28</c:v>
                      </c:pt>
                      <c:pt idx="1">
                        <c:v>1.0336E-26</c:v>
                      </c:pt>
                      <c:pt idx="2">
                        <c:v>1.9376E-27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4.6978999999999999E-26</c:v>
                      </c:pt>
                      <c:pt idx="7">
                        <c:v>5.1574E-19</c:v>
                      </c:pt>
                      <c:pt idx="8">
                        <c:v>4.1542E-16</c:v>
                      </c:pt>
                      <c:pt idx="9">
                        <c:v>4.3528E-11</c:v>
                      </c:pt>
                      <c:pt idx="10">
                        <c:v>4.4537999999999999E-15</c:v>
                      </c:pt>
                      <c:pt idx="11">
                        <c:v>3.0843999999999998E-28</c:v>
                      </c:pt>
                      <c:pt idx="12">
                        <c:v>0</c:v>
                      </c:pt>
                      <c:pt idx="13">
                        <c:v>5.9657999999999997E-31</c:v>
                      </c:pt>
                      <c:pt idx="14">
                        <c:v>5.5945000000000005E-23</c:v>
                      </c:pt>
                      <c:pt idx="15">
                        <c:v>9.9932999999999999E-32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4.9642000000000003E-34</c:v>
                      </c:pt>
                      <c:pt idx="19">
                        <c:v>2.6233000000000001E-20</c:v>
                      </c:pt>
                      <c:pt idx="20">
                        <c:v>1.2552E-15</c:v>
                      </c:pt>
                      <c:pt idx="21">
                        <c:v>1.1957E-12</c:v>
                      </c:pt>
                      <c:pt idx="22">
                        <c:v>5.1862999999999998E-13</c:v>
                      </c:pt>
                      <c:pt idx="23">
                        <c:v>7.2941000000000002E-13</c:v>
                      </c:pt>
                      <c:pt idx="24">
                        <c:v>9.1640999999999993E-13</c:v>
                      </c:pt>
                      <c:pt idx="25">
                        <c:v>6.2544000000000001E-13</c:v>
                      </c:pt>
                      <c:pt idx="26">
                        <c:v>3.884E-12</c:v>
                      </c:pt>
                      <c:pt idx="27">
                        <c:v>5.1561999999999999E-6</c:v>
                      </c:pt>
                      <c:pt idx="28">
                        <c:v>4.0241000000000001E-6</c:v>
                      </c:pt>
                      <c:pt idx="29">
                        <c:v>3.0925999999999998E-6</c:v>
                      </c:pt>
                      <c:pt idx="30">
                        <c:v>2.3978000000000001E-6</c:v>
                      </c:pt>
                      <c:pt idx="31">
                        <c:v>9.4527999999999995E-7</c:v>
                      </c:pt>
                      <c:pt idx="32">
                        <c:v>7.6555999999999998E-7</c:v>
                      </c:pt>
                      <c:pt idx="33">
                        <c:v>6.2565999999999995E-7</c:v>
                      </c:pt>
                      <c:pt idx="34">
                        <c:v>5.1615000000000003E-7</c:v>
                      </c:pt>
                      <c:pt idx="35">
                        <c:v>4.3001999999999998E-7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2E1-40A6-A933-2A862B83ED7D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SOLID!$E$16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1.4507E-36</c:v>
                      </c:pt>
                      <c:pt idx="1">
                        <c:v>3.5946000000000001E-34</c:v>
                      </c:pt>
                      <c:pt idx="2">
                        <c:v>1.6968999999999999E-34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3.5513999999999998E-31</c:v>
                      </c:pt>
                      <c:pt idx="7">
                        <c:v>1.5395000000000001E-23</c:v>
                      </c:pt>
                      <c:pt idx="8">
                        <c:v>4.4456000000000003E-20</c:v>
                      </c:pt>
                      <c:pt idx="9">
                        <c:v>3.5618E-13</c:v>
                      </c:pt>
                      <c:pt idx="10">
                        <c:v>9.2295000000000004E-17</c:v>
                      </c:pt>
                      <c:pt idx="11">
                        <c:v>1.5392000000000001E-29</c:v>
                      </c:pt>
                      <c:pt idx="12">
                        <c:v>0</c:v>
                      </c:pt>
                      <c:pt idx="13">
                        <c:v>1.511E-31</c:v>
                      </c:pt>
                      <c:pt idx="14">
                        <c:v>3.0089999999999999E-23</c:v>
                      </c:pt>
                      <c:pt idx="15">
                        <c:v>1.1021E-31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3.9285999999999999E-33</c:v>
                      </c:pt>
                      <c:pt idx="19">
                        <c:v>3.7951000000000001E-19</c:v>
                      </c:pt>
                      <c:pt idx="20">
                        <c:v>3.2424000000000001E-14</c:v>
                      </c:pt>
                      <c:pt idx="21">
                        <c:v>5.3949999999999999E-11</c:v>
                      </c:pt>
                      <c:pt idx="22">
                        <c:v>1.7995000000000001E-10</c:v>
                      </c:pt>
                      <c:pt idx="23">
                        <c:v>4.0420000000000001E-10</c:v>
                      </c:pt>
                      <c:pt idx="24">
                        <c:v>7.9924000000000002E-10</c:v>
                      </c:pt>
                      <c:pt idx="25">
                        <c:v>8.4675E-10</c:v>
                      </c:pt>
                      <c:pt idx="26">
                        <c:v>8.0574000000000007E-9</c:v>
                      </c:pt>
                      <c:pt idx="27">
                        <c:v>1.6191000000000001E-2</c:v>
                      </c:pt>
                      <c:pt idx="28">
                        <c:v>1.8908999999999999E-2</c:v>
                      </c:pt>
                      <c:pt idx="29">
                        <c:v>2.1510000000000001E-2</c:v>
                      </c:pt>
                      <c:pt idx="30">
                        <c:v>2.4433E-2</c:v>
                      </c:pt>
                      <c:pt idx="31">
                        <c:v>4.0459000000000002E-2</c:v>
                      </c:pt>
                      <c:pt idx="32">
                        <c:v>4.5946000000000001E-2</c:v>
                      </c:pt>
                      <c:pt idx="33">
                        <c:v>5.2259E-2</c:v>
                      </c:pt>
                      <c:pt idx="34">
                        <c:v>5.9575000000000003E-2</c:v>
                      </c:pt>
                      <c:pt idx="35">
                        <c:v>6.8126000000000006E-2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D2E1-40A6-A933-2A862B83ED7D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SOLID!$E$17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-18.62</c:v>
                      </c:pt>
                      <c:pt idx="4">
                        <c:v>-18.63</c:v>
                      </c:pt>
                      <c:pt idx="5">
                        <c:v>-18.649999999999999</c:v>
                      </c:pt>
                      <c:pt idx="6">
                        <c:v>-18.670000000000002</c:v>
                      </c:pt>
                      <c:pt idx="7">
                        <c:v>-18.690000000000001</c:v>
                      </c:pt>
                      <c:pt idx="8">
                        <c:v>-18.72</c:v>
                      </c:pt>
                      <c:pt idx="9">
                        <c:v>-18.84</c:v>
                      </c:pt>
                      <c:pt idx="10">
                        <c:v>-18.87</c:v>
                      </c:pt>
                      <c:pt idx="11">
                        <c:v>-18.899999999999999</c:v>
                      </c:pt>
                      <c:pt idx="12">
                        <c:v>-18.940000000000001</c:v>
                      </c:pt>
                      <c:pt idx="13">
                        <c:v>-18.97</c:v>
                      </c:pt>
                      <c:pt idx="14">
                        <c:v>-19.010000000000002</c:v>
                      </c:pt>
                      <c:pt idx="15">
                        <c:v>-19.04</c:v>
                      </c:pt>
                      <c:pt idx="16">
                        <c:v>-19.07</c:v>
                      </c:pt>
                      <c:pt idx="17">
                        <c:v>-19.11</c:v>
                      </c:pt>
                      <c:pt idx="18">
                        <c:v>-19.14</c:v>
                      </c:pt>
                      <c:pt idx="19">
                        <c:v>-19.18</c:v>
                      </c:pt>
                      <c:pt idx="20">
                        <c:v>-19.21</c:v>
                      </c:pt>
                      <c:pt idx="21">
                        <c:v>-19.25</c:v>
                      </c:pt>
                      <c:pt idx="22">
                        <c:v>-19.38</c:v>
                      </c:pt>
                      <c:pt idx="23">
                        <c:v>-19.420000000000002</c:v>
                      </c:pt>
                      <c:pt idx="24">
                        <c:v>-19.45</c:v>
                      </c:pt>
                      <c:pt idx="25">
                        <c:v>-19.48</c:v>
                      </c:pt>
                      <c:pt idx="26">
                        <c:v>-19.510000000000002</c:v>
                      </c:pt>
                      <c:pt idx="27">
                        <c:v>-19.55</c:v>
                      </c:pt>
                      <c:pt idx="28">
                        <c:v>-19.579999999999998</c:v>
                      </c:pt>
                      <c:pt idx="29">
                        <c:v>-19.61</c:v>
                      </c:pt>
                      <c:pt idx="30">
                        <c:v>-19.64</c:v>
                      </c:pt>
                      <c:pt idx="31">
                        <c:v>-19.760000000000002</c:v>
                      </c:pt>
                      <c:pt idx="32">
                        <c:v>-19.79</c:v>
                      </c:pt>
                      <c:pt idx="33">
                        <c:v>-19.82</c:v>
                      </c:pt>
                      <c:pt idx="34">
                        <c:v>-19.850000000000001</c:v>
                      </c:pt>
                      <c:pt idx="35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D2E1-40A6-A933-2A862B83ED7D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SOLID!$E$18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-65.56</c:v>
                      </c:pt>
                      <c:pt idx="1">
                        <c:v>-62.08</c:v>
                      </c:pt>
                      <c:pt idx="2">
                        <c:v>-58.98</c:v>
                      </c:pt>
                      <c:pt idx="3">
                        <c:v>-56.2</c:v>
                      </c:pt>
                      <c:pt idx="4">
                        <c:v>-53.71</c:v>
                      </c:pt>
                      <c:pt idx="5">
                        <c:v>-50.33</c:v>
                      </c:pt>
                      <c:pt idx="6">
                        <c:v>-46.96</c:v>
                      </c:pt>
                      <c:pt idx="7">
                        <c:v>-43.86</c:v>
                      </c:pt>
                      <c:pt idx="8">
                        <c:v>-40.98</c:v>
                      </c:pt>
                      <c:pt idx="9">
                        <c:v>-31.32</c:v>
                      </c:pt>
                      <c:pt idx="10">
                        <c:v>-29.28</c:v>
                      </c:pt>
                      <c:pt idx="11">
                        <c:v>-27.35</c:v>
                      </c:pt>
                      <c:pt idx="12">
                        <c:v>-25.53</c:v>
                      </c:pt>
                      <c:pt idx="13">
                        <c:v>-23.81</c:v>
                      </c:pt>
                      <c:pt idx="14">
                        <c:v>-22.18</c:v>
                      </c:pt>
                      <c:pt idx="15">
                        <c:v>-20.63</c:v>
                      </c:pt>
                      <c:pt idx="16">
                        <c:v>-19.16</c:v>
                      </c:pt>
                      <c:pt idx="17">
                        <c:v>-17.850000000000001</c:v>
                      </c:pt>
                      <c:pt idx="18">
                        <c:v>-16.850000000000001</c:v>
                      </c:pt>
                      <c:pt idx="19">
                        <c:v>-15.9</c:v>
                      </c:pt>
                      <c:pt idx="20">
                        <c:v>-15</c:v>
                      </c:pt>
                      <c:pt idx="21">
                        <c:v>-14.13</c:v>
                      </c:pt>
                      <c:pt idx="22">
                        <c:v>-11</c:v>
                      </c:pt>
                      <c:pt idx="23">
                        <c:v>-10.29</c:v>
                      </c:pt>
                      <c:pt idx="24">
                        <c:v>-9.6059999999999999</c:v>
                      </c:pt>
                      <c:pt idx="25">
                        <c:v>-8.9480000000000004</c:v>
                      </c:pt>
                      <c:pt idx="26">
                        <c:v>-8.3130000000000006</c:v>
                      </c:pt>
                      <c:pt idx="27">
                        <c:v>-7.7149999999999999</c:v>
                      </c:pt>
                      <c:pt idx="28">
                        <c:v>-7.7969999999999997</c:v>
                      </c:pt>
                      <c:pt idx="29">
                        <c:v>-7.8789999999999996</c:v>
                      </c:pt>
                      <c:pt idx="30">
                        <c:v>-7.9630000000000001</c:v>
                      </c:pt>
                      <c:pt idx="31">
                        <c:v>-8.3190000000000008</c:v>
                      </c:pt>
                      <c:pt idx="32">
                        <c:v>-8.4149999999999991</c:v>
                      </c:pt>
                      <c:pt idx="33">
                        <c:v>-8.5139999999999993</c:v>
                      </c:pt>
                      <c:pt idx="34">
                        <c:v>-8.6180000000000003</c:v>
                      </c:pt>
                      <c:pt idx="35">
                        <c:v>-8.7260000000000009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D2E1-40A6-A933-2A862B83ED7D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SOLID!$E$19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-16.29</c:v>
                      </c:pt>
                      <c:pt idx="1">
                        <c:v>-15.65</c:v>
                      </c:pt>
                      <c:pt idx="2">
                        <c:v>-15.09</c:v>
                      </c:pt>
                      <c:pt idx="3">
                        <c:v>-14.59</c:v>
                      </c:pt>
                      <c:pt idx="4">
                        <c:v>-14.16</c:v>
                      </c:pt>
                      <c:pt idx="5">
                        <c:v>-13.03</c:v>
                      </c:pt>
                      <c:pt idx="6">
                        <c:v>-11.8</c:v>
                      </c:pt>
                      <c:pt idx="7">
                        <c:v>-10.67</c:v>
                      </c:pt>
                      <c:pt idx="8">
                        <c:v>-9.6129999999999995</c:v>
                      </c:pt>
                      <c:pt idx="9">
                        <c:v>-6.0380000000000003</c:v>
                      </c:pt>
                      <c:pt idx="10">
                        <c:v>-5.2729999999999997</c:v>
                      </c:pt>
                      <c:pt idx="11">
                        <c:v>-4.55</c:v>
                      </c:pt>
                      <c:pt idx="12">
                        <c:v>-4.1150000000000002</c:v>
                      </c:pt>
                      <c:pt idx="13">
                        <c:v>-4.1550000000000002</c:v>
                      </c:pt>
                      <c:pt idx="14">
                        <c:v>-4.1950000000000003</c:v>
                      </c:pt>
                      <c:pt idx="15">
                        <c:v>-4.2359999999999998</c:v>
                      </c:pt>
                      <c:pt idx="16">
                        <c:v>-4.2759999999999998</c:v>
                      </c:pt>
                      <c:pt idx="17">
                        <c:v>-4.3170000000000002</c:v>
                      </c:pt>
                      <c:pt idx="18">
                        <c:v>-4.3579999999999997</c:v>
                      </c:pt>
                      <c:pt idx="19">
                        <c:v>-4.399</c:v>
                      </c:pt>
                      <c:pt idx="20">
                        <c:v>-4.4400000000000004</c:v>
                      </c:pt>
                      <c:pt idx="21">
                        <c:v>-4.4809999999999999</c:v>
                      </c:pt>
                      <c:pt idx="22">
                        <c:v>-4.6429999999999998</c:v>
                      </c:pt>
                      <c:pt idx="23">
                        <c:v>-4.6829999999999998</c:v>
                      </c:pt>
                      <c:pt idx="24">
                        <c:v>-4.7220000000000004</c:v>
                      </c:pt>
                      <c:pt idx="25">
                        <c:v>-4.7619999999999996</c:v>
                      </c:pt>
                      <c:pt idx="26">
                        <c:v>-4.8010000000000002</c:v>
                      </c:pt>
                      <c:pt idx="27">
                        <c:v>-4.84</c:v>
                      </c:pt>
                      <c:pt idx="28">
                        <c:v>-4.8780000000000001</c:v>
                      </c:pt>
                      <c:pt idx="29">
                        <c:v>-4.9169999999999998</c:v>
                      </c:pt>
                      <c:pt idx="30">
                        <c:v>-4.9550000000000001</c:v>
                      </c:pt>
                      <c:pt idx="31">
                        <c:v>-5.1040000000000001</c:v>
                      </c:pt>
                      <c:pt idx="32">
                        <c:v>-5.141</c:v>
                      </c:pt>
                      <c:pt idx="33">
                        <c:v>-5.1769999999999996</c:v>
                      </c:pt>
                      <c:pt idx="34">
                        <c:v>-5.2130000000000001</c:v>
                      </c:pt>
                      <c:pt idx="35">
                        <c:v>-5.2489999999999997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2E1-40A6-A933-2A862B83ED7D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SOLID!$E$20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-23.52</c:v>
                      </c:pt>
                      <c:pt idx="1">
                        <c:v>-22.41</c:v>
                      </c:pt>
                      <c:pt idx="2">
                        <c:v>-21.42</c:v>
                      </c:pt>
                      <c:pt idx="3">
                        <c:v>-20.54</c:v>
                      </c:pt>
                      <c:pt idx="4">
                        <c:v>-19.760000000000002</c:v>
                      </c:pt>
                      <c:pt idx="5">
                        <c:v>-19.8</c:v>
                      </c:pt>
                      <c:pt idx="6">
                        <c:v>-20.04</c:v>
                      </c:pt>
                      <c:pt idx="7">
                        <c:v>-20.28</c:v>
                      </c:pt>
                      <c:pt idx="8">
                        <c:v>-20.53</c:v>
                      </c:pt>
                      <c:pt idx="9">
                        <c:v>-21.53</c:v>
                      </c:pt>
                      <c:pt idx="10">
                        <c:v>-21.78</c:v>
                      </c:pt>
                      <c:pt idx="11">
                        <c:v>-22.02</c:v>
                      </c:pt>
                      <c:pt idx="12">
                        <c:v>-22.27</c:v>
                      </c:pt>
                      <c:pt idx="13">
                        <c:v>-22.52</c:v>
                      </c:pt>
                      <c:pt idx="14">
                        <c:v>-22.76</c:v>
                      </c:pt>
                      <c:pt idx="15">
                        <c:v>-23</c:v>
                      </c:pt>
                      <c:pt idx="16">
                        <c:v>-23.24</c:v>
                      </c:pt>
                      <c:pt idx="17">
                        <c:v>-23.48</c:v>
                      </c:pt>
                      <c:pt idx="18">
                        <c:v>-23.72</c:v>
                      </c:pt>
                      <c:pt idx="19">
                        <c:v>-23.95</c:v>
                      </c:pt>
                      <c:pt idx="20">
                        <c:v>-24.18</c:v>
                      </c:pt>
                      <c:pt idx="21">
                        <c:v>-24.41</c:v>
                      </c:pt>
                      <c:pt idx="22">
                        <c:v>-25.31</c:v>
                      </c:pt>
                      <c:pt idx="23">
                        <c:v>-25.53</c:v>
                      </c:pt>
                      <c:pt idx="24">
                        <c:v>-25.75</c:v>
                      </c:pt>
                      <c:pt idx="25">
                        <c:v>-25.97</c:v>
                      </c:pt>
                      <c:pt idx="26">
                        <c:v>-26.18</c:v>
                      </c:pt>
                      <c:pt idx="27">
                        <c:v>-26.39</c:v>
                      </c:pt>
                      <c:pt idx="28">
                        <c:v>-26.6</c:v>
                      </c:pt>
                      <c:pt idx="29">
                        <c:v>-26.81</c:v>
                      </c:pt>
                      <c:pt idx="30">
                        <c:v>-27.02</c:v>
                      </c:pt>
                      <c:pt idx="31">
                        <c:v>-27.83</c:v>
                      </c:pt>
                      <c:pt idx="32">
                        <c:v>-28.03</c:v>
                      </c:pt>
                      <c:pt idx="33">
                        <c:v>-28.23</c:v>
                      </c:pt>
                      <c:pt idx="34">
                        <c:v>-28.42</c:v>
                      </c:pt>
                      <c:pt idx="35">
                        <c:v>-28.62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D2E1-40A6-A933-2A862B83ED7D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D2E1-40A6-A933-2A862B83ED7D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D2E1-40A6-A933-2A862B83ED7D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D2E1-40A6-A933-2A862B83ED7D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2E1-40A6-A933-2A862B83ED7D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2E1-40A6-A933-2A862B83ED7D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2E1-40A6-A933-2A862B83ED7D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2E1-40A6-A933-2A862B83ED7D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2E1-40A6-A933-2A862B83ED7D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2E1-40A6-A933-2A862B83ED7D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2E1-40A6-A933-2A862B83ED7D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2E1-40A6-A933-2A862B83ED7D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2E1-40A6-A933-2A862B83ED7D}"/>
                  </c:ext>
                </c:extLst>
              </c15:ser>
            </c15:filteredScatterSeries>
            <c15:filteredScatterSeries>
              <c15:ser>
                <c:idx val="29"/>
                <c:order val="2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SOLID!$E$33</c15:sqref>
                        </c15:formulaRef>
                      </c:ext>
                    </c:extLst>
                    <c:strCache>
                      <c:ptCount val="1"/>
                      <c:pt idx="0">
                        <c:v>1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SOLID!$F$33:$BR$33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D2E1-40A6-A933-2A862B83ED7D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</c:numCache>
            </c:numRef>
          </c:xVal>
          <c:yVal>
            <c:numRef>
              <c:f>SOLID!$F$123:$AL$123</c:f>
              <c:numCache>
                <c:formatCode>General</c:formatCode>
                <c:ptCount val="33"/>
                <c:pt idx="0">
                  <c:v>-4.451257918901964E-26</c:v>
                </c:pt>
                <c:pt idx="1">
                  <c:v>-3.9481593773996003E-24</c:v>
                </c:pt>
                <c:pt idx="2">
                  <c:v>-7.5042283518426025E-25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-1.9292777661156905E-23</c:v>
                </c:pt>
                <c:pt idx="7">
                  <c:v>-2.1500206021197049E-16</c:v>
                </c:pt>
                <c:pt idx="8">
                  <c:v>-1.7582287394678077E-13</c:v>
                </c:pt>
                <c:pt idx="9">
                  <c:v>-1.9596948315122819E-8</c:v>
                </c:pt>
                <c:pt idx="10">
                  <c:v>-2.0365817989097865E-12</c:v>
                </c:pt>
                <c:pt idx="11">
                  <c:v>-1.4320633374813276E-25</c:v>
                </c:pt>
                <c:pt idx="12">
                  <c:v>0</c:v>
                </c:pt>
                <c:pt idx="13">
                  <c:v>-2.9633058775417973E-28</c:v>
                </c:pt>
                <c:pt idx="14">
                  <c:v>-2.8942588158213968E-20</c:v>
                </c:pt>
                <c:pt idx="15">
                  <c:v>-5.379585188700799E-29</c:v>
                </c:pt>
                <c:pt idx="16">
                  <c:v>0</c:v>
                </c:pt>
                <c:pt idx="17">
                  <c:v>0</c:v>
                </c:pt>
                <c:pt idx="18">
                  <c:v>-3.0130802221317053E-31</c:v>
                </c:pt>
                <c:pt idx="19">
                  <c:v>-1.6807362373946858E-17</c:v>
                </c:pt>
                <c:pt idx="20">
                  <c:v>-8.879196878442451E-13</c:v>
                </c:pt>
                <c:pt idx="21">
                  <c:v>-1.0627271601128687E-9</c:v>
                </c:pt>
                <c:pt idx="22">
                  <c:v>-1.2748941721250669E-8</c:v>
                </c:pt>
                <c:pt idx="23">
                  <c:v>-5.0905548204057074E-8</c:v>
                </c:pt>
                <c:pt idx="24">
                  <c:v>-1.7694836060250323E-7</c:v>
                </c:pt>
                <c:pt idx="25">
                  <c:v>-3.2352253033625879E-7</c:v>
                </c:pt>
                <c:pt idx="26">
                  <c:v>-5.2048928220073518E-6</c:v>
                </c:pt>
                <c:pt idx="27">
                  <c:v>-17.086221004868015</c:v>
                </c:pt>
                <c:pt idx="28">
                  <c:v>-18.043178406043666</c:v>
                </c:pt>
                <c:pt idx="29">
                  <c:v>-18.592432613259973</c:v>
                </c:pt>
                <c:pt idx="30">
                  <c:v>-19.154177599819963</c:v>
                </c:pt>
                <c:pt idx="31">
                  <c:v>-21.53310696178934</c:v>
                </c:pt>
                <c:pt idx="32">
                  <c:v>-22.166228864981417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B8-4099-89EB-409D7839871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</c:numCache>
            </c:numRef>
          </c:xVal>
          <c:yVal>
            <c:numRef>
              <c:f>SOLID!$F$126:$AL$126</c:f>
              <c:numCache>
                <c:formatCode>General</c:formatCode>
                <c:ptCount val="33"/>
                <c:pt idx="0">
                  <c:v>-45.198083454750012</c:v>
                </c:pt>
                <c:pt idx="1">
                  <c:v>-45.837763669500006</c:v>
                </c:pt>
                <c:pt idx="2">
                  <c:v>-46.475402674500003</c:v>
                </c:pt>
                <c:pt idx="3">
                  <c:v>-47.128460919749998</c:v>
                </c:pt>
                <c:pt idx="4">
                  <c:v>-47.831921663999999</c:v>
                </c:pt>
                <c:pt idx="5">
                  <c:v>-97.093662949500001</c:v>
                </c:pt>
                <c:pt idx="6">
                  <c:v>-98.560349064000022</c:v>
                </c:pt>
                <c:pt idx="7">
                  <c:v>-100.05137172000002</c:v>
                </c:pt>
                <c:pt idx="8">
                  <c:v>-101.57789645955019</c:v>
                </c:pt>
                <c:pt idx="9">
                  <c:v>-108.05154372999695</c:v>
                </c:pt>
                <c:pt idx="10">
                  <c:v>-109.74440501115203</c:v>
                </c:pt>
                <c:pt idx="11">
                  <c:v>-111.43016406600002</c:v>
                </c:pt>
                <c:pt idx="12">
                  <c:v>-8.1544052641758564E-5</c:v>
                </c:pt>
                <c:pt idx="13">
                  <c:v>-1.1806432901419958E-6</c:v>
                </c:pt>
                <c:pt idx="14">
                  <c:v>-3.8858257591007858E-8</c:v>
                </c:pt>
                <c:pt idx="15">
                  <c:v>-3.0877044667064304E-17</c:v>
                </c:pt>
                <c:pt idx="16">
                  <c:v>-1.3224827040759E-16</c:v>
                </c:pt>
                <c:pt idx="17">
                  <c:v>-2.6765404147768007E-15</c:v>
                </c:pt>
                <c:pt idx="18">
                  <c:v>-2.8286082894535542E-14</c:v>
                </c:pt>
                <c:pt idx="19">
                  <c:v>-2.6608542815597193E-13</c:v>
                </c:pt>
                <c:pt idx="20">
                  <c:v>-3.1359157970705978E-12</c:v>
                </c:pt>
                <c:pt idx="21">
                  <c:v>-1.0799107037007116E-9</c:v>
                </c:pt>
                <c:pt idx="22">
                  <c:v>-3.7474059762100084E-8</c:v>
                </c:pt>
                <c:pt idx="23">
                  <c:v>-1.7705962303046299E-7</c:v>
                </c:pt>
                <c:pt idx="24">
                  <c:v>-7.7979885555376485E-7</c:v>
                </c:pt>
                <c:pt idx="25">
                  <c:v>-3.0326884223414033E-6</c:v>
                </c:pt>
                <c:pt idx="26">
                  <c:v>-1.6695038946093924E-5</c:v>
                </c:pt>
                <c:pt idx="27">
                  <c:v>-17.08626580222543</c:v>
                </c:pt>
                <c:pt idx="28">
                  <c:v>-18.043224202998264</c:v>
                </c:pt>
                <c:pt idx="29">
                  <c:v>-18.592478881948612</c:v>
                </c:pt>
                <c:pt idx="30">
                  <c:v>-19.154223762593844</c:v>
                </c:pt>
                <c:pt idx="31">
                  <c:v>-21.533147261458595</c:v>
                </c:pt>
                <c:pt idx="32">
                  <c:v>-22.166266566282975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9B8-4099-89EB-409D7839871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</c:numCache>
            </c:numRef>
          </c:xVal>
          <c:yVal>
            <c:numRef>
              <c:f>SOLID!$F$128:$AL$128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9B8-4099-89EB-409D78398715}"/>
            </c:ext>
          </c:extLst>
        </c:ser>
        <c:ser>
          <c:idx val="14"/>
          <c:order val="13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-193.42493890750004</c:v>
                </c:pt>
                <c:pt idx="1">
                  <c:v>-195.49898538949998</c:v>
                </c:pt>
                <c:pt idx="2">
                  <c:v>-197.53637324100004</c:v>
                </c:pt>
                <c:pt idx="3">
                  <c:v>-199.63077639049999</c:v>
                </c:pt>
                <c:pt idx="4">
                  <c:v>-201.88492880000004</c:v>
                </c:pt>
                <c:pt idx="5">
                  <c:v>-205.26797136100001</c:v>
                </c:pt>
                <c:pt idx="6">
                  <c:v>-209.04864657000002</c:v>
                </c:pt>
                <c:pt idx="7">
                  <c:v>-212.87181996000001</c:v>
                </c:pt>
                <c:pt idx="8">
                  <c:v>-216.79364406105003</c:v>
                </c:pt>
                <c:pt idx="9">
                  <c:v>-233.35652965140002</c:v>
                </c:pt>
                <c:pt idx="10">
                  <c:v>-237.69097411815005</c:v>
                </c:pt>
                <c:pt idx="11">
                  <c:v>-242.01216915200001</c:v>
                </c:pt>
                <c:pt idx="12">
                  <c:v>-247.58293265325</c:v>
                </c:pt>
                <c:pt idx="13">
                  <c:v>-255.32391784374997</c:v>
                </c:pt>
                <c:pt idx="14">
                  <c:v>-263.05428957499998</c:v>
                </c:pt>
                <c:pt idx="15">
                  <c:v>-270.90949382350004</c:v>
                </c:pt>
                <c:pt idx="16">
                  <c:v>-278.89115607399998</c:v>
                </c:pt>
                <c:pt idx="17">
                  <c:v>-287.15368352025001</c:v>
                </c:pt>
                <c:pt idx="18">
                  <c:v>-296.0197699446</c:v>
                </c:pt>
                <c:pt idx="19">
                  <c:v>-304.87212330929998</c:v>
                </c:pt>
                <c:pt idx="20">
                  <c:v>-313.86555711000005</c:v>
                </c:pt>
                <c:pt idx="21">
                  <c:v>-322.96981488120002</c:v>
                </c:pt>
                <c:pt idx="22">
                  <c:v>-360.47145392195</c:v>
                </c:pt>
                <c:pt idx="23">
                  <c:v>-370.07781797370006</c:v>
                </c:pt>
                <c:pt idx="24">
                  <c:v>-379.79994785760005</c:v>
                </c:pt>
                <c:pt idx="25">
                  <c:v>-389.65405601720005</c:v>
                </c:pt>
                <c:pt idx="26">
                  <c:v>-399.54063950520003</c:v>
                </c:pt>
                <c:pt idx="27">
                  <c:v>-409.52937410875001</c:v>
                </c:pt>
                <c:pt idx="28">
                  <c:v>-421.15569549420013</c:v>
                </c:pt>
                <c:pt idx="29">
                  <c:v>-432.92226004550002</c:v>
                </c:pt>
                <c:pt idx="30">
                  <c:v>-444.81985889959998</c:v>
                </c:pt>
                <c:pt idx="31">
                  <c:v>-493.35918515234999</c:v>
                </c:pt>
                <c:pt idx="32">
                  <c:v>-505.78186380480003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9B8-4099-89EB-409D78398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-45.198083454750012</c:v>
                      </c:pt>
                      <c:pt idx="1">
                        <c:v>-45.837763669500006</c:v>
                      </c:pt>
                      <c:pt idx="2">
                        <c:v>-46.475402674500003</c:v>
                      </c:pt>
                      <c:pt idx="3">
                        <c:v>-47.128460919749998</c:v>
                      </c:pt>
                      <c:pt idx="4">
                        <c:v>-47.831921663999999</c:v>
                      </c:pt>
                      <c:pt idx="5">
                        <c:v>-97.093662949500001</c:v>
                      </c:pt>
                      <c:pt idx="6">
                        <c:v>-98.560349064000022</c:v>
                      </c:pt>
                      <c:pt idx="7">
                        <c:v>-100.05137172000002</c:v>
                      </c:pt>
                      <c:pt idx="8">
                        <c:v>-101.57789645955002</c:v>
                      </c:pt>
                      <c:pt idx="9">
                        <c:v>-108.0515437104</c:v>
                      </c:pt>
                      <c:pt idx="10">
                        <c:v>-109.74440501114999</c:v>
                      </c:pt>
                      <c:pt idx="11">
                        <c:v>-111.43016406600002</c:v>
                      </c:pt>
                      <c:pt idx="12">
                        <c:v>-8.1544052641758564E-5</c:v>
                      </c:pt>
                      <c:pt idx="13">
                        <c:v>-1.1806432901419958E-6</c:v>
                      </c:pt>
                      <c:pt idx="14">
                        <c:v>-3.8858257590978913E-8</c:v>
                      </c:pt>
                      <c:pt idx="15">
                        <c:v>-3.0877044667010507E-17</c:v>
                      </c:pt>
                      <c:pt idx="16">
                        <c:v>-1.3224827040759E-16</c:v>
                      </c:pt>
                      <c:pt idx="17">
                        <c:v>-2.6765404147768007E-15</c:v>
                      </c:pt>
                      <c:pt idx="18">
                        <c:v>-2.8286082894535542E-14</c:v>
                      </c:pt>
                      <c:pt idx="19">
                        <c:v>-2.6606862079359798E-13</c:v>
                      </c:pt>
                      <c:pt idx="20">
                        <c:v>-2.2479961092263526E-12</c:v>
                      </c:pt>
                      <c:pt idx="21">
                        <c:v>-1.718354358784289E-11</c:v>
                      </c:pt>
                      <c:pt idx="22">
                        <c:v>-2.4725118040849414E-8</c:v>
                      </c:pt>
                      <c:pt idx="23">
                        <c:v>-1.261540748264059E-7</c:v>
                      </c:pt>
                      <c:pt idx="24">
                        <c:v>-6.0285049495126159E-7</c:v>
                      </c:pt>
                      <c:pt idx="25">
                        <c:v>-2.7091658920051446E-6</c:v>
                      </c:pt>
                      <c:pt idx="26">
                        <c:v>-1.1490146124086571E-5</c:v>
                      </c:pt>
                      <c:pt idx="27">
                        <c:v>-4.4797357414901181E-5</c:v>
                      </c:pt>
                      <c:pt idx="28">
                        <c:v>-4.5796954597744052E-5</c:v>
                      </c:pt>
                      <c:pt idx="29">
                        <c:v>-4.6268688640171733E-5</c:v>
                      </c:pt>
                      <c:pt idx="30">
                        <c:v>-4.6162773880391081E-5</c:v>
                      </c:pt>
                      <c:pt idx="31">
                        <c:v>-4.0299669256275251E-5</c:v>
                      </c:pt>
                      <c:pt idx="32">
                        <c:v>-3.7701301559130006E-5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39B8-4099-89EB-409D78398715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-80.43162251225003</c:v>
                      </c:pt>
                      <c:pt idx="1">
                        <c:v>-83.192851333250019</c:v>
                      </c:pt>
                      <c:pt idx="2">
                        <c:v>-85.958066957</c:v>
                      </c:pt>
                      <c:pt idx="3">
                        <c:v>-88.761060897250019</c:v>
                      </c:pt>
                      <c:pt idx="4">
                        <c:v>-91.616743824000011</c:v>
                      </c:pt>
                      <c:pt idx="5">
                        <c:v>-143.05763934325003</c:v>
                      </c:pt>
                      <c:pt idx="6">
                        <c:v>-146.72098864275006</c:v>
                      </c:pt>
                      <c:pt idx="7">
                        <c:v>-150.40032534000005</c:v>
                      </c:pt>
                      <c:pt idx="8">
                        <c:v>-154.14781931955002</c:v>
                      </c:pt>
                      <c:pt idx="9">
                        <c:v>-169.58699192040001</c:v>
                      </c:pt>
                      <c:pt idx="10">
                        <c:v>-173.53514055990001</c:v>
                      </c:pt>
                      <c:pt idx="11">
                        <c:v>-177.48304641600004</c:v>
                      </c:pt>
                      <c:pt idx="12">
                        <c:v>-68.358062016552651</c:v>
                      </c:pt>
                      <c:pt idx="13">
                        <c:v>-70.648134461893306</c:v>
                      </c:pt>
                      <c:pt idx="14">
                        <c:v>-72.970407813858273</c:v>
                      </c:pt>
                      <c:pt idx="15">
                        <c:v>-75.262299700000014</c:v>
                      </c:pt>
                      <c:pt idx="16">
                        <c:v>-77.561051087500019</c:v>
                      </c:pt>
                      <c:pt idx="17">
                        <c:v>-79.908476943750017</c:v>
                      </c:pt>
                      <c:pt idx="18">
                        <c:v>-82.23535212750005</c:v>
                      </c:pt>
                      <c:pt idx="19">
                        <c:v>-84.599954355000278</c:v>
                      </c:pt>
                      <c:pt idx="20">
                        <c:v>-86.928450866252277</c:v>
                      </c:pt>
                      <c:pt idx="21">
                        <c:v>-89.310201750017214</c:v>
                      </c:pt>
                      <c:pt idx="22">
                        <c:v>-98.789189072225142</c:v>
                      </c:pt>
                      <c:pt idx="23">
                        <c:v>-101.21326779115411</c:v>
                      </c:pt>
                      <c:pt idx="24">
                        <c:v>-103.59323153410051</c:v>
                      </c:pt>
                      <c:pt idx="25">
                        <c:v>-105.98005636916594</c:v>
                      </c:pt>
                      <c:pt idx="26">
                        <c:v>-108.38726533264614</c:v>
                      </c:pt>
                      <c:pt idx="27">
                        <c:v>-110.84455904110744</c:v>
                      </c:pt>
                      <c:pt idx="28">
                        <c:v>-113.25312518695458</c:v>
                      </c:pt>
                      <c:pt idx="29">
                        <c:v>-115.66855026743865</c:v>
                      </c:pt>
                      <c:pt idx="30">
                        <c:v>-118.09083423277394</c:v>
                      </c:pt>
                      <c:pt idx="31">
                        <c:v>-127.86225048966931</c:v>
                      </c:pt>
                      <c:pt idx="32">
                        <c:v>-130.31885006130156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9B8-4099-89EB-409D78398715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9B8-4099-89EB-409D78398715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9B8-4099-89EB-409D78398715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9B8-4099-89EB-409D78398715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9B8-4099-89EB-409D78398715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9B8-4099-89EB-409D7839871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9B8-4099-89EB-409D7839871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9B8-4099-89EB-409D7839871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9B8-4099-89EB-409D78398715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10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73"/>
          <c:h val="0.80534181504717084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SOLID!$F$4:$BR$4</c:f>
              <c:numCache>
                <c:formatCode>0.0E+00</c:formatCode>
                <c:ptCount val="65"/>
                <c:pt idx="0">
                  <c:v>2.7791999999999999E-19</c:v>
                </c:pt>
                <c:pt idx="1">
                  <c:v>2.1402999999999999E-14</c:v>
                </c:pt>
                <c:pt idx="2">
                  <c:v>6.4261000000000002E-11</c:v>
                </c:pt>
                <c:pt idx="3">
                  <c:v>1.7173000000000001E-9</c:v>
                </c:pt>
                <c:pt idx="4">
                  <c:v>3.5577999999999997E-7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0.36</c:v>
                </c:pt>
                <c:pt idx="13">
                  <c:v>0.36</c:v>
                </c:pt>
                <c:pt idx="14">
                  <c:v>0.36</c:v>
                </c:pt>
                <c:pt idx="15">
                  <c:v>0.36</c:v>
                </c:pt>
                <c:pt idx="16">
                  <c:v>0.36</c:v>
                </c:pt>
                <c:pt idx="17">
                  <c:v>0.4</c:v>
                </c:pt>
                <c:pt idx="18">
                  <c:v>0.4</c:v>
                </c:pt>
                <c:pt idx="19">
                  <c:v>0.4</c:v>
                </c:pt>
                <c:pt idx="20">
                  <c:v>0.4</c:v>
                </c:pt>
                <c:pt idx="21">
                  <c:v>0.4</c:v>
                </c:pt>
                <c:pt idx="22">
                  <c:v>0.4</c:v>
                </c:pt>
                <c:pt idx="23">
                  <c:v>0.4</c:v>
                </c:pt>
                <c:pt idx="24">
                  <c:v>0.4</c:v>
                </c:pt>
                <c:pt idx="25">
                  <c:v>0.4</c:v>
                </c:pt>
                <c:pt idx="26">
                  <c:v>0.4</c:v>
                </c:pt>
                <c:pt idx="27">
                  <c:v>0.47810000000000002</c:v>
                </c:pt>
                <c:pt idx="28">
                  <c:v>0.48</c:v>
                </c:pt>
                <c:pt idx="29">
                  <c:v>0.48</c:v>
                </c:pt>
                <c:pt idx="30">
                  <c:v>0.48</c:v>
                </c:pt>
                <c:pt idx="31">
                  <c:v>0.48</c:v>
                </c:pt>
                <c:pt idx="32">
                  <c:v>0.48</c:v>
                </c:pt>
                <c:pt idx="33">
                  <c:v>0.48</c:v>
                </c:pt>
                <c:pt idx="34">
                  <c:v>0.48</c:v>
                </c:pt>
                <c:pt idx="35">
                  <c:v>0.48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0702-4A5F-94E0-C16F24C78072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SOLID!$F$5:$BR$5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2.0308999999999998E-33</c:v>
                </c:pt>
                <c:pt idx="8">
                  <c:v>5.1163E-26</c:v>
                </c:pt>
                <c:pt idx="9">
                  <c:v>2.7971999999999999E-10</c:v>
                </c:pt>
                <c:pt idx="10">
                  <c:v>1.4144E-9</c:v>
                </c:pt>
                <c:pt idx="11">
                  <c:v>3.0423000000000001E-8</c:v>
                </c:pt>
                <c:pt idx="12">
                  <c:v>0.24</c:v>
                </c:pt>
                <c:pt idx="13">
                  <c:v>0.24</c:v>
                </c:pt>
                <c:pt idx="14">
                  <c:v>0.24</c:v>
                </c:pt>
                <c:pt idx="15">
                  <c:v>0.24</c:v>
                </c:pt>
                <c:pt idx="16">
                  <c:v>0.24</c:v>
                </c:pt>
                <c:pt idx="17">
                  <c:v>0.24</c:v>
                </c:pt>
                <c:pt idx="18">
                  <c:v>0.24</c:v>
                </c:pt>
                <c:pt idx="19">
                  <c:v>0.24</c:v>
                </c:pt>
                <c:pt idx="20">
                  <c:v>0.24</c:v>
                </c:pt>
                <c:pt idx="21">
                  <c:v>0.24</c:v>
                </c:pt>
                <c:pt idx="22">
                  <c:v>0.24</c:v>
                </c:pt>
                <c:pt idx="23">
                  <c:v>0.24</c:v>
                </c:pt>
                <c:pt idx="24">
                  <c:v>0.24</c:v>
                </c:pt>
                <c:pt idx="25">
                  <c:v>0.24</c:v>
                </c:pt>
                <c:pt idx="26">
                  <c:v>0.24</c:v>
                </c:pt>
                <c:pt idx="27">
                  <c:v>0.2238</c:v>
                </c:pt>
                <c:pt idx="28">
                  <c:v>0.22109000000000001</c:v>
                </c:pt>
                <c:pt idx="29">
                  <c:v>0.21848999999999999</c:v>
                </c:pt>
                <c:pt idx="30">
                  <c:v>0.21556</c:v>
                </c:pt>
                <c:pt idx="31">
                  <c:v>0.19954</c:v>
                </c:pt>
                <c:pt idx="32">
                  <c:v>0.19405</c:v>
                </c:pt>
                <c:pt idx="33">
                  <c:v>0.18773999999999999</c:v>
                </c:pt>
                <c:pt idx="34">
                  <c:v>0.18042</c:v>
                </c:pt>
                <c:pt idx="35">
                  <c:v>0.17186999999999999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0702-4A5F-94E0-C16F24C78072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SOLID!$F$6:$BR$6</c:f>
              <c:numCache>
                <c:formatCode>0.0E+00</c:formatCode>
                <c:ptCount val="65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  <c:pt idx="16">
                  <c:v>0.04</c:v>
                </c:pt>
                <c:pt idx="17">
                  <c:v>1.5046000000000001E-7</c:v>
                </c:pt>
                <c:pt idx="18">
                  <c:v>1.1942999999999999E-9</c:v>
                </c:pt>
                <c:pt idx="19">
                  <c:v>2.1249999999999999E-10</c:v>
                </c:pt>
                <c:pt idx="20">
                  <c:v>1.3668999999999999E-11</c:v>
                </c:pt>
                <c:pt idx="21">
                  <c:v>3.2248000000000002E-12</c:v>
                </c:pt>
                <c:pt idx="22">
                  <c:v>1.6861000000000001E-25</c:v>
                </c:pt>
                <c:pt idx="23">
                  <c:v>1.9193000000000001E-30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702-4A5F-94E0-C16F24C78072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*Ga[1]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SOLID!$F$7:$BR$7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5.6901999999999997E-27</c:v>
                </c:pt>
                <c:pt idx="23">
                  <c:v>3.1843000000000001E-24</c:v>
                </c:pt>
                <c:pt idx="24">
                  <c:v>5.7928999999999997E-22</c:v>
                </c:pt>
                <c:pt idx="25">
                  <c:v>1.234E-20</c:v>
                </c:pt>
                <c:pt idx="26">
                  <c:v>5.3800000000000005E-19</c:v>
                </c:pt>
                <c:pt idx="27">
                  <c:v>6.8602000000000001E-20</c:v>
                </c:pt>
                <c:pt idx="28">
                  <c:v>1.9737999999999999E-9</c:v>
                </c:pt>
                <c:pt idx="29">
                  <c:v>2.8302999999999999E-8</c:v>
                </c:pt>
                <c:pt idx="30">
                  <c:v>4.2121999999999998E-8</c:v>
                </c:pt>
                <c:pt idx="31">
                  <c:v>4.5977000000000002E-8</c:v>
                </c:pt>
                <c:pt idx="32">
                  <c:v>4.2164E-8</c:v>
                </c:pt>
                <c:pt idx="33">
                  <c:v>1.5687E-8</c:v>
                </c:pt>
                <c:pt idx="34">
                  <c:v>4.4632000000000001E-9</c:v>
                </c:pt>
                <c:pt idx="35">
                  <c:v>5.2946000000000005E-10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702-4A5F-94E0-C16F24C78072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SOLID!$F$8:$BR$8</c:f>
              <c:numCache>
                <c:formatCode>0.0E+00</c:formatCode>
                <c:ptCount val="65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4.3104000000000003E-9</c:v>
                </c:pt>
                <c:pt idx="6">
                  <c:v>1.2547000000000001E-10</c:v>
                </c:pt>
                <c:pt idx="7">
                  <c:v>5.4450999999999999E-12</c:v>
                </c:pt>
                <c:pt idx="8">
                  <c:v>6.7970999999999996E-14</c:v>
                </c:pt>
                <c:pt idx="9">
                  <c:v>1.5473999999999999E-21</c:v>
                </c:pt>
                <c:pt idx="10">
                  <c:v>7.8785000000000001E-35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02-4A5F-94E0-C16F24C78072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*GaSe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SOLID!$F$9:$BR$9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3.0406999999999999E-30</c:v>
                </c:pt>
                <c:pt idx="8">
                  <c:v>9.2899000000000001E-25</c:v>
                </c:pt>
                <c:pt idx="9">
                  <c:v>6.1753000000000005E-14</c:v>
                </c:pt>
                <c:pt idx="10">
                  <c:v>5.7183000000000001E-17</c:v>
                </c:pt>
                <c:pt idx="11">
                  <c:v>1.6400999999999999E-27</c:v>
                </c:pt>
                <c:pt idx="12">
                  <c:v>0</c:v>
                </c:pt>
                <c:pt idx="13">
                  <c:v>3.9739999999999998E-18</c:v>
                </c:pt>
                <c:pt idx="14">
                  <c:v>4.2968999999999999E-10</c:v>
                </c:pt>
                <c:pt idx="15">
                  <c:v>1.4141000000000001E-8</c:v>
                </c:pt>
                <c:pt idx="16">
                  <c:v>1.4919E-7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1.8994000000000001E-3</c:v>
                </c:pt>
                <c:pt idx="28">
                  <c:v>1.0451E-8</c:v>
                </c:pt>
                <c:pt idx="29">
                  <c:v>5.5252999999999995E-10</c:v>
                </c:pt>
                <c:pt idx="30">
                  <c:v>1.4544999999999999E-14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702-4A5F-94E0-C16F24C78072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  <c:pt idx="0">
                  <c:v>*Ge[l]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6-0702-4A5F-94E0-C16F24C78072}"/>
              </c:ext>
            </c:extLst>
          </c:dPt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SOLID!$F$10:$BR$10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1.3843E-31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2.5900000000000001E-34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2.9135999999999998E-22</c:v>
                </c:pt>
                <c:pt idx="20">
                  <c:v>8.8544E-17</c:v>
                </c:pt>
                <c:pt idx="21">
                  <c:v>3.4012000000000002E-13</c:v>
                </c:pt>
                <c:pt idx="22">
                  <c:v>1.1625999999999999E-12</c:v>
                </c:pt>
                <c:pt idx="23">
                  <c:v>7.2173E-13</c:v>
                </c:pt>
                <c:pt idx="24">
                  <c:v>6.0849000000000004E-14</c:v>
                </c:pt>
                <c:pt idx="25">
                  <c:v>1.8339000000000001E-17</c:v>
                </c:pt>
                <c:pt idx="26">
                  <c:v>3.1429000000000002E-26</c:v>
                </c:pt>
                <c:pt idx="27">
                  <c:v>0</c:v>
                </c:pt>
                <c:pt idx="28">
                  <c:v>7.9657999999999999E-17</c:v>
                </c:pt>
                <c:pt idx="29">
                  <c:v>2.0289999999999999E-10</c:v>
                </c:pt>
                <c:pt idx="30">
                  <c:v>2.2776E-10</c:v>
                </c:pt>
                <c:pt idx="31">
                  <c:v>3.9276E-10</c:v>
                </c:pt>
                <c:pt idx="32">
                  <c:v>1.6722000000000001E-9</c:v>
                </c:pt>
                <c:pt idx="33">
                  <c:v>2.6638999999999999E-9</c:v>
                </c:pt>
                <c:pt idx="34">
                  <c:v>4.7114000000000001E-9</c:v>
                </c:pt>
                <c:pt idx="35">
                  <c:v>4.2391000000000004E-9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702-4A5F-94E0-C16F24C78072}"/>
            </c:ext>
          </c:extLst>
        </c:ser>
        <c:ser>
          <c:idx val="7"/>
          <c:order val="7"/>
          <c:tx>
            <c:strRef>
              <c:f>SOLID!$E$11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SOLID!$F$11:$BR$11</c:f>
              <c:numCache>
                <c:formatCode>0.0E+00</c:formatCode>
                <c:ptCount val="65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0.24</c:v>
                </c:pt>
                <c:pt idx="6">
                  <c:v>0.24</c:v>
                </c:pt>
                <c:pt idx="7">
                  <c:v>0.24</c:v>
                </c:pt>
                <c:pt idx="8">
                  <c:v>0.24</c:v>
                </c:pt>
                <c:pt idx="9">
                  <c:v>0.24</c:v>
                </c:pt>
                <c:pt idx="10">
                  <c:v>0.24</c:v>
                </c:pt>
                <c:pt idx="11">
                  <c:v>0.24</c:v>
                </c:pt>
                <c:pt idx="12">
                  <c:v>1.7126000000000001E-7</c:v>
                </c:pt>
                <c:pt idx="13">
                  <c:v>2.3768999999999999E-9</c:v>
                </c:pt>
                <c:pt idx="14">
                  <c:v>7.5112000000000004E-11</c:v>
                </c:pt>
                <c:pt idx="15">
                  <c:v>4.8776E-20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1.6351E-26</c:v>
                </c:pt>
                <c:pt idx="20">
                  <c:v>5.1509999999999999E-23</c:v>
                </c:pt>
                <c:pt idx="21">
                  <c:v>1.2508E-20</c:v>
                </c:pt>
                <c:pt idx="22">
                  <c:v>1.1250000000000001E-34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702-4A5F-94E0-C16F24C78072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(1)Ga[l]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SOLID!$F$14:$BR$14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6.5842999999999998E-34</c:v>
                </c:pt>
                <c:pt idx="8">
                  <c:v>8.0557000000000007E-30</c:v>
                </c:pt>
                <c:pt idx="9">
                  <c:v>8.1721000000000007E-21</c:v>
                </c:pt>
                <c:pt idx="10">
                  <c:v>5.8907000000000001E-24</c:v>
                </c:pt>
                <c:pt idx="11">
                  <c:v>2.5721999999999999E-36</c:v>
                </c:pt>
                <c:pt idx="12">
                  <c:v>0</c:v>
                </c:pt>
                <c:pt idx="13">
                  <c:v>0</c:v>
                </c:pt>
                <c:pt idx="14">
                  <c:v>3.2716000000000001E-28</c:v>
                </c:pt>
                <c:pt idx="15">
                  <c:v>4.8587999999999997E-36</c:v>
                </c:pt>
                <c:pt idx="16">
                  <c:v>0</c:v>
                </c:pt>
                <c:pt idx="17">
                  <c:v>0</c:v>
                </c:pt>
                <c:pt idx="18">
                  <c:v>5.1753000000000001E-36</c:v>
                </c:pt>
                <c:pt idx="19">
                  <c:v>1.1580999999999999E-21</c:v>
                </c:pt>
                <c:pt idx="20">
                  <c:v>2.2131999999999999E-16</c:v>
                </c:pt>
                <c:pt idx="21">
                  <c:v>7.9740000000000002E-13</c:v>
                </c:pt>
                <c:pt idx="22">
                  <c:v>4.4061000000000003E-11</c:v>
                </c:pt>
                <c:pt idx="23">
                  <c:v>1.8770000000000001E-10</c:v>
                </c:pt>
                <c:pt idx="24">
                  <c:v>6.8880000000000004E-10</c:v>
                </c:pt>
                <c:pt idx="25">
                  <c:v>1.3270000000000001E-9</c:v>
                </c:pt>
                <c:pt idx="26">
                  <c:v>2.2525999999999999E-8</c:v>
                </c:pt>
                <c:pt idx="27">
                  <c:v>7.8101000000000004E-2</c:v>
                </c:pt>
                <c:pt idx="28">
                  <c:v>0.08</c:v>
                </c:pt>
                <c:pt idx="29">
                  <c:v>0.08</c:v>
                </c:pt>
                <c:pt idx="30">
                  <c:v>0.08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702-4A5F-94E0-C16F24C78072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(1)GeSe[l]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SOLID!$F$15:$BR$15</c:f>
              <c:numCache>
                <c:formatCode>0.0E+00</c:formatCode>
                <c:ptCount val="65"/>
                <c:pt idx="0">
                  <c:v>1.1818E-28</c:v>
                </c:pt>
                <c:pt idx="1">
                  <c:v>1.0336E-26</c:v>
                </c:pt>
                <c:pt idx="2">
                  <c:v>1.9376E-27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4.6978999999999999E-26</c:v>
                </c:pt>
                <c:pt idx="7">
                  <c:v>5.1574E-19</c:v>
                </c:pt>
                <c:pt idx="8">
                  <c:v>4.1542E-16</c:v>
                </c:pt>
                <c:pt idx="9">
                  <c:v>4.3528E-11</c:v>
                </c:pt>
                <c:pt idx="10">
                  <c:v>4.4537999999999999E-15</c:v>
                </c:pt>
                <c:pt idx="11">
                  <c:v>3.0843999999999998E-28</c:v>
                </c:pt>
                <c:pt idx="12">
                  <c:v>0</c:v>
                </c:pt>
                <c:pt idx="13">
                  <c:v>5.9657999999999997E-31</c:v>
                </c:pt>
                <c:pt idx="14">
                  <c:v>5.5945000000000005E-23</c:v>
                </c:pt>
                <c:pt idx="15">
                  <c:v>9.9932999999999999E-32</c:v>
                </c:pt>
                <c:pt idx="16">
                  <c:v>0</c:v>
                </c:pt>
                <c:pt idx="17">
                  <c:v>0</c:v>
                </c:pt>
                <c:pt idx="18">
                  <c:v>4.9642000000000003E-34</c:v>
                </c:pt>
                <c:pt idx="19">
                  <c:v>2.6233000000000001E-20</c:v>
                </c:pt>
                <c:pt idx="20">
                  <c:v>1.2552E-15</c:v>
                </c:pt>
                <c:pt idx="21">
                  <c:v>1.1957E-12</c:v>
                </c:pt>
                <c:pt idx="22">
                  <c:v>5.1862999999999998E-13</c:v>
                </c:pt>
                <c:pt idx="23">
                  <c:v>7.2941000000000002E-13</c:v>
                </c:pt>
                <c:pt idx="24">
                  <c:v>9.1640999999999993E-13</c:v>
                </c:pt>
                <c:pt idx="25">
                  <c:v>6.2544000000000001E-13</c:v>
                </c:pt>
                <c:pt idx="26">
                  <c:v>3.884E-12</c:v>
                </c:pt>
                <c:pt idx="27">
                  <c:v>5.1561999999999999E-6</c:v>
                </c:pt>
                <c:pt idx="28">
                  <c:v>4.0241000000000001E-6</c:v>
                </c:pt>
                <c:pt idx="29">
                  <c:v>3.0925999999999998E-6</c:v>
                </c:pt>
                <c:pt idx="30">
                  <c:v>2.3978000000000001E-6</c:v>
                </c:pt>
                <c:pt idx="31">
                  <c:v>9.4527999999999995E-7</c:v>
                </c:pt>
                <c:pt idx="32">
                  <c:v>7.6555999999999998E-7</c:v>
                </c:pt>
                <c:pt idx="33">
                  <c:v>6.2565999999999995E-7</c:v>
                </c:pt>
                <c:pt idx="34">
                  <c:v>5.1615000000000003E-7</c:v>
                </c:pt>
                <c:pt idx="35">
                  <c:v>4.3001999999999998E-7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702-4A5F-94E0-C16F24C78072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  <c:pt idx="0">
                  <c:v>(1)Ge[l]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SOLID!$F$16:$BR$16</c:f>
              <c:numCache>
                <c:formatCode>0.0E+00</c:formatCode>
                <c:ptCount val="65"/>
                <c:pt idx="0">
                  <c:v>1.4507E-36</c:v>
                </c:pt>
                <c:pt idx="1">
                  <c:v>3.5946000000000001E-34</c:v>
                </c:pt>
                <c:pt idx="2">
                  <c:v>1.6968999999999999E-34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3.5513999999999998E-31</c:v>
                </c:pt>
                <c:pt idx="7">
                  <c:v>1.5395000000000001E-23</c:v>
                </c:pt>
                <c:pt idx="8">
                  <c:v>4.4456000000000003E-20</c:v>
                </c:pt>
                <c:pt idx="9">
                  <c:v>3.5618E-13</c:v>
                </c:pt>
                <c:pt idx="10">
                  <c:v>9.2295000000000004E-17</c:v>
                </c:pt>
                <c:pt idx="11">
                  <c:v>1.5392000000000001E-29</c:v>
                </c:pt>
                <c:pt idx="12">
                  <c:v>0</c:v>
                </c:pt>
                <c:pt idx="13">
                  <c:v>1.511E-31</c:v>
                </c:pt>
                <c:pt idx="14">
                  <c:v>3.0089999999999999E-23</c:v>
                </c:pt>
                <c:pt idx="15">
                  <c:v>1.1021E-31</c:v>
                </c:pt>
                <c:pt idx="16">
                  <c:v>0</c:v>
                </c:pt>
                <c:pt idx="17">
                  <c:v>0</c:v>
                </c:pt>
                <c:pt idx="18">
                  <c:v>3.9285999999999999E-33</c:v>
                </c:pt>
                <c:pt idx="19">
                  <c:v>3.7951000000000001E-19</c:v>
                </c:pt>
                <c:pt idx="20">
                  <c:v>3.2424000000000001E-14</c:v>
                </c:pt>
                <c:pt idx="21">
                  <c:v>5.3949999999999999E-11</c:v>
                </c:pt>
                <c:pt idx="22">
                  <c:v>1.7995000000000001E-10</c:v>
                </c:pt>
                <c:pt idx="23">
                  <c:v>4.0420000000000001E-10</c:v>
                </c:pt>
                <c:pt idx="24">
                  <c:v>7.9924000000000002E-10</c:v>
                </c:pt>
                <c:pt idx="25">
                  <c:v>8.4675E-10</c:v>
                </c:pt>
                <c:pt idx="26">
                  <c:v>8.0574000000000007E-9</c:v>
                </c:pt>
                <c:pt idx="27">
                  <c:v>1.6191000000000001E-2</c:v>
                </c:pt>
                <c:pt idx="28">
                  <c:v>1.8908999999999999E-2</c:v>
                </c:pt>
                <c:pt idx="29">
                  <c:v>2.1510000000000001E-2</c:v>
                </c:pt>
                <c:pt idx="30">
                  <c:v>2.4433E-2</c:v>
                </c:pt>
                <c:pt idx="31">
                  <c:v>4.0459000000000002E-2</c:v>
                </c:pt>
                <c:pt idx="32">
                  <c:v>4.5946000000000001E-2</c:v>
                </c:pt>
                <c:pt idx="33">
                  <c:v>5.2259E-2</c:v>
                </c:pt>
                <c:pt idx="34">
                  <c:v>5.9575000000000003E-2</c:v>
                </c:pt>
                <c:pt idx="35">
                  <c:v>6.8126000000000006E-2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702-4A5F-94E0-C16F24C78072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702-4A5F-94E0-C16F24C78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8"/>
                <c:order val="8"/>
                <c:tx>
                  <c:strRef>
                    <c:extLst>
                      <c:ext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6.7158000000000004E-32</c:v>
                      </c:pt>
                      <c:pt idx="10">
                        <c:v>7.8559999999999994E-30</c:v>
                      </c:pt>
                      <c:pt idx="11">
                        <c:v>6.8758000000000001E-28</c:v>
                      </c:pt>
                      <c:pt idx="12">
                        <c:v>4.6262E-26</c:v>
                      </c:pt>
                      <c:pt idx="13">
                        <c:v>2.4502999999999999E-24</c:v>
                      </c:pt>
                      <c:pt idx="14">
                        <c:v>1.0432999999999999E-22</c:v>
                      </c:pt>
                      <c:pt idx="15">
                        <c:v>3.6384000000000001E-21</c:v>
                      </c:pt>
                      <c:pt idx="16">
                        <c:v>1.0564E-19</c:v>
                      </c:pt>
                      <c:pt idx="17">
                        <c:v>2.1632000000000002E-18</c:v>
                      </c:pt>
                      <c:pt idx="18">
                        <c:v>2.2930999999999999E-17</c:v>
                      </c:pt>
                      <c:pt idx="19">
                        <c:v>2.164E-16</c:v>
                      </c:pt>
                      <c:pt idx="20">
                        <c:v>1.8337999999999999E-15</c:v>
                      </c:pt>
                      <c:pt idx="21">
                        <c:v>1.4064E-14</c:v>
                      </c:pt>
                      <c:pt idx="22">
                        <c:v>2.0505000000000001E-11</c:v>
                      </c:pt>
                      <c:pt idx="23">
                        <c:v>1.0499E-10</c:v>
                      </c:pt>
                      <c:pt idx="24">
                        <c:v>5.0348E-10</c:v>
                      </c:pt>
                      <c:pt idx="25">
                        <c:v>2.2703999999999999E-9</c:v>
                      </c:pt>
                      <c:pt idx="26">
                        <c:v>9.6634000000000004E-9</c:v>
                      </c:pt>
                      <c:pt idx="27">
                        <c:v>3.7785999999999998E-8</c:v>
                      </c:pt>
                      <c:pt idx="28">
                        <c:v>3.7529999999999999E-8</c:v>
                      </c:pt>
                      <c:pt idx="29">
                        <c:v>3.6855000000000001E-8</c:v>
                      </c:pt>
                      <c:pt idx="30">
                        <c:v>3.5753999999999997E-8</c:v>
                      </c:pt>
                      <c:pt idx="31">
                        <c:v>2.8010999999999999E-8</c:v>
                      </c:pt>
                      <c:pt idx="32">
                        <c:v>2.5524999999999999E-8</c:v>
                      </c:pt>
                      <c:pt idx="33">
                        <c:v>2.2941E-8</c:v>
                      </c:pt>
                      <c:pt idx="34">
                        <c:v>2.0319999999999999E-8</c:v>
                      </c:pt>
                      <c:pt idx="35">
                        <c:v>1.7716999999999999E-8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9-0702-4A5F-94E0-C16F24C7807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SOLID!$E$13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  <c:pt idx="30">
                        <c:v>0.2</c:v>
                      </c:pt>
                      <c:pt idx="31">
                        <c:v>0.2</c:v>
                      </c:pt>
                      <c:pt idx="32">
                        <c:v>0.2</c:v>
                      </c:pt>
                      <c:pt idx="33">
                        <c:v>0.2</c:v>
                      </c:pt>
                      <c:pt idx="34">
                        <c:v>0.2</c:v>
                      </c:pt>
                      <c:pt idx="35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702-4A5F-94E0-C16F24C7807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SOLID!$E$17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-18.62</c:v>
                      </c:pt>
                      <c:pt idx="4">
                        <c:v>-18.63</c:v>
                      </c:pt>
                      <c:pt idx="5">
                        <c:v>-18.649999999999999</c:v>
                      </c:pt>
                      <c:pt idx="6">
                        <c:v>-18.670000000000002</c:v>
                      </c:pt>
                      <c:pt idx="7">
                        <c:v>-18.690000000000001</c:v>
                      </c:pt>
                      <c:pt idx="8">
                        <c:v>-18.72</c:v>
                      </c:pt>
                      <c:pt idx="9">
                        <c:v>-18.84</c:v>
                      </c:pt>
                      <c:pt idx="10">
                        <c:v>-18.87</c:v>
                      </c:pt>
                      <c:pt idx="11">
                        <c:v>-18.899999999999999</c:v>
                      </c:pt>
                      <c:pt idx="12">
                        <c:v>-18.940000000000001</c:v>
                      </c:pt>
                      <c:pt idx="13">
                        <c:v>-18.97</c:v>
                      </c:pt>
                      <c:pt idx="14">
                        <c:v>-19.010000000000002</c:v>
                      </c:pt>
                      <c:pt idx="15">
                        <c:v>-19.04</c:v>
                      </c:pt>
                      <c:pt idx="16">
                        <c:v>-19.07</c:v>
                      </c:pt>
                      <c:pt idx="17">
                        <c:v>-19.11</c:v>
                      </c:pt>
                      <c:pt idx="18">
                        <c:v>-19.14</c:v>
                      </c:pt>
                      <c:pt idx="19">
                        <c:v>-19.18</c:v>
                      </c:pt>
                      <c:pt idx="20">
                        <c:v>-19.21</c:v>
                      </c:pt>
                      <c:pt idx="21">
                        <c:v>-19.25</c:v>
                      </c:pt>
                      <c:pt idx="22">
                        <c:v>-19.38</c:v>
                      </c:pt>
                      <c:pt idx="23">
                        <c:v>-19.420000000000002</c:v>
                      </c:pt>
                      <c:pt idx="24">
                        <c:v>-19.45</c:v>
                      </c:pt>
                      <c:pt idx="25">
                        <c:v>-19.48</c:v>
                      </c:pt>
                      <c:pt idx="26">
                        <c:v>-19.510000000000002</c:v>
                      </c:pt>
                      <c:pt idx="27">
                        <c:v>-19.55</c:v>
                      </c:pt>
                      <c:pt idx="28">
                        <c:v>-19.579999999999998</c:v>
                      </c:pt>
                      <c:pt idx="29">
                        <c:v>-19.61</c:v>
                      </c:pt>
                      <c:pt idx="30">
                        <c:v>-19.64</c:v>
                      </c:pt>
                      <c:pt idx="31">
                        <c:v>-19.760000000000002</c:v>
                      </c:pt>
                      <c:pt idx="32">
                        <c:v>-19.79</c:v>
                      </c:pt>
                      <c:pt idx="33">
                        <c:v>-19.82</c:v>
                      </c:pt>
                      <c:pt idx="34">
                        <c:v>-19.850000000000001</c:v>
                      </c:pt>
                      <c:pt idx="35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702-4A5F-94E0-C16F24C7807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SOLID!$E$18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-65.56</c:v>
                      </c:pt>
                      <c:pt idx="1">
                        <c:v>-62.08</c:v>
                      </c:pt>
                      <c:pt idx="2">
                        <c:v>-58.98</c:v>
                      </c:pt>
                      <c:pt idx="3">
                        <c:v>-56.2</c:v>
                      </c:pt>
                      <c:pt idx="4">
                        <c:v>-53.71</c:v>
                      </c:pt>
                      <c:pt idx="5">
                        <c:v>-50.33</c:v>
                      </c:pt>
                      <c:pt idx="6">
                        <c:v>-46.96</c:v>
                      </c:pt>
                      <c:pt idx="7">
                        <c:v>-43.86</c:v>
                      </c:pt>
                      <c:pt idx="8">
                        <c:v>-40.98</c:v>
                      </c:pt>
                      <c:pt idx="9">
                        <c:v>-31.32</c:v>
                      </c:pt>
                      <c:pt idx="10">
                        <c:v>-29.28</c:v>
                      </c:pt>
                      <c:pt idx="11">
                        <c:v>-27.35</c:v>
                      </c:pt>
                      <c:pt idx="12">
                        <c:v>-25.53</c:v>
                      </c:pt>
                      <c:pt idx="13">
                        <c:v>-23.81</c:v>
                      </c:pt>
                      <c:pt idx="14">
                        <c:v>-22.18</c:v>
                      </c:pt>
                      <c:pt idx="15">
                        <c:v>-20.63</c:v>
                      </c:pt>
                      <c:pt idx="16">
                        <c:v>-19.16</c:v>
                      </c:pt>
                      <c:pt idx="17">
                        <c:v>-17.850000000000001</c:v>
                      </c:pt>
                      <c:pt idx="18">
                        <c:v>-16.850000000000001</c:v>
                      </c:pt>
                      <c:pt idx="19">
                        <c:v>-15.9</c:v>
                      </c:pt>
                      <c:pt idx="20">
                        <c:v>-15</c:v>
                      </c:pt>
                      <c:pt idx="21">
                        <c:v>-14.13</c:v>
                      </c:pt>
                      <c:pt idx="22">
                        <c:v>-11</c:v>
                      </c:pt>
                      <c:pt idx="23">
                        <c:v>-10.29</c:v>
                      </c:pt>
                      <c:pt idx="24">
                        <c:v>-9.6059999999999999</c:v>
                      </c:pt>
                      <c:pt idx="25">
                        <c:v>-8.9480000000000004</c:v>
                      </c:pt>
                      <c:pt idx="26">
                        <c:v>-8.3130000000000006</c:v>
                      </c:pt>
                      <c:pt idx="27">
                        <c:v>-7.7149999999999999</c:v>
                      </c:pt>
                      <c:pt idx="28">
                        <c:v>-7.7969999999999997</c:v>
                      </c:pt>
                      <c:pt idx="29">
                        <c:v>-7.8789999999999996</c:v>
                      </c:pt>
                      <c:pt idx="30">
                        <c:v>-7.9630000000000001</c:v>
                      </c:pt>
                      <c:pt idx="31">
                        <c:v>-8.3190000000000008</c:v>
                      </c:pt>
                      <c:pt idx="32">
                        <c:v>-8.4149999999999991</c:v>
                      </c:pt>
                      <c:pt idx="33">
                        <c:v>-8.5139999999999993</c:v>
                      </c:pt>
                      <c:pt idx="34">
                        <c:v>-8.6180000000000003</c:v>
                      </c:pt>
                      <c:pt idx="35">
                        <c:v>-8.7260000000000009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0702-4A5F-94E0-C16F24C7807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SOLID!$E$19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-16.29</c:v>
                      </c:pt>
                      <c:pt idx="1">
                        <c:v>-15.65</c:v>
                      </c:pt>
                      <c:pt idx="2">
                        <c:v>-15.09</c:v>
                      </c:pt>
                      <c:pt idx="3">
                        <c:v>-14.59</c:v>
                      </c:pt>
                      <c:pt idx="4">
                        <c:v>-14.16</c:v>
                      </c:pt>
                      <c:pt idx="5">
                        <c:v>-13.03</c:v>
                      </c:pt>
                      <c:pt idx="6">
                        <c:v>-11.8</c:v>
                      </c:pt>
                      <c:pt idx="7">
                        <c:v>-10.67</c:v>
                      </c:pt>
                      <c:pt idx="8">
                        <c:v>-9.6129999999999995</c:v>
                      </c:pt>
                      <c:pt idx="9">
                        <c:v>-6.0380000000000003</c:v>
                      </c:pt>
                      <c:pt idx="10">
                        <c:v>-5.2729999999999997</c:v>
                      </c:pt>
                      <c:pt idx="11">
                        <c:v>-4.55</c:v>
                      </c:pt>
                      <c:pt idx="12">
                        <c:v>-4.1150000000000002</c:v>
                      </c:pt>
                      <c:pt idx="13">
                        <c:v>-4.1550000000000002</c:v>
                      </c:pt>
                      <c:pt idx="14">
                        <c:v>-4.1950000000000003</c:v>
                      </c:pt>
                      <c:pt idx="15">
                        <c:v>-4.2359999999999998</c:v>
                      </c:pt>
                      <c:pt idx="16">
                        <c:v>-4.2759999999999998</c:v>
                      </c:pt>
                      <c:pt idx="17">
                        <c:v>-4.3170000000000002</c:v>
                      </c:pt>
                      <c:pt idx="18">
                        <c:v>-4.3579999999999997</c:v>
                      </c:pt>
                      <c:pt idx="19">
                        <c:v>-4.399</c:v>
                      </c:pt>
                      <c:pt idx="20">
                        <c:v>-4.4400000000000004</c:v>
                      </c:pt>
                      <c:pt idx="21">
                        <c:v>-4.4809999999999999</c:v>
                      </c:pt>
                      <c:pt idx="22">
                        <c:v>-4.6429999999999998</c:v>
                      </c:pt>
                      <c:pt idx="23">
                        <c:v>-4.6829999999999998</c:v>
                      </c:pt>
                      <c:pt idx="24">
                        <c:v>-4.7220000000000004</c:v>
                      </c:pt>
                      <c:pt idx="25">
                        <c:v>-4.7619999999999996</c:v>
                      </c:pt>
                      <c:pt idx="26">
                        <c:v>-4.8010000000000002</c:v>
                      </c:pt>
                      <c:pt idx="27">
                        <c:v>-4.84</c:v>
                      </c:pt>
                      <c:pt idx="28">
                        <c:v>-4.8780000000000001</c:v>
                      </c:pt>
                      <c:pt idx="29">
                        <c:v>-4.9169999999999998</c:v>
                      </c:pt>
                      <c:pt idx="30">
                        <c:v>-4.9550000000000001</c:v>
                      </c:pt>
                      <c:pt idx="31">
                        <c:v>-5.1040000000000001</c:v>
                      </c:pt>
                      <c:pt idx="32">
                        <c:v>-5.141</c:v>
                      </c:pt>
                      <c:pt idx="33">
                        <c:v>-5.1769999999999996</c:v>
                      </c:pt>
                      <c:pt idx="34">
                        <c:v>-5.2130000000000001</c:v>
                      </c:pt>
                      <c:pt idx="35">
                        <c:v>-5.2489999999999997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702-4A5F-94E0-C16F24C7807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SOLID!$E$20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-23.52</c:v>
                      </c:pt>
                      <c:pt idx="1">
                        <c:v>-22.41</c:v>
                      </c:pt>
                      <c:pt idx="2">
                        <c:v>-21.42</c:v>
                      </c:pt>
                      <c:pt idx="3">
                        <c:v>-20.54</c:v>
                      </c:pt>
                      <c:pt idx="4">
                        <c:v>-19.760000000000002</c:v>
                      </c:pt>
                      <c:pt idx="5">
                        <c:v>-19.8</c:v>
                      </c:pt>
                      <c:pt idx="6">
                        <c:v>-20.04</c:v>
                      </c:pt>
                      <c:pt idx="7">
                        <c:v>-20.28</c:v>
                      </c:pt>
                      <c:pt idx="8">
                        <c:v>-20.53</c:v>
                      </c:pt>
                      <c:pt idx="9">
                        <c:v>-21.53</c:v>
                      </c:pt>
                      <c:pt idx="10">
                        <c:v>-21.78</c:v>
                      </c:pt>
                      <c:pt idx="11">
                        <c:v>-22.02</c:v>
                      </c:pt>
                      <c:pt idx="12">
                        <c:v>-22.27</c:v>
                      </c:pt>
                      <c:pt idx="13">
                        <c:v>-22.52</c:v>
                      </c:pt>
                      <c:pt idx="14">
                        <c:v>-22.76</c:v>
                      </c:pt>
                      <c:pt idx="15">
                        <c:v>-23</c:v>
                      </c:pt>
                      <c:pt idx="16">
                        <c:v>-23.24</c:v>
                      </c:pt>
                      <c:pt idx="17">
                        <c:v>-23.48</c:v>
                      </c:pt>
                      <c:pt idx="18">
                        <c:v>-23.72</c:v>
                      </c:pt>
                      <c:pt idx="19">
                        <c:v>-23.95</c:v>
                      </c:pt>
                      <c:pt idx="20">
                        <c:v>-24.18</c:v>
                      </c:pt>
                      <c:pt idx="21">
                        <c:v>-24.41</c:v>
                      </c:pt>
                      <c:pt idx="22">
                        <c:v>-25.31</c:v>
                      </c:pt>
                      <c:pt idx="23">
                        <c:v>-25.53</c:v>
                      </c:pt>
                      <c:pt idx="24">
                        <c:v>-25.75</c:v>
                      </c:pt>
                      <c:pt idx="25">
                        <c:v>-25.97</c:v>
                      </c:pt>
                      <c:pt idx="26">
                        <c:v>-26.18</c:v>
                      </c:pt>
                      <c:pt idx="27">
                        <c:v>-26.39</c:v>
                      </c:pt>
                      <c:pt idx="28">
                        <c:v>-26.6</c:v>
                      </c:pt>
                      <c:pt idx="29">
                        <c:v>-26.81</c:v>
                      </c:pt>
                      <c:pt idx="30">
                        <c:v>-27.02</c:v>
                      </c:pt>
                      <c:pt idx="31">
                        <c:v>-27.83</c:v>
                      </c:pt>
                      <c:pt idx="32">
                        <c:v>-28.03</c:v>
                      </c:pt>
                      <c:pt idx="33">
                        <c:v>-28.23</c:v>
                      </c:pt>
                      <c:pt idx="34">
                        <c:v>-28.42</c:v>
                      </c:pt>
                      <c:pt idx="35">
                        <c:v>-28.62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702-4A5F-94E0-C16F24C7807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0702-4A5F-94E0-C16F24C7807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0702-4A5F-94E0-C16F24C7807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0702-4A5F-94E0-C16F24C7807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0702-4A5F-94E0-C16F24C7807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0702-4A5F-94E0-C16F24C7807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0702-4A5F-94E0-C16F24C7807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0702-4A5F-94E0-C16F24C7807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0702-4A5F-94E0-C16F24C7807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0702-4A5F-94E0-C16F24C7807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0702-4A5F-94E0-C16F24C7807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0702-4A5F-94E0-C16F24C7807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0702-4A5F-94E0-C16F24C7807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just"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332237031845046"/>
          <c:y val="1.403859009444820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-21.792000000000002</c:v>
                </c:pt>
                <c:pt idx="1">
                  <c:v>-21.217333333333332</c:v>
                </c:pt>
                <c:pt idx="2" formatCode="General">
                  <c:v>-20.683999999999997</c:v>
                </c:pt>
                <c:pt idx="3" formatCode="General">
                  <c:v>-20.194909090909089</c:v>
                </c:pt>
                <c:pt idx="4" formatCode="General">
                  <c:v>-19.761939393939397</c:v>
                </c:pt>
                <c:pt idx="5" formatCode="General">
                  <c:v>-19.78618181818182</c:v>
                </c:pt>
                <c:pt idx="6" formatCode="General">
                  <c:v>-19.862168674698797</c:v>
                </c:pt>
                <c:pt idx="7" formatCode="General">
                  <c:v>-20.006746987951807</c:v>
                </c:pt>
                <c:pt idx="8" formatCode="General">
                  <c:v>-20.152000000000001</c:v>
                </c:pt>
                <c:pt idx="9" formatCode="General">
                  <c:v>-20.298181818181821</c:v>
                </c:pt>
                <c:pt idx="10" formatCode="General">
                  <c:v>-20.449696969696969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-23.573975903614457</c:v>
                </c:pt>
                <c:pt idx="32" formatCode="General">
                  <c:v>-23.718554216867467</c:v>
                </c:pt>
                <c:pt idx="33" formatCode="General">
                  <c:v>-23.858000000000001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11EF-44BA-AAAA-9AD66152902A}"/>
            </c:ext>
          </c:extLst>
        </c:ser>
        <c:ser>
          <c:idx val="39"/>
          <c:order val="1"/>
          <c:tx>
            <c:strRef>
              <c:f>'Gibbs-EVAL'!$A$102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-15.300424242424242</c:v>
                </c:pt>
                <c:pt idx="1">
                  <c:v>-14.974848484848485</c:v>
                </c:pt>
                <c:pt idx="2" formatCode="General">
                  <c:v>-14.671818181818182</c:v>
                </c:pt>
                <c:pt idx="3" formatCode="General">
                  <c:v>-14.399757575757576</c:v>
                </c:pt>
                <c:pt idx="4" formatCode="General">
                  <c:v>-14.105212121212121</c:v>
                </c:pt>
                <c:pt idx="5" formatCode="General">
                  <c:v>-13.420363636363636</c:v>
                </c:pt>
                <c:pt idx="6" formatCode="General">
                  <c:v>-12.711385542168674</c:v>
                </c:pt>
                <c:pt idx="7" formatCode="General">
                  <c:v>-11.970421686746988</c:v>
                </c:pt>
                <c:pt idx="8" formatCode="General">
                  <c:v>-11.272666666666668</c:v>
                </c:pt>
                <c:pt idx="9" formatCode="General">
                  <c:v>-10.593127272727273</c:v>
                </c:pt>
                <c:pt idx="10" formatCode="General">
                  <c:v>-9.9525212121212121</c:v>
                </c:pt>
                <c:pt idx="11" formatCode="General">
                  <c:v>-9.3588018154311658</c:v>
                </c:pt>
                <c:pt idx="12" formatCode="General">
                  <c:v>-8.8179546142208771</c:v>
                </c:pt>
                <c:pt idx="13" formatCode="General">
                  <c:v>-8.2771074130105902</c:v>
                </c:pt>
                <c:pt idx="14" formatCode="General">
                  <c:v>-7.7362602118003023</c:v>
                </c:pt>
                <c:pt idx="15" formatCode="General">
                  <c:v>-7.1954130105900145</c:v>
                </c:pt>
                <c:pt idx="16" formatCode="General">
                  <c:v>-6.6545658093797275</c:v>
                </c:pt>
                <c:pt idx="17" formatCode="General">
                  <c:v>-6.1137186081694388</c:v>
                </c:pt>
                <c:pt idx="18" formatCode="General">
                  <c:v>-5.6392727272727265</c:v>
                </c:pt>
                <c:pt idx="19" formatCode="General">
                  <c:v>-5.1809818181818166</c:v>
                </c:pt>
                <c:pt idx="20" formatCode="General">
                  <c:v>-4.742799999999999</c:v>
                </c:pt>
                <c:pt idx="21" formatCode="General">
                  <c:v>-4.4023636363636358</c:v>
                </c:pt>
                <c:pt idx="22" formatCode="General">
                  <c:v>-4.1387272727272721</c:v>
                </c:pt>
                <c:pt idx="23" formatCode="General">
                  <c:v>-4.1369277108433735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11EF-44BA-AAAA-9AD66152902A}"/>
            </c:ext>
          </c:extLst>
        </c:ser>
        <c:ser>
          <c:idx val="54"/>
          <c:order val="2"/>
          <c:tx>
            <c:strRef>
              <c:f>'Gibbs-EVAL'!$A$103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7-11EF-44BA-AAAA-9AD66152902A}"/>
              </c:ext>
            </c:extLst>
          </c:dPt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'Gibbs-EVAL'!$B$103:$BT$103</c:f>
              <c:numCache>
                <c:formatCode>0</c:formatCode>
                <c:ptCount val="71"/>
                <c:pt idx="0">
                  <c:v>-185.66569696969697</c:v>
                </c:pt>
                <c:pt idx="1">
                  <c:v>-180.33151515151513</c:v>
                </c:pt>
                <c:pt idx="2" formatCode="General">
                  <c:v>-175.36181818181819</c:v>
                </c:pt>
                <c:pt idx="3" formatCode="General">
                  <c:v>-170.78145454545455</c:v>
                </c:pt>
                <c:pt idx="4" formatCode="General">
                  <c:v>-166.37806060606059</c:v>
                </c:pt>
                <c:pt idx="5" formatCode="General">
                  <c:v>-162.35381818181818</c:v>
                </c:pt>
                <c:pt idx="6" formatCode="General">
                  <c:v>-158.50060240963856</c:v>
                </c:pt>
                <c:pt idx="7" formatCode="General">
                  <c:v>-154.87409638554217</c:v>
                </c:pt>
                <c:pt idx="8" formatCode="General">
                  <c:v>-151.48266666666666</c:v>
                </c:pt>
                <c:pt idx="9" formatCode="General">
                  <c:v>-148.19563636363637</c:v>
                </c:pt>
                <c:pt idx="10" formatCode="General">
                  <c:v>-145.15927272727274</c:v>
                </c:pt>
                <c:pt idx="11" formatCode="General">
                  <c:v>-142.38957639939488</c:v>
                </c:pt>
                <c:pt idx="12" formatCode="General">
                  <c:v>-139.9205900151286</c:v>
                </c:pt>
                <c:pt idx="13" formatCode="General">
                  <c:v>-137.45160363086234</c:v>
                </c:pt>
                <c:pt idx="14" formatCode="General">
                  <c:v>-134.98261724659608</c:v>
                </c:pt>
                <c:pt idx="15" formatCode="General">
                  <c:v>-132.51363086232982</c:v>
                </c:pt>
                <c:pt idx="16" formatCode="General">
                  <c:v>-130.04464447806353</c:v>
                </c:pt>
                <c:pt idx="17" formatCode="General">
                  <c:v>-127.57565809379727</c:v>
                </c:pt>
                <c:pt idx="18" formatCode="General">
                  <c:v>-125.49436363636363</c:v>
                </c:pt>
                <c:pt idx="19" formatCode="General">
                  <c:v>-123.50036363636364</c:v>
                </c:pt>
                <c:pt idx="20" formatCode="General">
                  <c:v>-121.59733333333334</c:v>
                </c:pt>
                <c:pt idx="21" formatCode="General">
                  <c:v>-119.77915151515151</c:v>
                </c:pt>
                <c:pt idx="22" formatCode="General">
                  <c:v>-118.02763636363636</c:v>
                </c:pt>
                <c:pt idx="23" formatCode="General">
                  <c:v>-116.39536144578314</c:v>
                </c:pt>
                <c:pt idx="24" formatCode="General">
                  <c:v>-114.79515151515152</c:v>
                </c:pt>
                <c:pt idx="25" formatCode="General">
                  <c:v>-113.25575757575758</c:v>
                </c:pt>
                <c:pt idx="26" formatCode="General">
                  <c:v>-111.77454545454545</c:v>
                </c:pt>
                <c:pt idx="27" formatCode="General">
                  <c:v>-110.33212121212121</c:v>
                </c:pt>
                <c:pt idx="28" formatCode="General">
                  <c:v>-108.98181818181817</c:v>
                </c:pt>
                <c:pt idx="29" formatCode="General">
                  <c:v>-107.69454545454545</c:v>
                </c:pt>
                <c:pt idx="30" formatCode="General">
                  <c:v>-106.54303030303031</c:v>
                </c:pt>
                <c:pt idx="31" formatCode="General">
                  <c:v>-105.63879518072289</c:v>
                </c:pt>
                <c:pt idx="32" formatCode="General">
                  <c:v>-104.8677108433735</c:v>
                </c:pt>
                <c:pt idx="33" formatCode="General">
                  <c:v>-104.134</c:v>
                </c:pt>
                <c:pt idx="34" formatCode="General">
                  <c:v>-103.42127272727272</c:v>
                </c:pt>
                <c:pt idx="35" formatCode="General">
                  <c:v>-102.74854545454545</c:v>
                </c:pt>
                <c:pt idx="36" formatCode="General">
                  <c:v>-102.10090909090908</c:v>
                </c:pt>
                <c:pt idx="37" formatCode="General">
                  <c:v>-101.46845688350984</c:v>
                </c:pt>
                <c:pt idx="38" formatCode="General">
                  <c:v>-100.92987897125568</c:v>
                </c:pt>
                <c:pt idx="39" formatCode="General">
                  <c:v>-100.39130105900152</c:v>
                </c:pt>
                <c:pt idx="40" formatCode="General">
                  <c:v>-99.852723146747351</c:v>
                </c:pt>
                <c:pt idx="41" formatCode="General">
                  <c:v>-99.314145234493196</c:v>
                </c:pt>
                <c:pt idx="42" formatCode="General">
                  <c:v>-98.775567322239027</c:v>
                </c:pt>
                <c:pt idx="43" formatCode="General">
                  <c:v>-98.236989409984872</c:v>
                </c:pt>
                <c:pt idx="44" formatCode="General">
                  <c:v>-97.731939393939385</c:v>
                </c:pt>
                <c:pt idx="45" formatCode="General">
                  <c:v>-97.271333333333331</c:v>
                </c:pt>
                <c:pt idx="46" formatCode="General">
                  <c:v>-96.835309090909092</c:v>
                </c:pt>
                <c:pt idx="47" formatCode="General">
                  <c:v>-96.41031515151515</c:v>
                </c:pt>
                <c:pt idx="48" formatCode="General">
                  <c:v>-96.012739393939398</c:v>
                </c:pt>
                <c:pt idx="49" formatCode="General">
                  <c:v>-95.620939759036148</c:v>
                </c:pt>
                <c:pt idx="50" formatCode="General">
                  <c:v>-95.235397590361444</c:v>
                </c:pt>
                <c:pt idx="51" formatCode="General">
                  <c:v>-94.884715151515152</c:v>
                </c:pt>
                <c:pt idx="52" formatCode="General">
                  <c:v>-94.681806060606064</c:v>
                </c:pt>
                <c:pt idx="53" formatCode="General">
                  <c:v>-95.163018181818188</c:v>
                </c:pt>
                <c:pt idx="54" formatCode="General">
                  <c:v>-95.644230303030312</c:v>
                </c:pt>
                <c:pt idx="55" formatCode="General">
                  <c:v>-96.125442424242422</c:v>
                </c:pt>
                <c:pt idx="56" formatCode="General">
                  <c:v>-96.608763636363634</c:v>
                </c:pt>
                <c:pt idx="57" formatCode="General">
                  <c:v>-97.090574886535563</c:v>
                </c:pt>
                <c:pt idx="58" formatCode="General">
                  <c:v>-97.565915279878979</c:v>
                </c:pt>
                <c:pt idx="59" formatCode="General">
                  <c:v>-98.041255673222395</c:v>
                </c:pt>
                <c:pt idx="60" formatCode="General">
                  <c:v>-98.51659606656581</c:v>
                </c:pt>
                <c:pt idx="61" formatCode="General">
                  <c:v>-98.991936459909226</c:v>
                </c:pt>
                <c:pt idx="62" formatCode="General">
                  <c:v>-99.467276853252656</c:v>
                </c:pt>
                <c:pt idx="63" formatCode="General">
                  <c:v>-99.942617246596072</c:v>
                </c:pt>
                <c:pt idx="64" formatCode="General">
                  <c:v>-100.4208</c:v>
                </c:pt>
                <c:pt idx="65" formatCode="General">
                  <c:v>-100.9008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11EF-44BA-AAAA-9AD66152902A}"/>
            </c:ext>
          </c:extLst>
        </c:ser>
        <c:ser>
          <c:idx val="1"/>
          <c:order val="3"/>
          <c:tx>
            <c:strRef>
              <c:f>'Gibbs-EVAL'!$A$104</c:f>
              <c:strCache>
                <c:ptCount val="1"/>
                <c:pt idx="0">
                  <c:v>*Ga[1]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'Gibbs-EVAL'!$B$104:$BT$104</c:f>
              <c:numCache>
                <c:formatCode>0</c:formatCode>
                <c:ptCount val="71"/>
                <c:pt idx="0">
                  <c:v>-60.144848484848481</c:v>
                </c:pt>
                <c:pt idx="1">
                  <c:v>-58.339757575757574</c:v>
                </c:pt>
                <c:pt idx="2" formatCode="General">
                  <c:v>-56.654909090909094</c:v>
                </c:pt>
                <c:pt idx="3" formatCode="General">
                  <c:v>-55.098363636363636</c:v>
                </c:pt>
                <c:pt idx="4" formatCode="General">
                  <c:v>-53.546121212121207</c:v>
                </c:pt>
                <c:pt idx="5" formatCode="General">
                  <c:v>-51.49763636363636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11EF-44BA-AAAA-9AD66152902A}"/>
            </c:ext>
          </c:extLst>
        </c:ser>
        <c:ser>
          <c:idx val="2"/>
          <c:order val="4"/>
          <c:tx>
            <c:strRef>
              <c:f>'Gibbs-EVAL'!$A$105</c:f>
              <c:strCache>
                <c:ptCount val="1"/>
                <c:pt idx="0">
                  <c:v>*GeSe2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'Gibbs-EVAL'!$B$105:$BT$105</c:f>
              <c:numCache>
                <c:formatCode>0</c:formatCode>
                <c:ptCount val="71"/>
                <c:pt idx="0">
                  <c:v>-58.884424242424245</c:v>
                </c:pt>
                <c:pt idx="1">
                  <c:v>-57.409515151515158</c:v>
                </c:pt>
                <c:pt idx="2" formatCode="General">
                  <c:v>-56.039818181818184</c:v>
                </c:pt>
                <c:pt idx="3" formatCode="General">
                  <c:v>-54.789575757575761</c:v>
                </c:pt>
                <c:pt idx="4" formatCode="General">
                  <c:v>-53.629090909090912</c:v>
                </c:pt>
                <c:pt idx="5" formatCode="General">
                  <c:v>-52.992727272727279</c:v>
                </c:pt>
                <c:pt idx="6" formatCode="General">
                  <c:v>-52.435722891566265</c:v>
                </c:pt>
                <c:pt idx="7" formatCode="General">
                  <c:v>-51.983915662650602</c:v>
                </c:pt>
                <c:pt idx="8" formatCode="General">
                  <c:v>-51.576666666666668</c:v>
                </c:pt>
                <c:pt idx="9" formatCode="General">
                  <c:v>-51.189490909090914</c:v>
                </c:pt>
                <c:pt idx="10" formatCode="General">
                  <c:v>-50.851915151515158</c:v>
                </c:pt>
                <c:pt idx="11" formatCode="General">
                  <c:v>-50.56101059001513</c:v>
                </c:pt>
                <c:pt idx="12" formatCode="General">
                  <c:v>-50.322735249621786</c:v>
                </c:pt>
                <c:pt idx="13" formatCode="General">
                  <c:v>-50.084459909228443</c:v>
                </c:pt>
                <c:pt idx="14" formatCode="General">
                  <c:v>-49.846184568835099</c:v>
                </c:pt>
                <c:pt idx="15" formatCode="General">
                  <c:v>-49.607909228441756</c:v>
                </c:pt>
                <c:pt idx="16" formatCode="General">
                  <c:v>-49.369633888048412</c:v>
                </c:pt>
                <c:pt idx="17" formatCode="General">
                  <c:v>-49.131358547655068</c:v>
                </c:pt>
                <c:pt idx="18" formatCode="General">
                  <c:v>-48.959878787878786</c:v>
                </c:pt>
                <c:pt idx="19" formatCode="General">
                  <c:v>-48.802072727272723</c:v>
                </c:pt>
                <c:pt idx="20" formatCode="General">
                  <c:v>-48.654799999999994</c:v>
                </c:pt>
                <c:pt idx="21" formatCode="General">
                  <c:v>-48.612060606060602</c:v>
                </c:pt>
                <c:pt idx="22" formatCode="General">
                  <c:v>-48.651454545454548</c:v>
                </c:pt>
                <c:pt idx="23" formatCode="General">
                  <c:v>-48.951024096385545</c:v>
                </c:pt>
                <c:pt idx="24" formatCode="General">
                  <c:v>-49.273787878787878</c:v>
                </c:pt>
                <c:pt idx="25" formatCode="General">
                  <c:v>-49.588939393939398</c:v>
                </c:pt>
                <c:pt idx="26" formatCode="General">
                  <c:v>-49.904454545454549</c:v>
                </c:pt>
                <c:pt idx="27" formatCode="General">
                  <c:v>-50.220212121212121</c:v>
                </c:pt>
                <c:pt idx="28" formatCode="General">
                  <c:v>-50.535393939393941</c:v>
                </c:pt>
                <c:pt idx="29" formatCode="General">
                  <c:v>-50.850727272727276</c:v>
                </c:pt>
                <c:pt idx="30" formatCode="General">
                  <c:v>-51.166484848484849</c:v>
                </c:pt>
                <c:pt idx="31" formatCode="General">
                  <c:v>-51.481006024096381</c:v>
                </c:pt>
                <c:pt idx="32" formatCode="General">
                  <c:v>-51.794861445783127</c:v>
                </c:pt>
                <c:pt idx="33" formatCode="General">
                  <c:v>-52.098599999999998</c:v>
                </c:pt>
                <c:pt idx="34" formatCode="General">
                  <c:v>-52.402236363636362</c:v>
                </c:pt>
                <c:pt idx="35" formatCode="General">
                  <c:v>-52.705872727272727</c:v>
                </c:pt>
                <c:pt idx="36" formatCode="General">
                  <c:v>-53.009509090909091</c:v>
                </c:pt>
                <c:pt idx="37" formatCode="General">
                  <c:v>-53.31287291981846</c:v>
                </c:pt>
                <c:pt idx="38" formatCode="General">
                  <c:v>-53.609695915279879</c:v>
                </c:pt>
                <c:pt idx="39" formatCode="General">
                  <c:v>-53.906518910741298</c:v>
                </c:pt>
                <c:pt idx="40" formatCode="General">
                  <c:v>-54.203341906202724</c:v>
                </c:pt>
                <c:pt idx="41" formatCode="General">
                  <c:v>-54.500164901664142</c:v>
                </c:pt>
                <c:pt idx="42" formatCode="General">
                  <c:v>-54.796987897125568</c:v>
                </c:pt>
                <c:pt idx="43" formatCode="General">
                  <c:v>-55.093810892586987</c:v>
                </c:pt>
                <c:pt idx="44" formatCode="General">
                  <c:v>-55.388090909090906</c:v>
                </c:pt>
                <c:pt idx="45" formatCode="General">
                  <c:v>-55.679000000000002</c:v>
                </c:pt>
                <c:pt idx="46" formatCode="General">
                  <c:v>-55.969436363636362</c:v>
                </c:pt>
                <c:pt idx="47" formatCode="General">
                  <c:v>-56.259818181818183</c:v>
                </c:pt>
                <c:pt idx="48" formatCode="General">
                  <c:v>-56.550727272727272</c:v>
                </c:pt>
                <c:pt idx="49" formatCode="General">
                  <c:v>-56.834722891566265</c:v>
                </c:pt>
                <c:pt idx="50" formatCode="General">
                  <c:v>-57.11122891566265</c:v>
                </c:pt>
                <c:pt idx="51" formatCode="General">
                  <c:v>-57.389109090909095</c:v>
                </c:pt>
                <c:pt idx="52" formatCode="General">
                  <c:v>-57.667187878787885</c:v>
                </c:pt>
                <c:pt idx="53" formatCode="General">
                  <c:v>-57.944763636363639</c:v>
                </c:pt>
                <c:pt idx="54" formatCode="General">
                  <c:v>-58.222654545454546</c:v>
                </c:pt>
                <c:pt idx="55" formatCode="General">
                  <c:v>-58.500836363636367</c:v>
                </c:pt>
                <c:pt idx="56" formatCode="General">
                  <c:v>-58.778490909090905</c:v>
                </c:pt>
                <c:pt idx="57" formatCode="General">
                  <c:v>-59.053877458396364</c:v>
                </c:pt>
                <c:pt idx="58" formatCode="General">
                  <c:v>-59.321502269288956</c:v>
                </c:pt>
                <c:pt idx="59" formatCode="General">
                  <c:v>-59.589127080181541</c:v>
                </c:pt>
                <c:pt idx="60" formatCode="General">
                  <c:v>-59.856751891074126</c:v>
                </c:pt>
                <c:pt idx="61" formatCode="General">
                  <c:v>-60.124376701966717</c:v>
                </c:pt>
                <c:pt idx="62" formatCode="General">
                  <c:v>-60.392001512859302</c:v>
                </c:pt>
                <c:pt idx="63" formatCode="General">
                  <c:v>-60.659626323751887</c:v>
                </c:pt>
                <c:pt idx="64" formatCode="General">
                  <c:v>-60.925557575757573</c:v>
                </c:pt>
                <c:pt idx="65" formatCode="General">
                  <c:v>-61.190406060606058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11EF-44BA-AAAA-9AD66152902A}"/>
            </c:ext>
          </c:extLst>
        </c:ser>
        <c:ser>
          <c:idx val="3"/>
          <c:order val="5"/>
          <c:tx>
            <c:strRef>
              <c:f>'Gibbs-EVAL'!$A$106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'Gibbs-EVAL'!$B$106:$BT$106</c:f>
              <c:numCache>
                <c:formatCode>0</c:formatCode>
                <c:ptCount val="71"/>
                <c:pt idx="0">
                  <c:v>-81.936848484848483</c:v>
                </c:pt>
                <c:pt idx="1">
                  <c:v>-79.557090909090917</c:v>
                </c:pt>
                <c:pt idx="2" formatCode="General">
                  <c:v>-77.338909090909098</c:v>
                </c:pt>
                <c:pt idx="3" formatCode="General">
                  <c:v>-75.293272727272736</c:v>
                </c:pt>
                <c:pt idx="4" formatCode="General">
                  <c:v>-73.308060606060607</c:v>
                </c:pt>
                <c:pt idx="5" formatCode="General">
                  <c:v>-71.283818181818177</c:v>
                </c:pt>
                <c:pt idx="6" formatCode="General">
                  <c:v>-69.319216867469876</c:v>
                </c:pt>
                <c:pt idx="7" formatCode="General">
                  <c:v>-67.433674698795187</c:v>
                </c:pt>
                <c:pt idx="8" formatCode="General">
                  <c:v>-65.665333333333336</c:v>
                </c:pt>
                <c:pt idx="9" formatCode="General">
                  <c:v>-63.948727272727275</c:v>
                </c:pt>
                <c:pt idx="10" formatCode="General">
                  <c:v>-62.354787878787882</c:v>
                </c:pt>
                <c:pt idx="11" formatCode="General">
                  <c:v>-60.894236006051436</c:v>
                </c:pt>
                <c:pt idx="12" formatCode="General">
                  <c:v>-59.584099848714068</c:v>
                </c:pt>
                <c:pt idx="13" formatCode="General">
                  <c:v>-58.2739636913767</c:v>
                </c:pt>
                <c:pt idx="14" formatCode="General">
                  <c:v>-56.963827534039332</c:v>
                </c:pt>
                <c:pt idx="15" formatCode="General">
                  <c:v>-55.653691376701964</c:v>
                </c:pt>
                <c:pt idx="16" formatCode="General">
                  <c:v>-54.343555219364596</c:v>
                </c:pt>
                <c:pt idx="17" formatCode="General">
                  <c:v>-53.033419062027228</c:v>
                </c:pt>
                <c:pt idx="18" formatCode="General">
                  <c:v>-51.917030303030302</c:v>
                </c:pt>
                <c:pt idx="19" formatCode="General">
                  <c:v>-50.844909090909091</c:v>
                </c:pt>
                <c:pt idx="20" formatCode="General">
                  <c:v>-49.820666666666668</c:v>
                </c:pt>
                <c:pt idx="21" formatCode="General">
                  <c:v>-48.837151515151518</c:v>
                </c:pt>
                <c:pt idx="22" formatCode="General">
                  <c:v>-47.885636363636358</c:v>
                </c:pt>
                <c:pt idx="23" formatCode="General">
                  <c:v>-46.994156626506019</c:v>
                </c:pt>
                <c:pt idx="24" formatCode="General">
                  <c:v>-46.119393939393937</c:v>
                </c:pt>
                <c:pt idx="25" formatCode="General">
                  <c:v>-45.276969696969694</c:v>
                </c:pt>
                <c:pt idx="26" formatCode="General">
                  <c:v>-44.463636363636361</c:v>
                </c:pt>
                <c:pt idx="27" formatCode="General">
                  <c:v>-43.669696969696965</c:v>
                </c:pt>
                <c:pt idx="28" formatCode="General">
                  <c:v>-42.921818181818182</c:v>
                </c:pt>
                <c:pt idx="29" formatCode="General">
                  <c:v>-42.205454545454543</c:v>
                </c:pt>
                <c:pt idx="30" formatCode="General">
                  <c:v>-41.556969696969695</c:v>
                </c:pt>
                <c:pt idx="31" formatCode="General">
                  <c:v>-41.032409638554213</c:v>
                </c:pt>
                <c:pt idx="32" formatCode="General">
                  <c:v>-40.574578313253014</c:v>
                </c:pt>
                <c:pt idx="33" formatCode="General">
                  <c:v>-40.138000000000005</c:v>
                </c:pt>
                <c:pt idx="34" formatCode="General">
                  <c:v>-39.711939393939396</c:v>
                </c:pt>
                <c:pt idx="35" formatCode="General">
                  <c:v>-39.30587878787879</c:v>
                </c:pt>
                <c:pt idx="36" formatCode="General">
                  <c:v>-38.912363636363636</c:v>
                </c:pt>
                <c:pt idx="37" formatCode="General">
                  <c:v>-38.526505295007567</c:v>
                </c:pt>
                <c:pt idx="38" formatCode="General">
                  <c:v>-38.189137670196672</c:v>
                </c:pt>
                <c:pt idx="39" formatCode="General">
                  <c:v>-37.851770045385777</c:v>
                </c:pt>
                <c:pt idx="40" formatCode="General">
                  <c:v>-37.514402420574889</c:v>
                </c:pt>
                <c:pt idx="41" formatCode="General">
                  <c:v>-37.177034795763994</c:v>
                </c:pt>
                <c:pt idx="42" formatCode="General">
                  <c:v>-36.839667170953106</c:v>
                </c:pt>
                <c:pt idx="43" formatCode="General">
                  <c:v>-36.502299546142211</c:v>
                </c:pt>
                <c:pt idx="44" formatCode="General">
                  <c:v>-36.182303030303032</c:v>
                </c:pt>
                <c:pt idx="45" formatCode="General">
                  <c:v>-35.885333333333335</c:v>
                </c:pt>
                <c:pt idx="46" formatCode="General">
                  <c:v>-35.600654545454546</c:v>
                </c:pt>
                <c:pt idx="47" formatCode="General">
                  <c:v>-35.321490909090912</c:v>
                </c:pt>
                <c:pt idx="48" formatCode="General">
                  <c:v>-35.056036363636366</c:v>
                </c:pt>
                <c:pt idx="49" formatCode="General">
                  <c:v>-34.795108433734939</c:v>
                </c:pt>
                <c:pt idx="50" formatCode="General">
                  <c:v>-34.539084337349401</c:v>
                </c:pt>
                <c:pt idx="51" formatCode="General">
                  <c:v>-34.300175757575758</c:v>
                </c:pt>
                <c:pt idx="52" formatCode="General">
                  <c:v>-34.135084848484851</c:v>
                </c:pt>
                <c:pt idx="53" formatCode="General">
                  <c:v>-34.312054545454544</c:v>
                </c:pt>
                <c:pt idx="54" formatCode="General">
                  <c:v>-34.489024242424243</c:v>
                </c:pt>
                <c:pt idx="55" formatCode="General">
                  <c:v>-34.665993939393942</c:v>
                </c:pt>
                <c:pt idx="56" formatCode="General">
                  <c:v>-34.844018181818178</c:v>
                </c:pt>
                <c:pt idx="57" formatCode="General">
                  <c:v>-35.021807866868379</c:v>
                </c:pt>
                <c:pt idx="58" formatCode="General">
                  <c:v>-35.198207261724662</c:v>
                </c:pt>
                <c:pt idx="59" formatCode="General">
                  <c:v>-35.374606656580937</c:v>
                </c:pt>
                <c:pt idx="60" formatCode="General">
                  <c:v>-35.551006051437213</c:v>
                </c:pt>
                <c:pt idx="61" formatCode="General">
                  <c:v>-35.727405446293496</c:v>
                </c:pt>
                <c:pt idx="62" formatCode="General">
                  <c:v>-35.903804841149771</c:v>
                </c:pt>
                <c:pt idx="63" formatCode="General">
                  <c:v>-36.080204236006054</c:v>
                </c:pt>
                <c:pt idx="64" formatCode="General">
                  <c:v>-36.258430303030302</c:v>
                </c:pt>
                <c:pt idx="65" formatCode="General">
                  <c:v>-36.437824242424242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11EF-44BA-AAAA-9AD66152902A}"/>
            </c:ext>
          </c:extLst>
        </c:ser>
        <c:ser>
          <c:idx val="4"/>
          <c:order val="6"/>
          <c:tx>
            <c:strRef>
              <c:f>'Gibbs-EVAL'!$A$107</c:f>
              <c:strCache>
                <c:ptCount val="1"/>
                <c:pt idx="0">
                  <c:v>*Ge[l]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'Gibbs-EVAL'!$B$107:$BT$107</c:f>
              <c:numCache>
                <c:formatCode>0</c:formatCode>
                <c:ptCount val="71"/>
                <c:pt idx="0">
                  <c:v>-15.300424242424242</c:v>
                </c:pt>
                <c:pt idx="1">
                  <c:v>-14.974848484848485</c:v>
                </c:pt>
                <c:pt idx="2" formatCode="General">
                  <c:v>-14.671818181818182</c:v>
                </c:pt>
                <c:pt idx="3" formatCode="General">
                  <c:v>-14.399757575757576</c:v>
                </c:pt>
                <c:pt idx="4" formatCode="General">
                  <c:v>-14.105212121212121</c:v>
                </c:pt>
                <c:pt idx="5" formatCode="General">
                  <c:v>-13.420363636363636</c:v>
                </c:pt>
                <c:pt idx="6" formatCode="General">
                  <c:v>-12.711385542168674</c:v>
                </c:pt>
                <c:pt idx="7" formatCode="General">
                  <c:v>-11.970421686746988</c:v>
                </c:pt>
                <c:pt idx="8" formatCode="General">
                  <c:v>-11.272666666666668</c:v>
                </c:pt>
                <c:pt idx="9" formatCode="General">
                  <c:v>-10.593127272727273</c:v>
                </c:pt>
                <c:pt idx="10" formatCode="General">
                  <c:v>-9.9525212121212121</c:v>
                </c:pt>
                <c:pt idx="11" formatCode="General">
                  <c:v>-9.3588018154311658</c:v>
                </c:pt>
                <c:pt idx="12" formatCode="General">
                  <c:v>-8.8179546142208771</c:v>
                </c:pt>
                <c:pt idx="13" formatCode="General">
                  <c:v>-8.2771074130105902</c:v>
                </c:pt>
                <c:pt idx="14" formatCode="General">
                  <c:v>-7.7362602118003023</c:v>
                </c:pt>
                <c:pt idx="15" formatCode="General">
                  <c:v>-7.1954130105900145</c:v>
                </c:pt>
                <c:pt idx="16" formatCode="General">
                  <c:v>-6.6545658093797275</c:v>
                </c:pt>
                <c:pt idx="17" formatCode="General">
                  <c:v>-6.1137186081694388</c:v>
                </c:pt>
                <c:pt idx="18" formatCode="General">
                  <c:v>-5.6392727272727265</c:v>
                </c:pt>
                <c:pt idx="19" formatCode="General">
                  <c:v>-5.1809818181818166</c:v>
                </c:pt>
                <c:pt idx="20" formatCode="General">
                  <c:v>-4.742799999999999</c:v>
                </c:pt>
                <c:pt idx="21" formatCode="General">
                  <c:v>-4.4023636363636358</c:v>
                </c:pt>
                <c:pt idx="22" formatCode="General">
                  <c:v>-4.1387272727272721</c:v>
                </c:pt>
                <c:pt idx="23" formatCode="General">
                  <c:v>-4.1369277108433735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11EF-44BA-AAAA-9AD66152902A}"/>
            </c:ext>
          </c:extLst>
        </c:ser>
        <c:ser>
          <c:idx val="5"/>
          <c:order val="7"/>
          <c:tx>
            <c:strRef>
              <c:f>'Gibbs-EVAL'!$A$108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'Gibbs-EVAL'!$B$108:$BT$108</c:f>
              <c:numCache>
                <c:formatCode>0</c:formatCode>
                <c:ptCount val="71"/>
                <c:pt idx="0">
                  <c:v>-37.092424242424244</c:v>
                </c:pt>
                <c:pt idx="1">
                  <c:v>-36.192181818181822</c:v>
                </c:pt>
                <c:pt idx="2" formatCode="General">
                  <c:v>-35.355818181818179</c:v>
                </c:pt>
                <c:pt idx="3" formatCode="General">
                  <c:v>-34.594666666666662</c:v>
                </c:pt>
                <c:pt idx="4" formatCode="General">
                  <c:v>-33.867151515151519</c:v>
                </c:pt>
                <c:pt idx="5" formatCode="General">
                  <c:v>-33.206545454545456</c:v>
                </c:pt>
                <c:pt idx="6" formatCode="General">
                  <c:v>-32.573554216867471</c:v>
                </c:pt>
                <c:pt idx="7" formatCode="General">
                  <c:v>-31.977168674698795</c:v>
                </c:pt>
                <c:pt idx="8" formatCode="General">
                  <c:v>-31.424666666666667</c:v>
                </c:pt>
                <c:pt idx="9" formatCode="General">
                  <c:v>-30.891309090909093</c:v>
                </c:pt>
                <c:pt idx="10" formatCode="General">
                  <c:v>-30.402218181818185</c:v>
                </c:pt>
                <c:pt idx="11" formatCode="General">
                  <c:v>-29.959906202723147</c:v>
                </c:pt>
                <c:pt idx="12" formatCode="General">
                  <c:v>-29.570344931921333</c:v>
                </c:pt>
                <c:pt idx="13" formatCode="General">
                  <c:v>-29.180783661119516</c:v>
                </c:pt>
                <c:pt idx="14" formatCode="General">
                  <c:v>-28.791222390317703</c:v>
                </c:pt>
                <c:pt idx="15" formatCode="General">
                  <c:v>-28.401661119515886</c:v>
                </c:pt>
                <c:pt idx="16" formatCode="General">
                  <c:v>-28.012099848714069</c:v>
                </c:pt>
                <c:pt idx="17" formatCode="General">
                  <c:v>-27.622538577912255</c:v>
                </c:pt>
                <c:pt idx="18" formatCode="General">
                  <c:v>-27.299575757575759</c:v>
                </c:pt>
                <c:pt idx="19" formatCode="General">
                  <c:v>-26.991527272727271</c:v>
                </c:pt>
                <c:pt idx="20" formatCode="General">
                  <c:v>-26.698799999999999</c:v>
                </c:pt>
                <c:pt idx="21" formatCode="General">
                  <c:v>-26.50721212121212</c:v>
                </c:pt>
                <c:pt idx="22" formatCode="General">
                  <c:v>-26.395090909090907</c:v>
                </c:pt>
                <c:pt idx="23" formatCode="General">
                  <c:v>-26.543975903614456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-27.907030120481927</c:v>
                </c:pt>
                <c:pt idx="32" formatCode="General">
                  <c:v>-28.076307228915663</c:v>
                </c:pt>
                <c:pt idx="33" formatCode="General">
                  <c:v>-28.240600000000001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11EF-44BA-AAAA-9AD66152902A}"/>
            </c:ext>
          </c:extLst>
        </c:ser>
        <c:ser>
          <c:idx val="6"/>
          <c:order val="8"/>
          <c:tx>
            <c:strRef>
              <c:f>'Gibbs-EVAL'!$A$109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'Gibbs-EVAL'!$B$109:$BT$109</c:f>
              <c:numCache>
                <c:formatCode>0</c:formatCode>
                <c:ptCount val="71"/>
                <c:pt idx="0">
                  <c:v>-142.08169696969696</c:v>
                </c:pt>
                <c:pt idx="1">
                  <c:v>-137.89684848484848</c:v>
                </c:pt>
                <c:pt idx="2" formatCode="General">
                  <c:v>-133.99381818181817</c:v>
                </c:pt>
                <c:pt idx="3" formatCode="General">
                  <c:v>-130.39163636363637</c:v>
                </c:pt>
                <c:pt idx="4" formatCode="General">
                  <c:v>-126.85418181818181</c:v>
                </c:pt>
                <c:pt idx="5" formatCode="General">
                  <c:v>-122.78145454545454</c:v>
                </c:pt>
                <c:pt idx="6" formatCode="General">
                  <c:v>-118.77626506024096</c:v>
                </c:pt>
                <c:pt idx="7" formatCode="General">
                  <c:v>-114.86060240963856</c:v>
                </c:pt>
                <c:pt idx="8" formatCode="General">
                  <c:v>-111.17866666666667</c:v>
                </c:pt>
                <c:pt idx="9" formatCode="General">
                  <c:v>-107.59927272727273</c:v>
                </c:pt>
                <c:pt idx="10" formatCode="General">
                  <c:v>-104.25987878787879</c:v>
                </c:pt>
                <c:pt idx="11" formatCode="General">
                  <c:v>-101.18736762481089</c:v>
                </c:pt>
                <c:pt idx="12" formatCode="General">
                  <c:v>-98.415809379727676</c:v>
                </c:pt>
                <c:pt idx="13" formatCode="General">
                  <c:v>-95.644251134644477</c:v>
                </c:pt>
                <c:pt idx="14" formatCode="General">
                  <c:v>-92.872692889561264</c:v>
                </c:pt>
                <c:pt idx="15" formatCode="General">
                  <c:v>-90.101134644478066</c:v>
                </c:pt>
                <c:pt idx="16" formatCode="General">
                  <c:v>-87.329576399394853</c:v>
                </c:pt>
                <c:pt idx="17" formatCode="General">
                  <c:v>-84.55801815431164</c:v>
                </c:pt>
                <c:pt idx="18" formatCode="General">
                  <c:v>-82.173757575757577</c:v>
                </c:pt>
                <c:pt idx="19" formatCode="General">
                  <c:v>-79.879272727272721</c:v>
                </c:pt>
                <c:pt idx="20" formatCode="General">
                  <c:v>-77.685333333333332</c:v>
                </c:pt>
                <c:pt idx="21" formatCode="General">
                  <c:v>-75.569454545454533</c:v>
                </c:pt>
                <c:pt idx="22" formatCode="General">
                  <c:v>-73.514909090909086</c:v>
                </c:pt>
                <c:pt idx="23" formatCode="General">
                  <c:v>-71.581265060240966</c:v>
                </c:pt>
                <c:pt idx="24" formatCode="General">
                  <c:v>-69.682424242424247</c:v>
                </c:pt>
                <c:pt idx="25" formatCode="General">
                  <c:v>-67.852121212121219</c:v>
                </c:pt>
                <c:pt idx="26" formatCode="General">
                  <c:v>-66.08</c:v>
                </c:pt>
                <c:pt idx="27" formatCode="General">
                  <c:v>-64.346666666666664</c:v>
                </c:pt>
                <c:pt idx="28" formatCode="General">
                  <c:v>-62.705454545454543</c:v>
                </c:pt>
                <c:pt idx="29" formatCode="General">
                  <c:v>-61.127272727272732</c:v>
                </c:pt>
                <c:pt idx="30" formatCode="General">
                  <c:v>-59.684848484848487</c:v>
                </c:pt>
                <c:pt idx="31" formatCode="General">
                  <c:v>-58.490843373493981</c:v>
                </c:pt>
                <c:pt idx="32" formatCode="General">
                  <c:v>-57.43060240963856</c:v>
                </c:pt>
                <c:pt idx="33" formatCode="General">
                  <c:v>-56.418000000000006</c:v>
                </c:pt>
                <c:pt idx="34" formatCode="General">
                  <c:v>-55.426484848484847</c:v>
                </c:pt>
                <c:pt idx="35" formatCode="General">
                  <c:v>-54.474969696969701</c:v>
                </c:pt>
                <c:pt idx="36" formatCode="General">
                  <c:v>-53.548545454545454</c:v>
                </c:pt>
                <c:pt idx="37" formatCode="General">
                  <c:v>-52.637564296520431</c:v>
                </c:pt>
                <c:pt idx="38" formatCode="General">
                  <c:v>-51.82667170953102</c:v>
                </c:pt>
                <c:pt idx="39" formatCode="General">
                  <c:v>-51.015779122541609</c:v>
                </c:pt>
                <c:pt idx="40" formatCode="General">
                  <c:v>-50.204886535552198</c:v>
                </c:pt>
                <c:pt idx="41" formatCode="General">
                  <c:v>-49.393993948562787</c:v>
                </c:pt>
                <c:pt idx="42" formatCode="General">
                  <c:v>-48.583101361573377</c:v>
                </c:pt>
                <c:pt idx="43" formatCode="General">
                  <c:v>-47.772208774583973</c:v>
                </c:pt>
                <c:pt idx="44" formatCode="General">
                  <c:v>-46.99727272727273</c:v>
                </c:pt>
                <c:pt idx="45" formatCode="General">
                  <c:v>-46.27</c:v>
                </c:pt>
                <c:pt idx="46" formatCode="General">
                  <c:v>-45.567309090909099</c:v>
                </c:pt>
                <c:pt idx="47" formatCode="General">
                  <c:v>-44.87564848484849</c:v>
                </c:pt>
                <c:pt idx="48" formatCode="General">
                  <c:v>-44.211406060606066</c:v>
                </c:pt>
                <c:pt idx="49" formatCode="General">
                  <c:v>-43.559493975903614</c:v>
                </c:pt>
                <c:pt idx="50" formatCode="General">
                  <c:v>-42.920939759036138</c:v>
                </c:pt>
                <c:pt idx="51" formatCode="General">
                  <c:v>-42.315987878787872</c:v>
                </c:pt>
                <c:pt idx="52" formatCode="General">
                  <c:v>-41.858533333333334</c:v>
                </c:pt>
                <c:pt idx="53" formatCode="General">
                  <c:v>-42.0852</c:v>
                </c:pt>
                <c:pt idx="54" formatCode="General">
                  <c:v>-42.311866666666667</c:v>
                </c:pt>
                <c:pt idx="55" formatCode="General">
                  <c:v>-42.538533333333334</c:v>
                </c:pt>
                <c:pt idx="56" formatCode="General">
                  <c:v>-42.767309090909087</c:v>
                </c:pt>
                <c:pt idx="57" formatCode="General">
                  <c:v>-42.996656580937973</c:v>
                </c:pt>
                <c:pt idx="58" formatCode="General">
                  <c:v>-43.226913767019667</c:v>
                </c:pt>
                <c:pt idx="59" formatCode="General">
                  <c:v>-43.457170953101361</c:v>
                </c:pt>
                <c:pt idx="60" formatCode="General">
                  <c:v>-43.687428139183055</c:v>
                </c:pt>
                <c:pt idx="61" formatCode="General">
                  <c:v>-43.917685325264756</c:v>
                </c:pt>
                <c:pt idx="62" formatCode="General">
                  <c:v>-44.14794251134645</c:v>
                </c:pt>
                <c:pt idx="63" formatCode="General">
                  <c:v>-44.378199697428144</c:v>
                </c:pt>
                <c:pt idx="64" formatCode="General">
                  <c:v>-44.612921212121215</c:v>
                </c:pt>
                <c:pt idx="65" formatCode="General">
                  <c:v>-44.85049696969697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11EF-44BA-AAAA-9AD66152902A}"/>
            </c:ext>
          </c:extLst>
        </c:ser>
        <c:ser>
          <c:idx val="7"/>
          <c:order val="9"/>
          <c:tx>
            <c:strRef>
              <c:f>'Gibbs-EVAL'!$A$110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-18.630969696969697</c:v>
                </c:pt>
                <c:pt idx="5" formatCode="General">
                  <c:v>-18.643090909090908</c:v>
                </c:pt>
                <c:pt idx="6" formatCode="General">
                  <c:v>-18.655180722891565</c:v>
                </c:pt>
                <c:pt idx="7" formatCode="General">
                  <c:v>-18.667228915662651</c:v>
                </c:pt>
                <c:pt idx="8" formatCode="General">
                  <c:v>-18.679333333333336</c:v>
                </c:pt>
                <c:pt idx="9" formatCode="General">
                  <c:v>-18.692181818181819</c:v>
                </c:pt>
                <c:pt idx="10" formatCode="General">
                  <c:v>-18.710363636363635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-18.855636363636364</c:v>
                </c:pt>
                <c:pt idx="19" formatCode="General">
                  <c:v>-18.873818181818184</c:v>
                </c:pt>
                <c:pt idx="20" formatCode="General">
                  <c:v>-18.891999999999999</c:v>
                </c:pt>
                <c:pt idx="21" formatCode="General">
                  <c:v>-18.913575757575757</c:v>
                </c:pt>
                <c:pt idx="22" formatCode="General">
                  <c:v>-18.937818181818184</c:v>
                </c:pt>
                <c:pt idx="23" formatCode="General">
                  <c:v>-18.95644578313253</c:v>
                </c:pt>
                <c:pt idx="24" formatCode="General">
                  <c:v>-18.976060606060607</c:v>
                </c:pt>
                <c:pt idx="25" formatCode="General">
                  <c:v>-19.00030303030303</c:v>
                </c:pt>
                <c:pt idx="26" formatCode="General">
                  <c:v>-19.020909090909093</c:v>
                </c:pt>
                <c:pt idx="27" formatCode="General">
                  <c:v>-19.039090909090909</c:v>
                </c:pt>
                <c:pt idx="28" formatCode="General">
                  <c:v>-19.057272727272728</c:v>
                </c:pt>
                <c:pt idx="29" formatCode="General">
                  <c:v>-19.077272727272728</c:v>
                </c:pt>
                <c:pt idx="30" formatCode="General">
                  <c:v>-19.101515151515152</c:v>
                </c:pt>
                <c:pt idx="31" formatCode="General">
                  <c:v>-19.121746987951806</c:v>
                </c:pt>
                <c:pt idx="32" formatCode="General">
                  <c:v>-19.139819277108433</c:v>
                </c:pt>
                <c:pt idx="33" formatCode="General">
                  <c:v>-19.164000000000001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11EF-44BA-AAAA-9AD66152902A}"/>
            </c:ext>
          </c:extLst>
        </c:ser>
        <c:ser>
          <c:idx val="8"/>
          <c:order val="10"/>
          <c:tx>
            <c:strRef>
              <c:f>'Gibbs-EVAL'!$A$111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-60.144848484848481</c:v>
                </c:pt>
                <c:pt idx="1">
                  <c:v>-58.339757575757574</c:v>
                </c:pt>
                <c:pt idx="2" formatCode="General">
                  <c:v>-56.654909090909094</c:v>
                </c:pt>
                <c:pt idx="3" formatCode="General">
                  <c:v>-55.098363636363636</c:v>
                </c:pt>
                <c:pt idx="4" formatCode="General">
                  <c:v>-53.546121212121207</c:v>
                </c:pt>
                <c:pt idx="5" formatCode="General">
                  <c:v>-51.49763636363636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11EF-44BA-AAAA-9AD66152902A}"/>
            </c:ext>
          </c:extLst>
        </c:ser>
        <c:ser>
          <c:idx val="9"/>
          <c:order val="11"/>
          <c:tx>
            <c:strRef>
              <c:f>'Gibbs-EVAL'!$A$112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-37.092424242424244</c:v>
                </c:pt>
                <c:pt idx="1">
                  <c:v>-36.192181818181822</c:v>
                </c:pt>
                <c:pt idx="2" formatCode="General">
                  <c:v>-35.355818181818179</c:v>
                </c:pt>
                <c:pt idx="3" formatCode="General">
                  <c:v>-34.594666666666662</c:v>
                </c:pt>
                <c:pt idx="4" formatCode="General">
                  <c:v>-33.867151515151519</c:v>
                </c:pt>
                <c:pt idx="5" formatCode="General">
                  <c:v>-33.206545454545456</c:v>
                </c:pt>
                <c:pt idx="6" formatCode="General">
                  <c:v>-32.573554216867471</c:v>
                </c:pt>
                <c:pt idx="7" formatCode="General">
                  <c:v>-31.977168674698795</c:v>
                </c:pt>
                <c:pt idx="8" formatCode="General">
                  <c:v>-31.424666666666667</c:v>
                </c:pt>
                <c:pt idx="9" formatCode="General">
                  <c:v>-30.891309090909093</c:v>
                </c:pt>
                <c:pt idx="10" formatCode="General">
                  <c:v>-30.402218181818185</c:v>
                </c:pt>
                <c:pt idx="11" formatCode="General">
                  <c:v>-29.959906202723147</c:v>
                </c:pt>
                <c:pt idx="12" formatCode="General">
                  <c:v>-29.570344931921333</c:v>
                </c:pt>
                <c:pt idx="13" formatCode="General">
                  <c:v>-29.180783661119516</c:v>
                </c:pt>
                <c:pt idx="14" formatCode="General">
                  <c:v>-28.791222390317703</c:v>
                </c:pt>
                <c:pt idx="15" formatCode="General">
                  <c:v>-28.401661119515886</c:v>
                </c:pt>
                <c:pt idx="16" formatCode="General">
                  <c:v>-28.012099848714069</c:v>
                </c:pt>
                <c:pt idx="17" formatCode="General">
                  <c:v>-27.622538577912255</c:v>
                </c:pt>
                <c:pt idx="18" formatCode="General">
                  <c:v>-27.299575757575759</c:v>
                </c:pt>
                <c:pt idx="19" formatCode="General">
                  <c:v>-26.991527272727271</c:v>
                </c:pt>
                <c:pt idx="20" formatCode="General">
                  <c:v>-26.698799999999999</c:v>
                </c:pt>
                <c:pt idx="21" formatCode="General">
                  <c:v>-26.50721212121212</c:v>
                </c:pt>
                <c:pt idx="22" formatCode="General">
                  <c:v>-26.395090909090907</c:v>
                </c:pt>
                <c:pt idx="23" formatCode="General">
                  <c:v>-26.543975903614456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-27.907030120481927</c:v>
                </c:pt>
                <c:pt idx="32" formatCode="General">
                  <c:v>-28.076307228915663</c:v>
                </c:pt>
                <c:pt idx="33" formatCode="General">
                  <c:v>-28.240600000000001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11EF-44BA-AAAA-9AD66152902A}"/>
            </c:ext>
          </c:extLst>
        </c:ser>
        <c:ser>
          <c:idx val="10"/>
          <c:order val="12"/>
          <c:tx>
            <c:strRef>
              <c:f>'Gibbs-EVAL'!$A$113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'Gibbs-EVAL'!$B$113:$BT$113</c:f>
              <c:numCache>
                <c:formatCode>0</c:formatCode>
                <c:ptCount val="71"/>
                <c:pt idx="0">
                  <c:v>-15.300424242424242</c:v>
                </c:pt>
                <c:pt idx="1">
                  <c:v>-14.974848484848485</c:v>
                </c:pt>
                <c:pt idx="2" formatCode="General">
                  <c:v>-14.671818181818182</c:v>
                </c:pt>
                <c:pt idx="3" formatCode="General">
                  <c:v>-14.399757575757576</c:v>
                </c:pt>
                <c:pt idx="4" formatCode="General">
                  <c:v>-14.105212121212121</c:v>
                </c:pt>
                <c:pt idx="5" formatCode="General">
                  <c:v>-13.420363636363636</c:v>
                </c:pt>
                <c:pt idx="6" formatCode="General">
                  <c:v>-12.711385542168674</c:v>
                </c:pt>
                <c:pt idx="7" formatCode="General">
                  <c:v>-11.970421686746988</c:v>
                </c:pt>
                <c:pt idx="8" formatCode="General">
                  <c:v>-11.272666666666668</c:v>
                </c:pt>
                <c:pt idx="9" formatCode="General">
                  <c:v>-10.593127272727273</c:v>
                </c:pt>
                <c:pt idx="10" formatCode="General">
                  <c:v>-9.9525212121212121</c:v>
                </c:pt>
                <c:pt idx="11" formatCode="General">
                  <c:v>-9.3588018154311658</c:v>
                </c:pt>
                <c:pt idx="12" formatCode="General">
                  <c:v>-8.8179546142208771</c:v>
                </c:pt>
                <c:pt idx="13" formatCode="General">
                  <c:v>-8.2771074130105902</c:v>
                </c:pt>
                <c:pt idx="14" formatCode="General">
                  <c:v>-7.7362602118003023</c:v>
                </c:pt>
                <c:pt idx="15" formatCode="General">
                  <c:v>-7.1954130105900145</c:v>
                </c:pt>
                <c:pt idx="16" formatCode="General">
                  <c:v>-6.6545658093797275</c:v>
                </c:pt>
                <c:pt idx="17" formatCode="General">
                  <c:v>-6.1137186081694388</c:v>
                </c:pt>
                <c:pt idx="18" formatCode="General">
                  <c:v>-5.6392727272727265</c:v>
                </c:pt>
                <c:pt idx="19" formatCode="General">
                  <c:v>-5.1809818181818166</c:v>
                </c:pt>
                <c:pt idx="20" formatCode="General">
                  <c:v>-4.742799999999999</c:v>
                </c:pt>
                <c:pt idx="21" formatCode="General">
                  <c:v>-4.4023636363636358</c:v>
                </c:pt>
                <c:pt idx="22" formatCode="General">
                  <c:v>-4.1387272727272721</c:v>
                </c:pt>
                <c:pt idx="23" formatCode="General">
                  <c:v>-4.1369277108433735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11EF-44BA-AAAA-9AD66152902A}"/>
            </c:ext>
          </c:extLst>
        </c:ser>
        <c:ser>
          <c:idx val="11"/>
          <c:order val="13"/>
          <c:tx>
            <c:strRef>
              <c:f>'Gibbs-EVAL'!$A$114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'Gibbs-EVAL'!$B$114:$BT$114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-18.630969696969697</c:v>
                </c:pt>
                <c:pt idx="5" formatCode="General">
                  <c:v>-18.643090909090908</c:v>
                </c:pt>
                <c:pt idx="6" formatCode="General">
                  <c:v>-18.655180722891565</c:v>
                </c:pt>
                <c:pt idx="7" formatCode="General">
                  <c:v>-18.667228915662651</c:v>
                </c:pt>
                <c:pt idx="8" formatCode="General">
                  <c:v>-18.679333333333336</c:v>
                </c:pt>
                <c:pt idx="9" formatCode="General">
                  <c:v>-18.692181818181819</c:v>
                </c:pt>
                <c:pt idx="10" formatCode="General">
                  <c:v>-18.710363636363635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-18.855636363636364</c:v>
                </c:pt>
                <c:pt idx="19" formatCode="General">
                  <c:v>-18.873818181818184</c:v>
                </c:pt>
                <c:pt idx="20" formatCode="General">
                  <c:v>-18.891999999999999</c:v>
                </c:pt>
                <c:pt idx="21" formatCode="General">
                  <c:v>-18.913575757575757</c:v>
                </c:pt>
                <c:pt idx="22" formatCode="General">
                  <c:v>-18.937818181818184</c:v>
                </c:pt>
                <c:pt idx="23" formatCode="General">
                  <c:v>-18.95644578313253</c:v>
                </c:pt>
                <c:pt idx="24" formatCode="General">
                  <c:v>-18.976060606060607</c:v>
                </c:pt>
                <c:pt idx="25" formatCode="General">
                  <c:v>-19.00030303030303</c:v>
                </c:pt>
                <c:pt idx="26" formatCode="General">
                  <c:v>-19.020909090909093</c:v>
                </c:pt>
                <c:pt idx="27" formatCode="General">
                  <c:v>-19.039090909090909</c:v>
                </c:pt>
                <c:pt idx="28" formatCode="General">
                  <c:v>-19.057272727272728</c:v>
                </c:pt>
                <c:pt idx="29" formatCode="General">
                  <c:v>-19.077272727272728</c:v>
                </c:pt>
                <c:pt idx="30" formatCode="General">
                  <c:v>-19.101515151515152</c:v>
                </c:pt>
                <c:pt idx="31" formatCode="General">
                  <c:v>-19.121746987951806</c:v>
                </c:pt>
                <c:pt idx="32" formatCode="General">
                  <c:v>-19.139819277108433</c:v>
                </c:pt>
                <c:pt idx="33" formatCode="General">
                  <c:v>-19.164000000000001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11EF-44BA-AAAA-9AD66152902A}"/>
            </c:ext>
          </c:extLst>
        </c:ser>
        <c:ser>
          <c:idx val="12"/>
          <c:order val="14"/>
          <c:tx>
            <c:strRef>
              <c:f>'Gibbs-EVAL'!$A$115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'Gibbs-EVAL'!$B$115:$BT$115</c:f>
              <c:numCache>
                <c:formatCode>0</c:formatCode>
                <c:ptCount val="71"/>
                <c:pt idx="0">
                  <c:v>-60.144848484848481</c:v>
                </c:pt>
                <c:pt idx="1">
                  <c:v>-58.339757575757574</c:v>
                </c:pt>
                <c:pt idx="2" formatCode="General">
                  <c:v>-56.654909090909094</c:v>
                </c:pt>
                <c:pt idx="3" formatCode="General">
                  <c:v>-55.098363636363636</c:v>
                </c:pt>
                <c:pt idx="4" formatCode="General">
                  <c:v>-53.546121212121207</c:v>
                </c:pt>
                <c:pt idx="5" formatCode="General">
                  <c:v>-51.49763636363636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11EF-44BA-AAAA-9AD66152902A}"/>
            </c:ext>
          </c:extLst>
        </c:ser>
        <c:ser>
          <c:idx val="13"/>
          <c:order val="15"/>
          <c:tx>
            <c:strRef>
              <c:f>'Gibbs-EVAL'!$A$116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'Gibbs-EVAL'!$B$116:$BT$116</c:f>
              <c:numCache>
                <c:formatCode>0</c:formatCode>
                <c:ptCount val="71"/>
                <c:pt idx="0">
                  <c:v>-15.300424242424242</c:v>
                </c:pt>
                <c:pt idx="1">
                  <c:v>-14.974848484848485</c:v>
                </c:pt>
                <c:pt idx="2" formatCode="General">
                  <c:v>-14.671818181818182</c:v>
                </c:pt>
                <c:pt idx="3" formatCode="General">
                  <c:v>-14.399757575757576</c:v>
                </c:pt>
                <c:pt idx="4" formatCode="General">
                  <c:v>-14.105212121212121</c:v>
                </c:pt>
                <c:pt idx="5" formatCode="General">
                  <c:v>-13.420363636363636</c:v>
                </c:pt>
                <c:pt idx="6" formatCode="General">
                  <c:v>-12.711385542168674</c:v>
                </c:pt>
                <c:pt idx="7" formatCode="General">
                  <c:v>-11.970421686746988</c:v>
                </c:pt>
                <c:pt idx="8" formatCode="General">
                  <c:v>-11.272666666666668</c:v>
                </c:pt>
                <c:pt idx="9" formatCode="General">
                  <c:v>-10.593127272727273</c:v>
                </c:pt>
                <c:pt idx="10" formatCode="General">
                  <c:v>-9.9525212121212121</c:v>
                </c:pt>
                <c:pt idx="11" formatCode="General">
                  <c:v>-9.3588018154311658</c:v>
                </c:pt>
                <c:pt idx="12" formatCode="General">
                  <c:v>-8.8179546142208771</c:v>
                </c:pt>
                <c:pt idx="13" formatCode="General">
                  <c:v>-8.2771074130105902</c:v>
                </c:pt>
                <c:pt idx="14" formatCode="General">
                  <c:v>-7.7362602118003023</c:v>
                </c:pt>
                <c:pt idx="15" formatCode="General">
                  <c:v>-7.1954130105900145</c:v>
                </c:pt>
                <c:pt idx="16" formatCode="General">
                  <c:v>-6.6545658093797275</c:v>
                </c:pt>
                <c:pt idx="17" formatCode="General">
                  <c:v>-6.1137186081694388</c:v>
                </c:pt>
                <c:pt idx="18" formatCode="General">
                  <c:v>-5.6392727272727265</c:v>
                </c:pt>
                <c:pt idx="19" formatCode="General">
                  <c:v>-5.1809818181818166</c:v>
                </c:pt>
                <c:pt idx="20" formatCode="General">
                  <c:v>-4.742799999999999</c:v>
                </c:pt>
                <c:pt idx="21" formatCode="General">
                  <c:v>-4.4023636363636358</c:v>
                </c:pt>
                <c:pt idx="22" formatCode="General">
                  <c:v>-4.1387272727272721</c:v>
                </c:pt>
                <c:pt idx="23" formatCode="General">
                  <c:v>-4.1369277108433735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11EF-44BA-AAAA-9AD66152902A}"/>
            </c:ext>
          </c:extLst>
        </c:ser>
        <c:ser>
          <c:idx val="14"/>
          <c:order val="16"/>
          <c:tx>
            <c:strRef>
              <c:f>'Gibbs-EVAL'!$A$117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'Gibbs-EVAL'!$B$117:$BT$117</c:f>
              <c:numCache>
                <c:formatCode>0</c:formatCode>
                <c:ptCount val="71"/>
                <c:pt idx="0">
                  <c:v>-21.792000000000002</c:v>
                </c:pt>
                <c:pt idx="1">
                  <c:v>-21.217333333333332</c:v>
                </c:pt>
                <c:pt idx="2" formatCode="General">
                  <c:v>-20.683999999999997</c:v>
                </c:pt>
                <c:pt idx="3" formatCode="General">
                  <c:v>-20.194909090909089</c:v>
                </c:pt>
                <c:pt idx="4" formatCode="General">
                  <c:v>-19.761939393939397</c:v>
                </c:pt>
                <c:pt idx="5" formatCode="General">
                  <c:v>-19.78618181818182</c:v>
                </c:pt>
                <c:pt idx="6" formatCode="General">
                  <c:v>-19.862168674698797</c:v>
                </c:pt>
                <c:pt idx="7" formatCode="General">
                  <c:v>-20.006746987951807</c:v>
                </c:pt>
                <c:pt idx="8" formatCode="General">
                  <c:v>-20.152000000000001</c:v>
                </c:pt>
                <c:pt idx="9" formatCode="General">
                  <c:v>-20.298181818181821</c:v>
                </c:pt>
                <c:pt idx="10" formatCode="General">
                  <c:v>-20.449696969696969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-23.573975903614457</c:v>
                </c:pt>
                <c:pt idx="32" formatCode="General">
                  <c:v>-23.718554216867467</c:v>
                </c:pt>
                <c:pt idx="33" formatCode="General">
                  <c:v>-23.858000000000001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11EF-44BA-AAAA-9AD66152902A}"/>
            </c:ext>
          </c:extLst>
        </c:ser>
        <c:ser>
          <c:idx val="15"/>
          <c:order val="17"/>
          <c:tx>
            <c:strRef>
              <c:f>'Gibbs-EVAL'!$A$118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11EF-44BA-AAAA-9AD66152902A}"/>
            </c:ext>
          </c:extLst>
        </c:ser>
        <c:ser>
          <c:idx val="16"/>
          <c:order val="18"/>
          <c:tx>
            <c:strRef>
              <c:f>'Gibbs-EVAL'!$A$119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11EF-44BA-AAAA-9AD66152902A}"/>
            </c:ext>
          </c:extLst>
        </c:ser>
        <c:ser>
          <c:idx val="17"/>
          <c:order val="19"/>
          <c:tx>
            <c:strRef>
              <c:f>'Gibbs-EVAL'!$A$120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11EF-44BA-AAAA-9AD66152902A}"/>
            </c:ext>
          </c:extLst>
        </c:ser>
        <c:ser>
          <c:idx val="18"/>
          <c:order val="20"/>
          <c:tx>
            <c:strRef>
              <c:f>'Gibbs-EVAL'!$A$121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11EF-44BA-AAAA-9AD66152902A}"/>
            </c:ext>
          </c:extLst>
        </c:ser>
        <c:ser>
          <c:idx val="19"/>
          <c:order val="21"/>
          <c:tx>
            <c:strRef>
              <c:f>'Gibbs-EVAL'!$A$122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11EF-44BA-AAAA-9AD66152902A}"/>
            </c:ext>
          </c:extLst>
        </c:ser>
        <c:ser>
          <c:idx val="20"/>
          <c:order val="22"/>
          <c:tx>
            <c:strRef>
              <c:f>'Gibbs-EVAL'!$A$123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11EF-44BA-AAAA-9AD66152902A}"/>
            </c:ext>
          </c:extLst>
        </c:ser>
        <c:ser>
          <c:idx val="21"/>
          <c:order val="23"/>
          <c:tx>
            <c:strRef>
              <c:f>'Gibbs-EVAL'!$A$124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11EF-44BA-AAAA-9AD66152902A}"/>
            </c:ext>
          </c:extLst>
        </c:ser>
        <c:ser>
          <c:idx val="22"/>
          <c:order val="24"/>
          <c:tx>
            <c:strRef>
              <c:f>'Gibbs-EVAL'!$A$125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11EF-44BA-AAAA-9AD66152902A}"/>
            </c:ext>
          </c:extLst>
        </c:ser>
        <c:ser>
          <c:idx val="23"/>
          <c:order val="25"/>
          <c:tx>
            <c:strRef>
              <c:f>'Gibbs-EVAL'!$A$126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11EF-44BA-AAAA-9AD66152902A}"/>
            </c:ext>
          </c:extLst>
        </c:ser>
        <c:ser>
          <c:idx val="24"/>
          <c:order val="26"/>
          <c:tx>
            <c:strRef>
              <c:f>'Gibbs-EVAL'!$A$127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11EF-44BA-AAAA-9AD66152902A}"/>
            </c:ext>
          </c:extLst>
        </c:ser>
        <c:ser>
          <c:idx val="25"/>
          <c:order val="27"/>
          <c:tx>
            <c:strRef>
              <c:f>'Gibbs-EVAL'!$A$128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11EF-44BA-AAAA-9AD66152902A}"/>
            </c:ext>
          </c:extLst>
        </c:ser>
        <c:ser>
          <c:idx val="26"/>
          <c:order val="28"/>
          <c:tx>
            <c:strRef>
              <c:f>'Gibbs-EVAL'!$A$129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11EF-44BA-AAAA-9AD66152902A}"/>
            </c:ext>
          </c:extLst>
        </c:ser>
        <c:ser>
          <c:idx val="27"/>
          <c:order val="29"/>
          <c:tx>
            <c:strRef>
              <c:f>'Gibbs-EVAL'!$A$130</c:f>
              <c:strCache>
                <c:ptCount val="1"/>
                <c:pt idx="0">
                  <c:v>end1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'Gibbs-EVAL'!$B$130:$BT$130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11EF-44BA-AAAA-9AD66152902A}"/>
            </c:ext>
          </c:extLst>
        </c:ser>
        <c:ser>
          <c:idx val="28"/>
          <c:order val="30"/>
          <c:tx>
            <c:strRef>
              <c:f>'Gibbs-EVAL'!$A$131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11EF-44BA-AAAA-9AD66152902A}"/>
            </c:ext>
          </c:extLst>
        </c:ser>
        <c:ser>
          <c:idx val="29"/>
          <c:order val="31"/>
          <c:tx>
            <c:strRef>
              <c:f>'Gibbs-EVAL'!$A$132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11EF-44BA-AAAA-9AD66152902A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-22.065575757575758</c:v>
                </c:pt>
                <c:pt idx="1">
                  <c:v>-21.674060606060607</c:v>
                </c:pt>
                <c:pt idx="2" formatCode="General">
                  <c:v>-21.395272727272726</c:v>
                </c:pt>
                <c:pt idx="3" formatCode="General">
                  <c:v>-21.244787878787879</c:v>
                </c:pt>
                <c:pt idx="4" formatCode="General">
                  <c:v>-21.157019667170953</c:v>
                </c:pt>
                <c:pt idx="5" formatCode="General">
                  <c:v>-21.244765506807866</c:v>
                </c:pt>
                <c:pt idx="6" formatCode="General">
                  <c:v>-21.332511346444779</c:v>
                </c:pt>
                <c:pt idx="7" formatCode="General">
                  <c:v>-21.420257186081695</c:v>
                </c:pt>
                <c:pt idx="8" formatCode="General">
                  <c:v>-21.508003025718608</c:v>
                </c:pt>
                <c:pt idx="9" formatCode="General">
                  <c:v>-21.595748865355521</c:v>
                </c:pt>
                <c:pt idx="10" formatCode="General">
                  <c:v>-21.683494704992437</c:v>
                </c:pt>
                <c:pt idx="11" formatCode="General">
                  <c:v>-21.792666666666666</c:v>
                </c:pt>
                <c:pt idx="12" formatCode="General">
                  <c:v>-21.925999999999998</c:v>
                </c:pt>
                <c:pt idx="13" formatCode="General">
                  <c:v>-22.049393939393937</c:v>
                </c:pt>
                <c:pt idx="14" formatCode="General">
                  <c:v>-22.167409638554215</c:v>
                </c:pt>
                <c:pt idx="15" formatCode="General">
                  <c:v>-22.269819277108432</c:v>
                </c:pt>
                <c:pt idx="16" formatCode="General">
                  <c:v>-22.363272727272729</c:v>
                </c:pt>
                <c:pt idx="17" formatCode="General">
                  <c:v>-22.448121212121212</c:v>
                </c:pt>
                <c:pt idx="18" formatCode="General">
                  <c:v>-22.532969696969698</c:v>
                </c:pt>
                <c:pt idx="19" formatCode="General">
                  <c:v>-22.620363636363638</c:v>
                </c:pt>
                <c:pt idx="20" formatCode="General">
                  <c:v>-22.717333333333336</c:v>
                </c:pt>
                <c:pt idx="21" formatCode="General">
                  <c:v>-22.82448484848485</c:v>
                </c:pt>
                <c:pt idx="22" formatCode="General">
                  <c:v>-22.939636363636364</c:v>
                </c:pt>
                <c:pt idx="23" formatCode="General">
                  <c:v>-23.059638554216868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11EF-44BA-AAAA-9AD66152902A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-37.871212121212125</c:v>
                </c:pt>
                <c:pt idx="1">
                  <c:v>-36.936060606060607</c:v>
                </c:pt>
                <c:pt idx="2" formatCode="General">
                  <c:v>-36.057272727272725</c:v>
                </c:pt>
                <c:pt idx="3" formatCode="General">
                  <c:v>-35.249272727272725</c:v>
                </c:pt>
                <c:pt idx="4" formatCode="General">
                  <c:v>-34.48330711043873</c:v>
                </c:pt>
                <c:pt idx="5" formatCode="General">
                  <c:v>-33.899645990922842</c:v>
                </c:pt>
                <c:pt idx="6" formatCode="General">
                  <c:v>-33.315984871406961</c:v>
                </c:pt>
                <c:pt idx="7" formatCode="General">
                  <c:v>-32.732323751891073</c:v>
                </c:pt>
                <c:pt idx="8" formatCode="General">
                  <c:v>-32.148662632375192</c:v>
                </c:pt>
                <c:pt idx="9" formatCode="General">
                  <c:v>-31.565001512859304</c:v>
                </c:pt>
                <c:pt idx="10" formatCode="General">
                  <c:v>-30.981340393343419</c:v>
                </c:pt>
                <c:pt idx="11" formatCode="General">
                  <c:v>-30.471751515151517</c:v>
                </c:pt>
                <c:pt idx="12" formatCode="General">
                  <c:v>-30.045690909090911</c:v>
                </c:pt>
                <c:pt idx="13" formatCode="General">
                  <c:v>-29.668830303030305</c:v>
                </c:pt>
                <c:pt idx="14" formatCode="General">
                  <c:v>-29.315024096385542</c:v>
                </c:pt>
                <c:pt idx="15" formatCode="General">
                  <c:v>-29.021048192771087</c:v>
                </c:pt>
                <c:pt idx="16" formatCode="General">
                  <c:v>-28.765418181818184</c:v>
                </c:pt>
                <c:pt idx="17" formatCode="General">
                  <c:v>-28.546630303030305</c:v>
                </c:pt>
                <c:pt idx="18" formatCode="General">
                  <c:v>-28.406024242424245</c:v>
                </c:pt>
                <c:pt idx="19" formatCode="General">
                  <c:v>-28.297109090909093</c:v>
                </c:pt>
                <c:pt idx="20" formatCode="General">
                  <c:v>-28.259533333333334</c:v>
                </c:pt>
                <c:pt idx="21" formatCode="General">
                  <c:v>-28.267096969696972</c:v>
                </c:pt>
                <c:pt idx="22" formatCode="General">
                  <c:v>-28.310127272727271</c:v>
                </c:pt>
                <c:pt idx="23" formatCode="General">
                  <c:v>-28.39896987951807</c:v>
                </c:pt>
                <c:pt idx="24" formatCode="General">
                  <c:v>-28.502333333333333</c:v>
                </c:pt>
                <c:pt idx="25" formatCode="General">
                  <c:v>-28.635666666666665</c:v>
                </c:pt>
                <c:pt idx="26" formatCode="General">
                  <c:v>-28.781727272727274</c:v>
                </c:pt>
                <c:pt idx="27" formatCode="General">
                  <c:v>-28.93627272727273</c:v>
                </c:pt>
                <c:pt idx="28" formatCode="General">
                  <c:v>-29.102333333333334</c:v>
                </c:pt>
                <c:pt idx="29" formatCode="General">
                  <c:v>-29.267909090909093</c:v>
                </c:pt>
                <c:pt idx="30" formatCode="General">
                  <c:v>-29.430939393939394</c:v>
                </c:pt>
                <c:pt idx="31" formatCode="General">
                  <c:v>-29.598030120481926</c:v>
                </c:pt>
                <c:pt idx="32" formatCode="General">
                  <c:v>-29.767307228915662</c:v>
                </c:pt>
                <c:pt idx="33" formatCode="General">
                  <c:v>-29.930999999999997</c:v>
                </c:pt>
                <c:pt idx="34" formatCode="General">
                  <c:v>-30.094842424242422</c:v>
                </c:pt>
                <c:pt idx="35" formatCode="General">
                  <c:v>-30.259084848484846</c:v>
                </c:pt>
                <c:pt idx="36" formatCode="General">
                  <c:v>-30.422909090909091</c:v>
                </c:pt>
                <c:pt idx="37" formatCode="General">
                  <c:v>-30.586432677760968</c:v>
                </c:pt>
                <c:pt idx="38" formatCode="General">
                  <c:v>-30.747249621785173</c:v>
                </c:pt>
                <c:pt idx="39" formatCode="General">
                  <c:v>-30.908066565809378</c:v>
                </c:pt>
                <c:pt idx="40" formatCode="General">
                  <c:v>-31.068883509833583</c:v>
                </c:pt>
                <c:pt idx="41" formatCode="General">
                  <c:v>-31.229700453857792</c:v>
                </c:pt>
                <c:pt idx="42" formatCode="General">
                  <c:v>-31.390517397881997</c:v>
                </c:pt>
                <c:pt idx="43" formatCode="General">
                  <c:v>-31.551334341906202</c:v>
                </c:pt>
                <c:pt idx="44" formatCode="General">
                  <c:v>-31.709614220877459</c:v>
                </c:pt>
                <c:pt idx="45" formatCode="General">
                  <c:v>-31.864531013615736</c:v>
                </c:pt>
                <c:pt idx="46" formatCode="General">
                  <c:v>-32.019447806354009</c:v>
                </c:pt>
                <c:pt idx="47" formatCode="General">
                  <c:v>-32.174364599092286</c:v>
                </c:pt>
                <c:pt idx="48" formatCode="General">
                  <c:v>-32.329281391830563</c:v>
                </c:pt>
                <c:pt idx="49" formatCode="General">
                  <c:v>-32.484198184568839</c:v>
                </c:pt>
                <c:pt idx="50" formatCode="General">
                  <c:v>-32.639114977307116</c:v>
                </c:pt>
                <c:pt idx="51" formatCode="General">
                  <c:v>-32.792360606060612</c:v>
                </c:pt>
                <c:pt idx="52" formatCode="General">
                  <c:v>-32.945239393939396</c:v>
                </c:pt>
                <c:pt idx="53" formatCode="General">
                  <c:v>-33.098118181818187</c:v>
                </c:pt>
                <c:pt idx="54" formatCode="General">
                  <c:v>-33.25099696969697</c:v>
                </c:pt>
                <c:pt idx="55" formatCode="General">
                  <c:v>-33.403875757575761</c:v>
                </c:pt>
                <c:pt idx="56" formatCode="General">
                  <c:v>-33.556754545454545</c:v>
                </c:pt>
                <c:pt idx="57" formatCode="General">
                  <c:v>-33.709000000000003</c:v>
                </c:pt>
                <c:pt idx="58" formatCode="General">
                  <c:v>-33.859000000000002</c:v>
                </c:pt>
                <c:pt idx="59" formatCode="General">
                  <c:v>-34.008490909090909</c:v>
                </c:pt>
                <c:pt idx="60" formatCode="General">
                  <c:v>-34.157581818181818</c:v>
                </c:pt>
                <c:pt idx="61" formatCode="General">
                  <c:v>-34.304466666666663</c:v>
                </c:pt>
                <c:pt idx="62" formatCode="General">
                  <c:v>-34.450818181818178</c:v>
                </c:pt>
                <c:pt idx="63" formatCode="General">
                  <c:v>-34.596272727272726</c:v>
                </c:pt>
                <c:pt idx="64" formatCode="General">
                  <c:v>-34.737660606060608</c:v>
                </c:pt>
                <c:pt idx="65" formatCode="General">
                  <c:v>-34.876448484848481</c:v>
                </c:pt>
                <c:pt idx="66" formatCode="General">
                  <c:v>-35.019060240963853</c:v>
                </c:pt>
                <c:pt idx="67" formatCode="General">
                  <c:v>-35.162090909090907</c:v>
                </c:pt>
                <c:pt idx="68" formatCode="General">
                  <c:v>-35.305727272727275</c:v>
                </c:pt>
                <c:pt idx="69" formatCode="General">
                  <c:v>-35.445030303030308</c:v>
                </c:pt>
                <c:pt idx="70" formatCode="General">
                  <c:v>-35.582000000000001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11EF-44BA-AAAA-9AD66152902A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-18.631089258698939</c:v>
                </c:pt>
                <c:pt idx="5" formatCode="General">
                  <c:v>-18.644704992435702</c:v>
                </c:pt>
                <c:pt idx="6" formatCode="General">
                  <c:v>-18.658320726172466</c:v>
                </c:pt>
                <c:pt idx="7" formatCode="General">
                  <c:v>-18.671936459909226</c:v>
                </c:pt>
                <c:pt idx="8" formatCode="General">
                  <c:v>-18.685552193645989</c:v>
                </c:pt>
                <c:pt idx="9" formatCode="General">
                  <c:v>-18.699167927382753</c:v>
                </c:pt>
                <c:pt idx="10" formatCode="General">
                  <c:v>-18.712783661119516</c:v>
                </c:pt>
                <c:pt idx="11" formatCode="General">
                  <c:v>-18.728545454545454</c:v>
                </c:pt>
                <c:pt idx="12" formatCode="General">
                  <c:v>-18.746727272727274</c:v>
                </c:pt>
                <c:pt idx="13" formatCode="General">
                  <c:v>-18.764909090909093</c:v>
                </c:pt>
                <c:pt idx="14" formatCode="General">
                  <c:v>-18.783072289156628</c:v>
                </c:pt>
                <c:pt idx="15" formatCode="General">
                  <c:v>-18.801144578313252</c:v>
                </c:pt>
                <c:pt idx="16" formatCode="General">
                  <c:v>-18.819272727272725</c:v>
                </c:pt>
                <c:pt idx="17" formatCode="General">
                  <c:v>-18.837454545454545</c:v>
                </c:pt>
                <c:pt idx="18" formatCode="General">
                  <c:v>-18.855636363636364</c:v>
                </c:pt>
                <c:pt idx="19" formatCode="General">
                  <c:v>-18.873818181818184</c:v>
                </c:pt>
                <c:pt idx="20" formatCode="General">
                  <c:v>-18.891999999999999</c:v>
                </c:pt>
                <c:pt idx="21" formatCode="General">
                  <c:v>-18.913575757575757</c:v>
                </c:pt>
                <c:pt idx="22" formatCode="General">
                  <c:v>-18.937818181818184</c:v>
                </c:pt>
                <c:pt idx="23" formatCode="General">
                  <c:v>-18.95644578313253</c:v>
                </c:pt>
                <c:pt idx="24" formatCode="General">
                  <c:v>-18.976060606060607</c:v>
                </c:pt>
                <c:pt idx="25" formatCode="General">
                  <c:v>-19.00030303030303</c:v>
                </c:pt>
                <c:pt idx="26" formatCode="General">
                  <c:v>-19.020909090909093</c:v>
                </c:pt>
                <c:pt idx="27" formatCode="General">
                  <c:v>-19.039090909090909</c:v>
                </c:pt>
                <c:pt idx="28" formatCode="General">
                  <c:v>-19.057272727272728</c:v>
                </c:pt>
                <c:pt idx="29" formatCode="General">
                  <c:v>-19.077272727272728</c:v>
                </c:pt>
                <c:pt idx="30" formatCode="General">
                  <c:v>-19.101515151515152</c:v>
                </c:pt>
                <c:pt idx="31" formatCode="General">
                  <c:v>-19.121746987951806</c:v>
                </c:pt>
                <c:pt idx="32" formatCode="General">
                  <c:v>-19.139819277108433</c:v>
                </c:pt>
                <c:pt idx="33" formatCode="General">
                  <c:v>-19.164000000000001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-19.388456883509832</c:v>
                </c:pt>
                <c:pt idx="45" formatCode="General">
                  <c:v>-19.408124054462935</c:v>
                </c:pt>
                <c:pt idx="46" formatCode="General">
                  <c:v>-19.427791225416037</c:v>
                </c:pt>
                <c:pt idx="47" formatCode="General">
                  <c:v>-19.447458396369139</c:v>
                </c:pt>
                <c:pt idx="48" formatCode="General">
                  <c:v>-19.467125567322238</c:v>
                </c:pt>
                <c:pt idx="49" formatCode="General">
                  <c:v>-19.486792738275341</c:v>
                </c:pt>
                <c:pt idx="50" formatCode="General">
                  <c:v>-19.506459909228443</c:v>
                </c:pt>
                <c:pt idx="51" formatCode="General">
                  <c:v>-19.526151515151518</c:v>
                </c:pt>
                <c:pt idx="52" formatCode="General">
                  <c:v>-19.545848484848488</c:v>
                </c:pt>
                <c:pt idx="53" formatCode="General">
                  <c:v>-19.565545454545457</c:v>
                </c:pt>
                <c:pt idx="54" formatCode="General">
                  <c:v>-19.585242424242427</c:v>
                </c:pt>
                <c:pt idx="55" formatCode="General">
                  <c:v>-19.604939393939397</c:v>
                </c:pt>
                <c:pt idx="56" formatCode="General">
                  <c:v>-19.624636363636366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11EF-44BA-AAAA-9AD66152902A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  <c:pt idx="0">
                  <c:v>(DGeSe2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-59.936787878787875</c:v>
                </c:pt>
                <c:pt idx="1">
                  <c:v>-58.610121212121214</c:v>
                </c:pt>
                <c:pt idx="2" formatCode="General">
                  <c:v>-57.452545454545458</c:v>
                </c:pt>
                <c:pt idx="3" formatCode="General">
                  <c:v>-56.494060606060607</c:v>
                </c:pt>
                <c:pt idx="4" formatCode="General">
                  <c:v>-55.64032677760968</c:v>
                </c:pt>
                <c:pt idx="5" formatCode="General">
                  <c:v>-55.144411497730708</c:v>
                </c:pt>
                <c:pt idx="6" formatCode="General">
                  <c:v>-54.648496217851736</c:v>
                </c:pt>
                <c:pt idx="7" formatCode="General">
                  <c:v>-54.152580937972772</c:v>
                </c:pt>
                <c:pt idx="8" formatCode="General">
                  <c:v>-53.6566656580938</c:v>
                </c:pt>
                <c:pt idx="9" formatCode="General">
                  <c:v>-53.160750378214829</c:v>
                </c:pt>
                <c:pt idx="10" formatCode="General">
                  <c:v>-52.664835098335857</c:v>
                </c:pt>
                <c:pt idx="11" formatCode="General">
                  <c:v>-52.264418181818179</c:v>
                </c:pt>
                <c:pt idx="12" formatCode="General">
                  <c:v>-51.97169090909091</c:v>
                </c:pt>
                <c:pt idx="13" formatCode="General">
                  <c:v>-51.718224242424242</c:v>
                </c:pt>
                <c:pt idx="14" formatCode="General">
                  <c:v>-51.482433734939761</c:v>
                </c:pt>
                <c:pt idx="15" formatCode="General">
                  <c:v>-51.290867469879522</c:v>
                </c:pt>
                <c:pt idx="16" formatCode="General">
                  <c:v>-51.128690909090913</c:v>
                </c:pt>
                <c:pt idx="17" formatCode="General">
                  <c:v>-50.994751515151513</c:v>
                </c:pt>
                <c:pt idx="18" formatCode="General">
                  <c:v>-50.938993939393939</c:v>
                </c:pt>
                <c:pt idx="19" formatCode="General">
                  <c:v>-50.917472727272731</c:v>
                </c:pt>
                <c:pt idx="20" formatCode="General">
                  <c:v>-50.976866666666666</c:v>
                </c:pt>
                <c:pt idx="21" formatCode="General">
                  <c:v>-51.091581818181815</c:v>
                </c:pt>
                <c:pt idx="22" formatCode="General">
                  <c:v>-51.249763636363632</c:v>
                </c:pt>
                <c:pt idx="23" formatCode="General">
                  <c:v>-51.458608433734938</c:v>
                </c:pt>
                <c:pt idx="24" formatCode="General">
                  <c:v>-51.68566666666667</c:v>
                </c:pt>
                <c:pt idx="25" formatCode="General">
                  <c:v>-51.952333333333335</c:v>
                </c:pt>
                <c:pt idx="26" formatCode="General">
                  <c:v>-52.235363636363644</c:v>
                </c:pt>
                <c:pt idx="27" formatCode="General">
                  <c:v>-52.529303030303033</c:v>
                </c:pt>
                <c:pt idx="28" formatCode="General">
                  <c:v>-52.840515151515149</c:v>
                </c:pt>
                <c:pt idx="29" formatCode="General">
                  <c:v>-53.149727272727269</c:v>
                </c:pt>
                <c:pt idx="30" formatCode="General">
                  <c:v>-53.452151515151513</c:v>
                </c:pt>
                <c:pt idx="31" formatCode="General">
                  <c:v>-53.76200602409638</c:v>
                </c:pt>
                <c:pt idx="32" formatCode="General">
                  <c:v>-54.075861445783126</c:v>
                </c:pt>
                <c:pt idx="33" formatCode="General">
                  <c:v>-54.378999999999998</c:v>
                </c:pt>
                <c:pt idx="34" formatCode="General">
                  <c:v>-54.682236363636363</c:v>
                </c:pt>
                <c:pt idx="35" formatCode="General">
                  <c:v>-54.985872727272728</c:v>
                </c:pt>
                <c:pt idx="36" formatCode="General">
                  <c:v>-55.289090909090909</c:v>
                </c:pt>
                <c:pt idx="37" formatCode="General">
                  <c:v>-55.591878971255667</c:v>
                </c:pt>
                <c:pt idx="38" formatCode="General">
                  <c:v>-55.8888532526475</c:v>
                </c:pt>
                <c:pt idx="39" formatCode="General">
                  <c:v>-56.185827534039333</c:v>
                </c:pt>
                <c:pt idx="40" formatCode="General">
                  <c:v>-56.482801815431159</c:v>
                </c:pt>
                <c:pt idx="41" formatCode="General">
                  <c:v>-56.779776096822992</c:v>
                </c:pt>
                <c:pt idx="42" formatCode="General">
                  <c:v>-57.076750378214825</c:v>
                </c:pt>
                <c:pt idx="43" formatCode="General">
                  <c:v>-57.373724659606651</c:v>
                </c:pt>
                <c:pt idx="44" formatCode="General">
                  <c:v>-57.664909228441751</c:v>
                </c:pt>
                <c:pt idx="45" formatCode="General">
                  <c:v>-57.948419062027227</c:v>
                </c:pt>
                <c:pt idx="46" formatCode="General">
                  <c:v>-58.231928895612711</c:v>
                </c:pt>
                <c:pt idx="47" formatCode="General">
                  <c:v>-58.515438729198188</c:v>
                </c:pt>
                <c:pt idx="48" formatCode="General">
                  <c:v>-58.798948562783664</c:v>
                </c:pt>
                <c:pt idx="49" formatCode="General">
                  <c:v>-59.082458396369141</c:v>
                </c:pt>
                <c:pt idx="50" formatCode="General">
                  <c:v>-59.365968229954618</c:v>
                </c:pt>
                <c:pt idx="51" formatCode="General">
                  <c:v>-59.641754545454546</c:v>
                </c:pt>
                <c:pt idx="52" formatCode="General">
                  <c:v>-59.915845454545455</c:v>
                </c:pt>
                <c:pt idx="53" formatCode="General">
                  <c:v>-60.189936363636363</c:v>
                </c:pt>
                <c:pt idx="54" formatCode="General">
                  <c:v>-60.464027272727272</c:v>
                </c:pt>
                <c:pt idx="55" formatCode="General">
                  <c:v>-60.73811818181818</c:v>
                </c:pt>
                <c:pt idx="56" formatCode="General">
                  <c:v>-61.012209090909089</c:v>
                </c:pt>
                <c:pt idx="57" formatCode="General">
                  <c:v>-61.285506024096385</c:v>
                </c:pt>
                <c:pt idx="58" formatCode="General">
                  <c:v>-61.555987951807225</c:v>
                </c:pt>
                <c:pt idx="59" formatCode="General">
                  <c:v>-61.826369696969692</c:v>
                </c:pt>
                <c:pt idx="60" formatCode="General">
                  <c:v>-62.096672727272725</c:v>
                </c:pt>
                <c:pt idx="61" formatCode="General">
                  <c:v>-62.364769696969695</c:v>
                </c:pt>
                <c:pt idx="62" formatCode="General">
                  <c:v>-62.632333333333328</c:v>
                </c:pt>
                <c:pt idx="63" formatCode="General">
                  <c:v>-62.899000000000001</c:v>
                </c:pt>
                <c:pt idx="64" formatCode="General">
                  <c:v>-63.157903030303032</c:v>
                </c:pt>
                <c:pt idx="65" formatCode="General">
                  <c:v>-63.411842424242423</c:v>
                </c:pt>
                <c:pt idx="66" formatCode="General">
                  <c:v>-63.674722891566262</c:v>
                </c:pt>
                <c:pt idx="67" formatCode="General">
                  <c:v>-63.93845454545454</c:v>
                </c:pt>
                <c:pt idx="68" formatCode="General">
                  <c:v>-64.203303030303033</c:v>
                </c:pt>
                <c:pt idx="69" formatCode="General">
                  <c:v>-64.459878787878793</c:v>
                </c:pt>
                <c:pt idx="70" formatCode="General">
                  <c:v>-64.712000000000003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11EF-44BA-AAAA-9AD66152902A}"/>
            </c:ext>
          </c:extLst>
        </c:ser>
        <c:ser>
          <c:idx val="34"/>
          <c:order val="36"/>
          <c:tx>
            <c:strRef>
              <c:f>'Gibbs-EVAL'!$A$137</c:f>
              <c:strCache>
                <c:ptCount val="1"/>
                <c:pt idx="0">
                  <c:v>(DGeSe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'Gibbs-EVAL'!$B$137:$BT$137</c:f>
              <c:numCache>
                <c:formatCode>0</c:formatCode>
                <c:ptCount val="71"/>
                <c:pt idx="0">
                  <c:v>-37.871212121212125</c:v>
                </c:pt>
                <c:pt idx="1">
                  <c:v>-36.936060606060607</c:v>
                </c:pt>
                <c:pt idx="2" formatCode="General">
                  <c:v>-36.057272727272725</c:v>
                </c:pt>
                <c:pt idx="3" formatCode="General">
                  <c:v>-35.249272727272725</c:v>
                </c:pt>
                <c:pt idx="4" formatCode="General">
                  <c:v>-34.48330711043873</c:v>
                </c:pt>
                <c:pt idx="5" formatCode="General">
                  <c:v>-33.899645990922842</c:v>
                </c:pt>
                <c:pt idx="6" formatCode="General">
                  <c:v>-33.315984871406961</c:v>
                </c:pt>
                <c:pt idx="7" formatCode="General">
                  <c:v>-32.732323751891073</c:v>
                </c:pt>
                <c:pt idx="8" formatCode="General">
                  <c:v>-32.148662632375192</c:v>
                </c:pt>
                <c:pt idx="9" formatCode="General">
                  <c:v>-31.565001512859304</c:v>
                </c:pt>
                <c:pt idx="10" formatCode="General">
                  <c:v>-30.981340393343419</c:v>
                </c:pt>
                <c:pt idx="11" formatCode="General">
                  <c:v>-30.471751515151517</c:v>
                </c:pt>
                <c:pt idx="12" formatCode="General">
                  <c:v>-30.045690909090911</c:v>
                </c:pt>
                <c:pt idx="13" formatCode="General">
                  <c:v>-29.668830303030305</c:v>
                </c:pt>
                <c:pt idx="14" formatCode="General">
                  <c:v>-29.315024096385542</c:v>
                </c:pt>
                <c:pt idx="15" formatCode="General">
                  <c:v>-29.021048192771087</c:v>
                </c:pt>
                <c:pt idx="16" formatCode="General">
                  <c:v>-28.765418181818184</c:v>
                </c:pt>
                <c:pt idx="17" formatCode="General">
                  <c:v>-28.546630303030305</c:v>
                </c:pt>
                <c:pt idx="18" formatCode="General">
                  <c:v>-28.406024242424245</c:v>
                </c:pt>
                <c:pt idx="19" formatCode="General">
                  <c:v>-28.297109090909093</c:v>
                </c:pt>
                <c:pt idx="20" formatCode="General">
                  <c:v>-28.259533333333334</c:v>
                </c:pt>
                <c:pt idx="21" formatCode="General">
                  <c:v>-28.267096969696972</c:v>
                </c:pt>
                <c:pt idx="22" formatCode="General">
                  <c:v>-28.310127272727271</c:v>
                </c:pt>
                <c:pt idx="23" formatCode="General">
                  <c:v>-28.39896987951807</c:v>
                </c:pt>
                <c:pt idx="24" formatCode="General">
                  <c:v>-28.502333333333333</c:v>
                </c:pt>
                <c:pt idx="25" formatCode="General">
                  <c:v>-28.635666666666665</c:v>
                </c:pt>
                <c:pt idx="26" formatCode="General">
                  <c:v>-28.781727272727274</c:v>
                </c:pt>
                <c:pt idx="27" formatCode="General">
                  <c:v>-28.93627272727273</c:v>
                </c:pt>
                <c:pt idx="28" formatCode="General">
                  <c:v>-29.102333333333334</c:v>
                </c:pt>
                <c:pt idx="29" formatCode="General">
                  <c:v>-29.267909090909093</c:v>
                </c:pt>
                <c:pt idx="30" formatCode="General">
                  <c:v>-29.430939393939394</c:v>
                </c:pt>
                <c:pt idx="31" formatCode="General">
                  <c:v>-29.598030120481926</c:v>
                </c:pt>
                <c:pt idx="32" formatCode="General">
                  <c:v>-29.767307228915662</c:v>
                </c:pt>
                <c:pt idx="33" formatCode="General">
                  <c:v>-29.930999999999997</c:v>
                </c:pt>
                <c:pt idx="34" formatCode="General">
                  <c:v>-30.094842424242422</c:v>
                </c:pt>
                <c:pt idx="35" formatCode="General">
                  <c:v>-30.259084848484846</c:v>
                </c:pt>
                <c:pt idx="36" formatCode="General">
                  <c:v>-30.422909090909091</c:v>
                </c:pt>
                <c:pt idx="37" formatCode="General">
                  <c:v>-30.586432677760968</c:v>
                </c:pt>
                <c:pt idx="38" formatCode="General">
                  <c:v>-30.747249621785173</c:v>
                </c:pt>
                <c:pt idx="39" formatCode="General">
                  <c:v>-30.908066565809378</c:v>
                </c:pt>
                <c:pt idx="40" formatCode="General">
                  <c:v>-31.068883509833583</c:v>
                </c:pt>
                <c:pt idx="41" formatCode="General">
                  <c:v>-31.229700453857792</c:v>
                </c:pt>
                <c:pt idx="42" formatCode="General">
                  <c:v>-31.390517397881997</c:v>
                </c:pt>
                <c:pt idx="43" formatCode="General">
                  <c:v>-31.551334341906202</c:v>
                </c:pt>
                <c:pt idx="44" formatCode="General">
                  <c:v>-31.709614220877459</c:v>
                </c:pt>
                <c:pt idx="45" formatCode="General">
                  <c:v>-31.864531013615736</c:v>
                </c:pt>
                <c:pt idx="46" formatCode="General">
                  <c:v>-32.019447806354009</c:v>
                </c:pt>
                <c:pt idx="47" formatCode="General">
                  <c:v>-32.174364599092286</c:v>
                </c:pt>
                <c:pt idx="48" formatCode="General">
                  <c:v>-32.329281391830563</c:v>
                </c:pt>
                <c:pt idx="49" formatCode="General">
                  <c:v>-32.484198184568839</c:v>
                </c:pt>
                <c:pt idx="50" formatCode="General">
                  <c:v>-32.639114977307116</c:v>
                </c:pt>
                <c:pt idx="51" formatCode="General">
                  <c:v>-32.792360606060612</c:v>
                </c:pt>
                <c:pt idx="52" formatCode="General">
                  <c:v>-32.945239393939396</c:v>
                </c:pt>
                <c:pt idx="53" formatCode="General">
                  <c:v>-33.098118181818187</c:v>
                </c:pt>
                <c:pt idx="54" formatCode="General">
                  <c:v>-33.25099696969697</c:v>
                </c:pt>
                <c:pt idx="55" formatCode="General">
                  <c:v>-33.403875757575761</c:v>
                </c:pt>
                <c:pt idx="56" formatCode="General">
                  <c:v>-33.556754545454545</c:v>
                </c:pt>
                <c:pt idx="57" formatCode="General">
                  <c:v>-33.709000000000003</c:v>
                </c:pt>
                <c:pt idx="58" formatCode="General">
                  <c:v>-33.859000000000002</c:v>
                </c:pt>
                <c:pt idx="59" formatCode="General">
                  <c:v>-34.008490909090909</c:v>
                </c:pt>
                <c:pt idx="60" formatCode="General">
                  <c:v>-34.157581818181818</c:v>
                </c:pt>
                <c:pt idx="61" formatCode="General">
                  <c:v>-34.304466666666663</c:v>
                </c:pt>
                <c:pt idx="62" formatCode="General">
                  <c:v>-34.450818181818178</c:v>
                </c:pt>
                <c:pt idx="63" formatCode="General">
                  <c:v>-34.596272727272726</c:v>
                </c:pt>
                <c:pt idx="64" formatCode="General">
                  <c:v>-34.737660606060608</c:v>
                </c:pt>
                <c:pt idx="65" formatCode="General">
                  <c:v>-34.876448484848481</c:v>
                </c:pt>
                <c:pt idx="66" formatCode="General">
                  <c:v>-35.019060240963853</c:v>
                </c:pt>
                <c:pt idx="67" formatCode="General">
                  <c:v>-35.162090909090907</c:v>
                </c:pt>
                <c:pt idx="68" formatCode="General">
                  <c:v>-35.305727272727275</c:v>
                </c:pt>
                <c:pt idx="69" formatCode="General">
                  <c:v>-35.445030303030308</c:v>
                </c:pt>
                <c:pt idx="70" formatCode="General">
                  <c:v>-35.582000000000001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11EF-44BA-AAAA-9AD66152902A}"/>
            </c:ext>
          </c:extLst>
        </c:ser>
        <c:ser>
          <c:idx val="35"/>
          <c:order val="37"/>
          <c:tx>
            <c:strRef>
              <c:f>'Gibbs-EVAL'!$A$138</c:f>
              <c:strCache>
                <c:ptCount val="1"/>
                <c:pt idx="0">
                  <c:v>(DGa2Sej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-143.53575757575757</c:v>
                </c:pt>
                <c:pt idx="1">
                  <c:v>-139.02181818181819</c:v>
                </c:pt>
                <c:pt idx="2" formatCode="General">
                  <c:v>-134.65818181818182</c:v>
                </c:pt>
                <c:pt idx="3" formatCode="General">
                  <c:v>-130.42284848484846</c:v>
                </c:pt>
                <c:pt idx="4" formatCode="General">
                  <c:v>-126.27735249621784</c:v>
                </c:pt>
                <c:pt idx="5" formatCode="General">
                  <c:v>-122.619258698941</c:v>
                </c:pt>
                <c:pt idx="6" formatCode="General">
                  <c:v>-118.96116490166413</c:v>
                </c:pt>
                <c:pt idx="7" formatCode="General">
                  <c:v>-115.30307110438729</c:v>
                </c:pt>
                <c:pt idx="8" formatCode="General">
                  <c:v>-111.64497730711044</c:v>
                </c:pt>
                <c:pt idx="9" formatCode="General">
                  <c:v>-107.98688350983359</c:v>
                </c:pt>
                <c:pt idx="10" formatCode="General">
                  <c:v>-104.32878971255674</c:v>
                </c:pt>
                <c:pt idx="11" formatCode="General">
                  <c:v>-100.97145454545455</c:v>
                </c:pt>
                <c:pt idx="12" formatCode="General">
                  <c:v>-97.953272727272733</c:v>
                </c:pt>
                <c:pt idx="13" formatCode="General">
                  <c:v>-95.1338787878788</c:v>
                </c:pt>
                <c:pt idx="14" formatCode="General">
                  <c:v>-92.402951807228931</c:v>
                </c:pt>
                <c:pt idx="15" formatCode="General">
                  <c:v>-89.890903614457827</c:v>
                </c:pt>
                <c:pt idx="16" formatCode="General">
                  <c:v>-87.485454545454544</c:v>
                </c:pt>
                <c:pt idx="17" formatCode="General">
                  <c:v>-85.182424242424233</c:v>
                </c:pt>
                <c:pt idx="18" formatCode="General">
                  <c:v>-83.046181818181807</c:v>
                </c:pt>
                <c:pt idx="19" formatCode="General">
                  <c:v>-80.967636363636359</c:v>
                </c:pt>
                <c:pt idx="20" formatCode="General">
                  <c:v>-79.003999999999991</c:v>
                </c:pt>
                <c:pt idx="21" formatCode="General">
                  <c:v>-77.111636363636364</c:v>
                </c:pt>
                <c:pt idx="22" formatCode="General">
                  <c:v>-75.275272727272721</c:v>
                </c:pt>
                <c:pt idx="23" formatCode="General">
                  <c:v>-73.564096385542157</c:v>
                </c:pt>
                <c:pt idx="24" formatCode="General">
                  <c:v>-71.893030303030301</c:v>
                </c:pt>
                <c:pt idx="25" formatCode="General">
                  <c:v>-70.305151515151508</c:v>
                </c:pt>
                <c:pt idx="26" formatCode="General">
                  <c:v>-68.800909090909087</c:v>
                </c:pt>
                <c:pt idx="27" formatCode="General">
                  <c:v>-67.352424242424249</c:v>
                </c:pt>
                <c:pt idx="28" formatCode="General">
                  <c:v>-66.036363636363646</c:v>
                </c:pt>
                <c:pt idx="29" formatCode="General">
                  <c:v>-64.758181818181825</c:v>
                </c:pt>
                <c:pt idx="30" formatCode="General">
                  <c:v>-63.552121212121214</c:v>
                </c:pt>
                <c:pt idx="31" formatCode="General">
                  <c:v>-62.417349397590364</c:v>
                </c:pt>
                <c:pt idx="32" formatCode="General">
                  <c:v>-61.320963855421688</c:v>
                </c:pt>
                <c:pt idx="33" formatCode="General">
                  <c:v>-60.284000000000006</c:v>
                </c:pt>
                <c:pt idx="34" formatCode="General">
                  <c:v>-59.272363636363643</c:v>
                </c:pt>
                <c:pt idx="35" formatCode="General">
                  <c:v>-58.308727272727282</c:v>
                </c:pt>
                <c:pt idx="36" formatCode="General">
                  <c:v>-57.370181818181827</c:v>
                </c:pt>
                <c:pt idx="37" formatCode="General">
                  <c:v>-56.447685325264757</c:v>
                </c:pt>
                <c:pt idx="38" formatCode="General">
                  <c:v>-55.639818456883518</c:v>
                </c:pt>
                <c:pt idx="39" formatCode="General">
                  <c:v>-54.831951588502278</c:v>
                </c:pt>
                <c:pt idx="40" formatCode="General">
                  <c:v>-54.024084720121031</c:v>
                </c:pt>
                <c:pt idx="41" formatCode="General">
                  <c:v>-53.216217851739792</c:v>
                </c:pt>
                <c:pt idx="42" formatCode="General">
                  <c:v>-52.408350983358552</c:v>
                </c:pt>
                <c:pt idx="43" formatCode="General">
                  <c:v>-51.600484114977313</c:v>
                </c:pt>
                <c:pt idx="44" formatCode="General">
                  <c:v>-50.870030257186087</c:v>
                </c:pt>
                <c:pt idx="45" formatCode="General">
                  <c:v>-50.242193645990923</c:v>
                </c:pt>
                <c:pt idx="46" formatCode="General">
                  <c:v>-49.614357034795766</c:v>
                </c:pt>
                <c:pt idx="47" formatCode="General">
                  <c:v>-48.986520423600602</c:v>
                </c:pt>
                <c:pt idx="48" formatCode="General">
                  <c:v>-48.358683812405445</c:v>
                </c:pt>
                <c:pt idx="49" formatCode="General">
                  <c:v>-47.730847201210281</c:v>
                </c:pt>
                <c:pt idx="50" formatCode="General">
                  <c:v>-47.103010590015124</c:v>
                </c:pt>
                <c:pt idx="51" formatCode="General">
                  <c:v>-46.776054545454542</c:v>
                </c:pt>
                <c:pt idx="52" formatCode="General">
                  <c:v>-46.515145454545447</c:v>
                </c:pt>
                <c:pt idx="53" formatCode="General">
                  <c:v>-46.254236363636359</c:v>
                </c:pt>
                <c:pt idx="54" formatCode="General">
                  <c:v>-45.993327272727271</c:v>
                </c:pt>
                <c:pt idx="55" formatCode="General">
                  <c:v>-45.732418181818183</c:v>
                </c:pt>
                <c:pt idx="56" formatCode="General">
                  <c:v>-45.471509090909088</c:v>
                </c:pt>
                <c:pt idx="57" formatCode="General">
                  <c:v>-45.268265060240964</c:v>
                </c:pt>
                <c:pt idx="58" formatCode="General">
                  <c:v>-45.26946987951807</c:v>
                </c:pt>
                <c:pt idx="59" formatCode="General">
                  <c:v>-45.306654545454542</c:v>
                </c:pt>
                <c:pt idx="60" formatCode="General">
                  <c:v>-45.372109090909092</c:v>
                </c:pt>
                <c:pt idx="61" formatCode="General">
                  <c:v>-45.473963636363635</c:v>
                </c:pt>
                <c:pt idx="62" formatCode="General">
                  <c:v>-45.585721212121214</c:v>
                </c:pt>
                <c:pt idx="63" formatCode="General">
                  <c:v>-45.715418181818187</c:v>
                </c:pt>
                <c:pt idx="64" formatCode="General">
                  <c:v>-45.851030303030306</c:v>
                </c:pt>
                <c:pt idx="65" formatCode="General">
                  <c:v>-45.99042424242424</c:v>
                </c:pt>
                <c:pt idx="66" formatCode="General">
                  <c:v>-46.141734939759033</c:v>
                </c:pt>
                <c:pt idx="67" formatCode="General">
                  <c:v>-46.295636363636362</c:v>
                </c:pt>
                <c:pt idx="68" formatCode="General">
                  <c:v>-46.454424242424246</c:v>
                </c:pt>
                <c:pt idx="69" formatCode="General">
                  <c:v>-46.610848484848489</c:v>
                </c:pt>
                <c:pt idx="70" formatCode="General">
                  <c:v>-46.765999999999998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11EF-44BA-AAAA-9AD66152902A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  <c:pt idx="0">
                  <c:v>(DGaSe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-82.800666666666672</c:v>
                </c:pt>
                <c:pt idx="1">
                  <c:v>-80.347939393939399</c:v>
                </c:pt>
                <c:pt idx="2" formatCode="General">
                  <c:v>-78.026727272727271</c:v>
                </c:pt>
                <c:pt idx="3" formatCode="General">
                  <c:v>-75.833818181818188</c:v>
                </c:pt>
                <c:pt idx="4" formatCode="General">
                  <c:v>-73.717186081694393</c:v>
                </c:pt>
                <c:pt idx="5" formatCode="General">
                  <c:v>-71.932012102874438</c:v>
                </c:pt>
                <c:pt idx="6" formatCode="General">
                  <c:v>-70.146838124054469</c:v>
                </c:pt>
                <c:pt idx="7" formatCode="General">
                  <c:v>-68.361664145234499</c:v>
                </c:pt>
                <c:pt idx="8" formatCode="General">
                  <c:v>-66.57649016641453</c:v>
                </c:pt>
                <c:pt idx="9" formatCode="General">
                  <c:v>-64.79131618759456</c:v>
                </c:pt>
                <c:pt idx="10" formatCode="General">
                  <c:v>-63.006142208774591</c:v>
                </c:pt>
                <c:pt idx="11" formatCode="General">
                  <c:v>-61.382060606060605</c:v>
                </c:pt>
                <c:pt idx="12" formatCode="General">
                  <c:v>-59.93963636363636</c:v>
                </c:pt>
                <c:pt idx="13" formatCode="General">
                  <c:v>-58.591636363636361</c:v>
                </c:pt>
                <c:pt idx="14" formatCode="General">
                  <c:v>-57.285180722891567</c:v>
                </c:pt>
                <c:pt idx="15" formatCode="General">
                  <c:v>-56.080361445783133</c:v>
                </c:pt>
                <c:pt idx="16" formatCode="General">
                  <c:v>-54.924363636363637</c:v>
                </c:pt>
                <c:pt idx="17" formatCode="General">
                  <c:v>-53.81527272727272</c:v>
                </c:pt>
                <c:pt idx="18" formatCode="General">
                  <c:v>-52.789575757575754</c:v>
                </c:pt>
                <c:pt idx="19" formatCode="General">
                  <c:v>-51.793999999999997</c:v>
                </c:pt>
                <c:pt idx="20" formatCode="General">
                  <c:v>-50.860666666666667</c:v>
                </c:pt>
                <c:pt idx="21" formatCode="General">
                  <c:v>-49.968060606060604</c:v>
                </c:pt>
                <c:pt idx="22" formatCode="General">
                  <c:v>-49.107454545454544</c:v>
                </c:pt>
                <c:pt idx="23" formatCode="General">
                  <c:v>-48.311867469879516</c:v>
                </c:pt>
                <c:pt idx="24" formatCode="General">
                  <c:v>-47.538181818181819</c:v>
                </c:pt>
                <c:pt idx="25" formatCode="General">
                  <c:v>-46.810909090909085</c:v>
                </c:pt>
                <c:pt idx="26" formatCode="General">
                  <c:v>-46.127272727272725</c:v>
                </c:pt>
                <c:pt idx="27" formatCode="General">
                  <c:v>-45.472727272727269</c:v>
                </c:pt>
                <c:pt idx="28" formatCode="General">
                  <c:v>-44.88727272727273</c:v>
                </c:pt>
                <c:pt idx="29" formatCode="General">
                  <c:v>-44.32</c:v>
                </c:pt>
                <c:pt idx="30" formatCode="General">
                  <c:v>-43.786666666666669</c:v>
                </c:pt>
                <c:pt idx="31" formatCode="General">
                  <c:v>-43.290662650602414</c:v>
                </c:pt>
                <c:pt idx="32" formatCode="General">
                  <c:v>-42.814759036144579</c:v>
                </c:pt>
                <c:pt idx="33" formatCode="General">
                  <c:v>-42.366</c:v>
                </c:pt>
                <c:pt idx="34" formatCode="General">
                  <c:v>-41.929878787878792</c:v>
                </c:pt>
                <c:pt idx="35" formatCode="General">
                  <c:v>-41.517757575757578</c:v>
                </c:pt>
                <c:pt idx="36" formatCode="General">
                  <c:v>-41.118181818181817</c:v>
                </c:pt>
                <c:pt idx="37" formatCode="General">
                  <c:v>-40.726565809379728</c:v>
                </c:pt>
                <c:pt idx="38" formatCode="General">
                  <c:v>-40.390711043872919</c:v>
                </c:pt>
                <c:pt idx="39" formatCode="General">
                  <c:v>-40.05485627836611</c:v>
                </c:pt>
                <c:pt idx="40" formatCode="General">
                  <c:v>-39.719001512859307</c:v>
                </c:pt>
                <c:pt idx="41" formatCode="General">
                  <c:v>-39.383146747352498</c:v>
                </c:pt>
                <c:pt idx="42" formatCode="General">
                  <c:v>-39.047291981845689</c:v>
                </c:pt>
                <c:pt idx="43" formatCode="General">
                  <c:v>-38.711437216338879</c:v>
                </c:pt>
                <c:pt idx="44" formatCode="General">
                  <c:v>-38.412662632375188</c:v>
                </c:pt>
                <c:pt idx="45" formatCode="General">
                  <c:v>-38.163040847201209</c:v>
                </c:pt>
                <c:pt idx="46" formatCode="General">
                  <c:v>-37.913419062027231</c:v>
                </c:pt>
                <c:pt idx="47" formatCode="General">
                  <c:v>-37.663797276853252</c:v>
                </c:pt>
                <c:pt idx="48" formatCode="General">
                  <c:v>-37.414175491679273</c:v>
                </c:pt>
                <c:pt idx="49" formatCode="General">
                  <c:v>-37.164553706505295</c:v>
                </c:pt>
                <c:pt idx="50" formatCode="General">
                  <c:v>-36.914931921331309</c:v>
                </c:pt>
                <c:pt idx="51" formatCode="General">
                  <c:v>-36.812724242424238</c:v>
                </c:pt>
                <c:pt idx="52" formatCode="General">
                  <c:v>-36.742875757575753</c:v>
                </c:pt>
                <c:pt idx="53" formatCode="General">
                  <c:v>-36.673027272727268</c:v>
                </c:pt>
                <c:pt idx="54" formatCode="General">
                  <c:v>-36.603178787878782</c:v>
                </c:pt>
                <c:pt idx="55" formatCode="General">
                  <c:v>-36.533330303030304</c:v>
                </c:pt>
                <c:pt idx="56" formatCode="General">
                  <c:v>-36.463481818181819</c:v>
                </c:pt>
                <c:pt idx="57" formatCode="General">
                  <c:v>-36.422385542168676</c:v>
                </c:pt>
                <c:pt idx="58" formatCode="General">
                  <c:v>-36.48322891566265</c:v>
                </c:pt>
                <c:pt idx="59" formatCode="General">
                  <c:v>-36.562266666666666</c:v>
                </c:pt>
                <c:pt idx="60" formatCode="General">
                  <c:v>-36.6556</c:v>
                </c:pt>
                <c:pt idx="61" formatCode="General">
                  <c:v>-36.767133333333334</c:v>
                </c:pt>
                <c:pt idx="62" formatCode="General">
                  <c:v>-36.883618181818179</c:v>
                </c:pt>
                <c:pt idx="63" formatCode="General">
                  <c:v>-37.009072727272731</c:v>
                </c:pt>
                <c:pt idx="64" formatCode="General">
                  <c:v>-37.135636363636365</c:v>
                </c:pt>
                <c:pt idx="65" formatCode="General">
                  <c:v>-37.262909090909091</c:v>
                </c:pt>
                <c:pt idx="66" formatCode="General">
                  <c:v>-37.398698795180721</c:v>
                </c:pt>
                <c:pt idx="67" formatCode="General">
                  <c:v>-37.536000000000001</c:v>
                </c:pt>
                <c:pt idx="68" formatCode="General">
                  <c:v>-37.676000000000002</c:v>
                </c:pt>
                <c:pt idx="69" formatCode="General">
                  <c:v>-37.812848484848487</c:v>
                </c:pt>
                <c:pt idx="70" formatCode="General">
                  <c:v>-37.948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11EF-44BA-AAAA-9AD66152902A}"/>
            </c:ext>
          </c:extLst>
        </c:ser>
        <c:ser>
          <c:idx val="37"/>
          <c:order val="39"/>
          <c:tx>
            <c:strRef>
              <c:f>'Gibbs-EVAL'!$A$140</c:f>
              <c:strCache>
                <c:ptCount val="1"/>
                <c:pt idx="0">
                  <c:v>(DGe</c:v>
                </c:pt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'Gibbs-EVAL'!$B$140:$BT$140</c:f>
              <c:numCache>
                <c:formatCode>0</c:formatCode>
                <c:ptCount val="71"/>
                <c:pt idx="0">
                  <c:v>-15.805636363636363</c:v>
                </c:pt>
                <c:pt idx="1">
                  <c:v>-15.261999999999999</c:v>
                </c:pt>
                <c:pt idx="2" formatCode="General">
                  <c:v>-14.661999999999999</c:v>
                </c:pt>
                <c:pt idx="3" formatCode="General">
                  <c:v>-14.004484848484848</c:v>
                </c:pt>
                <c:pt idx="4" formatCode="General">
                  <c:v>-13.326287443267777</c:v>
                </c:pt>
                <c:pt idx="5" formatCode="General">
                  <c:v>-12.654880484114978</c:v>
                </c:pt>
                <c:pt idx="6" formatCode="General">
                  <c:v>-11.983473524962179</c:v>
                </c:pt>
                <c:pt idx="7" formatCode="General">
                  <c:v>-11.31206656580938</c:v>
                </c:pt>
                <c:pt idx="8" formatCode="General">
                  <c:v>-10.64065960665658</c:v>
                </c:pt>
                <c:pt idx="9" formatCode="General">
                  <c:v>-9.969252647503783</c:v>
                </c:pt>
                <c:pt idx="10" formatCode="General">
                  <c:v>-9.2978456883509839</c:v>
                </c:pt>
                <c:pt idx="11" formatCode="General">
                  <c:v>-8.67908484848485</c:v>
                </c:pt>
                <c:pt idx="12" formatCode="General">
                  <c:v>-8.1196909090909095</c:v>
                </c:pt>
                <c:pt idx="13" formatCode="General">
                  <c:v>-7.619436363636364</c:v>
                </c:pt>
                <c:pt idx="14" formatCode="General">
                  <c:v>-7.1476144578313257</c:v>
                </c:pt>
                <c:pt idx="15" formatCode="General">
                  <c:v>-6.7512289156626508</c:v>
                </c:pt>
                <c:pt idx="16" formatCode="General">
                  <c:v>-6.4021454545454546</c:v>
                </c:pt>
                <c:pt idx="17" formatCode="General">
                  <c:v>-6.09850909090909</c:v>
                </c:pt>
                <c:pt idx="18" formatCode="General">
                  <c:v>-5.8730545454545453</c:v>
                </c:pt>
                <c:pt idx="19" formatCode="General">
                  <c:v>-5.6767454545454541</c:v>
                </c:pt>
                <c:pt idx="20" formatCode="General">
                  <c:v>-5.5421999999999993</c:v>
                </c:pt>
                <c:pt idx="21" formatCode="General">
                  <c:v>-5.4426121212121208</c:v>
                </c:pt>
                <c:pt idx="22" formatCode="General">
                  <c:v>-5.3704909090909085</c:v>
                </c:pt>
                <c:pt idx="23" formatCode="General">
                  <c:v>-5.3393313253012051</c:v>
                </c:pt>
                <c:pt idx="24" formatCode="General">
                  <c:v>-5.319</c:v>
                </c:pt>
                <c:pt idx="25" formatCode="General">
                  <c:v>-5.319</c:v>
                </c:pt>
                <c:pt idx="26" formatCode="General">
                  <c:v>-5.3280909090909088</c:v>
                </c:pt>
                <c:pt idx="27" formatCode="General">
                  <c:v>-5.3432424242424243</c:v>
                </c:pt>
                <c:pt idx="28" formatCode="General">
                  <c:v>-5.3641515151515149</c:v>
                </c:pt>
                <c:pt idx="29" formatCode="General">
                  <c:v>-5.3860909090909086</c:v>
                </c:pt>
                <c:pt idx="30" formatCode="General">
                  <c:v>-5.4097272727272729</c:v>
                </c:pt>
                <c:pt idx="31" formatCode="General">
                  <c:v>-5.4340542168674695</c:v>
                </c:pt>
                <c:pt idx="32" formatCode="General">
                  <c:v>-5.4587530120481924</c:v>
                </c:pt>
                <c:pt idx="33" formatCode="General">
                  <c:v>-5.4829999999999997</c:v>
                </c:pt>
                <c:pt idx="34" formatCode="General">
                  <c:v>-5.5074484848484841</c:v>
                </c:pt>
                <c:pt idx="35" formatCode="General">
                  <c:v>-5.5322969696969695</c:v>
                </c:pt>
                <c:pt idx="36" formatCode="General">
                  <c:v>-5.5567272727272723</c:v>
                </c:pt>
                <c:pt idx="37" formatCode="General">
                  <c:v>-5.5809863842662635</c:v>
                </c:pt>
                <c:pt idx="38" formatCode="General">
                  <c:v>-5.6056459909228442</c:v>
                </c:pt>
                <c:pt idx="39" formatCode="General">
                  <c:v>-5.6303055975794249</c:v>
                </c:pt>
                <c:pt idx="40" formatCode="General">
                  <c:v>-5.6549652042360066</c:v>
                </c:pt>
                <c:pt idx="41" formatCode="General">
                  <c:v>-5.6796248108925873</c:v>
                </c:pt>
                <c:pt idx="42" formatCode="General">
                  <c:v>-5.704284417549168</c:v>
                </c:pt>
                <c:pt idx="43" formatCode="General">
                  <c:v>-5.7289440242057488</c:v>
                </c:pt>
                <c:pt idx="44" formatCode="General">
                  <c:v>-5.7543192133131624</c:v>
                </c:pt>
                <c:pt idx="45" formatCode="General">
                  <c:v>-5.7806429652042359</c:v>
                </c:pt>
                <c:pt idx="46" formatCode="General">
                  <c:v>-5.8069667170953103</c:v>
                </c:pt>
                <c:pt idx="47" formatCode="General">
                  <c:v>-5.8332904689863847</c:v>
                </c:pt>
                <c:pt idx="48" formatCode="General">
                  <c:v>-5.8596142208774582</c:v>
                </c:pt>
                <c:pt idx="49" formatCode="General">
                  <c:v>-5.8859379727685326</c:v>
                </c:pt>
                <c:pt idx="50" formatCode="General">
                  <c:v>-5.912261724659607</c:v>
                </c:pt>
                <c:pt idx="51" formatCode="General">
                  <c:v>-5.942966666666667</c:v>
                </c:pt>
                <c:pt idx="52" formatCode="General">
                  <c:v>-5.9746333333333332</c:v>
                </c:pt>
                <c:pt idx="53" formatCode="General">
                  <c:v>-6.0063000000000004</c:v>
                </c:pt>
                <c:pt idx="54" formatCode="General">
                  <c:v>-6.0379666666666667</c:v>
                </c:pt>
                <c:pt idx="55" formatCode="General">
                  <c:v>-6.0696333333333339</c:v>
                </c:pt>
                <c:pt idx="56" formatCode="General">
                  <c:v>-6.1013000000000002</c:v>
                </c:pt>
                <c:pt idx="57" formatCode="General">
                  <c:v>-6.132493975903615</c:v>
                </c:pt>
                <c:pt idx="58" formatCode="General">
                  <c:v>-6.1620120481927714</c:v>
                </c:pt>
                <c:pt idx="59" formatCode="General">
                  <c:v>-6.190612121212121</c:v>
                </c:pt>
                <c:pt idx="60" formatCode="General">
                  <c:v>-6.2184909090909093</c:v>
                </c:pt>
                <c:pt idx="61" formatCode="General">
                  <c:v>-6.2441636363636368</c:v>
                </c:pt>
                <c:pt idx="62" formatCode="General">
                  <c:v>-6.2693030303030302</c:v>
                </c:pt>
                <c:pt idx="63" formatCode="General">
                  <c:v>-6.2935454545454546</c:v>
                </c:pt>
                <c:pt idx="64" formatCode="General">
                  <c:v>-6.3174181818181818</c:v>
                </c:pt>
                <c:pt idx="65" formatCode="General">
                  <c:v>-6.3410545454545453</c:v>
                </c:pt>
                <c:pt idx="66" formatCode="General">
                  <c:v>-6.363397590361445</c:v>
                </c:pt>
                <c:pt idx="67" formatCode="General">
                  <c:v>-6.385727272727272</c:v>
                </c:pt>
                <c:pt idx="68" formatCode="General">
                  <c:v>-6.4081515151515154</c:v>
                </c:pt>
                <c:pt idx="69" formatCode="General">
                  <c:v>-6.4301818181818184</c:v>
                </c:pt>
                <c:pt idx="70" formatCode="General">
                  <c:v>-6.452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EF-44BA-AAAA-9AD66152902A}"/>
            </c:ext>
          </c:extLst>
        </c:ser>
        <c:ser>
          <c:idx val="38"/>
          <c:order val="40"/>
          <c:tx>
            <c:strRef>
              <c:f>'Gibbs-EVAL'!$A$141</c:f>
              <c:strCache>
                <c:ptCount val="1"/>
                <c:pt idx="0">
                  <c:v>(DGa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'Gibbs-EVAL'!$B$141:$BT$141</c:f>
              <c:numCache>
                <c:formatCode>0</c:formatCode>
                <c:ptCount val="71"/>
                <c:pt idx="0">
                  <c:v>-60.735090909090907</c:v>
                </c:pt>
                <c:pt idx="1">
                  <c:v>-58.673878787878785</c:v>
                </c:pt>
                <c:pt idx="2" formatCode="General">
                  <c:v>-56.631454545454545</c:v>
                </c:pt>
                <c:pt idx="3" formatCode="General">
                  <c:v>-54.589030303030299</c:v>
                </c:pt>
                <c:pt idx="4" formatCode="General">
                  <c:v>-52.560166414523451</c:v>
                </c:pt>
                <c:pt idx="5" formatCode="General">
                  <c:v>-50.687246596066565</c:v>
                </c:pt>
                <c:pt idx="6" formatCode="General">
                  <c:v>-48.814326777609679</c:v>
                </c:pt>
                <c:pt idx="7" formatCode="General">
                  <c:v>-46.9414069591528</c:v>
                </c:pt>
                <c:pt idx="8" formatCode="General">
                  <c:v>-45.068487140695915</c:v>
                </c:pt>
                <c:pt idx="9" formatCode="General">
                  <c:v>-43.195567322239029</c:v>
                </c:pt>
                <c:pt idx="10" formatCode="General">
                  <c:v>-41.32264750378215</c:v>
                </c:pt>
                <c:pt idx="11" formatCode="General">
                  <c:v>-39.589393939393936</c:v>
                </c:pt>
                <c:pt idx="12" formatCode="General">
                  <c:v>-38.013636363636365</c:v>
                </c:pt>
                <c:pt idx="13" formatCode="General">
                  <c:v>-36.542242424242424</c:v>
                </c:pt>
                <c:pt idx="14" formatCode="General">
                  <c:v>-35.117771084337356</c:v>
                </c:pt>
                <c:pt idx="15" formatCode="General">
                  <c:v>-33.810542168674701</c:v>
                </c:pt>
                <c:pt idx="16" formatCode="General">
                  <c:v>-32.561090909090908</c:v>
                </c:pt>
                <c:pt idx="17" formatCode="General">
                  <c:v>-31.367151515151512</c:v>
                </c:pt>
                <c:pt idx="18" formatCode="General">
                  <c:v>-30.256606060606057</c:v>
                </c:pt>
                <c:pt idx="19" formatCode="General">
                  <c:v>-29.173636363636362</c:v>
                </c:pt>
                <c:pt idx="20" formatCode="General">
                  <c:v>-28.143333333333331</c:v>
                </c:pt>
                <c:pt idx="21" formatCode="General">
                  <c:v>-27.143575757575757</c:v>
                </c:pt>
                <c:pt idx="22" formatCode="General">
                  <c:v>-26.167818181818177</c:v>
                </c:pt>
                <c:pt idx="23" formatCode="General">
                  <c:v>-25.252228915662648</c:v>
                </c:pt>
                <c:pt idx="24" formatCode="General">
                  <c:v>-24.354848484848485</c:v>
                </c:pt>
                <c:pt idx="25" formatCode="General">
                  <c:v>-23.494242424242422</c:v>
                </c:pt>
                <c:pt idx="26" formatCode="General">
                  <c:v>-22.673636363636362</c:v>
                </c:pt>
                <c:pt idx="27" formatCode="General">
                  <c:v>-21.879696969696969</c:v>
                </c:pt>
                <c:pt idx="28" formatCode="General">
                  <c:v>-21.149090909090908</c:v>
                </c:pt>
                <c:pt idx="29" formatCode="General">
                  <c:v>-20.438181818181818</c:v>
                </c:pt>
                <c:pt idx="30" formatCode="General">
                  <c:v>-19.765454545454546</c:v>
                </c:pt>
                <c:pt idx="31" formatCode="General">
                  <c:v>-19.126686746987954</c:v>
                </c:pt>
                <c:pt idx="32" formatCode="General">
                  <c:v>-18.506204819277109</c:v>
                </c:pt>
                <c:pt idx="33" formatCode="General">
                  <c:v>-17.918000000000003</c:v>
                </c:pt>
                <c:pt idx="34" formatCode="General">
                  <c:v>-17.342484848484851</c:v>
                </c:pt>
                <c:pt idx="35" formatCode="General">
                  <c:v>-16.7909696969697</c:v>
                </c:pt>
                <c:pt idx="36" formatCode="General">
                  <c:v>-16.252000000000002</c:v>
                </c:pt>
                <c:pt idx="37" formatCode="General">
                  <c:v>-15.721119515885023</c:v>
                </c:pt>
                <c:pt idx="38" formatCode="General">
                  <c:v>-15.249107413010591</c:v>
                </c:pt>
                <c:pt idx="39" formatCode="General">
                  <c:v>-14.77709531013616</c:v>
                </c:pt>
                <c:pt idx="40" formatCode="General">
                  <c:v>-14.305083207261726</c:v>
                </c:pt>
                <c:pt idx="41" formatCode="General">
                  <c:v>-13.833071104387294</c:v>
                </c:pt>
                <c:pt idx="42" formatCode="General">
                  <c:v>-13.36105900151286</c:v>
                </c:pt>
                <c:pt idx="43" formatCode="General">
                  <c:v>-12.889046898638428</c:v>
                </c:pt>
                <c:pt idx="44" formatCode="General">
                  <c:v>-12.457367624810892</c:v>
                </c:pt>
                <c:pt idx="45" formatCode="General">
                  <c:v>-12.079152798789712</c:v>
                </c:pt>
                <c:pt idx="46" formatCode="General">
                  <c:v>-11.700937972768532</c:v>
                </c:pt>
                <c:pt idx="47" formatCode="General">
                  <c:v>-11.322723146747352</c:v>
                </c:pt>
                <c:pt idx="48" formatCode="General">
                  <c:v>-10.944508320726172</c:v>
                </c:pt>
                <c:pt idx="49" formatCode="General">
                  <c:v>-10.56629349470499</c:v>
                </c:pt>
                <c:pt idx="50" formatCode="General">
                  <c:v>-10.18807866868381</c:v>
                </c:pt>
                <c:pt idx="51" formatCode="General">
                  <c:v>-9.9633303030303022</c:v>
                </c:pt>
                <c:pt idx="52" formatCode="General">
                  <c:v>-9.7722696969696958</c:v>
                </c:pt>
                <c:pt idx="53" formatCode="General">
                  <c:v>-9.5812090909090895</c:v>
                </c:pt>
                <c:pt idx="54" formatCode="General">
                  <c:v>-9.3901484848484831</c:v>
                </c:pt>
                <c:pt idx="55" formatCode="General">
                  <c:v>-9.1990878787878785</c:v>
                </c:pt>
                <c:pt idx="56" formatCode="General">
                  <c:v>-9.0080272727272721</c:v>
                </c:pt>
                <c:pt idx="57" formatCode="General">
                  <c:v>-8.8458795180722891</c:v>
                </c:pt>
                <c:pt idx="58" formatCode="General">
                  <c:v>-8.7862409638554215</c:v>
                </c:pt>
                <c:pt idx="59" formatCode="General">
                  <c:v>-8.7443878787878795</c:v>
                </c:pt>
                <c:pt idx="60" formatCode="General">
                  <c:v>-8.7165090909090921</c:v>
                </c:pt>
                <c:pt idx="61" formatCode="General">
                  <c:v>-8.7068303030303031</c:v>
                </c:pt>
                <c:pt idx="62" formatCode="General">
                  <c:v>-8.7021030303030305</c:v>
                </c:pt>
                <c:pt idx="63" formatCode="General">
                  <c:v>-8.7063454545454544</c:v>
                </c:pt>
                <c:pt idx="64" formatCode="General">
                  <c:v>-8.7153939393939392</c:v>
                </c:pt>
                <c:pt idx="65" formatCode="General">
                  <c:v>-8.727515151515151</c:v>
                </c:pt>
                <c:pt idx="66" formatCode="General">
                  <c:v>-8.7430361445783138</c:v>
                </c:pt>
                <c:pt idx="67" formatCode="General">
                  <c:v>-8.7596363636363641</c:v>
                </c:pt>
                <c:pt idx="68" formatCode="General">
                  <c:v>-8.7784242424242418</c:v>
                </c:pt>
                <c:pt idx="69" formatCode="General">
                  <c:v>-8.798</c:v>
                </c:pt>
                <c:pt idx="70" formatCode="General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11EF-44BA-AAAA-9AD66152902A}"/>
            </c:ext>
          </c:extLst>
        </c:ser>
        <c:ser>
          <c:idx val="40"/>
          <c:order val="41"/>
          <c:tx>
            <c:strRef>
              <c:f>'Gibbs-EVAL'!$A$142</c:f>
              <c:strCache>
                <c:ptCount val="1"/>
                <c:pt idx="0">
                  <c:v>(1)Se[A]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'Gibbs-EVAL'!$B$142:$BT$142</c:f>
              <c:numCache>
                <c:formatCode>0</c:formatCode>
                <c:ptCount val="71"/>
                <c:pt idx="0">
                  <c:v>-22.065575757575758</c:v>
                </c:pt>
                <c:pt idx="1">
                  <c:v>-21.674060606060607</c:v>
                </c:pt>
                <c:pt idx="2" formatCode="General">
                  <c:v>-21.395272727272726</c:v>
                </c:pt>
                <c:pt idx="3" formatCode="General">
                  <c:v>-21.244787878787879</c:v>
                </c:pt>
                <c:pt idx="4" formatCode="General">
                  <c:v>-21.157019667170953</c:v>
                </c:pt>
                <c:pt idx="5" formatCode="General">
                  <c:v>-21.244765506807866</c:v>
                </c:pt>
                <c:pt idx="6" formatCode="General">
                  <c:v>-21.332511346444779</c:v>
                </c:pt>
                <c:pt idx="7" formatCode="General">
                  <c:v>-21.420257186081695</c:v>
                </c:pt>
                <c:pt idx="8" formatCode="General">
                  <c:v>-21.508003025718608</c:v>
                </c:pt>
                <c:pt idx="9" formatCode="General">
                  <c:v>-21.595748865355521</c:v>
                </c:pt>
                <c:pt idx="10" formatCode="General">
                  <c:v>-21.683494704992437</c:v>
                </c:pt>
                <c:pt idx="11" formatCode="General">
                  <c:v>-21.792666666666666</c:v>
                </c:pt>
                <c:pt idx="12" formatCode="General">
                  <c:v>-21.925999999999998</c:v>
                </c:pt>
                <c:pt idx="13" formatCode="General">
                  <c:v>-22.049393939393937</c:v>
                </c:pt>
                <c:pt idx="14" formatCode="General">
                  <c:v>-22.167409638554215</c:v>
                </c:pt>
                <c:pt idx="15" formatCode="General">
                  <c:v>-22.269819277108432</c:v>
                </c:pt>
                <c:pt idx="16" formatCode="General">
                  <c:v>-22.363272727272729</c:v>
                </c:pt>
                <c:pt idx="17" formatCode="General">
                  <c:v>-22.448121212121212</c:v>
                </c:pt>
                <c:pt idx="18" formatCode="General">
                  <c:v>-22.532969696969698</c:v>
                </c:pt>
                <c:pt idx="19" formatCode="General">
                  <c:v>-22.620363636363638</c:v>
                </c:pt>
                <c:pt idx="20" formatCode="General">
                  <c:v>-22.717333333333336</c:v>
                </c:pt>
                <c:pt idx="21" formatCode="General">
                  <c:v>-22.82448484848485</c:v>
                </c:pt>
                <c:pt idx="22" formatCode="General">
                  <c:v>-22.939636363636364</c:v>
                </c:pt>
                <c:pt idx="23" formatCode="General">
                  <c:v>-23.059638554216868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11EF-44BA-AAAA-9AD66152902A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  <c:pt idx="0">
                  <c:v>(1)Se[M]</c:v>
                </c:pt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-22.065575757575758</c:v>
                </c:pt>
                <c:pt idx="1">
                  <c:v>-21.674060606060607</c:v>
                </c:pt>
                <c:pt idx="2" formatCode="General">
                  <c:v>-21.395272727272726</c:v>
                </c:pt>
                <c:pt idx="3" formatCode="General">
                  <c:v>-21.244787878787879</c:v>
                </c:pt>
                <c:pt idx="4" formatCode="General">
                  <c:v>-21.157019667170953</c:v>
                </c:pt>
                <c:pt idx="5" formatCode="General">
                  <c:v>-21.244765506807866</c:v>
                </c:pt>
                <c:pt idx="6" formatCode="General">
                  <c:v>-21.332511346444779</c:v>
                </c:pt>
                <c:pt idx="7" formatCode="General">
                  <c:v>-21.420257186081695</c:v>
                </c:pt>
                <c:pt idx="8" formatCode="General">
                  <c:v>-21.508003025718608</c:v>
                </c:pt>
                <c:pt idx="9" formatCode="General">
                  <c:v>-21.595748865355521</c:v>
                </c:pt>
                <c:pt idx="10" formatCode="General">
                  <c:v>-21.683494704992437</c:v>
                </c:pt>
                <c:pt idx="11" formatCode="General">
                  <c:v>-21.792666666666666</c:v>
                </c:pt>
                <c:pt idx="12" formatCode="General">
                  <c:v>-21.925999999999998</c:v>
                </c:pt>
                <c:pt idx="13" formatCode="General">
                  <c:v>-22.049393939393937</c:v>
                </c:pt>
                <c:pt idx="14" formatCode="General">
                  <c:v>-22.167409638554215</c:v>
                </c:pt>
                <c:pt idx="15" formatCode="General">
                  <c:v>-22.269819277108432</c:v>
                </c:pt>
                <c:pt idx="16" formatCode="General">
                  <c:v>-22.363272727272729</c:v>
                </c:pt>
                <c:pt idx="17" formatCode="General">
                  <c:v>-22.448121212121212</c:v>
                </c:pt>
                <c:pt idx="18" formatCode="General">
                  <c:v>-22.532969696969698</c:v>
                </c:pt>
                <c:pt idx="19" formatCode="General">
                  <c:v>-22.620363636363638</c:v>
                </c:pt>
                <c:pt idx="20" formatCode="General">
                  <c:v>-22.717333333333336</c:v>
                </c:pt>
                <c:pt idx="21" formatCode="General">
                  <c:v>-22.82448484848485</c:v>
                </c:pt>
                <c:pt idx="22" formatCode="General">
                  <c:v>-22.939636363636364</c:v>
                </c:pt>
                <c:pt idx="23" formatCode="General">
                  <c:v>-23.059638554216868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11EF-44BA-AAAA-9AD66152902A}"/>
            </c:ext>
          </c:extLst>
        </c:ser>
        <c:ser>
          <c:idx val="42"/>
          <c:order val="43"/>
          <c:tx>
            <c:strRef>
              <c:f>'Gibbs-EVAL'!$A$144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'Gibbs-EVAL'!$B$144:$BT$144</c:f>
              <c:numCache>
                <c:formatCode>0</c:formatCode>
                <c:ptCount val="71"/>
                <c:pt idx="0">
                  <c:v>-22.065575757575758</c:v>
                </c:pt>
                <c:pt idx="1">
                  <c:v>-21.674060606060607</c:v>
                </c:pt>
                <c:pt idx="2" formatCode="General">
                  <c:v>-21.395272727272726</c:v>
                </c:pt>
                <c:pt idx="3" formatCode="General">
                  <c:v>-21.244787878787879</c:v>
                </c:pt>
                <c:pt idx="4" formatCode="General">
                  <c:v>-21.157019667170953</c:v>
                </c:pt>
                <c:pt idx="5" formatCode="General">
                  <c:v>-21.244765506807866</c:v>
                </c:pt>
                <c:pt idx="6" formatCode="General">
                  <c:v>-21.332511346444779</c:v>
                </c:pt>
                <c:pt idx="7" formatCode="General">
                  <c:v>-21.420257186081695</c:v>
                </c:pt>
                <c:pt idx="8" formatCode="General">
                  <c:v>-21.508003025718608</c:v>
                </c:pt>
                <c:pt idx="9" formatCode="General">
                  <c:v>-21.595748865355521</c:v>
                </c:pt>
                <c:pt idx="10" formatCode="General">
                  <c:v>-21.683494704992437</c:v>
                </c:pt>
                <c:pt idx="11" formatCode="General">
                  <c:v>-21.792666666666666</c:v>
                </c:pt>
                <c:pt idx="12" formatCode="General">
                  <c:v>-21.925999999999998</c:v>
                </c:pt>
                <c:pt idx="13" formatCode="General">
                  <c:v>-22.049393939393937</c:v>
                </c:pt>
                <c:pt idx="14" formatCode="General">
                  <c:v>-22.167409638554215</c:v>
                </c:pt>
                <c:pt idx="15" formatCode="General">
                  <c:v>-22.269819277108432</c:v>
                </c:pt>
                <c:pt idx="16" formatCode="General">
                  <c:v>-22.363272727272729</c:v>
                </c:pt>
                <c:pt idx="17" formatCode="General">
                  <c:v>-22.448121212121212</c:v>
                </c:pt>
                <c:pt idx="18" formatCode="General">
                  <c:v>-22.532969696969698</c:v>
                </c:pt>
                <c:pt idx="19" formatCode="General">
                  <c:v>-22.620363636363638</c:v>
                </c:pt>
                <c:pt idx="20" formatCode="General">
                  <c:v>-22.717333333333336</c:v>
                </c:pt>
                <c:pt idx="21" formatCode="General">
                  <c:v>-22.82448484848485</c:v>
                </c:pt>
                <c:pt idx="22" formatCode="General">
                  <c:v>-22.939636363636364</c:v>
                </c:pt>
                <c:pt idx="23" formatCode="General">
                  <c:v>-23.059638554216868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11EF-44BA-AAAA-9AD66152902A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  <c:pt idx="0">
                  <c:v>(2)Ga[l]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-60.735090909090907</c:v>
                </c:pt>
                <c:pt idx="1">
                  <c:v>-58.673878787878785</c:v>
                </c:pt>
                <c:pt idx="2" formatCode="General">
                  <c:v>-56.631454545454545</c:v>
                </c:pt>
                <c:pt idx="3" formatCode="General">
                  <c:v>-54.589030303030299</c:v>
                </c:pt>
                <c:pt idx="4" formatCode="General">
                  <c:v>-52.560166414523451</c:v>
                </c:pt>
                <c:pt idx="5" formatCode="General">
                  <c:v>-50.687246596066565</c:v>
                </c:pt>
                <c:pt idx="6" formatCode="General">
                  <c:v>-48.814326777609679</c:v>
                </c:pt>
                <c:pt idx="7" formatCode="General">
                  <c:v>-46.9414069591528</c:v>
                </c:pt>
                <c:pt idx="8" formatCode="General">
                  <c:v>-45.068487140695915</c:v>
                </c:pt>
                <c:pt idx="9" formatCode="General">
                  <c:v>-43.195567322239029</c:v>
                </c:pt>
                <c:pt idx="10" formatCode="General">
                  <c:v>-41.32264750378215</c:v>
                </c:pt>
                <c:pt idx="11" formatCode="General">
                  <c:v>-39.589393939393936</c:v>
                </c:pt>
                <c:pt idx="12" formatCode="General">
                  <c:v>-38.013636363636365</c:v>
                </c:pt>
                <c:pt idx="13" formatCode="General">
                  <c:v>-36.542242424242424</c:v>
                </c:pt>
                <c:pt idx="14" formatCode="General">
                  <c:v>-35.117771084337356</c:v>
                </c:pt>
                <c:pt idx="15" formatCode="General">
                  <c:v>-33.810542168674701</c:v>
                </c:pt>
                <c:pt idx="16" formatCode="General">
                  <c:v>-32.561090909090908</c:v>
                </c:pt>
                <c:pt idx="17" formatCode="General">
                  <c:v>-31.367151515151512</c:v>
                </c:pt>
                <c:pt idx="18" formatCode="General">
                  <c:v>-30.256606060606057</c:v>
                </c:pt>
                <c:pt idx="19" formatCode="General">
                  <c:v>-29.173636363636362</c:v>
                </c:pt>
                <c:pt idx="20" formatCode="General">
                  <c:v>-28.143333333333331</c:v>
                </c:pt>
                <c:pt idx="21" formatCode="General">
                  <c:v>-27.143575757575757</c:v>
                </c:pt>
                <c:pt idx="22" formatCode="General">
                  <c:v>-26.167818181818177</c:v>
                </c:pt>
                <c:pt idx="23" formatCode="General">
                  <c:v>-25.252228915662648</c:v>
                </c:pt>
                <c:pt idx="24" formatCode="General">
                  <c:v>-24.354848484848485</c:v>
                </c:pt>
                <c:pt idx="25" formatCode="General">
                  <c:v>-23.494242424242422</c:v>
                </c:pt>
                <c:pt idx="26" formatCode="General">
                  <c:v>-22.673636363636362</c:v>
                </c:pt>
                <c:pt idx="27" formatCode="General">
                  <c:v>-21.879696969696969</c:v>
                </c:pt>
                <c:pt idx="28" formatCode="General">
                  <c:v>-21.149090909090908</c:v>
                </c:pt>
                <c:pt idx="29" formatCode="General">
                  <c:v>-20.438181818181818</c:v>
                </c:pt>
                <c:pt idx="30" formatCode="General">
                  <c:v>-19.765454545454546</c:v>
                </c:pt>
                <c:pt idx="31" formatCode="General">
                  <c:v>-19.126686746987954</c:v>
                </c:pt>
                <c:pt idx="32" formatCode="General">
                  <c:v>-18.506204819277109</c:v>
                </c:pt>
                <c:pt idx="33" formatCode="General">
                  <c:v>-17.918000000000003</c:v>
                </c:pt>
                <c:pt idx="34" formatCode="General">
                  <c:v>-17.342484848484851</c:v>
                </c:pt>
                <c:pt idx="35" formatCode="General">
                  <c:v>-16.7909696969697</c:v>
                </c:pt>
                <c:pt idx="36" formatCode="General">
                  <c:v>-16.252000000000002</c:v>
                </c:pt>
                <c:pt idx="37" formatCode="General">
                  <c:v>-15.721119515885023</c:v>
                </c:pt>
                <c:pt idx="38" formatCode="General">
                  <c:v>-15.249107413010591</c:v>
                </c:pt>
                <c:pt idx="39" formatCode="General">
                  <c:v>-14.77709531013616</c:v>
                </c:pt>
                <c:pt idx="40" formatCode="General">
                  <c:v>-14.305083207261726</c:v>
                </c:pt>
                <c:pt idx="41" formatCode="General">
                  <c:v>-13.833071104387294</c:v>
                </c:pt>
                <c:pt idx="42" formatCode="General">
                  <c:v>-13.36105900151286</c:v>
                </c:pt>
                <c:pt idx="43" formatCode="General">
                  <c:v>-12.889046898638428</c:v>
                </c:pt>
                <c:pt idx="44" formatCode="General">
                  <c:v>-12.457367624810892</c:v>
                </c:pt>
                <c:pt idx="45" formatCode="General">
                  <c:v>-12.079152798789712</c:v>
                </c:pt>
                <c:pt idx="46" formatCode="General">
                  <c:v>-11.700937972768532</c:v>
                </c:pt>
                <c:pt idx="47" formatCode="General">
                  <c:v>-11.322723146747352</c:v>
                </c:pt>
                <c:pt idx="48" formatCode="General">
                  <c:v>-10.944508320726172</c:v>
                </c:pt>
                <c:pt idx="49" formatCode="General">
                  <c:v>-10.56629349470499</c:v>
                </c:pt>
                <c:pt idx="50" formatCode="General">
                  <c:v>-10.18807866868381</c:v>
                </c:pt>
                <c:pt idx="51" formatCode="General">
                  <c:v>-9.9633303030303022</c:v>
                </c:pt>
                <c:pt idx="52" formatCode="General">
                  <c:v>-9.7722696969696958</c:v>
                </c:pt>
                <c:pt idx="53" formatCode="General">
                  <c:v>-9.5812090909090895</c:v>
                </c:pt>
                <c:pt idx="54" formatCode="General">
                  <c:v>-9.3901484848484831</c:v>
                </c:pt>
                <c:pt idx="55" formatCode="General">
                  <c:v>-9.1990878787878785</c:v>
                </c:pt>
                <c:pt idx="56" formatCode="General">
                  <c:v>-9.0080272727272721</c:v>
                </c:pt>
                <c:pt idx="57" formatCode="General">
                  <c:v>-8.8458795180722891</c:v>
                </c:pt>
                <c:pt idx="58" formatCode="General">
                  <c:v>-8.7862409638554215</c:v>
                </c:pt>
                <c:pt idx="59" formatCode="General">
                  <c:v>-8.7443878787878795</c:v>
                </c:pt>
                <c:pt idx="60" formatCode="General">
                  <c:v>-8.7165090909090921</c:v>
                </c:pt>
                <c:pt idx="61" formatCode="General">
                  <c:v>-8.7068303030303031</c:v>
                </c:pt>
                <c:pt idx="62" formatCode="General">
                  <c:v>-8.7021030303030305</c:v>
                </c:pt>
                <c:pt idx="63" formatCode="General">
                  <c:v>-8.7063454545454544</c:v>
                </c:pt>
                <c:pt idx="64" formatCode="General">
                  <c:v>-8.7153939393939392</c:v>
                </c:pt>
                <c:pt idx="65" formatCode="General">
                  <c:v>-8.727515151515151</c:v>
                </c:pt>
                <c:pt idx="66" formatCode="General">
                  <c:v>-8.7430361445783138</c:v>
                </c:pt>
                <c:pt idx="67" formatCode="General">
                  <c:v>-8.7596363636363641</c:v>
                </c:pt>
                <c:pt idx="68" formatCode="General">
                  <c:v>-8.7784242424242418</c:v>
                </c:pt>
                <c:pt idx="69" formatCode="General">
                  <c:v>-8.798</c:v>
                </c:pt>
                <c:pt idx="70" formatCode="General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11EF-44BA-AAAA-9AD66152902A}"/>
            </c:ext>
          </c:extLst>
        </c:ser>
        <c:ser>
          <c:idx val="44"/>
          <c:order val="45"/>
          <c:tx>
            <c:strRef>
              <c:f>'Gibbs-EVAL'!$A$146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'Gibbs-EVAL'!$B$146:$BT$146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-18.631089258698939</c:v>
                </c:pt>
                <c:pt idx="5" formatCode="General">
                  <c:v>-18.644704992435702</c:v>
                </c:pt>
                <c:pt idx="6" formatCode="General">
                  <c:v>-18.658320726172466</c:v>
                </c:pt>
                <c:pt idx="7" formatCode="General">
                  <c:v>-18.671936459909226</c:v>
                </c:pt>
                <c:pt idx="8" formatCode="General">
                  <c:v>-18.685552193645989</c:v>
                </c:pt>
                <c:pt idx="9" formatCode="General">
                  <c:v>-18.699167927382753</c:v>
                </c:pt>
                <c:pt idx="10" formatCode="General">
                  <c:v>-18.712783661119516</c:v>
                </c:pt>
                <c:pt idx="11" formatCode="General">
                  <c:v>-18.728545454545454</c:v>
                </c:pt>
                <c:pt idx="12" formatCode="General">
                  <c:v>-18.746727272727274</c:v>
                </c:pt>
                <c:pt idx="13" formatCode="General">
                  <c:v>-18.764909090909093</c:v>
                </c:pt>
                <c:pt idx="14" formatCode="General">
                  <c:v>-18.783072289156628</c:v>
                </c:pt>
                <c:pt idx="15" formatCode="General">
                  <c:v>-18.801144578313252</c:v>
                </c:pt>
                <c:pt idx="16" formatCode="General">
                  <c:v>-18.819272727272725</c:v>
                </c:pt>
                <c:pt idx="17" formatCode="General">
                  <c:v>-18.837454545454545</c:v>
                </c:pt>
                <c:pt idx="18" formatCode="General">
                  <c:v>-18.855636363636364</c:v>
                </c:pt>
                <c:pt idx="19" formatCode="General">
                  <c:v>-18.873818181818184</c:v>
                </c:pt>
                <c:pt idx="20" formatCode="General">
                  <c:v>-18.891999999999999</c:v>
                </c:pt>
                <c:pt idx="21" formatCode="General">
                  <c:v>-18.913575757575757</c:v>
                </c:pt>
                <c:pt idx="22" formatCode="General">
                  <c:v>-18.937818181818184</c:v>
                </c:pt>
                <c:pt idx="23" formatCode="General">
                  <c:v>-18.95644578313253</c:v>
                </c:pt>
                <c:pt idx="24" formatCode="General">
                  <c:v>-18.976060606060607</c:v>
                </c:pt>
                <c:pt idx="25" formatCode="General">
                  <c:v>-19.00030303030303</c:v>
                </c:pt>
                <c:pt idx="26" formatCode="General">
                  <c:v>-19.020909090909093</c:v>
                </c:pt>
                <c:pt idx="27" formatCode="General">
                  <c:v>-19.039090909090909</c:v>
                </c:pt>
                <c:pt idx="28" formatCode="General">
                  <c:v>-19.057272727272728</c:v>
                </c:pt>
                <c:pt idx="29" formatCode="General">
                  <c:v>-19.077272727272728</c:v>
                </c:pt>
                <c:pt idx="30" formatCode="General">
                  <c:v>-19.101515151515152</c:v>
                </c:pt>
                <c:pt idx="31" formatCode="General">
                  <c:v>-19.121746987951806</c:v>
                </c:pt>
                <c:pt idx="32" formatCode="General">
                  <c:v>-19.139819277108433</c:v>
                </c:pt>
                <c:pt idx="33" formatCode="General">
                  <c:v>-19.164000000000001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-19.388456883509832</c:v>
                </c:pt>
                <c:pt idx="45" formatCode="General">
                  <c:v>-19.408124054462935</c:v>
                </c:pt>
                <c:pt idx="46" formatCode="General">
                  <c:v>-19.427791225416037</c:v>
                </c:pt>
                <c:pt idx="47" formatCode="General">
                  <c:v>-19.447458396369139</c:v>
                </c:pt>
                <c:pt idx="48" formatCode="General">
                  <c:v>-19.467125567322238</c:v>
                </c:pt>
                <c:pt idx="49" formatCode="General">
                  <c:v>-19.486792738275341</c:v>
                </c:pt>
                <c:pt idx="50" formatCode="General">
                  <c:v>-19.506459909228443</c:v>
                </c:pt>
                <c:pt idx="51" formatCode="General">
                  <c:v>-19.526151515151518</c:v>
                </c:pt>
                <c:pt idx="52" formatCode="General">
                  <c:v>-19.545848484848488</c:v>
                </c:pt>
                <c:pt idx="53" formatCode="General">
                  <c:v>-19.565545454545457</c:v>
                </c:pt>
                <c:pt idx="54" formatCode="General">
                  <c:v>-19.585242424242427</c:v>
                </c:pt>
                <c:pt idx="55" formatCode="General">
                  <c:v>-19.604939393939397</c:v>
                </c:pt>
                <c:pt idx="56" formatCode="General">
                  <c:v>-19.624636363636366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11EF-44BA-AAAA-9AD66152902A}"/>
            </c:ext>
          </c:extLst>
        </c:ser>
        <c:ser>
          <c:idx val="45"/>
          <c:order val="46"/>
          <c:tx>
            <c:strRef>
              <c:f>'Gibbs-EVAL'!$A$147</c:f>
              <c:strCache>
                <c:ptCount val="1"/>
                <c:pt idx="0">
                  <c:v>H (Ga)</c:v>
                </c:pt>
              </c:strCache>
            </c:strRef>
          </c:tx>
          <c:spPr>
            <a:ln>
              <a:solidFill>
                <a:schemeClr val="accent1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'Gibbs-EVAL'!$B$147:$BT$147</c:f>
              <c:numCache>
                <c:formatCode>0</c:formatCode>
                <c:ptCount val="71"/>
                <c:pt idx="0">
                  <c:v>-60.735090909090907</c:v>
                </c:pt>
                <c:pt idx="1">
                  <c:v>-58.673878787878785</c:v>
                </c:pt>
                <c:pt idx="2" formatCode="General">
                  <c:v>-56.631454545454545</c:v>
                </c:pt>
                <c:pt idx="3" formatCode="General">
                  <c:v>-54.589030303030299</c:v>
                </c:pt>
                <c:pt idx="4" formatCode="General">
                  <c:v>-52.560166414523451</c:v>
                </c:pt>
                <c:pt idx="5" formatCode="General">
                  <c:v>-50.687246596066565</c:v>
                </c:pt>
                <c:pt idx="6" formatCode="General">
                  <c:v>-48.814326777609679</c:v>
                </c:pt>
                <c:pt idx="7" formatCode="General">
                  <c:v>-46.9414069591528</c:v>
                </c:pt>
                <c:pt idx="8" formatCode="General">
                  <c:v>-45.068487140695915</c:v>
                </c:pt>
                <c:pt idx="9" formatCode="General">
                  <c:v>-43.195567322239029</c:v>
                </c:pt>
                <c:pt idx="10" formatCode="General">
                  <c:v>-41.32264750378215</c:v>
                </c:pt>
                <c:pt idx="11" formatCode="General">
                  <c:v>-39.589393939393936</c:v>
                </c:pt>
                <c:pt idx="12" formatCode="General">
                  <c:v>-38.013636363636365</c:v>
                </c:pt>
                <c:pt idx="13" formatCode="General">
                  <c:v>-36.542242424242424</c:v>
                </c:pt>
                <c:pt idx="14" formatCode="General">
                  <c:v>-35.117771084337356</c:v>
                </c:pt>
                <c:pt idx="15" formatCode="General">
                  <c:v>-33.810542168674701</c:v>
                </c:pt>
                <c:pt idx="16" formatCode="General">
                  <c:v>-32.561090909090908</c:v>
                </c:pt>
                <c:pt idx="17" formatCode="General">
                  <c:v>-31.367151515151512</c:v>
                </c:pt>
                <c:pt idx="18" formatCode="General">
                  <c:v>-30.256606060606057</c:v>
                </c:pt>
                <c:pt idx="19" formatCode="General">
                  <c:v>-29.173636363636362</c:v>
                </c:pt>
                <c:pt idx="20" formatCode="General">
                  <c:v>-28.143333333333331</c:v>
                </c:pt>
                <c:pt idx="21" formatCode="General">
                  <c:v>-27.143575757575757</c:v>
                </c:pt>
                <c:pt idx="22" formatCode="General">
                  <c:v>-26.167818181818177</c:v>
                </c:pt>
                <c:pt idx="23" formatCode="General">
                  <c:v>-25.252228915662648</c:v>
                </c:pt>
                <c:pt idx="24" formatCode="General">
                  <c:v>-24.354848484848485</c:v>
                </c:pt>
                <c:pt idx="25" formatCode="General">
                  <c:v>-23.494242424242422</c:v>
                </c:pt>
                <c:pt idx="26" formatCode="General">
                  <c:v>-22.673636363636362</c:v>
                </c:pt>
                <c:pt idx="27" formatCode="General">
                  <c:v>-21.879696969696969</c:v>
                </c:pt>
                <c:pt idx="28" formatCode="General">
                  <c:v>-21.149090909090908</c:v>
                </c:pt>
                <c:pt idx="29" formatCode="General">
                  <c:v>-20.438181818181818</c:v>
                </c:pt>
                <c:pt idx="30" formatCode="General">
                  <c:v>-19.765454545454546</c:v>
                </c:pt>
                <c:pt idx="31" formatCode="General">
                  <c:v>-19.126686746987954</c:v>
                </c:pt>
                <c:pt idx="32" formatCode="General">
                  <c:v>-18.506204819277109</c:v>
                </c:pt>
                <c:pt idx="33" formatCode="General">
                  <c:v>-17.918000000000003</c:v>
                </c:pt>
                <c:pt idx="34" formatCode="General">
                  <c:v>-17.342484848484851</c:v>
                </c:pt>
                <c:pt idx="35" formatCode="General">
                  <c:v>-16.7909696969697</c:v>
                </c:pt>
                <c:pt idx="36" formatCode="General">
                  <c:v>-16.252000000000002</c:v>
                </c:pt>
                <c:pt idx="37" formatCode="General">
                  <c:v>-15.721119515885023</c:v>
                </c:pt>
                <c:pt idx="38" formatCode="General">
                  <c:v>-15.249107413010591</c:v>
                </c:pt>
                <c:pt idx="39" formatCode="General">
                  <c:v>-14.77709531013616</c:v>
                </c:pt>
                <c:pt idx="40" formatCode="General">
                  <c:v>-14.305083207261726</c:v>
                </c:pt>
                <c:pt idx="41" formatCode="General">
                  <c:v>-13.833071104387294</c:v>
                </c:pt>
                <c:pt idx="42" formatCode="General">
                  <c:v>-13.36105900151286</c:v>
                </c:pt>
                <c:pt idx="43" formatCode="General">
                  <c:v>-12.889046898638428</c:v>
                </c:pt>
                <c:pt idx="44" formatCode="General">
                  <c:v>-12.457367624810892</c:v>
                </c:pt>
                <c:pt idx="45" formatCode="General">
                  <c:v>-12.079152798789712</c:v>
                </c:pt>
                <c:pt idx="46" formatCode="General">
                  <c:v>-11.700937972768532</c:v>
                </c:pt>
                <c:pt idx="47" formatCode="General">
                  <c:v>-11.322723146747352</c:v>
                </c:pt>
                <c:pt idx="48" formatCode="General">
                  <c:v>-10.944508320726172</c:v>
                </c:pt>
                <c:pt idx="49" formatCode="General">
                  <c:v>-10.56629349470499</c:v>
                </c:pt>
                <c:pt idx="50" formatCode="General">
                  <c:v>-10.18807866868381</c:v>
                </c:pt>
                <c:pt idx="51" formatCode="General">
                  <c:v>-9.9633303030303022</c:v>
                </c:pt>
                <c:pt idx="52" formatCode="General">
                  <c:v>-9.7722696969696958</c:v>
                </c:pt>
                <c:pt idx="53" formatCode="General">
                  <c:v>-9.5812090909090895</c:v>
                </c:pt>
                <c:pt idx="54" formatCode="General">
                  <c:v>-9.3901484848484831</c:v>
                </c:pt>
                <c:pt idx="55" formatCode="General">
                  <c:v>-9.1990878787878785</c:v>
                </c:pt>
                <c:pt idx="56" formatCode="General">
                  <c:v>-9.0080272727272721</c:v>
                </c:pt>
                <c:pt idx="57" formatCode="General">
                  <c:v>-8.8458795180722891</c:v>
                </c:pt>
                <c:pt idx="58" formatCode="General">
                  <c:v>-8.7862409638554215</c:v>
                </c:pt>
                <c:pt idx="59" formatCode="General">
                  <c:v>-8.7443878787878795</c:v>
                </c:pt>
                <c:pt idx="60" formatCode="General">
                  <c:v>-8.7165090909090921</c:v>
                </c:pt>
                <c:pt idx="61" formatCode="General">
                  <c:v>-8.7068303030303031</c:v>
                </c:pt>
                <c:pt idx="62" formatCode="General">
                  <c:v>-8.7021030303030305</c:v>
                </c:pt>
                <c:pt idx="63" formatCode="General">
                  <c:v>-8.7063454545454544</c:v>
                </c:pt>
                <c:pt idx="64" formatCode="General">
                  <c:v>-8.7153939393939392</c:v>
                </c:pt>
                <c:pt idx="65" formatCode="General">
                  <c:v>-8.727515151515151</c:v>
                </c:pt>
                <c:pt idx="66" formatCode="General">
                  <c:v>-8.7430361445783138</c:v>
                </c:pt>
                <c:pt idx="67" formatCode="General">
                  <c:v>-8.7596363636363641</c:v>
                </c:pt>
                <c:pt idx="68" formatCode="General">
                  <c:v>-8.7784242424242418</c:v>
                </c:pt>
                <c:pt idx="69" formatCode="General">
                  <c:v>-8.798</c:v>
                </c:pt>
                <c:pt idx="70" formatCode="General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11EF-44BA-AAAA-9AD66152902A}"/>
            </c:ext>
          </c:extLst>
        </c:ser>
        <c:ser>
          <c:idx val="46"/>
          <c:order val="47"/>
          <c:tx>
            <c:strRef>
              <c:f>'Gibbs-EVAL'!$A$148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'Gibbs-EVAL'!$B$148:$BT$148</c:f>
              <c:numCache>
                <c:formatCode>0</c:formatCode>
                <c:ptCount val="71"/>
                <c:pt idx="0">
                  <c:v>-15.805636363636363</c:v>
                </c:pt>
                <c:pt idx="1">
                  <c:v>-15.261999999999999</c:v>
                </c:pt>
                <c:pt idx="2" formatCode="General">
                  <c:v>-14.661999999999999</c:v>
                </c:pt>
                <c:pt idx="3" formatCode="General">
                  <c:v>-14.004484848484848</c:v>
                </c:pt>
                <c:pt idx="4" formatCode="General">
                  <c:v>-13.326287443267777</c:v>
                </c:pt>
                <c:pt idx="5" formatCode="General">
                  <c:v>-12.654880484114978</c:v>
                </c:pt>
                <c:pt idx="6" formatCode="General">
                  <c:v>-11.983473524962179</c:v>
                </c:pt>
                <c:pt idx="7" formatCode="General">
                  <c:v>-11.31206656580938</c:v>
                </c:pt>
                <c:pt idx="8" formatCode="General">
                  <c:v>-10.64065960665658</c:v>
                </c:pt>
                <c:pt idx="9" formatCode="General">
                  <c:v>-9.969252647503783</c:v>
                </c:pt>
                <c:pt idx="10" formatCode="General">
                  <c:v>-9.2978456883509839</c:v>
                </c:pt>
                <c:pt idx="11" formatCode="General">
                  <c:v>-8.67908484848485</c:v>
                </c:pt>
                <c:pt idx="12" formatCode="General">
                  <c:v>-8.1196909090909095</c:v>
                </c:pt>
                <c:pt idx="13" formatCode="General">
                  <c:v>-7.619436363636364</c:v>
                </c:pt>
                <c:pt idx="14" formatCode="General">
                  <c:v>-7.1476144578313257</c:v>
                </c:pt>
                <c:pt idx="15" formatCode="General">
                  <c:v>-6.7512289156626508</c:v>
                </c:pt>
                <c:pt idx="16" formatCode="General">
                  <c:v>-6.4021454545454546</c:v>
                </c:pt>
                <c:pt idx="17" formatCode="General">
                  <c:v>-6.09850909090909</c:v>
                </c:pt>
                <c:pt idx="18" formatCode="General">
                  <c:v>-5.8730545454545453</c:v>
                </c:pt>
                <c:pt idx="19" formatCode="General">
                  <c:v>-5.6767454545454541</c:v>
                </c:pt>
                <c:pt idx="20" formatCode="General">
                  <c:v>-5.5421999999999993</c:v>
                </c:pt>
                <c:pt idx="21" formatCode="General">
                  <c:v>-5.4426121212121208</c:v>
                </c:pt>
                <c:pt idx="22" formatCode="General">
                  <c:v>-5.3704909090909085</c:v>
                </c:pt>
                <c:pt idx="23" formatCode="General">
                  <c:v>-5.3393313253012051</c:v>
                </c:pt>
                <c:pt idx="24" formatCode="General">
                  <c:v>-5.319</c:v>
                </c:pt>
                <c:pt idx="25" formatCode="General">
                  <c:v>-5.319</c:v>
                </c:pt>
                <c:pt idx="26" formatCode="General">
                  <c:v>-5.3280909090909088</c:v>
                </c:pt>
                <c:pt idx="27" formatCode="General">
                  <c:v>-5.3432424242424243</c:v>
                </c:pt>
                <c:pt idx="28" formatCode="General">
                  <c:v>-5.3641515151515149</c:v>
                </c:pt>
                <c:pt idx="29" formatCode="General">
                  <c:v>-5.3860909090909086</c:v>
                </c:pt>
                <c:pt idx="30" formatCode="General">
                  <c:v>-5.4097272727272729</c:v>
                </c:pt>
                <c:pt idx="31" formatCode="General">
                  <c:v>-5.4340542168674695</c:v>
                </c:pt>
                <c:pt idx="32" formatCode="General">
                  <c:v>-5.4587530120481924</c:v>
                </c:pt>
                <c:pt idx="33" formatCode="General">
                  <c:v>-5.4829999999999997</c:v>
                </c:pt>
                <c:pt idx="34" formatCode="General">
                  <c:v>-5.5074484848484841</c:v>
                </c:pt>
                <c:pt idx="35" formatCode="General">
                  <c:v>-5.5322969696969695</c:v>
                </c:pt>
                <c:pt idx="36" formatCode="General">
                  <c:v>-5.5567272727272723</c:v>
                </c:pt>
                <c:pt idx="37" formatCode="General">
                  <c:v>-5.5809863842662635</c:v>
                </c:pt>
                <c:pt idx="38" formatCode="General">
                  <c:v>-5.6056459909228442</c:v>
                </c:pt>
                <c:pt idx="39" formatCode="General">
                  <c:v>-5.6303055975794249</c:v>
                </c:pt>
                <c:pt idx="40" formatCode="General">
                  <c:v>-5.6549652042360066</c:v>
                </c:pt>
                <c:pt idx="41" formatCode="General">
                  <c:v>-5.6796248108925873</c:v>
                </c:pt>
                <c:pt idx="42" formatCode="General">
                  <c:v>-5.704284417549168</c:v>
                </c:pt>
                <c:pt idx="43" formatCode="General">
                  <c:v>-5.7289440242057488</c:v>
                </c:pt>
                <c:pt idx="44" formatCode="General">
                  <c:v>-5.7543192133131624</c:v>
                </c:pt>
                <c:pt idx="45" formatCode="General">
                  <c:v>-5.7806429652042359</c:v>
                </c:pt>
                <c:pt idx="46" formatCode="General">
                  <c:v>-5.8069667170953103</c:v>
                </c:pt>
                <c:pt idx="47" formatCode="General">
                  <c:v>-5.8332904689863847</c:v>
                </c:pt>
                <c:pt idx="48" formatCode="General">
                  <c:v>-5.8596142208774582</c:v>
                </c:pt>
                <c:pt idx="49" formatCode="General">
                  <c:v>-5.8859379727685326</c:v>
                </c:pt>
                <c:pt idx="50" formatCode="General">
                  <c:v>-5.912261724659607</c:v>
                </c:pt>
                <c:pt idx="51" formatCode="General">
                  <c:v>-5.942966666666667</c:v>
                </c:pt>
                <c:pt idx="52" formatCode="General">
                  <c:v>-5.9746333333333332</c:v>
                </c:pt>
                <c:pt idx="53" formatCode="General">
                  <c:v>-6.0063000000000004</c:v>
                </c:pt>
                <c:pt idx="54" formatCode="General">
                  <c:v>-6.0379666666666667</c:v>
                </c:pt>
                <c:pt idx="55" formatCode="General">
                  <c:v>-6.0696333333333339</c:v>
                </c:pt>
                <c:pt idx="56" formatCode="General">
                  <c:v>-6.1013000000000002</c:v>
                </c:pt>
                <c:pt idx="57" formatCode="General">
                  <c:v>-6.132493975903615</c:v>
                </c:pt>
                <c:pt idx="58" formatCode="General">
                  <c:v>-6.1620120481927714</c:v>
                </c:pt>
                <c:pt idx="59" formatCode="General">
                  <c:v>-6.190612121212121</c:v>
                </c:pt>
                <c:pt idx="60" formatCode="General">
                  <c:v>-6.2184909090909093</c:v>
                </c:pt>
                <c:pt idx="61" formatCode="General">
                  <c:v>-6.2441636363636368</c:v>
                </c:pt>
                <c:pt idx="62" formatCode="General">
                  <c:v>-6.2693030303030302</c:v>
                </c:pt>
                <c:pt idx="63" formatCode="General">
                  <c:v>-6.2935454545454546</c:v>
                </c:pt>
                <c:pt idx="64" formatCode="General">
                  <c:v>-6.3174181818181818</c:v>
                </c:pt>
                <c:pt idx="65" formatCode="General">
                  <c:v>-6.3410545454545453</c:v>
                </c:pt>
                <c:pt idx="66" formatCode="General">
                  <c:v>-6.363397590361445</c:v>
                </c:pt>
                <c:pt idx="67" formatCode="General">
                  <c:v>-6.385727272727272</c:v>
                </c:pt>
                <c:pt idx="68" formatCode="General">
                  <c:v>-6.4081515151515154</c:v>
                </c:pt>
                <c:pt idx="69" formatCode="General">
                  <c:v>-6.4301818181818184</c:v>
                </c:pt>
                <c:pt idx="70" formatCode="General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11EF-44BA-AAAA-9AD66152902A}"/>
            </c:ext>
          </c:extLst>
        </c:ser>
        <c:ser>
          <c:idx val="47"/>
          <c:order val="48"/>
          <c:tx>
            <c:strRef>
              <c:f>'Gibbs-EVAL'!$A$149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'Gibbs-EVAL'!$B$149:$BT$149</c:f>
              <c:numCache>
                <c:formatCode>0</c:formatCode>
                <c:ptCount val="71"/>
                <c:pt idx="0">
                  <c:v>-22.065575757575758</c:v>
                </c:pt>
                <c:pt idx="1">
                  <c:v>-21.674060606060607</c:v>
                </c:pt>
                <c:pt idx="2" formatCode="General">
                  <c:v>-21.395272727272726</c:v>
                </c:pt>
                <c:pt idx="3" formatCode="General">
                  <c:v>-21.244787878787879</c:v>
                </c:pt>
                <c:pt idx="4" formatCode="General">
                  <c:v>-21.157019667170953</c:v>
                </c:pt>
                <c:pt idx="5" formatCode="General">
                  <c:v>-21.244765506807866</c:v>
                </c:pt>
                <c:pt idx="6" formatCode="General">
                  <c:v>-21.332511346444779</c:v>
                </c:pt>
                <c:pt idx="7" formatCode="General">
                  <c:v>-21.420257186081695</c:v>
                </c:pt>
                <c:pt idx="8" formatCode="General">
                  <c:v>-21.508003025718608</c:v>
                </c:pt>
                <c:pt idx="9" formatCode="General">
                  <c:v>-21.595748865355521</c:v>
                </c:pt>
                <c:pt idx="10" formatCode="General">
                  <c:v>-21.683494704992437</c:v>
                </c:pt>
                <c:pt idx="11" formatCode="General">
                  <c:v>-21.792666666666666</c:v>
                </c:pt>
                <c:pt idx="12" formatCode="General">
                  <c:v>-21.925999999999998</c:v>
                </c:pt>
                <c:pt idx="13" formatCode="General">
                  <c:v>-22.049393939393937</c:v>
                </c:pt>
                <c:pt idx="14" formatCode="General">
                  <c:v>-22.167409638554215</c:v>
                </c:pt>
                <c:pt idx="15" formatCode="General">
                  <c:v>-22.269819277108432</c:v>
                </c:pt>
                <c:pt idx="16" formatCode="General">
                  <c:v>-22.363272727272729</c:v>
                </c:pt>
                <c:pt idx="17" formatCode="General">
                  <c:v>-22.448121212121212</c:v>
                </c:pt>
                <c:pt idx="18" formatCode="General">
                  <c:v>-22.532969696969698</c:v>
                </c:pt>
                <c:pt idx="19" formatCode="General">
                  <c:v>-22.620363636363638</c:v>
                </c:pt>
                <c:pt idx="20" formatCode="General">
                  <c:v>-22.717333333333336</c:v>
                </c:pt>
                <c:pt idx="21" formatCode="General">
                  <c:v>-22.82448484848485</c:v>
                </c:pt>
                <c:pt idx="22" formatCode="General">
                  <c:v>-22.939636363636364</c:v>
                </c:pt>
                <c:pt idx="23" formatCode="General">
                  <c:v>-23.059638554216868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11EF-44BA-AAAA-9AD66152902A}"/>
            </c:ext>
          </c:extLst>
        </c:ser>
        <c:ser>
          <c:idx val="48"/>
          <c:order val="49"/>
          <c:tx>
            <c:strRef>
              <c:f>'Gibbs-EVAL'!$A$150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11EF-44BA-AAAA-9AD66152902A}"/>
            </c:ext>
          </c:extLst>
        </c:ser>
        <c:ser>
          <c:idx val="49"/>
          <c:order val="50"/>
          <c:tx>
            <c:strRef>
              <c:f>'Gibbs-EVAL'!$A$151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11EF-44BA-AAAA-9AD66152902A}"/>
            </c:ext>
          </c:extLst>
        </c:ser>
        <c:ser>
          <c:idx val="50"/>
          <c:order val="51"/>
          <c:tx>
            <c:strRef>
              <c:f>'Gibbs-EVAL'!$A$152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8-11EF-44BA-AAAA-9AD66152902A}"/>
            </c:ext>
          </c:extLst>
        </c:ser>
        <c:ser>
          <c:idx val="51"/>
          <c:order val="52"/>
          <c:tx>
            <c:strRef>
              <c:f>'Gibbs-EVAL'!$A$153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9-11EF-44BA-AAAA-9AD66152902A}"/>
            </c:ext>
          </c:extLst>
        </c:ser>
        <c:ser>
          <c:idx val="52"/>
          <c:order val="53"/>
          <c:tx>
            <c:strRef>
              <c:f>'Gibbs-EVAL'!$A$154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A-11EF-44BA-AAAA-9AD66152902A}"/>
            </c:ext>
          </c:extLst>
        </c:ser>
        <c:ser>
          <c:idx val="53"/>
          <c:order val="54"/>
          <c:tx>
            <c:strRef>
              <c:f>'Gibbs-EVAL'!$A$155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EF-44BA-AAAA-9AD66152902A}"/>
            </c:ext>
          </c:extLst>
        </c:ser>
        <c:ser>
          <c:idx val="55"/>
          <c:order val="55"/>
          <c:tx>
            <c:strRef>
              <c:f>'Gibbs-EVAL'!$A$156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9EC-4FB3-B49F-FC7DFD03B3C7}"/>
            </c:ext>
          </c:extLst>
        </c:ser>
        <c:ser>
          <c:idx val="56"/>
          <c:order val="56"/>
          <c:tx>
            <c:strRef>
              <c:f>'Gibbs-EVAL'!$A$157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9EC-4FB3-B49F-FC7DFD03B3C7}"/>
            </c:ext>
          </c:extLst>
        </c:ser>
        <c:ser>
          <c:idx val="57"/>
          <c:order val="57"/>
          <c:tx>
            <c:strRef>
              <c:f>'Gibbs-EVAL'!$A$158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9EC-4FB3-B49F-FC7DFD03B3C7}"/>
            </c:ext>
          </c:extLst>
        </c:ser>
        <c:ser>
          <c:idx val="58"/>
          <c:order val="58"/>
          <c:tx>
            <c:strRef>
              <c:f>'Gibbs-EVAL'!$A$159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9EC-4FB3-B49F-FC7DFD03B3C7}"/>
            </c:ext>
          </c:extLst>
        </c:ser>
        <c:ser>
          <c:idx val="59"/>
          <c:order val="59"/>
          <c:tx>
            <c:strRef>
              <c:f>'Gibbs-EVAL'!$A$160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9EC-4FB3-B49F-FC7DFD03B3C7}"/>
            </c:ext>
          </c:extLst>
        </c:ser>
        <c:ser>
          <c:idx val="60"/>
          <c:order val="60"/>
          <c:tx>
            <c:strRef>
              <c:f>'Gibbs-EVAL'!$A$161</c:f>
              <c:strCache>
                <c:ptCount val="1"/>
                <c:pt idx="0">
                  <c:v>End2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'Gibbs-EVAL'!$B$161:$BT$161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9EC-4FB3-B49F-FC7DFD03B3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364295062896362"/>
          <c:y val="1.405444437220484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-21.792000000000002</c:v>
                </c:pt>
                <c:pt idx="1">
                  <c:v>-21.217333333333332</c:v>
                </c:pt>
                <c:pt idx="2" formatCode="General">
                  <c:v>-20.683999999999997</c:v>
                </c:pt>
                <c:pt idx="3" formatCode="General">
                  <c:v>-20.194909090909089</c:v>
                </c:pt>
                <c:pt idx="4" formatCode="General">
                  <c:v>-19.761939393939397</c:v>
                </c:pt>
                <c:pt idx="5" formatCode="General">
                  <c:v>-19.78618181818182</c:v>
                </c:pt>
                <c:pt idx="6" formatCode="General">
                  <c:v>-19.862168674698797</c:v>
                </c:pt>
                <c:pt idx="7" formatCode="General">
                  <c:v>-20.006746987951807</c:v>
                </c:pt>
                <c:pt idx="8" formatCode="General">
                  <c:v>-20.152000000000001</c:v>
                </c:pt>
                <c:pt idx="9" formatCode="General">
                  <c:v>-20.298181818181821</c:v>
                </c:pt>
                <c:pt idx="10" formatCode="General">
                  <c:v>-20.449696969696969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-23.573975903614457</c:v>
                </c:pt>
                <c:pt idx="32" formatCode="General">
                  <c:v>-23.718554216867467</c:v>
                </c:pt>
                <c:pt idx="33" formatCode="General">
                  <c:v>-23.858000000000001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35EF-46D6-A94F-2517E60135C4}"/>
            </c:ext>
          </c:extLst>
        </c:ser>
        <c:ser>
          <c:idx val="39"/>
          <c:order val="1"/>
          <c:tx>
            <c:strRef>
              <c:f>'Gibbs-EVAL'!$A$102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-15.300424242424242</c:v>
                </c:pt>
                <c:pt idx="1">
                  <c:v>-14.974848484848485</c:v>
                </c:pt>
                <c:pt idx="2" formatCode="General">
                  <c:v>-14.671818181818182</c:v>
                </c:pt>
                <c:pt idx="3" formatCode="General">
                  <c:v>-14.399757575757576</c:v>
                </c:pt>
                <c:pt idx="4" formatCode="General">
                  <c:v>-14.105212121212121</c:v>
                </c:pt>
                <c:pt idx="5" formatCode="General">
                  <c:v>-13.420363636363636</c:v>
                </c:pt>
                <c:pt idx="6" formatCode="General">
                  <c:v>-12.711385542168674</c:v>
                </c:pt>
                <c:pt idx="7" formatCode="General">
                  <c:v>-11.970421686746988</c:v>
                </c:pt>
                <c:pt idx="8" formatCode="General">
                  <c:v>-11.272666666666668</c:v>
                </c:pt>
                <c:pt idx="9" formatCode="General">
                  <c:v>-10.593127272727273</c:v>
                </c:pt>
                <c:pt idx="10" formatCode="General">
                  <c:v>-9.9525212121212121</c:v>
                </c:pt>
                <c:pt idx="11" formatCode="General">
                  <c:v>-9.3588018154311658</c:v>
                </c:pt>
                <c:pt idx="12" formatCode="General">
                  <c:v>-8.8179546142208771</c:v>
                </c:pt>
                <c:pt idx="13" formatCode="General">
                  <c:v>-8.2771074130105902</c:v>
                </c:pt>
                <c:pt idx="14" formatCode="General">
                  <c:v>-7.7362602118003023</c:v>
                </c:pt>
                <c:pt idx="15" formatCode="General">
                  <c:v>-7.1954130105900145</c:v>
                </c:pt>
                <c:pt idx="16" formatCode="General">
                  <c:v>-6.6545658093797275</c:v>
                </c:pt>
                <c:pt idx="17" formatCode="General">
                  <c:v>-6.1137186081694388</c:v>
                </c:pt>
                <c:pt idx="18" formatCode="General">
                  <c:v>-5.6392727272727265</c:v>
                </c:pt>
                <c:pt idx="19" formatCode="General">
                  <c:v>-5.1809818181818166</c:v>
                </c:pt>
                <c:pt idx="20" formatCode="General">
                  <c:v>-4.742799999999999</c:v>
                </c:pt>
                <c:pt idx="21" formatCode="General">
                  <c:v>-4.4023636363636358</c:v>
                </c:pt>
                <c:pt idx="22" formatCode="General">
                  <c:v>-4.1387272727272721</c:v>
                </c:pt>
                <c:pt idx="23" formatCode="General">
                  <c:v>-4.1369277108433735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35EF-46D6-A94F-2517E60135C4}"/>
            </c:ext>
          </c:extLst>
        </c:ser>
        <c:ser>
          <c:idx val="54"/>
          <c:order val="2"/>
          <c:tx>
            <c:strRef>
              <c:f>'Gibbs-EVAL'!$A$103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8-35EF-46D6-A94F-2517E60135C4}"/>
              </c:ext>
            </c:extLst>
          </c:dPt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'Gibbs-EVAL'!$B$103:$BT$103</c:f>
              <c:numCache>
                <c:formatCode>0</c:formatCode>
                <c:ptCount val="71"/>
                <c:pt idx="0">
                  <c:v>-185.66569696969697</c:v>
                </c:pt>
                <c:pt idx="1">
                  <c:v>-180.33151515151513</c:v>
                </c:pt>
                <c:pt idx="2" formatCode="General">
                  <c:v>-175.36181818181819</c:v>
                </c:pt>
                <c:pt idx="3" formatCode="General">
                  <c:v>-170.78145454545455</c:v>
                </c:pt>
                <c:pt idx="4" formatCode="General">
                  <c:v>-166.37806060606059</c:v>
                </c:pt>
                <c:pt idx="5" formatCode="General">
                  <c:v>-162.35381818181818</c:v>
                </c:pt>
                <c:pt idx="6" formatCode="General">
                  <c:v>-158.50060240963856</c:v>
                </c:pt>
                <c:pt idx="7" formatCode="General">
                  <c:v>-154.87409638554217</c:v>
                </c:pt>
                <c:pt idx="8" formatCode="General">
                  <c:v>-151.48266666666666</c:v>
                </c:pt>
                <c:pt idx="9" formatCode="General">
                  <c:v>-148.19563636363637</c:v>
                </c:pt>
                <c:pt idx="10" formatCode="General">
                  <c:v>-145.15927272727274</c:v>
                </c:pt>
                <c:pt idx="11" formatCode="General">
                  <c:v>-142.38957639939488</c:v>
                </c:pt>
                <c:pt idx="12" formatCode="General">
                  <c:v>-139.9205900151286</c:v>
                </c:pt>
                <c:pt idx="13" formatCode="General">
                  <c:v>-137.45160363086234</c:v>
                </c:pt>
                <c:pt idx="14" formatCode="General">
                  <c:v>-134.98261724659608</c:v>
                </c:pt>
                <c:pt idx="15" formatCode="General">
                  <c:v>-132.51363086232982</c:v>
                </c:pt>
                <c:pt idx="16" formatCode="General">
                  <c:v>-130.04464447806353</c:v>
                </c:pt>
                <c:pt idx="17" formatCode="General">
                  <c:v>-127.57565809379727</c:v>
                </c:pt>
                <c:pt idx="18" formatCode="General">
                  <c:v>-125.49436363636363</c:v>
                </c:pt>
                <c:pt idx="19" formatCode="General">
                  <c:v>-123.50036363636364</c:v>
                </c:pt>
                <c:pt idx="20" formatCode="General">
                  <c:v>-121.59733333333334</c:v>
                </c:pt>
                <c:pt idx="21" formatCode="General">
                  <c:v>-119.77915151515151</c:v>
                </c:pt>
                <c:pt idx="22" formatCode="General">
                  <c:v>-118.02763636363636</c:v>
                </c:pt>
                <c:pt idx="23" formatCode="General">
                  <c:v>-116.39536144578314</c:v>
                </c:pt>
                <c:pt idx="24" formatCode="General">
                  <c:v>-114.79515151515152</c:v>
                </c:pt>
                <c:pt idx="25" formatCode="General">
                  <c:v>-113.25575757575758</c:v>
                </c:pt>
                <c:pt idx="26" formatCode="General">
                  <c:v>-111.77454545454545</c:v>
                </c:pt>
                <c:pt idx="27" formatCode="General">
                  <c:v>-110.33212121212121</c:v>
                </c:pt>
                <c:pt idx="28" formatCode="General">
                  <c:v>-108.98181818181817</c:v>
                </c:pt>
                <c:pt idx="29" formatCode="General">
                  <c:v>-107.69454545454545</c:v>
                </c:pt>
                <c:pt idx="30" formatCode="General">
                  <c:v>-106.54303030303031</c:v>
                </c:pt>
                <c:pt idx="31" formatCode="General">
                  <c:v>-105.63879518072289</c:v>
                </c:pt>
                <c:pt idx="32" formatCode="General">
                  <c:v>-104.8677108433735</c:v>
                </c:pt>
                <c:pt idx="33" formatCode="General">
                  <c:v>-104.134</c:v>
                </c:pt>
                <c:pt idx="34" formatCode="General">
                  <c:v>-103.42127272727272</c:v>
                </c:pt>
                <c:pt idx="35" formatCode="General">
                  <c:v>-102.74854545454545</c:v>
                </c:pt>
                <c:pt idx="36" formatCode="General">
                  <c:v>-102.10090909090908</c:v>
                </c:pt>
                <c:pt idx="37" formatCode="General">
                  <c:v>-101.46845688350984</c:v>
                </c:pt>
                <c:pt idx="38" formatCode="General">
                  <c:v>-100.92987897125568</c:v>
                </c:pt>
                <c:pt idx="39" formatCode="General">
                  <c:v>-100.39130105900152</c:v>
                </c:pt>
                <c:pt idx="40" formatCode="General">
                  <c:v>-99.852723146747351</c:v>
                </c:pt>
                <c:pt idx="41" formatCode="General">
                  <c:v>-99.314145234493196</c:v>
                </c:pt>
                <c:pt idx="42" formatCode="General">
                  <c:v>-98.775567322239027</c:v>
                </c:pt>
                <c:pt idx="43" formatCode="General">
                  <c:v>-98.236989409984872</c:v>
                </c:pt>
                <c:pt idx="44" formatCode="General">
                  <c:v>-97.731939393939385</c:v>
                </c:pt>
                <c:pt idx="45" formatCode="General">
                  <c:v>-97.271333333333331</c:v>
                </c:pt>
                <c:pt idx="46" formatCode="General">
                  <c:v>-96.835309090909092</c:v>
                </c:pt>
                <c:pt idx="47" formatCode="General">
                  <c:v>-96.41031515151515</c:v>
                </c:pt>
                <c:pt idx="48" formatCode="General">
                  <c:v>-96.012739393939398</c:v>
                </c:pt>
                <c:pt idx="49" formatCode="General">
                  <c:v>-95.620939759036148</c:v>
                </c:pt>
                <c:pt idx="50" formatCode="General">
                  <c:v>-95.235397590361444</c:v>
                </c:pt>
                <c:pt idx="51" formatCode="General">
                  <c:v>-94.884715151515152</c:v>
                </c:pt>
                <c:pt idx="52" formatCode="General">
                  <c:v>-94.681806060606064</c:v>
                </c:pt>
                <c:pt idx="53" formatCode="General">
                  <c:v>-95.163018181818188</c:v>
                </c:pt>
                <c:pt idx="54" formatCode="General">
                  <c:v>-95.644230303030312</c:v>
                </c:pt>
                <c:pt idx="55" formatCode="General">
                  <c:v>-96.125442424242422</c:v>
                </c:pt>
                <c:pt idx="56" formatCode="General">
                  <c:v>-96.608763636363634</c:v>
                </c:pt>
                <c:pt idx="57" formatCode="General">
                  <c:v>-97.090574886535563</c:v>
                </c:pt>
                <c:pt idx="58" formatCode="General">
                  <c:v>-97.565915279878979</c:v>
                </c:pt>
                <c:pt idx="59" formatCode="General">
                  <c:v>-98.041255673222395</c:v>
                </c:pt>
                <c:pt idx="60" formatCode="General">
                  <c:v>-98.51659606656581</c:v>
                </c:pt>
                <c:pt idx="61" formatCode="General">
                  <c:v>-98.991936459909226</c:v>
                </c:pt>
                <c:pt idx="62" formatCode="General">
                  <c:v>-99.467276853252656</c:v>
                </c:pt>
                <c:pt idx="63" formatCode="General">
                  <c:v>-99.942617246596072</c:v>
                </c:pt>
                <c:pt idx="64" formatCode="General">
                  <c:v>-100.4208</c:v>
                </c:pt>
                <c:pt idx="65" formatCode="General">
                  <c:v>-100.9008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35EF-46D6-A94F-2517E60135C4}"/>
            </c:ext>
          </c:extLst>
        </c:ser>
        <c:ser>
          <c:idx val="1"/>
          <c:order val="3"/>
          <c:tx>
            <c:strRef>
              <c:f>'Gibbs-EVAL'!$A$104</c:f>
              <c:strCache>
                <c:ptCount val="1"/>
                <c:pt idx="0">
                  <c:v>*Ga[1]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'Gibbs-EVAL'!$B$104:$BT$104</c:f>
              <c:numCache>
                <c:formatCode>0</c:formatCode>
                <c:ptCount val="71"/>
                <c:pt idx="0">
                  <c:v>-60.144848484848481</c:v>
                </c:pt>
                <c:pt idx="1">
                  <c:v>-58.339757575757574</c:v>
                </c:pt>
                <c:pt idx="2" formatCode="General">
                  <c:v>-56.654909090909094</c:v>
                </c:pt>
                <c:pt idx="3" formatCode="General">
                  <c:v>-55.098363636363636</c:v>
                </c:pt>
                <c:pt idx="4" formatCode="General">
                  <c:v>-53.546121212121207</c:v>
                </c:pt>
                <c:pt idx="5" formatCode="General">
                  <c:v>-51.49763636363636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EF-46D6-A94F-2517E60135C4}"/>
            </c:ext>
          </c:extLst>
        </c:ser>
        <c:ser>
          <c:idx val="2"/>
          <c:order val="4"/>
          <c:tx>
            <c:strRef>
              <c:f>'Gibbs-EVAL'!$A$105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'Gibbs-EVAL'!$B$105:$BT$105</c:f>
              <c:numCache>
                <c:formatCode>0</c:formatCode>
                <c:ptCount val="71"/>
                <c:pt idx="0">
                  <c:v>-58.884424242424245</c:v>
                </c:pt>
                <c:pt idx="1">
                  <c:v>-57.409515151515158</c:v>
                </c:pt>
                <c:pt idx="2" formatCode="General">
                  <c:v>-56.039818181818184</c:v>
                </c:pt>
                <c:pt idx="3" formatCode="General">
                  <c:v>-54.789575757575761</c:v>
                </c:pt>
                <c:pt idx="4" formatCode="General">
                  <c:v>-53.629090909090912</c:v>
                </c:pt>
                <c:pt idx="5" formatCode="General">
                  <c:v>-52.992727272727279</c:v>
                </c:pt>
                <c:pt idx="6" formatCode="General">
                  <c:v>-52.435722891566265</c:v>
                </c:pt>
                <c:pt idx="7" formatCode="General">
                  <c:v>-51.983915662650602</c:v>
                </c:pt>
                <c:pt idx="8" formatCode="General">
                  <c:v>-51.576666666666668</c:v>
                </c:pt>
                <c:pt idx="9" formatCode="General">
                  <c:v>-51.189490909090914</c:v>
                </c:pt>
                <c:pt idx="10" formatCode="General">
                  <c:v>-50.851915151515158</c:v>
                </c:pt>
                <c:pt idx="11" formatCode="General">
                  <c:v>-50.56101059001513</c:v>
                </c:pt>
                <c:pt idx="12" formatCode="General">
                  <c:v>-50.322735249621786</c:v>
                </c:pt>
                <c:pt idx="13" formatCode="General">
                  <c:v>-50.084459909228443</c:v>
                </c:pt>
                <c:pt idx="14" formatCode="General">
                  <c:v>-49.846184568835099</c:v>
                </c:pt>
                <c:pt idx="15" formatCode="General">
                  <c:v>-49.607909228441756</c:v>
                </c:pt>
                <c:pt idx="16" formatCode="General">
                  <c:v>-49.369633888048412</c:v>
                </c:pt>
                <c:pt idx="17" formatCode="General">
                  <c:v>-49.131358547655068</c:v>
                </c:pt>
                <c:pt idx="18" formatCode="General">
                  <c:v>-48.959878787878786</c:v>
                </c:pt>
                <c:pt idx="19" formatCode="General">
                  <c:v>-48.802072727272723</c:v>
                </c:pt>
                <c:pt idx="20" formatCode="General">
                  <c:v>-48.654799999999994</c:v>
                </c:pt>
                <c:pt idx="21" formatCode="General">
                  <c:v>-48.612060606060602</c:v>
                </c:pt>
                <c:pt idx="22" formatCode="General">
                  <c:v>-48.651454545454548</c:v>
                </c:pt>
                <c:pt idx="23" formatCode="General">
                  <c:v>-48.951024096385545</c:v>
                </c:pt>
                <c:pt idx="24" formatCode="General">
                  <c:v>-49.273787878787878</c:v>
                </c:pt>
                <c:pt idx="25" formatCode="General">
                  <c:v>-49.588939393939398</c:v>
                </c:pt>
                <c:pt idx="26" formatCode="General">
                  <c:v>-49.904454545454549</c:v>
                </c:pt>
                <c:pt idx="27" formatCode="General">
                  <c:v>-50.220212121212121</c:v>
                </c:pt>
                <c:pt idx="28" formatCode="General">
                  <c:v>-50.535393939393941</c:v>
                </c:pt>
                <c:pt idx="29" formatCode="General">
                  <c:v>-50.850727272727276</c:v>
                </c:pt>
                <c:pt idx="30" formatCode="General">
                  <c:v>-51.166484848484849</c:v>
                </c:pt>
                <c:pt idx="31" formatCode="General">
                  <c:v>-51.481006024096381</c:v>
                </c:pt>
                <c:pt idx="32" formatCode="General">
                  <c:v>-51.794861445783127</c:v>
                </c:pt>
                <c:pt idx="33" formatCode="General">
                  <c:v>-52.098599999999998</c:v>
                </c:pt>
                <c:pt idx="34" formatCode="General">
                  <c:v>-52.402236363636362</c:v>
                </c:pt>
                <c:pt idx="35" formatCode="General">
                  <c:v>-52.705872727272727</c:v>
                </c:pt>
                <c:pt idx="36" formatCode="General">
                  <c:v>-53.009509090909091</c:v>
                </c:pt>
                <c:pt idx="37" formatCode="General">
                  <c:v>-53.31287291981846</c:v>
                </c:pt>
                <c:pt idx="38" formatCode="General">
                  <c:v>-53.609695915279879</c:v>
                </c:pt>
                <c:pt idx="39" formatCode="General">
                  <c:v>-53.906518910741298</c:v>
                </c:pt>
                <c:pt idx="40" formatCode="General">
                  <c:v>-54.203341906202724</c:v>
                </c:pt>
                <c:pt idx="41" formatCode="General">
                  <c:v>-54.500164901664142</c:v>
                </c:pt>
                <c:pt idx="42" formatCode="General">
                  <c:v>-54.796987897125568</c:v>
                </c:pt>
                <c:pt idx="43" formatCode="General">
                  <c:v>-55.093810892586987</c:v>
                </c:pt>
                <c:pt idx="44" formatCode="General">
                  <c:v>-55.388090909090906</c:v>
                </c:pt>
                <c:pt idx="45" formatCode="General">
                  <c:v>-55.679000000000002</c:v>
                </c:pt>
                <c:pt idx="46" formatCode="General">
                  <c:v>-55.969436363636362</c:v>
                </c:pt>
                <c:pt idx="47" formatCode="General">
                  <c:v>-56.259818181818183</c:v>
                </c:pt>
                <c:pt idx="48" formatCode="General">
                  <c:v>-56.550727272727272</c:v>
                </c:pt>
                <c:pt idx="49" formatCode="General">
                  <c:v>-56.834722891566265</c:v>
                </c:pt>
                <c:pt idx="50" formatCode="General">
                  <c:v>-57.11122891566265</c:v>
                </c:pt>
                <c:pt idx="51" formatCode="General">
                  <c:v>-57.389109090909095</c:v>
                </c:pt>
                <c:pt idx="52" formatCode="General">
                  <c:v>-57.667187878787885</c:v>
                </c:pt>
                <c:pt idx="53" formatCode="General">
                  <c:v>-57.944763636363639</c:v>
                </c:pt>
                <c:pt idx="54" formatCode="General">
                  <c:v>-58.222654545454546</c:v>
                </c:pt>
                <c:pt idx="55" formatCode="General">
                  <c:v>-58.500836363636367</c:v>
                </c:pt>
                <c:pt idx="56" formatCode="General">
                  <c:v>-58.778490909090905</c:v>
                </c:pt>
                <c:pt idx="57" formatCode="General">
                  <c:v>-59.053877458396364</c:v>
                </c:pt>
                <c:pt idx="58" formatCode="General">
                  <c:v>-59.321502269288956</c:v>
                </c:pt>
                <c:pt idx="59" formatCode="General">
                  <c:v>-59.589127080181541</c:v>
                </c:pt>
                <c:pt idx="60" formatCode="General">
                  <c:v>-59.856751891074126</c:v>
                </c:pt>
                <c:pt idx="61" formatCode="General">
                  <c:v>-60.124376701966717</c:v>
                </c:pt>
                <c:pt idx="62" formatCode="General">
                  <c:v>-60.392001512859302</c:v>
                </c:pt>
                <c:pt idx="63" formatCode="General">
                  <c:v>-60.659626323751887</c:v>
                </c:pt>
                <c:pt idx="64" formatCode="General">
                  <c:v>-60.925557575757573</c:v>
                </c:pt>
                <c:pt idx="65" formatCode="General">
                  <c:v>-61.190406060606058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35EF-46D6-A94F-2517E60135C4}"/>
            </c:ext>
          </c:extLst>
        </c:ser>
        <c:ser>
          <c:idx val="3"/>
          <c:order val="5"/>
          <c:tx>
            <c:strRef>
              <c:f>'Gibbs-EVAL'!$A$106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'Gibbs-EVAL'!$B$106:$BT$106</c:f>
              <c:numCache>
                <c:formatCode>0</c:formatCode>
                <c:ptCount val="71"/>
                <c:pt idx="0">
                  <c:v>-81.936848484848483</c:v>
                </c:pt>
                <c:pt idx="1">
                  <c:v>-79.557090909090917</c:v>
                </c:pt>
                <c:pt idx="2" formatCode="General">
                  <c:v>-77.338909090909098</c:v>
                </c:pt>
                <c:pt idx="3" formatCode="General">
                  <c:v>-75.293272727272736</c:v>
                </c:pt>
                <c:pt idx="4" formatCode="General">
                  <c:v>-73.308060606060607</c:v>
                </c:pt>
                <c:pt idx="5" formatCode="General">
                  <c:v>-71.283818181818177</c:v>
                </c:pt>
                <c:pt idx="6" formatCode="General">
                  <c:v>-69.319216867469876</c:v>
                </c:pt>
                <c:pt idx="7" formatCode="General">
                  <c:v>-67.433674698795187</c:v>
                </c:pt>
                <c:pt idx="8" formatCode="General">
                  <c:v>-65.665333333333336</c:v>
                </c:pt>
                <c:pt idx="9" formatCode="General">
                  <c:v>-63.948727272727275</c:v>
                </c:pt>
                <c:pt idx="10" formatCode="General">
                  <c:v>-62.354787878787882</c:v>
                </c:pt>
                <c:pt idx="11" formatCode="General">
                  <c:v>-60.894236006051436</c:v>
                </c:pt>
                <c:pt idx="12" formatCode="General">
                  <c:v>-59.584099848714068</c:v>
                </c:pt>
                <c:pt idx="13" formatCode="General">
                  <c:v>-58.2739636913767</c:v>
                </c:pt>
                <c:pt idx="14" formatCode="General">
                  <c:v>-56.963827534039332</c:v>
                </c:pt>
                <c:pt idx="15" formatCode="General">
                  <c:v>-55.653691376701964</c:v>
                </c:pt>
                <c:pt idx="16" formatCode="General">
                  <c:v>-54.343555219364596</c:v>
                </c:pt>
                <c:pt idx="17" formatCode="General">
                  <c:v>-53.033419062027228</c:v>
                </c:pt>
                <c:pt idx="18" formatCode="General">
                  <c:v>-51.917030303030302</c:v>
                </c:pt>
                <c:pt idx="19" formatCode="General">
                  <c:v>-50.844909090909091</c:v>
                </c:pt>
                <c:pt idx="20" formatCode="General">
                  <c:v>-49.820666666666668</c:v>
                </c:pt>
                <c:pt idx="21" formatCode="General">
                  <c:v>-48.837151515151518</c:v>
                </c:pt>
                <c:pt idx="22" formatCode="General">
                  <c:v>-47.885636363636358</c:v>
                </c:pt>
                <c:pt idx="23" formatCode="General">
                  <c:v>-46.994156626506019</c:v>
                </c:pt>
                <c:pt idx="24" formatCode="General">
                  <c:v>-46.119393939393937</c:v>
                </c:pt>
                <c:pt idx="25" formatCode="General">
                  <c:v>-45.276969696969694</c:v>
                </c:pt>
                <c:pt idx="26" formatCode="General">
                  <c:v>-44.463636363636361</c:v>
                </c:pt>
                <c:pt idx="27" formatCode="General">
                  <c:v>-43.669696969696965</c:v>
                </c:pt>
                <c:pt idx="28" formatCode="General">
                  <c:v>-42.921818181818182</c:v>
                </c:pt>
                <c:pt idx="29" formatCode="General">
                  <c:v>-42.205454545454543</c:v>
                </c:pt>
                <c:pt idx="30" formatCode="General">
                  <c:v>-41.556969696969695</c:v>
                </c:pt>
                <c:pt idx="31" formatCode="General">
                  <c:v>-41.032409638554213</c:v>
                </c:pt>
                <c:pt idx="32" formatCode="General">
                  <c:v>-40.574578313253014</c:v>
                </c:pt>
                <c:pt idx="33" formatCode="General">
                  <c:v>-40.138000000000005</c:v>
                </c:pt>
                <c:pt idx="34" formatCode="General">
                  <c:v>-39.711939393939396</c:v>
                </c:pt>
                <c:pt idx="35" formatCode="General">
                  <c:v>-39.30587878787879</c:v>
                </c:pt>
                <c:pt idx="36" formatCode="General">
                  <c:v>-38.912363636363636</c:v>
                </c:pt>
                <c:pt idx="37" formatCode="General">
                  <c:v>-38.526505295007567</c:v>
                </c:pt>
                <c:pt idx="38" formatCode="General">
                  <c:v>-38.189137670196672</c:v>
                </c:pt>
                <c:pt idx="39" formatCode="General">
                  <c:v>-37.851770045385777</c:v>
                </c:pt>
                <c:pt idx="40" formatCode="General">
                  <c:v>-37.514402420574889</c:v>
                </c:pt>
                <c:pt idx="41" formatCode="General">
                  <c:v>-37.177034795763994</c:v>
                </c:pt>
                <c:pt idx="42" formatCode="General">
                  <c:v>-36.839667170953106</c:v>
                </c:pt>
                <c:pt idx="43" formatCode="General">
                  <c:v>-36.502299546142211</c:v>
                </c:pt>
                <c:pt idx="44" formatCode="General">
                  <c:v>-36.182303030303032</c:v>
                </c:pt>
                <c:pt idx="45" formatCode="General">
                  <c:v>-35.885333333333335</c:v>
                </c:pt>
                <c:pt idx="46" formatCode="General">
                  <c:v>-35.600654545454546</c:v>
                </c:pt>
                <c:pt idx="47" formatCode="General">
                  <c:v>-35.321490909090912</c:v>
                </c:pt>
                <c:pt idx="48" formatCode="General">
                  <c:v>-35.056036363636366</c:v>
                </c:pt>
                <c:pt idx="49" formatCode="General">
                  <c:v>-34.795108433734939</c:v>
                </c:pt>
                <c:pt idx="50" formatCode="General">
                  <c:v>-34.539084337349401</c:v>
                </c:pt>
                <c:pt idx="51" formatCode="General">
                  <c:v>-34.300175757575758</c:v>
                </c:pt>
                <c:pt idx="52" formatCode="General">
                  <c:v>-34.135084848484851</c:v>
                </c:pt>
                <c:pt idx="53" formatCode="General">
                  <c:v>-34.312054545454544</c:v>
                </c:pt>
                <c:pt idx="54" formatCode="General">
                  <c:v>-34.489024242424243</c:v>
                </c:pt>
                <c:pt idx="55" formatCode="General">
                  <c:v>-34.665993939393942</c:v>
                </c:pt>
                <c:pt idx="56" formatCode="General">
                  <c:v>-34.844018181818178</c:v>
                </c:pt>
                <c:pt idx="57" formatCode="General">
                  <c:v>-35.021807866868379</c:v>
                </c:pt>
                <c:pt idx="58" formatCode="General">
                  <c:v>-35.198207261724662</c:v>
                </c:pt>
                <c:pt idx="59" formatCode="General">
                  <c:v>-35.374606656580937</c:v>
                </c:pt>
                <c:pt idx="60" formatCode="General">
                  <c:v>-35.551006051437213</c:v>
                </c:pt>
                <c:pt idx="61" formatCode="General">
                  <c:v>-35.727405446293496</c:v>
                </c:pt>
                <c:pt idx="62" formatCode="General">
                  <c:v>-35.903804841149771</c:v>
                </c:pt>
                <c:pt idx="63" formatCode="General">
                  <c:v>-36.080204236006054</c:v>
                </c:pt>
                <c:pt idx="64" formatCode="General">
                  <c:v>-36.258430303030302</c:v>
                </c:pt>
                <c:pt idx="65" formatCode="General">
                  <c:v>-36.437824242424242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35EF-46D6-A94F-2517E60135C4}"/>
            </c:ext>
          </c:extLst>
        </c:ser>
        <c:ser>
          <c:idx val="4"/>
          <c:order val="6"/>
          <c:tx>
            <c:strRef>
              <c:f>'Gibbs-EVAL'!$A$107</c:f>
              <c:strCache>
                <c:ptCount val="1"/>
                <c:pt idx="0">
                  <c:v>*Ge[l]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'Gibbs-EVAL'!$B$107:$BT$107</c:f>
              <c:numCache>
                <c:formatCode>0</c:formatCode>
                <c:ptCount val="71"/>
                <c:pt idx="0">
                  <c:v>-15.300424242424242</c:v>
                </c:pt>
                <c:pt idx="1">
                  <c:v>-14.974848484848485</c:v>
                </c:pt>
                <c:pt idx="2" formatCode="General">
                  <c:v>-14.671818181818182</c:v>
                </c:pt>
                <c:pt idx="3" formatCode="General">
                  <c:v>-14.399757575757576</c:v>
                </c:pt>
                <c:pt idx="4" formatCode="General">
                  <c:v>-14.105212121212121</c:v>
                </c:pt>
                <c:pt idx="5" formatCode="General">
                  <c:v>-13.420363636363636</c:v>
                </c:pt>
                <c:pt idx="6" formatCode="General">
                  <c:v>-12.711385542168674</c:v>
                </c:pt>
                <c:pt idx="7" formatCode="General">
                  <c:v>-11.970421686746988</c:v>
                </c:pt>
                <c:pt idx="8" formatCode="General">
                  <c:v>-11.272666666666668</c:v>
                </c:pt>
                <c:pt idx="9" formatCode="General">
                  <c:v>-10.593127272727273</c:v>
                </c:pt>
                <c:pt idx="10" formatCode="General">
                  <c:v>-9.9525212121212121</c:v>
                </c:pt>
                <c:pt idx="11" formatCode="General">
                  <c:v>-9.3588018154311658</c:v>
                </c:pt>
                <c:pt idx="12" formatCode="General">
                  <c:v>-8.8179546142208771</c:v>
                </c:pt>
                <c:pt idx="13" formatCode="General">
                  <c:v>-8.2771074130105902</c:v>
                </c:pt>
                <c:pt idx="14" formatCode="General">
                  <c:v>-7.7362602118003023</c:v>
                </c:pt>
                <c:pt idx="15" formatCode="General">
                  <c:v>-7.1954130105900145</c:v>
                </c:pt>
                <c:pt idx="16" formatCode="General">
                  <c:v>-6.6545658093797275</c:v>
                </c:pt>
                <c:pt idx="17" formatCode="General">
                  <c:v>-6.1137186081694388</c:v>
                </c:pt>
                <c:pt idx="18" formatCode="General">
                  <c:v>-5.6392727272727265</c:v>
                </c:pt>
                <c:pt idx="19" formatCode="General">
                  <c:v>-5.1809818181818166</c:v>
                </c:pt>
                <c:pt idx="20" formatCode="General">
                  <c:v>-4.742799999999999</c:v>
                </c:pt>
                <c:pt idx="21" formatCode="General">
                  <c:v>-4.4023636363636358</c:v>
                </c:pt>
                <c:pt idx="22" formatCode="General">
                  <c:v>-4.1387272727272721</c:v>
                </c:pt>
                <c:pt idx="23" formatCode="General">
                  <c:v>-4.1369277108433735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35EF-46D6-A94F-2517E60135C4}"/>
            </c:ext>
          </c:extLst>
        </c:ser>
        <c:ser>
          <c:idx val="5"/>
          <c:order val="7"/>
          <c:tx>
            <c:strRef>
              <c:f>'Gibbs-EVAL'!$A$108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'Gibbs-EVAL'!$B$108:$BT$108</c:f>
              <c:numCache>
                <c:formatCode>0</c:formatCode>
                <c:ptCount val="71"/>
                <c:pt idx="0">
                  <c:v>-37.092424242424244</c:v>
                </c:pt>
                <c:pt idx="1">
                  <c:v>-36.192181818181822</c:v>
                </c:pt>
                <c:pt idx="2" formatCode="General">
                  <c:v>-35.355818181818179</c:v>
                </c:pt>
                <c:pt idx="3" formatCode="General">
                  <c:v>-34.594666666666662</c:v>
                </c:pt>
                <c:pt idx="4" formatCode="General">
                  <c:v>-33.867151515151519</c:v>
                </c:pt>
                <c:pt idx="5" formatCode="General">
                  <c:v>-33.206545454545456</c:v>
                </c:pt>
                <c:pt idx="6" formatCode="General">
                  <c:v>-32.573554216867471</c:v>
                </c:pt>
                <c:pt idx="7" formatCode="General">
                  <c:v>-31.977168674698795</c:v>
                </c:pt>
                <c:pt idx="8" formatCode="General">
                  <c:v>-31.424666666666667</c:v>
                </c:pt>
                <c:pt idx="9" formatCode="General">
                  <c:v>-30.891309090909093</c:v>
                </c:pt>
                <c:pt idx="10" formatCode="General">
                  <c:v>-30.402218181818185</c:v>
                </c:pt>
                <c:pt idx="11" formatCode="General">
                  <c:v>-29.959906202723147</c:v>
                </c:pt>
                <c:pt idx="12" formatCode="General">
                  <c:v>-29.570344931921333</c:v>
                </c:pt>
                <c:pt idx="13" formatCode="General">
                  <c:v>-29.180783661119516</c:v>
                </c:pt>
                <c:pt idx="14" formatCode="General">
                  <c:v>-28.791222390317703</c:v>
                </c:pt>
                <c:pt idx="15" formatCode="General">
                  <c:v>-28.401661119515886</c:v>
                </c:pt>
                <c:pt idx="16" formatCode="General">
                  <c:v>-28.012099848714069</c:v>
                </c:pt>
                <c:pt idx="17" formatCode="General">
                  <c:v>-27.622538577912255</c:v>
                </c:pt>
                <c:pt idx="18" formatCode="General">
                  <c:v>-27.299575757575759</c:v>
                </c:pt>
                <c:pt idx="19" formatCode="General">
                  <c:v>-26.991527272727271</c:v>
                </c:pt>
                <c:pt idx="20" formatCode="General">
                  <c:v>-26.698799999999999</c:v>
                </c:pt>
                <c:pt idx="21" formatCode="General">
                  <c:v>-26.50721212121212</c:v>
                </c:pt>
                <c:pt idx="22" formatCode="General">
                  <c:v>-26.395090909090907</c:v>
                </c:pt>
                <c:pt idx="23" formatCode="General">
                  <c:v>-26.543975903614456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-27.907030120481927</c:v>
                </c:pt>
                <c:pt idx="32" formatCode="General">
                  <c:v>-28.076307228915663</c:v>
                </c:pt>
                <c:pt idx="33" formatCode="General">
                  <c:v>-28.240600000000001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35EF-46D6-A94F-2517E60135C4}"/>
            </c:ext>
          </c:extLst>
        </c:ser>
        <c:ser>
          <c:idx val="6"/>
          <c:order val="8"/>
          <c:tx>
            <c:strRef>
              <c:f>'Gibbs-EVAL'!$A$109</c:f>
              <c:strCache>
                <c:ptCount val="1"/>
                <c:pt idx="0">
                  <c:v>Ga2Se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'Gibbs-EVAL'!$B$109:$BT$109</c:f>
              <c:numCache>
                <c:formatCode>0</c:formatCode>
                <c:ptCount val="71"/>
                <c:pt idx="0">
                  <c:v>-142.08169696969696</c:v>
                </c:pt>
                <c:pt idx="1">
                  <c:v>-137.89684848484848</c:v>
                </c:pt>
                <c:pt idx="2" formatCode="General">
                  <c:v>-133.99381818181817</c:v>
                </c:pt>
                <c:pt idx="3" formatCode="General">
                  <c:v>-130.39163636363637</c:v>
                </c:pt>
                <c:pt idx="4" formatCode="General">
                  <c:v>-126.85418181818181</c:v>
                </c:pt>
                <c:pt idx="5" formatCode="General">
                  <c:v>-122.78145454545454</c:v>
                </c:pt>
                <c:pt idx="6" formatCode="General">
                  <c:v>-118.77626506024096</c:v>
                </c:pt>
                <c:pt idx="7" formatCode="General">
                  <c:v>-114.86060240963856</c:v>
                </c:pt>
                <c:pt idx="8" formatCode="General">
                  <c:v>-111.17866666666667</c:v>
                </c:pt>
                <c:pt idx="9" formatCode="General">
                  <c:v>-107.59927272727273</c:v>
                </c:pt>
                <c:pt idx="10" formatCode="General">
                  <c:v>-104.25987878787879</c:v>
                </c:pt>
                <c:pt idx="11" formatCode="General">
                  <c:v>-101.18736762481089</c:v>
                </c:pt>
                <c:pt idx="12" formatCode="General">
                  <c:v>-98.415809379727676</c:v>
                </c:pt>
                <c:pt idx="13" formatCode="General">
                  <c:v>-95.644251134644477</c:v>
                </c:pt>
                <c:pt idx="14" formatCode="General">
                  <c:v>-92.872692889561264</c:v>
                </c:pt>
                <c:pt idx="15" formatCode="General">
                  <c:v>-90.101134644478066</c:v>
                </c:pt>
                <c:pt idx="16" formatCode="General">
                  <c:v>-87.329576399394853</c:v>
                </c:pt>
                <c:pt idx="17" formatCode="General">
                  <c:v>-84.55801815431164</c:v>
                </c:pt>
                <c:pt idx="18" formatCode="General">
                  <c:v>-82.173757575757577</c:v>
                </c:pt>
                <c:pt idx="19" formatCode="General">
                  <c:v>-79.879272727272721</c:v>
                </c:pt>
                <c:pt idx="20" formatCode="General">
                  <c:v>-77.685333333333332</c:v>
                </c:pt>
                <c:pt idx="21" formatCode="General">
                  <c:v>-75.569454545454533</c:v>
                </c:pt>
                <c:pt idx="22" formatCode="General">
                  <c:v>-73.514909090909086</c:v>
                </c:pt>
                <c:pt idx="23" formatCode="General">
                  <c:v>-71.581265060240966</c:v>
                </c:pt>
                <c:pt idx="24" formatCode="General">
                  <c:v>-69.682424242424247</c:v>
                </c:pt>
                <c:pt idx="25" formatCode="General">
                  <c:v>-67.852121212121219</c:v>
                </c:pt>
                <c:pt idx="26" formatCode="General">
                  <c:v>-66.08</c:v>
                </c:pt>
                <c:pt idx="27" formatCode="General">
                  <c:v>-64.346666666666664</c:v>
                </c:pt>
                <c:pt idx="28" formatCode="General">
                  <c:v>-62.705454545454543</c:v>
                </c:pt>
                <c:pt idx="29" formatCode="General">
                  <c:v>-61.127272727272732</c:v>
                </c:pt>
                <c:pt idx="30" formatCode="General">
                  <c:v>-59.684848484848487</c:v>
                </c:pt>
                <c:pt idx="31" formatCode="General">
                  <c:v>-58.490843373493981</c:v>
                </c:pt>
                <c:pt idx="32" formatCode="General">
                  <c:v>-57.43060240963856</c:v>
                </c:pt>
                <c:pt idx="33" formatCode="General">
                  <c:v>-56.418000000000006</c:v>
                </c:pt>
                <c:pt idx="34" formatCode="General">
                  <c:v>-55.426484848484847</c:v>
                </c:pt>
                <c:pt idx="35" formatCode="General">
                  <c:v>-54.474969696969701</c:v>
                </c:pt>
                <c:pt idx="36" formatCode="General">
                  <c:v>-53.548545454545454</c:v>
                </c:pt>
                <c:pt idx="37" formatCode="General">
                  <c:v>-52.637564296520431</c:v>
                </c:pt>
                <c:pt idx="38" formatCode="General">
                  <c:v>-51.82667170953102</c:v>
                </c:pt>
                <c:pt idx="39" formatCode="General">
                  <c:v>-51.015779122541609</c:v>
                </c:pt>
                <c:pt idx="40" formatCode="General">
                  <c:v>-50.204886535552198</c:v>
                </c:pt>
                <c:pt idx="41" formatCode="General">
                  <c:v>-49.393993948562787</c:v>
                </c:pt>
                <c:pt idx="42" formatCode="General">
                  <c:v>-48.583101361573377</c:v>
                </c:pt>
                <c:pt idx="43" formatCode="General">
                  <c:v>-47.772208774583973</c:v>
                </c:pt>
                <c:pt idx="44" formatCode="General">
                  <c:v>-46.99727272727273</c:v>
                </c:pt>
                <c:pt idx="45" formatCode="General">
                  <c:v>-46.27</c:v>
                </c:pt>
                <c:pt idx="46" formatCode="General">
                  <c:v>-45.567309090909099</c:v>
                </c:pt>
                <c:pt idx="47" formatCode="General">
                  <c:v>-44.87564848484849</c:v>
                </c:pt>
                <c:pt idx="48" formatCode="General">
                  <c:v>-44.211406060606066</c:v>
                </c:pt>
                <c:pt idx="49" formatCode="General">
                  <c:v>-43.559493975903614</c:v>
                </c:pt>
                <c:pt idx="50" formatCode="General">
                  <c:v>-42.920939759036138</c:v>
                </c:pt>
                <c:pt idx="51" formatCode="General">
                  <c:v>-42.315987878787872</c:v>
                </c:pt>
                <c:pt idx="52" formatCode="General">
                  <c:v>-41.858533333333334</c:v>
                </c:pt>
                <c:pt idx="53" formatCode="General">
                  <c:v>-42.0852</c:v>
                </c:pt>
                <c:pt idx="54" formatCode="General">
                  <c:v>-42.311866666666667</c:v>
                </c:pt>
                <c:pt idx="55" formatCode="General">
                  <c:v>-42.538533333333334</c:v>
                </c:pt>
                <c:pt idx="56" formatCode="General">
                  <c:v>-42.767309090909087</c:v>
                </c:pt>
                <c:pt idx="57" formatCode="General">
                  <c:v>-42.996656580937973</c:v>
                </c:pt>
                <c:pt idx="58" formatCode="General">
                  <c:v>-43.226913767019667</c:v>
                </c:pt>
                <c:pt idx="59" formatCode="General">
                  <c:v>-43.457170953101361</c:v>
                </c:pt>
                <c:pt idx="60" formatCode="General">
                  <c:v>-43.687428139183055</c:v>
                </c:pt>
                <c:pt idx="61" formatCode="General">
                  <c:v>-43.917685325264756</c:v>
                </c:pt>
                <c:pt idx="62" formatCode="General">
                  <c:v>-44.14794251134645</c:v>
                </c:pt>
                <c:pt idx="63" formatCode="General">
                  <c:v>-44.378199697428144</c:v>
                </c:pt>
                <c:pt idx="64" formatCode="General">
                  <c:v>-44.612921212121215</c:v>
                </c:pt>
                <c:pt idx="65" formatCode="General">
                  <c:v>-44.85049696969697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35EF-46D6-A94F-2517E60135C4}"/>
            </c:ext>
          </c:extLst>
        </c:ser>
        <c:ser>
          <c:idx val="7"/>
          <c:order val="9"/>
          <c:tx>
            <c:strRef>
              <c:f>'Gibbs-EVAL'!$A$110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-18.630969696969697</c:v>
                </c:pt>
                <c:pt idx="5" formatCode="General">
                  <c:v>-18.643090909090908</c:v>
                </c:pt>
                <c:pt idx="6" formatCode="General">
                  <c:v>-18.655180722891565</c:v>
                </c:pt>
                <c:pt idx="7" formatCode="General">
                  <c:v>-18.667228915662651</c:v>
                </c:pt>
                <c:pt idx="8" formatCode="General">
                  <c:v>-18.679333333333336</c:v>
                </c:pt>
                <c:pt idx="9" formatCode="General">
                  <c:v>-18.692181818181819</c:v>
                </c:pt>
                <c:pt idx="10" formatCode="General">
                  <c:v>-18.710363636363635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-18.855636363636364</c:v>
                </c:pt>
                <c:pt idx="19" formatCode="General">
                  <c:v>-18.873818181818184</c:v>
                </c:pt>
                <c:pt idx="20" formatCode="General">
                  <c:v>-18.891999999999999</c:v>
                </c:pt>
                <c:pt idx="21" formatCode="General">
                  <c:v>-18.913575757575757</c:v>
                </c:pt>
                <c:pt idx="22" formatCode="General">
                  <c:v>-18.937818181818184</c:v>
                </c:pt>
                <c:pt idx="23" formatCode="General">
                  <c:v>-18.95644578313253</c:v>
                </c:pt>
                <c:pt idx="24" formatCode="General">
                  <c:v>-18.976060606060607</c:v>
                </c:pt>
                <c:pt idx="25" formatCode="General">
                  <c:v>-19.00030303030303</c:v>
                </c:pt>
                <c:pt idx="26" formatCode="General">
                  <c:v>-19.020909090909093</c:v>
                </c:pt>
                <c:pt idx="27" formatCode="General">
                  <c:v>-19.039090909090909</c:v>
                </c:pt>
                <c:pt idx="28" formatCode="General">
                  <c:v>-19.057272727272728</c:v>
                </c:pt>
                <c:pt idx="29" formatCode="General">
                  <c:v>-19.077272727272728</c:v>
                </c:pt>
                <c:pt idx="30" formatCode="General">
                  <c:v>-19.101515151515152</c:v>
                </c:pt>
                <c:pt idx="31" formatCode="General">
                  <c:v>-19.121746987951806</c:v>
                </c:pt>
                <c:pt idx="32" formatCode="General">
                  <c:v>-19.139819277108433</c:v>
                </c:pt>
                <c:pt idx="33" formatCode="General">
                  <c:v>-19.164000000000001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35EF-46D6-A94F-2517E60135C4}"/>
            </c:ext>
          </c:extLst>
        </c:ser>
        <c:ser>
          <c:idx val="8"/>
          <c:order val="10"/>
          <c:tx>
            <c:strRef>
              <c:f>'Gibbs-EVAL'!$A$111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-60.144848484848481</c:v>
                </c:pt>
                <c:pt idx="1">
                  <c:v>-58.339757575757574</c:v>
                </c:pt>
                <c:pt idx="2" formatCode="General">
                  <c:v>-56.654909090909094</c:v>
                </c:pt>
                <c:pt idx="3" formatCode="General">
                  <c:v>-55.098363636363636</c:v>
                </c:pt>
                <c:pt idx="4" formatCode="General">
                  <c:v>-53.546121212121207</c:v>
                </c:pt>
                <c:pt idx="5" formatCode="General">
                  <c:v>-51.49763636363636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35EF-46D6-A94F-2517E60135C4}"/>
            </c:ext>
          </c:extLst>
        </c:ser>
        <c:ser>
          <c:idx val="9"/>
          <c:order val="11"/>
          <c:tx>
            <c:strRef>
              <c:f>'Gibbs-EVAL'!$A$112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-37.092424242424244</c:v>
                </c:pt>
                <c:pt idx="1">
                  <c:v>-36.192181818181822</c:v>
                </c:pt>
                <c:pt idx="2" formatCode="General">
                  <c:v>-35.355818181818179</c:v>
                </c:pt>
                <c:pt idx="3" formatCode="General">
                  <c:v>-34.594666666666662</c:v>
                </c:pt>
                <c:pt idx="4" formatCode="General">
                  <c:v>-33.867151515151519</c:v>
                </c:pt>
                <c:pt idx="5" formatCode="General">
                  <c:v>-33.206545454545456</c:v>
                </c:pt>
                <c:pt idx="6" formatCode="General">
                  <c:v>-32.573554216867471</c:v>
                </c:pt>
                <c:pt idx="7" formatCode="General">
                  <c:v>-31.977168674698795</c:v>
                </c:pt>
                <c:pt idx="8" formatCode="General">
                  <c:v>-31.424666666666667</c:v>
                </c:pt>
                <c:pt idx="9" formatCode="General">
                  <c:v>-30.891309090909093</c:v>
                </c:pt>
                <c:pt idx="10" formatCode="General">
                  <c:v>-30.402218181818185</c:v>
                </c:pt>
                <c:pt idx="11" formatCode="General">
                  <c:v>-29.959906202723147</c:v>
                </c:pt>
                <c:pt idx="12" formatCode="General">
                  <c:v>-29.570344931921333</c:v>
                </c:pt>
                <c:pt idx="13" formatCode="General">
                  <c:v>-29.180783661119516</c:v>
                </c:pt>
                <c:pt idx="14" formatCode="General">
                  <c:v>-28.791222390317703</c:v>
                </c:pt>
                <c:pt idx="15" formatCode="General">
                  <c:v>-28.401661119515886</c:v>
                </c:pt>
                <c:pt idx="16" formatCode="General">
                  <c:v>-28.012099848714069</c:v>
                </c:pt>
                <c:pt idx="17" formatCode="General">
                  <c:v>-27.622538577912255</c:v>
                </c:pt>
                <c:pt idx="18" formatCode="General">
                  <c:v>-27.299575757575759</c:v>
                </c:pt>
                <c:pt idx="19" formatCode="General">
                  <c:v>-26.991527272727271</c:v>
                </c:pt>
                <c:pt idx="20" formatCode="General">
                  <c:v>-26.698799999999999</c:v>
                </c:pt>
                <c:pt idx="21" formatCode="General">
                  <c:v>-26.50721212121212</c:v>
                </c:pt>
                <c:pt idx="22" formatCode="General">
                  <c:v>-26.395090909090907</c:v>
                </c:pt>
                <c:pt idx="23" formatCode="General">
                  <c:v>-26.543975903614456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-27.907030120481927</c:v>
                </c:pt>
                <c:pt idx="32" formatCode="General">
                  <c:v>-28.076307228915663</c:v>
                </c:pt>
                <c:pt idx="33" formatCode="General">
                  <c:v>-28.240600000000001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35EF-46D6-A94F-2517E60135C4}"/>
            </c:ext>
          </c:extLst>
        </c:ser>
        <c:ser>
          <c:idx val="10"/>
          <c:order val="12"/>
          <c:tx>
            <c:strRef>
              <c:f>'Gibbs-EVAL'!$A$113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'Gibbs-EVAL'!$B$113:$BT$113</c:f>
              <c:numCache>
                <c:formatCode>0</c:formatCode>
                <c:ptCount val="71"/>
                <c:pt idx="0">
                  <c:v>-15.300424242424242</c:v>
                </c:pt>
                <c:pt idx="1">
                  <c:v>-14.974848484848485</c:v>
                </c:pt>
                <c:pt idx="2" formatCode="General">
                  <c:v>-14.671818181818182</c:v>
                </c:pt>
                <c:pt idx="3" formatCode="General">
                  <c:v>-14.399757575757576</c:v>
                </c:pt>
                <c:pt idx="4" formatCode="General">
                  <c:v>-14.105212121212121</c:v>
                </c:pt>
                <c:pt idx="5" formatCode="General">
                  <c:v>-13.420363636363636</c:v>
                </c:pt>
                <c:pt idx="6" formatCode="General">
                  <c:v>-12.711385542168674</c:v>
                </c:pt>
                <c:pt idx="7" formatCode="General">
                  <c:v>-11.970421686746988</c:v>
                </c:pt>
                <c:pt idx="8" formatCode="General">
                  <c:v>-11.272666666666668</c:v>
                </c:pt>
                <c:pt idx="9" formatCode="General">
                  <c:v>-10.593127272727273</c:v>
                </c:pt>
                <c:pt idx="10" formatCode="General">
                  <c:v>-9.9525212121212121</c:v>
                </c:pt>
                <c:pt idx="11" formatCode="General">
                  <c:v>-9.3588018154311658</c:v>
                </c:pt>
                <c:pt idx="12" formatCode="General">
                  <c:v>-8.8179546142208771</c:v>
                </c:pt>
                <c:pt idx="13" formatCode="General">
                  <c:v>-8.2771074130105902</c:v>
                </c:pt>
                <c:pt idx="14" formatCode="General">
                  <c:v>-7.7362602118003023</c:v>
                </c:pt>
                <c:pt idx="15" formatCode="General">
                  <c:v>-7.1954130105900145</c:v>
                </c:pt>
                <c:pt idx="16" formatCode="General">
                  <c:v>-6.6545658093797275</c:v>
                </c:pt>
                <c:pt idx="17" formatCode="General">
                  <c:v>-6.1137186081694388</c:v>
                </c:pt>
                <c:pt idx="18" formatCode="General">
                  <c:v>-5.6392727272727265</c:v>
                </c:pt>
                <c:pt idx="19" formatCode="General">
                  <c:v>-5.1809818181818166</c:v>
                </c:pt>
                <c:pt idx="20" formatCode="General">
                  <c:v>-4.742799999999999</c:v>
                </c:pt>
                <c:pt idx="21" formatCode="General">
                  <c:v>-4.4023636363636358</c:v>
                </c:pt>
                <c:pt idx="22" formatCode="General">
                  <c:v>-4.1387272727272721</c:v>
                </c:pt>
                <c:pt idx="23" formatCode="General">
                  <c:v>-4.1369277108433735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35EF-46D6-A94F-2517E60135C4}"/>
            </c:ext>
          </c:extLst>
        </c:ser>
        <c:ser>
          <c:idx val="11"/>
          <c:order val="13"/>
          <c:tx>
            <c:strRef>
              <c:f>'Gibbs-EVAL'!$A$114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'Gibbs-EVAL'!$B$114:$BT$114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-18.630969696969697</c:v>
                </c:pt>
                <c:pt idx="5" formatCode="General">
                  <c:v>-18.643090909090908</c:v>
                </c:pt>
                <c:pt idx="6" formatCode="General">
                  <c:v>-18.655180722891565</c:v>
                </c:pt>
                <c:pt idx="7" formatCode="General">
                  <c:v>-18.667228915662651</c:v>
                </c:pt>
                <c:pt idx="8" formatCode="General">
                  <c:v>-18.679333333333336</c:v>
                </c:pt>
                <c:pt idx="9" formatCode="General">
                  <c:v>-18.692181818181819</c:v>
                </c:pt>
                <c:pt idx="10" formatCode="General">
                  <c:v>-18.710363636363635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-18.855636363636364</c:v>
                </c:pt>
                <c:pt idx="19" formatCode="General">
                  <c:v>-18.873818181818184</c:v>
                </c:pt>
                <c:pt idx="20" formatCode="General">
                  <c:v>-18.891999999999999</c:v>
                </c:pt>
                <c:pt idx="21" formatCode="General">
                  <c:v>-18.913575757575757</c:v>
                </c:pt>
                <c:pt idx="22" formatCode="General">
                  <c:v>-18.937818181818184</c:v>
                </c:pt>
                <c:pt idx="23" formatCode="General">
                  <c:v>-18.95644578313253</c:v>
                </c:pt>
                <c:pt idx="24" formatCode="General">
                  <c:v>-18.976060606060607</c:v>
                </c:pt>
                <c:pt idx="25" formatCode="General">
                  <c:v>-19.00030303030303</c:v>
                </c:pt>
                <c:pt idx="26" formatCode="General">
                  <c:v>-19.020909090909093</c:v>
                </c:pt>
                <c:pt idx="27" formatCode="General">
                  <c:v>-19.039090909090909</c:v>
                </c:pt>
                <c:pt idx="28" formatCode="General">
                  <c:v>-19.057272727272728</c:v>
                </c:pt>
                <c:pt idx="29" formatCode="General">
                  <c:v>-19.077272727272728</c:v>
                </c:pt>
                <c:pt idx="30" formatCode="General">
                  <c:v>-19.101515151515152</c:v>
                </c:pt>
                <c:pt idx="31" formatCode="General">
                  <c:v>-19.121746987951806</c:v>
                </c:pt>
                <c:pt idx="32" formatCode="General">
                  <c:v>-19.139819277108433</c:v>
                </c:pt>
                <c:pt idx="33" formatCode="General">
                  <c:v>-19.164000000000001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35EF-46D6-A94F-2517E60135C4}"/>
            </c:ext>
          </c:extLst>
        </c:ser>
        <c:ser>
          <c:idx val="12"/>
          <c:order val="14"/>
          <c:tx>
            <c:strRef>
              <c:f>'Gibbs-EVAL'!$A$115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'Gibbs-EVAL'!$B$115:$BT$115</c:f>
              <c:numCache>
                <c:formatCode>0</c:formatCode>
                <c:ptCount val="71"/>
                <c:pt idx="0">
                  <c:v>-60.144848484848481</c:v>
                </c:pt>
                <c:pt idx="1">
                  <c:v>-58.339757575757574</c:v>
                </c:pt>
                <c:pt idx="2" formatCode="General">
                  <c:v>-56.654909090909094</c:v>
                </c:pt>
                <c:pt idx="3" formatCode="General">
                  <c:v>-55.098363636363636</c:v>
                </c:pt>
                <c:pt idx="4" formatCode="General">
                  <c:v>-53.546121212121207</c:v>
                </c:pt>
                <c:pt idx="5" formatCode="General">
                  <c:v>-51.49763636363636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35EF-46D6-A94F-2517E60135C4}"/>
            </c:ext>
          </c:extLst>
        </c:ser>
        <c:ser>
          <c:idx val="13"/>
          <c:order val="15"/>
          <c:tx>
            <c:strRef>
              <c:f>'Gibbs-EVAL'!$A$116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'Gibbs-EVAL'!$B$116:$BT$116</c:f>
              <c:numCache>
                <c:formatCode>0</c:formatCode>
                <c:ptCount val="71"/>
                <c:pt idx="0">
                  <c:v>-15.300424242424242</c:v>
                </c:pt>
                <c:pt idx="1">
                  <c:v>-14.974848484848485</c:v>
                </c:pt>
                <c:pt idx="2" formatCode="General">
                  <c:v>-14.671818181818182</c:v>
                </c:pt>
                <c:pt idx="3" formatCode="General">
                  <c:v>-14.399757575757576</c:v>
                </c:pt>
                <c:pt idx="4" formatCode="General">
                  <c:v>-14.105212121212121</c:v>
                </c:pt>
                <c:pt idx="5" formatCode="General">
                  <c:v>-13.420363636363636</c:v>
                </c:pt>
                <c:pt idx="6" formatCode="General">
                  <c:v>-12.711385542168674</c:v>
                </c:pt>
                <c:pt idx="7" formatCode="General">
                  <c:v>-11.970421686746988</c:v>
                </c:pt>
                <c:pt idx="8" formatCode="General">
                  <c:v>-11.272666666666668</c:v>
                </c:pt>
                <c:pt idx="9" formatCode="General">
                  <c:v>-10.593127272727273</c:v>
                </c:pt>
                <c:pt idx="10" formatCode="General">
                  <c:v>-9.9525212121212121</c:v>
                </c:pt>
                <c:pt idx="11" formatCode="General">
                  <c:v>-9.3588018154311658</c:v>
                </c:pt>
                <c:pt idx="12" formatCode="General">
                  <c:v>-8.8179546142208771</c:v>
                </c:pt>
                <c:pt idx="13" formatCode="General">
                  <c:v>-8.2771074130105902</c:v>
                </c:pt>
                <c:pt idx="14" formatCode="General">
                  <c:v>-7.7362602118003023</c:v>
                </c:pt>
                <c:pt idx="15" formatCode="General">
                  <c:v>-7.1954130105900145</c:v>
                </c:pt>
                <c:pt idx="16" formatCode="General">
                  <c:v>-6.6545658093797275</c:v>
                </c:pt>
                <c:pt idx="17" formatCode="General">
                  <c:v>-6.1137186081694388</c:v>
                </c:pt>
                <c:pt idx="18" formatCode="General">
                  <c:v>-5.6392727272727265</c:v>
                </c:pt>
                <c:pt idx="19" formatCode="General">
                  <c:v>-5.1809818181818166</c:v>
                </c:pt>
                <c:pt idx="20" formatCode="General">
                  <c:v>-4.742799999999999</c:v>
                </c:pt>
                <c:pt idx="21" formatCode="General">
                  <c:v>-4.4023636363636358</c:v>
                </c:pt>
                <c:pt idx="22" formatCode="General">
                  <c:v>-4.1387272727272721</c:v>
                </c:pt>
                <c:pt idx="23" formatCode="General">
                  <c:v>-4.1369277108433735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35EF-46D6-A94F-2517E60135C4}"/>
            </c:ext>
          </c:extLst>
        </c:ser>
        <c:ser>
          <c:idx val="14"/>
          <c:order val="16"/>
          <c:tx>
            <c:strRef>
              <c:f>'Gibbs-EVAL'!$A$117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'Gibbs-EVAL'!$B$117:$BT$117</c:f>
              <c:numCache>
                <c:formatCode>0</c:formatCode>
                <c:ptCount val="71"/>
                <c:pt idx="0">
                  <c:v>-21.792000000000002</c:v>
                </c:pt>
                <c:pt idx="1">
                  <c:v>-21.217333333333332</c:v>
                </c:pt>
                <c:pt idx="2" formatCode="General">
                  <c:v>-20.683999999999997</c:v>
                </c:pt>
                <c:pt idx="3" formatCode="General">
                  <c:v>-20.194909090909089</c:v>
                </c:pt>
                <c:pt idx="4" formatCode="General">
                  <c:v>-19.761939393939397</c:v>
                </c:pt>
                <c:pt idx="5" formatCode="General">
                  <c:v>-19.78618181818182</c:v>
                </c:pt>
                <c:pt idx="6" formatCode="General">
                  <c:v>-19.862168674698797</c:v>
                </c:pt>
                <c:pt idx="7" formatCode="General">
                  <c:v>-20.006746987951807</c:v>
                </c:pt>
                <c:pt idx="8" formatCode="General">
                  <c:v>-20.152000000000001</c:v>
                </c:pt>
                <c:pt idx="9" formatCode="General">
                  <c:v>-20.298181818181821</c:v>
                </c:pt>
                <c:pt idx="10" formatCode="General">
                  <c:v>-20.449696969696969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-23.573975903614457</c:v>
                </c:pt>
                <c:pt idx="32" formatCode="General">
                  <c:v>-23.718554216867467</c:v>
                </c:pt>
                <c:pt idx="33" formatCode="General">
                  <c:v>-23.858000000000001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35EF-46D6-A94F-2517E60135C4}"/>
            </c:ext>
          </c:extLst>
        </c:ser>
        <c:ser>
          <c:idx val="15"/>
          <c:order val="17"/>
          <c:tx>
            <c:strRef>
              <c:f>'Gibbs-EVAL'!$A$118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35EF-46D6-A94F-2517E60135C4}"/>
            </c:ext>
          </c:extLst>
        </c:ser>
        <c:ser>
          <c:idx val="16"/>
          <c:order val="18"/>
          <c:tx>
            <c:strRef>
              <c:f>'Gibbs-EVAL'!$A$119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35EF-46D6-A94F-2517E60135C4}"/>
            </c:ext>
          </c:extLst>
        </c:ser>
        <c:ser>
          <c:idx val="17"/>
          <c:order val="19"/>
          <c:tx>
            <c:strRef>
              <c:f>'Gibbs-EVAL'!$A$120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35EF-46D6-A94F-2517E60135C4}"/>
            </c:ext>
          </c:extLst>
        </c:ser>
        <c:ser>
          <c:idx val="18"/>
          <c:order val="20"/>
          <c:tx>
            <c:strRef>
              <c:f>'Gibbs-EVAL'!$A$121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35EF-46D6-A94F-2517E60135C4}"/>
            </c:ext>
          </c:extLst>
        </c:ser>
        <c:ser>
          <c:idx val="19"/>
          <c:order val="21"/>
          <c:tx>
            <c:strRef>
              <c:f>'Gibbs-EVAL'!$A$122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35EF-46D6-A94F-2517E60135C4}"/>
            </c:ext>
          </c:extLst>
        </c:ser>
        <c:ser>
          <c:idx val="20"/>
          <c:order val="22"/>
          <c:tx>
            <c:strRef>
              <c:f>'Gibbs-EVAL'!$A$123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35EF-46D6-A94F-2517E60135C4}"/>
            </c:ext>
          </c:extLst>
        </c:ser>
        <c:ser>
          <c:idx val="21"/>
          <c:order val="23"/>
          <c:tx>
            <c:strRef>
              <c:f>'Gibbs-EVAL'!$A$124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35EF-46D6-A94F-2517E60135C4}"/>
            </c:ext>
          </c:extLst>
        </c:ser>
        <c:ser>
          <c:idx val="22"/>
          <c:order val="24"/>
          <c:tx>
            <c:strRef>
              <c:f>'Gibbs-EVAL'!$A$125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35EF-46D6-A94F-2517E60135C4}"/>
            </c:ext>
          </c:extLst>
        </c:ser>
        <c:ser>
          <c:idx val="23"/>
          <c:order val="25"/>
          <c:tx>
            <c:strRef>
              <c:f>'Gibbs-EVAL'!$A$126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35EF-46D6-A94F-2517E60135C4}"/>
            </c:ext>
          </c:extLst>
        </c:ser>
        <c:ser>
          <c:idx val="24"/>
          <c:order val="26"/>
          <c:tx>
            <c:strRef>
              <c:f>'Gibbs-EVAL'!$A$127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35EF-46D6-A94F-2517E60135C4}"/>
            </c:ext>
          </c:extLst>
        </c:ser>
        <c:ser>
          <c:idx val="25"/>
          <c:order val="27"/>
          <c:tx>
            <c:strRef>
              <c:f>'Gibbs-EVAL'!$A$128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35EF-46D6-A94F-2517E60135C4}"/>
            </c:ext>
          </c:extLst>
        </c:ser>
        <c:ser>
          <c:idx val="26"/>
          <c:order val="28"/>
          <c:tx>
            <c:strRef>
              <c:f>'Gibbs-EVAL'!$A$129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35EF-46D6-A94F-2517E60135C4}"/>
            </c:ext>
          </c:extLst>
        </c:ser>
        <c:ser>
          <c:idx val="27"/>
          <c:order val="29"/>
          <c:tx>
            <c:strRef>
              <c:f>'Gibbs-EVAL'!$A$130</c:f>
              <c:strCache>
                <c:ptCount val="1"/>
                <c:pt idx="0">
                  <c:v>end1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'Gibbs-EVAL'!$B$130:$BT$130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35EF-46D6-A94F-2517E60135C4}"/>
            </c:ext>
          </c:extLst>
        </c:ser>
        <c:ser>
          <c:idx val="28"/>
          <c:order val="30"/>
          <c:tx>
            <c:strRef>
              <c:f>'Gibbs-EVAL'!$A$131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35EF-46D6-A94F-2517E60135C4}"/>
            </c:ext>
          </c:extLst>
        </c:ser>
        <c:ser>
          <c:idx val="29"/>
          <c:order val="31"/>
          <c:tx>
            <c:strRef>
              <c:f>'Gibbs-EVAL'!$A$132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35EF-46D6-A94F-2517E60135C4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-22.065575757575758</c:v>
                </c:pt>
                <c:pt idx="1">
                  <c:v>-21.674060606060607</c:v>
                </c:pt>
                <c:pt idx="2" formatCode="General">
                  <c:v>-21.395272727272726</c:v>
                </c:pt>
                <c:pt idx="3" formatCode="General">
                  <c:v>-21.244787878787879</c:v>
                </c:pt>
                <c:pt idx="4" formatCode="General">
                  <c:v>-21.157019667170953</c:v>
                </c:pt>
                <c:pt idx="5" formatCode="General">
                  <c:v>-21.244765506807866</c:v>
                </c:pt>
                <c:pt idx="6" formatCode="General">
                  <c:v>-21.332511346444779</c:v>
                </c:pt>
                <c:pt idx="7" formatCode="General">
                  <c:v>-21.420257186081695</c:v>
                </c:pt>
                <c:pt idx="8" formatCode="General">
                  <c:v>-21.508003025718608</c:v>
                </c:pt>
                <c:pt idx="9" formatCode="General">
                  <c:v>-21.595748865355521</c:v>
                </c:pt>
                <c:pt idx="10" formatCode="General">
                  <c:v>-21.683494704992437</c:v>
                </c:pt>
                <c:pt idx="11" formatCode="General">
                  <c:v>-21.792666666666666</c:v>
                </c:pt>
                <c:pt idx="12" formatCode="General">
                  <c:v>-21.925999999999998</c:v>
                </c:pt>
                <c:pt idx="13" formatCode="General">
                  <c:v>-22.049393939393937</c:v>
                </c:pt>
                <c:pt idx="14" formatCode="General">
                  <c:v>-22.167409638554215</c:v>
                </c:pt>
                <c:pt idx="15" formatCode="General">
                  <c:v>-22.269819277108432</c:v>
                </c:pt>
                <c:pt idx="16" formatCode="General">
                  <c:v>-22.363272727272729</c:v>
                </c:pt>
                <c:pt idx="17" formatCode="General">
                  <c:v>-22.448121212121212</c:v>
                </c:pt>
                <c:pt idx="18" formatCode="General">
                  <c:v>-22.532969696969698</c:v>
                </c:pt>
                <c:pt idx="19" formatCode="General">
                  <c:v>-22.620363636363638</c:v>
                </c:pt>
                <c:pt idx="20" formatCode="General">
                  <c:v>-22.717333333333336</c:v>
                </c:pt>
                <c:pt idx="21" formatCode="General">
                  <c:v>-22.82448484848485</c:v>
                </c:pt>
                <c:pt idx="22" formatCode="General">
                  <c:v>-22.939636363636364</c:v>
                </c:pt>
                <c:pt idx="23" formatCode="General">
                  <c:v>-23.059638554216868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35EF-46D6-A94F-2517E60135C4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-37.871212121212125</c:v>
                </c:pt>
                <c:pt idx="1">
                  <c:v>-36.936060606060607</c:v>
                </c:pt>
                <c:pt idx="2" formatCode="General">
                  <c:v>-36.057272727272725</c:v>
                </c:pt>
                <c:pt idx="3" formatCode="General">
                  <c:v>-35.249272727272725</c:v>
                </c:pt>
                <c:pt idx="4" formatCode="General">
                  <c:v>-34.48330711043873</c:v>
                </c:pt>
                <c:pt idx="5" formatCode="General">
                  <c:v>-33.899645990922842</c:v>
                </c:pt>
                <c:pt idx="6" formatCode="General">
                  <c:v>-33.315984871406961</c:v>
                </c:pt>
                <c:pt idx="7" formatCode="General">
                  <c:v>-32.732323751891073</c:v>
                </c:pt>
                <c:pt idx="8" formatCode="General">
                  <c:v>-32.148662632375192</c:v>
                </c:pt>
                <c:pt idx="9" formatCode="General">
                  <c:v>-31.565001512859304</c:v>
                </c:pt>
                <c:pt idx="10" formatCode="General">
                  <c:v>-30.981340393343419</c:v>
                </c:pt>
                <c:pt idx="11" formatCode="General">
                  <c:v>-30.471751515151517</c:v>
                </c:pt>
                <c:pt idx="12" formatCode="General">
                  <c:v>-30.045690909090911</c:v>
                </c:pt>
                <c:pt idx="13" formatCode="General">
                  <c:v>-29.668830303030305</c:v>
                </c:pt>
                <c:pt idx="14" formatCode="General">
                  <c:v>-29.315024096385542</c:v>
                </c:pt>
                <c:pt idx="15" formatCode="General">
                  <c:v>-29.021048192771087</c:v>
                </c:pt>
                <c:pt idx="16" formatCode="General">
                  <c:v>-28.765418181818184</c:v>
                </c:pt>
                <c:pt idx="17" formatCode="General">
                  <c:v>-28.546630303030305</c:v>
                </c:pt>
                <c:pt idx="18" formatCode="General">
                  <c:v>-28.406024242424245</c:v>
                </c:pt>
                <c:pt idx="19" formatCode="General">
                  <c:v>-28.297109090909093</c:v>
                </c:pt>
                <c:pt idx="20" formatCode="General">
                  <c:v>-28.259533333333334</c:v>
                </c:pt>
                <c:pt idx="21" formatCode="General">
                  <c:v>-28.267096969696972</c:v>
                </c:pt>
                <c:pt idx="22" formatCode="General">
                  <c:v>-28.310127272727271</c:v>
                </c:pt>
                <c:pt idx="23" formatCode="General">
                  <c:v>-28.39896987951807</c:v>
                </c:pt>
                <c:pt idx="24" formatCode="General">
                  <c:v>-28.502333333333333</c:v>
                </c:pt>
                <c:pt idx="25" formatCode="General">
                  <c:v>-28.635666666666665</c:v>
                </c:pt>
                <c:pt idx="26" formatCode="General">
                  <c:v>-28.781727272727274</c:v>
                </c:pt>
                <c:pt idx="27" formatCode="General">
                  <c:v>-28.93627272727273</c:v>
                </c:pt>
                <c:pt idx="28" formatCode="General">
                  <c:v>-29.102333333333334</c:v>
                </c:pt>
                <c:pt idx="29" formatCode="General">
                  <c:v>-29.267909090909093</c:v>
                </c:pt>
                <c:pt idx="30" formatCode="General">
                  <c:v>-29.430939393939394</c:v>
                </c:pt>
                <c:pt idx="31" formatCode="General">
                  <c:v>-29.598030120481926</c:v>
                </c:pt>
                <c:pt idx="32" formatCode="General">
                  <c:v>-29.767307228915662</c:v>
                </c:pt>
                <c:pt idx="33" formatCode="General">
                  <c:v>-29.930999999999997</c:v>
                </c:pt>
                <c:pt idx="34" formatCode="General">
                  <c:v>-30.094842424242422</c:v>
                </c:pt>
                <c:pt idx="35" formatCode="General">
                  <c:v>-30.259084848484846</c:v>
                </c:pt>
                <c:pt idx="36" formatCode="General">
                  <c:v>-30.422909090909091</c:v>
                </c:pt>
                <c:pt idx="37" formatCode="General">
                  <c:v>-30.586432677760968</c:v>
                </c:pt>
                <c:pt idx="38" formatCode="General">
                  <c:v>-30.747249621785173</c:v>
                </c:pt>
                <c:pt idx="39" formatCode="General">
                  <c:v>-30.908066565809378</c:v>
                </c:pt>
                <c:pt idx="40" formatCode="General">
                  <c:v>-31.068883509833583</c:v>
                </c:pt>
                <c:pt idx="41" formatCode="General">
                  <c:v>-31.229700453857792</c:v>
                </c:pt>
                <c:pt idx="42" formatCode="General">
                  <c:v>-31.390517397881997</c:v>
                </c:pt>
                <c:pt idx="43" formatCode="General">
                  <c:v>-31.551334341906202</c:v>
                </c:pt>
                <c:pt idx="44" formatCode="General">
                  <c:v>-31.709614220877459</c:v>
                </c:pt>
                <c:pt idx="45" formatCode="General">
                  <c:v>-31.864531013615736</c:v>
                </c:pt>
                <c:pt idx="46" formatCode="General">
                  <c:v>-32.019447806354009</c:v>
                </c:pt>
                <c:pt idx="47" formatCode="General">
                  <c:v>-32.174364599092286</c:v>
                </c:pt>
                <c:pt idx="48" formatCode="General">
                  <c:v>-32.329281391830563</c:v>
                </c:pt>
                <c:pt idx="49" formatCode="General">
                  <c:v>-32.484198184568839</c:v>
                </c:pt>
                <c:pt idx="50" formatCode="General">
                  <c:v>-32.639114977307116</c:v>
                </c:pt>
                <c:pt idx="51" formatCode="General">
                  <c:v>-32.792360606060612</c:v>
                </c:pt>
                <c:pt idx="52" formatCode="General">
                  <c:v>-32.945239393939396</c:v>
                </c:pt>
                <c:pt idx="53" formatCode="General">
                  <c:v>-33.098118181818187</c:v>
                </c:pt>
                <c:pt idx="54" formatCode="General">
                  <c:v>-33.25099696969697</c:v>
                </c:pt>
                <c:pt idx="55" formatCode="General">
                  <c:v>-33.403875757575761</c:v>
                </c:pt>
                <c:pt idx="56" formatCode="General">
                  <c:v>-33.556754545454545</c:v>
                </c:pt>
                <c:pt idx="57" formatCode="General">
                  <c:v>-33.709000000000003</c:v>
                </c:pt>
                <c:pt idx="58" formatCode="General">
                  <c:v>-33.859000000000002</c:v>
                </c:pt>
                <c:pt idx="59" formatCode="General">
                  <c:v>-34.008490909090909</c:v>
                </c:pt>
                <c:pt idx="60" formatCode="General">
                  <c:v>-34.157581818181818</c:v>
                </c:pt>
                <c:pt idx="61" formatCode="General">
                  <c:v>-34.304466666666663</c:v>
                </c:pt>
                <c:pt idx="62" formatCode="General">
                  <c:v>-34.450818181818178</c:v>
                </c:pt>
                <c:pt idx="63" formatCode="General">
                  <c:v>-34.596272727272726</c:v>
                </c:pt>
                <c:pt idx="64" formatCode="General">
                  <c:v>-34.737660606060608</c:v>
                </c:pt>
                <c:pt idx="65" formatCode="General">
                  <c:v>-34.876448484848481</c:v>
                </c:pt>
                <c:pt idx="66" formatCode="General">
                  <c:v>-35.019060240963853</c:v>
                </c:pt>
                <c:pt idx="67" formatCode="General">
                  <c:v>-35.162090909090907</c:v>
                </c:pt>
                <c:pt idx="68" formatCode="General">
                  <c:v>-35.305727272727275</c:v>
                </c:pt>
                <c:pt idx="69" formatCode="General">
                  <c:v>-35.445030303030308</c:v>
                </c:pt>
                <c:pt idx="70" formatCode="General">
                  <c:v>-35.582000000000001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35EF-46D6-A94F-2517E60135C4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-18.631089258698939</c:v>
                </c:pt>
                <c:pt idx="5" formatCode="General">
                  <c:v>-18.644704992435702</c:v>
                </c:pt>
                <c:pt idx="6" formatCode="General">
                  <c:v>-18.658320726172466</c:v>
                </c:pt>
                <c:pt idx="7" formatCode="General">
                  <c:v>-18.671936459909226</c:v>
                </c:pt>
                <c:pt idx="8" formatCode="General">
                  <c:v>-18.685552193645989</c:v>
                </c:pt>
                <c:pt idx="9" formatCode="General">
                  <c:v>-18.699167927382753</c:v>
                </c:pt>
                <c:pt idx="10" formatCode="General">
                  <c:v>-18.712783661119516</c:v>
                </c:pt>
                <c:pt idx="11" formatCode="General">
                  <c:v>-18.728545454545454</c:v>
                </c:pt>
                <c:pt idx="12" formatCode="General">
                  <c:v>-18.746727272727274</c:v>
                </c:pt>
                <c:pt idx="13" formatCode="General">
                  <c:v>-18.764909090909093</c:v>
                </c:pt>
                <c:pt idx="14" formatCode="General">
                  <c:v>-18.783072289156628</c:v>
                </c:pt>
                <c:pt idx="15" formatCode="General">
                  <c:v>-18.801144578313252</c:v>
                </c:pt>
                <c:pt idx="16" formatCode="General">
                  <c:v>-18.819272727272725</c:v>
                </c:pt>
                <c:pt idx="17" formatCode="General">
                  <c:v>-18.837454545454545</c:v>
                </c:pt>
                <c:pt idx="18" formatCode="General">
                  <c:v>-18.855636363636364</c:v>
                </c:pt>
                <c:pt idx="19" formatCode="General">
                  <c:v>-18.873818181818184</c:v>
                </c:pt>
                <c:pt idx="20" formatCode="General">
                  <c:v>-18.891999999999999</c:v>
                </c:pt>
                <c:pt idx="21" formatCode="General">
                  <c:v>-18.913575757575757</c:v>
                </c:pt>
                <c:pt idx="22" formatCode="General">
                  <c:v>-18.937818181818184</c:v>
                </c:pt>
                <c:pt idx="23" formatCode="General">
                  <c:v>-18.95644578313253</c:v>
                </c:pt>
                <c:pt idx="24" formatCode="General">
                  <c:v>-18.976060606060607</c:v>
                </c:pt>
                <c:pt idx="25" formatCode="General">
                  <c:v>-19.00030303030303</c:v>
                </c:pt>
                <c:pt idx="26" formatCode="General">
                  <c:v>-19.020909090909093</c:v>
                </c:pt>
                <c:pt idx="27" formatCode="General">
                  <c:v>-19.039090909090909</c:v>
                </c:pt>
                <c:pt idx="28" formatCode="General">
                  <c:v>-19.057272727272728</c:v>
                </c:pt>
                <c:pt idx="29" formatCode="General">
                  <c:v>-19.077272727272728</c:v>
                </c:pt>
                <c:pt idx="30" formatCode="General">
                  <c:v>-19.101515151515152</c:v>
                </c:pt>
                <c:pt idx="31" formatCode="General">
                  <c:v>-19.121746987951806</c:v>
                </c:pt>
                <c:pt idx="32" formatCode="General">
                  <c:v>-19.139819277108433</c:v>
                </c:pt>
                <c:pt idx="33" formatCode="General">
                  <c:v>-19.164000000000001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-19.388456883509832</c:v>
                </c:pt>
                <c:pt idx="45" formatCode="General">
                  <c:v>-19.408124054462935</c:v>
                </c:pt>
                <c:pt idx="46" formatCode="General">
                  <c:v>-19.427791225416037</c:v>
                </c:pt>
                <c:pt idx="47" formatCode="General">
                  <c:v>-19.447458396369139</c:v>
                </c:pt>
                <c:pt idx="48" formatCode="General">
                  <c:v>-19.467125567322238</c:v>
                </c:pt>
                <c:pt idx="49" formatCode="General">
                  <c:v>-19.486792738275341</c:v>
                </c:pt>
                <c:pt idx="50" formatCode="General">
                  <c:v>-19.506459909228443</c:v>
                </c:pt>
                <c:pt idx="51" formatCode="General">
                  <c:v>-19.526151515151518</c:v>
                </c:pt>
                <c:pt idx="52" formatCode="General">
                  <c:v>-19.545848484848488</c:v>
                </c:pt>
                <c:pt idx="53" formatCode="General">
                  <c:v>-19.565545454545457</c:v>
                </c:pt>
                <c:pt idx="54" formatCode="General">
                  <c:v>-19.585242424242427</c:v>
                </c:pt>
                <c:pt idx="55" formatCode="General">
                  <c:v>-19.604939393939397</c:v>
                </c:pt>
                <c:pt idx="56" formatCode="General">
                  <c:v>-19.624636363636366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35EF-46D6-A94F-2517E60135C4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  <c:pt idx="0">
                  <c:v>(DGeSe2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-59.936787878787875</c:v>
                </c:pt>
                <c:pt idx="1">
                  <c:v>-58.610121212121214</c:v>
                </c:pt>
                <c:pt idx="2" formatCode="General">
                  <c:v>-57.452545454545458</c:v>
                </c:pt>
                <c:pt idx="3" formatCode="General">
                  <c:v>-56.494060606060607</c:v>
                </c:pt>
                <c:pt idx="4" formatCode="General">
                  <c:v>-55.64032677760968</c:v>
                </c:pt>
                <c:pt idx="5" formatCode="General">
                  <c:v>-55.144411497730708</c:v>
                </c:pt>
                <c:pt idx="6" formatCode="General">
                  <c:v>-54.648496217851736</c:v>
                </c:pt>
                <c:pt idx="7" formatCode="General">
                  <c:v>-54.152580937972772</c:v>
                </c:pt>
                <c:pt idx="8" formatCode="General">
                  <c:v>-53.6566656580938</c:v>
                </c:pt>
                <c:pt idx="9" formatCode="General">
                  <c:v>-53.160750378214829</c:v>
                </c:pt>
                <c:pt idx="10" formatCode="General">
                  <c:v>-52.664835098335857</c:v>
                </c:pt>
                <c:pt idx="11" formatCode="General">
                  <c:v>-52.264418181818179</c:v>
                </c:pt>
                <c:pt idx="12" formatCode="General">
                  <c:v>-51.97169090909091</c:v>
                </c:pt>
                <c:pt idx="13" formatCode="General">
                  <c:v>-51.718224242424242</c:v>
                </c:pt>
                <c:pt idx="14" formatCode="General">
                  <c:v>-51.482433734939761</c:v>
                </c:pt>
                <c:pt idx="15" formatCode="General">
                  <c:v>-51.290867469879522</c:v>
                </c:pt>
                <c:pt idx="16" formatCode="General">
                  <c:v>-51.128690909090913</c:v>
                </c:pt>
                <c:pt idx="17" formatCode="General">
                  <c:v>-50.994751515151513</c:v>
                </c:pt>
                <c:pt idx="18" formatCode="General">
                  <c:v>-50.938993939393939</c:v>
                </c:pt>
                <c:pt idx="19" formatCode="General">
                  <c:v>-50.917472727272731</c:v>
                </c:pt>
                <c:pt idx="20" formatCode="General">
                  <c:v>-50.976866666666666</c:v>
                </c:pt>
                <c:pt idx="21" formatCode="General">
                  <c:v>-51.091581818181815</c:v>
                </c:pt>
                <c:pt idx="22" formatCode="General">
                  <c:v>-51.249763636363632</c:v>
                </c:pt>
                <c:pt idx="23" formatCode="General">
                  <c:v>-51.458608433734938</c:v>
                </c:pt>
                <c:pt idx="24" formatCode="General">
                  <c:v>-51.68566666666667</c:v>
                </c:pt>
                <c:pt idx="25" formatCode="General">
                  <c:v>-51.952333333333335</c:v>
                </c:pt>
                <c:pt idx="26" formatCode="General">
                  <c:v>-52.235363636363644</c:v>
                </c:pt>
                <c:pt idx="27" formatCode="General">
                  <c:v>-52.529303030303033</c:v>
                </c:pt>
                <c:pt idx="28" formatCode="General">
                  <c:v>-52.840515151515149</c:v>
                </c:pt>
                <c:pt idx="29" formatCode="General">
                  <c:v>-53.149727272727269</c:v>
                </c:pt>
                <c:pt idx="30" formatCode="General">
                  <c:v>-53.452151515151513</c:v>
                </c:pt>
                <c:pt idx="31" formatCode="General">
                  <c:v>-53.76200602409638</c:v>
                </c:pt>
                <c:pt idx="32" formatCode="General">
                  <c:v>-54.075861445783126</c:v>
                </c:pt>
                <c:pt idx="33" formatCode="General">
                  <c:v>-54.378999999999998</c:v>
                </c:pt>
                <c:pt idx="34" formatCode="General">
                  <c:v>-54.682236363636363</c:v>
                </c:pt>
                <c:pt idx="35" formatCode="General">
                  <c:v>-54.985872727272728</c:v>
                </c:pt>
                <c:pt idx="36" formatCode="General">
                  <c:v>-55.289090909090909</c:v>
                </c:pt>
                <c:pt idx="37" formatCode="General">
                  <c:v>-55.591878971255667</c:v>
                </c:pt>
                <c:pt idx="38" formatCode="General">
                  <c:v>-55.8888532526475</c:v>
                </c:pt>
                <c:pt idx="39" formatCode="General">
                  <c:v>-56.185827534039333</c:v>
                </c:pt>
                <c:pt idx="40" formatCode="General">
                  <c:v>-56.482801815431159</c:v>
                </c:pt>
                <c:pt idx="41" formatCode="General">
                  <c:v>-56.779776096822992</c:v>
                </c:pt>
                <c:pt idx="42" formatCode="General">
                  <c:v>-57.076750378214825</c:v>
                </c:pt>
                <c:pt idx="43" formatCode="General">
                  <c:v>-57.373724659606651</c:v>
                </c:pt>
                <c:pt idx="44" formatCode="General">
                  <c:v>-57.664909228441751</c:v>
                </c:pt>
                <c:pt idx="45" formatCode="General">
                  <c:v>-57.948419062027227</c:v>
                </c:pt>
                <c:pt idx="46" formatCode="General">
                  <c:v>-58.231928895612711</c:v>
                </c:pt>
                <c:pt idx="47" formatCode="General">
                  <c:v>-58.515438729198188</c:v>
                </c:pt>
                <c:pt idx="48" formatCode="General">
                  <c:v>-58.798948562783664</c:v>
                </c:pt>
                <c:pt idx="49" formatCode="General">
                  <c:v>-59.082458396369141</c:v>
                </c:pt>
                <c:pt idx="50" formatCode="General">
                  <c:v>-59.365968229954618</c:v>
                </c:pt>
                <c:pt idx="51" formatCode="General">
                  <c:v>-59.641754545454546</c:v>
                </c:pt>
                <c:pt idx="52" formatCode="General">
                  <c:v>-59.915845454545455</c:v>
                </c:pt>
                <c:pt idx="53" formatCode="General">
                  <c:v>-60.189936363636363</c:v>
                </c:pt>
                <c:pt idx="54" formatCode="General">
                  <c:v>-60.464027272727272</c:v>
                </c:pt>
                <c:pt idx="55" formatCode="General">
                  <c:v>-60.73811818181818</c:v>
                </c:pt>
                <c:pt idx="56" formatCode="General">
                  <c:v>-61.012209090909089</c:v>
                </c:pt>
                <c:pt idx="57" formatCode="General">
                  <c:v>-61.285506024096385</c:v>
                </c:pt>
                <c:pt idx="58" formatCode="General">
                  <c:v>-61.555987951807225</c:v>
                </c:pt>
                <c:pt idx="59" formatCode="General">
                  <c:v>-61.826369696969692</c:v>
                </c:pt>
                <c:pt idx="60" formatCode="General">
                  <c:v>-62.096672727272725</c:v>
                </c:pt>
                <c:pt idx="61" formatCode="General">
                  <c:v>-62.364769696969695</c:v>
                </c:pt>
                <c:pt idx="62" formatCode="General">
                  <c:v>-62.632333333333328</c:v>
                </c:pt>
                <c:pt idx="63" formatCode="General">
                  <c:v>-62.899000000000001</c:v>
                </c:pt>
                <c:pt idx="64" formatCode="General">
                  <c:v>-63.157903030303032</c:v>
                </c:pt>
                <c:pt idx="65" formatCode="General">
                  <c:v>-63.411842424242423</c:v>
                </c:pt>
                <c:pt idx="66" formatCode="General">
                  <c:v>-63.674722891566262</c:v>
                </c:pt>
                <c:pt idx="67" formatCode="General">
                  <c:v>-63.93845454545454</c:v>
                </c:pt>
                <c:pt idx="68" formatCode="General">
                  <c:v>-64.203303030303033</c:v>
                </c:pt>
                <c:pt idx="69" formatCode="General">
                  <c:v>-64.459878787878793</c:v>
                </c:pt>
                <c:pt idx="70" formatCode="General">
                  <c:v>-64.712000000000003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35EF-46D6-A94F-2517E60135C4}"/>
            </c:ext>
          </c:extLst>
        </c:ser>
        <c:ser>
          <c:idx val="34"/>
          <c:order val="36"/>
          <c:tx>
            <c:strRef>
              <c:f>'Gibbs-EVAL'!$A$137</c:f>
              <c:strCache>
                <c:ptCount val="1"/>
                <c:pt idx="0">
                  <c:v>(DGeSe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'Gibbs-EVAL'!$B$137:$BT$137</c:f>
              <c:numCache>
                <c:formatCode>0</c:formatCode>
                <c:ptCount val="71"/>
                <c:pt idx="0">
                  <c:v>-37.871212121212125</c:v>
                </c:pt>
                <c:pt idx="1">
                  <c:v>-36.936060606060607</c:v>
                </c:pt>
                <c:pt idx="2" formatCode="General">
                  <c:v>-36.057272727272725</c:v>
                </c:pt>
                <c:pt idx="3" formatCode="General">
                  <c:v>-35.249272727272725</c:v>
                </c:pt>
                <c:pt idx="4" formatCode="General">
                  <c:v>-34.48330711043873</c:v>
                </c:pt>
                <c:pt idx="5" formatCode="General">
                  <c:v>-33.899645990922842</c:v>
                </c:pt>
                <c:pt idx="6" formatCode="General">
                  <c:v>-33.315984871406961</c:v>
                </c:pt>
                <c:pt idx="7" formatCode="General">
                  <c:v>-32.732323751891073</c:v>
                </c:pt>
                <c:pt idx="8" formatCode="General">
                  <c:v>-32.148662632375192</c:v>
                </c:pt>
                <c:pt idx="9" formatCode="General">
                  <c:v>-31.565001512859304</c:v>
                </c:pt>
                <c:pt idx="10" formatCode="General">
                  <c:v>-30.981340393343419</c:v>
                </c:pt>
                <c:pt idx="11" formatCode="General">
                  <c:v>-30.471751515151517</c:v>
                </c:pt>
                <c:pt idx="12" formatCode="General">
                  <c:v>-30.045690909090911</c:v>
                </c:pt>
                <c:pt idx="13" formatCode="General">
                  <c:v>-29.668830303030305</c:v>
                </c:pt>
                <c:pt idx="14" formatCode="General">
                  <c:v>-29.315024096385542</c:v>
                </c:pt>
                <c:pt idx="15" formatCode="General">
                  <c:v>-29.021048192771087</c:v>
                </c:pt>
                <c:pt idx="16" formatCode="General">
                  <c:v>-28.765418181818184</c:v>
                </c:pt>
                <c:pt idx="17" formatCode="General">
                  <c:v>-28.546630303030305</c:v>
                </c:pt>
                <c:pt idx="18" formatCode="General">
                  <c:v>-28.406024242424245</c:v>
                </c:pt>
                <c:pt idx="19" formatCode="General">
                  <c:v>-28.297109090909093</c:v>
                </c:pt>
                <c:pt idx="20" formatCode="General">
                  <c:v>-28.259533333333334</c:v>
                </c:pt>
                <c:pt idx="21" formatCode="General">
                  <c:v>-28.267096969696972</c:v>
                </c:pt>
                <c:pt idx="22" formatCode="General">
                  <c:v>-28.310127272727271</c:v>
                </c:pt>
                <c:pt idx="23" formatCode="General">
                  <c:v>-28.39896987951807</c:v>
                </c:pt>
                <c:pt idx="24" formatCode="General">
                  <c:v>-28.502333333333333</c:v>
                </c:pt>
                <c:pt idx="25" formatCode="General">
                  <c:v>-28.635666666666665</c:v>
                </c:pt>
                <c:pt idx="26" formatCode="General">
                  <c:v>-28.781727272727274</c:v>
                </c:pt>
                <c:pt idx="27" formatCode="General">
                  <c:v>-28.93627272727273</c:v>
                </c:pt>
                <c:pt idx="28" formatCode="General">
                  <c:v>-29.102333333333334</c:v>
                </c:pt>
                <c:pt idx="29" formatCode="General">
                  <c:v>-29.267909090909093</c:v>
                </c:pt>
                <c:pt idx="30" formatCode="General">
                  <c:v>-29.430939393939394</c:v>
                </c:pt>
                <c:pt idx="31" formatCode="General">
                  <c:v>-29.598030120481926</c:v>
                </c:pt>
                <c:pt idx="32" formatCode="General">
                  <c:v>-29.767307228915662</c:v>
                </c:pt>
                <c:pt idx="33" formatCode="General">
                  <c:v>-29.930999999999997</c:v>
                </c:pt>
                <c:pt idx="34" formatCode="General">
                  <c:v>-30.094842424242422</c:v>
                </c:pt>
                <c:pt idx="35" formatCode="General">
                  <c:v>-30.259084848484846</c:v>
                </c:pt>
                <c:pt idx="36" formatCode="General">
                  <c:v>-30.422909090909091</c:v>
                </c:pt>
                <c:pt idx="37" formatCode="General">
                  <c:v>-30.586432677760968</c:v>
                </c:pt>
                <c:pt idx="38" formatCode="General">
                  <c:v>-30.747249621785173</c:v>
                </c:pt>
                <c:pt idx="39" formatCode="General">
                  <c:v>-30.908066565809378</c:v>
                </c:pt>
                <c:pt idx="40" formatCode="General">
                  <c:v>-31.068883509833583</c:v>
                </c:pt>
                <c:pt idx="41" formatCode="General">
                  <c:v>-31.229700453857792</c:v>
                </c:pt>
                <c:pt idx="42" formatCode="General">
                  <c:v>-31.390517397881997</c:v>
                </c:pt>
                <c:pt idx="43" formatCode="General">
                  <c:v>-31.551334341906202</c:v>
                </c:pt>
                <c:pt idx="44" formatCode="General">
                  <c:v>-31.709614220877459</c:v>
                </c:pt>
                <c:pt idx="45" formatCode="General">
                  <c:v>-31.864531013615736</c:v>
                </c:pt>
                <c:pt idx="46" formatCode="General">
                  <c:v>-32.019447806354009</c:v>
                </c:pt>
                <c:pt idx="47" formatCode="General">
                  <c:v>-32.174364599092286</c:v>
                </c:pt>
                <c:pt idx="48" formatCode="General">
                  <c:v>-32.329281391830563</c:v>
                </c:pt>
                <c:pt idx="49" formatCode="General">
                  <c:v>-32.484198184568839</c:v>
                </c:pt>
                <c:pt idx="50" formatCode="General">
                  <c:v>-32.639114977307116</c:v>
                </c:pt>
                <c:pt idx="51" formatCode="General">
                  <c:v>-32.792360606060612</c:v>
                </c:pt>
                <c:pt idx="52" formatCode="General">
                  <c:v>-32.945239393939396</c:v>
                </c:pt>
                <c:pt idx="53" formatCode="General">
                  <c:v>-33.098118181818187</c:v>
                </c:pt>
                <c:pt idx="54" formatCode="General">
                  <c:v>-33.25099696969697</c:v>
                </c:pt>
                <c:pt idx="55" formatCode="General">
                  <c:v>-33.403875757575761</c:v>
                </c:pt>
                <c:pt idx="56" formatCode="General">
                  <c:v>-33.556754545454545</c:v>
                </c:pt>
                <c:pt idx="57" formatCode="General">
                  <c:v>-33.709000000000003</c:v>
                </c:pt>
                <c:pt idx="58" formatCode="General">
                  <c:v>-33.859000000000002</c:v>
                </c:pt>
                <c:pt idx="59" formatCode="General">
                  <c:v>-34.008490909090909</c:v>
                </c:pt>
                <c:pt idx="60" formatCode="General">
                  <c:v>-34.157581818181818</c:v>
                </c:pt>
                <c:pt idx="61" formatCode="General">
                  <c:v>-34.304466666666663</c:v>
                </c:pt>
                <c:pt idx="62" formatCode="General">
                  <c:v>-34.450818181818178</c:v>
                </c:pt>
                <c:pt idx="63" formatCode="General">
                  <c:v>-34.596272727272726</c:v>
                </c:pt>
                <c:pt idx="64" formatCode="General">
                  <c:v>-34.737660606060608</c:v>
                </c:pt>
                <c:pt idx="65" formatCode="General">
                  <c:v>-34.876448484848481</c:v>
                </c:pt>
                <c:pt idx="66" formatCode="General">
                  <c:v>-35.019060240963853</c:v>
                </c:pt>
                <c:pt idx="67" formatCode="General">
                  <c:v>-35.162090909090907</c:v>
                </c:pt>
                <c:pt idx="68" formatCode="General">
                  <c:v>-35.305727272727275</c:v>
                </c:pt>
                <c:pt idx="69" formatCode="General">
                  <c:v>-35.445030303030308</c:v>
                </c:pt>
                <c:pt idx="70" formatCode="General">
                  <c:v>-35.582000000000001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35EF-46D6-A94F-2517E60135C4}"/>
            </c:ext>
          </c:extLst>
        </c:ser>
        <c:ser>
          <c:idx val="35"/>
          <c:order val="37"/>
          <c:tx>
            <c:strRef>
              <c:f>'Gibbs-EVAL'!$A$138</c:f>
              <c:strCache>
                <c:ptCount val="1"/>
                <c:pt idx="0">
                  <c:v>(DGa2Sej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-143.53575757575757</c:v>
                </c:pt>
                <c:pt idx="1">
                  <c:v>-139.02181818181819</c:v>
                </c:pt>
                <c:pt idx="2" formatCode="General">
                  <c:v>-134.65818181818182</c:v>
                </c:pt>
                <c:pt idx="3" formatCode="General">
                  <c:v>-130.42284848484846</c:v>
                </c:pt>
                <c:pt idx="4" formatCode="General">
                  <c:v>-126.27735249621784</c:v>
                </c:pt>
                <c:pt idx="5" formatCode="General">
                  <c:v>-122.619258698941</c:v>
                </c:pt>
                <c:pt idx="6" formatCode="General">
                  <c:v>-118.96116490166413</c:v>
                </c:pt>
                <c:pt idx="7" formatCode="General">
                  <c:v>-115.30307110438729</c:v>
                </c:pt>
                <c:pt idx="8" formatCode="General">
                  <c:v>-111.64497730711044</c:v>
                </c:pt>
                <c:pt idx="9" formatCode="General">
                  <c:v>-107.98688350983359</c:v>
                </c:pt>
                <c:pt idx="10" formatCode="General">
                  <c:v>-104.32878971255674</c:v>
                </c:pt>
                <c:pt idx="11" formatCode="General">
                  <c:v>-100.97145454545455</c:v>
                </c:pt>
                <c:pt idx="12" formatCode="General">
                  <c:v>-97.953272727272733</c:v>
                </c:pt>
                <c:pt idx="13" formatCode="General">
                  <c:v>-95.1338787878788</c:v>
                </c:pt>
                <c:pt idx="14" formatCode="General">
                  <c:v>-92.402951807228931</c:v>
                </c:pt>
                <c:pt idx="15" formatCode="General">
                  <c:v>-89.890903614457827</c:v>
                </c:pt>
                <c:pt idx="16" formatCode="General">
                  <c:v>-87.485454545454544</c:v>
                </c:pt>
                <c:pt idx="17" formatCode="General">
                  <c:v>-85.182424242424233</c:v>
                </c:pt>
                <c:pt idx="18" formatCode="General">
                  <c:v>-83.046181818181807</c:v>
                </c:pt>
                <c:pt idx="19" formatCode="General">
                  <c:v>-80.967636363636359</c:v>
                </c:pt>
                <c:pt idx="20" formatCode="General">
                  <c:v>-79.003999999999991</c:v>
                </c:pt>
                <c:pt idx="21" formatCode="General">
                  <c:v>-77.111636363636364</c:v>
                </c:pt>
                <c:pt idx="22" formatCode="General">
                  <c:v>-75.275272727272721</c:v>
                </c:pt>
                <c:pt idx="23" formatCode="General">
                  <c:v>-73.564096385542157</c:v>
                </c:pt>
                <c:pt idx="24" formatCode="General">
                  <c:v>-71.893030303030301</c:v>
                </c:pt>
                <c:pt idx="25" formatCode="General">
                  <c:v>-70.305151515151508</c:v>
                </c:pt>
                <c:pt idx="26" formatCode="General">
                  <c:v>-68.800909090909087</c:v>
                </c:pt>
                <c:pt idx="27" formatCode="General">
                  <c:v>-67.352424242424249</c:v>
                </c:pt>
                <c:pt idx="28" formatCode="General">
                  <c:v>-66.036363636363646</c:v>
                </c:pt>
                <c:pt idx="29" formatCode="General">
                  <c:v>-64.758181818181825</c:v>
                </c:pt>
                <c:pt idx="30" formatCode="General">
                  <c:v>-63.552121212121214</c:v>
                </c:pt>
                <c:pt idx="31" formatCode="General">
                  <c:v>-62.417349397590364</c:v>
                </c:pt>
                <c:pt idx="32" formatCode="General">
                  <c:v>-61.320963855421688</c:v>
                </c:pt>
                <c:pt idx="33" formatCode="General">
                  <c:v>-60.284000000000006</c:v>
                </c:pt>
                <c:pt idx="34" formatCode="General">
                  <c:v>-59.272363636363643</c:v>
                </c:pt>
                <c:pt idx="35" formatCode="General">
                  <c:v>-58.308727272727282</c:v>
                </c:pt>
                <c:pt idx="36" formatCode="General">
                  <c:v>-57.370181818181827</c:v>
                </c:pt>
                <c:pt idx="37" formatCode="General">
                  <c:v>-56.447685325264757</c:v>
                </c:pt>
                <c:pt idx="38" formatCode="General">
                  <c:v>-55.639818456883518</c:v>
                </c:pt>
                <c:pt idx="39" formatCode="General">
                  <c:v>-54.831951588502278</c:v>
                </c:pt>
                <c:pt idx="40" formatCode="General">
                  <c:v>-54.024084720121031</c:v>
                </c:pt>
                <c:pt idx="41" formatCode="General">
                  <c:v>-53.216217851739792</c:v>
                </c:pt>
                <c:pt idx="42" formatCode="General">
                  <c:v>-52.408350983358552</c:v>
                </c:pt>
                <c:pt idx="43" formatCode="General">
                  <c:v>-51.600484114977313</c:v>
                </c:pt>
                <c:pt idx="44" formatCode="General">
                  <c:v>-50.870030257186087</c:v>
                </c:pt>
                <c:pt idx="45" formatCode="General">
                  <c:v>-50.242193645990923</c:v>
                </c:pt>
                <c:pt idx="46" formatCode="General">
                  <c:v>-49.614357034795766</c:v>
                </c:pt>
                <c:pt idx="47" formatCode="General">
                  <c:v>-48.986520423600602</c:v>
                </c:pt>
                <c:pt idx="48" formatCode="General">
                  <c:v>-48.358683812405445</c:v>
                </c:pt>
                <c:pt idx="49" formatCode="General">
                  <c:v>-47.730847201210281</c:v>
                </c:pt>
                <c:pt idx="50" formatCode="General">
                  <c:v>-47.103010590015124</c:v>
                </c:pt>
                <c:pt idx="51" formatCode="General">
                  <c:v>-46.776054545454542</c:v>
                </c:pt>
                <c:pt idx="52" formatCode="General">
                  <c:v>-46.515145454545447</c:v>
                </c:pt>
                <c:pt idx="53" formatCode="General">
                  <c:v>-46.254236363636359</c:v>
                </c:pt>
                <c:pt idx="54" formatCode="General">
                  <c:v>-45.993327272727271</c:v>
                </c:pt>
                <c:pt idx="55" formatCode="General">
                  <c:v>-45.732418181818183</c:v>
                </c:pt>
                <c:pt idx="56" formatCode="General">
                  <c:v>-45.471509090909088</c:v>
                </c:pt>
                <c:pt idx="57" formatCode="General">
                  <c:v>-45.268265060240964</c:v>
                </c:pt>
                <c:pt idx="58" formatCode="General">
                  <c:v>-45.26946987951807</c:v>
                </c:pt>
                <c:pt idx="59" formatCode="General">
                  <c:v>-45.306654545454542</c:v>
                </c:pt>
                <c:pt idx="60" formatCode="General">
                  <c:v>-45.372109090909092</c:v>
                </c:pt>
                <c:pt idx="61" formatCode="General">
                  <c:v>-45.473963636363635</c:v>
                </c:pt>
                <c:pt idx="62" formatCode="General">
                  <c:v>-45.585721212121214</c:v>
                </c:pt>
                <c:pt idx="63" formatCode="General">
                  <c:v>-45.715418181818187</c:v>
                </c:pt>
                <c:pt idx="64" formatCode="General">
                  <c:v>-45.851030303030306</c:v>
                </c:pt>
                <c:pt idx="65" formatCode="General">
                  <c:v>-45.99042424242424</c:v>
                </c:pt>
                <c:pt idx="66" formatCode="General">
                  <c:v>-46.141734939759033</c:v>
                </c:pt>
                <c:pt idx="67" formatCode="General">
                  <c:v>-46.295636363636362</c:v>
                </c:pt>
                <c:pt idx="68" formatCode="General">
                  <c:v>-46.454424242424246</c:v>
                </c:pt>
                <c:pt idx="69" formatCode="General">
                  <c:v>-46.610848484848489</c:v>
                </c:pt>
                <c:pt idx="70" formatCode="General">
                  <c:v>-46.765999999999998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35EF-46D6-A94F-2517E60135C4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  <c:pt idx="0">
                  <c:v>(DGaSe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-82.800666666666672</c:v>
                </c:pt>
                <c:pt idx="1">
                  <c:v>-80.347939393939399</c:v>
                </c:pt>
                <c:pt idx="2" formatCode="General">
                  <c:v>-78.026727272727271</c:v>
                </c:pt>
                <c:pt idx="3" formatCode="General">
                  <c:v>-75.833818181818188</c:v>
                </c:pt>
                <c:pt idx="4" formatCode="General">
                  <c:v>-73.717186081694393</c:v>
                </c:pt>
                <c:pt idx="5" formatCode="General">
                  <c:v>-71.932012102874438</c:v>
                </c:pt>
                <c:pt idx="6" formatCode="General">
                  <c:v>-70.146838124054469</c:v>
                </c:pt>
                <c:pt idx="7" formatCode="General">
                  <c:v>-68.361664145234499</c:v>
                </c:pt>
                <c:pt idx="8" formatCode="General">
                  <c:v>-66.57649016641453</c:v>
                </c:pt>
                <c:pt idx="9" formatCode="General">
                  <c:v>-64.79131618759456</c:v>
                </c:pt>
                <c:pt idx="10" formatCode="General">
                  <c:v>-63.006142208774591</c:v>
                </c:pt>
                <c:pt idx="11" formatCode="General">
                  <c:v>-61.382060606060605</c:v>
                </c:pt>
                <c:pt idx="12" formatCode="General">
                  <c:v>-59.93963636363636</c:v>
                </c:pt>
                <c:pt idx="13" formatCode="General">
                  <c:v>-58.591636363636361</c:v>
                </c:pt>
                <c:pt idx="14" formatCode="General">
                  <c:v>-57.285180722891567</c:v>
                </c:pt>
                <c:pt idx="15" formatCode="General">
                  <c:v>-56.080361445783133</c:v>
                </c:pt>
                <c:pt idx="16" formatCode="General">
                  <c:v>-54.924363636363637</c:v>
                </c:pt>
                <c:pt idx="17" formatCode="General">
                  <c:v>-53.81527272727272</c:v>
                </c:pt>
                <c:pt idx="18" formatCode="General">
                  <c:v>-52.789575757575754</c:v>
                </c:pt>
                <c:pt idx="19" formatCode="General">
                  <c:v>-51.793999999999997</c:v>
                </c:pt>
                <c:pt idx="20" formatCode="General">
                  <c:v>-50.860666666666667</c:v>
                </c:pt>
                <c:pt idx="21" formatCode="General">
                  <c:v>-49.968060606060604</c:v>
                </c:pt>
                <c:pt idx="22" formatCode="General">
                  <c:v>-49.107454545454544</c:v>
                </c:pt>
                <c:pt idx="23" formatCode="General">
                  <c:v>-48.311867469879516</c:v>
                </c:pt>
                <c:pt idx="24" formatCode="General">
                  <c:v>-47.538181818181819</c:v>
                </c:pt>
                <c:pt idx="25" formatCode="General">
                  <c:v>-46.810909090909085</c:v>
                </c:pt>
                <c:pt idx="26" formatCode="General">
                  <c:v>-46.127272727272725</c:v>
                </c:pt>
                <c:pt idx="27" formatCode="General">
                  <c:v>-45.472727272727269</c:v>
                </c:pt>
                <c:pt idx="28" formatCode="General">
                  <c:v>-44.88727272727273</c:v>
                </c:pt>
                <c:pt idx="29" formatCode="General">
                  <c:v>-44.32</c:v>
                </c:pt>
                <c:pt idx="30" formatCode="General">
                  <c:v>-43.786666666666669</c:v>
                </c:pt>
                <c:pt idx="31" formatCode="General">
                  <c:v>-43.290662650602414</c:v>
                </c:pt>
                <c:pt idx="32" formatCode="General">
                  <c:v>-42.814759036144579</c:v>
                </c:pt>
                <c:pt idx="33" formatCode="General">
                  <c:v>-42.366</c:v>
                </c:pt>
                <c:pt idx="34" formatCode="General">
                  <c:v>-41.929878787878792</c:v>
                </c:pt>
                <c:pt idx="35" formatCode="General">
                  <c:v>-41.517757575757578</c:v>
                </c:pt>
                <c:pt idx="36" formatCode="General">
                  <c:v>-41.118181818181817</c:v>
                </c:pt>
                <c:pt idx="37" formatCode="General">
                  <c:v>-40.726565809379728</c:v>
                </c:pt>
                <c:pt idx="38" formatCode="General">
                  <c:v>-40.390711043872919</c:v>
                </c:pt>
                <c:pt idx="39" formatCode="General">
                  <c:v>-40.05485627836611</c:v>
                </c:pt>
                <c:pt idx="40" formatCode="General">
                  <c:v>-39.719001512859307</c:v>
                </c:pt>
                <c:pt idx="41" formatCode="General">
                  <c:v>-39.383146747352498</c:v>
                </c:pt>
                <c:pt idx="42" formatCode="General">
                  <c:v>-39.047291981845689</c:v>
                </c:pt>
                <c:pt idx="43" formatCode="General">
                  <c:v>-38.711437216338879</c:v>
                </c:pt>
                <c:pt idx="44" formatCode="General">
                  <c:v>-38.412662632375188</c:v>
                </c:pt>
                <c:pt idx="45" formatCode="General">
                  <c:v>-38.163040847201209</c:v>
                </c:pt>
                <c:pt idx="46" formatCode="General">
                  <c:v>-37.913419062027231</c:v>
                </c:pt>
                <c:pt idx="47" formatCode="General">
                  <c:v>-37.663797276853252</c:v>
                </c:pt>
                <c:pt idx="48" formatCode="General">
                  <c:v>-37.414175491679273</c:v>
                </c:pt>
                <c:pt idx="49" formatCode="General">
                  <c:v>-37.164553706505295</c:v>
                </c:pt>
                <c:pt idx="50" formatCode="General">
                  <c:v>-36.914931921331309</c:v>
                </c:pt>
                <c:pt idx="51" formatCode="General">
                  <c:v>-36.812724242424238</c:v>
                </c:pt>
                <c:pt idx="52" formatCode="General">
                  <c:v>-36.742875757575753</c:v>
                </c:pt>
                <c:pt idx="53" formatCode="General">
                  <c:v>-36.673027272727268</c:v>
                </c:pt>
                <c:pt idx="54" formatCode="General">
                  <c:v>-36.603178787878782</c:v>
                </c:pt>
                <c:pt idx="55" formatCode="General">
                  <c:v>-36.533330303030304</c:v>
                </c:pt>
                <c:pt idx="56" formatCode="General">
                  <c:v>-36.463481818181819</c:v>
                </c:pt>
                <c:pt idx="57" formatCode="General">
                  <c:v>-36.422385542168676</c:v>
                </c:pt>
                <c:pt idx="58" formatCode="General">
                  <c:v>-36.48322891566265</c:v>
                </c:pt>
                <c:pt idx="59" formatCode="General">
                  <c:v>-36.562266666666666</c:v>
                </c:pt>
                <c:pt idx="60" formatCode="General">
                  <c:v>-36.6556</c:v>
                </c:pt>
                <c:pt idx="61" formatCode="General">
                  <c:v>-36.767133333333334</c:v>
                </c:pt>
                <c:pt idx="62" formatCode="General">
                  <c:v>-36.883618181818179</c:v>
                </c:pt>
                <c:pt idx="63" formatCode="General">
                  <c:v>-37.009072727272731</c:v>
                </c:pt>
                <c:pt idx="64" formatCode="General">
                  <c:v>-37.135636363636365</c:v>
                </c:pt>
                <c:pt idx="65" formatCode="General">
                  <c:v>-37.262909090909091</c:v>
                </c:pt>
                <c:pt idx="66" formatCode="General">
                  <c:v>-37.398698795180721</c:v>
                </c:pt>
                <c:pt idx="67" formatCode="General">
                  <c:v>-37.536000000000001</c:v>
                </c:pt>
                <c:pt idx="68" formatCode="General">
                  <c:v>-37.676000000000002</c:v>
                </c:pt>
                <c:pt idx="69" formatCode="General">
                  <c:v>-37.812848484848487</c:v>
                </c:pt>
                <c:pt idx="70" formatCode="General">
                  <c:v>-37.948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35EF-46D6-A94F-2517E60135C4}"/>
            </c:ext>
          </c:extLst>
        </c:ser>
        <c:ser>
          <c:idx val="37"/>
          <c:order val="39"/>
          <c:tx>
            <c:strRef>
              <c:f>'Gibbs-EVAL'!$A$140</c:f>
              <c:strCache>
                <c:ptCount val="1"/>
                <c:pt idx="0">
                  <c:v>(DGe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'Gibbs-EVAL'!$B$140:$BT$140</c:f>
              <c:numCache>
                <c:formatCode>0</c:formatCode>
                <c:ptCount val="71"/>
                <c:pt idx="0">
                  <c:v>-15.805636363636363</c:v>
                </c:pt>
                <c:pt idx="1">
                  <c:v>-15.261999999999999</c:v>
                </c:pt>
                <c:pt idx="2" formatCode="General">
                  <c:v>-14.661999999999999</c:v>
                </c:pt>
                <c:pt idx="3" formatCode="General">
                  <c:v>-14.004484848484848</c:v>
                </c:pt>
                <c:pt idx="4" formatCode="General">
                  <c:v>-13.326287443267777</c:v>
                </c:pt>
                <c:pt idx="5" formatCode="General">
                  <c:v>-12.654880484114978</c:v>
                </c:pt>
                <c:pt idx="6" formatCode="General">
                  <c:v>-11.983473524962179</c:v>
                </c:pt>
                <c:pt idx="7" formatCode="General">
                  <c:v>-11.31206656580938</c:v>
                </c:pt>
                <c:pt idx="8" formatCode="General">
                  <c:v>-10.64065960665658</c:v>
                </c:pt>
                <c:pt idx="9" formatCode="General">
                  <c:v>-9.969252647503783</c:v>
                </c:pt>
                <c:pt idx="10" formatCode="General">
                  <c:v>-9.2978456883509839</c:v>
                </c:pt>
                <c:pt idx="11" formatCode="General">
                  <c:v>-8.67908484848485</c:v>
                </c:pt>
                <c:pt idx="12" formatCode="General">
                  <c:v>-8.1196909090909095</c:v>
                </c:pt>
                <c:pt idx="13" formatCode="General">
                  <c:v>-7.619436363636364</c:v>
                </c:pt>
                <c:pt idx="14" formatCode="General">
                  <c:v>-7.1476144578313257</c:v>
                </c:pt>
                <c:pt idx="15" formatCode="General">
                  <c:v>-6.7512289156626508</c:v>
                </c:pt>
                <c:pt idx="16" formatCode="General">
                  <c:v>-6.4021454545454546</c:v>
                </c:pt>
                <c:pt idx="17" formatCode="General">
                  <c:v>-6.09850909090909</c:v>
                </c:pt>
                <c:pt idx="18" formatCode="General">
                  <c:v>-5.8730545454545453</c:v>
                </c:pt>
                <c:pt idx="19" formatCode="General">
                  <c:v>-5.6767454545454541</c:v>
                </c:pt>
                <c:pt idx="20" formatCode="General">
                  <c:v>-5.5421999999999993</c:v>
                </c:pt>
                <c:pt idx="21" formatCode="General">
                  <c:v>-5.4426121212121208</c:v>
                </c:pt>
                <c:pt idx="22" formatCode="General">
                  <c:v>-5.3704909090909085</c:v>
                </c:pt>
                <c:pt idx="23" formatCode="General">
                  <c:v>-5.3393313253012051</c:v>
                </c:pt>
                <c:pt idx="24" formatCode="General">
                  <c:v>-5.319</c:v>
                </c:pt>
                <c:pt idx="25" formatCode="General">
                  <c:v>-5.319</c:v>
                </c:pt>
                <c:pt idx="26" formatCode="General">
                  <c:v>-5.3280909090909088</c:v>
                </c:pt>
                <c:pt idx="27" formatCode="General">
                  <c:v>-5.3432424242424243</c:v>
                </c:pt>
                <c:pt idx="28" formatCode="General">
                  <c:v>-5.3641515151515149</c:v>
                </c:pt>
                <c:pt idx="29" formatCode="General">
                  <c:v>-5.3860909090909086</c:v>
                </c:pt>
                <c:pt idx="30" formatCode="General">
                  <c:v>-5.4097272727272729</c:v>
                </c:pt>
                <c:pt idx="31" formatCode="General">
                  <c:v>-5.4340542168674695</c:v>
                </c:pt>
                <c:pt idx="32" formatCode="General">
                  <c:v>-5.4587530120481924</c:v>
                </c:pt>
                <c:pt idx="33" formatCode="General">
                  <c:v>-5.4829999999999997</c:v>
                </c:pt>
                <c:pt idx="34" formatCode="General">
                  <c:v>-5.5074484848484841</c:v>
                </c:pt>
                <c:pt idx="35" formatCode="General">
                  <c:v>-5.5322969696969695</c:v>
                </c:pt>
                <c:pt idx="36" formatCode="General">
                  <c:v>-5.5567272727272723</c:v>
                </c:pt>
                <c:pt idx="37" formatCode="General">
                  <c:v>-5.5809863842662635</c:v>
                </c:pt>
                <c:pt idx="38" formatCode="General">
                  <c:v>-5.6056459909228442</c:v>
                </c:pt>
                <c:pt idx="39" formatCode="General">
                  <c:v>-5.6303055975794249</c:v>
                </c:pt>
                <c:pt idx="40" formatCode="General">
                  <c:v>-5.6549652042360066</c:v>
                </c:pt>
                <c:pt idx="41" formatCode="General">
                  <c:v>-5.6796248108925873</c:v>
                </c:pt>
                <c:pt idx="42" formatCode="General">
                  <c:v>-5.704284417549168</c:v>
                </c:pt>
                <c:pt idx="43" formatCode="General">
                  <c:v>-5.7289440242057488</c:v>
                </c:pt>
                <c:pt idx="44" formatCode="General">
                  <c:v>-5.7543192133131624</c:v>
                </c:pt>
                <c:pt idx="45" formatCode="General">
                  <c:v>-5.7806429652042359</c:v>
                </c:pt>
                <c:pt idx="46" formatCode="General">
                  <c:v>-5.8069667170953103</c:v>
                </c:pt>
                <c:pt idx="47" formatCode="General">
                  <c:v>-5.8332904689863847</c:v>
                </c:pt>
                <c:pt idx="48" formatCode="General">
                  <c:v>-5.8596142208774582</c:v>
                </c:pt>
                <c:pt idx="49" formatCode="General">
                  <c:v>-5.8859379727685326</c:v>
                </c:pt>
                <c:pt idx="50" formatCode="General">
                  <c:v>-5.912261724659607</c:v>
                </c:pt>
                <c:pt idx="51" formatCode="General">
                  <c:v>-5.942966666666667</c:v>
                </c:pt>
                <c:pt idx="52" formatCode="General">
                  <c:v>-5.9746333333333332</c:v>
                </c:pt>
                <c:pt idx="53" formatCode="General">
                  <c:v>-6.0063000000000004</c:v>
                </c:pt>
                <c:pt idx="54" formatCode="General">
                  <c:v>-6.0379666666666667</c:v>
                </c:pt>
                <c:pt idx="55" formatCode="General">
                  <c:v>-6.0696333333333339</c:v>
                </c:pt>
                <c:pt idx="56" formatCode="General">
                  <c:v>-6.1013000000000002</c:v>
                </c:pt>
                <c:pt idx="57" formatCode="General">
                  <c:v>-6.132493975903615</c:v>
                </c:pt>
                <c:pt idx="58" formatCode="General">
                  <c:v>-6.1620120481927714</c:v>
                </c:pt>
                <c:pt idx="59" formatCode="General">
                  <c:v>-6.190612121212121</c:v>
                </c:pt>
                <c:pt idx="60" formatCode="General">
                  <c:v>-6.2184909090909093</c:v>
                </c:pt>
                <c:pt idx="61" formatCode="General">
                  <c:v>-6.2441636363636368</c:v>
                </c:pt>
                <c:pt idx="62" formatCode="General">
                  <c:v>-6.2693030303030302</c:v>
                </c:pt>
                <c:pt idx="63" formatCode="General">
                  <c:v>-6.2935454545454546</c:v>
                </c:pt>
                <c:pt idx="64" formatCode="General">
                  <c:v>-6.3174181818181818</c:v>
                </c:pt>
                <c:pt idx="65" formatCode="General">
                  <c:v>-6.3410545454545453</c:v>
                </c:pt>
                <c:pt idx="66" formatCode="General">
                  <c:v>-6.363397590361445</c:v>
                </c:pt>
                <c:pt idx="67" formatCode="General">
                  <c:v>-6.385727272727272</c:v>
                </c:pt>
                <c:pt idx="68" formatCode="General">
                  <c:v>-6.4081515151515154</c:v>
                </c:pt>
                <c:pt idx="69" formatCode="General">
                  <c:v>-6.4301818181818184</c:v>
                </c:pt>
                <c:pt idx="70" formatCode="General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35EF-46D6-A94F-2517E60135C4}"/>
            </c:ext>
          </c:extLst>
        </c:ser>
        <c:ser>
          <c:idx val="38"/>
          <c:order val="40"/>
          <c:tx>
            <c:strRef>
              <c:f>'Gibbs-EVAL'!$A$141</c:f>
              <c:strCache>
                <c:ptCount val="1"/>
                <c:pt idx="0">
                  <c:v>(DGa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'Gibbs-EVAL'!$B$141:$BT$141</c:f>
              <c:numCache>
                <c:formatCode>0</c:formatCode>
                <c:ptCount val="71"/>
                <c:pt idx="0">
                  <c:v>-60.735090909090907</c:v>
                </c:pt>
                <c:pt idx="1">
                  <c:v>-58.673878787878785</c:v>
                </c:pt>
                <c:pt idx="2" formatCode="General">
                  <c:v>-56.631454545454545</c:v>
                </c:pt>
                <c:pt idx="3" formatCode="General">
                  <c:v>-54.589030303030299</c:v>
                </c:pt>
                <c:pt idx="4" formatCode="General">
                  <c:v>-52.560166414523451</c:v>
                </c:pt>
                <c:pt idx="5" formatCode="General">
                  <c:v>-50.687246596066565</c:v>
                </c:pt>
                <c:pt idx="6" formatCode="General">
                  <c:v>-48.814326777609679</c:v>
                </c:pt>
                <c:pt idx="7" formatCode="General">
                  <c:v>-46.9414069591528</c:v>
                </c:pt>
                <c:pt idx="8" formatCode="General">
                  <c:v>-45.068487140695915</c:v>
                </c:pt>
                <c:pt idx="9" formatCode="General">
                  <c:v>-43.195567322239029</c:v>
                </c:pt>
                <c:pt idx="10" formatCode="General">
                  <c:v>-41.32264750378215</c:v>
                </c:pt>
                <c:pt idx="11" formatCode="General">
                  <c:v>-39.589393939393936</c:v>
                </c:pt>
                <c:pt idx="12" formatCode="General">
                  <c:v>-38.013636363636365</c:v>
                </c:pt>
                <c:pt idx="13" formatCode="General">
                  <c:v>-36.542242424242424</c:v>
                </c:pt>
                <c:pt idx="14" formatCode="General">
                  <c:v>-35.117771084337356</c:v>
                </c:pt>
                <c:pt idx="15" formatCode="General">
                  <c:v>-33.810542168674701</c:v>
                </c:pt>
                <c:pt idx="16" formatCode="General">
                  <c:v>-32.561090909090908</c:v>
                </c:pt>
                <c:pt idx="17" formatCode="General">
                  <c:v>-31.367151515151512</c:v>
                </c:pt>
                <c:pt idx="18" formatCode="General">
                  <c:v>-30.256606060606057</c:v>
                </c:pt>
                <c:pt idx="19" formatCode="General">
                  <c:v>-29.173636363636362</c:v>
                </c:pt>
                <c:pt idx="20" formatCode="General">
                  <c:v>-28.143333333333331</c:v>
                </c:pt>
                <c:pt idx="21" formatCode="General">
                  <c:v>-27.143575757575757</c:v>
                </c:pt>
                <c:pt idx="22" formatCode="General">
                  <c:v>-26.167818181818177</c:v>
                </c:pt>
                <c:pt idx="23" formatCode="General">
                  <c:v>-25.252228915662648</c:v>
                </c:pt>
                <c:pt idx="24" formatCode="General">
                  <c:v>-24.354848484848485</c:v>
                </c:pt>
                <c:pt idx="25" formatCode="General">
                  <c:v>-23.494242424242422</c:v>
                </c:pt>
                <c:pt idx="26" formatCode="General">
                  <c:v>-22.673636363636362</c:v>
                </c:pt>
                <c:pt idx="27" formatCode="General">
                  <c:v>-21.879696969696969</c:v>
                </c:pt>
                <c:pt idx="28" formatCode="General">
                  <c:v>-21.149090909090908</c:v>
                </c:pt>
                <c:pt idx="29" formatCode="General">
                  <c:v>-20.438181818181818</c:v>
                </c:pt>
                <c:pt idx="30" formatCode="General">
                  <c:v>-19.765454545454546</c:v>
                </c:pt>
                <c:pt idx="31" formatCode="General">
                  <c:v>-19.126686746987954</c:v>
                </c:pt>
                <c:pt idx="32" formatCode="General">
                  <c:v>-18.506204819277109</c:v>
                </c:pt>
                <c:pt idx="33" formatCode="General">
                  <c:v>-17.918000000000003</c:v>
                </c:pt>
                <c:pt idx="34" formatCode="General">
                  <c:v>-17.342484848484851</c:v>
                </c:pt>
                <c:pt idx="35" formatCode="General">
                  <c:v>-16.7909696969697</c:v>
                </c:pt>
                <c:pt idx="36" formatCode="General">
                  <c:v>-16.252000000000002</c:v>
                </c:pt>
                <c:pt idx="37" formatCode="General">
                  <c:v>-15.721119515885023</c:v>
                </c:pt>
                <c:pt idx="38" formatCode="General">
                  <c:v>-15.249107413010591</c:v>
                </c:pt>
                <c:pt idx="39" formatCode="General">
                  <c:v>-14.77709531013616</c:v>
                </c:pt>
                <c:pt idx="40" formatCode="General">
                  <c:v>-14.305083207261726</c:v>
                </c:pt>
                <c:pt idx="41" formatCode="General">
                  <c:v>-13.833071104387294</c:v>
                </c:pt>
                <c:pt idx="42" formatCode="General">
                  <c:v>-13.36105900151286</c:v>
                </c:pt>
                <c:pt idx="43" formatCode="General">
                  <c:v>-12.889046898638428</c:v>
                </c:pt>
                <c:pt idx="44" formatCode="General">
                  <c:v>-12.457367624810892</c:v>
                </c:pt>
                <c:pt idx="45" formatCode="General">
                  <c:v>-12.079152798789712</c:v>
                </c:pt>
                <c:pt idx="46" formatCode="General">
                  <c:v>-11.700937972768532</c:v>
                </c:pt>
                <c:pt idx="47" formatCode="General">
                  <c:v>-11.322723146747352</c:v>
                </c:pt>
                <c:pt idx="48" formatCode="General">
                  <c:v>-10.944508320726172</c:v>
                </c:pt>
                <c:pt idx="49" formatCode="General">
                  <c:v>-10.56629349470499</c:v>
                </c:pt>
                <c:pt idx="50" formatCode="General">
                  <c:v>-10.18807866868381</c:v>
                </c:pt>
                <c:pt idx="51" formatCode="General">
                  <c:v>-9.9633303030303022</c:v>
                </c:pt>
                <c:pt idx="52" formatCode="General">
                  <c:v>-9.7722696969696958</c:v>
                </c:pt>
                <c:pt idx="53" formatCode="General">
                  <c:v>-9.5812090909090895</c:v>
                </c:pt>
                <c:pt idx="54" formatCode="General">
                  <c:v>-9.3901484848484831</c:v>
                </c:pt>
                <c:pt idx="55" formatCode="General">
                  <c:v>-9.1990878787878785</c:v>
                </c:pt>
                <c:pt idx="56" formatCode="General">
                  <c:v>-9.0080272727272721</c:v>
                </c:pt>
                <c:pt idx="57" formatCode="General">
                  <c:v>-8.8458795180722891</c:v>
                </c:pt>
                <c:pt idx="58" formatCode="General">
                  <c:v>-8.7862409638554215</c:v>
                </c:pt>
                <c:pt idx="59" formatCode="General">
                  <c:v>-8.7443878787878795</c:v>
                </c:pt>
                <c:pt idx="60" formatCode="General">
                  <c:v>-8.7165090909090921</c:v>
                </c:pt>
                <c:pt idx="61" formatCode="General">
                  <c:v>-8.7068303030303031</c:v>
                </c:pt>
                <c:pt idx="62" formatCode="General">
                  <c:v>-8.7021030303030305</c:v>
                </c:pt>
                <c:pt idx="63" formatCode="General">
                  <c:v>-8.7063454545454544</c:v>
                </c:pt>
                <c:pt idx="64" formatCode="General">
                  <c:v>-8.7153939393939392</c:v>
                </c:pt>
                <c:pt idx="65" formatCode="General">
                  <c:v>-8.727515151515151</c:v>
                </c:pt>
                <c:pt idx="66" formatCode="General">
                  <c:v>-8.7430361445783138</c:v>
                </c:pt>
                <c:pt idx="67" formatCode="General">
                  <c:v>-8.7596363636363641</c:v>
                </c:pt>
                <c:pt idx="68" formatCode="General">
                  <c:v>-8.7784242424242418</c:v>
                </c:pt>
                <c:pt idx="69" formatCode="General">
                  <c:v>-8.798</c:v>
                </c:pt>
                <c:pt idx="70" formatCode="General">
                  <c:v>-8.8179999999999996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5EF-46D6-A94F-2517E60135C4}"/>
            </c:ext>
          </c:extLst>
        </c:ser>
        <c:ser>
          <c:idx val="40"/>
          <c:order val="41"/>
          <c:tx>
            <c:strRef>
              <c:f>'Gibbs-EVAL'!$A$142</c:f>
              <c:strCache>
                <c:ptCount val="1"/>
                <c:pt idx="0">
                  <c:v>(1)Se[A]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'Gibbs-EVAL'!$B$142:$BT$142</c:f>
              <c:numCache>
                <c:formatCode>0</c:formatCode>
                <c:ptCount val="71"/>
                <c:pt idx="0">
                  <c:v>-22.065575757575758</c:v>
                </c:pt>
                <c:pt idx="1">
                  <c:v>-21.674060606060607</c:v>
                </c:pt>
                <c:pt idx="2" formatCode="General">
                  <c:v>-21.395272727272726</c:v>
                </c:pt>
                <c:pt idx="3" formatCode="General">
                  <c:v>-21.244787878787879</c:v>
                </c:pt>
                <c:pt idx="4" formatCode="General">
                  <c:v>-21.157019667170953</c:v>
                </c:pt>
                <c:pt idx="5" formatCode="General">
                  <c:v>-21.244765506807866</c:v>
                </c:pt>
                <c:pt idx="6" formatCode="General">
                  <c:v>-21.332511346444779</c:v>
                </c:pt>
                <c:pt idx="7" formatCode="General">
                  <c:v>-21.420257186081695</c:v>
                </c:pt>
                <c:pt idx="8" formatCode="General">
                  <c:v>-21.508003025718608</c:v>
                </c:pt>
                <c:pt idx="9" formatCode="General">
                  <c:v>-21.595748865355521</c:v>
                </c:pt>
                <c:pt idx="10" formatCode="General">
                  <c:v>-21.683494704992437</c:v>
                </c:pt>
                <c:pt idx="11" formatCode="General">
                  <c:v>-21.792666666666666</c:v>
                </c:pt>
                <c:pt idx="12" formatCode="General">
                  <c:v>-21.925999999999998</c:v>
                </c:pt>
                <c:pt idx="13" formatCode="General">
                  <c:v>-22.049393939393937</c:v>
                </c:pt>
                <c:pt idx="14" formatCode="General">
                  <c:v>-22.167409638554215</c:v>
                </c:pt>
                <c:pt idx="15" formatCode="General">
                  <c:v>-22.269819277108432</c:v>
                </c:pt>
                <c:pt idx="16" formatCode="General">
                  <c:v>-22.363272727272729</c:v>
                </c:pt>
                <c:pt idx="17" formatCode="General">
                  <c:v>-22.448121212121212</c:v>
                </c:pt>
                <c:pt idx="18" formatCode="General">
                  <c:v>-22.532969696969698</c:v>
                </c:pt>
                <c:pt idx="19" formatCode="General">
                  <c:v>-22.620363636363638</c:v>
                </c:pt>
                <c:pt idx="20" formatCode="General">
                  <c:v>-22.717333333333336</c:v>
                </c:pt>
                <c:pt idx="21" formatCode="General">
                  <c:v>-22.82448484848485</c:v>
                </c:pt>
                <c:pt idx="22" formatCode="General">
                  <c:v>-22.939636363636364</c:v>
                </c:pt>
                <c:pt idx="23" formatCode="General">
                  <c:v>-23.059638554216868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35EF-46D6-A94F-2517E60135C4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-22.065575757575758</c:v>
                </c:pt>
                <c:pt idx="1">
                  <c:v>-21.674060606060607</c:v>
                </c:pt>
                <c:pt idx="2" formatCode="General">
                  <c:v>-21.395272727272726</c:v>
                </c:pt>
                <c:pt idx="3" formatCode="General">
                  <c:v>-21.244787878787879</c:v>
                </c:pt>
                <c:pt idx="4" formatCode="General">
                  <c:v>-21.157019667170953</c:v>
                </c:pt>
                <c:pt idx="5" formatCode="General">
                  <c:v>-21.244765506807866</c:v>
                </c:pt>
                <c:pt idx="6" formatCode="General">
                  <c:v>-21.332511346444779</c:v>
                </c:pt>
                <c:pt idx="7" formatCode="General">
                  <c:v>-21.420257186081695</c:v>
                </c:pt>
                <c:pt idx="8" formatCode="General">
                  <c:v>-21.508003025718608</c:v>
                </c:pt>
                <c:pt idx="9" formatCode="General">
                  <c:v>-21.595748865355521</c:v>
                </c:pt>
                <c:pt idx="10" formatCode="General">
                  <c:v>-21.683494704992437</c:v>
                </c:pt>
                <c:pt idx="11" formatCode="General">
                  <c:v>-21.792666666666666</c:v>
                </c:pt>
                <c:pt idx="12" formatCode="General">
                  <c:v>-21.925999999999998</c:v>
                </c:pt>
                <c:pt idx="13" formatCode="General">
                  <c:v>-22.049393939393937</c:v>
                </c:pt>
                <c:pt idx="14" formatCode="General">
                  <c:v>-22.167409638554215</c:v>
                </c:pt>
                <c:pt idx="15" formatCode="General">
                  <c:v>-22.269819277108432</c:v>
                </c:pt>
                <c:pt idx="16" formatCode="General">
                  <c:v>-22.363272727272729</c:v>
                </c:pt>
                <c:pt idx="17" formatCode="General">
                  <c:v>-22.448121212121212</c:v>
                </c:pt>
                <c:pt idx="18" formatCode="General">
                  <c:v>-22.532969696969698</c:v>
                </c:pt>
                <c:pt idx="19" formatCode="General">
                  <c:v>-22.620363636363638</c:v>
                </c:pt>
                <c:pt idx="20" formatCode="General">
                  <c:v>-22.717333333333336</c:v>
                </c:pt>
                <c:pt idx="21" formatCode="General">
                  <c:v>-22.82448484848485</c:v>
                </c:pt>
                <c:pt idx="22" formatCode="General">
                  <c:v>-22.939636363636364</c:v>
                </c:pt>
                <c:pt idx="23" formatCode="General">
                  <c:v>-23.059638554216868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35EF-46D6-A94F-2517E60135C4}"/>
            </c:ext>
          </c:extLst>
        </c:ser>
        <c:ser>
          <c:idx val="42"/>
          <c:order val="43"/>
          <c:tx>
            <c:strRef>
              <c:f>'Gibbs-EVAL'!$A$144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'Gibbs-EVAL'!$B$144:$BT$144</c:f>
              <c:numCache>
                <c:formatCode>0</c:formatCode>
                <c:ptCount val="71"/>
                <c:pt idx="0">
                  <c:v>-22.065575757575758</c:v>
                </c:pt>
                <c:pt idx="1">
                  <c:v>-21.674060606060607</c:v>
                </c:pt>
                <c:pt idx="2" formatCode="General">
                  <c:v>-21.395272727272726</c:v>
                </c:pt>
                <c:pt idx="3" formatCode="General">
                  <c:v>-21.244787878787879</c:v>
                </c:pt>
                <c:pt idx="4" formatCode="General">
                  <c:v>-21.157019667170953</c:v>
                </c:pt>
                <c:pt idx="5" formatCode="General">
                  <c:v>-21.244765506807866</c:v>
                </c:pt>
                <c:pt idx="6" formatCode="General">
                  <c:v>-21.332511346444779</c:v>
                </c:pt>
                <c:pt idx="7" formatCode="General">
                  <c:v>-21.420257186081695</c:v>
                </c:pt>
                <c:pt idx="8" formatCode="General">
                  <c:v>-21.508003025718608</c:v>
                </c:pt>
                <c:pt idx="9" formatCode="General">
                  <c:v>-21.595748865355521</c:v>
                </c:pt>
                <c:pt idx="10" formatCode="General">
                  <c:v>-21.683494704992437</c:v>
                </c:pt>
                <c:pt idx="11" formatCode="General">
                  <c:v>-21.792666666666666</c:v>
                </c:pt>
                <c:pt idx="12" formatCode="General">
                  <c:v>-21.925999999999998</c:v>
                </c:pt>
                <c:pt idx="13" formatCode="General">
                  <c:v>-22.049393939393937</c:v>
                </c:pt>
                <c:pt idx="14" formatCode="General">
                  <c:v>-22.167409638554215</c:v>
                </c:pt>
                <c:pt idx="15" formatCode="General">
                  <c:v>-22.269819277108432</c:v>
                </c:pt>
                <c:pt idx="16" formatCode="General">
                  <c:v>-22.363272727272729</c:v>
                </c:pt>
                <c:pt idx="17" formatCode="General">
                  <c:v>-22.448121212121212</c:v>
                </c:pt>
                <c:pt idx="18" formatCode="General">
                  <c:v>-22.532969696969698</c:v>
                </c:pt>
                <c:pt idx="19" formatCode="General">
                  <c:v>-22.620363636363638</c:v>
                </c:pt>
                <c:pt idx="20" formatCode="General">
                  <c:v>-22.717333333333336</c:v>
                </c:pt>
                <c:pt idx="21" formatCode="General">
                  <c:v>-22.82448484848485</c:v>
                </c:pt>
                <c:pt idx="22" formatCode="General">
                  <c:v>-22.939636363636364</c:v>
                </c:pt>
                <c:pt idx="23" formatCode="General">
                  <c:v>-23.059638554216868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35EF-46D6-A94F-2517E60135C4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  <c:pt idx="0">
                  <c:v>(2)Ga[l]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-60.735090909090907</c:v>
                </c:pt>
                <c:pt idx="1">
                  <c:v>-58.673878787878785</c:v>
                </c:pt>
                <c:pt idx="2" formatCode="General">
                  <c:v>-56.631454545454545</c:v>
                </c:pt>
                <c:pt idx="3" formatCode="General">
                  <c:v>-54.589030303030299</c:v>
                </c:pt>
                <c:pt idx="4" formatCode="General">
                  <c:v>-52.560166414523451</c:v>
                </c:pt>
                <c:pt idx="5" formatCode="General">
                  <c:v>-50.687246596066565</c:v>
                </c:pt>
                <c:pt idx="6" formatCode="General">
                  <c:v>-48.814326777609679</c:v>
                </c:pt>
                <c:pt idx="7" formatCode="General">
                  <c:v>-46.9414069591528</c:v>
                </c:pt>
                <c:pt idx="8" formatCode="General">
                  <c:v>-45.068487140695915</c:v>
                </c:pt>
                <c:pt idx="9" formatCode="General">
                  <c:v>-43.195567322239029</c:v>
                </c:pt>
                <c:pt idx="10" formatCode="General">
                  <c:v>-41.32264750378215</c:v>
                </c:pt>
                <c:pt idx="11" formatCode="General">
                  <c:v>-39.589393939393936</c:v>
                </c:pt>
                <c:pt idx="12" formatCode="General">
                  <c:v>-38.013636363636365</c:v>
                </c:pt>
                <c:pt idx="13" formatCode="General">
                  <c:v>-36.542242424242424</c:v>
                </c:pt>
                <c:pt idx="14" formatCode="General">
                  <c:v>-35.117771084337356</c:v>
                </c:pt>
                <c:pt idx="15" formatCode="General">
                  <c:v>-33.810542168674701</c:v>
                </c:pt>
                <c:pt idx="16" formatCode="General">
                  <c:v>-32.561090909090908</c:v>
                </c:pt>
                <c:pt idx="17" formatCode="General">
                  <c:v>-31.367151515151512</c:v>
                </c:pt>
                <c:pt idx="18" formatCode="General">
                  <c:v>-30.256606060606057</c:v>
                </c:pt>
                <c:pt idx="19" formatCode="General">
                  <c:v>-29.173636363636362</c:v>
                </c:pt>
                <c:pt idx="20" formatCode="General">
                  <c:v>-28.143333333333331</c:v>
                </c:pt>
                <c:pt idx="21" formatCode="General">
                  <c:v>-27.143575757575757</c:v>
                </c:pt>
                <c:pt idx="22" formatCode="General">
                  <c:v>-26.167818181818177</c:v>
                </c:pt>
                <c:pt idx="23" formatCode="General">
                  <c:v>-25.252228915662648</c:v>
                </c:pt>
                <c:pt idx="24" formatCode="General">
                  <c:v>-24.354848484848485</c:v>
                </c:pt>
                <c:pt idx="25" formatCode="General">
                  <c:v>-23.494242424242422</c:v>
                </c:pt>
                <c:pt idx="26" formatCode="General">
                  <c:v>-22.673636363636362</c:v>
                </c:pt>
                <c:pt idx="27" formatCode="General">
                  <c:v>-21.879696969696969</c:v>
                </c:pt>
                <c:pt idx="28" formatCode="General">
                  <c:v>-21.149090909090908</c:v>
                </c:pt>
                <c:pt idx="29" formatCode="General">
                  <c:v>-20.438181818181818</c:v>
                </c:pt>
                <c:pt idx="30" formatCode="General">
                  <c:v>-19.765454545454546</c:v>
                </c:pt>
                <c:pt idx="31" formatCode="General">
                  <c:v>-19.126686746987954</c:v>
                </c:pt>
                <c:pt idx="32" formatCode="General">
                  <c:v>-18.506204819277109</c:v>
                </c:pt>
                <c:pt idx="33" formatCode="General">
                  <c:v>-17.918000000000003</c:v>
                </c:pt>
                <c:pt idx="34" formatCode="General">
                  <c:v>-17.342484848484851</c:v>
                </c:pt>
                <c:pt idx="35" formatCode="General">
                  <c:v>-16.7909696969697</c:v>
                </c:pt>
                <c:pt idx="36" formatCode="General">
                  <c:v>-16.252000000000002</c:v>
                </c:pt>
                <c:pt idx="37" formatCode="General">
                  <c:v>-15.721119515885023</c:v>
                </c:pt>
                <c:pt idx="38" formatCode="General">
                  <c:v>-15.249107413010591</c:v>
                </c:pt>
                <c:pt idx="39" formatCode="General">
                  <c:v>-14.77709531013616</c:v>
                </c:pt>
                <c:pt idx="40" formatCode="General">
                  <c:v>-14.305083207261726</c:v>
                </c:pt>
                <c:pt idx="41" formatCode="General">
                  <c:v>-13.833071104387294</c:v>
                </c:pt>
                <c:pt idx="42" formatCode="General">
                  <c:v>-13.36105900151286</c:v>
                </c:pt>
                <c:pt idx="43" formatCode="General">
                  <c:v>-12.889046898638428</c:v>
                </c:pt>
                <c:pt idx="44" formatCode="General">
                  <c:v>-12.457367624810892</c:v>
                </c:pt>
                <c:pt idx="45" formatCode="General">
                  <c:v>-12.079152798789712</c:v>
                </c:pt>
                <c:pt idx="46" formatCode="General">
                  <c:v>-11.700937972768532</c:v>
                </c:pt>
                <c:pt idx="47" formatCode="General">
                  <c:v>-11.322723146747352</c:v>
                </c:pt>
                <c:pt idx="48" formatCode="General">
                  <c:v>-10.944508320726172</c:v>
                </c:pt>
                <c:pt idx="49" formatCode="General">
                  <c:v>-10.56629349470499</c:v>
                </c:pt>
                <c:pt idx="50" formatCode="General">
                  <c:v>-10.18807866868381</c:v>
                </c:pt>
                <c:pt idx="51" formatCode="General">
                  <c:v>-9.9633303030303022</c:v>
                </c:pt>
                <c:pt idx="52" formatCode="General">
                  <c:v>-9.7722696969696958</c:v>
                </c:pt>
                <c:pt idx="53" formatCode="General">
                  <c:v>-9.5812090909090895</c:v>
                </c:pt>
                <c:pt idx="54" formatCode="General">
                  <c:v>-9.3901484848484831</c:v>
                </c:pt>
                <c:pt idx="55" formatCode="General">
                  <c:v>-9.1990878787878785</c:v>
                </c:pt>
                <c:pt idx="56" formatCode="General">
                  <c:v>-9.0080272727272721</c:v>
                </c:pt>
                <c:pt idx="57" formatCode="General">
                  <c:v>-8.8458795180722891</c:v>
                </c:pt>
                <c:pt idx="58" formatCode="General">
                  <c:v>-8.7862409638554215</c:v>
                </c:pt>
                <c:pt idx="59" formatCode="General">
                  <c:v>-8.7443878787878795</c:v>
                </c:pt>
                <c:pt idx="60" formatCode="General">
                  <c:v>-8.7165090909090921</c:v>
                </c:pt>
                <c:pt idx="61" formatCode="General">
                  <c:v>-8.7068303030303031</c:v>
                </c:pt>
                <c:pt idx="62" formatCode="General">
                  <c:v>-8.7021030303030305</c:v>
                </c:pt>
                <c:pt idx="63" formatCode="General">
                  <c:v>-8.7063454545454544</c:v>
                </c:pt>
                <c:pt idx="64" formatCode="General">
                  <c:v>-8.7153939393939392</c:v>
                </c:pt>
                <c:pt idx="65" formatCode="General">
                  <c:v>-8.727515151515151</c:v>
                </c:pt>
                <c:pt idx="66" formatCode="General">
                  <c:v>-8.7430361445783138</c:v>
                </c:pt>
                <c:pt idx="67" formatCode="General">
                  <c:v>-8.7596363636363641</c:v>
                </c:pt>
                <c:pt idx="68" formatCode="General">
                  <c:v>-8.7784242424242418</c:v>
                </c:pt>
                <c:pt idx="69" formatCode="General">
                  <c:v>-8.798</c:v>
                </c:pt>
                <c:pt idx="70" formatCode="General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35EF-46D6-A94F-2517E60135C4}"/>
            </c:ext>
          </c:extLst>
        </c:ser>
        <c:ser>
          <c:idx val="44"/>
          <c:order val="45"/>
          <c:tx>
            <c:strRef>
              <c:f>'Gibbs-EVAL'!$A$146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'Gibbs-EVAL'!$B$146:$BT$146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-18.631089258698939</c:v>
                </c:pt>
                <c:pt idx="5" formatCode="General">
                  <c:v>-18.644704992435702</c:v>
                </c:pt>
                <c:pt idx="6" formatCode="General">
                  <c:v>-18.658320726172466</c:v>
                </c:pt>
                <c:pt idx="7" formatCode="General">
                  <c:v>-18.671936459909226</c:v>
                </c:pt>
                <c:pt idx="8" formatCode="General">
                  <c:v>-18.685552193645989</c:v>
                </c:pt>
                <c:pt idx="9" formatCode="General">
                  <c:v>-18.699167927382753</c:v>
                </c:pt>
                <c:pt idx="10" formatCode="General">
                  <c:v>-18.712783661119516</c:v>
                </c:pt>
                <c:pt idx="11" formatCode="General">
                  <c:v>-18.728545454545454</c:v>
                </c:pt>
                <c:pt idx="12" formatCode="General">
                  <c:v>-18.746727272727274</c:v>
                </c:pt>
                <c:pt idx="13" formatCode="General">
                  <c:v>-18.764909090909093</c:v>
                </c:pt>
                <c:pt idx="14" formatCode="General">
                  <c:v>-18.783072289156628</c:v>
                </c:pt>
                <c:pt idx="15" formatCode="General">
                  <c:v>-18.801144578313252</c:v>
                </c:pt>
                <c:pt idx="16" formatCode="General">
                  <c:v>-18.819272727272725</c:v>
                </c:pt>
                <c:pt idx="17" formatCode="General">
                  <c:v>-18.837454545454545</c:v>
                </c:pt>
                <c:pt idx="18" formatCode="General">
                  <c:v>-18.855636363636364</c:v>
                </c:pt>
                <c:pt idx="19" formatCode="General">
                  <c:v>-18.873818181818184</c:v>
                </c:pt>
                <c:pt idx="20" formatCode="General">
                  <c:v>-18.891999999999999</c:v>
                </c:pt>
                <c:pt idx="21" formatCode="General">
                  <c:v>-18.913575757575757</c:v>
                </c:pt>
                <c:pt idx="22" formatCode="General">
                  <c:v>-18.937818181818184</c:v>
                </c:pt>
                <c:pt idx="23" formatCode="General">
                  <c:v>-18.95644578313253</c:v>
                </c:pt>
                <c:pt idx="24" formatCode="General">
                  <c:v>-18.976060606060607</c:v>
                </c:pt>
                <c:pt idx="25" formatCode="General">
                  <c:v>-19.00030303030303</c:v>
                </c:pt>
                <c:pt idx="26" formatCode="General">
                  <c:v>-19.020909090909093</c:v>
                </c:pt>
                <c:pt idx="27" formatCode="General">
                  <c:v>-19.039090909090909</c:v>
                </c:pt>
                <c:pt idx="28" formatCode="General">
                  <c:v>-19.057272727272728</c:v>
                </c:pt>
                <c:pt idx="29" formatCode="General">
                  <c:v>-19.077272727272728</c:v>
                </c:pt>
                <c:pt idx="30" formatCode="General">
                  <c:v>-19.101515151515152</c:v>
                </c:pt>
                <c:pt idx="31" formatCode="General">
                  <c:v>-19.121746987951806</c:v>
                </c:pt>
                <c:pt idx="32" formatCode="General">
                  <c:v>-19.139819277108433</c:v>
                </c:pt>
                <c:pt idx="33" formatCode="General">
                  <c:v>-19.164000000000001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-19.388456883509832</c:v>
                </c:pt>
                <c:pt idx="45" formatCode="General">
                  <c:v>-19.408124054462935</c:v>
                </c:pt>
                <c:pt idx="46" formatCode="General">
                  <c:v>-19.427791225416037</c:v>
                </c:pt>
                <c:pt idx="47" formatCode="General">
                  <c:v>-19.447458396369139</c:v>
                </c:pt>
                <c:pt idx="48" formatCode="General">
                  <c:v>-19.467125567322238</c:v>
                </c:pt>
                <c:pt idx="49" formatCode="General">
                  <c:v>-19.486792738275341</c:v>
                </c:pt>
                <c:pt idx="50" formatCode="General">
                  <c:v>-19.506459909228443</c:v>
                </c:pt>
                <c:pt idx="51" formatCode="General">
                  <c:v>-19.526151515151518</c:v>
                </c:pt>
                <c:pt idx="52" formatCode="General">
                  <c:v>-19.545848484848488</c:v>
                </c:pt>
                <c:pt idx="53" formatCode="General">
                  <c:v>-19.565545454545457</c:v>
                </c:pt>
                <c:pt idx="54" formatCode="General">
                  <c:v>-19.585242424242427</c:v>
                </c:pt>
                <c:pt idx="55" formatCode="General">
                  <c:v>-19.604939393939397</c:v>
                </c:pt>
                <c:pt idx="56" formatCode="General">
                  <c:v>-19.624636363636366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35EF-46D6-A94F-2517E60135C4}"/>
            </c:ext>
          </c:extLst>
        </c:ser>
        <c:ser>
          <c:idx val="45"/>
          <c:order val="46"/>
          <c:tx>
            <c:strRef>
              <c:f>'Gibbs-EVAL'!$A$147</c:f>
              <c:strCache>
                <c:ptCount val="1"/>
                <c:pt idx="0">
                  <c:v>H (Ga)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'Gibbs-EVAL'!$B$147:$BT$147</c:f>
              <c:numCache>
                <c:formatCode>0</c:formatCode>
                <c:ptCount val="71"/>
                <c:pt idx="0">
                  <c:v>-60.735090909090907</c:v>
                </c:pt>
                <c:pt idx="1">
                  <c:v>-58.673878787878785</c:v>
                </c:pt>
                <c:pt idx="2" formatCode="General">
                  <c:v>-56.631454545454545</c:v>
                </c:pt>
                <c:pt idx="3" formatCode="General">
                  <c:v>-54.589030303030299</c:v>
                </c:pt>
                <c:pt idx="4" formatCode="General">
                  <c:v>-52.560166414523451</c:v>
                </c:pt>
                <c:pt idx="5" formatCode="General">
                  <c:v>-50.687246596066565</c:v>
                </c:pt>
                <c:pt idx="6" formatCode="General">
                  <c:v>-48.814326777609679</c:v>
                </c:pt>
                <c:pt idx="7" formatCode="General">
                  <c:v>-46.9414069591528</c:v>
                </c:pt>
                <c:pt idx="8" formatCode="General">
                  <c:v>-45.068487140695915</c:v>
                </c:pt>
                <c:pt idx="9" formatCode="General">
                  <c:v>-43.195567322239029</c:v>
                </c:pt>
                <c:pt idx="10" formatCode="General">
                  <c:v>-41.32264750378215</c:v>
                </c:pt>
                <c:pt idx="11" formatCode="General">
                  <c:v>-39.589393939393936</c:v>
                </c:pt>
                <c:pt idx="12" formatCode="General">
                  <c:v>-38.013636363636365</c:v>
                </c:pt>
                <c:pt idx="13" formatCode="General">
                  <c:v>-36.542242424242424</c:v>
                </c:pt>
                <c:pt idx="14" formatCode="General">
                  <c:v>-35.117771084337356</c:v>
                </c:pt>
                <c:pt idx="15" formatCode="General">
                  <c:v>-33.810542168674701</c:v>
                </c:pt>
                <c:pt idx="16" formatCode="General">
                  <c:v>-32.561090909090908</c:v>
                </c:pt>
                <c:pt idx="17" formatCode="General">
                  <c:v>-31.367151515151512</c:v>
                </c:pt>
                <c:pt idx="18" formatCode="General">
                  <c:v>-30.256606060606057</c:v>
                </c:pt>
                <c:pt idx="19" formatCode="General">
                  <c:v>-29.173636363636362</c:v>
                </c:pt>
                <c:pt idx="20" formatCode="General">
                  <c:v>-28.143333333333331</c:v>
                </c:pt>
                <c:pt idx="21" formatCode="General">
                  <c:v>-27.143575757575757</c:v>
                </c:pt>
                <c:pt idx="22" formatCode="General">
                  <c:v>-26.167818181818177</c:v>
                </c:pt>
                <c:pt idx="23" formatCode="General">
                  <c:v>-25.252228915662648</c:v>
                </c:pt>
                <c:pt idx="24" formatCode="General">
                  <c:v>-24.354848484848485</c:v>
                </c:pt>
                <c:pt idx="25" formatCode="General">
                  <c:v>-23.494242424242422</c:v>
                </c:pt>
                <c:pt idx="26" formatCode="General">
                  <c:v>-22.673636363636362</c:v>
                </c:pt>
                <c:pt idx="27" formatCode="General">
                  <c:v>-21.879696969696969</c:v>
                </c:pt>
                <c:pt idx="28" formatCode="General">
                  <c:v>-21.149090909090908</c:v>
                </c:pt>
                <c:pt idx="29" formatCode="General">
                  <c:v>-20.438181818181818</c:v>
                </c:pt>
                <c:pt idx="30" formatCode="General">
                  <c:v>-19.765454545454546</c:v>
                </c:pt>
                <c:pt idx="31" formatCode="General">
                  <c:v>-19.126686746987954</c:v>
                </c:pt>
                <c:pt idx="32" formatCode="General">
                  <c:v>-18.506204819277109</c:v>
                </c:pt>
                <c:pt idx="33" formatCode="General">
                  <c:v>-17.918000000000003</c:v>
                </c:pt>
                <c:pt idx="34" formatCode="General">
                  <c:v>-17.342484848484851</c:v>
                </c:pt>
                <c:pt idx="35" formatCode="General">
                  <c:v>-16.7909696969697</c:v>
                </c:pt>
                <c:pt idx="36" formatCode="General">
                  <c:v>-16.252000000000002</c:v>
                </c:pt>
                <c:pt idx="37" formatCode="General">
                  <c:v>-15.721119515885023</c:v>
                </c:pt>
                <c:pt idx="38" formatCode="General">
                  <c:v>-15.249107413010591</c:v>
                </c:pt>
                <c:pt idx="39" formatCode="General">
                  <c:v>-14.77709531013616</c:v>
                </c:pt>
                <c:pt idx="40" formatCode="General">
                  <c:v>-14.305083207261726</c:v>
                </c:pt>
                <c:pt idx="41" formatCode="General">
                  <c:v>-13.833071104387294</c:v>
                </c:pt>
                <c:pt idx="42" formatCode="General">
                  <c:v>-13.36105900151286</c:v>
                </c:pt>
                <c:pt idx="43" formatCode="General">
                  <c:v>-12.889046898638428</c:v>
                </c:pt>
                <c:pt idx="44" formatCode="General">
                  <c:v>-12.457367624810892</c:v>
                </c:pt>
                <c:pt idx="45" formatCode="General">
                  <c:v>-12.079152798789712</c:v>
                </c:pt>
                <c:pt idx="46" formatCode="General">
                  <c:v>-11.700937972768532</c:v>
                </c:pt>
                <c:pt idx="47" formatCode="General">
                  <c:v>-11.322723146747352</c:v>
                </c:pt>
                <c:pt idx="48" formatCode="General">
                  <c:v>-10.944508320726172</c:v>
                </c:pt>
                <c:pt idx="49" formatCode="General">
                  <c:v>-10.56629349470499</c:v>
                </c:pt>
                <c:pt idx="50" formatCode="General">
                  <c:v>-10.18807866868381</c:v>
                </c:pt>
                <c:pt idx="51" formatCode="General">
                  <c:v>-9.9633303030303022</c:v>
                </c:pt>
                <c:pt idx="52" formatCode="General">
                  <c:v>-9.7722696969696958</c:v>
                </c:pt>
                <c:pt idx="53" formatCode="General">
                  <c:v>-9.5812090909090895</c:v>
                </c:pt>
                <c:pt idx="54" formatCode="General">
                  <c:v>-9.3901484848484831</c:v>
                </c:pt>
                <c:pt idx="55" formatCode="General">
                  <c:v>-9.1990878787878785</c:v>
                </c:pt>
                <c:pt idx="56" formatCode="General">
                  <c:v>-9.0080272727272721</c:v>
                </c:pt>
                <c:pt idx="57" formatCode="General">
                  <c:v>-8.8458795180722891</c:v>
                </c:pt>
                <c:pt idx="58" formatCode="General">
                  <c:v>-8.7862409638554215</c:v>
                </c:pt>
                <c:pt idx="59" formatCode="General">
                  <c:v>-8.7443878787878795</c:v>
                </c:pt>
                <c:pt idx="60" formatCode="General">
                  <c:v>-8.7165090909090921</c:v>
                </c:pt>
                <c:pt idx="61" formatCode="General">
                  <c:v>-8.7068303030303031</c:v>
                </c:pt>
                <c:pt idx="62" formatCode="General">
                  <c:v>-8.7021030303030305</c:v>
                </c:pt>
                <c:pt idx="63" formatCode="General">
                  <c:v>-8.7063454545454544</c:v>
                </c:pt>
                <c:pt idx="64" formatCode="General">
                  <c:v>-8.7153939393939392</c:v>
                </c:pt>
                <c:pt idx="65" formatCode="General">
                  <c:v>-8.727515151515151</c:v>
                </c:pt>
                <c:pt idx="66" formatCode="General">
                  <c:v>-8.7430361445783138</c:v>
                </c:pt>
                <c:pt idx="67" formatCode="General">
                  <c:v>-8.7596363636363641</c:v>
                </c:pt>
                <c:pt idx="68" formatCode="General">
                  <c:v>-8.7784242424242418</c:v>
                </c:pt>
                <c:pt idx="69" formatCode="General">
                  <c:v>-8.798</c:v>
                </c:pt>
                <c:pt idx="70" formatCode="General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35EF-46D6-A94F-2517E60135C4}"/>
            </c:ext>
          </c:extLst>
        </c:ser>
        <c:ser>
          <c:idx val="46"/>
          <c:order val="47"/>
          <c:tx>
            <c:strRef>
              <c:f>'Gibbs-EVAL'!$A$148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'Gibbs-EVAL'!$B$148:$BT$148</c:f>
              <c:numCache>
                <c:formatCode>0</c:formatCode>
                <c:ptCount val="71"/>
                <c:pt idx="0">
                  <c:v>-15.805636363636363</c:v>
                </c:pt>
                <c:pt idx="1">
                  <c:v>-15.261999999999999</c:v>
                </c:pt>
                <c:pt idx="2" formatCode="General">
                  <c:v>-14.661999999999999</c:v>
                </c:pt>
                <c:pt idx="3" formatCode="General">
                  <c:v>-14.004484848484848</c:v>
                </c:pt>
                <c:pt idx="4" formatCode="General">
                  <c:v>-13.326287443267777</c:v>
                </c:pt>
                <c:pt idx="5" formatCode="General">
                  <c:v>-12.654880484114978</c:v>
                </c:pt>
                <c:pt idx="6" formatCode="General">
                  <c:v>-11.983473524962179</c:v>
                </c:pt>
                <c:pt idx="7" formatCode="General">
                  <c:v>-11.31206656580938</c:v>
                </c:pt>
                <c:pt idx="8" formatCode="General">
                  <c:v>-10.64065960665658</c:v>
                </c:pt>
                <c:pt idx="9" formatCode="General">
                  <c:v>-9.969252647503783</c:v>
                </c:pt>
                <c:pt idx="10" formatCode="General">
                  <c:v>-9.2978456883509839</c:v>
                </c:pt>
                <c:pt idx="11" formatCode="General">
                  <c:v>-8.67908484848485</c:v>
                </c:pt>
                <c:pt idx="12" formatCode="General">
                  <c:v>-8.1196909090909095</c:v>
                </c:pt>
                <c:pt idx="13" formatCode="General">
                  <c:v>-7.619436363636364</c:v>
                </c:pt>
                <c:pt idx="14" formatCode="General">
                  <c:v>-7.1476144578313257</c:v>
                </c:pt>
                <c:pt idx="15" formatCode="General">
                  <c:v>-6.7512289156626508</c:v>
                </c:pt>
                <c:pt idx="16" formatCode="General">
                  <c:v>-6.4021454545454546</c:v>
                </c:pt>
                <c:pt idx="17" formatCode="General">
                  <c:v>-6.09850909090909</c:v>
                </c:pt>
                <c:pt idx="18" formatCode="General">
                  <c:v>-5.8730545454545453</c:v>
                </c:pt>
                <c:pt idx="19" formatCode="General">
                  <c:v>-5.6767454545454541</c:v>
                </c:pt>
                <c:pt idx="20" formatCode="General">
                  <c:v>-5.5421999999999993</c:v>
                </c:pt>
                <c:pt idx="21" formatCode="General">
                  <c:v>-5.4426121212121208</c:v>
                </c:pt>
                <c:pt idx="22" formatCode="General">
                  <c:v>-5.3704909090909085</c:v>
                </c:pt>
                <c:pt idx="23" formatCode="General">
                  <c:v>-5.3393313253012051</c:v>
                </c:pt>
                <c:pt idx="24" formatCode="General">
                  <c:v>-5.319</c:v>
                </c:pt>
                <c:pt idx="25" formatCode="General">
                  <c:v>-5.319</c:v>
                </c:pt>
                <c:pt idx="26" formatCode="General">
                  <c:v>-5.3280909090909088</c:v>
                </c:pt>
                <c:pt idx="27" formatCode="General">
                  <c:v>-5.3432424242424243</c:v>
                </c:pt>
                <c:pt idx="28" formatCode="General">
                  <c:v>-5.3641515151515149</c:v>
                </c:pt>
                <c:pt idx="29" formatCode="General">
                  <c:v>-5.3860909090909086</c:v>
                </c:pt>
                <c:pt idx="30" formatCode="General">
                  <c:v>-5.4097272727272729</c:v>
                </c:pt>
                <c:pt idx="31" formatCode="General">
                  <c:v>-5.4340542168674695</c:v>
                </c:pt>
                <c:pt idx="32" formatCode="General">
                  <c:v>-5.4587530120481924</c:v>
                </c:pt>
                <c:pt idx="33" formatCode="General">
                  <c:v>-5.4829999999999997</c:v>
                </c:pt>
                <c:pt idx="34" formatCode="General">
                  <c:v>-5.5074484848484841</c:v>
                </c:pt>
                <c:pt idx="35" formatCode="General">
                  <c:v>-5.5322969696969695</c:v>
                </c:pt>
                <c:pt idx="36" formatCode="General">
                  <c:v>-5.5567272727272723</c:v>
                </c:pt>
                <c:pt idx="37" formatCode="General">
                  <c:v>-5.5809863842662635</c:v>
                </c:pt>
                <c:pt idx="38" formatCode="General">
                  <c:v>-5.6056459909228442</c:v>
                </c:pt>
                <c:pt idx="39" formatCode="General">
                  <c:v>-5.6303055975794249</c:v>
                </c:pt>
                <c:pt idx="40" formatCode="General">
                  <c:v>-5.6549652042360066</c:v>
                </c:pt>
                <c:pt idx="41" formatCode="General">
                  <c:v>-5.6796248108925873</c:v>
                </c:pt>
                <c:pt idx="42" formatCode="General">
                  <c:v>-5.704284417549168</c:v>
                </c:pt>
                <c:pt idx="43" formatCode="General">
                  <c:v>-5.7289440242057488</c:v>
                </c:pt>
                <c:pt idx="44" formatCode="General">
                  <c:v>-5.7543192133131624</c:v>
                </c:pt>
                <c:pt idx="45" formatCode="General">
                  <c:v>-5.7806429652042359</c:v>
                </c:pt>
                <c:pt idx="46" formatCode="General">
                  <c:v>-5.8069667170953103</c:v>
                </c:pt>
                <c:pt idx="47" formatCode="General">
                  <c:v>-5.8332904689863847</c:v>
                </c:pt>
                <c:pt idx="48" formatCode="General">
                  <c:v>-5.8596142208774582</c:v>
                </c:pt>
                <c:pt idx="49" formatCode="General">
                  <c:v>-5.8859379727685326</c:v>
                </c:pt>
                <c:pt idx="50" formatCode="General">
                  <c:v>-5.912261724659607</c:v>
                </c:pt>
                <c:pt idx="51" formatCode="General">
                  <c:v>-5.942966666666667</c:v>
                </c:pt>
                <c:pt idx="52" formatCode="General">
                  <c:v>-5.9746333333333332</c:v>
                </c:pt>
                <c:pt idx="53" formatCode="General">
                  <c:v>-6.0063000000000004</c:v>
                </c:pt>
                <c:pt idx="54" formatCode="General">
                  <c:v>-6.0379666666666667</c:v>
                </c:pt>
                <c:pt idx="55" formatCode="General">
                  <c:v>-6.0696333333333339</c:v>
                </c:pt>
                <c:pt idx="56" formatCode="General">
                  <c:v>-6.1013000000000002</c:v>
                </c:pt>
                <c:pt idx="57" formatCode="General">
                  <c:v>-6.132493975903615</c:v>
                </c:pt>
                <c:pt idx="58" formatCode="General">
                  <c:v>-6.1620120481927714</c:v>
                </c:pt>
                <c:pt idx="59" formatCode="General">
                  <c:v>-6.190612121212121</c:v>
                </c:pt>
                <c:pt idx="60" formatCode="General">
                  <c:v>-6.2184909090909093</c:v>
                </c:pt>
                <c:pt idx="61" formatCode="General">
                  <c:v>-6.2441636363636368</c:v>
                </c:pt>
                <c:pt idx="62" formatCode="General">
                  <c:v>-6.2693030303030302</c:v>
                </c:pt>
                <c:pt idx="63" formatCode="General">
                  <c:v>-6.2935454545454546</c:v>
                </c:pt>
                <c:pt idx="64" formatCode="General">
                  <c:v>-6.3174181818181818</c:v>
                </c:pt>
                <c:pt idx="65" formatCode="General">
                  <c:v>-6.3410545454545453</c:v>
                </c:pt>
                <c:pt idx="66" formatCode="General">
                  <c:v>-6.363397590361445</c:v>
                </c:pt>
                <c:pt idx="67" formatCode="General">
                  <c:v>-6.385727272727272</c:v>
                </c:pt>
                <c:pt idx="68" formatCode="General">
                  <c:v>-6.4081515151515154</c:v>
                </c:pt>
                <c:pt idx="69" formatCode="General">
                  <c:v>-6.4301818181818184</c:v>
                </c:pt>
                <c:pt idx="70" formatCode="General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35EF-46D6-A94F-2517E60135C4}"/>
            </c:ext>
          </c:extLst>
        </c:ser>
        <c:ser>
          <c:idx val="47"/>
          <c:order val="48"/>
          <c:tx>
            <c:strRef>
              <c:f>'Gibbs-EVAL'!$A$149</c:f>
              <c:strCache>
                <c:ptCount val="1"/>
                <c:pt idx="0">
                  <c:v>H (Se)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'Gibbs-EVAL'!$B$149:$BT$149</c:f>
              <c:numCache>
                <c:formatCode>0</c:formatCode>
                <c:ptCount val="71"/>
                <c:pt idx="0">
                  <c:v>-22.065575757575758</c:v>
                </c:pt>
                <c:pt idx="1">
                  <c:v>-21.674060606060607</c:v>
                </c:pt>
                <c:pt idx="2" formatCode="General">
                  <c:v>-21.395272727272726</c:v>
                </c:pt>
                <c:pt idx="3" formatCode="General">
                  <c:v>-21.244787878787879</c:v>
                </c:pt>
                <c:pt idx="4" formatCode="General">
                  <c:v>-21.157019667170953</c:v>
                </c:pt>
                <c:pt idx="5" formatCode="General">
                  <c:v>-21.244765506807866</c:v>
                </c:pt>
                <c:pt idx="6" formatCode="General">
                  <c:v>-21.332511346444779</c:v>
                </c:pt>
                <c:pt idx="7" formatCode="General">
                  <c:v>-21.420257186081695</c:v>
                </c:pt>
                <c:pt idx="8" formatCode="General">
                  <c:v>-21.508003025718608</c:v>
                </c:pt>
                <c:pt idx="9" formatCode="General">
                  <c:v>-21.595748865355521</c:v>
                </c:pt>
                <c:pt idx="10" formatCode="General">
                  <c:v>-21.683494704992437</c:v>
                </c:pt>
                <c:pt idx="11" formatCode="General">
                  <c:v>-21.792666666666666</c:v>
                </c:pt>
                <c:pt idx="12" formatCode="General">
                  <c:v>-21.925999999999998</c:v>
                </c:pt>
                <c:pt idx="13" formatCode="General">
                  <c:v>-22.049393939393937</c:v>
                </c:pt>
                <c:pt idx="14" formatCode="General">
                  <c:v>-22.167409638554215</c:v>
                </c:pt>
                <c:pt idx="15" formatCode="General">
                  <c:v>-22.269819277108432</c:v>
                </c:pt>
                <c:pt idx="16" formatCode="General">
                  <c:v>-22.363272727272729</c:v>
                </c:pt>
                <c:pt idx="17" formatCode="General">
                  <c:v>-22.448121212121212</c:v>
                </c:pt>
                <c:pt idx="18" formatCode="General">
                  <c:v>-22.532969696969698</c:v>
                </c:pt>
                <c:pt idx="19" formatCode="General">
                  <c:v>-22.620363636363638</c:v>
                </c:pt>
                <c:pt idx="20" formatCode="General">
                  <c:v>-22.717333333333336</c:v>
                </c:pt>
                <c:pt idx="21" formatCode="General">
                  <c:v>-22.82448484848485</c:v>
                </c:pt>
                <c:pt idx="22" formatCode="General">
                  <c:v>-22.939636363636364</c:v>
                </c:pt>
                <c:pt idx="23" formatCode="General">
                  <c:v>-23.059638554216868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35EF-46D6-A94F-2517E60135C4}"/>
            </c:ext>
          </c:extLst>
        </c:ser>
        <c:ser>
          <c:idx val="48"/>
          <c:order val="49"/>
          <c:tx>
            <c:strRef>
              <c:f>'Gibbs-EVAL'!$A$150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35EF-46D6-A94F-2517E60135C4}"/>
            </c:ext>
          </c:extLst>
        </c:ser>
        <c:ser>
          <c:idx val="49"/>
          <c:order val="50"/>
          <c:tx>
            <c:strRef>
              <c:f>'Gibbs-EVAL'!$A$151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35EF-46D6-A94F-2517E60135C4}"/>
            </c:ext>
          </c:extLst>
        </c:ser>
        <c:ser>
          <c:idx val="50"/>
          <c:order val="51"/>
          <c:tx>
            <c:strRef>
              <c:f>'Gibbs-EVAL'!$A$152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8-35EF-46D6-A94F-2517E60135C4}"/>
            </c:ext>
          </c:extLst>
        </c:ser>
        <c:ser>
          <c:idx val="51"/>
          <c:order val="52"/>
          <c:tx>
            <c:strRef>
              <c:f>'Gibbs-EVAL'!$A$153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9-35EF-46D6-A94F-2517E60135C4}"/>
            </c:ext>
          </c:extLst>
        </c:ser>
        <c:ser>
          <c:idx val="52"/>
          <c:order val="53"/>
          <c:tx>
            <c:strRef>
              <c:f>'Gibbs-EVAL'!$A$154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A-35EF-46D6-A94F-2517E60135C4}"/>
            </c:ext>
          </c:extLst>
        </c:ser>
        <c:ser>
          <c:idx val="53"/>
          <c:order val="54"/>
          <c:tx>
            <c:strRef>
              <c:f>'Gibbs-EVAL'!$A$155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5EF-46D6-A94F-2517E60135C4}"/>
            </c:ext>
          </c:extLst>
        </c:ser>
        <c:ser>
          <c:idx val="55"/>
          <c:order val="55"/>
          <c:tx>
            <c:strRef>
              <c:f>'Gibbs-EVAL'!$A$156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12C-44BE-9FB4-FFBBBE0F6189}"/>
            </c:ext>
          </c:extLst>
        </c:ser>
        <c:ser>
          <c:idx val="56"/>
          <c:order val="56"/>
          <c:tx>
            <c:strRef>
              <c:f>'Gibbs-EVAL'!$A$157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12C-44BE-9FB4-FFBBBE0F6189}"/>
            </c:ext>
          </c:extLst>
        </c:ser>
        <c:ser>
          <c:idx val="57"/>
          <c:order val="57"/>
          <c:tx>
            <c:strRef>
              <c:f>'Gibbs-EVAL'!$A$158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12C-44BE-9FB4-FFBBBE0F6189}"/>
            </c:ext>
          </c:extLst>
        </c:ser>
        <c:ser>
          <c:idx val="58"/>
          <c:order val="58"/>
          <c:tx>
            <c:strRef>
              <c:f>'Gibbs-EVAL'!$A$159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12C-44BE-9FB4-FFBBBE0F6189}"/>
            </c:ext>
          </c:extLst>
        </c:ser>
        <c:ser>
          <c:idx val="59"/>
          <c:order val="59"/>
          <c:tx>
            <c:strRef>
              <c:f>'Gibbs-EVAL'!$A$160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12C-44BE-9FB4-FFBBBE0F6189}"/>
            </c:ext>
          </c:extLst>
        </c:ser>
        <c:ser>
          <c:idx val="60"/>
          <c:order val="60"/>
          <c:tx>
            <c:strRef>
              <c:f>'Gibbs-EVAL'!$A$161</c:f>
              <c:strCache>
                <c:ptCount val="1"/>
                <c:pt idx="0">
                  <c:v>End2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'Gibbs-EVAL'!$B$161:$BT$161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12C-44BE-9FB4-FFBBBE0F6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223926127373632"/>
          <c:y val="1.366381842399151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-21.792000000000002</c:v>
                </c:pt>
                <c:pt idx="1">
                  <c:v>-21.217333333333332</c:v>
                </c:pt>
                <c:pt idx="2" formatCode="General">
                  <c:v>-20.683999999999997</c:v>
                </c:pt>
                <c:pt idx="3" formatCode="General">
                  <c:v>-20.194909090909089</c:v>
                </c:pt>
                <c:pt idx="4" formatCode="General">
                  <c:v>-19.761939393939397</c:v>
                </c:pt>
                <c:pt idx="5" formatCode="General">
                  <c:v>-19.78618181818182</c:v>
                </c:pt>
                <c:pt idx="6" formatCode="General">
                  <c:v>-19.862168674698797</c:v>
                </c:pt>
                <c:pt idx="7" formatCode="General">
                  <c:v>-20.006746987951807</c:v>
                </c:pt>
                <c:pt idx="8" formatCode="General">
                  <c:v>-20.152000000000001</c:v>
                </c:pt>
                <c:pt idx="9" formatCode="General">
                  <c:v>-20.298181818181821</c:v>
                </c:pt>
                <c:pt idx="10" formatCode="General">
                  <c:v>-20.449696969696969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-23.573975903614457</c:v>
                </c:pt>
                <c:pt idx="32" formatCode="General">
                  <c:v>-23.718554216867467</c:v>
                </c:pt>
                <c:pt idx="33" formatCode="General">
                  <c:v>-23.858000000000001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4E43-435B-B057-21EAE1F9E5D7}"/>
            </c:ext>
          </c:extLst>
        </c:ser>
        <c:ser>
          <c:idx val="39"/>
          <c:order val="1"/>
          <c:tx>
            <c:strRef>
              <c:f>'Gibbs-EVAL'!$A$102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-15.300424242424242</c:v>
                </c:pt>
                <c:pt idx="1">
                  <c:v>-14.974848484848485</c:v>
                </c:pt>
                <c:pt idx="2" formatCode="General">
                  <c:v>-14.671818181818182</c:v>
                </c:pt>
                <c:pt idx="3" formatCode="General">
                  <c:v>-14.399757575757576</c:v>
                </c:pt>
                <c:pt idx="4" formatCode="General">
                  <c:v>-14.105212121212121</c:v>
                </c:pt>
                <c:pt idx="5" formatCode="General">
                  <c:v>-13.420363636363636</c:v>
                </c:pt>
                <c:pt idx="6" formatCode="General">
                  <c:v>-12.711385542168674</c:v>
                </c:pt>
                <c:pt idx="7" formatCode="General">
                  <c:v>-11.970421686746988</c:v>
                </c:pt>
                <c:pt idx="8" formatCode="General">
                  <c:v>-11.272666666666668</c:v>
                </c:pt>
                <c:pt idx="9" formatCode="General">
                  <c:v>-10.593127272727273</c:v>
                </c:pt>
                <c:pt idx="10" formatCode="General">
                  <c:v>-9.9525212121212121</c:v>
                </c:pt>
                <c:pt idx="11" formatCode="General">
                  <c:v>-9.3588018154311658</c:v>
                </c:pt>
                <c:pt idx="12" formatCode="General">
                  <c:v>-8.8179546142208771</c:v>
                </c:pt>
                <c:pt idx="13" formatCode="General">
                  <c:v>-8.2771074130105902</c:v>
                </c:pt>
                <c:pt idx="14" formatCode="General">
                  <c:v>-7.7362602118003023</c:v>
                </c:pt>
                <c:pt idx="15" formatCode="General">
                  <c:v>-7.1954130105900145</c:v>
                </c:pt>
                <c:pt idx="16" formatCode="General">
                  <c:v>-6.6545658093797275</c:v>
                </c:pt>
                <c:pt idx="17" formatCode="General">
                  <c:v>-6.1137186081694388</c:v>
                </c:pt>
                <c:pt idx="18" formatCode="General">
                  <c:v>-5.6392727272727265</c:v>
                </c:pt>
                <c:pt idx="19" formatCode="General">
                  <c:v>-5.1809818181818166</c:v>
                </c:pt>
                <c:pt idx="20" formatCode="General">
                  <c:v>-4.742799999999999</c:v>
                </c:pt>
                <c:pt idx="21" formatCode="General">
                  <c:v>-4.4023636363636358</c:v>
                </c:pt>
                <c:pt idx="22" formatCode="General">
                  <c:v>-4.1387272727272721</c:v>
                </c:pt>
                <c:pt idx="23" formatCode="General">
                  <c:v>-4.1369277108433735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4E43-435B-B057-21EAE1F9E5D7}"/>
            </c:ext>
          </c:extLst>
        </c:ser>
        <c:ser>
          <c:idx val="54"/>
          <c:order val="2"/>
          <c:tx>
            <c:strRef>
              <c:f>'Gibbs-EVAL'!$A$103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8-4E43-435B-B057-21EAE1F9E5D7}"/>
              </c:ext>
            </c:extLst>
          </c:dPt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'Gibbs-EVAL'!$B$103:$BT$103</c:f>
              <c:numCache>
                <c:formatCode>0</c:formatCode>
                <c:ptCount val="71"/>
                <c:pt idx="0">
                  <c:v>-185.66569696969697</c:v>
                </c:pt>
                <c:pt idx="1">
                  <c:v>-180.33151515151513</c:v>
                </c:pt>
                <c:pt idx="2" formatCode="General">
                  <c:v>-175.36181818181819</c:v>
                </c:pt>
                <c:pt idx="3" formatCode="General">
                  <c:v>-170.78145454545455</c:v>
                </c:pt>
                <c:pt idx="4" formatCode="General">
                  <c:v>-166.37806060606059</c:v>
                </c:pt>
                <c:pt idx="5" formatCode="General">
                  <c:v>-162.35381818181818</c:v>
                </c:pt>
                <c:pt idx="6" formatCode="General">
                  <c:v>-158.50060240963856</c:v>
                </c:pt>
                <c:pt idx="7" formatCode="General">
                  <c:v>-154.87409638554217</c:v>
                </c:pt>
                <c:pt idx="8" formatCode="General">
                  <c:v>-151.48266666666666</c:v>
                </c:pt>
                <c:pt idx="9" formatCode="General">
                  <c:v>-148.19563636363637</c:v>
                </c:pt>
                <c:pt idx="10" formatCode="General">
                  <c:v>-145.15927272727274</c:v>
                </c:pt>
                <c:pt idx="11" formatCode="General">
                  <c:v>-142.38957639939488</c:v>
                </c:pt>
                <c:pt idx="12" formatCode="General">
                  <c:v>-139.9205900151286</c:v>
                </c:pt>
                <c:pt idx="13" formatCode="General">
                  <c:v>-137.45160363086234</c:v>
                </c:pt>
                <c:pt idx="14" formatCode="General">
                  <c:v>-134.98261724659608</c:v>
                </c:pt>
                <c:pt idx="15" formatCode="General">
                  <c:v>-132.51363086232982</c:v>
                </c:pt>
                <c:pt idx="16" formatCode="General">
                  <c:v>-130.04464447806353</c:v>
                </c:pt>
                <c:pt idx="17" formatCode="General">
                  <c:v>-127.57565809379727</c:v>
                </c:pt>
                <c:pt idx="18" formatCode="General">
                  <c:v>-125.49436363636363</c:v>
                </c:pt>
                <c:pt idx="19" formatCode="General">
                  <c:v>-123.50036363636364</c:v>
                </c:pt>
                <c:pt idx="20" formatCode="General">
                  <c:v>-121.59733333333334</c:v>
                </c:pt>
                <c:pt idx="21" formatCode="General">
                  <c:v>-119.77915151515151</c:v>
                </c:pt>
                <c:pt idx="22" formatCode="General">
                  <c:v>-118.02763636363636</c:v>
                </c:pt>
                <c:pt idx="23" formatCode="General">
                  <c:v>-116.39536144578314</c:v>
                </c:pt>
                <c:pt idx="24" formatCode="General">
                  <c:v>-114.79515151515152</c:v>
                </c:pt>
                <c:pt idx="25" formatCode="General">
                  <c:v>-113.25575757575758</c:v>
                </c:pt>
                <c:pt idx="26" formatCode="General">
                  <c:v>-111.77454545454545</c:v>
                </c:pt>
                <c:pt idx="27" formatCode="General">
                  <c:v>-110.33212121212121</c:v>
                </c:pt>
                <c:pt idx="28" formatCode="General">
                  <c:v>-108.98181818181817</c:v>
                </c:pt>
                <c:pt idx="29" formatCode="General">
                  <c:v>-107.69454545454545</c:v>
                </c:pt>
                <c:pt idx="30" formatCode="General">
                  <c:v>-106.54303030303031</c:v>
                </c:pt>
                <c:pt idx="31" formatCode="General">
                  <c:v>-105.63879518072289</c:v>
                </c:pt>
                <c:pt idx="32" formatCode="General">
                  <c:v>-104.8677108433735</c:v>
                </c:pt>
                <c:pt idx="33" formatCode="General">
                  <c:v>-104.134</c:v>
                </c:pt>
                <c:pt idx="34" formatCode="General">
                  <c:v>-103.42127272727272</c:v>
                </c:pt>
                <c:pt idx="35" formatCode="General">
                  <c:v>-102.74854545454545</c:v>
                </c:pt>
                <c:pt idx="36" formatCode="General">
                  <c:v>-102.10090909090908</c:v>
                </c:pt>
                <c:pt idx="37" formatCode="General">
                  <c:v>-101.46845688350984</c:v>
                </c:pt>
                <c:pt idx="38" formatCode="General">
                  <c:v>-100.92987897125568</c:v>
                </c:pt>
                <c:pt idx="39" formatCode="General">
                  <c:v>-100.39130105900152</c:v>
                </c:pt>
                <c:pt idx="40" formatCode="General">
                  <c:v>-99.852723146747351</c:v>
                </c:pt>
                <c:pt idx="41" formatCode="General">
                  <c:v>-99.314145234493196</c:v>
                </c:pt>
                <c:pt idx="42" formatCode="General">
                  <c:v>-98.775567322239027</c:v>
                </c:pt>
                <c:pt idx="43" formatCode="General">
                  <c:v>-98.236989409984872</c:v>
                </c:pt>
                <c:pt idx="44" formatCode="General">
                  <c:v>-97.731939393939385</c:v>
                </c:pt>
                <c:pt idx="45" formatCode="General">
                  <c:v>-97.271333333333331</c:v>
                </c:pt>
                <c:pt idx="46" formatCode="General">
                  <c:v>-96.835309090909092</c:v>
                </c:pt>
                <c:pt idx="47" formatCode="General">
                  <c:v>-96.41031515151515</c:v>
                </c:pt>
                <c:pt idx="48" formatCode="General">
                  <c:v>-96.012739393939398</c:v>
                </c:pt>
                <c:pt idx="49" formatCode="General">
                  <c:v>-95.620939759036148</c:v>
                </c:pt>
                <c:pt idx="50" formatCode="General">
                  <c:v>-95.235397590361444</c:v>
                </c:pt>
                <c:pt idx="51" formatCode="General">
                  <c:v>-94.884715151515152</c:v>
                </c:pt>
                <c:pt idx="52" formatCode="General">
                  <c:v>-94.681806060606064</c:v>
                </c:pt>
                <c:pt idx="53" formatCode="General">
                  <c:v>-95.163018181818188</c:v>
                </c:pt>
                <c:pt idx="54" formatCode="General">
                  <c:v>-95.644230303030312</c:v>
                </c:pt>
                <c:pt idx="55" formatCode="General">
                  <c:v>-96.125442424242422</c:v>
                </c:pt>
                <c:pt idx="56" formatCode="General">
                  <c:v>-96.608763636363634</c:v>
                </c:pt>
                <c:pt idx="57" formatCode="General">
                  <c:v>-97.090574886535563</c:v>
                </c:pt>
                <c:pt idx="58" formatCode="General">
                  <c:v>-97.565915279878979</c:v>
                </c:pt>
                <c:pt idx="59" formatCode="General">
                  <c:v>-98.041255673222395</c:v>
                </c:pt>
                <c:pt idx="60" formatCode="General">
                  <c:v>-98.51659606656581</c:v>
                </c:pt>
                <c:pt idx="61" formatCode="General">
                  <c:v>-98.991936459909226</c:v>
                </c:pt>
                <c:pt idx="62" formatCode="General">
                  <c:v>-99.467276853252656</c:v>
                </c:pt>
                <c:pt idx="63" formatCode="General">
                  <c:v>-99.942617246596072</c:v>
                </c:pt>
                <c:pt idx="64" formatCode="General">
                  <c:v>-100.4208</c:v>
                </c:pt>
                <c:pt idx="65" formatCode="General">
                  <c:v>-100.9008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4E43-435B-B057-21EAE1F9E5D7}"/>
            </c:ext>
          </c:extLst>
        </c:ser>
        <c:ser>
          <c:idx val="1"/>
          <c:order val="3"/>
          <c:tx>
            <c:strRef>
              <c:f>'Gibbs-EVAL'!$A$104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'Gibbs-EVAL'!$B$104:$BT$104</c:f>
              <c:numCache>
                <c:formatCode>0</c:formatCode>
                <c:ptCount val="71"/>
                <c:pt idx="0">
                  <c:v>-60.144848484848481</c:v>
                </c:pt>
                <c:pt idx="1">
                  <c:v>-58.339757575757574</c:v>
                </c:pt>
                <c:pt idx="2" formatCode="General">
                  <c:v>-56.654909090909094</c:v>
                </c:pt>
                <c:pt idx="3" formatCode="General">
                  <c:v>-55.098363636363636</c:v>
                </c:pt>
                <c:pt idx="4" formatCode="General">
                  <c:v>-53.546121212121207</c:v>
                </c:pt>
                <c:pt idx="5" formatCode="General">
                  <c:v>-51.49763636363636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4E43-435B-B057-21EAE1F9E5D7}"/>
            </c:ext>
          </c:extLst>
        </c:ser>
        <c:ser>
          <c:idx val="2"/>
          <c:order val="4"/>
          <c:tx>
            <c:strRef>
              <c:f>'Gibbs-EVAL'!$A$105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'Gibbs-EVAL'!$B$105:$BT$105</c:f>
              <c:numCache>
                <c:formatCode>0</c:formatCode>
                <c:ptCount val="71"/>
                <c:pt idx="0">
                  <c:v>-58.884424242424245</c:v>
                </c:pt>
                <c:pt idx="1">
                  <c:v>-57.409515151515158</c:v>
                </c:pt>
                <c:pt idx="2" formatCode="General">
                  <c:v>-56.039818181818184</c:v>
                </c:pt>
                <c:pt idx="3" formatCode="General">
                  <c:v>-54.789575757575761</c:v>
                </c:pt>
                <c:pt idx="4" formatCode="General">
                  <c:v>-53.629090909090912</c:v>
                </c:pt>
                <c:pt idx="5" formatCode="General">
                  <c:v>-52.992727272727279</c:v>
                </c:pt>
                <c:pt idx="6" formatCode="General">
                  <c:v>-52.435722891566265</c:v>
                </c:pt>
                <c:pt idx="7" formatCode="General">
                  <c:v>-51.983915662650602</c:v>
                </c:pt>
                <c:pt idx="8" formatCode="General">
                  <c:v>-51.576666666666668</c:v>
                </c:pt>
                <c:pt idx="9" formatCode="General">
                  <c:v>-51.189490909090914</c:v>
                </c:pt>
                <c:pt idx="10" formatCode="General">
                  <c:v>-50.851915151515158</c:v>
                </c:pt>
                <c:pt idx="11" formatCode="General">
                  <c:v>-50.56101059001513</c:v>
                </c:pt>
                <c:pt idx="12" formatCode="General">
                  <c:v>-50.322735249621786</c:v>
                </c:pt>
                <c:pt idx="13" formatCode="General">
                  <c:v>-50.084459909228443</c:v>
                </c:pt>
                <c:pt idx="14" formatCode="General">
                  <c:v>-49.846184568835099</c:v>
                </c:pt>
                <c:pt idx="15" formatCode="General">
                  <c:v>-49.607909228441756</c:v>
                </c:pt>
                <c:pt idx="16" formatCode="General">
                  <c:v>-49.369633888048412</c:v>
                </c:pt>
                <c:pt idx="17" formatCode="General">
                  <c:v>-49.131358547655068</c:v>
                </c:pt>
                <c:pt idx="18" formatCode="General">
                  <c:v>-48.959878787878786</c:v>
                </c:pt>
                <c:pt idx="19" formatCode="General">
                  <c:v>-48.802072727272723</c:v>
                </c:pt>
                <c:pt idx="20" formatCode="General">
                  <c:v>-48.654799999999994</c:v>
                </c:pt>
                <c:pt idx="21" formatCode="General">
                  <c:v>-48.612060606060602</c:v>
                </c:pt>
                <c:pt idx="22" formatCode="General">
                  <c:v>-48.651454545454548</c:v>
                </c:pt>
                <c:pt idx="23" formatCode="General">
                  <c:v>-48.951024096385545</c:v>
                </c:pt>
                <c:pt idx="24" formatCode="General">
                  <c:v>-49.273787878787878</c:v>
                </c:pt>
                <c:pt idx="25" formatCode="General">
                  <c:v>-49.588939393939398</c:v>
                </c:pt>
                <c:pt idx="26" formatCode="General">
                  <c:v>-49.904454545454549</c:v>
                </c:pt>
                <c:pt idx="27" formatCode="General">
                  <c:v>-50.220212121212121</c:v>
                </c:pt>
                <c:pt idx="28" formatCode="General">
                  <c:v>-50.535393939393941</c:v>
                </c:pt>
                <c:pt idx="29" formatCode="General">
                  <c:v>-50.850727272727276</c:v>
                </c:pt>
                <c:pt idx="30" formatCode="General">
                  <c:v>-51.166484848484849</c:v>
                </c:pt>
                <c:pt idx="31" formatCode="General">
                  <c:v>-51.481006024096381</c:v>
                </c:pt>
                <c:pt idx="32" formatCode="General">
                  <c:v>-51.794861445783127</c:v>
                </c:pt>
                <c:pt idx="33" formatCode="General">
                  <c:v>-52.098599999999998</c:v>
                </c:pt>
                <c:pt idx="34" formatCode="General">
                  <c:v>-52.402236363636362</c:v>
                </c:pt>
                <c:pt idx="35" formatCode="General">
                  <c:v>-52.705872727272727</c:v>
                </c:pt>
                <c:pt idx="36" formatCode="General">
                  <c:v>-53.009509090909091</c:v>
                </c:pt>
                <c:pt idx="37" formatCode="General">
                  <c:v>-53.31287291981846</c:v>
                </c:pt>
                <c:pt idx="38" formatCode="General">
                  <c:v>-53.609695915279879</c:v>
                </c:pt>
                <c:pt idx="39" formatCode="General">
                  <c:v>-53.906518910741298</c:v>
                </c:pt>
                <c:pt idx="40" formatCode="General">
                  <c:v>-54.203341906202724</c:v>
                </c:pt>
                <c:pt idx="41" formatCode="General">
                  <c:v>-54.500164901664142</c:v>
                </c:pt>
                <c:pt idx="42" formatCode="General">
                  <c:v>-54.796987897125568</c:v>
                </c:pt>
                <c:pt idx="43" formatCode="General">
                  <c:v>-55.093810892586987</c:v>
                </c:pt>
                <c:pt idx="44" formatCode="General">
                  <c:v>-55.388090909090906</c:v>
                </c:pt>
                <c:pt idx="45" formatCode="General">
                  <c:v>-55.679000000000002</c:v>
                </c:pt>
                <c:pt idx="46" formatCode="General">
                  <c:v>-55.969436363636362</c:v>
                </c:pt>
                <c:pt idx="47" formatCode="General">
                  <c:v>-56.259818181818183</c:v>
                </c:pt>
                <c:pt idx="48" formatCode="General">
                  <c:v>-56.550727272727272</c:v>
                </c:pt>
                <c:pt idx="49" formatCode="General">
                  <c:v>-56.834722891566265</c:v>
                </c:pt>
                <c:pt idx="50" formatCode="General">
                  <c:v>-57.11122891566265</c:v>
                </c:pt>
                <c:pt idx="51" formatCode="General">
                  <c:v>-57.389109090909095</c:v>
                </c:pt>
                <c:pt idx="52" formatCode="General">
                  <c:v>-57.667187878787885</c:v>
                </c:pt>
                <c:pt idx="53" formatCode="General">
                  <c:v>-57.944763636363639</c:v>
                </c:pt>
                <c:pt idx="54" formatCode="General">
                  <c:v>-58.222654545454546</c:v>
                </c:pt>
                <c:pt idx="55" formatCode="General">
                  <c:v>-58.500836363636367</c:v>
                </c:pt>
                <c:pt idx="56" formatCode="General">
                  <c:v>-58.778490909090905</c:v>
                </c:pt>
                <c:pt idx="57" formatCode="General">
                  <c:v>-59.053877458396364</c:v>
                </c:pt>
                <c:pt idx="58" formatCode="General">
                  <c:v>-59.321502269288956</c:v>
                </c:pt>
                <c:pt idx="59" formatCode="General">
                  <c:v>-59.589127080181541</c:v>
                </c:pt>
                <c:pt idx="60" formatCode="General">
                  <c:v>-59.856751891074126</c:v>
                </c:pt>
                <c:pt idx="61" formatCode="General">
                  <c:v>-60.124376701966717</c:v>
                </c:pt>
                <c:pt idx="62" formatCode="General">
                  <c:v>-60.392001512859302</c:v>
                </c:pt>
                <c:pt idx="63" formatCode="General">
                  <c:v>-60.659626323751887</c:v>
                </c:pt>
                <c:pt idx="64" formatCode="General">
                  <c:v>-60.925557575757573</c:v>
                </c:pt>
                <c:pt idx="65" formatCode="General">
                  <c:v>-61.190406060606058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4E43-435B-B057-21EAE1F9E5D7}"/>
            </c:ext>
          </c:extLst>
        </c:ser>
        <c:ser>
          <c:idx val="3"/>
          <c:order val="5"/>
          <c:tx>
            <c:strRef>
              <c:f>'Gibbs-EVAL'!$A$106</c:f>
              <c:strCache>
                <c:ptCount val="1"/>
                <c:pt idx="0">
                  <c:v>*GaSe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'Gibbs-EVAL'!$B$106:$BT$106</c:f>
              <c:numCache>
                <c:formatCode>0</c:formatCode>
                <c:ptCount val="71"/>
                <c:pt idx="0">
                  <c:v>-81.936848484848483</c:v>
                </c:pt>
                <c:pt idx="1">
                  <c:v>-79.557090909090917</c:v>
                </c:pt>
                <c:pt idx="2" formatCode="General">
                  <c:v>-77.338909090909098</c:v>
                </c:pt>
                <c:pt idx="3" formatCode="General">
                  <c:v>-75.293272727272736</c:v>
                </c:pt>
                <c:pt idx="4" formatCode="General">
                  <c:v>-73.308060606060607</c:v>
                </c:pt>
                <c:pt idx="5" formatCode="General">
                  <c:v>-71.283818181818177</c:v>
                </c:pt>
                <c:pt idx="6" formatCode="General">
                  <c:v>-69.319216867469876</c:v>
                </c:pt>
                <c:pt idx="7" formatCode="General">
                  <c:v>-67.433674698795187</c:v>
                </c:pt>
                <c:pt idx="8" formatCode="General">
                  <c:v>-65.665333333333336</c:v>
                </c:pt>
                <c:pt idx="9" formatCode="General">
                  <c:v>-63.948727272727275</c:v>
                </c:pt>
                <c:pt idx="10" formatCode="General">
                  <c:v>-62.354787878787882</c:v>
                </c:pt>
                <c:pt idx="11" formatCode="General">
                  <c:v>-60.894236006051436</c:v>
                </c:pt>
                <c:pt idx="12" formatCode="General">
                  <c:v>-59.584099848714068</c:v>
                </c:pt>
                <c:pt idx="13" formatCode="General">
                  <c:v>-58.2739636913767</c:v>
                </c:pt>
                <c:pt idx="14" formatCode="General">
                  <c:v>-56.963827534039332</c:v>
                </c:pt>
                <c:pt idx="15" formatCode="General">
                  <c:v>-55.653691376701964</c:v>
                </c:pt>
                <c:pt idx="16" formatCode="General">
                  <c:v>-54.343555219364596</c:v>
                </c:pt>
                <c:pt idx="17" formatCode="General">
                  <c:v>-53.033419062027228</c:v>
                </c:pt>
                <c:pt idx="18" formatCode="General">
                  <c:v>-51.917030303030302</c:v>
                </c:pt>
                <c:pt idx="19" formatCode="General">
                  <c:v>-50.844909090909091</c:v>
                </c:pt>
                <c:pt idx="20" formatCode="General">
                  <c:v>-49.820666666666668</c:v>
                </c:pt>
                <c:pt idx="21" formatCode="General">
                  <c:v>-48.837151515151518</c:v>
                </c:pt>
                <c:pt idx="22" formatCode="General">
                  <c:v>-47.885636363636358</c:v>
                </c:pt>
                <c:pt idx="23" formatCode="General">
                  <c:v>-46.994156626506019</c:v>
                </c:pt>
                <c:pt idx="24" formatCode="General">
                  <c:v>-46.119393939393937</c:v>
                </c:pt>
                <c:pt idx="25" formatCode="General">
                  <c:v>-45.276969696969694</c:v>
                </c:pt>
                <c:pt idx="26" formatCode="General">
                  <c:v>-44.463636363636361</c:v>
                </c:pt>
                <c:pt idx="27" formatCode="General">
                  <c:v>-43.669696969696965</c:v>
                </c:pt>
                <c:pt idx="28" formatCode="General">
                  <c:v>-42.921818181818182</c:v>
                </c:pt>
                <c:pt idx="29" formatCode="General">
                  <c:v>-42.205454545454543</c:v>
                </c:pt>
                <c:pt idx="30" formatCode="General">
                  <c:v>-41.556969696969695</c:v>
                </c:pt>
                <c:pt idx="31" formatCode="General">
                  <c:v>-41.032409638554213</c:v>
                </c:pt>
                <c:pt idx="32" formatCode="General">
                  <c:v>-40.574578313253014</c:v>
                </c:pt>
                <c:pt idx="33" formatCode="General">
                  <c:v>-40.138000000000005</c:v>
                </c:pt>
                <c:pt idx="34" formatCode="General">
                  <c:v>-39.711939393939396</c:v>
                </c:pt>
                <c:pt idx="35" formatCode="General">
                  <c:v>-39.30587878787879</c:v>
                </c:pt>
                <c:pt idx="36" formatCode="General">
                  <c:v>-38.912363636363636</c:v>
                </c:pt>
                <c:pt idx="37" formatCode="General">
                  <c:v>-38.526505295007567</c:v>
                </c:pt>
                <c:pt idx="38" formatCode="General">
                  <c:v>-38.189137670196672</c:v>
                </c:pt>
                <c:pt idx="39" formatCode="General">
                  <c:v>-37.851770045385777</c:v>
                </c:pt>
                <c:pt idx="40" formatCode="General">
                  <c:v>-37.514402420574889</c:v>
                </c:pt>
                <c:pt idx="41" formatCode="General">
                  <c:v>-37.177034795763994</c:v>
                </c:pt>
                <c:pt idx="42" formatCode="General">
                  <c:v>-36.839667170953106</c:v>
                </c:pt>
                <c:pt idx="43" formatCode="General">
                  <c:v>-36.502299546142211</c:v>
                </c:pt>
                <c:pt idx="44" formatCode="General">
                  <c:v>-36.182303030303032</c:v>
                </c:pt>
                <c:pt idx="45" formatCode="General">
                  <c:v>-35.885333333333335</c:v>
                </c:pt>
                <c:pt idx="46" formatCode="General">
                  <c:v>-35.600654545454546</c:v>
                </c:pt>
                <c:pt idx="47" formatCode="General">
                  <c:v>-35.321490909090912</c:v>
                </c:pt>
                <c:pt idx="48" formatCode="General">
                  <c:v>-35.056036363636366</c:v>
                </c:pt>
                <c:pt idx="49" formatCode="General">
                  <c:v>-34.795108433734939</c:v>
                </c:pt>
                <c:pt idx="50" formatCode="General">
                  <c:v>-34.539084337349401</c:v>
                </c:pt>
                <c:pt idx="51" formatCode="General">
                  <c:v>-34.300175757575758</c:v>
                </c:pt>
                <c:pt idx="52" formatCode="General">
                  <c:v>-34.135084848484851</c:v>
                </c:pt>
                <c:pt idx="53" formatCode="General">
                  <c:v>-34.312054545454544</c:v>
                </c:pt>
                <c:pt idx="54" formatCode="General">
                  <c:v>-34.489024242424243</c:v>
                </c:pt>
                <c:pt idx="55" formatCode="General">
                  <c:v>-34.665993939393942</c:v>
                </c:pt>
                <c:pt idx="56" formatCode="General">
                  <c:v>-34.844018181818178</c:v>
                </c:pt>
                <c:pt idx="57" formatCode="General">
                  <c:v>-35.021807866868379</c:v>
                </c:pt>
                <c:pt idx="58" formatCode="General">
                  <c:v>-35.198207261724662</c:v>
                </c:pt>
                <c:pt idx="59" formatCode="General">
                  <c:v>-35.374606656580937</c:v>
                </c:pt>
                <c:pt idx="60" formatCode="General">
                  <c:v>-35.551006051437213</c:v>
                </c:pt>
                <c:pt idx="61" formatCode="General">
                  <c:v>-35.727405446293496</c:v>
                </c:pt>
                <c:pt idx="62" formatCode="General">
                  <c:v>-35.903804841149771</c:v>
                </c:pt>
                <c:pt idx="63" formatCode="General">
                  <c:v>-36.080204236006054</c:v>
                </c:pt>
                <c:pt idx="64" formatCode="General">
                  <c:v>-36.258430303030302</c:v>
                </c:pt>
                <c:pt idx="65" formatCode="General">
                  <c:v>-36.437824242424242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43-435B-B057-21EAE1F9E5D7}"/>
            </c:ext>
          </c:extLst>
        </c:ser>
        <c:ser>
          <c:idx val="4"/>
          <c:order val="6"/>
          <c:tx>
            <c:strRef>
              <c:f>'Gibbs-EVAL'!$A$107</c:f>
              <c:strCache>
                <c:ptCount val="1"/>
                <c:pt idx="0">
                  <c:v>*Ge[l]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'Gibbs-EVAL'!$B$107:$BT$107</c:f>
              <c:numCache>
                <c:formatCode>0</c:formatCode>
                <c:ptCount val="71"/>
                <c:pt idx="0">
                  <c:v>-15.300424242424242</c:v>
                </c:pt>
                <c:pt idx="1">
                  <c:v>-14.974848484848485</c:v>
                </c:pt>
                <c:pt idx="2" formatCode="General">
                  <c:v>-14.671818181818182</c:v>
                </c:pt>
                <c:pt idx="3" formatCode="General">
                  <c:v>-14.399757575757576</c:v>
                </c:pt>
                <c:pt idx="4" formatCode="General">
                  <c:v>-14.105212121212121</c:v>
                </c:pt>
                <c:pt idx="5" formatCode="General">
                  <c:v>-13.420363636363636</c:v>
                </c:pt>
                <c:pt idx="6" formatCode="General">
                  <c:v>-12.711385542168674</c:v>
                </c:pt>
                <c:pt idx="7" formatCode="General">
                  <c:v>-11.970421686746988</c:v>
                </c:pt>
                <c:pt idx="8" formatCode="General">
                  <c:v>-11.272666666666668</c:v>
                </c:pt>
                <c:pt idx="9" formatCode="General">
                  <c:v>-10.593127272727273</c:v>
                </c:pt>
                <c:pt idx="10" formatCode="General">
                  <c:v>-9.9525212121212121</c:v>
                </c:pt>
                <c:pt idx="11" formatCode="General">
                  <c:v>-9.3588018154311658</c:v>
                </c:pt>
                <c:pt idx="12" formatCode="General">
                  <c:v>-8.8179546142208771</c:v>
                </c:pt>
                <c:pt idx="13" formatCode="General">
                  <c:v>-8.2771074130105902</c:v>
                </c:pt>
                <c:pt idx="14" formatCode="General">
                  <c:v>-7.7362602118003023</c:v>
                </c:pt>
                <c:pt idx="15" formatCode="General">
                  <c:v>-7.1954130105900145</c:v>
                </c:pt>
                <c:pt idx="16" formatCode="General">
                  <c:v>-6.6545658093797275</c:v>
                </c:pt>
                <c:pt idx="17" formatCode="General">
                  <c:v>-6.1137186081694388</c:v>
                </c:pt>
                <c:pt idx="18" formatCode="General">
                  <c:v>-5.6392727272727265</c:v>
                </c:pt>
                <c:pt idx="19" formatCode="General">
                  <c:v>-5.1809818181818166</c:v>
                </c:pt>
                <c:pt idx="20" formatCode="General">
                  <c:v>-4.742799999999999</c:v>
                </c:pt>
                <c:pt idx="21" formatCode="General">
                  <c:v>-4.4023636363636358</c:v>
                </c:pt>
                <c:pt idx="22" formatCode="General">
                  <c:v>-4.1387272727272721</c:v>
                </c:pt>
                <c:pt idx="23" formatCode="General">
                  <c:v>-4.1369277108433735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4E43-435B-B057-21EAE1F9E5D7}"/>
            </c:ext>
          </c:extLst>
        </c:ser>
        <c:ser>
          <c:idx val="5"/>
          <c:order val="7"/>
          <c:tx>
            <c:strRef>
              <c:f>'Gibbs-EVAL'!$A$108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'Gibbs-EVAL'!$B$108:$BT$108</c:f>
              <c:numCache>
                <c:formatCode>0</c:formatCode>
                <c:ptCount val="71"/>
                <c:pt idx="0">
                  <c:v>-37.092424242424244</c:v>
                </c:pt>
                <c:pt idx="1">
                  <c:v>-36.192181818181822</c:v>
                </c:pt>
                <c:pt idx="2" formatCode="General">
                  <c:v>-35.355818181818179</c:v>
                </c:pt>
                <c:pt idx="3" formatCode="General">
                  <c:v>-34.594666666666662</c:v>
                </c:pt>
                <c:pt idx="4" formatCode="General">
                  <c:v>-33.867151515151519</c:v>
                </c:pt>
                <c:pt idx="5" formatCode="General">
                  <c:v>-33.206545454545456</c:v>
                </c:pt>
                <c:pt idx="6" formatCode="General">
                  <c:v>-32.573554216867471</c:v>
                </c:pt>
                <c:pt idx="7" formatCode="General">
                  <c:v>-31.977168674698795</c:v>
                </c:pt>
                <c:pt idx="8" formatCode="General">
                  <c:v>-31.424666666666667</c:v>
                </c:pt>
                <c:pt idx="9" formatCode="General">
                  <c:v>-30.891309090909093</c:v>
                </c:pt>
                <c:pt idx="10" formatCode="General">
                  <c:v>-30.402218181818185</c:v>
                </c:pt>
                <c:pt idx="11" formatCode="General">
                  <c:v>-29.959906202723147</c:v>
                </c:pt>
                <c:pt idx="12" formatCode="General">
                  <c:v>-29.570344931921333</c:v>
                </c:pt>
                <c:pt idx="13" formatCode="General">
                  <c:v>-29.180783661119516</c:v>
                </c:pt>
                <c:pt idx="14" formatCode="General">
                  <c:v>-28.791222390317703</c:v>
                </c:pt>
                <c:pt idx="15" formatCode="General">
                  <c:v>-28.401661119515886</c:v>
                </c:pt>
                <c:pt idx="16" formatCode="General">
                  <c:v>-28.012099848714069</c:v>
                </c:pt>
                <c:pt idx="17" formatCode="General">
                  <c:v>-27.622538577912255</c:v>
                </c:pt>
                <c:pt idx="18" formatCode="General">
                  <c:v>-27.299575757575759</c:v>
                </c:pt>
                <c:pt idx="19" formatCode="General">
                  <c:v>-26.991527272727271</c:v>
                </c:pt>
                <c:pt idx="20" formatCode="General">
                  <c:v>-26.698799999999999</c:v>
                </c:pt>
                <c:pt idx="21" formatCode="General">
                  <c:v>-26.50721212121212</c:v>
                </c:pt>
                <c:pt idx="22" formatCode="General">
                  <c:v>-26.395090909090907</c:v>
                </c:pt>
                <c:pt idx="23" formatCode="General">
                  <c:v>-26.543975903614456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-27.907030120481927</c:v>
                </c:pt>
                <c:pt idx="32" formatCode="General">
                  <c:v>-28.076307228915663</c:v>
                </c:pt>
                <c:pt idx="33" formatCode="General">
                  <c:v>-28.240600000000001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4E43-435B-B057-21EAE1F9E5D7}"/>
            </c:ext>
          </c:extLst>
        </c:ser>
        <c:ser>
          <c:idx val="6"/>
          <c:order val="8"/>
          <c:tx>
            <c:strRef>
              <c:f>'Gibbs-EVAL'!$A$109</c:f>
              <c:strCache>
                <c:ptCount val="1"/>
                <c:pt idx="0">
                  <c:v>Ga2Se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'Gibbs-EVAL'!$B$109:$BT$109</c:f>
              <c:numCache>
                <c:formatCode>0</c:formatCode>
                <c:ptCount val="71"/>
                <c:pt idx="0">
                  <c:v>-142.08169696969696</c:v>
                </c:pt>
                <c:pt idx="1">
                  <c:v>-137.89684848484848</c:v>
                </c:pt>
                <c:pt idx="2" formatCode="General">
                  <c:v>-133.99381818181817</c:v>
                </c:pt>
                <c:pt idx="3" formatCode="General">
                  <c:v>-130.39163636363637</c:v>
                </c:pt>
                <c:pt idx="4" formatCode="General">
                  <c:v>-126.85418181818181</c:v>
                </c:pt>
                <c:pt idx="5" formatCode="General">
                  <c:v>-122.78145454545454</c:v>
                </c:pt>
                <c:pt idx="6" formatCode="General">
                  <c:v>-118.77626506024096</c:v>
                </c:pt>
                <c:pt idx="7" formatCode="General">
                  <c:v>-114.86060240963856</c:v>
                </c:pt>
                <c:pt idx="8" formatCode="General">
                  <c:v>-111.17866666666667</c:v>
                </c:pt>
                <c:pt idx="9" formatCode="General">
                  <c:v>-107.59927272727273</c:v>
                </c:pt>
                <c:pt idx="10" formatCode="General">
                  <c:v>-104.25987878787879</c:v>
                </c:pt>
                <c:pt idx="11" formatCode="General">
                  <c:v>-101.18736762481089</c:v>
                </c:pt>
                <c:pt idx="12" formatCode="General">
                  <c:v>-98.415809379727676</c:v>
                </c:pt>
                <c:pt idx="13" formatCode="General">
                  <c:v>-95.644251134644477</c:v>
                </c:pt>
                <c:pt idx="14" formatCode="General">
                  <c:v>-92.872692889561264</c:v>
                </c:pt>
                <c:pt idx="15" formatCode="General">
                  <c:v>-90.101134644478066</c:v>
                </c:pt>
                <c:pt idx="16" formatCode="General">
                  <c:v>-87.329576399394853</c:v>
                </c:pt>
                <c:pt idx="17" formatCode="General">
                  <c:v>-84.55801815431164</c:v>
                </c:pt>
                <c:pt idx="18" formatCode="General">
                  <c:v>-82.173757575757577</c:v>
                </c:pt>
                <c:pt idx="19" formatCode="General">
                  <c:v>-79.879272727272721</c:v>
                </c:pt>
                <c:pt idx="20" formatCode="General">
                  <c:v>-77.685333333333332</c:v>
                </c:pt>
                <c:pt idx="21" formatCode="General">
                  <c:v>-75.569454545454533</c:v>
                </c:pt>
                <c:pt idx="22" formatCode="General">
                  <c:v>-73.514909090909086</c:v>
                </c:pt>
                <c:pt idx="23" formatCode="General">
                  <c:v>-71.581265060240966</c:v>
                </c:pt>
                <c:pt idx="24" formatCode="General">
                  <c:v>-69.682424242424247</c:v>
                </c:pt>
                <c:pt idx="25" formatCode="General">
                  <c:v>-67.852121212121219</c:v>
                </c:pt>
                <c:pt idx="26" formatCode="General">
                  <c:v>-66.08</c:v>
                </c:pt>
                <c:pt idx="27" formatCode="General">
                  <c:v>-64.346666666666664</c:v>
                </c:pt>
                <c:pt idx="28" formatCode="General">
                  <c:v>-62.705454545454543</c:v>
                </c:pt>
                <c:pt idx="29" formatCode="General">
                  <c:v>-61.127272727272732</c:v>
                </c:pt>
                <c:pt idx="30" formatCode="General">
                  <c:v>-59.684848484848487</c:v>
                </c:pt>
                <c:pt idx="31" formatCode="General">
                  <c:v>-58.490843373493981</c:v>
                </c:pt>
                <c:pt idx="32" formatCode="General">
                  <c:v>-57.43060240963856</c:v>
                </c:pt>
                <c:pt idx="33" formatCode="General">
                  <c:v>-56.418000000000006</c:v>
                </c:pt>
                <c:pt idx="34" formatCode="General">
                  <c:v>-55.426484848484847</c:v>
                </c:pt>
                <c:pt idx="35" formatCode="General">
                  <c:v>-54.474969696969701</c:v>
                </c:pt>
                <c:pt idx="36" formatCode="General">
                  <c:v>-53.548545454545454</c:v>
                </c:pt>
                <c:pt idx="37" formatCode="General">
                  <c:v>-52.637564296520431</c:v>
                </c:pt>
                <c:pt idx="38" formatCode="General">
                  <c:v>-51.82667170953102</c:v>
                </c:pt>
                <c:pt idx="39" formatCode="General">
                  <c:v>-51.015779122541609</c:v>
                </c:pt>
                <c:pt idx="40" formatCode="General">
                  <c:v>-50.204886535552198</c:v>
                </c:pt>
                <c:pt idx="41" formatCode="General">
                  <c:v>-49.393993948562787</c:v>
                </c:pt>
                <c:pt idx="42" formatCode="General">
                  <c:v>-48.583101361573377</c:v>
                </c:pt>
                <c:pt idx="43" formatCode="General">
                  <c:v>-47.772208774583973</c:v>
                </c:pt>
                <c:pt idx="44" formatCode="General">
                  <c:v>-46.99727272727273</c:v>
                </c:pt>
                <c:pt idx="45" formatCode="General">
                  <c:v>-46.27</c:v>
                </c:pt>
                <c:pt idx="46" formatCode="General">
                  <c:v>-45.567309090909099</c:v>
                </c:pt>
                <c:pt idx="47" formatCode="General">
                  <c:v>-44.87564848484849</c:v>
                </c:pt>
                <c:pt idx="48" formatCode="General">
                  <c:v>-44.211406060606066</c:v>
                </c:pt>
                <c:pt idx="49" formatCode="General">
                  <c:v>-43.559493975903614</c:v>
                </c:pt>
                <c:pt idx="50" formatCode="General">
                  <c:v>-42.920939759036138</c:v>
                </c:pt>
                <c:pt idx="51" formatCode="General">
                  <c:v>-42.315987878787872</c:v>
                </c:pt>
                <c:pt idx="52" formatCode="General">
                  <c:v>-41.858533333333334</c:v>
                </c:pt>
                <c:pt idx="53" formatCode="General">
                  <c:v>-42.0852</c:v>
                </c:pt>
                <c:pt idx="54" formatCode="General">
                  <c:v>-42.311866666666667</c:v>
                </c:pt>
                <c:pt idx="55" formatCode="General">
                  <c:v>-42.538533333333334</c:v>
                </c:pt>
                <c:pt idx="56" formatCode="General">
                  <c:v>-42.767309090909087</c:v>
                </c:pt>
                <c:pt idx="57" formatCode="General">
                  <c:v>-42.996656580937973</c:v>
                </c:pt>
                <c:pt idx="58" formatCode="General">
                  <c:v>-43.226913767019667</c:v>
                </c:pt>
                <c:pt idx="59" formatCode="General">
                  <c:v>-43.457170953101361</c:v>
                </c:pt>
                <c:pt idx="60" formatCode="General">
                  <c:v>-43.687428139183055</c:v>
                </c:pt>
                <c:pt idx="61" formatCode="General">
                  <c:v>-43.917685325264756</c:v>
                </c:pt>
                <c:pt idx="62" formatCode="General">
                  <c:v>-44.14794251134645</c:v>
                </c:pt>
                <c:pt idx="63" formatCode="General">
                  <c:v>-44.378199697428144</c:v>
                </c:pt>
                <c:pt idx="64" formatCode="General">
                  <c:v>-44.612921212121215</c:v>
                </c:pt>
                <c:pt idx="65" formatCode="General">
                  <c:v>-44.85049696969697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4E43-435B-B057-21EAE1F9E5D7}"/>
            </c:ext>
          </c:extLst>
        </c:ser>
        <c:ser>
          <c:idx val="7"/>
          <c:order val="9"/>
          <c:tx>
            <c:strRef>
              <c:f>'Gibbs-EVAL'!$A$110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-18.630969696969697</c:v>
                </c:pt>
                <c:pt idx="5" formatCode="General">
                  <c:v>-18.643090909090908</c:v>
                </c:pt>
                <c:pt idx="6" formatCode="General">
                  <c:v>-18.655180722891565</c:v>
                </c:pt>
                <c:pt idx="7" formatCode="General">
                  <c:v>-18.667228915662651</c:v>
                </c:pt>
                <c:pt idx="8" formatCode="General">
                  <c:v>-18.679333333333336</c:v>
                </c:pt>
                <c:pt idx="9" formatCode="General">
                  <c:v>-18.692181818181819</c:v>
                </c:pt>
                <c:pt idx="10" formatCode="General">
                  <c:v>-18.710363636363635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-18.855636363636364</c:v>
                </c:pt>
                <c:pt idx="19" formatCode="General">
                  <c:v>-18.873818181818184</c:v>
                </c:pt>
                <c:pt idx="20" formatCode="General">
                  <c:v>-18.891999999999999</c:v>
                </c:pt>
                <c:pt idx="21" formatCode="General">
                  <c:v>-18.913575757575757</c:v>
                </c:pt>
                <c:pt idx="22" formatCode="General">
                  <c:v>-18.937818181818184</c:v>
                </c:pt>
                <c:pt idx="23" formatCode="General">
                  <c:v>-18.95644578313253</c:v>
                </c:pt>
                <c:pt idx="24" formatCode="General">
                  <c:v>-18.976060606060607</c:v>
                </c:pt>
                <c:pt idx="25" formatCode="General">
                  <c:v>-19.00030303030303</c:v>
                </c:pt>
                <c:pt idx="26" formatCode="General">
                  <c:v>-19.020909090909093</c:v>
                </c:pt>
                <c:pt idx="27" formatCode="General">
                  <c:v>-19.039090909090909</c:v>
                </c:pt>
                <c:pt idx="28" formatCode="General">
                  <c:v>-19.057272727272728</c:v>
                </c:pt>
                <c:pt idx="29" formatCode="General">
                  <c:v>-19.077272727272728</c:v>
                </c:pt>
                <c:pt idx="30" formatCode="General">
                  <c:v>-19.101515151515152</c:v>
                </c:pt>
                <c:pt idx="31" formatCode="General">
                  <c:v>-19.121746987951806</c:v>
                </c:pt>
                <c:pt idx="32" formatCode="General">
                  <c:v>-19.139819277108433</c:v>
                </c:pt>
                <c:pt idx="33" formatCode="General">
                  <c:v>-19.164000000000001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4E43-435B-B057-21EAE1F9E5D7}"/>
            </c:ext>
          </c:extLst>
        </c:ser>
        <c:ser>
          <c:idx val="8"/>
          <c:order val="10"/>
          <c:tx>
            <c:strRef>
              <c:f>'Gibbs-EVAL'!$A$111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-60.144848484848481</c:v>
                </c:pt>
                <c:pt idx="1">
                  <c:v>-58.339757575757574</c:v>
                </c:pt>
                <c:pt idx="2" formatCode="General">
                  <c:v>-56.654909090909094</c:v>
                </c:pt>
                <c:pt idx="3" formatCode="General">
                  <c:v>-55.098363636363636</c:v>
                </c:pt>
                <c:pt idx="4" formatCode="General">
                  <c:v>-53.546121212121207</c:v>
                </c:pt>
                <c:pt idx="5" formatCode="General">
                  <c:v>-51.49763636363636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4E43-435B-B057-21EAE1F9E5D7}"/>
            </c:ext>
          </c:extLst>
        </c:ser>
        <c:ser>
          <c:idx val="9"/>
          <c:order val="11"/>
          <c:tx>
            <c:strRef>
              <c:f>'Gibbs-EVAL'!$A$112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-37.092424242424244</c:v>
                </c:pt>
                <c:pt idx="1">
                  <c:v>-36.192181818181822</c:v>
                </c:pt>
                <c:pt idx="2" formatCode="General">
                  <c:v>-35.355818181818179</c:v>
                </c:pt>
                <c:pt idx="3" formatCode="General">
                  <c:v>-34.594666666666662</c:v>
                </c:pt>
                <c:pt idx="4" formatCode="General">
                  <c:v>-33.867151515151519</c:v>
                </c:pt>
                <c:pt idx="5" formatCode="General">
                  <c:v>-33.206545454545456</c:v>
                </c:pt>
                <c:pt idx="6" formatCode="General">
                  <c:v>-32.573554216867471</c:v>
                </c:pt>
                <c:pt idx="7" formatCode="General">
                  <c:v>-31.977168674698795</c:v>
                </c:pt>
                <c:pt idx="8" formatCode="General">
                  <c:v>-31.424666666666667</c:v>
                </c:pt>
                <c:pt idx="9" formatCode="General">
                  <c:v>-30.891309090909093</c:v>
                </c:pt>
                <c:pt idx="10" formatCode="General">
                  <c:v>-30.402218181818185</c:v>
                </c:pt>
                <c:pt idx="11" formatCode="General">
                  <c:v>-29.959906202723147</c:v>
                </c:pt>
                <c:pt idx="12" formatCode="General">
                  <c:v>-29.570344931921333</c:v>
                </c:pt>
                <c:pt idx="13" formatCode="General">
                  <c:v>-29.180783661119516</c:v>
                </c:pt>
                <c:pt idx="14" formatCode="General">
                  <c:v>-28.791222390317703</c:v>
                </c:pt>
                <c:pt idx="15" formatCode="General">
                  <c:v>-28.401661119515886</c:v>
                </c:pt>
                <c:pt idx="16" formatCode="General">
                  <c:v>-28.012099848714069</c:v>
                </c:pt>
                <c:pt idx="17" formatCode="General">
                  <c:v>-27.622538577912255</c:v>
                </c:pt>
                <c:pt idx="18" formatCode="General">
                  <c:v>-27.299575757575759</c:v>
                </c:pt>
                <c:pt idx="19" formatCode="General">
                  <c:v>-26.991527272727271</c:v>
                </c:pt>
                <c:pt idx="20" formatCode="General">
                  <c:v>-26.698799999999999</c:v>
                </c:pt>
                <c:pt idx="21" formatCode="General">
                  <c:v>-26.50721212121212</c:v>
                </c:pt>
                <c:pt idx="22" formatCode="General">
                  <c:v>-26.395090909090907</c:v>
                </c:pt>
                <c:pt idx="23" formatCode="General">
                  <c:v>-26.543975903614456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-27.907030120481927</c:v>
                </c:pt>
                <c:pt idx="32" formatCode="General">
                  <c:v>-28.076307228915663</c:v>
                </c:pt>
                <c:pt idx="33" formatCode="General">
                  <c:v>-28.240600000000001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4E43-435B-B057-21EAE1F9E5D7}"/>
            </c:ext>
          </c:extLst>
        </c:ser>
        <c:ser>
          <c:idx val="10"/>
          <c:order val="12"/>
          <c:tx>
            <c:strRef>
              <c:f>'Gibbs-EVAL'!$A$113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'Gibbs-EVAL'!$B$113:$BT$113</c:f>
              <c:numCache>
                <c:formatCode>0</c:formatCode>
                <c:ptCount val="71"/>
                <c:pt idx="0">
                  <c:v>-15.300424242424242</c:v>
                </c:pt>
                <c:pt idx="1">
                  <c:v>-14.974848484848485</c:v>
                </c:pt>
                <c:pt idx="2" formatCode="General">
                  <c:v>-14.671818181818182</c:v>
                </c:pt>
                <c:pt idx="3" formatCode="General">
                  <c:v>-14.399757575757576</c:v>
                </c:pt>
                <c:pt idx="4" formatCode="General">
                  <c:v>-14.105212121212121</c:v>
                </c:pt>
                <c:pt idx="5" formatCode="General">
                  <c:v>-13.420363636363636</c:v>
                </c:pt>
                <c:pt idx="6" formatCode="General">
                  <c:v>-12.711385542168674</c:v>
                </c:pt>
                <c:pt idx="7" formatCode="General">
                  <c:v>-11.970421686746988</c:v>
                </c:pt>
                <c:pt idx="8" formatCode="General">
                  <c:v>-11.272666666666668</c:v>
                </c:pt>
                <c:pt idx="9" formatCode="General">
                  <c:v>-10.593127272727273</c:v>
                </c:pt>
                <c:pt idx="10" formatCode="General">
                  <c:v>-9.9525212121212121</c:v>
                </c:pt>
                <c:pt idx="11" formatCode="General">
                  <c:v>-9.3588018154311658</c:v>
                </c:pt>
                <c:pt idx="12" formatCode="General">
                  <c:v>-8.8179546142208771</c:v>
                </c:pt>
                <c:pt idx="13" formatCode="General">
                  <c:v>-8.2771074130105902</c:v>
                </c:pt>
                <c:pt idx="14" formatCode="General">
                  <c:v>-7.7362602118003023</c:v>
                </c:pt>
                <c:pt idx="15" formatCode="General">
                  <c:v>-7.1954130105900145</c:v>
                </c:pt>
                <c:pt idx="16" formatCode="General">
                  <c:v>-6.6545658093797275</c:v>
                </c:pt>
                <c:pt idx="17" formatCode="General">
                  <c:v>-6.1137186081694388</c:v>
                </c:pt>
                <c:pt idx="18" formatCode="General">
                  <c:v>-5.6392727272727265</c:v>
                </c:pt>
                <c:pt idx="19" formatCode="General">
                  <c:v>-5.1809818181818166</c:v>
                </c:pt>
                <c:pt idx="20" formatCode="General">
                  <c:v>-4.742799999999999</c:v>
                </c:pt>
                <c:pt idx="21" formatCode="General">
                  <c:v>-4.4023636363636358</c:v>
                </c:pt>
                <c:pt idx="22" formatCode="General">
                  <c:v>-4.1387272727272721</c:v>
                </c:pt>
                <c:pt idx="23" formatCode="General">
                  <c:v>-4.1369277108433735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4E43-435B-B057-21EAE1F9E5D7}"/>
            </c:ext>
          </c:extLst>
        </c:ser>
        <c:ser>
          <c:idx val="11"/>
          <c:order val="13"/>
          <c:tx>
            <c:strRef>
              <c:f>'Gibbs-EVAL'!$A$114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'Gibbs-EVAL'!$B$114:$BT$114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-18.630969696969697</c:v>
                </c:pt>
                <c:pt idx="5" formatCode="General">
                  <c:v>-18.643090909090908</c:v>
                </c:pt>
                <c:pt idx="6" formatCode="General">
                  <c:v>-18.655180722891565</c:v>
                </c:pt>
                <c:pt idx="7" formatCode="General">
                  <c:v>-18.667228915662651</c:v>
                </c:pt>
                <c:pt idx="8" formatCode="General">
                  <c:v>-18.679333333333336</c:v>
                </c:pt>
                <c:pt idx="9" formatCode="General">
                  <c:v>-18.692181818181819</c:v>
                </c:pt>
                <c:pt idx="10" formatCode="General">
                  <c:v>-18.710363636363635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-18.855636363636364</c:v>
                </c:pt>
                <c:pt idx="19" formatCode="General">
                  <c:v>-18.873818181818184</c:v>
                </c:pt>
                <c:pt idx="20" formatCode="General">
                  <c:v>-18.891999999999999</c:v>
                </c:pt>
                <c:pt idx="21" formatCode="General">
                  <c:v>-18.913575757575757</c:v>
                </c:pt>
                <c:pt idx="22" formatCode="General">
                  <c:v>-18.937818181818184</c:v>
                </c:pt>
                <c:pt idx="23" formatCode="General">
                  <c:v>-18.95644578313253</c:v>
                </c:pt>
                <c:pt idx="24" formatCode="General">
                  <c:v>-18.976060606060607</c:v>
                </c:pt>
                <c:pt idx="25" formatCode="General">
                  <c:v>-19.00030303030303</c:v>
                </c:pt>
                <c:pt idx="26" formatCode="General">
                  <c:v>-19.020909090909093</c:v>
                </c:pt>
                <c:pt idx="27" formatCode="General">
                  <c:v>-19.039090909090909</c:v>
                </c:pt>
                <c:pt idx="28" formatCode="General">
                  <c:v>-19.057272727272728</c:v>
                </c:pt>
                <c:pt idx="29" formatCode="General">
                  <c:v>-19.077272727272728</c:v>
                </c:pt>
                <c:pt idx="30" formatCode="General">
                  <c:v>-19.101515151515152</c:v>
                </c:pt>
                <c:pt idx="31" formatCode="General">
                  <c:v>-19.121746987951806</c:v>
                </c:pt>
                <c:pt idx="32" formatCode="General">
                  <c:v>-19.139819277108433</c:v>
                </c:pt>
                <c:pt idx="33" formatCode="General">
                  <c:v>-19.164000000000001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4E43-435B-B057-21EAE1F9E5D7}"/>
            </c:ext>
          </c:extLst>
        </c:ser>
        <c:ser>
          <c:idx val="12"/>
          <c:order val="14"/>
          <c:tx>
            <c:strRef>
              <c:f>'Gibbs-EVAL'!$A$115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'Gibbs-EVAL'!$B$115:$BT$115</c:f>
              <c:numCache>
                <c:formatCode>0</c:formatCode>
                <c:ptCount val="71"/>
                <c:pt idx="0">
                  <c:v>-60.144848484848481</c:v>
                </c:pt>
                <c:pt idx="1">
                  <c:v>-58.339757575757574</c:v>
                </c:pt>
                <c:pt idx="2" formatCode="General">
                  <c:v>-56.654909090909094</c:v>
                </c:pt>
                <c:pt idx="3" formatCode="General">
                  <c:v>-55.098363636363636</c:v>
                </c:pt>
                <c:pt idx="4" formatCode="General">
                  <c:v>-53.546121212121207</c:v>
                </c:pt>
                <c:pt idx="5" formatCode="General">
                  <c:v>-51.49763636363636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4E43-435B-B057-21EAE1F9E5D7}"/>
            </c:ext>
          </c:extLst>
        </c:ser>
        <c:ser>
          <c:idx val="13"/>
          <c:order val="15"/>
          <c:tx>
            <c:strRef>
              <c:f>'Gibbs-EVAL'!$A$116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'Gibbs-EVAL'!$B$116:$BT$116</c:f>
              <c:numCache>
                <c:formatCode>0</c:formatCode>
                <c:ptCount val="71"/>
                <c:pt idx="0">
                  <c:v>-15.300424242424242</c:v>
                </c:pt>
                <c:pt idx="1">
                  <c:v>-14.974848484848485</c:v>
                </c:pt>
                <c:pt idx="2" formatCode="General">
                  <c:v>-14.671818181818182</c:v>
                </c:pt>
                <c:pt idx="3" formatCode="General">
                  <c:v>-14.399757575757576</c:v>
                </c:pt>
                <c:pt idx="4" formatCode="General">
                  <c:v>-14.105212121212121</c:v>
                </c:pt>
                <c:pt idx="5" formatCode="General">
                  <c:v>-13.420363636363636</c:v>
                </c:pt>
                <c:pt idx="6" formatCode="General">
                  <c:v>-12.711385542168674</c:v>
                </c:pt>
                <c:pt idx="7" formatCode="General">
                  <c:v>-11.970421686746988</c:v>
                </c:pt>
                <c:pt idx="8" formatCode="General">
                  <c:v>-11.272666666666668</c:v>
                </c:pt>
                <c:pt idx="9" formatCode="General">
                  <c:v>-10.593127272727273</c:v>
                </c:pt>
                <c:pt idx="10" formatCode="General">
                  <c:v>-9.9525212121212121</c:v>
                </c:pt>
                <c:pt idx="11" formatCode="General">
                  <c:v>-9.3588018154311658</c:v>
                </c:pt>
                <c:pt idx="12" formatCode="General">
                  <c:v>-8.8179546142208771</c:v>
                </c:pt>
                <c:pt idx="13" formatCode="General">
                  <c:v>-8.2771074130105902</c:v>
                </c:pt>
                <c:pt idx="14" formatCode="General">
                  <c:v>-7.7362602118003023</c:v>
                </c:pt>
                <c:pt idx="15" formatCode="General">
                  <c:v>-7.1954130105900145</c:v>
                </c:pt>
                <c:pt idx="16" formatCode="General">
                  <c:v>-6.6545658093797275</c:v>
                </c:pt>
                <c:pt idx="17" formatCode="General">
                  <c:v>-6.1137186081694388</c:v>
                </c:pt>
                <c:pt idx="18" formatCode="General">
                  <c:v>-5.6392727272727265</c:v>
                </c:pt>
                <c:pt idx="19" formatCode="General">
                  <c:v>-5.1809818181818166</c:v>
                </c:pt>
                <c:pt idx="20" formatCode="General">
                  <c:v>-4.742799999999999</c:v>
                </c:pt>
                <c:pt idx="21" formatCode="General">
                  <c:v>-4.4023636363636358</c:v>
                </c:pt>
                <c:pt idx="22" formatCode="General">
                  <c:v>-4.1387272727272721</c:v>
                </c:pt>
                <c:pt idx="23" formatCode="General">
                  <c:v>-4.1369277108433735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4E43-435B-B057-21EAE1F9E5D7}"/>
            </c:ext>
          </c:extLst>
        </c:ser>
        <c:ser>
          <c:idx val="14"/>
          <c:order val="16"/>
          <c:tx>
            <c:strRef>
              <c:f>'Gibbs-EVAL'!$A$117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'Gibbs-EVAL'!$B$117:$BT$117</c:f>
              <c:numCache>
                <c:formatCode>0</c:formatCode>
                <c:ptCount val="71"/>
                <c:pt idx="0">
                  <c:v>-21.792000000000002</c:v>
                </c:pt>
                <c:pt idx="1">
                  <c:v>-21.217333333333332</c:v>
                </c:pt>
                <c:pt idx="2" formatCode="General">
                  <c:v>-20.683999999999997</c:v>
                </c:pt>
                <c:pt idx="3" formatCode="General">
                  <c:v>-20.194909090909089</c:v>
                </c:pt>
                <c:pt idx="4" formatCode="General">
                  <c:v>-19.761939393939397</c:v>
                </c:pt>
                <c:pt idx="5" formatCode="General">
                  <c:v>-19.78618181818182</c:v>
                </c:pt>
                <c:pt idx="6" formatCode="General">
                  <c:v>-19.862168674698797</c:v>
                </c:pt>
                <c:pt idx="7" formatCode="General">
                  <c:v>-20.006746987951807</c:v>
                </c:pt>
                <c:pt idx="8" formatCode="General">
                  <c:v>-20.152000000000001</c:v>
                </c:pt>
                <c:pt idx="9" formatCode="General">
                  <c:v>-20.298181818181821</c:v>
                </c:pt>
                <c:pt idx="10" formatCode="General">
                  <c:v>-20.449696969696969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-23.573975903614457</c:v>
                </c:pt>
                <c:pt idx="32" formatCode="General">
                  <c:v>-23.718554216867467</c:v>
                </c:pt>
                <c:pt idx="33" formatCode="General">
                  <c:v>-23.858000000000001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4E43-435B-B057-21EAE1F9E5D7}"/>
            </c:ext>
          </c:extLst>
        </c:ser>
        <c:ser>
          <c:idx val="15"/>
          <c:order val="17"/>
          <c:tx>
            <c:strRef>
              <c:f>'Gibbs-EVAL'!$A$118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4E43-435B-B057-21EAE1F9E5D7}"/>
            </c:ext>
          </c:extLst>
        </c:ser>
        <c:ser>
          <c:idx val="16"/>
          <c:order val="18"/>
          <c:tx>
            <c:strRef>
              <c:f>'Gibbs-EVAL'!$A$119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4E43-435B-B057-21EAE1F9E5D7}"/>
            </c:ext>
          </c:extLst>
        </c:ser>
        <c:ser>
          <c:idx val="17"/>
          <c:order val="19"/>
          <c:tx>
            <c:strRef>
              <c:f>'Gibbs-EVAL'!$A$120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4E43-435B-B057-21EAE1F9E5D7}"/>
            </c:ext>
          </c:extLst>
        </c:ser>
        <c:ser>
          <c:idx val="18"/>
          <c:order val="20"/>
          <c:tx>
            <c:strRef>
              <c:f>'Gibbs-EVAL'!$A$121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4E43-435B-B057-21EAE1F9E5D7}"/>
            </c:ext>
          </c:extLst>
        </c:ser>
        <c:ser>
          <c:idx val="19"/>
          <c:order val="21"/>
          <c:tx>
            <c:strRef>
              <c:f>'Gibbs-EVAL'!$A$122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4E43-435B-B057-21EAE1F9E5D7}"/>
            </c:ext>
          </c:extLst>
        </c:ser>
        <c:ser>
          <c:idx val="20"/>
          <c:order val="22"/>
          <c:tx>
            <c:strRef>
              <c:f>'Gibbs-EVAL'!$A$123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4E43-435B-B057-21EAE1F9E5D7}"/>
            </c:ext>
          </c:extLst>
        </c:ser>
        <c:ser>
          <c:idx val="21"/>
          <c:order val="23"/>
          <c:tx>
            <c:strRef>
              <c:f>'Gibbs-EVAL'!$A$124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4E43-435B-B057-21EAE1F9E5D7}"/>
            </c:ext>
          </c:extLst>
        </c:ser>
        <c:ser>
          <c:idx val="22"/>
          <c:order val="24"/>
          <c:tx>
            <c:strRef>
              <c:f>'Gibbs-EVAL'!$A$125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4E43-435B-B057-21EAE1F9E5D7}"/>
            </c:ext>
          </c:extLst>
        </c:ser>
        <c:ser>
          <c:idx val="23"/>
          <c:order val="25"/>
          <c:tx>
            <c:strRef>
              <c:f>'Gibbs-EVAL'!$A$126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4E43-435B-B057-21EAE1F9E5D7}"/>
            </c:ext>
          </c:extLst>
        </c:ser>
        <c:ser>
          <c:idx val="24"/>
          <c:order val="26"/>
          <c:tx>
            <c:strRef>
              <c:f>'Gibbs-EVAL'!$A$127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4E43-435B-B057-21EAE1F9E5D7}"/>
            </c:ext>
          </c:extLst>
        </c:ser>
        <c:ser>
          <c:idx val="25"/>
          <c:order val="27"/>
          <c:tx>
            <c:strRef>
              <c:f>'Gibbs-EVAL'!$A$128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4E43-435B-B057-21EAE1F9E5D7}"/>
            </c:ext>
          </c:extLst>
        </c:ser>
        <c:ser>
          <c:idx val="26"/>
          <c:order val="28"/>
          <c:tx>
            <c:strRef>
              <c:f>'Gibbs-EVAL'!$A$129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4E43-435B-B057-21EAE1F9E5D7}"/>
            </c:ext>
          </c:extLst>
        </c:ser>
        <c:ser>
          <c:idx val="27"/>
          <c:order val="29"/>
          <c:tx>
            <c:strRef>
              <c:f>'Gibbs-EVAL'!$A$130</c:f>
              <c:strCache>
                <c:ptCount val="1"/>
                <c:pt idx="0">
                  <c:v>end1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'Gibbs-EVAL'!$B$130:$BT$130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4E43-435B-B057-21EAE1F9E5D7}"/>
            </c:ext>
          </c:extLst>
        </c:ser>
        <c:ser>
          <c:idx val="28"/>
          <c:order val="30"/>
          <c:tx>
            <c:strRef>
              <c:f>'Gibbs-EVAL'!$A$131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4E43-435B-B057-21EAE1F9E5D7}"/>
            </c:ext>
          </c:extLst>
        </c:ser>
        <c:ser>
          <c:idx val="29"/>
          <c:order val="31"/>
          <c:tx>
            <c:strRef>
              <c:f>'Gibbs-EVAL'!$A$132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4E43-435B-B057-21EAE1F9E5D7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-22.065575757575758</c:v>
                </c:pt>
                <c:pt idx="1">
                  <c:v>-21.674060606060607</c:v>
                </c:pt>
                <c:pt idx="2" formatCode="General">
                  <c:v>-21.395272727272726</c:v>
                </c:pt>
                <c:pt idx="3" formatCode="General">
                  <c:v>-21.244787878787879</c:v>
                </c:pt>
                <c:pt idx="4" formatCode="General">
                  <c:v>-21.157019667170953</c:v>
                </c:pt>
                <c:pt idx="5" formatCode="General">
                  <c:v>-21.244765506807866</c:v>
                </c:pt>
                <c:pt idx="6" formatCode="General">
                  <c:v>-21.332511346444779</c:v>
                </c:pt>
                <c:pt idx="7" formatCode="General">
                  <c:v>-21.420257186081695</c:v>
                </c:pt>
                <c:pt idx="8" formatCode="General">
                  <c:v>-21.508003025718608</c:v>
                </c:pt>
                <c:pt idx="9" formatCode="General">
                  <c:v>-21.595748865355521</c:v>
                </c:pt>
                <c:pt idx="10" formatCode="General">
                  <c:v>-21.683494704992437</c:v>
                </c:pt>
                <c:pt idx="11" formatCode="General">
                  <c:v>-21.792666666666666</c:v>
                </c:pt>
                <c:pt idx="12" formatCode="General">
                  <c:v>-21.925999999999998</c:v>
                </c:pt>
                <c:pt idx="13" formatCode="General">
                  <c:v>-22.049393939393937</c:v>
                </c:pt>
                <c:pt idx="14" formatCode="General">
                  <c:v>-22.167409638554215</c:v>
                </c:pt>
                <c:pt idx="15" formatCode="General">
                  <c:v>-22.269819277108432</c:v>
                </c:pt>
                <c:pt idx="16" formatCode="General">
                  <c:v>-22.363272727272729</c:v>
                </c:pt>
                <c:pt idx="17" formatCode="General">
                  <c:v>-22.448121212121212</c:v>
                </c:pt>
                <c:pt idx="18" formatCode="General">
                  <c:v>-22.532969696969698</c:v>
                </c:pt>
                <c:pt idx="19" formatCode="General">
                  <c:v>-22.620363636363638</c:v>
                </c:pt>
                <c:pt idx="20" formatCode="General">
                  <c:v>-22.717333333333336</c:v>
                </c:pt>
                <c:pt idx="21" formatCode="General">
                  <c:v>-22.82448484848485</c:v>
                </c:pt>
                <c:pt idx="22" formatCode="General">
                  <c:v>-22.939636363636364</c:v>
                </c:pt>
                <c:pt idx="23" formatCode="General">
                  <c:v>-23.059638554216868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4E43-435B-B057-21EAE1F9E5D7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-37.871212121212125</c:v>
                </c:pt>
                <c:pt idx="1">
                  <c:v>-36.936060606060607</c:v>
                </c:pt>
                <c:pt idx="2" formatCode="General">
                  <c:v>-36.057272727272725</c:v>
                </c:pt>
                <c:pt idx="3" formatCode="General">
                  <c:v>-35.249272727272725</c:v>
                </c:pt>
                <c:pt idx="4" formatCode="General">
                  <c:v>-34.48330711043873</c:v>
                </c:pt>
                <c:pt idx="5" formatCode="General">
                  <c:v>-33.899645990922842</c:v>
                </c:pt>
                <c:pt idx="6" formatCode="General">
                  <c:v>-33.315984871406961</c:v>
                </c:pt>
                <c:pt idx="7" formatCode="General">
                  <c:v>-32.732323751891073</c:v>
                </c:pt>
                <c:pt idx="8" formatCode="General">
                  <c:v>-32.148662632375192</c:v>
                </c:pt>
                <c:pt idx="9" formatCode="General">
                  <c:v>-31.565001512859304</c:v>
                </c:pt>
                <c:pt idx="10" formatCode="General">
                  <c:v>-30.981340393343419</c:v>
                </c:pt>
                <c:pt idx="11" formatCode="General">
                  <c:v>-30.471751515151517</c:v>
                </c:pt>
                <c:pt idx="12" formatCode="General">
                  <c:v>-30.045690909090911</c:v>
                </c:pt>
                <c:pt idx="13" formatCode="General">
                  <c:v>-29.668830303030305</c:v>
                </c:pt>
                <c:pt idx="14" formatCode="General">
                  <c:v>-29.315024096385542</c:v>
                </c:pt>
                <c:pt idx="15" formatCode="General">
                  <c:v>-29.021048192771087</c:v>
                </c:pt>
                <c:pt idx="16" formatCode="General">
                  <c:v>-28.765418181818184</c:v>
                </c:pt>
                <c:pt idx="17" formatCode="General">
                  <c:v>-28.546630303030305</c:v>
                </c:pt>
                <c:pt idx="18" formatCode="General">
                  <c:v>-28.406024242424245</c:v>
                </c:pt>
                <c:pt idx="19" formatCode="General">
                  <c:v>-28.297109090909093</c:v>
                </c:pt>
                <c:pt idx="20" formatCode="General">
                  <c:v>-28.259533333333334</c:v>
                </c:pt>
                <c:pt idx="21" formatCode="General">
                  <c:v>-28.267096969696972</c:v>
                </c:pt>
                <c:pt idx="22" formatCode="General">
                  <c:v>-28.310127272727271</c:v>
                </c:pt>
                <c:pt idx="23" formatCode="General">
                  <c:v>-28.39896987951807</c:v>
                </c:pt>
                <c:pt idx="24" formatCode="General">
                  <c:v>-28.502333333333333</c:v>
                </c:pt>
                <c:pt idx="25" formatCode="General">
                  <c:v>-28.635666666666665</c:v>
                </c:pt>
                <c:pt idx="26" formatCode="General">
                  <c:v>-28.781727272727274</c:v>
                </c:pt>
                <c:pt idx="27" formatCode="General">
                  <c:v>-28.93627272727273</c:v>
                </c:pt>
                <c:pt idx="28" formatCode="General">
                  <c:v>-29.102333333333334</c:v>
                </c:pt>
                <c:pt idx="29" formatCode="General">
                  <c:v>-29.267909090909093</c:v>
                </c:pt>
                <c:pt idx="30" formatCode="General">
                  <c:v>-29.430939393939394</c:v>
                </c:pt>
                <c:pt idx="31" formatCode="General">
                  <c:v>-29.598030120481926</c:v>
                </c:pt>
                <c:pt idx="32" formatCode="General">
                  <c:v>-29.767307228915662</c:v>
                </c:pt>
                <c:pt idx="33" formatCode="General">
                  <c:v>-29.930999999999997</c:v>
                </c:pt>
                <c:pt idx="34" formatCode="General">
                  <c:v>-30.094842424242422</c:v>
                </c:pt>
                <c:pt idx="35" formatCode="General">
                  <c:v>-30.259084848484846</c:v>
                </c:pt>
                <c:pt idx="36" formatCode="General">
                  <c:v>-30.422909090909091</c:v>
                </c:pt>
                <c:pt idx="37" formatCode="General">
                  <c:v>-30.586432677760968</c:v>
                </c:pt>
                <c:pt idx="38" formatCode="General">
                  <c:v>-30.747249621785173</c:v>
                </c:pt>
                <c:pt idx="39" formatCode="General">
                  <c:v>-30.908066565809378</c:v>
                </c:pt>
                <c:pt idx="40" formatCode="General">
                  <c:v>-31.068883509833583</c:v>
                </c:pt>
                <c:pt idx="41" formatCode="General">
                  <c:v>-31.229700453857792</c:v>
                </c:pt>
                <c:pt idx="42" formatCode="General">
                  <c:v>-31.390517397881997</c:v>
                </c:pt>
                <c:pt idx="43" formatCode="General">
                  <c:v>-31.551334341906202</c:v>
                </c:pt>
                <c:pt idx="44" formatCode="General">
                  <c:v>-31.709614220877459</c:v>
                </c:pt>
                <c:pt idx="45" formatCode="General">
                  <c:v>-31.864531013615736</c:v>
                </c:pt>
                <c:pt idx="46" formatCode="General">
                  <c:v>-32.019447806354009</c:v>
                </c:pt>
                <c:pt idx="47" formatCode="General">
                  <c:v>-32.174364599092286</c:v>
                </c:pt>
                <c:pt idx="48" formatCode="General">
                  <c:v>-32.329281391830563</c:v>
                </c:pt>
                <c:pt idx="49" formatCode="General">
                  <c:v>-32.484198184568839</c:v>
                </c:pt>
                <c:pt idx="50" formatCode="General">
                  <c:v>-32.639114977307116</c:v>
                </c:pt>
                <c:pt idx="51" formatCode="General">
                  <c:v>-32.792360606060612</c:v>
                </c:pt>
                <c:pt idx="52" formatCode="General">
                  <c:v>-32.945239393939396</c:v>
                </c:pt>
                <c:pt idx="53" formatCode="General">
                  <c:v>-33.098118181818187</c:v>
                </c:pt>
                <c:pt idx="54" formatCode="General">
                  <c:v>-33.25099696969697</c:v>
                </c:pt>
                <c:pt idx="55" formatCode="General">
                  <c:v>-33.403875757575761</c:v>
                </c:pt>
                <c:pt idx="56" formatCode="General">
                  <c:v>-33.556754545454545</c:v>
                </c:pt>
                <c:pt idx="57" formatCode="General">
                  <c:v>-33.709000000000003</c:v>
                </c:pt>
                <c:pt idx="58" formatCode="General">
                  <c:v>-33.859000000000002</c:v>
                </c:pt>
                <c:pt idx="59" formatCode="General">
                  <c:v>-34.008490909090909</c:v>
                </c:pt>
                <c:pt idx="60" formatCode="General">
                  <c:v>-34.157581818181818</c:v>
                </c:pt>
                <c:pt idx="61" formatCode="General">
                  <c:v>-34.304466666666663</c:v>
                </c:pt>
                <c:pt idx="62" formatCode="General">
                  <c:v>-34.450818181818178</c:v>
                </c:pt>
                <c:pt idx="63" formatCode="General">
                  <c:v>-34.596272727272726</c:v>
                </c:pt>
                <c:pt idx="64" formatCode="General">
                  <c:v>-34.737660606060608</c:v>
                </c:pt>
                <c:pt idx="65" formatCode="General">
                  <c:v>-34.876448484848481</c:v>
                </c:pt>
                <c:pt idx="66" formatCode="General">
                  <c:v>-35.019060240963853</c:v>
                </c:pt>
                <c:pt idx="67" formatCode="General">
                  <c:v>-35.162090909090907</c:v>
                </c:pt>
                <c:pt idx="68" formatCode="General">
                  <c:v>-35.305727272727275</c:v>
                </c:pt>
                <c:pt idx="69" formatCode="General">
                  <c:v>-35.445030303030308</c:v>
                </c:pt>
                <c:pt idx="70" formatCode="General">
                  <c:v>-35.582000000000001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4E43-435B-B057-21EAE1F9E5D7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-18.631089258698939</c:v>
                </c:pt>
                <c:pt idx="5" formatCode="General">
                  <c:v>-18.644704992435702</c:v>
                </c:pt>
                <c:pt idx="6" formatCode="General">
                  <c:v>-18.658320726172466</c:v>
                </c:pt>
                <c:pt idx="7" formatCode="General">
                  <c:v>-18.671936459909226</c:v>
                </c:pt>
                <c:pt idx="8" formatCode="General">
                  <c:v>-18.685552193645989</c:v>
                </c:pt>
                <c:pt idx="9" formatCode="General">
                  <c:v>-18.699167927382753</c:v>
                </c:pt>
                <c:pt idx="10" formatCode="General">
                  <c:v>-18.712783661119516</c:v>
                </c:pt>
                <c:pt idx="11" formatCode="General">
                  <c:v>-18.728545454545454</c:v>
                </c:pt>
                <c:pt idx="12" formatCode="General">
                  <c:v>-18.746727272727274</c:v>
                </c:pt>
                <c:pt idx="13" formatCode="General">
                  <c:v>-18.764909090909093</c:v>
                </c:pt>
                <c:pt idx="14" formatCode="General">
                  <c:v>-18.783072289156628</c:v>
                </c:pt>
                <c:pt idx="15" formatCode="General">
                  <c:v>-18.801144578313252</c:v>
                </c:pt>
                <c:pt idx="16" formatCode="General">
                  <c:v>-18.819272727272725</c:v>
                </c:pt>
                <c:pt idx="17" formatCode="General">
                  <c:v>-18.837454545454545</c:v>
                </c:pt>
                <c:pt idx="18" formatCode="General">
                  <c:v>-18.855636363636364</c:v>
                </c:pt>
                <c:pt idx="19" formatCode="General">
                  <c:v>-18.873818181818184</c:v>
                </c:pt>
                <c:pt idx="20" formatCode="General">
                  <c:v>-18.891999999999999</c:v>
                </c:pt>
                <c:pt idx="21" formatCode="General">
                  <c:v>-18.913575757575757</c:v>
                </c:pt>
                <c:pt idx="22" formatCode="General">
                  <c:v>-18.937818181818184</c:v>
                </c:pt>
                <c:pt idx="23" formatCode="General">
                  <c:v>-18.95644578313253</c:v>
                </c:pt>
                <c:pt idx="24" formatCode="General">
                  <c:v>-18.976060606060607</c:v>
                </c:pt>
                <c:pt idx="25" formatCode="General">
                  <c:v>-19.00030303030303</c:v>
                </c:pt>
                <c:pt idx="26" formatCode="General">
                  <c:v>-19.020909090909093</c:v>
                </c:pt>
                <c:pt idx="27" formatCode="General">
                  <c:v>-19.039090909090909</c:v>
                </c:pt>
                <c:pt idx="28" formatCode="General">
                  <c:v>-19.057272727272728</c:v>
                </c:pt>
                <c:pt idx="29" formatCode="General">
                  <c:v>-19.077272727272728</c:v>
                </c:pt>
                <c:pt idx="30" formatCode="General">
                  <c:v>-19.101515151515152</c:v>
                </c:pt>
                <c:pt idx="31" formatCode="General">
                  <c:v>-19.121746987951806</c:v>
                </c:pt>
                <c:pt idx="32" formatCode="General">
                  <c:v>-19.139819277108433</c:v>
                </c:pt>
                <c:pt idx="33" formatCode="General">
                  <c:v>-19.164000000000001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-19.388456883509832</c:v>
                </c:pt>
                <c:pt idx="45" formatCode="General">
                  <c:v>-19.408124054462935</c:v>
                </c:pt>
                <c:pt idx="46" formatCode="General">
                  <c:v>-19.427791225416037</c:v>
                </c:pt>
                <c:pt idx="47" formatCode="General">
                  <c:v>-19.447458396369139</c:v>
                </c:pt>
                <c:pt idx="48" formatCode="General">
                  <c:v>-19.467125567322238</c:v>
                </c:pt>
                <c:pt idx="49" formatCode="General">
                  <c:v>-19.486792738275341</c:v>
                </c:pt>
                <c:pt idx="50" formatCode="General">
                  <c:v>-19.506459909228443</c:v>
                </c:pt>
                <c:pt idx="51" formatCode="General">
                  <c:v>-19.526151515151518</c:v>
                </c:pt>
                <c:pt idx="52" formatCode="General">
                  <c:v>-19.545848484848488</c:v>
                </c:pt>
                <c:pt idx="53" formatCode="General">
                  <c:v>-19.565545454545457</c:v>
                </c:pt>
                <c:pt idx="54" formatCode="General">
                  <c:v>-19.585242424242427</c:v>
                </c:pt>
                <c:pt idx="55" formatCode="General">
                  <c:v>-19.604939393939397</c:v>
                </c:pt>
                <c:pt idx="56" formatCode="General">
                  <c:v>-19.624636363636366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4E43-435B-B057-21EAE1F9E5D7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  <c:pt idx="0">
                  <c:v>(DGeSe2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-59.936787878787875</c:v>
                </c:pt>
                <c:pt idx="1">
                  <c:v>-58.610121212121214</c:v>
                </c:pt>
                <c:pt idx="2" formatCode="General">
                  <c:v>-57.452545454545458</c:v>
                </c:pt>
                <c:pt idx="3" formatCode="General">
                  <c:v>-56.494060606060607</c:v>
                </c:pt>
                <c:pt idx="4" formatCode="General">
                  <c:v>-55.64032677760968</c:v>
                </c:pt>
                <c:pt idx="5" formatCode="General">
                  <c:v>-55.144411497730708</c:v>
                </c:pt>
                <c:pt idx="6" formatCode="General">
                  <c:v>-54.648496217851736</c:v>
                </c:pt>
                <c:pt idx="7" formatCode="General">
                  <c:v>-54.152580937972772</c:v>
                </c:pt>
                <c:pt idx="8" formatCode="General">
                  <c:v>-53.6566656580938</c:v>
                </c:pt>
                <c:pt idx="9" formatCode="General">
                  <c:v>-53.160750378214829</c:v>
                </c:pt>
                <c:pt idx="10" formatCode="General">
                  <c:v>-52.664835098335857</c:v>
                </c:pt>
                <c:pt idx="11" formatCode="General">
                  <c:v>-52.264418181818179</c:v>
                </c:pt>
                <c:pt idx="12" formatCode="General">
                  <c:v>-51.97169090909091</c:v>
                </c:pt>
                <c:pt idx="13" formatCode="General">
                  <c:v>-51.718224242424242</c:v>
                </c:pt>
                <c:pt idx="14" formatCode="General">
                  <c:v>-51.482433734939761</c:v>
                </c:pt>
                <c:pt idx="15" formatCode="General">
                  <c:v>-51.290867469879522</c:v>
                </c:pt>
                <c:pt idx="16" formatCode="General">
                  <c:v>-51.128690909090913</c:v>
                </c:pt>
                <c:pt idx="17" formatCode="General">
                  <c:v>-50.994751515151513</c:v>
                </c:pt>
                <c:pt idx="18" formatCode="General">
                  <c:v>-50.938993939393939</c:v>
                </c:pt>
                <c:pt idx="19" formatCode="General">
                  <c:v>-50.917472727272731</c:v>
                </c:pt>
                <c:pt idx="20" formatCode="General">
                  <c:v>-50.976866666666666</c:v>
                </c:pt>
                <c:pt idx="21" formatCode="General">
                  <c:v>-51.091581818181815</c:v>
                </c:pt>
                <c:pt idx="22" formatCode="General">
                  <c:v>-51.249763636363632</c:v>
                </c:pt>
                <c:pt idx="23" formatCode="General">
                  <c:v>-51.458608433734938</c:v>
                </c:pt>
                <c:pt idx="24" formatCode="General">
                  <c:v>-51.68566666666667</c:v>
                </c:pt>
                <c:pt idx="25" formatCode="General">
                  <c:v>-51.952333333333335</c:v>
                </c:pt>
                <c:pt idx="26" formatCode="General">
                  <c:v>-52.235363636363644</c:v>
                </c:pt>
                <c:pt idx="27" formatCode="General">
                  <c:v>-52.529303030303033</c:v>
                </c:pt>
                <c:pt idx="28" formatCode="General">
                  <c:v>-52.840515151515149</c:v>
                </c:pt>
                <c:pt idx="29" formatCode="General">
                  <c:v>-53.149727272727269</c:v>
                </c:pt>
                <c:pt idx="30" formatCode="General">
                  <c:v>-53.452151515151513</c:v>
                </c:pt>
                <c:pt idx="31" formatCode="General">
                  <c:v>-53.76200602409638</c:v>
                </c:pt>
                <c:pt idx="32" formatCode="General">
                  <c:v>-54.075861445783126</c:v>
                </c:pt>
                <c:pt idx="33" formatCode="General">
                  <c:v>-54.378999999999998</c:v>
                </c:pt>
                <c:pt idx="34" formatCode="General">
                  <c:v>-54.682236363636363</c:v>
                </c:pt>
                <c:pt idx="35" formatCode="General">
                  <c:v>-54.985872727272728</c:v>
                </c:pt>
                <c:pt idx="36" formatCode="General">
                  <c:v>-55.289090909090909</c:v>
                </c:pt>
                <c:pt idx="37" formatCode="General">
                  <c:v>-55.591878971255667</c:v>
                </c:pt>
                <c:pt idx="38" formatCode="General">
                  <c:v>-55.8888532526475</c:v>
                </c:pt>
                <c:pt idx="39" formatCode="General">
                  <c:v>-56.185827534039333</c:v>
                </c:pt>
                <c:pt idx="40" formatCode="General">
                  <c:v>-56.482801815431159</c:v>
                </c:pt>
                <c:pt idx="41" formatCode="General">
                  <c:v>-56.779776096822992</c:v>
                </c:pt>
                <c:pt idx="42" formatCode="General">
                  <c:v>-57.076750378214825</c:v>
                </c:pt>
                <c:pt idx="43" formatCode="General">
                  <c:v>-57.373724659606651</c:v>
                </c:pt>
                <c:pt idx="44" formatCode="General">
                  <c:v>-57.664909228441751</c:v>
                </c:pt>
                <c:pt idx="45" formatCode="General">
                  <c:v>-57.948419062027227</c:v>
                </c:pt>
                <c:pt idx="46" formatCode="General">
                  <c:v>-58.231928895612711</c:v>
                </c:pt>
                <c:pt idx="47" formatCode="General">
                  <c:v>-58.515438729198188</c:v>
                </c:pt>
                <c:pt idx="48" formatCode="General">
                  <c:v>-58.798948562783664</c:v>
                </c:pt>
                <c:pt idx="49" formatCode="General">
                  <c:v>-59.082458396369141</c:v>
                </c:pt>
                <c:pt idx="50" formatCode="General">
                  <c:v>-59.365968229954618</c:v>
                </c:pt>
                <c:pt idx="51" formatCode="General">
                  <c:v>-59.641754545454546</c:v>
                </c:pt>
                <c:pt idx="52" formatCode="General">
                  <c:v>-59.915845454545455</c:v>
                </c:pt>
                <c:pt idx="53" formatCode="General">
                  <c:v>-60.189936363636363</c:v>
                </c:pt>
                <c:pt idx="54" formatCode="General">
                  <c:v>-60.464027272727272</c:v>
                </c:pt>
                <c:pt idx="55" formatCode="General">
                  <c:v>-60.73811818181818</c:v>
                </c:pt>
                <c:pt idx="56" formatCode="General">
                  <c:v>-61.012209090909089</c:v>
                </c:pt>
                <c:pt idx="57" formatCode="General">
                  <c:v>-61.285506024096385</c:v>
                </c:pt>
                <c:pt idx="58" formatCode="General">
                  <c:v>-61.555987951807225</c:v>
                </c:pt>
                <c:pt idx="59" formatCode="General">
                  <c:v>-61.826369696969692</c:v>
                </c:pt>
                <c:pt idx="60" formatCode="General">
                  <c:v>-62.096672727272725</c:v>
                </c:pt>
                <c:pt idx="61" formatCode="General">
                  <c:v>-62.364769696969695</c:v>
                </c:pt>
                <c:pt idx="62" formatCode="General">
                  <c:v>-62.632333333333328</c:v>
                </c:pt>
                <c:pt idx="63" formatCode="General">
                  <c:v>-62.899000000000001</c:v>
                </c:pt>
                <c:pt idx="64" formatCode="General">
                  <c:v>-63.157903030303032</c:v>
                </c:pt>
                <c:pt idx="65" formatCode="General">
                  <c:v>-63.411842424242423</c:v>
                </c:pt>
                <c:pt idx="66" formatCode="General">
                  <c:v>-63.674722891566262</c:v>
                </c:pt>
                <c:pt idx="67" formatCode="General">
                  <c:v>-63.93845454545454</c:v>
                </c:pt>
                <c:pt idx="68" formatCode="General">
                  <c:v>-64.203303030303033</c:v>
                </c:pt>
                <c:pt idx="69" formatCode="General">
                  <c:v>-64.459878787878793</c:v>
                </c:pt>
                <c:pt idx="70" formatCode="General">
                  <c:v>-64.712000000000003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4E43-435B-B057-21EAE1F9E5D7}"/>
            </c:ext>
          </c:extLst>
        </c:ser>
        <c:ser>
          <c:idx val="34"/>
          <c:order val="36"/>
          <c:tx>
            <c:strRef>
              <c:f>'Gibbs-EVAL'!$A$137</c:f>
              <c:strCache>
                <c:ptCount val="1"/>
                <c:pt idx="0">
                  <c:v>(DGeSe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'Gibbs-EVAL'!$B$137:$BT$137</c:f>
              <c:numCache>
                <c:formatCode>0</c:formatCode>
                <c:ptCount val="71"/>
                <c:pt idx="0">
                  <c:v>-37.871212121212125</c:v>
                </c:pt>
                <c:pt idx="1">
                  <c:v>-36.936060606060607</c:v>
                </c:pt>
                <c:pt idx="2" formatCode="General">
                  <c:v>-36.057272727272725</c:v>
                </c:pt>
                <c:pt idx="3" formatCode="General">
                  <c:v>-35.249272727272725</c:v>
                </c:pt>
                <c:pt idx="4" formatCode="General">
                  <c:v>-34.48330711043873</c:v>
                </c:pt>
                <c:pt idx="5" formatCode="General">
                  <c:v>-33.899645990922842</c:v>
                </c:pt>
                <c:pt idx="6" formatCode="General">
                  <c:v>-33.315984871406961</c:v>
                </c:pt>
                <c:pt idx="7" formatCode="General">
                  <c:v>-32.732323751891073</c:v>
                </c:pt>
                <c:pt idx="8" formatCode="General">
                  <c:v>-32.148662632375192</c:v>
                </c:pt>
                <c:pt idx="9" formatCode="General">
                  <c:v>-31.565001512859304</c:v>
                </c:pt>
                <c:pt idx="10" formatCode="General">
                  <c:v>-30.981340393343419</c:v>
                </c:pt>
                <c:pt idx="11" formatCode="General">
                  <c:v>-30.471751515151517</c:v>
                </c:pt>
                <c:pt idx="12" formatCode="General">
                  <c:v>-30.045690909090911</c:v>
                </c:pt>
                <c:pt idx="13" formatCode="General">
                  <c:v>-29.668830303030305</c:v>
                </c:pt>
                <c:pt idx="14" formatCode="General">
                  <c:v>-29.315024096385542</c:v>
                </c:pt>
                <c:pt idx="15" formatCode="General">
                  <c:v>-29.021048192771087</c:v>
                </c:pt>
                <c:pt idx="16" formatCode="General">
                  <c:v>-28.765418181818184</c:v>
                </c:pt>
                <c:pt idx="17" formatCode="General">
                  <c:v>-28.546630303030305</c:v>
                </c:pt>
                <c:pt idx="18" formatCode="General">
                  <c:v>-28.406024242424245</c:v>
                </c:pt>
                <c:pt idx="19" formatCode="General">
                  <c:v>-28.297109090909093</c:v>
                </c:pt>
                <c:pt idx="20" formatCode="General">
                  <c:v>-28.259533333333334</c:v>
                </c:pt>
                <c:pt idx="21" formatCode="General">
                  <c:v>-28.267096969696972</c:v>
                </c:pt>
                <c:pt idx="22" formatCode="General">
                  <c:v>-28.310127272727271</c:v>
                </c:pt>
                <c:pt idx="23" formatCode="General">
                  <c:v>-28.39896987951807</c:v>
                </c:pt>
                <c:pt idx="24" formatCode="General">
                  <c:v>-28.502333333333333</c:v>
                </c:pt>
                <c:pt idx="25" formatCode="General">
                  <c:v>-28.635666666666665</c:v>
                </c:pt>
                <c:pt idx="26" formatCode="General">
                  <c:v>-28.781727272727274</c:v>
                </c:pt>
                <c:pt idx="27" formatCode="General">
                  <c:v>-28.93627272727273</c:v>
                </c:pt>
                <c:pt idx="28" formatCode="General">
                  <c:v>-29.102333333333334</c:v>
                </c:pt>
                <c:pt idx="29" formatCode="General">
                  <c:v>-29.267909090909093</c:v>
                </c:pt>
                <c:pt idx="30" formatCode="General">
                  <c:v>-29.430939393939394</c:v>
                </c:pt>
                <c:pt idx="31" formatCode="General">
                  <c:v>-29.598030120481926</c:v>
                </c:pt>
                <c:pt idx="32" formatCode="General">
                  <c:v>-29.767307228915662</c:v>
                </c:pt>
                <c:pt idx="33" formatCode="General">
                  <c:v>-29.930999999999997</c:v>
                </c:pt>
                <c:pt idx="34" formatCode="General">
                  <c:v>-30.094842424242422</c:v>
                </c:pt>
                <c:pt idx="35" formatCode="General">
                  <c:v>-30.259084848484846</c:v>
                </c:pt>
                <c:pt idx="36" formatCode="General">
                  <c:v>-30.422909090909091</c:v>
                </c:pt>
                <c:pt idx="37" formatCode="General">
                  <c:v>-30.586432677760968</c:v>
                </c:pt>
                <c:pt idx="38" formatCode="General">
                  <c:v>-30.747249621785173</c:v>
                </c:pt>
                <c:pt idx="39" formatCode="General">
                  <c:v>-30.908066565809378</c:v>
                </c:pt>
                <c:pt idx="40" formatCode="General">
                  <c:v>-31.068883509833583</c:v>
                </c:pt>
                <c:pt idx="41" formatCode="General">
                  <c:v>-31.229700453857792</c:v>
                </c:pt>
                <c:pt idx="42" formatCode="General">
                  <c:v>-31.390517397881997</c:v>
                </c:pt>
                <c:pt idx="43" formatCode="General">
                  <c:v>-31.551334341906202</c:v>
                </c:pt>
                <c:pt idx="44" formatCode="General">
                  <c:v>-31.709614220877459</c:v>
                </c:pt>
                <c:pt idx="45" formatCode="General">
                  <c:v>-31.864531013615736</c:v>
                </c:pt>
                <c:pt idx="46" formatCode="General">
                  <c:v>-32.019447806354009</c:v>
                </c:pt>
                <c:pt idx="47" formatCode="General">
                  <c:v>-32.174364599092286</c:v>
                </c:pt>
                <c:pt idx="48" formatCode="General">
                  <c:v>-32.329281391830563</c:v>
                </c:pt>
                <c:pt idx="49" formatCode="General">
                  <c:v>-32.484198184568839</c:v>
                </c:pt>
                <c:pt idx="50" formatCode="General">
                  <c:v>-32.639114977307116</c:v>
                </c:pt>
                <c:pt idx="51" formatCode="General">
                  <c:v>-32.792360606060612</c:v>
                </c:pt>
                <c:pt idx="52" formatCode="General">
                  <c:v>-32.945239393939396</c:v>
                </c:pt>
                <c:pt idx="53" formatCode="General">
                  <c:v>-33.098118181818187</c:v>
                </c:pt>
                <c:pt idx="54" formatCode="General">
                  <c:v>-33.25099696969697</c:v>
                </c:pt>
                <c:pt idx="55" formatCode="General">
                  <c:v>-33.403875757575761</c:v>
                </c:pt>
                <c:pt idx="56" formatCode="General">
                  <c:v>-33.556754545454545</c:v>
                </c:pt>
                <c:pt idx="57" formatCode="General">
                  <c:v>-33.709000000000003</c:v>
                </c:pt>
                <c:pt idx="58" formatCode="General">
                  <c:v>-33.859000000000002</c:v>
                </c:pt>
                <c:pt idx="59" formatCode="General">
                  <c:v>-34.008490909090909</c:v>
                </c:pt>
                <c:pt idx="60" formatCode="General">
                  <c:v>-34.157581818181818</c:v>
                </c:pt>
                <c:pt idx="61" formatCode="General">
                  <c:v>-34.304466666666663</c:v>
                </c:pt>
                <c:pt idx="62" formatCode="General">
                  <c:v>-34.450818181818178</c:v>
                </c:pt>
                <c:pt idx="63" formatCode="General">
                  <c:v>-34.596272727272726</c:v>
                </c:pt>
                <c:pt idx="64" formatCode="General">
                  <c:v>-34.737660606060608</c:v>
                </c:pt>
                <c:pt idx="65" formatCode="General">
                  <c:v>-34.876448484848481</c:v>
                </c:pt>
                <c:pt idx="66" formatCode="General">
                  <c:v>-35.019060240963853</c:v>
                </c:pt>
                <c:pt idx="67" formatCode="General">
                  <c:v>-35.162090909090907</c:v>
                </c:pt>
                <c:pt idx="68" formatCode="General">
                  <c:v>-35.305727272727275</c:v>
                </c:pt>
                <c:pt idx="69" formatCode="General">
                  <c:v>-35.445030303030308</c:v>
                </c:pt>
                <c:pt idx="70" formatCode="General">
                  <c:v>-35.582000000000001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4E43-435B-B057-21EAE1F9E5D7}"/>
            </c:ext>
          </c:extLst>
        </c:ser>
        <c:ser>
          <c:idx val="35"/>
          <c:order val="37"/>
          <c:tx>
            <c:strRef>
              <c:f>'Gibbs-EVAL'!$A$138</c:f>
              <c:strCache>
                <c:ptCount val="1"/>
                <c:pt idx="0">
                  <c:v>(DGa2Sej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-143.53575757575757</c:v>
                </c:pt>
                <c:pt idx="1">
                  <c:v>-139.02181818181819</c:v>
                </c:pt>
                <c:pt idx="2" formatCode="General">
                  <c:v>-134.65818181818182</c:v>
                </c:pt>
                <c:pt idx="3" formatCode="General">
                  <c:v>-130.42284848484846</c:v>
                </c:pt>
                <c:pt idx="4" formatCode="General">
                  <c:v>-126.27735249621784</c:v>
                </c:pt>
                <c:pt idx="5" formatCode="General">
                  <c:v>-122.619258698941</c:v>
                </c:pt>
                <c:pt idx="6" formatCode="General">
                  <c:v>-118.96116490166413</c:v>
                </c:pt>
                <c:pt idx="7" formatCode="General">
                  <c:v>-115.30307110438729</c:v>
                </c:pt>
                <c:pt idx="8" formatCode="General">
                  <c:v>-111.64497730711044</c:v>
                </c:pt>
                <c:pt idx="9" formatCode="General">
                  <c:v>-107.98688350983359</c:v>
                </c:pt>
                <c:pt idx="10" formatCode="General">
                  <c:v>-104.32878971255674</c:v>
                </c:pt>
                <c:pt idx="11" formatCode="General">
                  <c:v>-100.97145454545455</c:v>
                </c:pt>
                <c:pt idx="12" formatCode="General">
                  <c:v>-97.953272727272733</c:v>
                </c:pt>
                <c:pt idx="13" formatCode="General">
                  <c:v>-95.1338787878788</c:v>
                </c:pt>
                <c:pt idx="14" formatCode="General">
                  <c:v>-92.402951807228931</c:v>
                </c:pt>
                <c:pt idx="15" formatCode="General">
                  <c:v>-89.890903614457827</c:v>
                </c:pt>
                <c:pt idx="16" formatCode="General">
                  <c:v>-87.485454545454544</c:v>
                </c:pt>
                <c:pt idx="17" formatCode="General">
                  <c:v>-85.182424242424233</c:v>
                </c:pt>
                <c:pt idx="18" formatCode="General">
                  <c:v>-83.046181818181807</c:v>
                </c:pt>
                <c:pt idx="19" formatCode="General">
                  <c:v>-80.967636363636359</c:v>
                </c:pt>
                <c:pt idx="20" formatCode="General">
                  <c:v>-79.003999999999991</c:v>
                </c:pt>
                <c:pt idx="21" formatCode="General">
                  <c:v>-77.111636363636364</c:v>
                </c:pt>
                <c:pt idx="22" formatCode="General">
                  <c:v>-75.275272727272721</c:v>
                </c:pt>
                <c:pt idx="23" formatCode="General">
                  <c:v>-73.564096385542157</c:v>
                </c:pt>
                <c:pt idx="24" formatCode="General">
                  <c:v>-71.893030303030301</c:v>
                </c:pt>
                <c:pt idx="25" formatCode="General">
                  <c:v>-70.305151515151508</c:v>
                </c:pt>
                <c:pt idx="26" formatCode="General">
                  <c:v>-68.800909090909087</c:v>
                </c:pt>
                <c:pt idx="27" formatCode="General">
                  <c:v>-67.352424242424249</c:v>
                </c:pt>
                <c:pt idx="28" formatCode="General">
                  <c:v>-66.036363636363646</c:v>
                </c:pt>
                <c:pt idx="29" formatCode="General">
                  <c:v>-64.758181818181825</c:v>
                </c:pt>
                <c:pt idx="30" formatCode="General">
                  <c:v>-63.552121212121214</c:v>
                </c:pt>
                <c:pt idx="31" formatCode="General">
                  <c:v>-62.417349397590364</c:v>
                </c:pt>
                <c:pt idx="32" formatCode="General">
                  <c:v>-61.320963855421688</c:v>
                </c:pt>
                <c:pt idx="33" formatCode="General">
                  <c:v>-60.284000000000006</c:v>
                </c:pt>
                <c:pt idx="34" formatCode="General">
                  <c:v>-59.272363636363643</c:v>
                </c:pt>
                <c:pt idx="35" formatCode="General">
                  <c:v>-58.308727272727282</c:v>
                </c:pt>
                <c:pt idx="36" formatCode="General">
                  <c:v>-57.370181818181827</c:v>
                </c:pt>
                <c:pt idx="37" formatCode="General">
                  <c:v>-56.447685325264757</c:v>
                </c:pt>
                <c:pt idx="38" formatCode="General">
                  <c:v>-55.639818456883518</c:v>
                </c:pt>
                <c:pt idx="39" formatCode="General">
                  <c:v>-54.831951588502278</c:v>
                </c:pt>
                <c:pt idx="40" formatCode="General">
                  <c:v>-54.024084720121031</c:v>
                </c:pt>
                <c:pt idx="41" formatCode="General">
                  <c:v>-53.216217851739792</c:v>
                </c:pt>
                <c:pt idx="42" formatCode="General">
                  <c:v>-52.408350983358552</c:v>
                </c:pt>
                <c:pt idx="43" formatCode="General">
                  <c:v>-51.600484114977313</c:v>
                </c:pt>
                <c:pt idx="44" formatCode="General">
                  <c:v>-50.870030257186087</c:v>
                </c:pt>
                <c:pt idx="45" formatCode="General">
                  <c:v>-50.242193645990923</c:v>
                </c:pt>
                <c:pt idx="46" formatCode="General">
                  <c:v>-49.614357034795766</c:v>
                </c:pt>
                <c:pt idx="47" formatCode="General">
                  <c:v>-48.986520423600602</c:v>
                </c:pt>
                <c:pt idx="48" formatCode="General">
                  <c:v>-48.358683812405445</c:v>
                </c:pt>
                <c:pt idx="49" formatCode="General">
                  <c:v>-47.730847201210281</c:v>
                </c:pt>
                <c:pt idx="50" formatCode="General">
                  <c:v>-47.103010590015124</c:v>
                </c:pt>
                <c:pt idx="51" formatCode="General">
                  <c:v>-46.776054545454542</c:v>
                </c:pt>
                <c:pt idx="52" formatCode="General">
                  <c:v>-46.515145454545447</c:v>
                </c:pt>
                <c:pt idx="53" formatCode="General">
                  <c:v>-46.254236363636359</c:v>
                </c:pt>
                <c:pt idx="54" formatCode="General">
                  <c:v>-45.993327272727271</c:v>
                </c:pt>
                <c:pt idx="55" formatCode="General">
                  <c:v>-45.732418181818183</c:v>
                </c:pt>
                <c:pt idx="56" formatCode="General">
                  <c:v>-45.471509090909088</c:v>
                </c:pt>
                <c:pt idx="57" formatCode="General">
                  <c:v>-45.268265060240964</c:v>
                </c:pt>
                <c:pt idx="58" formatCode="General">
                  <c:v>-45.26946987951807</c:v>
                </c:pt>
                <c:pt idx="59" formatCode="General">
                  <c:v>-45.306654545454542</c:v>
                </c:pt>
                <c:pt idx="60" formatCode="General">
                  <c:v>-45.372109090909092</c:v>
                </c:pt>
                <c:pt idx="61" formatCode="General">
                  <c:v>-45.473963636363635</c:v>
                </c:pt>
                <c:pt idx="62" formatCode="General">
                  <c:v>-45.585721212121214</c:v>
                </c:pt>
                <c:pt idx="63" formatCode="General">
                  <c:v>-45.715418181818187</c:v>
                </c:pt>
                <c:pt idx="64" formatCode="General">
                  <c:v>-45.851030303030306</c:v>
                </c:pt>
                <c:pt idx="65" formatCode="General">
                  <c:v>-45.99042424242424</c:v>
                </c:pt>
                <c:pt idx="66" formatCode="General">
                  <c:v>-46.141734939759033</c:v>
                </c:pt>
                <c:pt idx="67" formatCode="General">
                  <c:v>-46.295636363636362</c:v>
                </c:pt>
                <c:pt idx="68" formatCode="General">
                  <c:v>-46.454424242424246</c:v>
                </c:pt>
                <c:pt idx="69" formatCode="General">
                  <c:v>-46.610848484848489</c:v>
                </c:pt>
                <c:pt idx="70" formatCode="General">
                  <c:v>-46.765999999999998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4E43-435B-B057-21EAE1F9E5D7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  <c:pt idx="0">
                  <c:v>(DGaSe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-82.800666666666672</c:v>
                </c:pt>
                <c:pt idx="1">
                  <c:v>-80.347939393939399</c:v>
                </c:pt>
                <c:pt idx="2" formatCode="General">
                  <c:v>-78.026727272727271</c:v>
                </c:pt>
                <c:pt idx="3" formatCode="General">
                  <c:v>-75.833818181818188</c:v>
                </c:pt>
                <c:pt idx="4" formatCode="General">
                  <c:v>-73.717186081694393</c:v>
                </c:pt>
                <c:pt idx="5" formatCode="General">
                  <c:v>-71.932012102874438</c:v>
                </c:pt>
                <c:pt idx="6" formatCode="General">
                  <c:v>-70.146838124054469</c:v>
                </c:pt>
                <c:pt idx="7" formatCode="General">
                  <c:v>-68.361664145234499</c:v>
                </c:pt>
                <c:pt idx="8" formatCode="General">
                  <c:v>-66.57649016641453</c:v>
                </c:pt>
                <c:pt idx="9" formatCode="General">
                  <c:v>-64.79131618759456</c:v>
                </c:pt>
                <c:pt idx="10" formatCode="General">
                  <c:v>-63.006142208774591</c:v>
                </c:pt>
                <c:pt idx="11" formatCode="General">
                  <c:v>-61.382060606060605</c:v>
                </c:pt>
                <c:pt idx="12" formatCode="General">
                  <c:v>-59.93963636363636</c:v>
                </c:pt>
                <c:pt idx="13" formatCode="General">
                  <c:v>-58.591636363636361</c:v>
                </c:pt>
                <c:pt idx="14" formatCode="General">
                  <c:v>-57.285180722891567</c:v>
                </c:pt>
                <c:pt idx="15" formatCode="General">
                  <c:v>-56.080361445783133</c:v>
                </c:pt>
                <c:pt idx="16" formatCode="General">
                  <c:v>-54.924363636363637</c:v>
                </c:pt>
                <c:pt idx="17" formatCode="General">
                  <c:v>-53.81527272727272</c:v>
                </c:pt>
                <c:pt idx="18" formatCode="General">
                  <c:v>-52.789575757575754</c:v>
                </c:pt>
                <c:pt idx="19" formatCode="General">
                  <c:v>-51.793999999999997</c:v>
                </c:pt>
                <c:pt idx="20" formatCode="General">
                  <c:v>-50.860666666666667</c:v>
                </c:pt>
                <c:pt idx="21" formatCode="General">
                  <c:v>-49.968060606060604</c:v>
                </c:pt>
                <c:pt idx="22" formatCode="General">
                  <c:v>-49.107454545454544</c:v>
                </c:pt>
                <c:pt idx="23" formatCode="General">
                  <c:v>-48.311867469879516</c:v>
                </c:pt>
                <c:pt idx="24" formatCode="General">
                  <c:v>-47.538181818181819</c:v>
                </c:pt>
                <c:pt idx="25" formatCode="General">
                  <c:v>-46.810909090909085</c:v>
                </c:pt>
                <c:pt idx="26" formatCode="General">
                  <c:v>-46.127272727272725</c:v>
                </c:pt>
                <c:pt idx="27" formatCode="General">
                  <c:v>-45.472727272727269</c:v>
                </c:pt>
                <c:pt idx="28" formatCode="General">
                  <c:v>-44.88727272727273</c:v>
                </c:pt>
                <c:pt idx="29" formatCode="General">
                  <c:v>-44.32</c:v>
                </c:pt>
                <c:pt idx="30" formatCode="General">
                  <c:v>-43.786666666666669</c:v>
                </c:pt>
                <c:pt idx="31" formatCode="General">
                  <c:v>-43.290662650602414</c:v>
                </c:pt>
                <c:pt idx="32" formatCode="General">
                  <c:v>-42.814759036144579</c:v>
                </c:pt>
                <c:pt idx="33" formatCode="General">
                  <c:v>-42.366</c:v>
                </c:pt>
                <c:pt idx="34" formatCode="General">
                  <c:v>-41.929878787878792</c:v>
                </c:pt>
                <c:pt idx="35" formatCode="General">
                  <c:v>-41.517757575757578</c:v>
                </c:pt>
                <c:pt idx="36" formatCode="General">
                  <c:v>-41.118181818181817</c:v>
                </c:pt>
                <c:pt idx="37" formatCode="General">
                  <c:v>-40.726565809379728</c:v>
                </c:pt>
                <c:pt idx="38" formatCode="General">
                  <c:v>-40.390711043872919</c:v>
                </c:pt>
                <c:pt idx="39" formatCode="General">
                  <c:v>-40.05485627836611</c:v>
                </c:pt>
                <c:pt idx="40" formatCode="General">
                  <c:v>-39.719001512859307</c:v>
                </c:pt>
                <c:pt idx="41" formatCode="General">
                  <c:v>-39.383146747352498</c:v>
                </c:pt>
                <c:pt idx="42" formatCode="General">
                  <c:v>-39.047291981845689</c:v>
                </c:pt>
                <c:pt idx="43" formatCode="General">
                  <c:v>-38.711437216338879</c:v>
                </c:pt>
                <c:pt idx="44" formatCode="General">
                  <c:v>-38.412662632375188</c:v>
                </c:pt>
                <c:pt idx="45" formatCode="General">
                  <c:v>-38.163040847201209</c:v>
                </c:pt>
                <c:pt idx="46" formatCode="General">
                  <c:v>-37.913419062027231</c:v>
                </c:pt>
                <c:pt idx="47" formatCode="General">
                  <c:v>-37.663797276853252</c:v>
                </c:pt>
                <c:pt idx="48" formatCode="General">
                  <c:v>-37.414175491679273</c:v>
                </c:pt>
                <c:pt idx="49" formatCode="General">
                  <c:v>-37.164553706505295</c:v>
                </c:pt>
                <c:pt idx="50" formatCode="General">
                  <c:v>-36.914931921331309</c:v>
                </c:pt>
                <c:pt idx="51" formatCode="General">
                  <c:v>-36.812724242424238</c:v>
                </c:pt>
                <c:pt idx="52" formatCode="General">
                  <c:v>-36.742875757575753</c:v>
                </c:pt>
                <c:pt idx="53" formatCode="General">
                  <c:v>-36.673027272727268</c:v>
                </c:pt>
                <c:pt idx="54" formatCode="General">
                  <c:v>-36.603178787878782</c:v>
                </c:pt>
                <c:pt idx="55" formatCode="General">
                  <c:v>-36.533330303030304</c:v>
                </c:pt>
                <c:pt idx="56" formatCode="General">
                  <c:v>-36.463481818181819</c:v>
                </c:pt>
                <c:pt idx="57" formatCode="General">
                  <c:v>-36.422385542168676</c:v>
                </c:pt>
                <c:pt idx="58" formatCode="General">
                  <c:v>-36.48322891566265</c:v>
                </c:pt>
                <c:pt idx="59" formatCode="General">
                  <c:v>-36.562266666666666</c:v>
                </c:pt>
                <c:pt idx="60" formatCode="General">
                  <c:v>-36.6556</c:v>
                </c:pt>
                <c:pt idx="61" formatCode="General">
                  <c:v>-36.767133333333334</c:v>
                </c:pt>
                <c:pt idx="62" formatCode="General">
                  <c:v>-36.883618181818179</c:v>
                </c:pt>
                <c:pt idx="63" formatCode="General">
                  <c:v>-37.009072727272731</c:v>
                </c:pt>
                <c:pt idx="64" formatCode="General">
                  <c:v>-37.135636363636365</c:v>
                </c:pt>
                <c:pt idx="65" formatCode="General">
                  <c:v>-37.262909090909091</c:v>
                </c:pt>
                <c:pt idx="66" formatCode="General">
                  <c:v>-37.398698795180721</c:v>
                </c:pt>
                <c:pt idx="67" formatCode="General">
                  <c:v>-37.536000000000001</c:v>
                </c:pt>
                <c:pt idx="68" formatCode="General">
                  <c:v>-37.676000000000002</c:v>
                </c:pt>
                <c:pt idx="69" formatCode="General">
                  <c:v>-37.812848484848487</c:v>
                </c:pt>
                <c:pt idx="70" formatCode="General">
                  <c:v>-37.948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4E43-435B-B057-21EAE1F9E5D7}"/>
            </c:ext>
          </c:extLst>
        </c:ser>
        <c:ser>
          <c:idx val="37"/>
          <c:order val="39"/>
          <c:tx>
            <c:strRef>
              <c:f>'Gibbs-EVAL'!$A$140</c:f>
              <c:strCache>
                <c:ptCount val="1"/>
                <c:pt idx="0">
                  <c:v>(DGe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'Gibbs-EVAL'!$B$140:$BT$140</c:f>
              <c:numCache>
                <c:formatCode>0</c:formatCode>
                <c:ptCount val="71"/>
                <c:pt idx="0">
                  <c:v>-15.805636363636363</c:v>
                </c:pt>
                <c:pt idx="1">
                  <c:v>-15.261999999999999</c:v>
                </c:pt>
                <c:pt idx="2" formatCode="General">
                  <c:v>-14.661999999999999</c:v>
                </c:pt>
                <c:pt idx="3" formatCode="General">
                  <c:v>-14.004484848484848</c:v>
                </c:pt>
                <c:pt idx="4" formatCode="General">
                  <c:v>-13.326287443267777</c:v>
                </c:pt>
                <c:pt idx="5" formatCode="General">
                  <c:v>-12.654880484114978</c:v>
                </c:pt>
                <c:pt idx="6" formatCode="General">
                  <c:v>-11.983473524962179</c:v>
                </c:pt>
                <c:pt idx="7" formatCode="General">
                  <c:v>-11.31206656580938</c:v>
                </c:pt>
                <c:pt idx="8" formatCode="General">
                  <c:v>-10.64065960665658</c:v>
                </c:pt>
                <c:pt idx="9" formatCode="General">
                  <c:v>-9.969252647503783</c:v>
                </c:pt>
                <c:pt idx="10" formatCode="General">
                  <c:v>-9.2978456883509839</c:v>
                </c:pt>
                <c:pt idx="11" formatCode="General">
                  <c:v>-8.67908484848485</c:v>
                </c:pt>
                <c:pt idx="12" formatCode="General">
                  <c:v>-8.1196909090909095</c:v>
                </c:pt>
                <c:pt idx="13" formatCode="General">
                  <c:v>-7.619436363636364</c:v>
                </c:pt>
                <c:pt idx="14" formatCode="General">
                  <c:v>-7.1476144578313257</c:v>
                </c:pt>
                <c:pt idx="15" formatCode="General">
                  <c:v>-6.7512289156626508</c:v>
                </c:pt>
                <c:pt idx="16" formatCode="General">
                  <c:v>-6.4021454545454546</c:v>
                </c:pt>
                <c:pt idx="17" formatCode="General">
                  <c:v>-6.09850909090909</c:v>
                </c:pt>
                <c:pt idx="18" formatCode="General">
                  <c:v>-5.8730545454545453</c:v>
                </c:pt>
                <c:pt idx="19" formatCode="General">
                  <c:v>-5.6767454545454541</c:v>
                </c:pt>
                <c:pt idx="20" formatCode="General">
                  <c:v>-5.5421999999999993</c:v>
                </c:pt>
                <c:pt idx="21" formatCode="General">
                  <c:v>-5.4426121212121208</c:v>
                </c:pt>
                <c:pt idx="22" formatCode="General">
                  <c:v>-5.3704909090909085</c:v>
                </c:pt>
                <c:pt idx="23" formatCode="General">
                  <c:v>-5.3393313253012051</c:v>
                </c:pt>
                <c:pt idx="24" formatCode="General">
                  <c:v>-5.319</c:v>
                </c:pt>
                <c:pt idx="25" formatCode="General">
                  <c:v>-5.319</c:v>
                </c:pt>
                <c:pt idx="26" formatCode="General">
                  <c:v>-5.3280909090909088</c:v>
                </c:pt>
                <c:pt idx="27" formatCode="General">
                  <c:v>-5.3432424242424243</c:v>
                </c:pt>
                <c:pt idx="28" formatCode="General">
                  <c:v>-5.3641515151515149</c:v>
                </c:pt>
                <c:pt idx="29" formatCode="General">
                  <c:v>-5.3860909090909086</c:v>
                </c:pt>
                <c:pt idx="30" formatCode="General">
                  <c:v>-5.4097272727272729</c:v>
                </c:pt>
                <c:pt idx="31" formatCode="General">
                  <c:v>-5.4340542168674695</c:v>
                </c:pt>
                <c:pt idx="32" formatCode="General">
                  <c:v>-5.4587530120481924</c:v>
                </c:pt>
                <c:pt idx="33" formatCode="General">
                  <c:v>-5.4829999999999997</c:v>
                </c:pt>
                <c:pt idx="34" formatCode="General">
                  <c:v>-5.5074484848484841</c:v>
                </c:pt>
                <c:pt idx="35" formatCode="General">
                  <c:v>-5.5322969696969695</c:v>
                </c:pt>
                <c:pt idx="36" formatCode="General">
                  <c:v>-5.5567272727272723</c:v>
                </c:pt>
                <c:pt idx="37" formatCode="General">
                  <c:v>-5.5809863842662635</c:v>
                </c:pt>
                <c:pt idx="38" formatCode="General">
                  <c:v>-5.6056459909228442</c:v>
                </c:pt>
                <c:pt idx="39" formatCode="General">
                  <c:v>-5.6303055975794249</c:v>
                </c:pt>
                <c:pt idx="40" formatCode="General">
                  <c:v>-5.6549652042360066</c:v>
                </c:pt>
                <c:pt idx="41" formatCode="General">
                  <c:v>-5.6796248108925873</c:v>
                </c:pt>
                <c:pt idx="42" formatCode="General">
                  <c:v>-5.704284417549168</c:v>
                </c:pt>
                <c:pt idx="43" formatCode="General">
                  <c:v>-5.7289440242057488</c:v>
                </c:pt>
                <c:pt idx="44" formatCode="General">
                  <c:v>-5.7543192133131624</c:v>
                </c:pt>
                <c:pt idx="45" formatCode="General">
                  <c:v>-5.7806429652042359</c:v>
                </c:pt>
                <c:pt idx="46" formatCode="General">
                  <c:v>-5.8069667170953103</c:v>
                </c:pt>
                <c:pt idx="47" formatCode="General">
                  <c:v>-5.8332904689863847</c:v>
                </c:pt>
                <c:pt idx="48" formatCode="General">
                  <c:v>-5.8596142208774582</c:v>
                </c:pt>
                <c:pt idx="49" formatCode="General">
                  <c:v>-5.8859379727685326</c:v>
                </c:pt>
                <c:pt idx="50" formatCode="General">
                  <c:v>-5.912261724659607</c:v>
                </c:pt>
                <c:pt idx="51" formatCode="General">
                  <c:v>-5.942966666666667</c:v>
                </c:pt>
                <c:pt idx="52" formatCode="General">
                  <c:v>-5.9746333333333332</c:v>
                </c:pt>
                <c:pt idx="53" formatCode="General">
                  <c:v>-6.0063000000000004</c:v>
                </c:pt>
                <c:pt idx="54" formatCode="General">
                  <c:v>-6.0379666666666667</c:v>
                </c:pt>
                <c:pt idx="55" formatCode="General">
                  <c:v>-6.0696333333333339</c:v>
                </c:pt>
                <c:pt idx="56" formatCode="General">
                  <c:v>-6.1013000000000002</c:v>
                </c:pt>
                <c:pt idx="57" formatCode="General">
                  <c:v>-6.132493975903615</c:v>
                </c:pt>
                <c:pt idx="58" formatCode="General">
                  <c:v>-6.1620120481927714</c:v>
                </c:pt>
                <c:pt idx="59" formatCode="General">
                  <c:v>-6.190612121212121</c:v>
                </c:pt>
                <c:pt idx="60" formatCode="General">
                  <c:v>-6.2184909090909093</c:v>
                </c:pt>
                <c:pt idx="61" formatCode="General">
                  <c:v>-6.2441636363636368</c:v>
                </c:pt>
                <c:pt idx="62" formatCode="General">
                  <c:v>-6.2693030303030302</c:v>
                </c:pt>
                <c:pt idx="63" formatCode="General">
                  <c:v>-6.2935454545454546</c:v>
                </c:pt>
                <c:pt idx="64" formatCode="General">
                  <c:v>-6.3174181818181818</c:v>
                </c:pt>
                <c:pt idx="65" formatCode="General">
                  <c:v>-6.3410545454545453</c:v>
                </c:pt>
                <c:pt idx="66" formatCode="General">
                  <c:v>-6.363397590361445</c:v>
                </c:pt>
                <c:pt idx="67" formatCode="General">
                  <c:v>-6.385727272727272</c:v>
                </c:pt>
                <c:pt idx="68" formatCode="General">
                  <c:v>-6.4081515151515154</c:v>
                </c:pt>
                <c:pt idx="69" formatCode="General">
                  <c:v>-6.4301818181818184</c:v>
                </c:pt>
                <c:pt idx="70" formatCode="General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4E43-435B-B057-21EAE1F9E5D7}"/>
            </c:ext>
          </c:extLst>
        </c:ser>
        <c:ser>
          <c:idx val="38"/>
          <c:order val="40"/>
          <c:tx>
            <c:strRef>
              <c:f>'Gibbs-EVAL'!$A$141</c:f>
              <c:strCache>
                <c:ptCount val="1"/>
                <c:pt idx="0">
                  <c:v>(DGa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'Gibbs-EVAL'!$B$141:$BT$141</c:f>
              <c:numCache>
                <c:formatCode>0</c:formatCode>
                <c:ptCount val="71"/>
                <c:pt idx="0">
                  <c:v>-60.735090909090907</c:v>
                </c:pt>
                <c:pt idx="1">
                  <c:v>-58.673878787878785</c:v>
                </c:pt>
                <c:pt idx="2" formatCode="General">
                  <c:v>-56.631454545454545</c:v>
                </c:pt>
                <c:pt idx="3" formatCode="General">
                  <c:v>-54.589030303030299</c:v>
                </c:pt>
                <c:pt idx="4" formatCode="General">
                  <c:v>-52.560166414523451</c:v>
                </c:pt>
                <c:pt idx="5" formatCode="General">
                  <c:v>-50.687246596066565</c:v>
                </c:pt>
                <c:pt idx="6" formatCode="General">
                  <c:v>-48.814326777609679</c:v>
                </c:pt>
                <c:pt idx="7" formatCode="General">
                  <c:v>-46.9414069591528</c:v>
                </c:pt>
                <c:pt idx="8" formatCode="General">
                  <c:v>-45.068487140695915</c:v>
                </c:pt>
                <c:pt idx="9" formatCode="General">
                  <c:v>-43.195567322239029</c:v>
                </c:pt>
                <c:pt idx="10" formatCode="General">
                  <c:v>-41.32264750378215</c:v>
                </c:pt>
                <c:pt idx="11" formatCode="General">
                  <c:v>-39.589393939393936</c:v>
                </c:pt>
                <c:pt idx="12" formatCode="General">
                  <c:v>-38.013636363636365</c:v>
                </c:pt>
                <c:pt idx="13" formatCode="General">
                  <c:v>-36.542242424242424</c:v>
                </c:pt>
                <c:pt idx="14" formatCode="General">
                  <c:v>-35.117771084337356</c:v>
                </c:pt>
                <c:pt idx="15" formatCode="General">
                  <c:v>-33.810542168674701</c:v>
                </c:pt>
                <c:pt idx="16" formatCode="General">
                  <c:v>-32.561090909090908</c:v>
                </c:pt>
                <c:pt idx="17" formatCode="General">
                  <c:v>-31.367151515151512</c:v>
                </c:pt>
                <c:pt idx="18" formatCode="General">
                  <c:v>-30.256606060606057</c:v>
                </c:pt>
                <c:pt idx="19" formatCode="General">
                  <c:v>-29.173636363636362</c:v>
                </c:pt>
                <c:pt idx="20" formatCode="General">
                  <c:v>-28.143333333333331</c:v>
                </c:pt>
                <c:pt idx="21" formatCode="General">
                  <c:v>-27.143575757575757</c:v>
                </c:pt>
                <c:pt idx="22" formatCode="General">
                  <c:v>-26.167818181818177</c:v>
                </c:pt>
                <c:pt idx="23" formatCode="General">
                  <c:v>-25.252228915662648</c:v>
                </c:pt>
                <c:pt idx="24" formatCode="General">
                  <c:v>-24.354848484848485</c:v>
                </c:pt>
                <c:pt idx="25" formatCode="General">
                  <c:v>-23.494242424242422</c:v>
                </c:pt>
                <c:pt idx="26" formatCode="General">
                  <c:v>-22.673636363636362</c:v>
                </c:pt>
                <c:pt idx="27" formatCode="General">
                  <c:v>-21.879696969696969</c:v>
                </c:pt>
                <c:pt idx="28" formatCode="General">
                  <c:v>-21.149090909090908</c:v>
                </c:pt>
                <c:pt idx="29" formatCode="General">
                  <c:v>-20.438181818181818</c:v>
                </c:pt>
                <c:pt idx="30" formatCode="General">
                  <c:v>-19.765454545454546</c:v>
                </c:pt>
                <c:pt idx="31" formatCode="General">
                  <c:v>-19.126686746987954</c:v>
                </c:pt>
                <c:pt idx="32" formatCode="General">
                  <c:v>-18.506204819277109</c:v>
                </c:pt>
                <c:pt idx="33" formatCode="General">
                  <c:v>-17.918000000000003</c:v>
                </c:pt>
                <c:pt idx="34" formatCode="General">
                  <c:v>-17.342484848484851</c:v>
                </c:pt>
                <c:pt idx="35" formatCode="General">
                  <c:v>-16.7909696969697</c:v>
                </c:pt>
                <c:pt idx="36" formatCode="General">
                  <c:v>-16.252000000000002</c:v>
                </c:pt>
                <c:pt idx="37" formatCode="General">
                  <c:v>-15.721119515885023</c:v>
                </c:pt>
                <c:pt idx="38" formatCode="General">
                  <c:v>-15.249107413010591</c:v>
                </c:pt>
                <c:pt idx="39" formatCode="General">
                  <c:v>-14.77709531013616</c:v>
                </c:pt>
                <c:pt idx="40" formatCode="General">
                  <c:v>-14.305083207261726</c:v>
                </c:pt>
                <c:pt idx="41" formatCode="General">
                  <c:v>-13.833071104387294</c:v>
                </c:pt>
                <c:pt idx="42" formatCode="General">
                  <c:v>-13.36105900151286</c:v>
                </c:pt>
                <c:pt idx="43" formatCode="General">
                  <c:v>-12.889046898638428</c:v>
                </c:pt>
                <c:pt idx="44" formatCode="General">
                  <c:v>-12.457367624810892</c:v>
                </c:pt>
                <c:pt idx="45" formatCode="General">
                  <c:v>-12.079152798789712</c:v>
                </c:pt>
                <c:pt idx="46" formatCode="General">
                  <c:v>-11.700937972768532</c:v>
                </c:pt>
                <c:pt idx="47" formatCode="General">
                  <c:v>-11.322723146747352</c:v>
                </c:pt>
                <c:pt idx="48" formatCode="General">
                  <c:v>-10.944508320726172</c:v>
                </c:pt>
                <c:pt idx="49" formatCode="General">
                  <c:v>-10.56629349470499</c:v>
                </c:pt>
                <c:pt idx="50" formatCode="General">
                  <c:v>-10.18807866868381</c:v>
                </c:pt>
                <c:pt idx="51" formatCode="General">
                  <c:v>-9.9633303030303022</c:v>
                </c:pt>
                <c:pt idx="52" formatCode="General">
                  <c:v>-9.7722696969696958</c:v>
                </c:pt>
                <c:pt idx="53" formatCode="General">
                  <c:v>-9.5812090909090895</c:v>
                </c:pt>
                <c:pt idx="54" formatCode="General">
                  <c:v>-9.3901484848484831</c:v>
                </c:pt>
                <c:pt idx="55" formatCode="General">
                  <c:v>-9.1990878787878785</c:v>
                </c:pt>
                <c:pt idx="56" formatCode="General">
                  <c:v>-9.0080272727272721</c:v>
                </c:pt>
                <c:pt idx="57" formatCode="General">
                  <c:v>-8.8458795180722891</c:v>
                </c:pt>
                <c:pt idx="58" formatCode="General">
                  <c:v>-8.7862409638554215</c:v>
                </c:pt>
                <c:pt idx="59" formatCode="General">
                  <c:v>-8.7443878787878795</c:v>
                </c:pt>
                <c:pt idx="60" formatCode="General">
                  <c:v>-8.7165090909090921</c:v>
                </c:pt>
                <c:pt idx="61" formatCode="General">
                  <c:v>-8.7068303030303031</c:v>
                </c:pt>
                <c:pt idx="62" formatCode="General">
                  <c:v>-8.7021030303030305</c:v>
                </c:pt>
                <c:pt idx="63" formatCode="General">
                  <c:v>-8.7063454545454544</c:v>
                </c:pt>
                <c:pt idx="64" formatCode="General">
                  <c:v>-8.7153939393939392</c:v>
                </c:pt>
                <c:pt idx="65" formatCode="General">
                  <c:v>-8.727515151515151</c:v>
                </c:pt>
                <c:pt idx="66" formatCode="General">
                  <c:v>-8.7430361445783138</c:v>
                </c:pt>
                <c:pt idx="67" formatCode="General">
                  <c:v>-8.7596363636363641</c:v>
                </c:pt>
                <c:pt idx="68" formatCode="General">
                  <c:v>-8.7784242424242418</c:v>
                </c:pt>
                <c:pt idx="69" formatCode="General">
                  <c:v>-8.798</c:v>
                </c:pt>
                <c:pt idx="70" formatCode="General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4E43-435B-B057-21EAE1F9E5D7}"/>
            </c:ext>
          </c:extLst>
        </c:ser>
        <c:ser>
          <c:idx val="40"/>
          <c:order val="41"/>
          <c:tx>
            <c:strRef>
              <c:f>'Gibbs-EVAL'!$A$142</c:f>
              <c:strCache>
                <c:ptCount val="1"/>
                <c:pt idx="0">
                  <c:v>(1)Se[A]</c:v>
                </c:pt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'Gibbs-EVAL'!$B$142:$BT$142</c:f>
              <c:numCache>
                <c:formatCode>0</c:formatCode>
                <c:ptCount val="71"/>
                <c:pt idx="0">
                  <c:v>-22.065575757575758</c:v>
                </c:pt>
                <c:pt idx="1">
                  <c:v>-21.674060606060607</c:v>
                </c:pt>
                <c:pt idx="2" formatCode="General">
                  <c:v>-21.395272727272726</c:v>
                </c:pt>
                <c:pt idx="3" formatCode="General">
                  <c:v>-21.244787878787879</c:v>
                </c:pt>
                <c:pt idx="4" formatCode="General">
                  <c:v>-21.157019667170953</c:v>
                </c:pt>
                <c:pt idx="5" formatCode="General">
                  <c:v>-21.244765506807866</c:v>
                </c:pt>
                <c:pt idx="6" formatCode="General">
                  <c:v>-21.332511346444779</c:v>
                </c:pt>
                <c:pt idx="7" formatCode="General">
                  <c:v>-21.420257186081695</c:v>
                </c:pt>
                <c:pt idx="8" formatCode="General">
                  <c:v>-21.508003025718608</c:v>
                </c:pt>
                <c:pt idx="9" formatCode="General">
                  <c:v>-21.595748865355521</c:v>
                </c:pt>
                <c:pt idx="10" formatCode="General">
                  <c:v>-21.683494704992437</c:v>
                </c:pt>
                <c:pt idx="11" formatCode="General">
                  <c:v>-21.792666666666666</c:v>
                </c:pt>
                <c:pt idx="12" formatCode="General">
                  <c:v>-21.925999999999998</c:v>
                </c:pt>
                <c:pt idx="13" formatCode="General">
                  <c:v>-22.049393939393937</c:v>
                </c:pt>
                <c:pt idx="14" formatCode="General">
                  <c:v>-22.167409638554215</c:v>
                </c:pt>
                <c:pt idx="15" formatCode="General">
                  <c:v>-22.269819277108432</c:v>
                </c:pt>
                <c:pt idx="16" formatCode="General">
                  <c:v>-22.363272727272729</c:v>
                </c:pt>
                <c:pt idx="17" formatCode="General">
                  <c:v>-22.448121212121212</c:v>
                </c:pt>
                <c:pt idx="18" formatCode="General">
                  <c:v>-22.532969696969698</c:v>
                </c:pt>
                <c:pt idx="19" formatCode="General">
                  <c:v>-22.620363636363638</c:v>
                </c:pt>
                <c:pt idx="20" formatCode="General">
                  <c:v>-22.717333333333336</c:v>
                </c:pt>
                <c:pt idx="21" formatCode="General">
                  <c:v>-22.82448484848485</c:v>
                </c:pt>
                <c:pt idx="22" formatCode="General">
                  <c:v>-22.939636363636364</c:v>
                </c:pt>
                <c:pt idx="23" formatCode="General">
                  <c:v>-23.059638554216868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E43-435B-B057-21EAE1F9E5D7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-22.065575757575758</c:v>
                </c:pt>
                <c:pt idx="1">
                  <c:v>-21.674060606060607</c:v>
                </c:pt>
                <c:pt idx="2" formatCode="General">
                  <c:v>-21.395272727272726</c:v>
                </c:pt>
                <c:pt idx="3" formatCode="General">
                  <c:v>-21.244787878787879</c:v>
                </c:pt>
                <c:pt idx="4" formatCode="General">
                  <c:v>-21.157019667170953</c:v>
                </c:pt>
                <c:pt idx="5" formatCode="General">
                  <c:v>-21.244765506807866</c:v>
                </c:pt>
                <c:pt idx="6" formatCode="General">
                  <c:v>-21.332511346444779</c:v>
                </c:pt>
                <c:pt idx="7" formatCode="General">
                  <c:v>-21.420257186081695</c:v>
                </c:pt>
                <c:pt idx="8" formatCode="General">
                  <c:v>-21.508003025718608</c:v>
                </c:pt>
                <c:pt idx="9" formatCode="General">
                  <c:v>-21.595748865355521</c:v>
                </c:pt>
                <c:pt idx="10" formatCode="General">
                  <c:v>-21.683494704992437</c:v>
                </c:pt>
                <c:pt idx="11" formatCode="General">
                  <c:v>-21.792666666666666</c:v>
                </c:pt>
                <c:pt idx="12" formatCode="General">
                  <c:v>-21.925999999999998</c:v>
                </c:pt>
                <c:pt idx="13" formatCode="General">
                  <c:v>-22.049393939393937</c:v>
                </c:pt>
                <c:pt idx="14" formatCode="General">
                  <c:v>-22.167409638554215</c:v>
                </c:pt>
                <c:pt idx="15" formatCode="General">
                  <c:v>-22.269819277108432</c:v>
                </c:pt>
                <c:pt idx="16" formatCode="General">
                  <c:v>-22.363272727272729</c:v>
                </c:pt>
                <c:pt idx="17" formatCode="General">
                  <c:v>-22.448121212121212</c:v>
                </c:pt>
                <c:pt idx="18" formatCode="General">
                  <c:v>-22.532969696969698</c:v>
                </c:pt>
                <c:pt idx="19" formatCode="General">
                  <c:v>-22.620363636363638</c:v>
                </c:pt>
                <c:pt idx="20" formatCode="General">
                  <c:v>-22.717333333333336</c:v>
                </c:pt>
                <c:pt idx="21" formatCode="General">
                  <c:v>-22.82448484848485</c:v>
                </c:pt>
                <c:pt idx="22" formatCode="General">
                  <c:v>-22.939636363636364</c:v>
                </c:pt>
                <c:pt idx="23" formatCode="General">
                  <c:v>-23.059638554216868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4E43-435B-B057-21EAE1F9E5D7}"/>
            </c:ext>
          </c:extLst>
        </c:ser>
        <c:ser>
          <c:idx val="42"/>
          <c:order val="43"/>
          <c:tx>
            <c:strRef>
              <c:f>'Gibbs-EVAL'!$A$144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'Gibbs-EVAL'!$B$144:$BT$144</c:f>
              <c:numCache>
                <c:formatCode>0</c:formatCode>
                <c:ptCount val="71"/>
                <c:pt idx="0">
                  <c:v>-22.065575757575758</c:v>
                </c:pt>
                <c:pt idx="1">
                  <c:v>-21.674060606060607</c:v>
                </c:pt>
                <c:pt idx="2" formatCode="General">
                  <c:v>-21.395272727272726</c:v>
                </c:pt>
                <c:pt idx="3" formatCode="General">
                  <c:v>-21.244787878787879</c:v>
                </c:pt>
                <c:pt idx="4" formatCode="General">
                  <c:v>-21.157019667170953</c:v>
                </c:pt>
                <c:pt idx="5" formatCode="General">
                  <c:v>-21.244765506807866</c:v>
                </c:pt>
                <c:pt idx="6" formatCode="General">
                  <c:v>-21.332511346444779</c:v>
                </c:pt>
                <c:pt idx="7" formatCode="General">
                  <c:v>-21.420257186081695</c:v>
                </c:pt>
                <c:pt idx="8" formatCode="General">
                  <c:v>-21.508003025718608</c:v>
                </c:pt>
                <c:pt idx="9" formatCode="General">
                  <c:v>-21.595748865355521</c:v>
                </c:pt>
                <c:pt idx="10" formatCode="General">
                  <c:v>-21.683494704992437</c:v>
                </c:pt>
                <c:pt idx="11" formatCode="General">
                  <c:v>-21.792666666666666</c:v>
                </c:pt>
                <c:pt idx="12" formatCode="General">
                  <c:v>-21.925999999999998</c:v>
                </c:pt>
                <c:pt idx="13" formatCode="General">
                  <c:v>-22.049393939393937</c:v>
                </c:pt>
                <c:pt idx="14" formatCode="General">
                  <c:v>-22.167409638554215</c:v>
                </c:pt>
                <c:pt idx="15" formatCode="General">
                  <c:v>-22.269819277108432</c:v>
                </c:pt>
                <c:pt idx="16" formatCode="General">
                  <c:v>-22.363272727272729</c:v>
                </c:pt>
                <c:pt idx="17" formatCode="General">
                  <c:v>-22.448121212121212</c:v>
                </c:pt>
                <c:pt idx="18" formatCode="General">
                  <c:v>-22.532969696969698</c:v>
                </c:pt>
                <c:pt idx="19" formatCode="General">
                  <c:v>-22.620363636363638</c:v>
                </c:pt>
                <c:pt idx="20" formatCode="General">
                  <c:v>-22.717333333333336</c:v>
                </c:pt>
                <c:pt idx="21" formatCode="General">
                  <c:v>-22.82448484848485</c:v>
                </c:pt>
                <c:pt idx="22" formatCode="General">
                  <c:v>-22.939636363636364</c:v>
                </c:pt>
                <c:pt idx="23" formatCode="General">
                  <c:v>-23.059638554216868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4E43-435B-B057-21EAE1F9E5D7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  <c:pt idx="0">
                  <c:v>(2)Ga[l]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-60.735090909090907</c:v>
                </c:pt>
                <c:pt idx="1">
                  <c:v>-58.673878787878785</c:v>
                </c:pt>
                <c:pt idx="2" formatCode="General">
                  <c:v>-56.631454545454545</c:v>
                </c:pt>
                <c:pt idx="3" formatCode="General">
                  <c:v>-54.589030303030299</c:v>
                </c:pt>
                <c:pt idx="4" formatCode="General">
                  <c:v>-52.560166414523451</c:v>
                </c:pt>
                <c:pt idx="5" formatCode="General">
                  <c:v>-50.687246596066565</c:v>
                </c:pt>
                <c:pt idx="6" formatCode="General">
                  <c:v>-48.814326777609679</c:v>
                </c:pt>
                <c:pt idx="7" formatCode="General">
                  <c:v>-46.9414069591528</c:v>
                </c:pt>
                <c:pt idx="8" formatCode="General">
                  <c:v>-45.068487140695915</c:v>
                </c:pt>
                <c:pt idx="9" formatCode="General">
                  <c:v>-43.195567322239029</c:v>
                </c:pt>
                <c:pt idx="10" formatCode="General">
                  <c:v>-41.32264750378215</c:v>
                </c:pt>
                <c:pt idx="11" formatCode="General">
                  <c:v>-39.589393939393936</c:v>
                </c:pt>
                <c:pt idx="12" formatCode="General">
                  <c:v>-38.013636363636365</c:v>
                </c:pt>
                <c:pt idx="13" formatCode="General">
                  <c:v>-36.542242424242424</c:v>
                </c:pt>
                <c:pt idx="14" formatCode="General">
                  <c:v>-35.117771084337356</c:v>
                </c:pt>
                <c:pt idx="15" formatCode="General">
                  <c:v>-33.810542168674701</c:v>
                </c:pt>
                <c:pt idx="16" formatCode="General">
                  <c:v>-32.561090909090908</c:v>
                </c:pt>
                <c:pt idx="17" formatCode="General">
                  <c:v>-31.367151515151512</c:v>
                </c:pt>
                <c:pt idx="18" formatCode="General">
                  <c:v>-30.256606060606057</c:v>
                </c:pt>
                <c:pt idx="19" formatCode="General">
                  <c:v>-29.173636363636362</c:v>
                </c:pt>
                <c:pt idx="20" formatCode="General">
                  <c:v>-28.143333333333331</c:v>
                </c:pt>
                <c:pt idx="21" formatCode="General">
                  <c:v>-27.143575757575757</c:v>
                </c:pt>
                <c:pt idx="22" formatCode="General">
                  <c:v>-26.167818181818177</c:v>
                </c:pt>
                <c:pt idx="23" formatCode="General">
                  <c:v>-25.252228915662648</c:v>
                </c:pt>
                <c:pt idx="24" formatCode="General">
                  <c:v>-24.354848484848485</c:v>
                </c:pt>
                <c:pt idx="25" formatCode="General">
                  <c:v>-23.494242424242422</c:v>
                </c:pt>
                <c:pt idx="26" formatCode="General">
                  <c:v>-22.673636363636362</c:v>
                </c:pt>
                <c:pt idx="27" formatCode="General">
                  <c:v>-21.879696969696969</c:v>
                </c:pt>
                <c:pt idx="28" formatCode="General">
                  <c:v>-21.149090909090908</c:v>
                </c:pt>
                <c:pt idx="29" formatCode="General">
                  <c:v>-20.438181818181818</c:v>
                </c:pt>
                <c:pt idx="30" formatCode="General">
                  <c:v>-19.765454545454546</c:v>
                </c:pt>
                <c:pt idx="31" formatCode="General">
                  <c:v>-19.126686746987954</c:v>
                </c:pt>
                <c:pt idx="32" formatCode="General">
                  <c:v>-18.506204819277109</c:v>
                </c:pt>
                <c:pt idx="33" formatCode="General">
                  <c:v>-17.918000000000003</c:v>
                </c:pt>
                <c:pt idx="34" formatCode="General">
                  <c:v>-17.342484848484851</c:v>
                </c:pt>
                <c:pt idx="35" formatCode="General">
                  <c:v>-16.7909696969697</c:v>
                </c:pt>
                <c:pt idx="36" formatCode="General">
                  <c:v>-16.252000000000002</c:v>
                </c:pt>
                <c:pt idx="37" formatCode="General">
                  <c:v>-15.721119515885023</c:v>
                </c:pt>
                <c:pt idx="38" formatCode="General">
                  <c:v>-15.249107413010591</c:v>
                </c:pt>
                <c:pt idx="39" formatCode="General">
                  <c:v>-14.77709531013616</c:v>
                </c:pt>
                <c:pt idx="40" formatCode="General">
                  <c:v>-14.305083207261726</c:v>
                </c:pt>
                <c:pt idx="41" formatCode="General">
                  <c:v>-13.833071104387294</c:v>
                </c:pt>
                <c:pt idx="42" formatCode="General">
                  <c:v>-13.36105900151286</c:v>
                </c:pt>
                <c:pt idx="43" formatCode="General">
                  <c:v>-12.889046898638428</c:v>
                </c:pt>
                <c:pt idx="44" formatCode="General">
                  <c:v>-12.457367624810892</c:v>
                </c:pt>
                <c:pt idx="45" formatCode="General">
                  <c:v>-12.079152798789712</c:v>
                </c:pt>
                <c:pt idx="46" formatCode="General">
                  <c:v>-11.700937972768532</c:v>
                </c:pt>
                <c:pt idx="47" formatCode="General">
                  <c:v>-11.322723146747352</c:v>
                </c:pt>
                <c:pt idx="48" formatCode="General">
                  <c:v>-10.944508320726172</c:v>
                </c:pt>
                <c:pt idx="49" formatCode="General">
                  <c:v>-10.56629349470499</c:v>
                </c:pt>
                <c:pt idx="50" formatCode="General">
                  <c:v>-10.18807866868381</c:v>
                </c:pt>
                <c:pt idx="51" formatCode="General">
                  <c:v>-9.9633303030303022</c:v>
                </c:pt>
                <c:pt idx="52" formatCode="General">
                  <c:v>-9.7722696969696958</c:v>
                </c:pt>
                <c:pt idx="53" formatCode="General">
                  <c:v>-9.5812090909090895</c:v>
                </c:pt>
                <c:pt idx="54" formatCode="General">
                  <c:v>-9.3901484848484831</c:v>
                </c:pt>
                <c:pt idx="55" formatCode="General">
                  <c:v>-9.1990878787878785</c:v>
                </c:pt>
                <c:pt idx="56" formatCode="General">
                  <c:v>-9.0080272727272721</c:v>
                </c:pt>
                <c:pt idx="57" formatCode="General">
                  <c:v>-8.8458795180722891</c:v>
                </c:pt>
                <c:pt idx="58" formatCode="General">
                  <c:v>-8.7862409638554215</c:v>
                </c:pt>
                <c:pt idx="59" formatCode="General">
                  <c:v>-8.7443878787878795</c:v>
                </c:pt>
                <c:pt idx="60" formatCode="General">
                  <c:v>-8.7165090909090921</c:v>
                </c:pt>
                <c:pt idx="61" formatCode="General">
                  <c:v>-8.7068303030303031</c:v>
                </c:pt>
                <c:pt idx="62" formatCode="General">
                  <c:v>-8.7021030303030305</c:v>
                </c:pt>
                <c:pt idx="63" formatCode="General">
                  <c:v>-8.7063454545454544</c:v>
                </c:pt>
                <c:pt idx="64" formatCode="General">
                  <c:v>-8.7153939393939392</c:v>
                </c:pt>
                <c:pt idx="65" formatCode="General">
                  <c:v>-8.727515151515151</c:v>
                </c:pt>
                <c:pt idx="66" formatCode="General">
                  <c:v>-8.7430361445783138</c:v>
                </c:pt>
                <c:pt idx="67" formatCode="General">
                  <c:v>-8.7596363636363641</c:v>
                </c:pt>
                <c:pt idx="68" formatCode="General">
                  <c:v>-8.7784242424242418</c:v>
                </c:pt>
                <c:pt idx="69" formatCode="General">
                  <c:v>-8.798</c:v>
                </c:pt>
                <c:pt idx="70" formatCode="General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4E43-435B-B057-21EAE1F9E5D7}"/>
            </c:ext>
          </c:extLst>
        </c:ser>
        <c:ser>
          <c:idx val="44"/>
          <c:order val="45"/>
          <c:tx>
            <c:strRef>
              <c:f>'Gibbs-EVAL'!$A$146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'Gibbs-EVAL'!$B$146:$BT$146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-18.631089258698939</c:v>
                </c:pt>
                <c:pt idx="5" formatCode="General">
                  <c:v>-18.644704992435702</c:v>
                </c:pt>
                <c:pt idx="6" formatCode="General">
                  <c:v>-18.658320726172466</c:v>
                </c:pt>
                <c:pt idx="7" formatCode="General">
                  <c:v>-18.671936459909226</c:v>
                </c:pt>
                <c:pt idx="8" formatCode="General">
                  <c:v>-18.685552193645989</c:v>
                </c:pt>
                <c:pt idx="9" formatCode="General">
                  <c:v>-18.699167927382753</c:v>
                </c:pt>
                <c:pt idx="10" formatCode="General">
                  <c:v>-18.712783661119516</c:v>
                </c:pt>
                <c:pt idx="11" formatCode="General">
                  <c:v>-18.728545454545454</c:v>
                </c:pt>
                <c:pt idx="12" formatCode="General">
                  <c:v>-18.746727272727274</c:v>
                </c:pt>
                <c:pt idx="13" formatCode="General">
                  <c:v>-18.764909090909093</c:v>
                </c:pt>
                <c:pt idx="14" formatCode="General">
                  <c:v>-18.783072289156628</c:v>
                </c:pt>
                <c:pt idx="15" formatCode="General">
                  <c:v>-18.801144578313252</c:v>
                </c:pt>
                <c:pt idx="16" formatCode="General">
                  <c:v>-18.819272727272725</c:v>
                </c:pt>
                <c:pt idx="17" formatCode="General">
                  <c:v>-18.837454545454545</c:v>
                </c:pt>
                <c:pt idx="18" formatCode="General">
                  <c:v>-18.855636363636364</c:v>
                </c:pt>
                <c:pt idx="19" formatCode="General">
                  <c:v>-18.873818181818184</c:v>
                </c:pt>
                <c:pt idx="20" formatCode="General">
                  <c:v>-18.891999999999999</c:v>
                </c:pt>
                <c:pt idx="21" formatCode="General">
                  <c:v>-18.913575757575757</c:v>
                </c:pt>
                <c:pt idx="22" formatCode="General">
                  <c:v>-18.937818181818184</c:v>
                </c:pt>
                <c:pt idx="23" formatCode="General">
                  <c:v>-18.95644578313253</c:v>
                </c:pt>
                <c:pt idx="24" formatCode="General">
                  <c:v>-18.976060606060607</c:v>
                </c:pt>
                <c:pt idx="25" formatCode="General">
                  <c:v>-19.00030303030303</c:v>
                </c:pt>
                <c:pt idx="26" formatCode="General">
                  <c:v>-19.020909090909093</c:v>
                </c:pt>
                <c:pt idx="27" formatCode="General">
                  <c:v>-19.039090909090909</c:v>
                </c:pt>
                <c:pt idx="28" formatCode="General">
                  <c:v>-19.057272727272728</c:v>
                </c:pt>
                <c:pt idx="29" formatCode="General">
                  <c:v>-19.077272727272728</c:v>
                </c:pt>
                <c:pt idx="30" formatCode="General">
                  <c:v>-19.101515151515152</c:v>
                </c:pt>
                <c:pt idx="31" formatCode="General">
                  <c:v>-19.121746987951806</c:v>
                </c:pt>
                <c:pt idx="32" formatCode="General">
                  <c:v>-19.139819277108433</c:v>
                </c:pt>
                <c:pt idx="33" formatCode="General">
                  <c:v>-19.164000000000001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-19.388456883509832</c:v>
                </c:pt>
                <c:pt idx="45" formatCode="General">
                  <c:v>-19.408124054462935</c:v>
                </c:pt>
                <c:pt idx="46" formatCode="General">
                  <c:v>-19.427791225416037</c:v>
                </c:pt>
                <c:pt idx="47" formatCode="General">
                  <c:v>-19.447458396369139</c:v>
                </c:pt>
                <c:pt idx="48" formatCode="General">
                  <c:v>-19.467125567322238</c:v>
                </c:pt>
                <c:pt idx="49" formatCode="General">
                  <c:v>-19.486792738275341</c:v>
                </c:pt>
                <c:pt idx="50" formatCode="General">
                  <c:v>-19.506459909228443</c:v>
                </c:pt>
                <c:pt idx="51" formatCode="General">
                  <c:v>-19.526151515151518</c:v>
                </c:pt>
                <c:pt idx="52" formatCode="General">
                  <c:v>-19.545848484848488</c:v>
                </c:pt>
                <c:pt idx="53" formatCode="General">
                  <c:v>-19.565545454545457</c:v>
                </c:pt>
                <c:pt idx="54" formatCode="General">
                  <c:v>-19.585242424242427</c:v>
                </c:pt>
                <c:pt idx="55" formatCode="General">
                  <c:v>-19.604939393939397</c:v>
                </c:pt>
                <c:pt idx="56" formatCode="General">
                  <c:v>-19.624636363636366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4E43-435B-B057-21EAE1F9E5D7}"/>
            </c:ext>
          </c:extLst>
        </c:ser>
        <c:ser>
          <c:idx val="45"/>
          <c:order val="46"/>
          <c:tx>
            <c:strRef>
              <c:f>'Gibbs-EVAL'!$A$147</c:f>
              <c:strCache>
                <c:ptCount val="1"/>
                <c:pt idx="0">
                  <c:v>H (Ga)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'Gibbs-EVAL'!$B$147:$BT$147</c:f>
              <c:numCache>
                <c:formatCode>0</c:formatCode>
                <c:ptCount val="71"/>
                <c:pt idx="0">
                  <c:v>-60.735090909090907</c:v>
                </c:pt>
                <c:pt idx="1">
                  <c:v>-58.673878787878785</c:v>
                </c:pt>
                <c:pt idx="2" formatCode="General">
                  <c:v>-56.631454545454545</c:v>
                </c:pt>
                <c:pt idx="3" formatCode="General">
                  <c:v>-54.589030303030299</c:v>
                </c:pt>
                <c:pt idx="4" formatCode="General">
                  <c:v>-52.560166414523451</c:v>
                </c:pt>
                <c:pt idx="5" formatCode="General">
                  <c:v>-50.687246596066565</c:v>
                </c:pt>
                <c:pt idx="6" formatCode="General">
                  <c:v>-48.814326777609679</c:v>
                </c:pt>
                <c:pt idx="7" formatCode="General">
                  <c:v>-46.9414069591528</c:v>
                </c:pt>
                <c:pt idx="8" formatCode="General">
                  <c:v>-45.068487140695915</c:v>
                </c:pt>
                <c:pt idx="9" formatCode="General">
                  <c:v>-43.195567322239029</c:v>
                </c:pt>
                <c:pt idx="10" formatCode="General">
                  <c:v>-41.32264750378215</c:v>
                </c:pt>
                <c:pt idx="11" formatCode="General">
                  <c:v>-39.589393939393936</c:v>
                </c:pt>
                <c:pt idx="12" formatCode="General">
                  <c:v>-38.013636363636365</c:v>
                </c:pt>
                <c:pt idx="13" formatCode="General">
                  <c:v>-36.542242424242424</c:v>
                </c:pt>
                <c:pt idx="14" formatCode="General">
                  <c:v>-35.117771084337356</c:v>
                </c:pt>
                <c:pt idx="15" formatCode="General">
                  <c:v>-33.810542168674701</c:v>
                </c:pt>
                <c:pt idx="16" formatCode="General">
                  <c:v>-32.561090909090908</c:v>
                </c:pt>
                <c:pt idx="17" formatCode="General">
                  <c:v>-31.367151515151512</c:v>
                </c:pt>
                <c:pt idx="18" formatCode="General">
                  <c:v>-30.256606060606057</c:v>
                </c:pt>
                <c:pt idx="19" formatCode="General">
                  <c:v>-29.173636363636362</c:v>
                </c:pt>
                <c:pt idx="20" formatCode="General">
                  <c:v>-28.143333333333331</c:v>
                </c:pt>
                <c:pt idx="21" formatCode="General">
                  <c:v>-27.143575757575757</c:v>
                </c:pt>
                <c:pt idx="22" formatCode="General">
                  <c:v>-26.167818181818177</c:v>
                </c:pt>
                <c:pt idx="23" formatCode="General">
                  <c:v>-25.252228915662648</c:v>
                </c:pt>
                <c:pt idx="24" formatCode="General">
                  <c:v>-24.354848484848485</c:v>
                </c:pt>
                <c:pt idx="25" formatCode="General">
                  <c:v>-23.494242424242422</c:v>
                </c:pt>
                <c:pt idx="26" formatCode="General">
                  <c:v>-22.673636363636362</c:v>
                </c:pt>
                <c:pt idx="27" formatCode="General">
                  <c:v>-21.879696969696969</c:v>
                </c:pt>
                <c:pt idx="28" formatCode="General">
                  <c:v>-21.149090909090908</c:v>
                </c:pt>
                <c:pt idx="29" formatCode="General">
                  <c:v>-20.438181818181818</c:v>
                </c:pt>
                <c:pt idx="30" formatCode="General">
                  <c:v>-19.765454545454546</c:v>
                </c:pt>
                <c:pt idx="31" formatCode="General">
                  <c:v>-19.126686746987954</c:v>
                </c:pt>
                <c:pt idx="32" formatCode="General">
                  <c:v>-18.506204819277109</c:v>
                </c:pt>
                <c:pt idx="33" formatCode="General">
                  <c:v>-17.918000000000003</c:v>
                </c:pt>
                <c:pt idx="34" formatCode="General">
                  <c:v>-17.342484848484851</c:v>
                </c:pt>
                <c:pt idx="35" formatCode="General">
                  <c:v>-16.7909696969697</c:v>
                </c:pt>
                <c:pt idx="36" formatCode="General">
                  <c:v>-16.252000000000002</c:v>
                </c:pt>
                <c:pt idx="37" formatCode="General">
                  <c:v>-15.721119515885023</c:v>
                </c:pt>
                <c:pt idx="38" formatCode="General">
                  <c:v>-15.249107413010591</c:v>
                </c:pt>
                <c:pt idx="39" formatCode="General">
                  <c:v>-14.77709531013616</c:v>
                </c:pt>
                <c:pt idx="40" formatCode="General">
                  <c:v>-14.305083207261726</c:v>
                </c:pt>
                <c:pt idx="41" formatCode="General">
                  <c:v>-13.833071104387294</c:v>
                </c:pt>
                <c:pt idx="42" formatCode="General">
                  <c:v>-13.36105900151286</c:v>
                </c:pt>
                <c:pt idx="43" formatCode="General">
                  <c:v>-12.889046898638428</c:v>
                </c:pt>
                <c:pt idx="44" formatCode="General">
                  <c:v>-12.457367624810892</c:v>
                </c:pt>
                <c:pt idx="45" formatCode="General">
                  <c:v>-12.079152798789712</c:v>
                </c:pt>
                <c:pt idx="46" formatCode="General">
                  <c:v>-11.700937972768532</c:v>
                </c:pt>
                <c:pt idx="47" formatCode="General">
                  <c:v>-11.322723146747352</c:v>
                </c:pt>
                <c:pt idx="48" formatCode="General">
                  <c:v>-10.944508320726172</c:v>
                </c:pt>
                <c:pt idx="49" formatCode="General">
                  <c:v>-10.56629349470499</c:v>
                </c:pt>
                <c:pt idx="50" formatCode="General">
                  <c:v>-10.18807866868381</c:v>
                </c:pt>
                <c:pt idx="51" formatCode="General">
                  <c:v>-9.9633303030303022</c:v>
                </c:pt>
                <c:pt idx="52" formatCode="General">
                  <c:v>-9.7722696969696958</c:v>
                </c:pt>
                <c:pt idx="53" formatCode="General">
                  <c:v>-9.5812090909090895</c:v>
                </c:pt>
                <c:pt idx="54" formatCode="General">
                  <c:v>-9.3901484848484831</c:v>
                </c:pt>
                <c:pt idx="55" formatCode="General">
                  <c:v>-9.1990878787878785</c:v>
                </c:pt>
                <c:pt idx="56" formatCode="General">
                  <c:v>-9.0080272727272721</c:v>
                </c:pt>
                <c:pt idx="57" formatCode="General">
                  <c:v>-8.8458795180722891</c:v>
                </c:pt>
                <c:pt idx="58" formatCode="General">
                  <c:v>-8.7862409638554215</c:v>
                </c:pt>
                <c:pt idx="59" formatCode="General">
                  <c:v>-8.7443878787878795</c:v>
                </c:pt>
                <c:pt idx="60" formatCode="General">
                  <c:v>-8.7165090909090921</c:v>
                </c:pt>
                <c:pt idx="61" formatCode="General">
                  <c:v>-8.7068303030303031</c:v>
                </c:pt>
                <c:pt idx="62" formatCode="General">
                  <c:v>-8.7021030303030305</c:v>
                </c:pt>
                <c:pt idx="63" formatCode="General">
                  <c:v>-8.7063454545454544</c:v>
                </c:pt>
                <c:pt idx="64" formatCode="General">
                  <c:v>-8.7153939393939392</c:v>
                </c:pt>
                <c:pt idx="65" formatCode="General">
                  <c:v>-8.727515151515151</c:v>
                </c:pt>
                <c:pt idx="66" formatCode="General">
                  <c:v>-8.7430361445783138</c:v>
                </c:pt>
                <c:pt idx="67" formatCode="General">
                  <c:v>-8.7596363636363641</c:v>
                </c:pt>
                <c:pt idx="68" formatCode="General">
                  <c:v>-8.7784242424242418</c:v>
                </c:pt>
                <c:pt idx="69" formatCode="General">
                  <c:v>-8.798</c:v>
                </c:pt>
                <c:pt idx="70" formatCode="General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4E43-435B-B057-21EAE1F9E5D7}"/>
            </c:ext>
          </c:extLst>
        </c:ser>
        <c:ser>
          <c:idx val="46"/>
          <c:order val="47"/>
          <c:tx>
            <c:strRef>
              <c:f>'Gibbs-EVAL'!$A$148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'Gibbs-EVAL'!$B$148:$BT$148</c:f>
              <c:numCache>
                <c:formatCode>0</c:formatCode>
                <c:ptCount val="71"/>
                <c:pt idx="0">
                  <c:v>-15.805636363636363</c:v>
                </c:pt>
                <c:pt idx="1">
                  <c:v>-15.261999999999999</c:v>
                </c:pt>
                <c:pt idx="2" formatCode="General">
                  <c:v>-14.661999999999999</c:v>
                </c:pt>
                <c:pt idx="3" formatCode="General">
                  <c:v>-14.004484848484848</c:v>
                </c:pt>
                <c:pt idx="4" formatCode="General">
                  <c:v>-13.326287443267777</c:v>
                </c:pt>
                <c:pt idx="5" formatCode="General">
                  <c:v>-12.654880484114978</c:v>
                </c:pt>
                <c:pt idx="6" formatCode="General">
                  <c:v>-11.983473524962179</c:v>
                </c:pt>
                <c:pt idx="7" formatCode="General">
                  <c:v>-11.31206656580938</c:v>
                </c:pt>
                <c:pt idx="8" formatCode="General">
                  <c:v>-10.64065960665658</c:v>
                </c:pt>
                <c:pt idx="9" formatCode="General">
                  <c:v>-9.969252647503783</c:v>
                </c:pt>
                <c:pt idx="10" formatCode="General">
                  <c:v>-9.2978456883509839</c:v>
                </c:pt>
                <c:pt idx="11" formatCode="General">
                  <c:v>-8.67908484848485</c:v>
                </c:pt>
                <c:pt idx="12" formatCode="General">
                  <c:v>-8.1196909090909095</c:v>
                </c:pt>
                <c:pt idx="13" formatCode="General">
                  <c:v>-7.619436363636364</c:v>
                </c:pt>
                <c:pt idx="14" formatCode="General">
                  <c:v>-7.1476144578313257</c:v>
                </c:pt>
                <c:pt idx="15" formatCode="General">
                  <c:v>-6.7512289156626508</c:v>
                </c:pt>
                <c:pt idx="16" formatCode="General">
                  <c:v>-6.4021454545454546</c:v>
                </c:pt>
                <c:pt idx="17" formatCode="General">
                  <c:v>-6.09850909090909</c:v>
                </c:pt>
                <c:pt idx="18" formatCode="General">
                  <c:v>-5.8730545454545453</c:v>
                </c:pt>
                <c:pt idx="19" formatCode="General">
                  <c:v>-5.6767454545454541</c:v>
                </c:pt>
                <c:pt idx="20" formatCode="General">
                  <c:v>-5.5421999999999993</c:v>
                </c:pt>
                <c:pt idx="21" formatCode="General">
                  <c:v>-5.4426121212121208</c:v>
                </c:pt>
                <c:pt idx="22" formatCode="General">
                  <c:v>-5.3704909090909085</c:v>
                </c:pt>
                <c:pt idx="23" formatCode="General">
                  <c:v>-5.3393313253012051</c:v>
                </c:pt>
                <c:pt idx="24" formatCode="General">
                  <c:v>-5.319</c:v>
                </c:pt>
                <c:pt idx="25" formatCode="General">
                  <c:v>-5.319</c:v>
                </c:pt>
                <c:pt idx="26" formatCode="General">
                  <c:v>-5.3280909090909088</c:v>
                </c:pt>
                <c:pt idx="27" formatCode="General">
                  <c:v>-5.3432424242424243</c:v>
                </c:pt>
                <c:pt idx="28" formatCode="General">
                  <c:v>-5.3641515151515149</c:v>
                </c:pt>
                <c:pt idx="29" formatCode="General">
                  <c:v>-5.3860909090909086</c:v>
                </c:pt>
                <c:pt idx="30" formatCode="General">
                  <c:v>-5.4097272727272729</c:v>
                </c:pt>
                <c:pt idx="31" formatCode="General">
                  <c:v>-5.4340542168674695</c:v>
                </c:pt>
                <c:pt idx="32" formatCode="General">
                  <c:v>-5.4587530120481924</c:v>
                </c:pt>
                <c:pt idx="33" formatCode="General">
                  <c:v>-5.4829999999999997</c:v>
                </c:pt>
                <c:pt idx="34" formatCode="General">
                  <c:v>-5.5074484848484841</c:v>
                </c:pt>
                <c:pt idx="35" formatCode="General">
                  <c:v>-5.5322969696969695</c:v>
                </c:pt>
                <c:pt idx="36" formatCode="General">
                  <c:v>-5.5567272727272723</c:v>
                </c:pt>
                <c:pt idx="37" formatCode="General">
                  <c:v>-5.5809863842662635</c:v>
                </c:pt>
                <c:pt idx="38" formatCode="General">
                  <c:v>-5.6056459909228442</c:v>
                </c:pt>
                <c:pt idx="39" formatCode="General">
                  <c:v>-5.6303055975794249</c:v>
                </c:pt>
                <c:pt idx="40" formatCode="General">
                  <c:v>-5.6549652042360066</c:v>
                </c:pt>
                <c:pt idx="41" formatCode="General">
                  <c:v>-5.6796248108925873</c:v>
                </c:pt>
                <c:pt idx="42" formatCode="General">
                  <c:v>-5.704284417549168</c:v>
                </c:pt>
                <c:pt idx="43" formatCode="General">
                  <c:v>-5.7289440242057488</c:v>
                </c:pt>
                <c:pt idx="44" formatCode="General">
                  <c:v>-5.7543192133131624</c:v>
                </c:pt>
                <c:pt idx="45" formatCode="General">
                  <c:v>-5.7806429652042359</c:v>
                </c:pt>
                <c:pt idx="46" formatCode="General">
                  <c:v>-5.8069667170953103</c:v>
                </c:pt>
                <c:pt idx="47" formatCode="General">
                  <c:v>-5.8332904689863847</c:v>
                </c:pt>
                <c:pt idx="48" formatCode="General">
                  <c:v>-5.8596142208774582</c:v>
                </c:pt>
                <c:pt idx="49" formatCode="General">
                  <c:v>-5.8859379727685326</c:v>
                </c:pt>
                <c:pt idx="50" formatCode="General">
                  <c:v>-5.912261724659607</c:v>
                </c:pt>
                <c:pt idx="51" formatCode="General">
                  <c:v>-5.942966666666667</c:v>
                </c:pt>
                <c:pt idx="52" formatCode="General">
                  <c:v>-5.9746333333333332</c:v>
                </c:pt>
                <c:pt idx="53" formatCode="General">
                  <c:v>-6.0063000000000004</c:v>
                </c:pt>
                <c:pt idx="54" formatCode="General">
                  <c:v>-6.0379666666666667</c:v>
                </c:pt>
                <c:pt idx="55" formatCode="General">
                  <c:v>-6.0696333333333339</c:v>
                </c:pt>
                <c:pt idx="56" formatCode="General">
                  <c:v>-6.1013000000000002</c:v>
                </c:pt>
                <c:pt idx="57" formatCode="General">
                  <c:v>-6.132493975903615</c:v>
                </c:pt>
                <c:pt idx="58" formatCode="General">
                  <c:v>-6.1620120481927714</c:v>
                </c:pt>
                <c:pt idx="59" formatCode="General">
                  <c:v>-6.190612121212121</c:v>
                </c:pt>
                <c:pt idx="60" formatCode="General">
                  <c:v>-6.2184909090909093</c:v>
                </c:pt>
                <c:pt idx="61" formatCode="General">
                  <c:v>-6.2441636363636368</c:v>
                </c:pt>
                <c:pt idx="62" formatCode="General">
                  <c:v>-6.2693030303030302</c:v>
                </c:pt>
                <c:pt idx="63" formatCode="General">
                  <c:v>-6.2935454545454546</c:v>
                </c:pt>
                <c:pt idx="64" formatCode="General">
                  <c:v>-6.3174181818181818</c:v>
                </c:pt>
                <c:pt idx="65" formatCode="General">
                  <c:v>-6.3410545454545453</c:v>
                </c:pt>
                <c:pt idx="66" formatCode="General">
                  <c:v>-6.363397590361445</c:v>
                </c:pt>
                <c:pt idx="67" formatCode="General">
                  <c:v>-6.385727272727272</c:v>
                </c:pt>
                <c:pt idx="68" formatCode="General">
                  <c:v>-6.4081515151515154</c:v>
                </c:pt>
                <c:pt idx="69" formatCode="General">
                  <c:v>-6.4301818181818184</c:v>
                </c:pt>
                <c:pt idx="70" formatCode="General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4E43-435B-B057-21EAE1F9E5D7}"/>
            </c:ext>
          </c:extLst>
        </c:ser>
        <c:ser>
          <c:idx val="47"/>
          <c:order val="48"/>
          <c:tx>
            <c:strRef>
              <c:f>'Gibbs-EVAL'!$A$149</c:f>
              <c:strCache>
                <c:ptCount val="1"/>
                <c:pt idx="0">
                  <c:v>H (Se)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'Gibbs-EVAL'!$B$149:$BT$149</c:f>
              <c:numCache>
                <c:formatCode>0</c:formatCode>
                <c:ptCount val="71"/>
                <c:pt idx="0">
                  <c:v>-22.065575757575758</c:v>
                </c:pt>
                <c:pt idx="1">
                  <c:v>-21.674060606060607</c:v>
                </c:pt>
                <c:pt idx="2" formatCode="General">
                  <c:v>-21.395272727272726</c:v>
                </c:pt>
                <c:pt idx="3" formatCode="General">
                  <c:v>-21.244787878787879</c:v>
                </c:pt>
                <c:pt idx="4" formatCode="General">
                  <c:v>-21.157019667170953</c:v>
                </c:pt>
                <c:pt idx="5" formatCode="General">
                  <c:v>-21.244765506807866</c:v>
                </c:pt>
                <c:pt idx="6" formatCode="General">
                  <c:v>-21.332511346444779</c:v>
                </c:pt>
                <c:pt idx="7" formatCode="General">
                  <c:v>-21.420257186081695</c:v>
                </c:pt>
                <c:pt idx="8" formatCode="General">
                  <c:v>-21.508003025718608</c:v>
                </c:pt>
                <c:pt idx="9" formatCode="General">
                  <c:v>-21.595748865355521</c:v>
                </c:pt>
                <c:pt idx="10" formatCode="General">
                  <c:v>-21.683494704992437</c:v>
                </c:pt>
                <c:pt idx="11" formatCode="General">
                  <c:v>-21.792666666666666</c:v>
                </c:pt>
                <c:pt idx="12" formatCode="General">
                  <c:v>-21.925999999999998</c:v>
                </c:pt>
                <c:pt idx="13" formatCode="General">
                  <c:v>-22.049393939393937</c:v>
                </c:pt>
                <c:pt idx="14" formatCode="General">
                  <c:v>-22.167409638554215</c:v>
                </c:pt>
                <c:pt idx="15" formatCode="General">
                  <c:v>-22.269819277108432</c:v>
                </c:pt>
                <c:pt idx="16" formatCode="General">
                  <c:v>-22.363272727272729</c:v>
                </c:pt>
                <c:pt idx="17" formatCode="General">
                  <c:v>-22.448121212121212</c:v>
                </c:pt>
                <c:pt idx="18" formatCode="General">
                  <c:v>-22.532969696969698</c:v>
                </c:pt>
                <c:pt idx="19" formatCode="General">
                  <c:v>-22.620363636363638</c:v>
                </c:pt>
                <c:pt idx="20" formatCode="General">
                  <c:v>-22.717333333333336</c:v>
                </c:pt>
                <c:pt idx="21" formatCode="General">
                  <c:v>-22.82448484848485</c:v>
                </c:pt>
                <c:pt idx="22" formatCode="General">
                  <c:v>-22.939636363636364</c:v>
                </c:pt>
                <c:pt idx="23" formatCode="General">
                  <c:v>-23.059638554216868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4E43-435B-B057-21EAE1F9E5D7}"/>
            </c:ext>
          </c:extLst>
        </c:ser>
        <c:ser>
          <c:idx val="48"/>
          <c:order val="49"/>
          <c:tx>
            <c:strRef>
              <c:f>'Gibbs-EVAL'!$A$150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4E43-435B-B057-21EAE1F9E5D7}"/>
            </c:ext>
          </c:extLst>
        </c:ser>
        <c:ser>
          <c:idx val="49"/>
          <c:order val="50"/>
          <c:tx>
            <c:strRef>
              <c:f>'Gibbs-EVAL'!$A$151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4E43-435B-B057-21EAE1F9E5D7}"/>
            </c:ext>
          </c:extLst>
        </c:ser>
        <c:ser>
          <c:idx val="50"/>
          <c:order val="51"/>
          <c:tx>
            <c:strRef>
              <c:f>'Gibbs-EVAL'!$A$152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8-4E43-435B-B057-21EAE1F9E5D7}"/>
            </c:ext>
          </c:extLst>
        </c:ser>
        <c:ser>
          <c:idx val="51"/>
          <c:order val="52"/>
          <c:tx>
            <c:strRef>
              <c:f>'Gibbs-EVAL'!$A$153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9-4E43-435B-B057-21EAE1F9E5D7}"/>
            </c:ext>
          </c:extLst>
        </c:ser>
        <c:ser>
          <c:idx val="52"/>
          <c:order val="53"/>
          <c:tx>
            <c:strRef>
              <c:f>'Gibbs-EVAL'!$A$154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A-4E43-435B-B057-21EAE1F9E5D7}"/>
            </c:ext>
          </c:extLst>
        </c:ser>
        <c:ser>
          <c:idx val="53"/>
          <c:order val="54"/>
          <c:tx>
            <c:strRef>
              <c:f>'Gibbs-EVAL'!$A$155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E43-435B-B057-21EAE1F9E5D7}"/>
            </c:ext>
          </c:extLst>
        </c:ser>
        <c:ser>
          <c:idx val="55"/>
          <c:order val="55"/>
          <c:tx>
            <c:strRef>
              <c:f>'Gibbs-EVAL'!$A$156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4E43-435B-B057-21EAE1F9E5D7}"/>
            </c:ext>
          </c:extLst>
        </c:ser>
        <c:ser>
          <c:idx val="56"/>
          <c:order val="56"/>
          <c:tx>
            <c:strRef>
              <c:f>'Gibbs-EVAL'!$A$157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4E43-435B-B057-21EAE1F9E5D7}"/>
            </c:ext>
          </c:extLst>
        </c:ser>
        <c:ser>
          <c:idx val="57"/>
          <c:order val="57"/>
          <c:tx>
            <c:strRef>
              <c:f>'Gibbs-EVAL'!$A$158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4E43-435B-B057-21EAE1F9E5D7}"/>
            </c:ext>
          </c:extLst>
        </c:ser>
        <c:ser>
          <c:idx val="58"/>
          <c:order val="58"/>
          <c:tx>
            <c:strRef>
              <c:f>'Gibbs-EVAL'!$A$159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4E43-435B-B057-21EAE1F9E5D7}"/>
            </c:ext>
          </c:extLst>
        </c:ser>
        <c:ser>
          <c:idx val="59"/>
          <c:order val="59"/>
          <c:tx>
            <c:strRef>
              <c:f>'Gibbs-EVAL'!$A$160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4E43-435B-B057-21EAE1F9E5D7}"/>
            </c:ext>
          </c:extLst>
        </c:ser>
        <c:ser>
          <c:idx val="60"/>
          <c:order val="60"/>
          <c:tx>
            <c:strRef>
              <c:f>'Gibbs-EVAL'!$A$161</c:f>
              <c:strCache>
                <c:ptCount val="1"/>
                <c:pt idx="0">
                  <c:v>End2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'Gibbs-EVAL'!$B$161:$BT$161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4E43-435B-B057-21EAE1F9E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241247080956879"/>
          <c:y val="1.366175695035161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-21.792000000000002</c:v>
                </c:pt>
                <c:pt idx="1">
                  <c:v>-21.217333333333332</c:v>
                </c:pt>
                <c:pt idx="2" formatCode="General">
                  <c:v>-20.683999999999997</c:v>
                </c:pt>
                <c:pt idx="3" formatCode="General">
                  <c:v>-20.194909090909089</c:v>
                </c:pt>
                <c:pt idx="4" formatCode="General">
                  <c:v>-19.761939393939397</c:v>
                </c:pt>
                <c:pt idx="5" formatCode="General">
                  <c:v>-19.78618181818182</c:v>
                </c:pt>
                <c:pt idx="6" formatCode="General">
                  <c:v>-19.862168674698797</c:v>
                </c:pt>
                <c:pt idx="7" formatCode="General">
                  <c:v>-20.006746987951807</c:v>
                </c:pt>
                <c:pt idx="8" formatCode="General">
                  <c:v>-20.152000000000001</c:v>
                </c:pt>
                <c:pt idx="9" formatCode="General">
                  <c:v>-20.298181818181821</c:v>
                </c:pt>
                <c:pt idx="10" formatCode="General">
                  <c:v>-20.449696969696969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-23.573975903614457</c:v>
                </c:pt>
                <c:pt idx="32" formatCode="General">
                  <c:v>-23.718554216867467</c:v>
                </c:pt>
                <c:pt idx="33" formatCode="General">
                  <c:v>-23.858000000000001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CD16-4E7F-975B-C1DF40B91386}"/>
            </c:ext>
          </c:extLst>
        </c:ser>
        <c:ser>
          <c:idx val="39"/>
          <c:order val="1"/>
          <c:tx>
            <c:strRef>
              <c:f>'Gibbs-EVAL'!$A$102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-15.300424242424242</c:v>
                </c:pt>
                <c:pt idx="1">
                  <c:v>-14.974848484848485</c:v>
                </c:pt>
                <c:pt idx="2" formatCode="General">
                  <c:v>-14.671818181818182</c:v>
                </c:pt>
                <c:pt idx="3" formatCode="General">
                  <c:v>-14.399757575757576</c:v>
                </c:pt>
                <c:pt idx="4" formatCode="General">
                  <c:v>-14.105212121212121</c:v>
                </c:pt>
                <c:pt idx="5" formatCode="General">
                  <c:v>-13.420363636363636</c:v>
                </c:pt>
                <c:pt idx="6" formatCode="General">
                  <c:v>-12.711385542168674</c:v>
                </c:pt>
                <c:pt idx="7" formatCode="General">
                  <c:v>-11.970421686746988</c:v>
                </c:pt>
                <c:pt idx="8" formatCode="General">
                  <c:v>-11.272666666666668</c:v>
                </c:pt>
                <c:pt idx="9" formatCode="General">
                  <c:v>-10.593127272727273</c:v>
                </c:pt>
                <c:pt idx="10" formatCode="General">
                  <c:v>-9.9525212121212121</c:v>
                </c:pt>
                <c:pt idx="11" formatCode="General">
                  <c:v>-9.3588018154311658</c:v>
                </c:pt>
                <c:pt idx="12" formatCode="General">
                  <c:v>-8.8179546142208771</c:v>
                </c:pt>
                <c:pt idx="13" formatCode="General">
                  <c:v>-8.2771074130105902</c:v>
                </c:pt>
                <c:pt idx="14" formatCode="General">
                  <c:v>-7.7362602118003023</c:v>
                </c:pt>
                <c:pt idx="15" formatCode="General">
                  <c:v>-7.1954130105900145</c:v>
                </c:pt>
                <c:pt idx="16" formatCode="General">
                  <c:v>-6.6545658093797275</c:v>
                </c:pt>
                <c:pt idx="17" formatCode="General">
                  <c:v>-6.1137186081694388</c:v>
                </c:pt>
                <c:pt idx="18" formatCode="General">
                  <c:v>-5.6392727272727265</c:v>
                </c:pt>
                <c:pt idx="19" formatCode="General">
                  <c:v>-5.1809818181818166</c:v>
                </c:pt>
                <c:pt idx="20" formatCode="General">
                  <c:v>-4.742799999999999</c:v>
                </c:pt>
                <c:pt idx="21" formatCode="General">
                  <c:v>-4.4023636363636358</c:v>
                </c:pt>
                <c:pt idx="22" formatCode="General">
                  <c:v>-4.1387272727272721</c:v>
                </c:pt>
                <c:pt idx="23" formatCode="General">
                  <c:v>-4.1369277108433735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CD16-4E7F-975B-C1DF40B91386}"/>
            </c:ext>
          </c:extLst>
        </c:ser>
        <c:ser>
          <c:idx val="54"/>
          <c:order val="2"/>
          <c:tx>
            <c:strRef>
              <c:f>'Gibbs-EVAL'!$A$103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0-CD16-4E7F-975B-C1DF40B91386}"/>
              </c:ext>
            </c:extLst>
          </c:dPt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'Gibbs-EVAL'!$B$103:$BT$103</c:f>
              <c:numCache>
                <c:formatCode>0</c:formatCode>
                <c:ptCount val="71"/>
                <c:pt idx="0">
                  <c:v>-185.66569696969697</c:v>
                </c:pt>
                <c:pt idx="1">
                  <c:v>-180.33151515151513</c:v>
                </c:pt>
                <c:pt idx="2" formatCode="General">
                  <c:v>-175.36181818181819</c:v>
                </c:pt>
                <c:pt idx="3" formatCode="General">
                  <c:v>-170.78145454545455</c:v>
                </c:pt>
                <c:pt idx="4" formatCode="General">
                  <c:v>-166.37806060606059</c:v>
                </c:pt>
                <c:pt idx="5" formatCode="General">
                  <c:v>-162.35381818181818</c:v>
                </c:pt>
                <c:pt idx="6" formatCode="General">
                  <c:v>-158.50060240963856</c:v>
                </c:pt>
                <c:pt idx="7" formatCode="General">
                  <c:v>-154.87409638554217</c:v>
                </c:pt>
                <c:pt idx="8" formatCode="General">
                  <c:v>-151.48266666666666</c:v>
                </c:pt>
                <c:pt idx="9" formatCode="General">
                  <c:v>-148.19563636363637</c:v>
                </c:pt>
                <c:pt idx="10" formatCode="General">
                  <c:v>-145.15927272727274</c:v>
                </c:pt>
                <c:pt idx="11" formatCode="General">
                  <c:v>-142.38957639939488</c:v>
                </c:pt>
                <c:pt idx="12" formatCode="General">
                  <c:v>-139.9205900151286</c:v>
                </c:pt>
                <c:pt idx="13" formatCode="General">
                  <c:v>-137.45160363086234</c:v>
                </c:pt>
                <c:pt idx="14" formatCode="General">
                  <c:v>-134.98261724659608</c:v>
                </c:pt>
                <c:pt idx="15" formatCode="General">
                  <c:v>-132.51363086232982</c:v>
                </c:pt>
                <c:pt idx="16" formatCode="General">
                  <c:v>-130.04464447806353</c:v>
                </c:pt>
                <c:pt idx="17" formatCode="General">
                  <c:v>-127.57565809379727</c:v>
                </c:pt>
                <c:pt idx="18" formatCode="General">
                  <c:v>-125.49436363636363</c:v>
                </c:pt>
                <c:pt idx="19" formatCode="General">
                  <c:v>-123.50036363636364</c:v>
                </c:pt>
                <c:pt idx="20" formatCode="General">
                  <c:v>-121.59733333333334</c:v>
                </c:pt>
                <c:pt idx="21" formatCode="General">
                  <c:v>-119.77915151515151</c:v>
                </c:pt>
                <c:pt idx="22" formatCode="General">
                  <c:v>-118.02763636363636</c:v>
                </c:pt>
                <c:pt idx="23" formatCode="General">
                  <c:v>-116.39536144578314</c:v>
                </c:pt>
                <c:pt idx="24" formatCode="General">
                  <c:v>-114.79515151515152</c:v>
                </c:pt>
                <c:pt idx="25" formatCode="General">
                  <c:v>-113.25575757575758</c:v>
                </c:pt>
                <c:pt idx="26" formatCode="General">
                  <c:v>-111.77454545454545</c:v>
                </c:pt>
                <c:pt idx="27" formatCode="General">
                  <c:v>-110.33212121212121</c:v>
                </c:pt>
                <c:pt idx="28" formatCode="General">
                  <c:v>-108.98181818181817</c:v>
                </c:pt>
                <c:pt idx="29" formatCode="General">
                  <c:v>-107.69454545454545</c:v>
                </c:pt>
                <c:pt idx="30" formatCode="General">
                  <c:v>-106.54303030303031</c:v>
                </c:pt>
                <c:pt idx="31" formatCode="General">
                  <c:v>-105.63879518072289</c:v>
                </c:pt>
                <c:pt idx="32" formatCode="General">
                  <c:v>-104.8677108433735</c:v>
                </c:pt>
                <c:pt idx="33" formatCode="General">
                  <c:v>-104.134</c:v>
                </c:pt>
                <c:pt idx="34" formatCode="General">
                  <c:v>-103.42127272727272</c:v>
                </c:pt>
                <c:pt idx="35" formatCode="General">
                  <c:v>-102.74854545454545</c:v>
                </c:pt>
                <c:pt idx="36" formatCode="General">
                  <c:v>-102.10090909090908</c:v>
                </c:pt>
                <c:pt idx="37" formatCode="General">
                  <c:v>-101.46845688350984</c:v>
                </c:pt>
                <c:pt idx="38" formatCode="General">
                  <c:v>-100.92987897125568</c:v>
                </c:pt>
                <c:pt idx="39" formatCode="General">
                  <c:v>-100.39130105900152</c:v>
                </c:pt>
                <c:pt idx="40" formatCode="General">
                  <c:v>-99.852723146747351</c:v>
                </c:pt>
                <c:pt idx="41" formatCode="General">
                  <c:v>-99.314145234493196</c:v>
                </c:pt>
                <c:pt idx="42" formatCode="General">
                  <c:v>-98.775567322239027</c:v>
                </c:pt>
                <c:pt idx="43" formatCode="General">
                  <c:v>-98.236989409984872</c:v>
                </c:pt>
                <c:pt idx="44" formatCode="General">
                  <c:v>-97.731939393939385</c:v>
                </c:pt>
                <c:pt idx="45" formatCode="General">
                  <c:v>-97.271333333333331</c:v>
                </c:pt>
                <c:pt idx="46" formatCode="General">
                  <c:v>-96.835309090909092</c:v>
                </c:pt>
                <c:pt idx="47" formatCode="General">
                  <c:v>-96.41031515151515</c:v>
                </c:pt>
                <c:pt idx="48" formatCode="General">
                  <c:v>-96.012739393939398</c:v>
                </c:pt>
                <c:pt idx="49" formatCode="General">
                  <c:v>-95.620939759036148</c:v>
                </c:pt>
                <c:pt idx="50" formatCode="General">
                  <c:v>-95.235397590361444</c:v>
                </c:pt>
                <c:pt idx="51" formatCode="General">
                  <c:v>-94.884715151515152</c:v>
                </c:pt>
                <c:pt idx="52" formatCode="General">
                  <c:v>-94.681806060606064</c:v>
                </c:pt>
                <c:pt idx="53" formatCode="General">
                  <c:v>-95.163018181818188</c:v>
                </c:pt>
                <c:pt idx="54" formatCode="General">
                  <c:v>-95.644230303030312</c:v>
                </c:pt>
                <c:pt idx="55" formatCode="General">
                  <c:v>-96.125442424242422</c:v>
                </c:pt>
                <c:pt idx="56" formatCode="General">
                  <c:v>-96.608763636363634</c:v>
                </c:pt>
                <c:pt idx="57" formatCode="General">
                  <c:v>-97.090574886535563</c:v>
                </c:pt>
                <c:pt idx="58" formatCode="General">
                  <c:v>-97.565915279878979</c:v>
                </c:pt>
                <c:pt idx="59" formatCode="General">
                  <c:v>-98.041255673222395</c:v>
                </c:pt>
                <c:pt idx="60" formatCode="General">
                  <c:v>-98.51659606656581</c:v>
                </c:pt>
                <c:pt idx="61" formatCode="General">
                  <c:v>-98.991936459909226</c:v>
                </c:pt>
                <c:pt idx="62" formatCode="General">
                  <c:v>-99.467276853252656</c:v>
                </c:pt>
                <c:pt idx="63" formatCode="General">
                  <c:v>-99.942617246596072</c:v>
                </c:pt>
                <c:pt idx="64" formatCode="General">
                  <c:v>-100.4208</c:v>
                </c:pt>
                <c:pt idx="65" formatCode="General">
                  <c:v>-100.9008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16-4E7F-975B-C1DF40B91386}"/>
            </c:ext>
          </c:extLst>
        </c:ser>
        <c:ser>
          <c:idx val="1"/>
          <c:order val="3"/>
          <c:tx>
            <c:strRef>
              <c:f>'Gibbs-EVAL'!$A$104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'Gibbs-EVAL'!$B$104:$BT$104</c:f>
              <c:numCache>
                <c:formatCode>0</c:formatCode>
                <c:ptCount val="71"/>
                <c:pt idx="0">
                  <c:v>-60.144848484848481</c:v>
                </c:pt>
                <c:pt idx="1">
                  <c:v>-58.339757575757574</c:v>
                </c:pt>
                <c:pt idx="2" formatCode="General">
                  <c:v>-56.654909090909094</c:v>
                </c:pt>
                <c:pt idx="3" formatCode="General">
                  <c:v>-55.098363636363636</c:v>
                </c:pt>
                <c:pt idx="4" formatCode="General">
                  <c:v>-53.546121212121207</c:v>
                </c:pt>
                <c:pt idx="5" formatCode="General">
                  <c:v>-51.49763636363636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CD16-4E7F-975B-C1DF40B91386}"/>
            </c:ext>
          </c:extLst>
        </c:ser>
        <c:ser>
          <c:idx val="2"/>
          <c:order val="4"/>
          <c:tx>
            <c:strRef>
              <c:f>'Gibbs-EVAL'!$A$105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'Gibbs-EVAL'!$B$105:$BT$105</c:f>
              <c:numCache>
                <c:formatCode>0</c:formatCode>
                <c:ptCount val="71"/>
                <c:pt idx="0">
                  <c:v>-58.884424242424245</c:v>
                </c:pt>
                <c:pt idx="1">
                  <c:v>-57.409515151515158</c:v>
                </c:pt>
                <c:pt idx="2" formatCode="General">
                  <c:v>-56.039818181818184</c:v>
                </c:pt>
                <c:pt idx="3" formatCode="General">
                  <c:v>-54.789575757575761</c:v>
                </c:pt>
                <c:pt idx="4" formatCode="General">
                  <c:v>-53.629090909090912</c:v>
                </c:pt>
                <c:pt idx="5" formatCode="General">
                  <c:v>-52.992727272727279</c:v>
                </c:pt>
                <c:pt idx="6" formatCode="General">
                  <c:v>-52.435722891566265</c:v>
                </c:pt>
                <c:pt idx="7" formatCode="General">
                  <c:v>-51.983915662650602</c:v>
                </c:pt>
                <c:pt idx="8" formatCode="General">
                  <c:v>-51.576666666666668</c:v>
                </c:pt>
                <c:pt idx="9" formatCode="General">
                  <c:v>-51.189490909090914</c:v>
                </c:pt>
                <c:pt idx="10" formatCode="General">
                  <c:v>-50.851915151515158</c:v>
                </c:pt>
                <c:pt idx="11" formatCode="General">
                  <c:v>-50.56101059001513</c:v>
                </c:pt>
                <c:pt idx="12" formatCode="General">
                  <c:v>-50.322735249621786</c:v>
                </c:pt>
                <c:pt idx="13" formatCode="General">
                  <c:v>-50.084459909228443</c:v>
                </c:pt>
                <c:pt idx="14" formatCode="General">
                  <c:v>-49.846184568835099</c:v>
                </c:pt>
                <c:pt idx="15" formatCode="General">
                  <c:v>-49.607909228441756</c:v>
                </c:pt>
                <c:pt idx="16" formatCode="General">
                  <c:v>-49.369633888048412</c:v>
                </c:pt>
                <c:pt idx="17" formatCode="General">
                  <c:v>-49.131358547655068</c:v>
                </c:pt>
                <c:pt idx="18" formatCode="General">
                  <c:v>-48.959878787878786</c:v>
                </c:pt>
                <c:pt idx="19" formatCode="General">
                  <c:v>-48.802072727272723</c:v>
                </c:pt>
                <c:pt idx="20" formatCode="General">
                  <c:v>-48.654799999999994</c:v>
                </c:pt>
                <c:pt idx="21" formatCode="General">
                  <c:v>-48.612060606060602</c:v>
                </c:pt>
                <c:pt idx="22" formatCode="General">
                  <c:v>-48.651454545454548</c:v>
                </c:pt>
                <c:pt idx="23" formatCode="General">
                  <c:v>-48.951024096385545</c:v>
                </c:pt>
                <c:pt idx="24" formatCode="General">
                  <c:v>-49.273787878787878</c:v>
                </c:pt>
                <c:pt idx="25" formatCode="General">
                  <c:v>-49.588939393939398</c:v>
                </c:pt>
                <c:pt idx="26" formatCode="General">
                  <c:v>-49.904454545454549</c:v>
                </c:pt>
                <c:pt idx="27" formatCode="General">
                  <c:v>-50.220212121212121</c:v>
                </c:pt>
                <c:pt idx="28" formatCode="General">
                  <c:v>-50.535393939393941</c:v>
                </c:pt>
                <c:pt idx="29" formatCode="General">
                  <c:v>-50.850727272727276</c:v>
                </c:pt>
                <c:pt idx="30" formatCode="General">
                  <c:v>-51.166484848484849</c:v>
                </c:pt>
                <c:pt idx="31" formatCode="General">
                  <c:v>-51.481006024096381</c:v>
                </c:pt>
                <c:pt idx="32" formatCode="General">
                  <c:v>-51.794861445783127</c:v>
                </c:pt>
                <c:pt idx="33" formatCode="General">
                  <c:v>-52.098599999999998</c:v>
                </c:pt>
                <c:pt idx="34" formatCode="General">
                  <c:v>-52.402236363636362</c:v>
                </c:pt>
                <c:pt idx="35" formatCode="General">
                  <c:v>-52.705872727272727</c:v>
                </c:pt>
                <c:pt idx="36" formatCode="General">
                  <c:v>-53.009509090909091</c:v>
                </c:pt>
                <c:pt idx="37" formatCode="General">
                  <c:v>-53.31287291981846</c:v>
                </c:pt>
                <c:pt idx="38" formatCode="General">
                  <c:v>-53.609695915279879</c:v>
                </c:pt>
                <c:pt idx="39" formatCode="General">
                  <c:v>-53.906518910741298</c:v>
                </c:pt>
                <c:pt idx="40" formatCode="General">
                  <c:v>-54.203341906202724</c:v>
                </c:pt>
                <c:pt idx="41" formatCode="General">
                  <c:v>-54.500164901664142</c:v>
                </c:pt>
                <c:pt idx="42" formatCode="General">
                  <c:v>-54.796987897125568</c:v>
                </c:pt>
                <c:pt idx="43" formatCode="General">
                  <c:v>-55.093810892586987</c:v>
                </c:pt>
                <c:pt idx="44" formatCode="General">
                  <c:v>-55.388090909090906</c:v>
                </c:pt>
                <c:pt idx="45" formatCode="General">
                  <c:v>-55.679000000000002</c:v>
                </c:pt>
                <c:pt idx="46" formatCode="General">
                  <c:v>-55.969436363636362</c:v>
                </c:pt>
                <c:pt idx="47" formatCode="General">
                  <c:v>-56.259818181818183</c:v>
                </c:pt>
                <c:pt idx="48" formatCode="General">
                  <c:v>-56.550727272727272</c:v>
                </c:pt>
                <c:pt idx="49" formatCode="General">
                  <c:v>-56.834722891566265</c:v>
                </c:pt>
                <c:pt idx="50" formatCode="General">
                  <c:v>-57.11122891566265</c:v>
                </c:pt>
                <c:pt idx="51" formatCode="General">
                  <c:v>-57.389109090909095</c:v>
                </c:pt>
                <c:pt idx="52" formatCode="General">
                  <c:v>-57.667187878787885</c:v>
                </c:pt>
                <c:pt idx="53" formatCode="General">
                  <c:v>-57.944763636363639</c:v>
                </c:pt>
                <c:pt idx="54" formatCode="General">
                  <c:v>-58.222654545454546</c:v>
                </c:pt>
                <c:pt idx="55" formatCode="General">
                  <c:v>-58.500836363636367</c:v>
                </c:pt>
                <c:pt idx="56" formatCode="General">
                  <c:v>-58.778490909090905</c:v>
                </c:pt>
                <c:pt idx="57" formatCode="General">
                  <c:v>-59.053877458396364</c:v>
                </c:pt>
                <c:pt idx="58" formatCode="General">
                  <c:v>-59.321502269288956</c:v>
                </c:pt>
                <c:pt idx="59" formatCode="General">
                  <c:v>-59.589127080181541</c:v>
                </c:pt>
                <c:pt idx="60" formatCode="General">
                  <c:v>-59.856751891074126</c:v>
                </c:pt>
                <c:pt idx="61" formatCode="General">
                  <c:v>-60.124376701966717</c:v>
                </c:pt>
                <c:pt idx="62" formatCode="General">
                  <c:v>-60.392001512859302</c:v>
                </c:pt>
                <c:pt idx="63" formatCode="General">
                  <c:v>-60.659626323751887</c:v>
                </c:pt>
                <c:pt idx="64" formatCode="General">
                  <c:v>-60.925557575757573</c:v>
                </c:pt>
                <c:pt idx="65" formatCode="General">
                  <c:v>-61.190406060606058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CD16-4E7F-975B-C1DF40B91386}"/>
            </c:ext>
          </c:extLst>
        </c:ser>
        <c:ser>
          <c:idx val="3"/>
          <c:order val="5"/>
          <c:tx>
            <c:strRef>
              <c:f>'Gibbs-EVAL'!$A$106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'Gibbs-EVAL'!$B$106:$BT$106</c:f>
              <c:numCache>
                <c:formatCode>0</c:formatCode>
                <c:ptCount val="71"/>
                <c:pt idx="0">
                  <c:v>-81.936848484848483</c:v>
                </c:pt>
                <c:pt idx="1">
                  <c:v>-79.557090909090917</c:v>
                </c:pt>
                <c:pt idx="2" formatCode="General">
                  <c:v>-77.338909090909098</c:v>
                </c:pt>
                <c:pt idx="3" formatCode="General">
                  <c:v>-75.293272727272736</c:v>
                </c:pt>
                <c:pt idx="4" formatCode="General">
                  <c:v>-73.308060606060607</c:v>
                </c:pt>
                <c:pt idx="5" formatCode="General">
                  <c:v>-71.283818181818177</c:v>
                </c:pt>
                <c:pt idx="6" formatCode="General">
                  <c:v>-69.319216867469876</c:v>
                </c:pt>
                <c:pt idx="7" formatCode="General">
                  <c:v>-67.433674698795187</c:v>
                </c:pt>
                <c:pt idx="8" formatCode="General">
                  <c:v>-65.665333333333336</c:v>
                </c:pt>
                <c:pt idx="9" formatCode="General">
                  <c:v>-63.948727272727275</c:v>
                </c:pt>
                <c:pt idx="10" formatCode="General">
                  <c:v>-62.354787878787882</c:v>
                </c:pt>
                <c:pt idx="11" formatCode="General">
                  <c:v>-60.894236006051436</c:v>
                </c:pt>
                <c:pt idx="12" formatCode="General">
                  <c:v>-59.584099848714068</c:v>
                </c:pt>
                <c:pt idx="13" formatCode="General">
                  <c:v>-58.2739636913767</c:v>
                </c:pt>
                <c:pt idx="14" formatCode="General">
                  <c:v>-56.963827534039332</c:v>
                </c:pt>
                <c:pt idx="15" formatCode="General">
                  <c:v>-55.653691376701964</c:v>
                </c:pt>
                <c:pt idx="16" formatCode="General">
                  <c:v>-54.343555219364596</c:v>
                </c:pt>
                <c:pt idx="17" formatCode="General">
                  <c:v>-53.033419062027228</c:v>
                </c:pt>
                <c:pt idx="18" formatCode="General">
                  <c:v>-51.917030303030302</c:v>
                </c:pt>
                <c:pt idx="19" formatCode="General">
                  <c:v>-50.844909090909091</c:v>
                </c:pt>
                <c:pt idx="20" formatCode="General">
                  <c:v>-49.820666666666668</c:v>
                </c:pt>
                <c:pt idx="21" formatCode="General">
                  <c:v>-48.837151515151518</c:v>
                </c:pt>
                <c:pt idx="22" formatCode="General">
                  <c:v>-47.885636363636358</c:v>
                </c:pt>
                <c:pt idx="23" formatCode="General">
                  <c:v>-46.994156626506019</c:v>
                </c:pt>
                <c:pt idx="24" formatCode="General">
                  <c:v>-46.119393939393937</c:v>
                </c:pt>
                <c:pt idx="25" formatCode="General">
                  <c:v>-45.276969696969694</c:v>
                </c:pt>
                <c:pt idx="26" formatCode="General">
                  <c:v>-44.463636363636361</c:v>
                </c:pt>
                <c:pt idx="27" formatCode="General">
                  <c:v>-43.669696969696965</c:v>
                </c:pt>
                <c:pt idx="28" formatCode="General">
                  <c:v>-42.921818181818182</c:v>
                </c:pt>
                <c:pt idx="29" formatCode="General">
                  <c:v>-42.205454545454543</c:v>
                </c:pt>
                <c:pt idx="30" formatCode="General">
                  <c:v>-41.556969696969695</c:v>
                </c:pt>
                <c:pt idx="31" formatCode="General">
                  <c:v>-41.032409638554213</c:v>
                </c:pt>
                <c:pt idx="32" formatCode="General">
                  <c:v>-40.574578313253014</c:v>
                </c:pt>
                <c:pt idx="33" formatCode="General">
                  <c:v>-40.138000000000005</c:v>
                </c:pt>
                <c:pt idx="34" formatCode="General">
                  <c:v>-39.711939393939396</c:v>
                </c:pt>
                <c:pt idx="35" formatCode="General">
                  <c:v>-39.30587878787879</c:v>
                </c:pt>
                <c:pt idx="36" formatCode="General">
                  <c:v>-38.912363636363636</c:v>
                </c:pt>
                <c:pt idx="37" formatCode="General">
                  <c:v>-38.526505295007567</c:v>
                </c:pt>
                <c:pt idx="38" formatCode="General">
                  <c:v>-38.189137670196672</c:v>
                </c:pt>
                <c:pt idx="39" formatCode="General">
                  <c:v>-37.851770045385777</c:v>
                </c:pt>
                <c:pt idx="40" formatCode="General">
                  <c:v>-37.514402420574889</c:v>
                </c:pt>
                <c:pt idx="41" formatCode="General">
                  <c:v>-37.177034795763994</c:v>
                </c:pt>
                <c:pt idx="42" formatCode="General">
                  <c:v>-36.839667170953106</c:v>
                </c:pt>
                <c:pt idx="43" formatCode="General">
                  <c:v>-36.502299546142211</c:v>
                </c:pt>
                <c:pt idx="44" formatCode="General">
                  <c:v>-36.182303030303032</c:v>
                </c:pt>
                <c:pt idx="45" formatCode="General">
                  <c:v>-35.885333333333335</c:v>
                </c:pt>
                <c:pt idx="46" formatCode="General">
                  <c:v>-35.600654545454546</c:v>
                </c:pt>
                <c:pt idx="47" formatCode="General">
                  <c:v>-35.321490909090912</c:v>
                </c:pt>
                <c:pt idx="48" formatCode="General">
                  <c:v>-35.056036363636366</c:v>
                </c:pt>
                <c:pt idx="49" formatCode="General">
                  <c:v>-34.795108433734939</c:v>
                </c:pt>
                <c:pt idx="50" formatCode="General">
                  <c:v>-34.539084337349401</c:v>
                </c:pt>
                <c:pt idx="51" formatCode="General">
                  <c:v>-34.300175757575758</c:v>
                </c:pt>
                <c:pt idx="52" formatCode="General">
                  <c:v>-34.135084848484851</c:v>
                </c:pt>
                <c:pt idx="53" formatCode="General">
                  <c:v>-34.312054545454544</c:v>
                </c:pt>
                <c:pt idx="54" formatCode="General">
                  <c:v>-34.489024242424243</c:v>
                </c:pt>
                <c:pt idx="55" formatCode="General">
                  <c:v>-34.665993939393942</c:v>
                </c:pt>
                <c:pt idx="56" formatCode="General">
                  <c:v>-34.844018181818178</c:v>
                </c:pt>
                <c:pt idx="57" formatCode="General">
                  <c:v>-35.021807866868379</c:v>
                </c:pt>
                <c:pt idx="58" formatCode="General">
                  <c:v>-35.198207261724662</c:v>
                </c:pt>
                <c:pt idx="59" formatCode="General">
                  <c:v>-35.374606656580937</c:v>
                </c:pt>
                <c:pt idx="60" formatCode="General">
                  <c:v>-35.551006051437213</c:v>
                </c:pt>
                <c:pt idx="61" formatCode="General">
                  <c:v>-35.727405446293496</c:v>
                </c:pt>
                <c:pt idx="62" formatCode="General">
                  <c:v>-35.903804841149771</c:v>
                </c:pt>
                <c:pt idx="63" formatCode="General">
                  <c:v>-36.080204236006054</c:v>
                </c:pt>
                <c:pt idx="64" formatCode="General">
                  <c:v>-36.258430303030302</c:v>
                </c:pt>
                <c:pt idx="65" formatCode="General">
                  <c:v>-36.437824242424242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CD16-4E7F-975B-C1DF40B91386}"/>
            </c:ext>
          </c:extLst>
        </c:ser>
        <c:ser>
          <c:idx val="4"/>
          <c:order val="6"/>
          <c:tx>
            <c:strRef>
              <c:f>'Gibbs-EVAL'!$A$107</c:f>
              <c:strCache>
                <c:ptCount val="1"/>
                <c:pt idx="0">
                  <c:v>*Ge[l]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'Gibbs-EVAL'!$B$107:$BT$107</c:f>
              <c:numCache>
                <c:formatCode>0</c:formatCode>
                <c:ptCount val="71"/>
                <c:pt idx="0">
                  <c:v>-15.300424242424242</c:v>
                </c:pt>
                <c:pt idx="1">
                  <c:v>-14.974848484848485</c:v>
                </c:pt>
                <c:pt idx="2" formatCode="General">
                  <c:v>-14.671818181818182</c:v>
                </c:pt>
                <c:pt idx="3" formatCode="General">
                  <c:v>-14.399757575757576</c:v>
                </c:pt>
                <c:pt idx="4" formatCode="General">
                  <c:v>-14.105212121212121</c:v>
                </c:pt>
                <c:pt idx="5" formatCode="General">
                  <c:v>-13.420363636363636</c:v>
                </c:pt>
                <c:pt idx="6" formatCode="General">
                  <c:v>-12.711385542168674</c:v>
                </c:pt>
                <c:pt idx="7" formatCode="General">
                  <c:v>-11.970421686746988</c:v>
                </c:pt>
                <c:pt idx="8" formatCode="General">
                  <c:v>-11.272666666666668</c:v>
                </c:pt>
                <c:pt idx="9" formatCode="General">
                  <c:v>-10.593127272727273</c:v>
                </c:pt>
                <c:pt idx="10" formatCode="General">
                  <c:v>-9.9525212121212121</c:v>
                </c:pt>
                <c:pt idx="11" formatCode="General">
                  <c:v>-9.3588018154311658</c:v>
                </c:pt>
                <c:pt idx="12" formatCode="General">
                  <c:v>-8.8179546142208771</c:v>
                </c:pt>
                <c:pt idx="13" formatCode="General">
                  <c:v>-8.2771074130105902</c:v>
                </c:pt>
                <c:pt idx="14" formatCode="General">
                  <c:v>-7.7362602118003023</c:v>
                </c:pt>
                <c:pt idx="15" formatCode="General">
                  <c:v>-7.1954130105900145</c:v>
                </c:pt>
                <c:pt idx="16" formatCode="General">
                  <c:v>-6.6545658093797275</c:v>
                </c:pt>
                <c:pt idx="17" formatCode="General">
                  <c:v>-6.1137186081694388</c:v>
                </c:pt>
                <c:pt idx="18" formatCode="General">
                  <c:v>-5.6392727272727265</c:v>
                </c:pt>
                <c:pt idx="19" formatCode="General">
                  <c:v>-5.1809818181818166</c:v>
                </c:pt>
                <c:pt idx="20" formatCode="General">
                  <c:v>-4.742799999999999</c:v>
                </c:pt>
                <c:pt idx="21" formatCode="General">
                  <c:v>-4.4023636363636358</c:v>
                </c:pt>
                <c:pt idx="22" formatCode="General">
                  <c:v>-4.1387272727272721</c:v>
                </c:pt>
                <c:pt idx="23" formatCode="General">
                  <c:v>-4.1369277108433735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CD16-4E7F-975B-C1DF40B91386}"/>
            </c:ext>
          </c:extLst>
        </c:ser>
        <c:ser>
          <c:idx val="5"/>
          <c:order val="7"/>
          <c:tx>
            <c:strRef>
              <c:f>'Gibbs-EVAL'!$A$108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'Gibbs-EVAL'!$B$108:$BT$108</c:f>
              <c:numCache>
                <c:formatCode>0</c:formatCode>
                <c:ptCount val="71"/>
                <c:pt idx="0">
                  <c:v>-37.092424242424244</c:v>
                </c:pt>
                <c:pt idx="1">
                  <c:v>-36.192181818181822</c:v>
                </c:pt>
                <c:pt idx="2" formatCode="General">
                  <c:v>-35.355818181818179</c:v>
                </c:pt>
                <c:pt idx="3" formatCode="General">
                  <c:v>-34.594666666666662</c:v>
                </c:pt>
                <c:pt idx="4" formatCode="General">
                  <c:v>-33.867151515151519</c:v>
                </c:pt>
                <c:pt idx="5" formatCode="General">
                  <c:v>-33.206545454545456</c:v>
                </c:pt>
                <c:pt idx="6" formatCode="General">
                  <c:v>-32.573554216867471</c:v>
                </c:pt>
                <c:pt idx="7" formatCode="General">
                  <c:v>-31.977168674698795</c:v>
                </c:pt>
                <c:pt idx="8" formatCode="General">
                  <c:v>-31.424666666666667</c:v>
                </c:pt>
                <c:pt idx="9" formatCode="General">
                  <c:v>-30.891309090909093</c:v>
                </c:pt>
                <c:pt idx="10" formatCode="General">
                  <c:v>-30.402218181818185</c:v>
                </c:pt>
                <c:pt idx="11" formatCode="General">
                  <c:v>-29.959906202723147</c:v>
                </c:pt>
                <c:pt idx="12" formatCode="General">
                  <c:v>-29.570344931921333</c:v>
                </c:pt>
                <c:pt idx="13" formatCode="General">
                  <c:v>-29.180783661119516</c:v>
                </c:pt>
                <c:pt idx="14" formatCode="General">
                  <c:v>-28.791222390317703</c:v>
                </c:pt>
                <c:pt idx="15" formatCode="General">
                  <c:v>-28.401661119515886</c:v>
                </c:pt>
                <c:pt idx="16" formatCode="General">
                  <c:v>-28.012099848714069</c:v>
                </c:pt>
                <c:pt idx="17" formatCode="General">
                  <c:v>-27.622538577912255</c:v>
                </c:pt>
                <c:pt idx="18" formatCode="General">
                  <c:v>-27.299575757575759</c:v>
                </c:pt>
                <c:pt idx="19" formatCode="General">
                  <c:v>-26.991527272727271</c:v>
                </c:pt>
                <c:pt idx="20" formatCode="General">
                  <c:v>-26.698799999999999</c:v>
                </c:pt>
                <c:pt idx="21" formatCode="General">
                  <c:v>-26.50721212121212</c:v>
                </c:pt>
                <c:pt idx="22" formatCode="General">
                  <c:v>-26.395090909090907</c:v>
                </c:pt>
                <c:pt idx="23" formatCode="General">
                  <c:v>-26.543975903614456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-27.907030120481927</c:v>
                </c:pt>
                <c:pt idx="32" formatCode="General">
                  <c:v>-28.076307228915663</c:v>
                </c:pt>
                <c:pt idx="33" formatCode="General">
                  <c:v>-28.240600000000001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CD16-4E7F-975B-C1DF40B91386}"/>
            </c:ext>
          </c:extLst>
        </c:ser>
        <c:ser>
          <c:idx val="6"/>
          <c:order val="8"/>
          <c:tx>
            <c:strRef>
              <c:f>'Gibbs-EVAL'!$A$109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'Gibbs-EVAL'!$B$109:$BT$109</c:f>
              <c:numCache>
                <c:formatCode>0</c:formatCode>
                <c:ptCount val="71"/>
                <c:pt idx="0">
                  <c:v>-142.08169696969696</c:v>
                </c:pt>
                <c:pt idx="1">
                  <c:v>-137.89684848484848</c:v>
                </c:pt>
                <c:pt idx="2" formatCode="General">
                  <c:v>-133.99381818181817</c:v>
                </c:pt>
                <c:pt idx="3" formatCode="General">
                  <c:v>-130.39163636363637</c:v>
                </c:pt>
                <c:pt idx="4" formatCode="General">
                  <c:v>-126.85418181818181</c:v>
                </c:pt>
                <c:pt idx="5" formatCode="General">
                  <c:v>-122.78145454545454</c:v>
                </c:pt>
                <c:pt idx="6" formatCode="General">
                  <c:v>-118.77626506024096</c:v>
                </c:pt>
                <c:pt idx="7" formatCode="General">
                  <c:v>-114.86060240963856</c:v>
                </c:pt>
                <c:pt idx="8" formatCode="General">
                  <c:v>-111.17866666666667</c:v>
                </c:pt>
                <c:pt idx="9" formatCode="General">
                  <c:v>-107.59927272727273</c:v>
                </c:pt>
                <c:pt idx="10" formatCode="General">
                  <c:v>-104.25987878787879</c:v>
                </c:pt>
                <c:pt idx="11" formatCode="General">
                  <c:v>-101.18736762481089</c:v>
                </c:pt>
                <c:pt idx="12" formatCode="General">
                  <c:v>-98.415809379727676</c:v>
                </c:pt>
                <c:pt idx="13" formatCode="General">
                  <c:v>-95.644251134644477</c:v>
                </c:pt>
                <c:pt idx="14" formatCode="General">
                  <c:v>-92.872692889561264</c:v>
                </c:pt>
                <c:pt idx="15" formatCode="General">
                  <c:v>-90.101134644478066</c:v>
                </c:pt>
                <c:pt idx="16" formatCode="General">
                  <c:v>-87.329576399394853</c:v>
                </c:pt>
                <c:pt idx="17" formatCode="General">
                  <c:v>-84.55801815431164</c:v>
                </c:pt>
                <c:pt idx="18" formatCode="General">
                  <c:v>-82.173757575757577</c:v>
                </c:pt>
                <c:pt idx="19" formatCode="General">
                  <c:v>-79.879272727272721</c:v>
                </c:pt>
                <c:pt idx="20" formatCode="General">
                  <c:v>-77.685333333333332</c:v>
                </c:pt>
                <c:pt idx="21" formatCode="General">
                  <c:v>-75.569454545454533</c:v>
                </c:pt>
                <c:pt idx="22" formatCode="General">
                  <c:v>-73.514909090909086</c:v>
                </c:pt>
                <c:pt idx="23" formatCode="General">
                  <c:v>-71.581265060240966</c:v>
                </c:pt>
                <c:pt idx="24" formatCode="General">
                  <c:v>-69.682424242424247</c:v>
                </c:pt>
                <c:pt idx="25" formatCode="General">
                  <c:v>-67.852121212121219</c:v>
                </c:pt>
                <c:pt idx="26" formatCode="General">
                  <c:v>-66.08</c:v>
                </c:pt>
                <c:pt idx="27" formatCode="General">
                  <c:v>-64.346666666666664</c:v>
                </c:pt>
                <c:pt idx="28" formatCode="General">
                  <c:v>-62.705454545454543</c:v>
                </c:pt>
                <c:pt idx="29" formatCode="General">
                  <c:v>-61.127272727272732</c:v>
                </c:pt>
                <c:pt idx="30" formatCode="General">
                  <c:v>-59.684848484848487</c:v>
                </c:pt>
                <c:pt idx="31" formatCode="General">
                  <c:v>-58.490843373493981</c:v>
                </c:pt>
                <c:pt idx="32" formatCode="General">
                  <c:v>-57.43060240963856</c:v>
                </c:pt>
                <c:pt idx="33" formatCode="General">
                  <c:v>-56.418000000000006</c:v>
                </c:pt>
                <c:pt idx="34" formatCode="General">
                  <c:v>-55.426484848484847</c:v>
                </c:pt>
                <c:pt idx="35" formatCode="General">
                  <c:v>-54.474969696969701</c:v>
                </c:pt>
                <c:pt idx="36" formatCode="General">
                  <c:v>-53.548545454545454</c:v>
                </c:pt>
                <c:pt idx="37" formatCode="General">
                  <c:v>-52.637564296520431</c:v>
                </c:pt>
                <c:pt idx="38" formatCode="General">
                  <c:v>-51.82667170953102</c:v>
                </c:pt>
                <c:pt idx="39" formatCode="General">
                  <c:v>-51.015779122541609</c:v>
                </c:pt>
                <c:pt idx="40" formatCode="General">
                  <c:v>-50.204886535552198</c:v>
                </c:pt>
                <c:pt idx="41" formatCode="General">
                  <c:v>-49.393993948562787</c:v>
                </c:pt>
                <c:pt idx="42" formatCode="General">
                  <c:v>-48.583101361573377</c:v>
                </c:pt>
                <c:pt idx="43" formatCode="General">
                  <c:v>-47.772208774583973</c:v>
                </c:pt>
                <c:pt idx="44" formatCode="General">
                  <c:v>-46.99727272727273</c:v>
                </c:pt>
                <c:pt idx="45" formatCode="General">
                  <c:v>-46.27</c:v>
                </c:pt>
                <c:pt idx="46" formatCode="General">
                  <c:v>-45.567309090909099</c:v>
                </c:pt>
                <c:pt idx="47" formatCode="General">
                  <c:v>-44.87564848484849</c:v>
                </c:pt>
                <c:pt idx="48" formatCode="General">
                  <c:v>-44.211406060606066</c:v>
                </c:pt>
                <c:pt idx="49" formatCode="General">
                  <c:v>-43.559493975903614</c:v>
                </c:pt>
                <c:pt idx="50" formatCode="General">
                  <c:v>-42.920939759036138</c:v>
                </c:pt>
                <c:pt idx="51" formatCode="General">
                  <c:v>-42.315987878787872</c:v>
                </c:pt>
                <c:pt idx="52" formatCode="General">
                  <c:v>-41.858533333333334</c:v>
                </c:pt>
                <c:pt idx="53" formatCode="General">
                  <c:v>-42.0852</c:v>
                </c:pt>
                <c:pt idx="54" formatCode="General">
                  <c:v>-42.311866666666667</c:v>
                </c:pt>
                <c:pt idx="55" formatCode="General">
                  <c:v>-42.538533333333334</c:v>
                </c:pt>
                <c:pt idx="56" formatCode="General">
                  <c:v>-42.767309090909087</c:v>
                </c:pt>
                <c:pt idx="57" formatCode="General">
                  <c:v>-42.996656580937973</c:v>
                </c:pt>
                <c:pt idx="58" formatCode="General">
                  <c:v>-43.226913767019667</c:v>
                </c:pt>
                <c:pt idx="59" formatCode="General">
                  <c:v>-43.457170953101361</c:v>
                </c:pt>
                <c:pt idx="60" formatCode="General">
                  <c:v>-43.687428139183055</c:v>
                </c:pt>
                <c:pt idx="61" formatCode="General">
                  <c:v>-43.917685325264756</c:v>
                </c:pt>
                <c:pt idx="62" formatCode="General">
                  <c:v>-44.14794251134645</c:v>
                </c:pt>
                <c:pt idx="63" formatCode="General">
                  <c:v>-44.378199697428144</c:v>
                </c:pt>
                <c:pt idx="64" formatCode="General">
                  <c:v>-44.612921212121215</c:v>
                </c:pt>
                <c:pt idx="65" formatCode="General">
                  <c:v>-44.85049696969697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CD16-4E7F-975B-C1DF40B91386}"/>
            </c:ext>
          </c:extLst>
        </c:ser>
        <c:ser>
          <c:idx val="7"/>
          <c:order val="9"/>
          <c:tx>
            <c:strRef>
              <c:f>'Gibbs-EVAL'!$A$110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-18.630969696969697</c:v>
                </c:pt>
                <c:pt idx="5" formatCode="General">
                  <c:v>-18.643090909090908</c:v>
                </c:pt>
                <c:pt idx="6" formatCode="General">
                  <c:v>-18.655180722891565</c:v>
                </c:pt>
                <c:pt idx="7" formatCode="General">
                  <c:v>-18.667228915662651</c:v>
                </c:pt>
                <c:pt idx="8" formatCode="General">
                  <c:v>-18.679333333333336</c:v>
                </c:pt>
                <c:pt idx="9" formatCode="General">
                  <c:v>-18.692181818181819</c:v>
                </c:pt>
                <c:pt idx="10" formatCode="General">
                  <c:v>-18.710363636363635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-18.855636363636364</c:v>
                </c:pt>
                <c:pt idx="19" formatCode="General">
                  <c:v>-18.873818181818184</c:v>
                </c:pt>
                <c:pt idx="20" formatCode="General">
                  <c:v>-18.891999999999999</c:v>
                </c:pt>
                <c:pt idx="21" formatCode="General">
                  <c:v>-18.913575757575757</c:v>
                </c:pt>
                <c:pt idx="22" formatCode="General">
                  <c:v>-18.937818181818184</c:v>
                </c:pt>
                <c:pt idx="23" formatCode="General">
                  <c:v>-18.95644578313253</c:v>
                </c:pt>
                <c:pt idx="24" formatCode="General">
                  <c:v>-18.976060606060607</c:v>
                </c:pt>
                <c:pt idx="25" formatCode="General">
                  <c:v>-19.00030303030303</c:v>
                </c:pt>
                <c:pt idx="26" formatCode="General">
                  <c:v>-19.020909090909093</c:v>
                </c:pt>
                <c:pt idx="27" formatCode="General">
                  <c:v>-19.039090909090909</c:v>
                </c:pt>
                <c:pt idx="28" formatCode="General">
                  <c:v>-19.057272727272728</c:v>
                </c:pt>
                <c:pt idx="29" formatCode="General">
                  <c:v>-19.077272727272728</c:v>
                </c:pt>
                <c:pt idx="30" formatCode="General">
                  <c:v>-19.101515151515152</c:v>
                </c:pt>
                <c:pt idx="31" formatCode="General">
                  <c:v>-19.121746987951806</c:v>
                </c:pt>
                <c:pt idx="32" formatCode="General">
                  <c:v>-19.139819277108433</c:v>
                </c:pt>
                <c:pt idx="33" formatCode="General">
                  <c:v>-19.164000000000001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CD16-4E7F-975B-C1DF40B91386}"/>
            </c:ext>
          </c:extLst>
        </c:ser>
        <c:ser>
          <c:idx val="8"/>
          <c:order val="10"/>
          <c:tx>
            <c:strRef>
              <c:f>'Gibbs-EVAL'!$A$111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-60.144848484848481</c:v>
                </c:pt>
                <c:pt idx="1">
                  <c:v>-58.339757575757574</c:v>
                </c:pt>
                <c:pt idx="2" formatCode="General">
                  <c:v>-56.654909090909094</c:v>
                </c:pt>
                <c:pt idx="3" formatCode="General">
                  <c:v>-55.098363636363636</c:v>
                </c:pt>
                <c:pt idx="4" formatCode="General">
                  <c:v>-53.546121212121207</c:v>
                </c:pt>
                <c:pt idx="5" formatCode="General">
                  <c:v>-51.49763636363636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CD16-4E7F-975B-C1DF40B91386}"/>
            </c:ext>
          </c:extLst>
        </c:ser>
        <c:ser>
          <c:idx val="9"/>
          <c:order val="11"/>
          <c:tx>
            <c:strRef>
              <c:f>'Gibbs-EVAL'!$A$112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-37.092424242424244</c:v>
                </c:pt>
                <c:pt idx="1">
                  <c:v>-36.192181818181822</c:v>
                </c:pt>
                <c:pt idx="2" formatCode="General">
                  <c:v>-35.355818181818179</c:v>
                </c:pt>
                <c:pt idx="3" formatCode="General">
                  <c:v>-34.594666666666662</c:v>
                </c:pt>
                <c:pt idx="4" formatCode="General">
                  <c:v>-33.867151515151519</c:v>
                </c:pt>
                <c:pt idx="5" formatCode="General">
                  <c:v>-33.206545454545456</c:v>
                </c:pt>
                <c:pt idx="6" formatCode="General">
                  <c:v>-32.573554216867471</c:v>
                </c:pt>
                <c:pt idx="7" formatCode="General">
                  <c:v>-31.977168674698795</c:v>
                </c:pt>
                <c:pt idx="8" formatCode="General">
                  <c:v>-31.424666666666667</c:v>
                </c:pt>
                <c:pt idx="9" formatCode="General">
                  <c:v>-30.891309090909093</c:v>
                </c:pt>
                <c:pt idx="10" formatCode="General">
                  <c:v>-30.402218181818185</c:v>
                </c:pt>
                <c:pt idx="11" formatCode="General">
                  <c:v>-29.959906202723147</c:v>
                </c:pt>
                <c:pt idx="12" formatCode="General">
                  <c:v>-29.570344931921333</c:v>
                </c:pt>
                <c:pt idx="13" formatCode="General">
                  <c:v>-29.180783661119516</c:v>
                </c:pt>
                <c:pt idx="14" formatCode="General">
                  <c:v>-28.791222390317703</c:v>
                </c:pt>
                <c:pt idx="15" formatCode="General">
                  <c:v>-28.401661119515886</c:v>
                </c:pt>
                <c:pt idx="16" formatCode="General">
                  <c:v>-28.012099848714069</c:v>
                </c:pt>
                <c:pt idx="17" formatCode="General">
                  <c:v>-27.622538577912255</c:v>
                </c:pt>
                <c:pt idx="18" formatCode="General">
                  <c:v>-27.299575757575759</c:v>
                </c:pt>
                <c:pt idx="19" formatCode="General">
                  <c:v>-26.991527272727271</c:v>
                </c:pt>
                <c:pt idx="20" formatCode="General">
                  <c:v>-26.698799999999999</c:v>
                </c:pt>
                <c:pt idx="21" formatCode="General">
                  <c:v>-26.50721212121212</c:v>
                </c:pt>
                <c:pt idx="22" formatCode="General">
                  <c:v>-26.395090909090907</c:v>
                </c:pt>
                <c:pt idx="23" formatCode="General">
                  <c:v>-26.543975903614456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-27.907030120481927</c:v>
                </c:pt>
                <c:pt idx="32" formatCode="General">
                  <c:v>-28.076307228915663</c:v>
                </c:pt>
                <c:pt idx="33" formatCode="General">
                  <c:v>-28.240600000000001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CD16-4E7F-975B-C1DF40B91386}"/>
            </c:ext>
          </c:extLst>
        </c:ser>
        <c:ser>
          <c:idx val="10"/>
          <c:order val="12"/>
          <c:tx>
            <c:strRef>
              <c:f>'Gibbs-EVAL'!$A$113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'Gibbs-EVAL'!$B$113:$BT$113</c:f>
              <c:numCache>
                <c:formatCode>0</c:formatCode>
                <c:ptCount val="71"/>
                <c:pt idx="0">
                  <c:v>-15.300424242424242</c:v>
                </c:pt>
                <c:pt idx="1">
                  <c:v>-14.974848484848485</c:v>
                </c:pt>
                <c:pt idx="2" formatCode="General">
                  <c:v>-14.671818181818182</c:v>
                </c:pt>
                <c:pt idx="3" formatCode="General">
                  <c:v>-14.399757575757576</c:v>
                </c:pt>
                <c:pt idx="4" formatCode="General">
                  <c:v>-14.105212121212121</c:v>
                </c:pt>
                <c:pt idx="5" formatCode="General">
                  <c:v>-13.420363636363636</c:v>
                </c:pt>
                <c:pt idx="6" formatCode="General">
                  <c:v>-12.711385542168674</c:v>
                </c:pt>
                <c:pt idx="7" formatCode="General">
                  <c:v>-11.970421686746988</c:v>
                </c:pt>
                <c:pt idx="8" formatCode="General">
                  <c:v>-11.272666666666668</c:v>
                </c:pt>
                <c:pt idx="9" formatCode="General">
                  <c:v>-10.593127272727273</c:v>
                </c:pt>
                <c:pt idx="10" formatCode="General">
                  <c:v>-9.9525212121212121</c:v>
                </c:pt>
                <c:pt idx="11" formatCode="General">
                  <c:v>-9.3588018154311658</c:v>
                </c:pt>
                <c:pt idx="12" formatCode="General">
                  <c:v>-8.8179546142208771</c:v>
                </c:pt>
                <c:pt idx="13" formatCode="General">
                  <c:v>-8.2771074130105902</c:v>
                </c:pt>
                <c:pt idx="14" formatCode="General">
                  <c:v>-7.7362602118003023</c:v>
                </c:pt>
                <c:pt idx="15" formatCode="General">
                  <c:v>-7.1954130105900145</c:v>
                </c:pt>
                <c:pt idx="16" formatCode="General">
                  <c:v>-6.6545658093797275</c:v>
                </c:pt>
                <c:pt idx="17" formatCode="General">
                  <c:v>-6.1137186081694388</c:v>
                </c:pt>
                <c:pt idx="18" formatCode="General">
                  <c:v>-5.6392727272727265</c:v>
                </c:pt>
                <c:pt idx="19" formatCode="General">
                  <c:v>-5.1809818181818166</c:v>
                </c:pt>
                <c:pt idx="20" formatCode="General">
                  <c:v>-4.742799999999999</c:v>
                </c:pt>
                <c:pt idx="21" formatCode="General">
                  <c:v>-4.4023636363636358</c:v>
                </c:pt>
                <c:pt idx="22" formatCode="General">
                  <c:v>-4.1387272727272721</c:v>
                </c:pt>
                <c:pt idx="23" formatCode="General">
                  <c:v>-4.1369277108433735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CD16-4E7F-975B-C1DF40B91386}"/>
            </c:ext>
          </c:extLst>
        </c:ser>
        <c:ser>
          <c:idx val="11"/>
          <c:order val="13"/>
          <c:tx>
            <c:strRef>
              <c:f>'Gibbs-EVAL'!$A$114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'Gibbs-EVAL'!$B$114:$BT$114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-18.630969696969697</c:v>
                </c:pt>
                <c:pt idx="5" formatCode="General">
                  <c:v>-18.643090909090908</c:v>
                </c:pt>
                <c:pt idx="6" formatCode="General">
                  <c:v>-18.655180722891565</c:v>
                </c:pt>
                <c:pt idx="7" formatCode="General">
                  <c:v>-18.667228915662651</c:v>
                </c:pt>
                <c:pt idx="8" formatCode="General">
                  <c:v>-18.679333333333336</c:v>
                </c:pt>
                <c:pt idx="9" formatCode="General">
                  <c:v>-18.692181818181819</c:v>
                </c:pt>
                <c:pt idx="10" formatCode="General">
                  <c:v>-18.710363636363635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-18.855636363636364</c:v>
                </c:pt>
                <c:pt idx="19" formatCode="General">
                  <c:v>-18.873818181818184</c:v>
                </c:pt>
                <c:pt idx="20" formatCode="General">
                  <c:v>-18.891999999999999</c:v>
                </c:pt>
                <c:pt idx="21" formatCode="General">
                  <c:v>-18.913575757575757</c:v>
                </c:pt>
                <c:pt idx="22" formatCode="General">
                  <c:v>-18.937818181818184</c:v>
                </c:pt>
                <c:pt idx="23" formatCode="General">
                  <c:v>-18.95644578313253</c:v>
                </c:pt>
                <c:pt idx="24" formatCode="General">
                  <c:v>-18.976060606060607</c:v>
                </c:pt>
                <c:pt idx="25" formatCode="General">
                  <c:v>-19.00030303030303</c:v>
                </c:pt>
                <c:pt idx="26" formatCode="General">
                  <c:v>-19.020909090909093</c:v>
                </c:pt>
                <c:pt idx="27" formatCode="General">
                  <c:v>-19.039090909090909</c:v>
                </c:pt>
                <c:pt idx="28" formatCode="General">
                  <c:v>-19.057272727272728</c:v>
                </c:pt>
                <c:pt idx="29" formatCode="General">
                  <c:v>-19.077272727272728</c:v>
                </c:pt>
                <c:pt idx="30" formatCode="General">
                  <c:v>-19.101515151515152</c:v>
                </c:pt>
                <c:pt idx="31" formatCode="General">
                  <c:v>-19.121746987951806</c:v>
                </c:pt>
                <c:pt idx="32" formatCode="General">
                  <c:v>-19.139819277108433</c:v>
                </c:pt>
                <c:pt idx="33" formatCode="General">
                  <c:v>-19.164000000000001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CD16-4E7F-975B-C1DF40B91386}"/>
            </c:ext>
          </c:extLst>
        </c:ser>
        <c:ser>
          <c:idx val="12"/>
          <c:order val="14"/>
          <c:tx>
            <c:strRef>
              <c:f>'Gibbs-EVAL'!$A$115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'Gibbs-EVAL'!$B$115:$BT$115</c:f>
              <c:numCache>
                <c:formatCode>0</c:formatCode>
                <c:ptCount val="71"/>
                <c:pt idx="0">
                  <c:v>-60.144848484848481</c:v>
                </c:pt>
                <c:pt idx="1">
                  <c:v>-58.339757575757574</c:v>
                </c:pt>
                <c:pt idx="2" formatCode="General">
                  <c:v>-56.654909090909094</c:v>
                </c:pt>
                <c:pt idx="3" formatCode="General">
                  <c:v>-55.098363636363636</c:v>
                </c:pt>
                <c:pt idx="4" formatCode="General">
                  <c:v>-53.546121212121207</c:v>
                </c:pt>
                <c:pt idx="5" formatCode="General">
                  <c:v>-51.49763636363636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CD16-4E7F-975B-C1DF40B91386}"/>
            </c:ext>
          </c:extLst>
        </c:ser>
        <c:ser>
          <c:idx val="13"/>
          <c:order val="15"/>
          <c:tx>
            <c:strRef>
              <c:f>'Gibbs-EVAL'!$A$116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'Gibbs-EVAL'!$B$116:$BT$116</c:f>
              <c:numCache>
                <c:formatCode>0</c:formatCode>
                <c:ptCount val="71"/>
                <c:pt idx="0">
                  <c:v>-15.300424242424242</c:v>
                </c:pt>
                <c:pt idx="1">
                  <c:v>-14.974848484848485</c:v>
                </c:pt>
                <c:pt idx="2" formatCode="General">
                  <c:v>-14.671818181818182</c:v>
                </c:pt>
                <c:pt idx="3" formatCode="General">
                  <c:v>-14.399757575757576</c:v>
                </c:pt>
                <c:pt idx="4" formatCode="General">
                  <c:v>-14.105212121212121</c:v>
                </c:pt>
                <c:pt idx="5" formatCode="General">
                  <c:v>-13.420363636363636</c:v>
                </c:pt>
                <c:pt idx="6" formatCode="General">
                  <c:v>-12.711385542168674</c:v>
                </c:pt>
                <c:pt idx="7" formatCode="General">
                  <c:v>-11.970421686746988</c:v>
                </c:pt>
                <c:pt idx="8" formatCode="General">
                  <c:v>-11.272666666666668</c:v>
                </c:pt>
                <c:pt idx="9" formatCode="General">
                  <c:v>-10.593127272727273</c:v>
                </c:pt>
                <c:pt idx="10" formatCode="General">
                  <c:v>-9.9525212121212121</c:v>
                </c:pt>
                <c:pt idx="11" formatCode="General">
                  <c:v>-9.3588018154311658</c:v>
                </c:pt>
                <c:pt idx="12" formatCode="General">
                  <c:v>-8.8179546142208771</c:v>
                </c:pt>
                <c:pt idx="13" formatCode="General">
                  <c:v>-8.2771074130105902</c:v>
                </c:pt>
                <c:pt idx="14" formatCode="General">
                  <c:v>-7.7362602118003023</c:v>
                </c:pt>
                <c:pt idx="15" formatCode="General">
                  <c:v>-7.1954130105900145</c:v>
                </c:pt>
                <c:pt idx="16" formatCode="General">
                  <c:v>-6.6545658093797275</c:v>
                </c:pt>
                <c:pt idx="17" formatCode="General">
                  <c:v>-6.1137186081694388</c:v>
                </c:pt>
                <c:pt idx="18" formatCode="General">
                  <c:v>-5.6392727272727265</c:v>
                </c:pt>
                <c:pt idx="19" formatCode="General">
                  <c:v>-5.1809818181818166</c:v>
                </c:pt>
                <c:pt idx="20" formatCode="General">
                  <c:v>-4.742799999999999</c:v>
                </c:pt>
                <c:pt idx="21" formatCode="General">
                  <c:v>-4.4023636363636358</c:v>
                </c:pt>
                <c:pt idx="22" formatCode="General">
                  <c:v>-4.1387272727272721</c:v>
                </c:pt>
                <c:pt idx="23" formatCode="General">
                  <c:v>-4.1369277108433735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CD16-4E7F-975B-C1DF40B91386}"/>
            </c:ext>
          </c:extLst>
        </c:ser>
        <c:ser>
          <c:idx val="14"/>
          <c:order val="16"/>
          <c:tx>
            <c:strRef>
              <c:f>'Gibbs-EVAL'!$A$117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'Gibbs-EVAL'!$B$117:$BT$117</c:f>
              <c:numCache>
                <c:formatCode>0</c:formatCode>
                <c:ptCount val="71"/>
                <c:pt idx="0">
                  <c:v>-21.792000000000002</c:v>
                </c:pt>
                <c:pt idx="1">
                  <c:v>-21.217333333333332</c:v>
                </c:pt>
                <c:pt idx="2" formatCode="General">
                  <c:v>-20.683999999999997</c:v>
                </c:pt>
                <c:pt idx="3" formatCode="General">
                  <c:v>-20.194909090909089</c:v>
                </c:pt>
                <c:pt idx="4" formatCode="General">
                  <c:v>-19.761939393939397</c:v>
                </c:pt>
                <c:pt idx="5" formatCode="General">
                  <c:v>-19.78618181818182</c:v>
                </c:pt>
                <c:pt idx="6" formatCode="General">
                  <c:v>-19.862168674698797</c:v>
                </c:pt>
                <c:pt idx="7" formatCode="General">
                  <c:v>-20.006746987951807</c:v>
                </c:pt>
                <c:pt idx="8" formatCode="General">
                  <c:v>-20.152000000000001</c:v>
                </c:pt>
                <c:pt idx="9" formatCode="General">
                  <c:v>-20.298181818181821</c:v>
                </c:pt>
                <c:pt idx="10" formatCode="General">
                  <c:v>-20.449696969696969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-23.573975903614457</c:v>
                </c:pt>
                <c:pt idx="32" formatCode="General">
                  <c:v>-23.718554216867467</c:v>
                </c:pt>
                <c:pt idx="33" formatCode="General">
                  <c:v>-23.858000000000001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CD16-4E7F-975B-C1DF40B91386}"/>
            </c:ext>
          </c:extLst>
        </c:ser>
        <c:ser>
          <c:idx val="15"/>
          <c:order val="17"/>
          <c:tx>
            <c:strRef>
              <c:f>'Gibbs-EVAL'!$A$118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CD16-4E7F-975B-C1DF40B91386}"/>
            </c:ext>
          </c:extLst>
        </c:ser>
        <c:ser>
          <c:idx val="16"/>
          <c:order val="18"/>
          <c:tx>
            <c:strRef>
              <c:f>'Gibbs-EVAL'!$A$119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CD16-4E7F-975B-C1DF40B91386}"/>
            </c:ext>
          </c:extLst>
        </c:ser>
        <c:ser>
          <c:idx val="17"/>
          <c:order val="19"/>
          <c:tx>
            <c:strRef>
              <c:f>'Gibbs-EVAL'!$A$120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CD16-4E7F-975B-C1DF40B91386}"/>
            </c:ext>
          </c:extLst>
        </c:ser>
        <c:ser>
          <c:idx val="18"/>
          <c:order val="20"/>
          <c:tx>
            <c:strRef>
              <c:f>'Gibbs-EVAL'!$A$121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CD16-4E7F-975B-C1DF40B91386}"/>
            </c:ext>
          </c:extLst>
        </c:ser>
        <c:ser>
          <c:idx val="19"/>
          <c:order val="21"/>
          <c:tx>
            <c:strRef>
              <c:f>'Gibbs-EVAL'!$A$122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CD16-4E7F-975B-C1DF40B91386}"/>
            </c:ext>
          </c:extLst>
        </c:ser>
        <c:ser>
          <c:idx val="20"/>
          <c:order val="22"/>
          <c:tx>
            <c:strRef>
              <c:f>'Gibbs-EVAL'!$A$123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CD16-4E7F-975B-C1DF40B91386}"/>
            </c:ext>
          </c:extLst>
        </c:ser>
        <c:ser>
          <c:idx val="21"/>
          <c:order val="23"/>
          <c:tx>
            <c:strRef>
              <c:f>'Gibbs-EVAL'!$A$124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CD16-4E7F-975B-C1DF40B91386}"/>
            </c:ext>
          </c:extLst>
        </c:ser>
        <c:ser>
          <c:idx val="22"/>
          <c:order val="24"/>
          <c:tx>
            <c:strRef>
              <c:f>'Gibbs-EVAL'!$A$125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CD16-4E7F-975B-C1DF40B91386}"/>
            </c:ext>
          </c:extLst>
        </c:ser>
        <c:ser>
          <c:idx val="23"/>
          <c:order val="25"/>
          <c:tx>
            <c:strRef>
              <c:f>'Gibbs-EVAL'!$A$126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CD16-4E7F-975B-C1DF40B91386}"/>
            </c:ext>
          </c:extLst>
        </c:ser>
        <c:ser>
          <c:idx val="24"/>
          <c:order val="26"/>
          <c:tx>
            <c:strRef>
              <c:f>'Gibbs-EVAL'!$A$127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CD16-4E7F-975B-C1DF40B91386}"/>
            </c:ext>
          </c:extLst>
        </c:ser>
        <c:ser>
          <c:idx val="25"/>
          <c:order val="27"/>
          <c:tx>
            <c:strRef>
              <c:f>'Gibbs-EVAL'!$A$128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CD16-4E7F-975B-C1DF40B91386}"/>
            </c:ext>
          </c:extLst>
        </c:ser>
        <c:ser>
          <c:idx val="26"/>
          <c:order val="28"/>
          <c:tx>
            <c:strRef>
              <c:f>'Gibbs-EVAL'!$A$129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CD16-4E7F-975B-C1DF40B91386}"/>
            </c:ext>
          </c:extLst>
        </c:ser>
        <c:ser>
          <c:idx val="27"/>
          <c:order val="29"/>
          <c:tx>
            <c:strRef>
              <c:f>'Gibbs-EVAL'!$A$130</c:f>
              <c:strCache>
                <c:ptCount val="1"/>
                <c:pt idx="0">
                  <c:v>end1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'Gibbs-EVAL'!$B$130:$BT$130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CD16-4E7F-975B-C1DF40B91386}"/>
            </c:ext>
          </c:extLst>
        </c:ser>
        <c:ser>
          <c:idx val="28"/>
          <c:order val="30"/>
          <c:tx>
            <c:strRef>
              <c:f>'Gibbs-EVAL'!$A$131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CD16-4E7F-975B-C1DF40B91386}"/>
            </c:ext>
          </c:extLst>
        </c:ser>
        <c:ser>
          <c:idx val="29"/>
          <c:order val="31"/>
          <c:tx>
            <c:strRef>
              <c:f>'Gibbs-EVAL'!$A$132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CD16-4E7F-975B-C1DF40B91386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-22.065575757575758</c:v>
                </c:pt>
                <c:pt idx="1">
                  <c:v>-21.674060606060607</c:v>
                </c:pt>
                <c:pt idx="2" formatCode="General">
                  <c:v>-21.395272727272726</c:v>
                </c:pt>
                <c:pt idx="3" formatCode="General">
                  <c:v>-21.244787878787879</c:v>
                </c:pt>
                <c:pt idx="4" formatCode="General">
                  <c:v>-21.157019667170953</c:v>
                </c:pt>
                <c:pt idx="5" formatCode="General">
                  <c:v>-21.244765506807866</c:v>
                </c:pt>
                <c:pt idx="6" formatCode="General">
                  <c:v>-21.332511346444779</c:v>
                </c:pt>
                <c:pt idx="7" formatCode="General">
                  <c:v>-21.420257186081695</c:v>
                </c:pt>
                <c:pt idx="8" formatCode="General">
                  <c:v>-21.508003025718608</c:v>
                </c:pt>
                <c:pt idx="9" formatCode="General">
                  <c:v>-21.595748865355521</c:v>
                </c:pt>
                <c:pt idx="10" formatCode="General">
                  <c:v>-21.683494704992437</c:v>
                </c:pt>
                <c:pt idx="11" formatCode="General">
                  <c:v>-21.792666666666666</c:v>
                </c:pt>
                <c:pt idx="12" formatCode="General">
                  <c:v>-21.925999999999998</c:v>
                </c:pt>
                <c:pt idx="13" formatCode="General">
                  <c:v>-22.049393939393937</c:v>
                </c:pt>
                <c:pt idx="14" formatCode="General">
                  <c:v>-22.167409638554215</c:v>
                </c:pt>
                <c:pt idx="15" formatCode="General">
                  <c:v>-22.269819277108432</c:v>
                </c:pt>
                <c:pt idx="16" formatCode="General">
                  <c:v>-22.363272727272729</c:v>
                </c:pt>
                <c:pt idx="17" formatCode="General">
                  <c:v>-22.448121212121212</c:v>
                </c:pt>
                <c:pt idx="18" formatCode="General">
                  <c:v>-22.532969696969698</c:v>
                </c:pt>
                <c:pt idx="19" formatCode="General">
                  <c:v>-22.620363636363638</c:v>
                </c:pt>
                <c:pt idx="20" formatCode="General">
                  <c:v>-22.717333333333336</c:v>
                </c:pt>
                <c:pt idx="21" formatCode="General">
                  <c:v>-22.82448484848485</c:v>
                </c:pt>
                <c:pt idx="22" formatCode="General">
                  <c:v>-22.939636363636364</c:v>
                </c:pt>
                <c:pt idx="23" formatCode="General">
                  <c:v>-23.059638554216868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CD16-4E7F-975B-C1DF40B91386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-37.871212121212125</c:v>
                </c:pt>
                <c:pt idx="1">
                  <c:v>-36.936060606060607</c:v>
                </c:pt>
                <c:pt idx="2" formatCode="General">
                  <c:v>-36.057272727272725</c:v>
                </c:pt>
                <c:pt idx="3" formatCode="General">
                  <c:v>-35.249272727272725</c:v>
                </c:pt>
                <c:pt idx="4" formatCode="General">
                  <c:v>-34.48330711043873</c:v>
                </c:pt>
                <c:pt idx="5" formatCode="General">
                  <c:v>-33.899645990922842</c:v>
                </c:pt>
                <c:pt idx="6" formatCode="General">
                  <c:v>-33.315984871406961</c:v>
                </c:pt>
                <c:pt idx="7" formatCode="General">
                  <c:v>-32.732323751891073</c:v>
                </c:pt>
                <c:pt idx="8" formatCode="General">
                  <c:v>-32.148662632375192</c:v>
                </c:pt>
                <c:pt idx="9" formatCode="General">
                  <c:v>-31.565001512859304</c:v>
                </c:pt>
                <c:pt idx="10" formatCode="General">
                  <c:v>-30.981340393343419</c:v>
                </c:pt>
                <c:pt idx="11" formatCode="General">
                  <c:v>-30.471751515151517</c:v>
                </c:pt>
                <c:pt idx="12" formatCode="General">
                  <c:v>-30.045690909090911</c:v>
                </c:pt>
                <c:pt idx="13" formatCode="General">
                  <c:v>-29.668830303030305</c:v>
                </c:pt>
                <c:pt idx="14" formatCode="General">
                  <c:v>-29.315024096385542</c:v>
                </c:pt>
                <c:pt idx="15" formatCode="General">
                  <c:v>-29.021048192771087</c:v>
                </c:pt>
                <c:pt idx="16" formatCode="General">
                  <c:v>-28.765418181818184</c:v>
                </c:pt>
                <c:pt idx="17" formatCode="General">
                  <c:v>-28.546630303030305</c:v>
                </c:pt>
                <c:pt idx="18" formatCode="General">
                  <c:v>-28.406024242424245</c:v>
                </c:pt>
                <c:pt idx="19" formatCode="General">
                  <c:v>-28.297109090909093</c:v>
                </c:pt>
                <c:pt idx="20" formatCode="General">
                  <c:v>-28.259533333333334</c:v>
                </c:pt>
                <c:pt idx="21" formatCode="General">
                  <c:v>-28.267096969696972</c:v>
                </c:pt>
                <c:pt idx="22" formatCode="General">
                  <c:v>-28.310127272727271</c:v>
                </c:pt>
                <c:pt idx="23" formatCode="General">
                  <c:v>-28.39896987951807</c:v>
                </c:pt>
                <c:pt idx="24" formatCode="General">
                  <c:v>-28.502333333333333</c:v>
                </c:pt>
                <c:pt idx="25" formatCode="General">
                  <c:v>-28.635666666666665</c:v>
                </c:pt>
                <c:pt idx="26" formatCode="General">
                  <c:v>-28.781727272727274</c:v>
                </c:pt>
                <c:pt idx="27" formatCode="General">
                  <c:v>-28.93627272727273</c:v>
                </c:pt>
                <c:pt idx="28" formatCode="General">
                  <c:v>-29.102333333333334</c:v>
                </c:pt>
                <c:pt idx="29" formatCode="General">
                  <c:v>-29.267909090909093</c:v>
                </c:pt>
                <c:pt idx="30" formatCode="General">
                  <c:v>-29.430939393939394</c:v>
                </c:pt>
                <c:pt idx="31" formatCode="General">
                  <c:v>-29.598030120481926</c:v>
                </c:pt>
                <c:pt idx="32" formatCode="General">
                  <c:v>-29.767307228915662</c:v>
                </c:pt>
                <c:pt idx="33" formatCode="General">
                  <c:v>-29.930999999999997</c:v>
                </c:pt>
                <c:pt idx="34" formatCode="General">
                  <c:v>-30.094842424242422</c:v>
                </c:pt>
                <c:pt idx="35" formatCode="General">
                  <c:v>-30.259084848484846</c:v>
                </c:pt>
                <c:pt idx="36" formatCode="General">
                  <c:v>-30.422909090909091</c:v>
                </c:pt>
                <c:pt idx="37" formatCode="General">
                  <c:v>-30.586432677760968</c:v>
                </c:pt>
                <c:pt idx="38" formatCode="General">
                  <c:v>-30.747249621785173</c:v>
                </c:pt>
                <c:pt idx="39" formatCode="General">
                  <c:v>-30.908066565809378</c:v>
                </c:pt>
                <c:pt idx="40" formatCode="General">
                  <c:v>-31.068883509833583</c:v>
                </c:pt>
                <c:pt idx="41" formatCode="General">
                  <c:v>-31.229700453857792</c:v>
                </c:pt>
                <c:pt idx="42" formatCode="General">
                  <c:v>-31.390517397881997</c:v>
                </c:pt>
                <c:pt idx="43" formatCode="General">
                  <c:v>-31.551334341906202</c:v>
                </c:pt>
                <c:pt idx="44" formatCode="General">
                  <c:v>-31.709614220877459</c:v>
                </c:pt>
                <c:pt idx="45" formatCode="General">
                  <c:v>-31.864531013615736</c:v>
                </c:pt>
                <c:pt idx="46" formatCode="General">
                  <c:v>-32.019447806354009</c:v>
                </c:pt>
                <c:pt idx="47" formatCode="General">
                  <c:v>-32.174364599092286</c:v>
                </c:pt>
                <c:pt idx="48" formatCode="General">
                  <c:v>-32.329281391830563</c:v>
                </c:pt>
                <c:pt idx="49" formatCode="General">
                  <c:v>-32.484198184568839</c:v>
                </c:pt>
                <c:pt idx="50" formatCode="General">
                  <c:v>-32.639114977307116</c:v>
                </c:pt>
                <c:pt idx="51" formatCode="General">
                  <c:v>-32.792360606060612</c:v>
                </c:pt>
                <c:pt idx="52" formatCode="General">
                  <c:v>-32.945239393939396</c:v>
                </c:pt>
                <c:pt idx="53" formatCode="General">
                  <c:v>-33.098118181818187</c:v>
                </c:pt>
                <c:pt idx="54" formatCode="General">
                  <c:v>-33.25099696969697</c:v>
                </c:pt>
                <c:pt idx="55" formatCode="General">
                  <c:v>-33.403875757575761</c:v>
                </c:pt>
                <c:pt idx="56" formatCode="General">
                  <c:v>-33.556754545454545</c:v>
                </c:pt>
                <c:pt idx="57" formatCode="General">
                  <c:v>-33.709000000000003</c:v>
                </c:pt>
                <c:pt idx="58" formatCode="General">
                  <c:v>-33.859000000000002</c:v>
                </c:pt>
                <c:pt idx="59" formatCode="General">
                  <c:v>-34.008490909090909</c:v>
                </c:pt>
                <c:pt idx="60" formatCode="General">
                  <c:v>-34.157581818181818</c:v>
                </c:pt>
                <c:pt idx="61" formatCode="General">
                  <c:v>-34.304466666666663</c:v>
                </c:pt>
                <c:pt idx="62" formatCode="General">
                  <c:v>-34.450818181818178</c:v>
                </c:pt>
                <c:pt idx="63" formatCode="General">
                  <c:v>-34.596272727272726</c:v>
                </c:pt>
                <c:pt idx="64" formatCode="General">
                  <c:v>-34.737660606060608</c:v>
                </c:pt>
                <c:pt idx="65" formatCode="General">
                  <c:v>-34.876448484848481</c:v>
                </c:pt>
                <c:pt idx="66" formatCode="General">
                  <c:v>-35.019060240963853</c:v>
                </c:pt>
                <c:pt idx="67" formatCode="General">
                  <c:v>-35.162090909090907</c:v>
                </c:pt>
                <c:pt idx="68" formatCode="General">
                  <c:v>-35.305727272727275</c:v>
                </c:pt>
                <c:pt idx="69" formatCode="General">
                  <c:v>-35.445030303030308</c:v>
                </c:pt>
                <c:pt idx="70" formatCode="General">
                  <c:v>-35.582000000000001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CD16-4E7F-975B-C1DF40B91386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-18.631089258698939</c:v>
                </c:pt>
                <c:pt idx="5" formatCode="General">
                  <c:v>-18.644704992435702</c:v>
                </c:pt>
                <c:pt idx="6" formatCode="General">
                  <c:v>-18.658320726172466</c:v>
                </c:pt>
                <c:pt idx="7" formatCode="General">
                  <c:v>-18.671936459909226</c:v>
                </c:pt>
                <c:pt idx="8" formatCode="General">
                  <c:v>-18.685552193645989</c:v>
                </c:pt>
                <c:pt idx="9" formatCode="General">
                  <c:v>-18.699167927382753</c:v>
                </c:pt>
                <c:pt idx="10" formatCode="General">
                  <c:v>-18.712783661119516</c:v>
                </c:pt>
                <c:pt idx="11" formatCode="General">
                  <c:v>-18.728545454545454</c:v>
                </c:pt>
                <c:pt idx="12" formatCode="General">
                  <c:v>-18.746727272727274</c:v>
                </c:pt>
                <c:pt idx="13" formatCode="General">
                  <c:v>-18.764909090909093</c:v>
                </c:pt>
                <c:pt idx="14" formatCode="General">
                  <c:v>-18.783072289156628</c:v>
                </c:pt>
                <c:pt idx="15" formatCode="General">
                  <c:v>-18.801144578313252</c:v>
                </c:pt>
                <c:pt idx="16" formatCode="General">
                  <c:v>-18.819272727272725</c:v>
                </c:pt>
                <c:pt idx="17" formatCode="General">
                  <c:v>-18.837454545454545</c:v>
                </c:pt>
                <c:pt idx="18" formatCode="General">
                  <c:v>-18.855636363636364</c:v>
                </c:pt>
                <c:pt idx="19" formatCode="General">
                  <c:v>-18.873818181818184</c:v>
                </c:pt>
                <c:pt idx="20" formatCode="General">
                  <c:v>-18.891999999999999</c:v>
                </c:pt>
                <c:pt idx="21" formatCode="General">
                  <c:v>-18.913575757575757</c:v>
                </c:pt>
                <c:pt idx="22" formatCode="General">
                  <c:v>-18.937818181818184</c:v>
                </c:pt>
                <c:pt idx="23" formatCode="General">
                  <c:v>-18.95644578313253</c:v>
                </c:pt>
                <c:pt idx="24" formatCode="General">
                  <c:v>-18.976060606060607</c:v>
                </c:pt>
                <c:pt idx="25" formatCode="General">
                  <c:v>-19.00030303030303</c:v>
                </c:pt>
                <c:pt idx="26" formatCode="General">
                  <c:v>-19.020909090909093</c:v>
                </c:pt>
                <c:pt idx="27" formatCode="General">
                  <c:v>-19.039090909090909</c:v>
                </c:pt>
                <c:pt idx="28" formatCode="General">
                  <c:v>-19.057272727272728</c:v>
                </c:pt>
                <c:pt idx="29" formatCode="General">
                  <c:v>-19.077272727272728</c:v>
                </c:pt>
                <c:pt idx="30" formatCode="General">
                  <c:v>-19.101515151515152</c:v>
                </c:pt>
                <c:pt idx="31" formatCode="General">
                  <c:v>-19.121746987951806</c:v>
                </c:pt>
                <c:pt idx="32" formatCode="General">
                  <c:v>-19.139819277108433</c:v>
                </c:pt>
                <c:pt idx="33" formatCode="General">
                  <c:v>-19.164000000000001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-19.388456883509832</c:v>
                </c:pt>
                <c:pt idx="45" formatCode="General">
                  <c:v>-19.408124054462935</c:v>
                </c:pt>
                <c:pt idx="46" formatCode="General">
                  <c:v>-19.427791225416037</c:v>
                </c:pt>
                <c:pt idx="47" formatCode="General">
                  <c:v>-19.447458396369139</c:v>
                </c:pt>
                <c:pt idx="48" formatCode="General">
                  <c:v>-19.467125567322238</c:v>
                </c:pt>
                <c:pt idx="49" formatCode="General">
                  <c:v>-19.486792738275341</c:v>
                </c:pt>
                <c:pt idx="50" formatCode="General">
                  <c:v>-19.506459909228443</c:v>
                </c:pt>
                <c:pt idx="51" formatCode="General">
                  <c:v>-19.526151515151518</c:v>
                </c:pt>
                <c:pt idx="52" formatCode="General">
                  <c:v>-19.545848484848488</c:v>
                </c:pt>
                <c:pt idx="53" formatCode="General">
                  <c:v>-19.565545454545457</c:v>
                </c:pt>
                <c:pt idx="54" formatCode="General">
                  <c:v>-19.585242424242427</c:v>
                </c:pt>
                <c:pt idx="55" formatCode="General">
                  <c:v>-19.604939393939397</c:v>
                </c:pt>
                <c:pt idx="56" formatCode="General">
                  <c:v>-19.624636363636366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CD16-4E7F-975B-C1DF40B91386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  <c:pt idx="0">
                  <c:v>(DGeSe2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-59.936787878787875</c:v>
                </c:pt>
                <c:pt idx="1">
                  <c:v>-58.610121212121214</c:v>
                </c:pt>
                <c:pt idx="2" formatCode="General">
                  <c:v>-57.452545454545458</c:v>
                </c:pt>
                <c:pt idx="3" formatCode="General">
                  <c:v>-56.494060606060607</c:v>
                </c:pt>
                <c:pt idx="4" formatCode="General">
                  <c:v>-55.64032677760968</c:v>
                </c:pt>
                <c:pt idx="5" formatCode="General">
                  <c:v>-55.144411497730708</c:v>
                </c:pt>
                <c:pt idx="6" formatCode="General">
                  <c:v>-54.648496217851736</c:v>
                </c:pt>
                <c:pt idx="7" formatCode="General">
                  <c:v>-54.152580937972772</c:v>
                </c:pt>
                <c:pt idx="8" formatCode="General">
                  <c:v>-53.6566656580938</c:v>
                </c:pt>
                <c:pt idx="9" formatCode="General">
                  <c:v>-53.160750378214829</c:v>
                </c:pt>
                <c:pt idx="10" formatCode="General">
                  <c:v>-52.664835098335857</c:v>
                </c:pt>
                <c:pt idx="11" formatCode="General">
                  <c:v>-52.264418181818179</c:v>
                </c:pt>
                <c:pt idx="12" formatCode="General">
                  <c:v>-51.97169090909091</c:v>
                </c:pt>
                <c:pt idx="13" formatCode="General">
                  <c:v>-51.718224242424242</c:v>
                </c:pt>
                <c:pt idx="14" formatCode="General">
                  <c:v>-51.482433734939761</c:v>
                </c:pt>
                <c:pt idx="15" formatCode="General">
                  <c:v>-51.290867469879522</c:v>
                </c:pt>
                <c:pt idx="16" formatCode="General">
                  <c:v>-51.128690909090913</c:v>
                </c:pt>
                <c:pt idx="17" formatCode="General">
                  <c:v>-50.994751515151513</c:v>
                </c:pt>
                <c:pt idx="18" formatCode="General">
                  <c:v>-50.938993939393939</c:v>
                </c:pt>
                <c:pt idx="19" formatCode="General">
                  <c:v>-50.917472727272731</c:v>
                </c:pt>
                <c:pt idx="20" formatCode="General">
                  <c:v>-50.976866666666666</c:v>
                </c:pt>
                <c:pt idx="21" formatCode="General">
                  <c:v>-51.091581818181815</c:v>
                </c:pt>
                <c:pt idx="22" formatCode="General">
                  <c:v>-51.249763636363632</c:v>
                </c:pt>
                <c:pt idx="23" formatCode="General">
                  <c:v>-51.458608433734938</c:v>
                </c:pt>
                <c:pt idx="24" formatCode="General">
                  <c:v>-51.68566666666667</c:v>
                </c:pt>
                <c:pt idx="25" formatCode="General">
                  <c:v>-51.952333333333335</c:v>
                </c:pt>
                <c:pt idx="26" formatCode="General">
                  <c:v>-52.235363636363644</c:v>
                </c:pt>
                <c:pt idx="27" formatCode="General">
                  <c:v>-52.529303030303033</c:v>
                </c:pt>
                <c:pt idx="28" formatCode="General">
                  <c:v>-52.840515151515149</c:v>
                </c:pt>
                <c:pt idx="29" formatCode="General">
                  <c:v>-53.149727272727269</c:v>
                </c:pt>
                <c:pt idx="30" formatCode="General">
                  <c:v>-53.452151515151513</c:v>
                </c:pt>
                <c:pt idx="31" formatCode="General">
                  <c:v>-53.76200602409638</c:v>
                </c:pt>
                <c:pt idx="32" formatCode="General">
                  <c:v>-54.075861445783126</c:v>
                </c:pt>
                <c:pt idx="33" formatCode="General">
                  <c:v>-54.378999999999998</c:v>
                </c:pt>
                <c:pt idx="34" formatCode="General">
                  <c:v>-54.682236363636363</c:v>
                </c:pt>
                <c:pt idx="35" formatCode="General">
                  <c:v>-54.985872727272728</c:v>
                </c:pt>
                <c:pt idx="36" formatCode="General">
                  <c:v>-55.289090909090909</c:v>
                </c:pt>
                <c:pt idx="37" formatCode="General">
                  <c:v>-55.591878971255667</c:v>
                </c:pt>
                <c:pt idx="38" formatCode="General">
                  <c:v>-55.8888532526475</c:v>
                </c:pt>
                <c:pt idx="39" formatCode="General">
                  <c:v>-56.185827534039333</c:v>
                </c:pt>
                <c:pt idx="40" formatCode="General">
                  <c:v>-56.482801815431159</c:v>
                </c:pt>
                <c:pt idx="41" formatCode="General">
                  <c:v>-56.779776096822992</c:v>
                </c:pt>
                <c:pt idx="42" formatCode="General">
                  <c:v>-57.076750378214825</c:v>
                </c:pt>
                <c:pt idx="43" formatCode="General">
                  <c:v>-57.373724659606651</c:v>
                </c:pt>
                <c:pt idx="44" formatCode="General">
                  <c:v>-57.664909228441751</c:v>
                </c:pt>
                <c:pt idx="45" formatCode="General">
                  <c:v>-57.948419062027227</c:v>
                </c:pt>
                <c:pt idx="46" formatCode="General">
                  <c:v>-58.231928895612711</c:v>
                </c:pt>
                <c:pt idx="47" formatCode="General">
                  <c:v>-58.515438729198188</c:v>
                </c:pt>
                <c:pt idx="48" formatCode="General">
                  <c:v>-58.798948562783664</c:v>
                </c:pt>
                <c:pt idx="49" formatCode="General">
                  <c:v>-59.082458396369141</c:v>
                </c:pt>
                <c:pt idx="50" formatCode="General">
                  <c:v>-59.365968229954618</c:v>
                </c:pt>
                <c:pt idx="51" formatCode="General">
                  <c:v>-59.641754545454546</c:v>
                </c:pt>
                <c:pt idx="52" formatCode="General">
                  <c:v>-59.915845454545455</c:v>
                </c:pt>
                <c:pt idx="53" formatCode="General">
                  <c:v>-60.189936363636363</c:v>
                </c:pt>
                <c:pt idx="54" formatCode="General">
                  <c:v>-60.464027272727272</c:v>
                </c:pt>
                <c:pt idx="55" formatCode="General">
                  <c:v>-60.73811818181818</c:v>
                </c:pt>
                <c:pt idx="56" formatCode="General">
                  <c:v>-61.012209090909089</c:v>
                </c:pt>
                <c:pt idx="57" formatCode="General">
                  <c:v>-61.285506024096385</c:v>
                </c:pt>
                <c:pt idx="58" formatCode="General">
                  <c:v>-61.555987951807225</c:v>
                </c:pt>
                <c:pt idx="59" formatCode="General">
                  <c:v>-61.826369696969692</c:v>
                </c:pt>
                <c:pt idx="60" formatCode="General">
                  <c:v>-62.096672727272725</c:v>
                </c:pt>
                <c:pt idx="61" formatCode="General">
                  <c:v>-62.364769696969695</c:v>
                </c:pt>
                <c:pt idx="62" formatCode="General">
                  <c:v>-62.632333333333328</c:v>
                </c:pt>
                <c:pt idx="63" formatCode="General">
                  <c:v>-62.899000000000001</c:v>
                </c:pt>
                <c:pt idx="64" formatCode="General">
                  <c:v>-63.157903030303032</c:v>
                </c:pt>
                <c:pt idx="65" formatCode="General">
                  <c:v>-63.411842424242423</c:v>
                </c:pt>
                <c:pt idx="66" formatCode="General">
                  <c:v>-63.674722891566262</c:v>
                </c:pt>
                <c:pt idx="67" formatCode="General">
                  <c:v>-63.93845454545454</c:v>
                </c:pt>
                <c:pt idx="68" formatCode="General">
                  <c:v>-64.203303030303033</c:v>
                </c:pt>
                <c:pt idx="69" formatCode="General">
                  <c:v>-64.459878787878793</c:v>
                </c:pt>
                <c:pt idx="70" formatCode="General">
                  <c:v>-64.712000000000003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CD16-4E7F-975B-C1DF40B91386}"/>
            </c:ext>
          </c:extLst>
        </c:ser>
        <c:ser>
          <c:idx val="34"/>
          <c:order val="36"/>
          <c:tx>
            <c:strRef>
              <c:f>'Gibbs-EVAL'!$A$137</c:f>
              <c:strCache>
                <c:ptCount val="1"/>
                <c:pt idx="0">
                  <c:v>(DGeSe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'Gibbs-EVAL'!$B$137:$BT$137</c:f>
              <c:numCache>
                <c:formatCode>0</c:formatCode>
                <c:ptCount val="71"/>
                <c:pt idx="0">
                  <c:v>-37.871212121212125</c:v>
                </c:pt>
                <c:pt idx="1">
                  <c:v>-36.936060606060607</c:v>
                </c:pt>
                <c:pt idx="2" formatCode="General">
                  <c:v>-36.057272727272725</c:v>
                </c:pt>
                <c:pt idx="3" formatCode="General">
                  <c:v>-35.249272727272725</c:v>
                </c:pt>
                <c:pt idx="4" formatCode="General">
                  <c:v>-34.48330711043873</c:v>
                </c:pt>
                <c:pt idx="5" formatCode="General">
                  <c:v>-33.899645990922842</c:v>
                </c:pt>
                <c:pt idx="6" formatCode="General">
                  <c:v>-33.315984871406961</c:v>
                </c:pt>
                <c:pt idx="7" formatCode="General">
                  <c:v>-32.732323751891073</c:v>
                </c:pt>
                <c:pt idx="8" formatCode="General">
                  <c:v>-32.148662632375192</c:v>
                </c:pt>
                <c:pt idx="9" formatCode="General">
                  <c:v>-31.565001512859304</c:v>
                </c:pt>
                <c:pt idx="10" formatCode="General">
                  <c:v>-30.981340393343419</c:v>
                </c:pt>
                <c:pt idx="11" formatCode="General">
                  <c:v>-30.471751515151517</c:v>
                </c:pt>
                <c:pt idx="12" formatCode="General">
                  <c:v>-30.045690909090911</c:v>
                </c:pt>
                <c:pt idx="13" formatCode="General">
                  <c:v>-29.668830303030305</c:v>
                </c:pt>
                <c:pt idx="14" formatCode="General">
                  <c:v>-29.315024096385542</c:v>
                </c:pt>
                <c:pt idx="15" formatCode="General">
                  <c:v>-29.021048192771087</c:v>
                </c:pt>
                <c:pt idx="16" formatCode="General">
                  <c:v>-28.765418181818184</c:v>
                </c:pt>
                <c:pt idx="17" formatCode="General">
                  <c:v>-28.546630303030305</c:v>
                </c:pt>
                <c:pt idx="18" formatCode="General">
                  <c:v>-28.406024242424245</c:v>
                </c:pt>
                <c:pt idx="19" formatCode="General">
                  <c:v>-28.297109090909093</c:v>
                </c:pt>
                <c:pt idx="20" formatCode="General">
                  <c:v>-28.259533333333334</c:v>
                </c:pt>
                <c:pt idx="21" formatCode="General">
                  <c:v>-28.267096969696972</c:v>
                </c:pt>
                <c:pt idx="22" formatCode="General">
                  <c:v>-28.310127272727271</c:v>
                </c:pt>
                <c:pt idx="23" formatCode="General">
                  <c:v>-28.39896987951807</c:v>
                </c:pt>
                <c:pt idx="24" formatCode="General">
                  <c:v>-28.502333333333333</c:v>
                </c:pt>
                <c:pt idx="25" formatCode="General">
                  <c:v>-28.635666666666665</c:v>
                </c:pt>
                <c:pt idx="26" formatCode="General">
                  <c:v>-28.781727272727274</c:v>
                </c:pt>
                <c:pt idx="27" formatCode="General">
                  <c:v>-28.93627272727273</c:v>
                </c:pt>
                <c:pt idx="28" formatCode="General">
                  <c:v>-29.102333333333334</c:v>
                </c:pt>
                <c:pt idx="29" formatCode="General">
                  <c:v>-29.267909090909093</c:v>
                </c:pt>
                <c:pt idx="30" formatCode="General">
                  <c:v>-29.430939393939394</c:v>
                </c:pt>
                <c:pt idx="31" formatCode="General">
                  <c:v>-29.598030120481926</c:v>
                </c:pt>
                <c:pt idx="32" formatCode="General">
                  <c:v>-29.767307228915662</c:v>
                </c:pt>
                <c:pt idx="33" formatCode="General">
                  <c:v>-29.930999999999997</c:v>
                </c:pt>
                <c:pt idx="34" formatCode="General">
                  <c:v>-30.094842424242422</c:v>
                </c:pt>
                <c:pt idx="35" formatCode="General">
                  <c:v>-30.259084848484846</c:v>
                </c:pt>
                <c:pt idx="36" formatCode="General">
                  <c:v>-30.422909090909091</c:v>
                </c:pt>
                <c:pt idx="37" formatCode="General">
                  <c:v>-30.586432677760968</c:v>
                </c:pt>
                <c:pt idx="38" formatCode="General">
                  <c:v>-30.747249621785173</c:v>
                </c:pt>
                <c:pt idx="39" formatCode="General">
                  <c:v>-30.908066565809378</c:v>
                </c:pt>
                <c:pt idx="40" formatCode="General">
                  <c:v>-31.068883509833583</c:v>
                </c:pt>
                <c:pt idx="41" formatCode="General">
                  <c:v>-31.229700453857792</c:v>
                </c:pt>
                <c:pt idx="42" formatCode="General">
                  <c:v>-31.390517397881997</c:v>
                </c:pt>
                <c:pt idx="43" formatCode="General">
                  <c:v>-31.551334341906202</c:v>
                </c:pt>
                <c:pt idx="44" formatCode="General">
                  <c:v>-31.709614220877459</c:v>
                </c:pt>
                <c:pt idx="45" formatCode="General">
                  <c:v>-31.864531013615736</c:v>
                </c:pt>
                <c:pt idx="46" formatCode="General">
                  <c:v>-32.019447806354009</c:v>
                </c:pt>
                <c:pt idx="47" formatCode="General">
                  <c:v>-32.174364599092286</c:v>
                </c:pt>
                <c:pt idx="48" formatCode="General">
                  <c:v>-32.329281391830563</c:v>
                </c:pt>
                <c:pt idx="49" formatCode="General">
                  <c:v>-32.484198184568839</c:v>
                </c:pt>
                <c:pt idx="50" formatCode="General">
                  <c:v>-32.639114977307116</c:v>
                </c:pt>
                <c:pt idx="51" formatCode="General">
                  <c:v>-32.792360606060612</c:v>
                </c:pt>
                <c:pt idx="52" formatCode="General">
                  <c:v>-32.945239393939396</c:v>
                </c:pt>
                <c:pt idx="53" formatCode="General">
                  <c:v>-33.098118181818187</c:v>
                </c:pt>
                <c:pt idx="54" formatCode="General">
                  <c:v>-33.25099696969697</c:v>
                </c:pt>
                <c:pt idx="55" formatCode="General">
                  <c:v>-33.403875757575761</c:v>
                </c:pt>
                <c:pt idx="56" formatCode="General">
                  <c:v>-33.556754545454545</c:v>
                </c:pt>
                <c:pt idx="57" formatCode="General">
                  <c:v>-33.709000000000003</c:v>
                </c:pt>
                <c:pt idx="58" formatCode="General">
                  <c:v>-33.859000000000002</c:v>
                </c:pt>
                <c:pt idx="59" formatCode="General">
                  <c:v>-34.008490909090909</c:v>
                </c:pt>
                <c:pt idx="60" formatCode="General">
                  <c:v>-34.157581818181818</c:v>
                </c:pt>
                <c:pt idx="61" formatCode="General">
                  <c:v>-34.304466666666663</c:v>
                </c:pt>
                <c:pt idx="62" formatCode="General">
                  <c:v>-34.450818181818178</c:v>
                </c:pt>
                <c:pt idx="63" formatCode="General">
                  <c:v>-34.596272727272726</c:v>
                </c:pt>
                <c:pt idx="64" formatCode="General">
                  <c:v>-34.737660606060608</c:v>
                </c:pt>
                <c:pt idx="65" formatCode="General">
                  <c:v>-34.876448484848481</c:v>
                </c:pt>
                <c:pt idx="66" formatCode="General">
                  <c:v>-35.019060240963853</c:v>
                </c:pt>
                <c:pt idx="67" formatCode="General">
                  <c:v>-35.162090909090907</c:v>
                </c:pt>
                <c:pt idx="68" formatCode="General">
                  <c:v>-35.305727272727275</c:v>
                </c:pt>
                <c:pt idx="69" formatCode="General">
                  <c:v>-35.445030303030308</c:v>
                </c:pt>
                <c:pt idx="70" formatCode="General">
                  <c:v>-35.582000000000001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CD16-4E7F-975B-C1DF40B91386}"/>
            </c:ext>
          </c:extLst>
        </c:ser>
        <c:ser>
          <c:idx val="35"/>
          <c:order val="37"/>
          <c:tx>
            <c:strRef>
              <c:f>'Gibbs-EVAL'!$A$138</c:f>
              <c:strCache>
                <c:ptCount val="1"/>
                <c:pt idx="0">
                  <c:v>(DGa2Sej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-143.53575757575757</c:v>
                </c:pt>
                <c:pt idx="1">
                  <c:v>-139.02181818181819</c:v>
                </c:pt>
                <c:pt idx="2" formatCode="General">
                  <c:v>-134.65818181818182</c:v>
                </c:pt>
                <c:pt idx="3" formatCode="General">
                  <c:v>-130.42284848484846</c:v>
                </c:pt>
                <c:pt idx="4" formatCode="General">
                  <c:v>-126.27735249621784</c:v>
                </c:pt>
                <c:pt idx="5" formatCode="General">
                  <c:v>-122.619258698941</c:v>
                </c:pt>
                <c:pt idx="6" formatCode="General">
                  <c:v>-118.96116490166413</c:v>
                </c:pt>
                <c:pt idx="7" formatCode="General">
                  <c:v>-115.30307110438729</c:v>
                </c:pt>
                <c:pt idx="8" formatCode="General">
                  <c:v>-111.64497730711044</c:v>
                </c:pt>
                <c:pt idx="9" formatCode="General">
                  <c:v>-107.98688350983359</c:v>
                </c:pt>
                <c:pt idx="10" formatCode="General">
                  <c:v>-104.32878971255674</c:v>
                </c:pt>
                <c:pt idx="11" formatCode="General">
                  <c:v>-100.97145454545455</c:v>
                </c:pt>
                <c:pt idx="12" formatCode="General">
                  <c:v>-97.953272727272733</c:v>
                </c:pt>
                <c:pt idx="13" formatCode="General">
                  <c:v>-95.1338787878788</c:v>
                </c:pt>
                <c:pt idx="14" formatCode="General">
                  <c:v>-92.402951807228931</c:v>
                </c:pt>
                <c:pt idx="15" formatCode="General">
                  <c:v>-89.890903614457827</c:v>
                </c:pt>
                <c:pt idx="16" formatCode="General">
                  <c:v>-87.485454545454544</c:v>
                </c:pt>
                <c:pt idx="17" formatCode="General">
                  <c:v>-85.182424242424233</c:v>
                </c:pt>
                <c:pt idx="18" formatCode="General">
                  <c:v>-83.046181818181807</c:v>
                </c:pt>
                <c:pt idx="19" formatCode="General">
                  <c:v>-80.967636363636359</c:v>
                </c:pt>
                <c:pt idx="20" formatCode="General">
                  <c:v>-79.003999999999991</c:v>
                </c:pt>
                <c:pt idx="21" formatCode="General">
                  <c:v>-77.111636363636364</c:v>
                </c:pt>
                <c:pt idx="22" formatCode="General">
                  <c:v>-75.275272727272721</c:v>
                </c:pt>
                <c:pt idx="23" formatCode="General">
                  <c:v>-73.564096385542157</c:v>
                </c:pt>
                <c:pt idx="24" formatCode="General">
                  <c:v>-71.893030303030301</c:v>
                </c:pt>
                <c:pt idx="25" formatCode="General">
                  <c:v>-70.305151515151508</c:v>
                </c:pt>
                <c:pt idx="26" formatCode="General">
                  <c:v>-68.800909090909087</c:v>
                </c:pt>
                <c:pt idx="27" formatCode="General">
                  <c:v>-67.352424242424249</c:v>
                </c:pt>
                <c:pt idx="28" formatCode="General">
                  <c:v>-66.036363636363646</c:v>
                </c:pt>
                <c:pt idx="29" formatCode="General">
                  <c:v>-64.758181818181825</c:v>
                </c:pt>
                <c:pt idx="30" formatCode="General">
                  <c:v>-63.552121212121214</c:v>
                </c:pt>
                <c:pt idx="31" formatCode="General">
                  <c:v>-62.417349397590364</c:v>
                </c:pt>
                <c:pt idx="32" formatCode="General">
                  <c:v>-61.320963855421688</c:v>
                </c:pt>
                <c:pt idx="33" formatCode="General">
                  <c:v>-60.284000000000006</c:v>
                </c:pt>
                <c:pt idx="34" formatCode="General">
                  <c:v>-59.272363636363643</c:v>
                </c:pt>
                <c:pt idx="35" formatCode="General">
                  <c:v>-58.308727272727282</c:v>
                </c:pt>
                <c:pt idx="36" formatCode="General">
                  <c:v>-57.370181818181827</c:v>
                </c:pt>
                <c:pt idx="37" formatCode="General">
                  <c:v>-56.447685325264757</c:v>
                </c:pt>
                <c:pt idx="38" formatCode="General">
                  <c:v>-55.639818456883518</c:v>
                </c:pt>
                <c:pt idx="39" formatCode="General">
                  <c:v>-54.831951588502278</c:v>
                </c:pt>
                <c:pt idx="40" formatCode="General">
                  <c:v>-54.024084720121031</c:v>
                </c:pt>
                <c:pt idx="41" formatCode="General">
                  <c:v>-53.216217851739792</c:v>
                </c:pt>
                <c:pt idx="42" formatCode="General">
                  <c:v>-52.408350983358552</c:v>
                </c:pt>
                <c:pt idx="43" formatCode="General">
                  <c:v>-51.600484114977313</c:v>
                </c:pt>
                <c:pt idx="44" formatCode="General">
                  <c:v>-50.870030257186087</c:v>
                </c:pt>
                <c:pt idx="45" formatCode="General">
                  <c:v>-50.242193645990923</c:v>
                </c:pt>
                <c:pt idx="46" formatCode="General">
                  <c:v>-49.614357034795766</c:v>
                </c:pt>
                <c:pt idx="47" formatCode="General">
                  <c:v>-48.986520423600602</c:v>
                </c:pt>
                <c:pt idx="48" formatCode="General">
                  <c:v>-48.358683812405445</c:v>
                </c:pt>
                <c:pt idx="49" formatCode="General">
                  <c:v>-47.730847201210281</c:v>
                </c:pt>
                <c:pt idx="50" formatCode="General">
                  <c:v>-47.103010590015124</c:v>
                </c:pt>
                <c:pt idx="51" formatCode="General">
                  <c:v>-46.776054545454542</c:v>
                </c:pt>
                <c:pt idx="52" formatCode="General">
                  <c:v>-46.515145454545447</c:v>
                </c:pt>
                <c:pt idx="53" formatCode="General">
                  <c:v>-46.254236363636359</c:v>
                </c:pt>
                <c:pt idx="54" formatCode="General">
                  <c:v>-45.993327272727271</c:v>
                </c:pt>
                <c:pt idx="55" formatCode="General">
                  <c:v>-45.732418181818183</c:v>
                </c:pt>
                <c:pt idx="56" formatCode="General">
                  <c:v>-45.471509090909088</c:v>
                </c:pt>
                <c:pt idx="57" formatCode="General">
                  <c:v>-45.268265060240964</c:v>
                </c:pt>
                <c:pt idx="58" formatCode="General">
                  <c:v>-45.26946987951807</c:v>
                </c:pt>
                <c:pt idx="59" formatCode="General">
                  <c:v>-45.306654545454542</c:v>
                </c:pt>
                <c:pt idx="60" formatCode="General">
                  <c:v>-45.372109090909092</c:v>
                </c:pt>
                <c:pt idx="61" formatCode="General">
                  <c:v>-45.473963636363635</c:v>
                </c:pt>
                <c:pt idx="62" formatCode="General">
                  <c:v>-45.585721212121214</c:v>
                </c:pt>
                <c:pt idx="63" formatCode="General">
                  <c:v>-45.715418181818187</c:v>
                </c:pt>
                <c:pt idx="64" formatCode="General">
                  <c:v>-45.851030303030306</c:v>
                </c:pt>
                <c:pt idx="65" formatCode="General">
                  <c:v>-45.99042424242424</c:v>
                </c:pt>
                <c:pt idx="66" formatCode="General">
                  <c:v>-46.141734939759033</c:v>
                </c:pt>
                <c:pt idx="67" formatCode="General">
                  <c:v>-46.295636363636362</c:v>
                </c:pt>
                <c:pt idx="68" formatCode="General">
                  <c:v>-46.454424242424246</c:v>
                </c:pt>
                <c:pt idx="69" formatCode="General">
                  <c:v>-46.610848484848489</c:v>
                </c:pt>
                <c:pt idx="70" formatCode="General">
                  <c:v>-46.765999999999998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16-4E7F-975B-C1DF40B91386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  <c:pt idx="0">
                  <c:v>(DGaSe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-82.800666666666672</c:v>
                </c:pt>
                <c:pt idx="1">
                  <c:v>-80.347939393939399</c:v>
                </c:pt>
                <c:pt idx="2" formatCode="General">
                  <c:v>-78.026727272727271</c:v>
                </c:pt>
                <c:pt idx="3" formatCode="General">
                  <c:v>-75.833818181818188</c:v>
                </c:pt>
                <c:pt idx="4" formatCode="General">
                  <c:v>-73.717186081694393</c:v>
                </c:pt>
                <c:pt idx="5" formatCode="General">
                  <c:v>-71.932012102874438</c:v>
                </c:pt>
                <c:pt idx="6" formatCode="General">
                  <c:v>-70.146838124054469</c:v>
                </c:pt>
                <c:pt idx="7" formatCode="General">
                  <c:v>-68.361664145234499</c:v>
                </c:pt>
                <c:pt idx="8" formatCode="General">
                  <c:v>-66.57649016641453</c:v>
                </c:pt>
                <c:pt idx="9" formatCode="General">
                  <c:v>-64.79131618759456</c:v>
                </c:pt>
                <c:pt idx="10" formatCode="General">
                  <c:v>-63.006142208774591</c:v>
                </c:pt>
                <c:pt idx="11" formatCode="General">
                  <c:v>-61.382060606060605</c:v>
                </c:pt>
                <c:pt idx="12" formatCode="General">
                  <c:v>-59.93963636363636</c:v>
                </c:pt>
                <c:pt idx="13" formatCode="General">
                  <c:v>-58.591636363636361</c:v>
                </c:pt>
                <c:pt idx="14" formatCode="General">
                  <c:v>-57.285180722891567</c:v>
                </c:pt>
                <c:pt idx="15" formatCode="General">
                  <c:v>-56.080361445783133</c:v>
                </c:pt>
                <c:pt idx="16" formatCode="General">
                  <c:v>-54.924363636363637</c:v>
                </c:pt>
                <c:pt idx="17" formatCode="General">
                  <c:v>-53.81527272727272</c:v>
                </c:pt>
                <c:pt idx="18" formatCode="General">
                  <c:v>-52.789575757575754</c:v>
                </c:pt>
                <c:pt idx="19" formatCode="General">
                  <c:v>-51.793999999999997</c:v>
                </c:pt>
                <c:pt idx="20" formatCode="General">
                  <c:v>-50.860666666666667</c:v>
                </c:pt>
                <c:pt idx="21" formatCode="General">
                  <c:v>-49.968060606060604</c:v>
                </c:pt>
                <c:pt idx="22" formatCode="General">
                  <c:v>-49.107454545454544</c:v>
                </c:pt>
                <c:pt idx="23" formatCode="General">
                  <c:v>-48.311867469879516</c:v>
                </c:pt>
                <c:pt idx="24" formatCode="General">
                  <c:v>-47.538181818181819</c:v>
                </c:pt>
                <c:pt idx="25" formatCode="General">
                  <c:v>-46.810909090909085</c:v>
                </c:pt>
                <c:pt idx="26" formatCode="General">
                  <c:v>-46.127272727272725</c:v>
                </c:pt>
                <c:pt idx="27" formatCode="General">
                  <c:v>-45.472727272727269</c:v>
                </c:pt>
                <c:pt idx="28" formatCode="General">
                  <c:v>-44.88727272727273</c:v>
                </c:pt>
                <c:pt idx="29" formatCode="General">
                  <c:v>-44.32</c:v>
                </c:pt>
                <c:pt idx="30" formatCode="General">
                  <c:v>-43.786666666666669</c:v>
                </c:pt>
                <c:pt idx="31" formatCode="General">
                  <c:v>-43.290662650602414</c:v>
                </c:pt>
                <c:pt idx="32" formatCode="General">
                  <c:v>-42.814759036144579</c:v>
                </c:pt>
                <c:pt idx="33" formatCode="General">
                  <c:v>-42.366</c:v>
                </c:pt>
                <c:pt idx="34" formatCode="General">
                  <c:v>-41.929878787878792</c:v>
                </c:pt>
                <c:pt idx="35" formatCode="General">
                  <c:v>-41.517757575757578</c:v>
                </c:pt>
                <c:pt idx="36" formatCode="General">
                  <c:v>-41.118181818181817</c:v>
                </c:pt>
                <c:pt idx="37" formatCode="General">
                  <c:v>-40.726565809379728</c:v>
                </c:pt>
                <c:pt idx="38" formatCode="General">
                  <c:v>-40.390711043872919</c:v>
                </c:pt>
                <c:pt idx="39" formatCode="General">
                  <c:v>-40.05485627836611</c:v>
                </c:pt>
                <c:pt idx="40" formatCode="General">
                  <c:v>-39.719001512859307</c:v>
                </c:pt>
                <c:pt idx="41" formatCode="General">
                  <c:v>-39.383146747352498</c:v>
                </c:pt>
                <c:pt idx="42" formatCode="General">
                  <c:v>-39.047291981845689</c:v>
                </c:pt>
                <c:pt idx="43" formatCode="General">
                  <c:v>-38.711437216338879</c:v>
                </c:pt>
                <c:pt idx="44" formatCode="General">
                  <c:v>-38.412662632375188</c:v>
                </c:pt>
                <c:pt idx="45" formatCode="General">
                  <c:v>-38.163040847201209</c:v>
                </c:pt>
                <c:pt idx="46" formatCode="General">
                  <c:v>-37.913419062027231</c:v>
                </c:pt>
                <c:pt idx="47" formatCode="General">
                  <c:v>-37.663797276853252</c:v>
                </c:pt>
                <c:pt idx="48" formatCode="General">
                  <c:v>-37.414175491679273</c:v>
                </c:pt>
                <c:pt idx="49" formatCode="General">
                  <c:v>-37.164553706505295</c:v>
                </c:pt>
                <c:pt idx="50" formatCode="General">
                  <c:v>-36.914931921331309</c:v>
                </c:pt>
                <c:pt idx="51" formatCode="General">
                  <c:v>-36.812724242424238</c:v>
                </c:pt>
                <c:pt idx="52" formatCode="General">
                  <c:v>-36.742875757575753</c:v>
                </c:pt>
                <c:pt idx="53" formatCode="General">
                  <c:v>-36.673027272727268</c:v>
                </c:pt>
                <c:pt idx="54" formatCode="General">
                  <c:v>-36.603178787878782</c:v>
                </c:pt>
                <c:pt idx="55" formatCode="General">
                  <c:v>-36.533330303030304</c:v>
                </c:pt>
                <c:pt idx="56" formatCode="General">
                  <c:v>-36.463481818181819</c:v>
                </c:pt>
                <c:pt idx="57" formatCode="General">
                  <c:v>-36.422385542168676</c:v>
                </c:pt>
                <c:pt idx="58" formatCode="General">
                  <c:v>-36.48322891566265</c:v>
                </c:pt>
                <c:pt idx="59" formatCode="General">
                  <c:v>-36.562266666666666</c:v>
                </c:pt>
                <c:pt idx="60" formatCode="General">
                  <c:v>-36.6556</c:v>
                </c:pt>
                <c:pt idx="61" formatCode="General">
                  <c:v>-36.767133333333334</c:v>
                </c:pt>
                <c:pt idx="62" formatCode="General">
                  <c:v>-36.883618181818179</c:v>
                </c:pt>
                <c:pt idx="63" formatCode="General">
                  <c:v>-37.009072727272731</c:v>
                </c:pt>
                <c:pt idx="64" formatCode="General">
                  <c:v>-37.135636363636365</c:v>
                </c:pt>
                <c:pt idx="65" formatCode="General">
                  <c:v>-37.262909090909091</c:v>
                </c:pt>
                <c:pt idx="66" formatCode="General">
                  <c:v>-37.398698795180721</c:v>
                </c:pt>
                <c:pt idx="67" formatCode="General">
                  <c:v>-37.536000000000001</c:v>
                </c:pt>
                <c:pt idx="68" formatCode="General">
                  <c:v>-37.676000000000002</c:v>
                </c:pt>
                <c:pt idx="69" formatCode="General">
                  <c:v>-37.812848484848487</c:v>
                </c:pt>
                <c:pt idx="70" formatCode="General">
                  <c:v>-37.948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CD16-4E7F-975B-C1DF40B91386}"/>
            </c:ext>
          </c:extLst>
        </c:ser>
        <c:ser>
          <c:idx val="37"/>
          <c:order val="39"/>
          <c:tx>
            <c:strRef>
              <c:f>'Gibbs-EVAL'!$A$140</c:f>
              <c:strCache>
                <c:ptCount val="1"/>
                <c:pt idx="0">
                  <c:v>(DGe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'Gibbs-EVAL'!$B$140:$BT$140</c:f>
              <c:numCache>
                <c:formatCode>0</c:formatCode>
                <c:ptCount val="71"/>
                <c:pt idx="0">
                  <c:v>-15.805636363636363</c:v>
                </c:pt>
                <c:pt idx="1">
                  <c:v>-15.261999999999999</c:v>
                </c:pt>
                <c:pt idx="2" formatCode="General">
                  <c:v>-14.661999999999999</c:v>
                </c:pt>
                <c:pt idx="3" formatCode="General">
                  <c:v>-14.004484848484848</c:v>
                </c:pt>
                <c:pt idx="4" formatCode="General">
                  <c:v>-13.326287443267777</c:v>
                </c:pt>
                <c:pt idx="5" formatCode="General">
                  <c:v>-12.654880484114978</c:v>
                </c:pt>
                <c:pt idx="6" formatCode="General">
                  <c:v>-11.983473524962179</c:v>
                </c:pt>
                <c:pt idx="7" formatCode="General">
                  <c:v>-11.31206656580938</c:v>
                </c:pt>
                <c:pt idx="8" formatCode="General">
                  <c:v>-10.64065960665658</c:v>
                </c:pt>
                <c:pt idx="9" formatCode="General">
                  <c:v>-9.969252647503783</c:v>
                </c:pt>
                <c:pt idx="10" formatCode="General">
                  <c:v>-9.2978456883509839</c:v>
                </c:pt>
                <c:pt idx="11" formatCode="General">
                  <c:v>-8.67908484848485</c:v>
                </c:pt>
                <c:pt idx="12" formatCode="General">
                  <c:v>-8.1196909090909095</c:v>
                </c:pt>
                <c:pt idx="13" formatCode="General">
                  <c:v>-7.619436363636364</c:v>
                </c:pt>
                <c:pt idx="14" formatCode="General">
                  <c:v>-7.1476144578313257</c:v>
                </c:pt>
                <c:pt idx="15" formatCode="General">
                  <c:v>-6.7512289156626508</c:v>
                </c:pt>
                <c:pt idx="16" formatCode="General">
                  <c:v>-6.4021454545454546</c:v>
                </c:pt>
                <c:pt idx="17" formatCode="General">
                  <c:v>-6.09850909090909</c:v>
                </c:pt>
                <c:pt idx="18" formatCode="General">
                  <c:v>-5.8730545454545453</c:v>
                </c:pt>
                <c:pt idx="19" formatCode="General">
                  <c:v>-5.6767454545454541</c:v>
                </c:pt>
                <c:pt idx="20" formatCode="General">
                  <c:v>-5.5421999999999993</c:v>
                </c:pt>
                <c:pt idx="21" formatCode="General">
                  <c:v>-5.4426121212121208</c:v>
                </c:pt>
                <c:pt idx="22" formatCode="General">
                  <c:v>-5.3704909090909085</c:v>
                </c:pt>
                <c:pt idx="23" formatCode="General">
                  <c:v>-5.3393313253012051</c:v>
                </c:pt>
                <c:pt idx="24" formatCode="General">
                  <c:v>-5.319</c:v>
                </c:pt>
                <c:pt idx="25" formatCode="General">
                  <c:v>-5.319</c:v>
                </c:pt>
                <c:pt idx="26" formatCode="General">
                  <c:v>-5.3280909090909088</c:v>
                </c:pt>
                <c:pt idx="27" formatCode="General">
                  <c:v>-5.3432424242424243</c:v>
                </c:pt>
                <c:pt idx="28" formatCode="General">
                  <c:v>-5.3641515151515149</c:v>
                </c:pt>
                <c:pt idx="29" formatCode="General">
                  <c:v>-5.3860909090909086</c:v>
                </c:pt>
                <c:pt idx="30" formatCode="General">
                  <c:v>-5.4097272727272729</c:v>
                </c:pt>
                <c:pt idx="31" formatCode="General">
                  <c:v>-5.4340542168674695</c:v>
                </c:pt>
                <c:pt idx="32" formatCode="General">
                  <c:v>-5.4587530120481924</c:v>
                </c:pt>
                <c:pt idx="33" formatCode="General">
                  <c:v>-5.4829999999999997</c:v>
                </c:pt>
                <c:pt idx="34" formatCode="General">
                  <c:v>-5.5074484848484841</c:v>
                </c:pt>
                <c:pt idx="35" formatCode="General">
                  <c:v>-5.5322969696969695</c:v>
                </c:pt>
                <c:pt idx="36" formatCode="General">
                  <c:v>-5.5567272727272723</c:v>
                </c:pt>
                <c:pt idx="37" formatCode="General">
                  <c:v>-5.5809863842662635</c:v>
                </c:pt>
                <c:pt idx="38" formatCode="General">
                  <c:v>-5.6056459909228442</c:v>
                </c:pt>
                <c:pt idx="39" formatCode="General">
                  <c:v>-5.6303055975794249</c:v>
                </c:pt>
                <c:pt idx="40" formatCode="General">
                  <c:v>-5.6549652042360066</c:v>
                </c:pt>
                <c:pt idx="41" formatCode="General">
                  <c:v>-5.6796248108925873</c:v>
                </c:pt>
                <c:pt idx="42" formatCode="General">
                  <c:v>-5.704284417549168</c:v>
                </c:pt>
                <c:pt idx="43" formatCode="General">
                  <c:v>-5.7289440242057488</c:v>
                </c:pt>
                <c:pt idx="44" formatCode="General">
                  <c:v>-5.7543192133131624</c:v>
                </c:pt>
                <c:pt idx="45" formatCode="General">
                  <c:v>-5.7806429652042359</c:v>
                </c:pt>
                <c:pt idx="46" formatCode="General">
                  <c:v>-5.8069667170953103</c:v>
                </c:pt>
                <c:pt idx="47" formatCode="General">
                  <c:v>-5.8332904689863847</c:v>
                </c:pt>
                <c:pt idx="48" formatCode="General">
                  <c:v>-5.8596142208774582</c:v>
                </c:pt>
                <c:pt idx="49" formatCode="General">
                  <c:v>-5.8859379727685326</c:v>
                </c:pt>
                <c:pt idx="50" formatCode="General">
                  <c:v>-5.912261724659607</c:v>
                </c:pt>
                <c:pt idx="51" formatCode="General">
                  <c:v>-5.942966666666667</c:v>
                </c:pt>
                <c:pt idx="52" formatCode="General">
                  <c:v>-5.9746333333333332</c:v>
                </c:pt>
                <c:pt idx="53" formatCode="General">
                  <c:v>-6.0063000000000004</c:v>
                </c:pt>
                <c:pt idx="54" formatCode="General">
                  <c:v>-6.0379666666666667</c:v>
                </c:pt>
                <c:pt idx="55" formatCode="General">
                  <c:v>-6.0696333333333339</c:v>
                </c:pt>
                <c:pt idx="56" formatCode="General">
                  <c:v>-6.1013000000000002</c:v>
                </c:pt>
                <c:pt idx="57" formatCode="General">
                  <c:v>-6.132493975903615</c:v>
                </c:pt>
                <c:pt idx="58" formatCode="General">
                  <c:v>-6.1620120481927714</c:v>
                </c:pt>
                <c:pt idx="59" formatCode="General">
                  <c:v>-6.190612121212121</c:v>
                </c:pt>
                <c:pt idx="60" formatCode="General">
                  <c:v>-6.2184909090909093</c:v>
                </c:pt>
                <c:pt idx="61" formatCode="General">
                  <c:v>-6.2441636363636368</c:v>
                </c:pt>
                <c:pt idx="62" formatCode="General">
                  <c:v>-6.2693030303030302</c:v>
                </c:pt>
                <c:pt idx="63" formatCode="General">
                  <c:v>-6.2935454545454546</c:v>
                </c:pt>
                <c:pt idx="64" formatCode="General">
                  <c:v>-6.3174181818181818</c:v>
                </c:pt>
                <c:pt idx="65" formatCode="General">
                  <c:v>-6.3410545454545453</c:v>
                </c:pt>
                <c:pt idx="66" formatCode="General">
                  <c:v>-6.363397590361445</c:v>
                </c:pt>
                <c:pt idx="67" formatCode="General">
                  <c:v>-6.385727272727272</c:v>
                </c:pt>
                <c:pt idx="68" formatCode="General">
                  <c:v>-6.4081515151515154</c:v>
                </c:pt>
                <c:pt idx="69" formatCode="General">
                  <c:v>-6.4301818181818184</c:v>
                </c:pt>
                <c:pt idx="70" formatCode="General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CD16-4E7F-975B-C1DF40B91386}"/>
            </c:ext>
          </c:extLst>
        </c:ser>
        <c:ser>
          <c:idx val="38"/>
          <c:order val="40"/>
          <c:tx>
            <c:strRef>
              <c:f>'Gibbs-EVAL'!$A$141</c:f>
              <c:strCache>
                <c:ptCount val="1"/>
                <c:pt idx="0">
                  <c:v>(DGa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'Gibbs-EVAL'!$B$141:$BT$141</c:f>
              <c:numCache>
                <c:formatCode>0</c:formatCode>
                <c:ptCount val="71"/>
                <c:pt idx="0">
                  <c:v>-60.735090909090907</c:v>
                </c:pt>
                <c:pt idx="1">
                  <c:v>-58.673878787878785</c:v>
                </c:pt>
                <c:pt idx="2" formatCode="General">
                  <c:v>-56.631454545454545</c:v>
                </c:pt>
                <c:pt idx="3" formatCode="General">
                  <c:v>-54.589030303030299</c:v>
                </c:pt>
                <c:pt idx="4" formatCode="General">
                  <c:v>-52.560166414523451</c:v>
                </c:pt>
                <c:pt idx="5" formatCode="General">
                  <c:v>-50.687246596066565</c:v>
                </c:pt>
                <c:pt idx="6" formatCode="General">
                  <c:v>-48.814326777609679</c:v>
                </c:pt>
                <c:pt idx="7" formatCode="General">
                  <c:v>-46.9414069591528</c:v>
                </c:pt>
                <c:pt idx="8" formatCode="General">
                  <c:v>-45.068487140695915</c:v>
                </c:pt>
                <c:pt idx="9" formatCode="General">
                  <c:v>-43.195567322239029</c:v>
                </c:pt>
                <c:pt idx="10" formatCode="General">
                  <c:v>-41.32264750378215</c:v>
                </c:pt>
                <c:pt idx="11" formatCode="General">
                  <c:v>-39.589393939393936</c:v>
                </c:pt>
                <c:pt idx="12" formatCode="General">
                  <c:v>-38.013636363636365</c:v>
                </c:pt>
                <c:pt idx="13" formatCode="General">
                  <c:v>-36.542242424242424</c:v>
                </c:pt>
                <c:pt idx="14" formatCode="General">
                  <c:v>-35.117771084337356</c:v>
                </c:pt>
                <c:pt idx="15" formatCode="General">
                  <c:v>-33.810542168674701</c:v>
                </c:pt>
                <c:pt idx="16" formatCode="General">
                  <c:v>-32.561090909090908</c:v>
                </c:pt>
                <c:pt idx="17" formatCode="General">
                  <c:v>-31.367151515151512</c:v>
                </c:pt>
                <c:pt idx="18" formatCode="General">
                  <c:v>-30.256606060606057</c:v>
                </c:pt>
                <c:pt idx="19" formatCode="General">
                  <c:v>-29.173636363636362</c:v>
                </c:pt>
                <c:pt idx="20" formatCode="General">
                  <c:v>-28.143333333333331</c:v>
                </c:pt>
                <c:pt idx="21" formatCode="General">
                  <c:v>-27.143575757575757</c:v>
                </c:pt>
                <c:pt idx="22" formatCode="General">
                  <c:v>-26.167818181818177</c:v>
                </c:pt>
                <c:pt idx="23" formatCode="General">
                  <c:v>-25.252228915662648</c:v>
                </c:pt>
                <c:pt idx="24" formatCode="General">
                  <c:v>-24.354848484848485</c:v>
                </c:pt>
                <c:pt idx="25" formatCode="General">
                  <c:v>-23.494242424242422</c:v>
                </c:pt>
                <c:pt idx="26" formatCode="General">
                  <c:v>-22.673636363636362</c:v>
                </c:pt>
                <c:pt idx="27" formatCode="General">
                  <c:v>-21.879696969696969</c:v>
                </c:pt>
                <c:pt idx="28" formatCode="General">
                  <c:v>-21.149090909090908</c:v>
                </c:pt>
                <c:pt idx="29" formatCode="General">
                  <c:v>-20.438181818181818</c:v>
                </c:pt>
                <c:pt idx="30" formatCode="General">
                  <c:v>-19.765454545454546</c:v>
                </c:pt>
                <c:pt idx="31" formatCode="General">
                  <c:v>-19.126686746987954</c:v>
                </c:pt>
                <c:pt idx="32" formatCode="General">
                  <c:v>-18.506204819277109</c:v>
                </c:pt>
                <c:pt idx="33" formatCode="General">
                  <c:v>-17.918000000000003</c:v>
                </c:pt>
                <c:pt idx="34" formatCode="General">
                  <c:v>-17.342484848484851</c:v>
                </c:pt>
                <c:pt idx="35" formatCode="General">
                  <c:v>-16.7909696969697</c:v>
                </c:pt>
                <c:pt idx="36" formatCode="General">
                  <c:v>-16.252000000000002</c:v>
                </c:pt>
                <c:pt idx="37" formatCode="General">
                  <c:v>-15.721119515885023</c:v>
                </c:pt>
                <c:pt idx="38" formatCode="General">
                  <c:v>-15.249107413010591</c:v>
                </c:pt>
                <c:pt idx="39" formatCode="General">
                  <c:v>-14.77709531013616</c:v>
                </c:pt>
                <c:pt idx="40" formatCode="General">
                  <c:v>-14.305083207261726</c:v>
                </c:pt>
                <c:pt idx="41" formatCode="General">
                  <c:v>-13.833071104387294</c:v>
                </c:pt>
                <c:pt idx="42" formatCode="General">
                  <c:v>-13.36105900151286</c:v>
                </c:pt>
                <c:pt idx="43" formatCode="General">
                  <c:v>-12.889046898638428</c:v>
                </c:pt>
                <c:pt idx="44" formatCode="General">
                  <c:v>-12.457367624810892</c:v>
                </c:pt>
                <c:pt idx="45" formatCode="General">
                  <c:v>-12.079152798789712</c:v>
                </c:pt>
                <c:pt idx="46" formatCode="General">
                  <c:v>-11.700937972768532</c:v>
                </c:pt>
                <c:pt idx="47" formatCode="General">
                  <c:v>-11.322723146747352</c:v>
                </c:pt>
                <c:pt idx="48" formatCode="General">
                  <c:v>-10.944508320726172</c:v>
                </c:pt>
                <c:pt idx="49" formatCode="General">
                  <c:v>-10.56629349470499</c:v>
                </c:pt>
                <c:pt idx="50" formatCode="General">
                  <c:v>-10.18807866868381</c:v>
                </c:pt>
                <c:pt idx="51" formatCode="General">
                  <c:v>-9.9633303030303022</c:v>
                </c:pt>
                <c:pt idx="52" formatCode="General">
                  <c:v>-9.7722696969696958</c:v>
                </c:pt>
                <c:pt idx="53" formatCode="General">
                  <c:v>-9.5812090909090895</c:v>
                </c:pt>
                <c:pt idx="54" formatCode="General">
                  <c:v>-9.3901484848484831</c:v>
                </c:pt>
                <c:pt idx="55" formatCode="General">
                  <c:v>-9.1990878787878785</c:v>
                </c:pt>
                <c:pt idx="56" formatCode="General">
                  <c:v>-9.0080272727272721</c:v>
                </c:pt>
                <c:pt idx="57" formatCode="General">
                  <c:v>-8.8458795180722891</c:v>
                </c:pt>
                <c:pt idx="58" formatCode="General">
                  <c:v>-8.7862409638554215</c:v>
                </c:pt>
                <c:pt idx="59" formatCode="General">
                  <c:v>-8.7443878787878795</c:v>
                </c:pt>
                <c:pt idx="60" formatCode="General">
                  <c:v>-8.7165090909090921</c:v>
                </c:pt>
                <c:pt idx="61" formatCode="General">
                  <c:v>-8.7068303030303031</c:v>
                </c:pt>
                <c:pt idx="62" formatCode="General">
                  <c:v>-8.7021030303030305</c:v>
                </c:pt>
                <c:pt idx="63" formatCode="General">
                  <c:v>-8.7063454545454544</c:v>
                </c:pt>
                <c:pt idx="64" formatCode="General">
                  <c:v>-8.7153939393939392</c:v>
                </c:pt>
                <c:pt idx="65" formatCode="General">
                  <c:v>-8.727515151515151</c:v>
                </c:pt>
                <c:pt idx="66" formatCode="General">
                  <c:v>-8.7430361445783138</c:v>
                </c:pt>
                <c:pt idx="67" formatCode="General">
                  <c:v>-8.7596363636363641</c:v>
                </c:pt>
                <c:pt idx="68" formatCode="General">
                  <c:v>-8.7784242424242418</c:v>
                </c:pt>
                <c:pt idx="69" formatCode="General">
                  <c:v>-8.798</c:v>
                </c:pt>
                <c:pt idx="70" formatCode="General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CD16-4E7F-975B-C1DF40B91386}"/>
            </c:ext>
          </c:extLst>
        </c:ser>
        <c:ser>
          <c:idx val="40"/>
          <c:order val="41"/>
          <c:tx>
            <c:strRef>
              <c:f>'Gibbs-EVAL'!$A$142</c:f>
              <c:strCache>
                <c:ptCount val="1"/>
                <c:pt idx="0">
                  <c:v>(1)Se[A]</c:v>
                </c:pt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'Gibbs-EVAL'!$B$142:$BT$142</c:f>
              <c:numCache>
                <c:formatCode>0</c:formatCode>
                <c:ptCount val="71"/>
                <c:pt idx="0">
                  <c:v>-22.065575757575758</c:v>
                </c:pt>
                <c:pt idx="1">
                  <c:v>-21.674060606060607</c:v>
                </c:pt>
                <c:pt idx="2" formatCode="General">
                  <c:v>-21.395272727272726</c:v>
                </c:pt>
                <c:pt idx="3" formatCode="General">
                  <c:v>-21.244787878787879</c:v>
                </c:pt>
                <c:pt idx="4" formatCode="General">
                  <c:v>-21.157019667170953</c:v>
                </c:pt>
                <c:pt idx="5" formatCode="General">
                  <c:v>-21.244765506807866</c:v>
                </c:pt>
                <c:pt idx="6" formatCode="General">
                  <c:v>-21.332511346444779</c:v>
                </c:pt>
                <c:pt idx="7" formatCode="General">
                  <c:v>-21.420257186081695</c:v>
                </c:pt>
                <c:pt idx="8" formatCode="General">
                  <c:v>-21.508003025718608</c:v>
                </c:pt>
                <c:pt idx="9" formatCode="General">
                  <c:v>-21.595748865355521</c:v>
                </c:pt>
                <c:pt idx="10" formatCode="General">
                  <c:v>-21.683494704992437</c:v>
                </c:pt>
                <c:pt idx="11" formatCode="General">
                  <c:v>-21.792666666666666</c:v>
                </c:pt>
                <c:pt idx="12" formatCode="General">
                  <c:v>-21.925999999999998</c:v>
                </c:pt>
                <c:pt idx="13" formatCode="General">
                  <c:v>-22.049393939393937</c:v>
                </c:pt>
                <c:pt idx="14" formatCode="General">
                  <c:v>-22.167409638554215</c:v>
                </c:pt>
                <c:pt idx="15" formatCode="General">
                  <c:v>-22.269819277108432</c:v>
                </c:pt>
                <c:pt idx="16" formatCode="General">
                  <c:v>-22.363272727272729</c:v>
                </c:pt>
                <c:pt idx="17" formatCode="General">
                  <c:v>-22.448121212121212</c:v>
                </c:pt>
                <c:pt idx="18" formatCode="General">
                  <c:v>-22.532969696969698</c:v>
                </c:pt>
                <c:pt idx="19" formatCode="General">
                  <c:v>-22.620363636363638</c:v>
                </c:pt>
                <c:pt idx="20" formatCode="General">
                  <c:v>-22.717333333333336</c:v>
                </c:pt>
                <c:pt idx="21" formatCode="General">
                  <c:v>-22.82448484848485</c:v>
                </c:pt>
                <c:pt idx="22" formatCode="General">
                  <c:v>-22.939636363636364</c:v>
                </c:pt>
                <c:pt idx="23" formatCode="General">
                  <c:v>-23.059638554216868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CD16-4E7F-975B-C1DF40B91386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-22.065575757575758</c:v>
                </c:pt>
                <c:pt idx="1">
                  <c:v>-21.674060606060607</c:v>
                </c:pt>
                <c:pt idx="2" formatCode="General">
                  <c:v>-21.395272727272726</c:v>
                </c:pt>
                <c:pt idx="3" formatCode="General">
                  <c:v>-21.244787878787879</c:v>
                </c:pt>
                <c:pt idx="4" formatCode="General">
                  <c:v>-21.157019667170953</c:v>
                </c:pt>
                <c:pt idx="5" formatCode="General">
                  <c:v>-21.244765506807866</c:v>
                </c:pt>
                <c:pt idx="6" formatCode="General">
                  <c:v>-21.332511346444779</c:v>
                </c:pt>
                <c:pt idx="7" formatCode="General">
                  <c:v>-21.420257186081695</c:v>
                </c:pt>
                <c:pt idx="8" formatCode="General">
                  <c:v>-21.508003025718608</c:v>
                </c:pt>
                <c:pt idx="9" formatCode="General">
                  <c:v>-21.595748865355521</c:v>
                </c:pt>
                <c:pt idx="10" formatCode="General">
                  <c:v>-21.683494704992437</c:v>
                </c:pt>
                <c:pt idx="11" formatCode="General">
                  <c:v>-21.792666666666666</c:v>
                </c:pt>
                <c:pt idx="12" formatCode="General">
                  <c:v>-21.925999999999998</c:v>
                </c:pt>
                <c:pt idx="13" formatCode="General">
                  <c:v>-22.049393939393937</c:v>
                </c:pt>
                <c:pt idx="14" formatCode="General">
                  <c:v>-22.167409638554215</c:v>
                </c:pt>
                <c:pt idx="15" formatCode="General">
                  <c:v>-22.269819277108432</c:v>
                </c:pt>
                <c:pt idx="16" formatCode="General">
                  <c:v>-22.363272727272729</c:v>
                </c:pt>
                <c:pt idx="17" formatCode="General">
                  <c:v>-22.448121212121212</c:v>
                </c:pt>
                <c:pt idx="18" formatCode="General">
                  <c:v>-22.532969696969698</c:v>
                </c:pt>
                <c:pt idx="19" formatCode="General">
                  <c:v>-22.620363636363638</c:v>
                </c:pt>
                <c:pt idx="20" formatCode="General">
                  <c:v>-22.717333333333336</c:v>
                </c:pt>
                <c:pt idx="21" formatCode="General">
                  <c:v>-22.82448484848485</c:v>
                </c:pt>
                <c:pt idx="22" formatCode="General">
                  <c:v>-22.939636363636364</c:v>
                </c:pt>
                <c:pt idx="23" formatCode="General">
                  <c:v>-23.059638554216868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CD16-4E7F-975B-C1DF40B91386}"/>
            </c:ext>
          </c:extLst>
        </c:ser>
        <c:ser>
          <c:idx val="42"/>
          <c:order val="43"/>
          <c:tx>
            <c:strRef>
              <c:f>'Gibbs-EVAL'!$A$144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'Gibbs-EVAL'!$B$144:$BT$144</c:f>
              <c:numCache>
                <c:formatCode>0</c:formatCode>
                <c:ptCount val="71"/>
                <c:pt idx="0">
                  <c:v>-22.065575757575758</c:v>
                </c:pt>
                <c:pt idx="1">
                  <c:v>-21.674060606060607</c:v>
                </c:pt>
                <c:pt idx="2" formatCode="General">
                  <c:v>-21.395272727272726</c:v>
                </c:pt>
                <c:pt idx="3" formatCode="General">
                  <c:v>-21.244787878787879</c:v>
                </c:pt>
                <c:pt idx="4" formatCode="General">
                  <c:v>-21.157019667170953</c:v>
                </c:pt>
                <c:pt idx="5" formatCode="General">
                  <c:v>-21.244765506807866</c:v>
                </c:pt>
                <c:pt idx="6" formatCode="General">
                  <c:v>-21.332511346444779</c:v>
                </c:pt>
                <c:pt idx="7" formatCode="General">
                  <c:v>-21.420257186081695</c:v>
                </c:pt>
                <c:pt idx="8" formatCode="General">
                  <c:v>-21.508003025718608</c:v>
                </c:pt>
                <c:pt idx="9" formatCode="General">
                  <c:v>-21.595748865355521</c:v>
                </c:pt>
                <c:pt idx="10" formatCode="General">
                  <c:v>-21.683494704992437</c:v>
                </c:pt>
                <c:pt idx="11" formatCode="General">
                  <c:v>-21.792666666666666</c:v>
                </c:pt>
                <c:pt idx="12" formatCode="General">
                  <c:v>-21.925999999999998</c:v>
                </c:pt>
                <c:pt idx="13" formatCode="General">
                  <c:v>-22.049393939393937</c:v>
                </c:pt>
                <c:pt idx="14" formatCode="General">
                  <c:v>-22.167409638554215</c:v>
                </c:pt>
                <c:pt idx="15" formatCode="General">
                  <c:v>-22.269819277108432</c:v>
                </c:pt>
                <c:pt idx="16" formatCode="General">
                  <c:v>-22.363272727272729</c:v>
                </c:pt>
                <c:pt idx="17" formatCode="General">
                  <c:v>-22.448121212121212</c:v>
                </c:pt>
                <c:pt idx="18" formatCode="General">
                  <c:v>-22.532969696969698</c:v>
                </c:pt>
                <c:pt idx="19" formatCode="General">
                  <c:v>-22.620363636363638</c:v>
                </c:pt>
                <c:pt idx="20" formatCode="General">
                  <c:v>-22.717333333333336</c:v>
                </c:pt>
                <c:pt idx="21" formatCode="General">
                  <c:v>-22.82448484848485</c:v>
                </c:pt>
                <c:pt idx="22" formatCode="General">
                  <c:v>-22.939636363636364</c:v>
                </c:pt>
                <c:pt idx="23" formatCode="General">
                  <c:v>-23.059638554216868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CD16-4E7F-975B-C1DF40B91386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  <c:pt idx="0">
                  <c:v>(2)Ga[l]</c:v>
                </c:pt>
              </c:strCache>
            </c:strRef>
          </c:tx>
          <c:spPr>
            <a:ln>
              <a:solidFill>
                <a:schemeClr val="accent2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-60.735090909090907</c:v>
                </c:pt>
                <c:pt idx="1">
                  <c:v>-58.673878787878785</c:v>
                </c:pt>
                <c:pt idx="2" formatCode="General">
                  <c:v>-56.631454545454545</c:v>
                </c:pt>
                <c:pt idx="3" formatCode="General">
                  <c:v>-54.589030303030299</c:v>
                </c:pt>
                <c:pt idx="4" formatCode="General">
                  <c:v>-52.560166414523451</c:v>
                </c:pt>
                <c:pt idx="5" formatCode="General">
                  <c:v>-50.687246596066565</c:v>
                </c:pt>
                <c:pt idx="6" formatCode="General">
                  <c:v>-48.814326777609679</c:v>
                </c:pt>
                <c:pt idx="7" formatCode="General">
                  <c:v>-46.9414069591528</c:v>
                </c:pt>
                <c:pt idx="8" formatCode="General">
                  <c:v>-45.068487140695915</c:v>
                </c:pt>
                <c:pt idx="9" formatCode="General">
                  <c:v>-43.195567322239029</c:v>
                </c:pt>
                <c:pt idx="10" formatCode="General">
                  <c:v>-41.32264750378215</c:v>
                </c:pt>
                <c:pt idx="11" formatCode="General">
                  <c:v>-39.589393939393936</c:v>
                </c:pt>
                <c:pt idx="12" formatCode="General">
                  <c:v>-38.013636363636365</c:v>
                </c:pt>
                <c:pt idx="13" formatCode="General">
                  <c:v>-36.542242424242424</c:v>
                </c:pt>
                <c:pt idx="14" formatCode="General">
                  <c:v>-35.117771084337356</c:v>
                </c:pt>
                <c:pt idx="15" formatCode="General">
                  <c:v>-33.810542168674701</c:v>
                </c:pt>
                <c:pt idx="16" formatCode="General">
                  <c:v>-32.561090909090908</c:v>
                </c:pt>
                <c:pt idx="17" formatCode="General">
                  <c:v>-31.367151515151512</c:v>
                </c:pt>
                <c:pt idx="18" formatCode="General">
                  <c:v>-30.256606060606057</c:v>
                </c:pt>
                <c:pt idx="19" formatCode="General">
                  <c:v>-29.173636363636362</c:v>
                </c:pt>
                <c:pt idx="20" formatCode="General">
                  <c:v>-28.143333333333331</c:v>
                </c:pt>
                <c:pt idx="21" formatCode="General">
                  <c:v>-27.143575757575757</c:v>
                </c:pt>
                <c:pt idx="22" formatCode="General">
                  <c:v>-26.167818181818177</c:v>
                </c:pt>
                <c:pt idx="23" formatCode="General">
                  <c:v>-25.252228915662648</c:v>
                </c:pt>
                <c:pt idx="24" formatCode="General">
                  <c:v>-24.354848484848485</c:v>
                </c:pt>
                <c:pt idx="25" formatCode="General">
                  <c:v>-23.494242424242422</c:v>
                </c:pt>
                <c:pt idx="26" formatCode="General">
                  <c:v>-22.673636363636362</c:v>
                </c:pt>
                <c:pt idx="27" formatCode="General">
                  <c:v>-21.879696969696969</c:v>
                </c:pt>
                <c:pt idx="28" formatCode="General">
                  <c:v>-21.149090909090908</c:v>
                </c:pt>
                <c:pt idx="29" formatCode="General">
                  <c:v>-20.438181818181818</c:v>
                </c:pt>
                <c:pt idx="30" formatCode="General">
                  <c:v>-19.765454545454546</c:v>
                </c:pt>
                <c:pt idx="31" formatCode="General">
                  <c:v>-19.126686746987954</c:v>
                </c:pt>
                <c:pt idx="32" formatCode="General">
                  <c:v>-18.506204819277109</c:v>
                </c:pt>
                <c:pt idx="33" formatCode="General">
                  <c:v>-17.918000000000003</c:v>
                </c:pt>
                <c:pt idx="34" formatCode="General">
                  <c:v>-17.342484848484851</c:v>
                </c:pt>
                <c:pt idx="35" formatCode="General">
                  <c:v>-16.7909696969697</c:v>
                </c:pt>
                <c:pt idx="36" formatCode="General">
                  <c:v>-16.252000000000002</c:v>
                </c:pt>
                <c:pt idx="37" formatCode="General">
                  <c:v>-15.721119515885023</c:v>
                </c:pt>
                <c:pt idx="38" formatCode="General">
                  <c:v>-15.249107413010591</c:v>
                </c:pt>
                <c:pt idx="39" formatCode="General">
                  <c:v>-14.77709531013616</c:v>
                </c:pt>
                <c:pt idx="40" formatCode="General">
                  <c:v>-14.305083207261726</c:v>
                </c:pt>
                <c:pt idx="41" formatCode="General">
                  <c:v>-13.833071104387294</c:v>
                </c:pt>
                <c:pt idx="42" formatCode="General">
                  <c:v>-13.36105900151286</c:v>
                </c:pt>
                <c:pt idx="43" formatCode="General">
                  <c:v>-12.889046898638428</c:v>
                </c:pt>
                <c:pt idx="44" formatCode="General">
                  <c:v>-12.457367624810892</c:v>
                </c:pt>
                <c:pt idx="45" formatCode="General">
                  <c:v>-12.079152798789712</c:v>
                </c:pt>
                <c:pt idx="46" formatCode="General">
                  <c:v>-11.700937972768532</c:v>
                </c:pt>
                <c:pt idx="47" formatCode="General">
                  <c:v>-11.322723146747352</c:v>
                </c:pt>
                <c:pt idx="48" formatCode="General">
                  <c:v>-10.944508320726172</c:v>
                </c:pt>
                <c:pt idx="49" formatCode="General">
                  <c:v>-10.56629349470499</c:v>
                </c:pt>
                <c:pt idx="50" formatCode="General">
                  <c:v>-10.18807866868381</c:v>
                </c:pt>
                <c:pt idx="51" formatCode="General">
                  <c:v>-9.9633303030303022</c:v>
                </c:pt>
                <c:pt idx="52" formatCode="General">
                  <c:v>-9.7722696969696958</c:v>
                </c:pt>
                <c:pt idx="53" formatCode="General">
                  <c:v>-9.5812090909090895</c:v>
                </c:pt>
                <c:pt idx="54" formatCode="General">
                  <c:v>-9.3901484848484831</c:v>
                </c:pt>
                <c:pt idx="55" formatCode="General">
                  <c:v>-9.1990878787878785</c:v>
                </c:pt>
                <c:pt idx="56" formatCode="General">
                  <c:v>-9.0080272727272721</c:v>
                </c:pt>
                <c:pt idx="57" formatCode="General">
                  <c:v>-8.8458795180722891</c:v>
                </c:pt>
                <c:pt idx="58" formatCode="General">
                  <c:v>-8.7862409638554215</c:v>
                </c:pt>
                <c:pt idx="59" formatCode="General">
                  <c:v>-8.7443878787878795</c:v>
                </c:pt>
                <c:pt idx="60" formatCode="General">
                  <c:v>-8.7165090909090921</c:v>
                </c:pt>
                <c:pt idx="61" formatCode="General">
                  <c:v>-8.7068303030303031</c:v>
                </c:pt>
                <c:pt idx="62" formatCode="General">
                  <c:v>-8.7021030303030305</c:v>
                </c:pt>
                <c:pt idx="63" formatCode="General">
                  <c:v>-8.7063454545454544</c:v>
                </c:pt>
                <c:pt idx="64" formatCode="General">
                  <c:v>-8.7153939393939392</c:v>
                </c:pt>
                <c:pt idx="65" formatCode="General">
                  <c:v>-8.727515151515151</c:v>
                </c:pt>
                <c:pt idx="66" formatCode="General">
                  <c:v>-8.7430361445783138</c:v>
                </c:pt>
                <c:pt idx="67" formatCode="General">
                  <c:v>-8.7596363636363641</c:v>
                </c:pt>
                <c:pt idx="68" formatCode="General">
                  <c:v>-8.7784242424242418</c:v>
                </c:pt>
                <c:pt idx="69" formatCode="General">
                  <c:v>-8.798</c:v>
                </c:pt>
                <c:pt idx="70" formatCode="General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CD16-4E7F-975B-C1DF40B91386}"/>
            </c:ext>
          </c:extLst>
        </c:ser>
        <c:ser>
          <c:idx val="44"/>
          <c:order val="45"/>
          <c:tx>
            <c:strRef>
              <c:f>'Gibbs-EVAL'!$A$146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'Gibbs-EVAL'!$B$146:$BT$146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-18.631089258698939</c:v>
                </c:pt>
                <c:pt idx="5" formatCode="General">
                  <c:v>-18.644704992435702</c:v>
                </c:pt>
                <c:pt idx="6" formatCode="General">
                  <c:v>-18.658320726172466</c:v>
                </c:pt>
                <c:pt idx="7" formatCode="General">
                  <c:v>-18.671936459909226</c:v>
                </c:pt>
                <c:pt idx="8" formatCode="General">
                  <c:v>-18.685552193645989</c:v>
                </c:pt>
                <c:pt idx="9" formatCode="General">
                  <c:v>-18.699167927382753</c:v>
                </c:pt>
                <c:pt idx="10" formatCode="General">
                  <c:v>-18.712783661119516</c:v>
                </c:pt>
                <c:pt idx="11" formatCode="General">
                  <c:v>-18.728545454545454</c:v>
                </c:pt>
                <c:pt idx="12" formatCode="General">
                  <c:v>-18.746727272727274</c:v>
                </c:pt>
                <c:pt idx="13" formatCode="General">
                  <c:v>-18.764909090909093</c:v>
                </c:pt>
                <c:pt idx="14" formatCode="General">
                  <c:v>-18.783072289156628</c:v>
                </c:pt>
                <c:pt idx="15" formatCode="General">
                  <c:v>-18.801144578313252</c:v>
                </c:pt>
                <c:pt idx="16" formatCode="General">
                  <c:v>-18.819272727272725</c:v>
                </c:pt>
                <c:pt idx="17" formatCode="General">
                  <c:v>-18.837454545454545</c:v>
                </c:pt>
                <c:pt idx="18" formatCode="General">
                  <c:v>-18.855636363636364</c:v>
                </c:pt>
                <c:pt idx="19" formatCode="General">
                  <c:v>-18.873818181818184</c:v>
                </c:pt>
                <c:pt idx="20" formatCode="General">
                  <c:v>-18.891999999999999</c:v>
                </c:pt>
                <c:pt idx="21" formatCode="General">
                  <c:v>-18.913575757575757</c:v>
                </c:pt>
                <c:pt idx="22" formatCode="General">
                  <c:v>-18.937818181818184</c:v>
                </c:pt>
                <c:pt idx="23" formatCode="General">
                  <c:v>-18.95644578313253</c:v>
                </c:pt>
                <c:pt idx="24" formatCode="General">
                  <c:v>-18.976060606060607</c:v>
                </c:pt>
                <c:pt idx="25" formatCode="General">
                  <c:v>-19.00030303030303</c:v>
                </c:pt>
                <c:pt idx="26" formatCode="General">
                  <c:v>-19.020909090909093</c:v>
                </c:pt>
                <c:pt idx="27" formatCode="General">
                  <c:v>-19.039090909090909</c:v>
                </c:pt>
                <c:pt idx="28" formatCode="General">
                  <c:v>-19.057272727272728</c:v>
                </c:pt>
                <c:pt idx="29" formatCode="General">
                  <c:v>-19.077272727272728</c:v>
                </c:pt>
                <c:pt idx="30" formatCode="General">
                  <c:v>-19.101515151515152</c:v>
                </c:pt>
                <c:pt idx="31" formatCode="General">
                  <c:v>-19.121746987951806</c:v>
                </c:pt>
                <c:pt idx="32" formatCode="General">
                  <c:v>-19.139819277108433</c:v>
                </c:pt>
                <c:pt idx="33" formatCode="General">
                  <c:v>-19.164000000000001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-19.388456883509832</c:v>
                </c:pt>
                <c:pt idx="45" formatCode="General">
                  <c:v>-19.408124054462935</c:v>
                </c:pt>
                <c:pt idx="46" formatCode="General">
                  <c:v>-19.427791225416037</c:v>
                </c:pt>
                <c:pt idx="47" formatCode="General">
                  <c:v>-19.447458396369139</c:v>
                </c:pt>
                <c:pt idx="48" formatCode="General">
                  <c:v>-19.467125567322238</c:v>
                </c:pt>
                <c:pt idx="49" formatCode="General">
                  <c:v>-19.486792738275341</c:v>
                </c:pt>
                <c:pt idx="50" formatCode="General">
                  <c:v>-19.506459909228443</c:v>
                </c:pt>
                <c:pt idx="51" formatCode="General">
                  <c:v>-19.526151515151518</c:v>
                </c:pt>
                <c:pt idx="52" formatCode="General">
                  <c:v>-19.545848484848488</c:v>
                </c:pt>
                <c:pt idx="53" formatCode="General">
                  <c:v>-19.565545454545457</c:v>
                </c:pt>
                <c:pt idx="54" formatCode="General">
                  <c:v>-19.585242424242427</c:v>
                </c:pt>
                <c:pt idx="55" formatCode="General">
                  <c:v>-19.604939393939397</c:v>
                </c:pt>
                <c:pt idx="56" formatCode="General">
                  <c:v>-19.624636363636366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CD16-4E7F-975B-C1DF40B91386}"/>
            </c:ext>
          </c:extLst>
        </c:ser>
        <c:ser>
          <c:idx val="45"/>
          <c:order val="46"/>
          <c:tx>
            <c:strRef>
              <c:f>'Gibbs-EVAL'!$A$147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'Gibbs-EVAL'!$B$147:$BT$147</c:f>
              <c:numCache>
                <c:formatCode>0</c:formatCode>
                <c:ptCount val="71"/>
                <c:pt idx="0">
                  <c:v>-60.735090909090907</c:v>
                </c:pt>
                <c:pt idx="1">
                  <c:v>-58.673878787878785</c:v>
                </c:pt>
                <c:pt idx="2" formatCode="General">
                  <c:v>-56.631454545454545</c:v>
                </c:pt>
                <c:pt idx="3" formatCode="General">
                  <c:v>-54.589030303030299</c:v>
                </c:pt>
                <c:pt idx="4" formatCode="General">
                  <c:v>-52.560166414523451</c:v>
                </c:pt>
                <c:pt idx="5" formatCode="General">
                  <c:v>-50.687246596066565</c:v>
                </c:pt>
                <c:pt idx="6" formatCode="General">
                  <c:v>-48.814326777609679</c:v>
                </c:pt>
                <c:pt idx="7" formatCode="General">
                  <c:v>-46.9414069591528</c:v>
                </c:pt>
                <c:pt idx="8" formatCode="General">
                  <c:v>-45.068487140695915</c:v>
                </c:pt>
                <c:pt idx="9" formatCode="General">
                  <c:v>-43.195567322239029</c:v>
                </c:pt>
                <c:pt idx="10" formatCode="General">
                  <c:v>-41.32264750378215</c:v>
                </c:pt>
                <c:pt idx="11" formatCode="General">
                  <c:v>-39.589393939393936</c:v>
                </c:pt>
                <c:pt idx="12" formatCode="General">
                  <c:v>-38.013636363636365</c:v>
                </c:pt>
                <c:pt idx="13" formatCode="General">
                  <c:v>-36.542242424242424</c:v>
                </c:pt>
                <c:pt idx="14" formatCode="General">
                  <c:v>-35.117771084337356</c:v>
                </c:pt>
                <c:pt idx="15" formatCode="General">
                  <c:v>-33.810542168674701</c:v>
                </c:pt>
                <c:pt idx="16" formatCode="General">
                  <c:v>-32.561090909090908</c:v>
                </c:pt>
                <c:pt idx="17" formatCode="General">
                  <c:v>-31.367151515151512</c:v>
                </c:pt>
                <c:pt idx="18" formatCode="General">
                  <c:v>-30.256606060606057</c:v>
                </c:pt>
                <c:pt idx="19" formatCode="General">
                  <c:v>-29.173636363636362</c:v>
                </c:pt>
                <c:pt idx="20" formatCode="General">
                  <c:v>-28.143333333333331</c:v>
                </c:pt>
                <c:pt idx="21" formatCode="General">
                  <c:v>-27.143575757575757</c:v>
                </c:pt>
                <c:pt idx="22" formatCode="General">
                  <c:v>-26.167818181818177</c:v>
                </c:pt>
                <c:pt idx="23" formatCode="General">
                  <c:v>-25.252228915662648</c:v>
                </c:pt>
                <c:pt idx="24" formatCode="General">
                  <c:v>-24.354848484848485</c:v>
                </c:pt>
                <c:pt idx="25" formatCode="General">
                  <c:v>-23.494242424242422</c:v>
                </c:pt>
                <c:pt idx="26" formatCode="General">
                  <c:v>-22.673636363636362</c:v>
                </c:pt>
                <c:pt idx="27" formatCode="General">
                  <c:v>-21.879696969696969</c:v>
                </c:pt>
                <c:pt idx="28" formatCode="General">
                  <c:v>-21.149090909090908</c:v>
                </c:pt>
                <c:pt idx="29" formatCode="General">
                  <c:v>-20.438181818181818</c:v>
                </c:pt>
                <c:pt idx="30" formatCode="General">
                  <c:v>-19.765454545454546</c:v>
                </c:pt>
                <c:pt idx="31" formatCode="General">
                  <c:v>-19.126686746987954</c:v>
                </c:pt>
                <c:pt idx="32" formatCode="General">
                  <c:v>-18.506204819277109</c:v>
                </c:pt>
                <c:pt idx="33" formatCode="General">
                  <c:v>-17.918000000000003</c:v>
                </c:pt>
                <c:pt idx="34" formatCode="General">
                  <c:v>-17.342484848484851</c:v>
                </c:pt>
                <c:pt idx="35" formatCode="General">
                  <c:v>-16.7909696969697</c:v>
                </c:pt>
                <c:pt idx="36" formatCode="General">
                  <c:v>-16.252000000000002</c:v>
                </c:pt>
                <c:pt idx="37" formatCode="General">
                  <c:v>-15.721119515885023</c:v>
                </c:pt>
                <c:pt idx="38" formatCode="General">
                  <c:v>-15.249107413010591</c:v>
                </c:pt>
                <c:pt idx="39" formatCode="General">
                  <c:v>-14.77709531013616</c:v>
                </c:pt>
                <c:pt idx="40" formatCode="General">
                  <c:v>-14.305083207261726</c:v>
                </c:pt>
                <c:pt idx="41" formatCode="General">
                  <c:v>-13.833071104387294</c:v>
                </c:pt>
                <c:pt idx="42" formatCode="General">
                  <c:v>-13.36105900151286</c:v>
                </c:pt>
                <c:pt idx="43" formatCode="General">
                  <c:v>-12.889046898638428</c:v>
                </c:pt>
                <c:pt idx="44" formatCode="General">
                  <c:v>-12.457367624810892</c:v>
                </c:pt>
                <c:pt idx="45" formatCode="General">
                  <c:v>-12.079152798789712</c:v>
                </c:pt>
                <c:pt idx="46" formatCode="General">
                  <c:v>-11.700937972768532</c:v>
                </c:pt>
                <c:pt idx="47" formatCode="General">
                  <c:v>-11.322723146747352</c:v>
                </c:pt>
                <c:pt idx="48" formatCode="General">
                  <c:v>-10.944508320726172</c:v>
                </c:pt>
                <c:pt idx="49" formatCode="General">
                  <c:v>-10.56629349470499</c:v>
                </c:pt>
                <c:pt idx="50" formatCode="General">
                  <c:v>-10.18807866868381</c:v>
                </c:pt>
                <c:pt idx="51" formatCode="General">
                  <c:v>-9.9633303030303022</c:v>
                </c:pt>
                <c:pt idx="52" formatCode="General">
                  <c:v>-9.7722696969696958</c:v>
                </c:pt>
                <c:pt idx="53" formatCode="General">
                  <c:v>-9.5812090909090895</c:v>
                </c:pt>
                <c:pt idx="54" formatCode="General">
                  <c:v>-9.3901484848484831</c:v>
                </c:pt>
                <c:pt idx="55" formatCode="General">
                  <c:v>-9.1990878787878785</c:v>
                </c:pt>
                <c:pt idx="56" formatCode="General">
                  <c:v>-9.0080272727272721</c:v>
                </c:pt>
                <c:pt idx="57" formatCode="General">
                  <c:v>-8.8458795180722891</c:v>
                </c:pt>
                <c:pt idx="58" formatCode="General">
                  <c:v>-8.7862409638554215</c:v>
                </c:pt>
                <c:pt idx="59" formatCode="General">
                  <c:v>-8.7443878787878795</c:v>
                </c:pt>
                <c:pt idx="60" formatCode="General">
                  <c:v>-8.7165090909090921</c:v>
                </c:pt>
                <c:pt idx="61" formatCode="General">
                  <c:v>-8.7068303030303031</c:v>
                </c:pt>
                <c:pt idx="62" formatCode="General">
                  <c:v>-8.7021030303030305</c:v>
                </c:pt>
                <c:pt idx="63" formatCode="General">
                  <c:v>-8.7063454545454544</c:v>
                </c:pt>
                <c:pt idx="64" formatCode="General">
                  <c:v>-8.7153939393939392</c:v>
                </c:pt>
                <c:pt idx="65" formatCode="General">
                  <c:v>-8.727515151515151</c:v>
                </c:pt>
                <c:pt idx="66" formatCode="General">
                  <c:v>-8.7430361445783138</c:v>
                </c:pt>
                <c:pt idx="67" formatCode="General">
                  <c:v>-8.7596363636363641</c:v>
                </c:pt>
                <c:pt idx="68" formatCode="General">
                  <c:v>-8.7784242424242418</c:v>
                </c:pt>
                <c:pt idx="69" formatCode="General">
                  <c:v>-8.798</c:v>
                </c:pt>
                <c:pt idx="70" formatCode="General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CD16-4E7F-975B-C1DF40B91386}"/>
            </c:ext>
          </c:extLst>
        </c:ser>
        <c:ser>
          <c:idx val="46"/>
          <c:order val="47"/>
          <c:tx>
            <c:strRef>
              <c:f>'Gibbs-EVAL'!$A$148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'Gibbs-EVAL'!$B$148:$BT$148</c:f>
              <c:numCache>
                <c:formatCode>0</c:formatCode>
                <c:ptCount val="71"/>
                <c:pt idx="0">
                  <c:v>-15.805636363636363</c:v>
                </c:pt>
                <c:pt idx="1">
                  <c:v>-15.261999999999999</c:v>
                </c:pt>
                <c:pt idx="2" formatCode="General">
                  <c:v>-14.661999999999999</c:v>
                </c:pt>
                <c:pt idx="3" formatCode="General">
                  <c:v>-14.004484848484848</c:v>
                </c:pt>
                <c:pt idx="4" formatCode="General">
                  <c:v>-13.326287443267777</c:v>
                </c:pt>
                <c:pt idx="5" formatCode="General">
                  <c:v>-12.654880484114978</c:v>
                </c:pt>
                <c:pt idx="6" formatCode="General">
                  <c:v>-11.983473524962179</c:v>
                </c:pt>
                <c:pt idx="7" formatCode="General">
                  <c:v>-11.31206656580938</c:v>
                </c:pt>
                <c:pt idx="8" formatCode="General">
                  <c:v>-10.64065960665658</c:v>
                </c:pt>
                <c:pt idx="9" formatCode="General">
                  <c:v>-9.969252647503783</c:v>
                </c:pt>
                <c:pt idx="10" formatCode="General">
                  <c:v>-9.2978456883509839</c:v>
                </c:pt>
                <c:pt idx="11" formatCode="General">
                  <c:v>-8.67908484848485</c:v>
                </c:pt>
                <c:pt idx="12" formatCode="General">
                  <c:v>-8.1196909090909095</c:v>
                </c:pt>
                <c:pt idx="13" formatCode="General">
                  <c:v>-7.619436363636364</c:v>
                </c:pt>
                <c:pt idx="14" formatCode="General">
                  <c:v>-7.1476144578313257</c:v>
                </c:pt>
                <c:pt idx="15" formatCode="General">
                  <c:v>-6.7512289156626508</c:v>
                </c:pt>
                <c:pt idx="16" formatCode="General">
                  <c:v>-6.4021454545454546</c:v>
                </c:pt>
                <c:pt idx="17" formatCode="General">
                  <c:v>-6.09850909090909</c:v>
                </c:pt>
                <c:pt idx="18" formatCode="General">
                  <c:v>-5.8730545454545453</c:v>
                </c:pt>
                <c:pt idx="19" formatCode="General">
                  <c:v>-5.6767454545454541</c:v>
                </c:pt>
                <c:pt idx="20" formatCode="General">
                  <c:v>-5.5421999999999993</c:v>
                </c:pt>
                <c:pt idx="21" formatCode="General">
                  <c:v>-5.4426121212121208</c:v>
                </c:pt>
                <c:pt idx="22" formatCode="General">
                  <c:v>-5.3704909090909085</c:v>
                </c:pt>
                <c:pt idx="23" formatCode="General">
                  <c:v>-5.3393313253012051</c:v>
                </c:pt>
                <c:pt idx="24" formatCode="General">
                  <c:v>-5.319</c:v>
                </c:pt>
                <c:pt idx="25" formatCode="General">
                  <c:v>-5.319</c:v>
                </c:pt>
                <c:pt idx="26" formatCode="General">
                  <c:v>-5.3280909090909088</c:v>
                </c:pt>
                <c:pt idx="27" formatCode="General">
                  <c:v>-5.3432424242424243</c:v>
                </c:pt>
                <c:pt idx="28" formatCode="General">
                  <c:v>-5.3641515151515149</c:v>
                </c:pt>
                <c:pt idx="29" formatCode="General">
                  <c:v>-5.3860909090909086</c:v>
                </c:pt>
                <c:pt idx="30" formatCode="General">
                  <c:v>-5.4097272727272729</c:v>
                </c:pt>
                <c:pt idx="31" formatCode="General">
                  <c:v>-5.4340542168674695</c:v>
                </c:pt>
                <c:pt idx="32" formatCode="General">
                  <c:v>-5.4587530120481924</c:v>
                </c:pt>
                <c:pt idx="33" formatCode="General">
                  <c:v>-5.4829999999999997</c:v>
                </c:pt>
                <c:pt idx="34" formatCode="General">
                  <c:v>-5.5074484848484841</c:v>
                </c:pt>
                <c:pt idx="35" formatCode="General">
                  <c:v>-5.5322969696969695</c:v>
                </c:pt>
                <c:pt idx="36" formatCode="General">
                  <c:v>-5.5567272727272723</c:v>
                </c:pt>
                <c:pt idx="37" formatCode="General">
                  <c:v>-5.5809863842662635</c:v>
                </c:pt>
                <c:pt idx="38" formatCode="General">
                  <c:v>-5.6056459909228442</c:v>
                </c:pt>
                <c:pt idx="39" formatCode="General">
                  <c:v>-5.6303055975794249</c:v>
                </c:pt>
                <c:pt idx="40" formatCode="General">
                  <c:v>-5.6549652042360066</c:v>
                </c:pt>
                <c:pt idx="41" formatCode="General">
                  <c:v>-5.6796248108925873</c:v>
                </c:pt>
                <c:pt idx="42" formatCode="General">
                  <c:v>-5.704284417549168</c:v>
                </c:pt>
                <c:pt idx="43" formatCode="General">
                  <c:v>-5.7289440242057488</c:v>
                </c:pt>
                <c:pt idx="44" formatCode="General">
                  <c:v>-5.7543192133131624</c:v>
                </c:pt>
                <c:pt idx="45" formatCode="General">
                  <c:v>-5.7806429652042359</c:v>
                </c:pt>
                <c:pt idx="46" formatCode="General">
                  <c:v>-5.8069667170953103</c:v>
                </c:pt>
                <c:pt idx="47" formatCode="General">
                  <c:v>-5.8332904689863847</c:v>
                </c:pt>
                <c:pt idx="48" formatCode="General">
                  <c:v>-5.8596142208774582</c:v>
                </c:pt>
                <c:pt idx="49" formatCode="General">
                  <c:v>-5.8859379727685326</c:v>
                </c:pt>
                <c:pt idx="50" formatCode="General">
                  <c:v>-5.912261724659607</c:v>
                </c:pt>
                <c:pt idx="51" formatCode="General">
                  <c:v>-5.942966666666667</c:v>
                </c:pt>
                <c:pt idx="52" formatCode="General">
                  <c:v>-5.9746333333333332</c:v>
                </c:pt>
                <c:pt idx="53" formatCode="General">
                  <c:v>-6.0063000000000004</c:v>
                </c:pt>
                <c:pt idx="54" formatCode="General">
                  <c:v>-6.0379666666666667</c:v>
                </c:pt>
                <c:pt idx="55" formatCode="General">
                  <c:v>-6.0696333333333339</c:v>
                </c:pt>
                <c:pt idx="56" formatCode="General">
                  <c:v>-6.1013000000000002</c:v>
                </c:pt>
                <c:pt idx="57" formatCode="General">
                  <c:v>-6.132493975903615</c:v>
                </c:pt>
                <c:pt idx="58" formatCode="General">
                  <c:v>-6.1620120481927714</c:v>
                </c:pt>
                <c:pt idx="59" formatCode="General">
                  <c:v>-6.190612121212121</c:v>
                </c:pt>
                <c:pt idx="60" formatCode="General">
                  <c:v>-6.2184909090909093</c:v>
                </c:pt>
                <c:pt idx="61" formatCode="General">
                  <c:v>-6.2441636363636368</c:v>
                </c:pt>
                <c:pt idx="62" formatCode="General">
                  <c:v>-6.2693030303030302</c:v>
                </c:pt>
                <c:pt idx="63" formatCode="General">
                  <c:v>-6.2935454545454546</c:v>
                </c:pt>
                <c:pt idx="64" formatCode="General">
                  <c:v>-6.3174181818181818</c:v>
                </c:pt>
                <c:pt idx="65" formatCode="General">
                  <c:v>-6.3410545454545453</c:v>
                </c:pt>
                <c:pt idx="66" formatCode="General">
                  <c:v>-6.363397590361445</c:v>
                </c:pt>
                <c:pt idx="67" formatCode="General">
                  <c:v>-6.385727272727272</c:v>
                </c:pt>
                <c:pt idx="68" formatCode="General">
                  <c:v>-6.4081515151515154</c:v>
                </c:pt>
                <c:pt idx="69" formatCode="General">
                  <c:v>-6.4301818181818184</c:v>
                </c:pt>
                <c:pt idx="70" formatCode="General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CD16-4E7F-975B-C1DF40B91386}"/>
            </c:ext>
          </c:extLst>
        </c:ser>
        <c:ser>
          <c:idx val="47"/>
          <c:order val="48"/>
          <c:tx>
            <c:strRef>
              <c:f>'Gibbs-EVAL'!$A$149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'Gibbs-EVAL'!$B$149:$BT$149</c:f>
              <c:numCache>
                <c:formatCode>0</c:formatCode>
                <c:ptCount val="71"/>
                <c:pt idx="0">
                  <c:v>-22.065575757575758</c:v>
                </c:pt>
                <c:pt idx="1">
                  <c:v>-21.674060606060607</c:v>
                </c:pt>
                <c:pt idx="2" formatCode="General">
                  <c:v>-21.395272727272726</c:v>
                </c:pt>
                <c:pt idx="3" formatCode="General">
                  <c:v>-21.244787878787879</c:v>
                </c:pt>
                <c:pt idx="4" formatCode="General">
                  <c:v>-21.157019667170953</c:v>
                </c:pt>
                <c:pt idx="5" formatCode="General">
                  <c:v>-21.244765506807866</c:v>
                </c:pt>
                <c:pt idx="6" formatCode="General">
                  <c:v>-21.332511346444779</c:v>
                </c:pt>
                <c:pt idx="7" formatCode="General">
                  <c:v>-21.420257186081695</c:v>
                </c:pt>
                <c:pt idx="8" formatCode="General">
                  <c:v>-21.508003025718608</c:v>
                </c:pt>
                <c:pt idx="9" formatCode="General">
                  <c:v>-21.595748865355521</c:v>
                </c:pt>
                <c:pt idx="10" formatCode="General">
                  <c:v>-21.683494704992437</c:v>
                </c:pt>
                <c:pt idx="11" formatCode="General">
                  <c:v>-21.792666666666666</c:v>
                </c:pt>
                <c:pt idx="12" formatCode="General">
                  <c:v>-21.925999999999998</c:v>
                </c:pt>
                <c:pt idx="13" formatCode="General">
                  <c:v>-22.049393939393937</c:v>
                </c:pt>
                <c:pt idx="14" formatCode="General">
                  <c:v>-22.167409638554215</c:v>
                </c:pt>
                <c:pt idx="15" formatCode="General">
                  <c:v>-22.269819277108432</c:v>
                </c:pt>
                <c:pt idx="16" formatCode="General">
                  <c:v>-22.363272727272729</c:v>
                </c:pt>
                <c:pt idx="17" formatCode="General">
                  <c:v>-22.448121212121212</c:v>
                </c:pt>
                <c:pt idx="18" formatCode="General">
                  <c:v>-22.532969696969698</c:v>
                </c:pt>
                <c:pt idx="19" formatCode="General">
                  <c:v>-22.620363636363638</c:v>
                </c:pt>
                <c:pt idx="20" formatCode="General">
                  <c:v>-22.717333333333336</c:v>
                </c:pt>
                <c:pt idx="21" formatCode="General">
                  <c:v>-22.82448484848485</c:v>
                </c:pt>
                <c:pt idx="22" formatCode="General">
                  <c:v>-22.939636363636364</c:v>
                </c:pt>
                <c:pt idx="23" formatCode="General">
                  <c:v>-23.059638554216868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CD16-4E7F-975B-C1DF40B91386}"/>
            </c:ext>
          </c:extLst>
        </c:ser>
        <c:ser>
          <c:idx val="48"/>
          <c:order val="49"/>
          <c:tx>
            <c:strRef>
              <c:f>'Gibbs-EVAL'!$A$150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CD16-4E7F-975B-C1DF40B91386}"/>
            </c:ext>
          </c:extLst>
        </c:ser>
        <c:ser>
          <c:idx val="49"/>
          <c:order val="50"/>
          <c:tx>
            <c:strRef>
              <c:f>'Gibbs-EVAL'!$A$151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CD16-4E7F-975B-C1DF40B91386}"/>
            </c:ext>
          </c:extLst>
        </c:ser>
        <c:ser>
          <c:idx val="50"/>
          <c:order val="51"/>
          <c:tx>
            <c:strRef>
              <c:f>'Gibbs-EVAL'!$A$152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CD16-4E7F-975B-C1DF40B91386}"/>
            </c:ext>
          </c:extLst>
        </c:ser>
        <c:ser>
          <c:idx val="51"/>
          <c:order val="52"/>
          <c:tx>
            <c:strRef>
              <c:f>'Gibbs-EVAL'!$A$153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CD16-4E7F-975B-C1DF40B91386}"/>
            </c:ext>
          </c:extLst>
        </c:ser>
        <c:ser>
          <c:idx val="52"/>
          <c:order val="53"/>
          <c:tx>
            <c:strRef>
              <c:f>'Gibbs-EVAL'!$A$154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CD16-4E7F-975B-C1DF40B91386}"/>
            </c:ext>
          </c:extLst>
        </c:ser>
        <c:ser>
          <c:idx val="53"/>
          <c:order val="54"/>
          <c:tx>
            <c:strRef>
              <c:f>'Gibbs-EVAL'!$A$155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D16-4E7F-975B-C1DF40B91386}"/>
            </c:ext>
          </c:extLst>
        </c:ser>
        <c:ser>
          <c:idx val="55"/>
          <c:order val="55"/>
          <c:tx>
            <c:strRef>
              <c:f>'Gibbs-EVAL'!$A$156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CD16-4E7F-975B-C1DF40B91386}"/>
            </c:ext>
          </c:extLst>
        </c:ser>
        <c:ser>
          <c:idx val="56"/>
          <c:order val="56"/>
          <c:tx>
            <c:strRef>
              <c:f>'Gibbs-EVAL'!$A$157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CD16-4E7F-975B-C1DF40B91386}"/>
            </c:ext>
          </c:extLst>
        </c:ser>
        <c:ser>
          <c:idx val="57"/>
          <c:order val="57"/>
          <c:tx>
            <c:strRef>
              <c:f>'Gibbs-EVAL'!$A$158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CD16-4E7F-975B-C1DF40B91386}"/>
            </c:ext>
          </c:extLst>
        </c:ser>
        <c:ser>
          <c:idx val="58"/>
          <c:order val="58"/>
          <c:tx>
            <c:strRef>
              <c:f>'Gibbs-EVAL'!$A$159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CD16-4E7F-975B-C1DF40B91386}"/>
            </c:ext>
          </c:extLst>
        </c:ser>
        <c:ser>
          <c:idx val="59"/>
          <c:order val="59"/>
          <c:tx>
            <c:strRef>
              <c:f>'Gibbs-EVAL'!$A$160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CD16-4E7F-975B-C1DF40B91386}"/>
            </c:ext>
          </c:extLst>
        </c:ser>
        <c:ser>
          <c:idx val="60"/>
          <c:order val="60"/>
          <c:tx>
            <c:strRef>
              <c:f>'Gibbs-EVAL'!$A$161</c:f>
              <c:strCache>
                <c:ptCount val="1"/>
                <c:pt idx="0">
                  <c:v>End2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'Gibbs-EVAL'!$B$161:$BT$161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CD16-4E7F-975B-C1DF40B91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23929986372433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-21.792000000000002</c:v>
                </c:pt>
                <c:pt idx="1">
                  <c:v>-21.217333333333332</c:v>
                </c:pt>
                <c:pt idx="2" formatCode="General">
                  <c:v>-20.683999999999997</c:v>
                </c:pt>
                <c:pt idx="3" formatCode="General">
                  <c:v>-20.194909090909089</c:v>
                </c:pt>
                <c:pt idx="4" formatCode="General">
                  <c:v>-19.761939393939397</c:v>
                </c:pt>
                <c:pt idx="5" formatCode="General">
                  <c:v>-19.78618181818182</c:v>
                </c:pt>
                <c:pt idx="6" formatCode="General">
                  <c:v>-19.862168674698797</c:v>
                </c:pt>
                <c:pt idx="7" formatCode="General">
                  <c:v>-20.006746987951807</c:v>
                </c:pt>
                <c:pt idx="8" formatCode="General">
                  <c:v>-20.152000000000001</c:v>
                </c:pt>
                <c:pt idx="9" formatCode="General">
                  <c:v>-20.298181818181821</c:v>
                </c:pt>
                <c:pt idx="10" formatCode="General">
                  <c:v>-20.449696969696969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-23.573975903614457</c:v>
                </c:pt>
                <c:pt idx="32" formatCode="General">
                  <c:v>-23.718554216867467</c:v>
                </c:pt>
                <c:pt idx="33" formatCode="General">
                  <c:v>-23.858000000000001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3F45-444A-B599-5B97018058CE}"/>
            </c:ext>
          </c:extLst>
        </c:ser>
        <c:ser>
          <c:idx val="39"/>
          <c:order val="1"/>
          <c:tx>
            <c:strRef>
              <c:f>'Gibbs-EVAL'!$A$102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-15.300424242424242</c:v>
                </c:pt>
                <c:pt idx="1">
                  <c:v>-14.974848484848485</c:v>
                </c:pt>
                <c:pt idx="2" formatCode="General">
                  <c:v>-14.671818181818182</c:v>
                </c:pt>
                <c:pt idx="3" formatCode="General">
                  <c:v>-14.399757575757576</c:v>
                </c:pt>
                <c:pt idx="4" formatCode="General">
                  <c:v>-14.105212121212121</c:v>
                </c:pt>
                <c:pt idx="5" formatCode="General">
                  <c:v>-13.420363636363636</c:v>
                </c:pt>
                <c:pt idx="6" formatCode="General">
                  <c:v>-12.711385542168674</c:v>
                </c:pt>
                <c:pt idx="7" formatCode="General">
                  <c:v>-11.970421686746988</c:v>
                </c:pt>
                <c:pt idx="8" formatCode="General">
                  <c:v>-11.272666666666668</c:v>
                </c:pt>
                <c:pt idx="9" formatCode="General">
                  <c:v>-10.593127272727273</c:v>
                </c:pt>
                <c:pt idx="10" formatCode="General">
                  <c:v>-9.9525212121212121</c:v>
                </c:pt>
                <c:pt idx="11" formatCode="General">
                  <c:v>-9.3588018154311658</c:v>
                </c:pt>
                <c:pt idx="12" formatCode="General">
                  <c:v>-8.8179546142208771</c:v>
                </c:pt>
                <c:pt idx="13" formatCode="General">
                  <c:v>-8.2771074130105902</c:v>
                </c:pt>
                <c:pt idx="14" formatCode="General">
                  <c:v>-7.7362602118003023</c:v>
                </c:pt>
                <c:pt idx="15" formatCode="General">
                  <c:v>-7.1954130105900145</c:v>
                </c:pt>
                <c:pt idx="16" formatCode="General">
                  <c:v>-6.6545658093797275</c:v>
                </c:pt>
                <c:pt idx="17" formatCode="General">
                  <c:v>-6.1137186081694388</c:v>
                </c:pt>
                <c:pt idx="18" formatCode="General">
                  <c:v>-5.6392727272727265</c:v>
                </c:pt>
                <c:pt idx="19" formatCode="General">
                  <c:v>-5.1809818181818166</c:v>
                </c:pt>
                <c:pt idx="20" formatCode="General">
                  <c:v>-4.742799999999999</c:v>
                </c:pt>
                <c:pt idx="21" formatCode="General">
                  <c:v>-4.4023636363636358</c:v>
                </c:pt>
                <c:pt idx="22" formatCode="General">
                  <c:v>-4.1387272727272721</c:v>
                </c:pt>
                <c:pt idx="23" formatCode="General">
                  <c:v>-4.1369277108433735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3F45-444A-B599-5B97018058CE}"/>
            </c:ext>
          </c:extLst>
        </c:ser>
        <c:ser>
          <c:idx val="54"/>
          <c:order val="2"/>
          <c:tx>
            <c:strRef>
              <c:f>'Gibbs-EVAL'!$A$103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8-3F45-444A-B599-5B97018058CE}"/>
              </c:ext>
            </c:extLst>
          </c:dPt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'Gibbs-EVAL'!$B$103:$BT$103</c:f>
              <c:numCache>
                <c:formatCode>0</c:formatCode>
                <c:ptCount val="71"/>
                <c:pt idx="0">
                  <c:v>-185.66569696969697</c:v>
                </c:pt>
                <c:pt idx="1">
                  <c:v>-180.33151515151513</c:v>
                </c:pt>
                <c:pt idx="2" formatCode="General">
                  <c:v>-175.36181818181819</c:v>
                </c:pt>
                <c:pt idx="3" formatCode="General">
                  <c:v>-170.78145454545455</c:v>
                </c:pt>
                <c:pt idx="4" formatCode="General">
                  <c:v>-166.37806060606059</c:v>
                </c:pt>
                <c:pt idx="5" formatCode="General">
                  <c:v>-162.35381818181818</c:v>
                </c:pt>
                <c:pt idx="6" formatCode="General">
                  <c:v>-158.50060240963856</c:v>
                </c:pt>
                <c:pt idx="7" formatCode="General">
                  <c:v>-154.87409638554217</c:v>
                </c:pt>
                <c:pt idx="8" formatCode="General">
                  <c:v>-151.48266666666666</c:v>
                </c:pt>
                <c:pt idx="9" formatCode="General">
                  <c:v>-148.19563636363637</c:v>
                </c:pt>
                <c:pt idx="10" formatCode="General">
                  <c:v>-145.15927272727274</c:v>
                </c:pt>
                <c:pt idx="11" formatCode="General">
                  <c:v>-142.38957639939488</c:v>
                </c:pt>
                <c:pt idx="12" formatCode="General">
                  <c:v>-139.9205900151286</c:v>
                </c:pt>
                <c:pt idx="13" formatCode="General">
                  <c:v>-137.45160363086234</c:v>
                </c:pt>
                <c:pt idx="14" formatCode="General">
                  <c:v>-134.98261724659608</c:v>
                </c:pt>
                <c:pt idx="15" formatCode="General">
                  <c:v>-132.51363086232982</c:v>
                </c:pt>
                <c:pt idx="16" formatCode="General">
                  <c:v>-130.04464447806353</c:v>
                </c:pt>
                <c:pt idx="17" formatCode="General">
                  <c:v>-127.57565809379727</c:v>
                </c:pt>
                <c:pt idx="18" formatCode="General">
                  <c:v>-125.49436363636363</c:v>
                </c:pt>
                <c:pt idx="19" formatCode="General">
                  <c:v>-123.50036363636364</c:v>
                </c:pt>
                <c:pt idx="20" formatCode="General">
                  <c:v>-121.59733333333334</c:v>
                </c:pt>
                <c:pt idx="21" formatCode="General">
                  <c:v>-119.77915151515151</c:v>
                </c:pt>
                <c:pt idx="22" formatCode="General">
                  <c:v>-118.02763636363636</c:v>
                </c:pt>
                <c:pt idx="23" formatCode="General">
                  <c:v>-116.39536144578314</c:v>
                </c:pt>
                <c:pt idx="24" formatCode="General">
                  <c:v>-114.79515151515152</c:v>
                </c:pt>
                <c:pt idx="25" formatCode="General">
                  <c:v>-113.25575757575758</c:v>
                </c:pt>
                <c:pt idx="26" formatCode="General">
                  <c:v>-111.77454545454545</c:v>
                </c:pt>
                <c:pt idx="27" formatCode="General">
                  <c:v>-110.33212121212121</c:v>
                </c:pt>
                <c:pt idx="28" formatCode="General">
                  <c:v>-108.98181818181817</c:v>
                </c:pt>
                <c:pt idx="29" formatCode="General">
                  <c:v>-107.69454545454545</c:v>
                </c:pt>
                <c:pt idx="30" formatCode="General">
                  <c:v>-106.54303030303031</c:v>
                </c:pt>
                <c:pt idx="31" formatCode="General">
                  <c:v>-105.63879518072289</c:v>
                </c:pt>
                <c:pt idx="32" formatCode="General">
                  <c:v>-104.8677108433735</c:v>
                </c:pt>
                <c:pt idx="33" formatCode="General">
                  <c:v>-104.134</c:v>
                </c:pt>
                <c:pt idx="34" formatCode="General">
                  <c:v>-103.42127272727272</c:v>
                </c:pt>
                <c:pt idx="35" formatCode="General">
                  <c:v>-102.74854545454545</c:v>
                </c:pt>
                <c:pt idx="36" formatCode="General">
                  <c:v>-102.10090909090908</c:v>
                </c:pt>
                <c:pt idx="37" formatCode="General">
                  <c:v>-101.46845688350984</c:v>
                </c:pt>
                <c:pt idx="38" formatCode="General">
                  <c:v>-100.92987897125568</c:v>
                </c:pt>
                <c:pt idx="39" formatCode="General">
                  <c:v>-100.39130105900152</c:v>
                </c:pt>
                <c:pt idx="40" formatCode="General">
                  <c:v>-99.852723146747351</c:v>
                </c:pt>
                <c:pt idx="41" formatCode="General">
                  <c:v>-99.314145234493196</c:v>
                </c:pt>
                <c:pt idx="42" formatCode="General">
                  <c:v>-98.775567322239027</c:v>
                </c:pt>
                <c:pt idx="43" formatCode="General">
                  <c:v>-98.236989409984872</c:v>
                </c:pt>
                <c:pt idx="44" formatCode="General">
                  <c:v>-97.731939393939385</c:v>
                </c:pt>
                <c:pt idx="45" formatCode="General">
                  <c:v>-97.271333333333331</c:v>
                </c:pt>
                <c:pt idx="46" formatCode="General">
                  <c:v>-96.835309090909092</c:v>
                </c:pt>
                <c:pt idx="47" formatCode="General">
                  <c:v>-96.41031515151515</c:v>
                </c:pt>
                <c:pt idx="48" formatCode="General">
                  <c:v>-96.012739393939398</c:v>
                </c:pt>
                <c:pt idx="49" formatCode="General">
                  <c:v>-95.620939759036148</c:v>
                </c:pt>
                <c:pt idx="50" formatCode="General">
                  <c:v>-95.235397590361444</c:v>
                </c:pt>
                <c:pt idx="51" formatCode="General">
                  <c:v>-94.884715151515152</c:v>
                </c:pt>
                <c:pt idx="52" formatCode="General">
                  <c:v>-94.681806060606064</c:v>
                </c:pt>
                <c:pt idx="53" formatCode="General">
                  <c:v>-95.163018181818188</c:v>
                </c:pt>
                <c:pt idx="54" formatCode="General">
                  <c:v>-95.644230303030312</c:v>
                </c:pt>
                <c:pt idx="55" formatCode="General">
                  <c:v>-96.125442424242422</c:v>
                </c:pt>
                <c:pt idx="56" formatCode="General">
                  <c:v>-96.608763636363634</c:v>
                </c:pt>
                <c:pt idx="57" formatCode="General">
                  <c:v>-97.090574886535563</c:v>
                </c:pt>
                <c:pt idx="58" formatCode="General">
                  <c:v>-97.565915279878979</c:v>
                </c:pt>
                <c:pt idx="59" formatCode="General">
                  <c:v>-98.041255673222395</c:v>
                </c:pt>
                <c:pt idx="60" formatCode="General">
                  <c:v>-98.51659606656581</c:v>
                </c:pt>
                <c:pt idx="61" formatCode="General">
                  <c:v>-98.991936459909226</c:v>
                </c:pt>
                <c:pt idx="62" formatCode="General">
                  <c:v>-99.467276853252656</c:v>
                </c:pt>
                <c:pt idx="63" formatCode="General">
                  <c:v>-99.942617246596072</c:v>
                </c:pt>
                <c:pt idx="64" formatCode="General">
                  <c:v>-100.4208</c:v>
                </c:pt>
                <c:pt idx="65" formatCode="General">
                  <c:v>-100.9008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3F45-444A-B599-5B97018058CE}"/>
            </c:ext>
          </c:extLst>
        </c:ser>
        <c:ser>
          <c:idx val="1"/>
          <c:order val="3"/>
          <c:tx>
            <c:strRef>
              <c:f>'Gibbs-EVAL'!$A$104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'Gibbs-EVAL'!$B$104:$BT$104</c:f>
              <c:numCache>
                <c:formatCode>0</c:formatCode>
                <c:ptCount val="71"/>
                <c:pt idx="0">
                  <c:v>-60.144848484848481</c:v>
                </c:pt>
                <c:pt idx="1">
                  <c:v>-58.339757575757574</c:v>
                </c:pt>
                <c:pt idx="2" formatCode="General">
                  <c:v>-56.654909090909094</c:v>
                </c:pt>
                <c:pt idx="3" formatCode="General">
                  <c:v>-55.098363636363636</c:v>
                </c:pt>
                <c:pt idx="4" formatCode="General">
                  <c:v>-53.546121212121207</c:v>
                </c:pt>
                <c:pt idx="5" formatCode="General">
                  <c:v>-51.49763636363636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3F45-444A-B599-5B97018058CE}"/>
            </c:ext>
          </c:extLst>
        </c:ser>
        <c:ser>
          <c:idx val="2"/>
          <c:order val="4"/>
          <c:tx>
            <c:strRef>
              <c:f>'Gibbs-EVAL'!$A$105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'Gibbs-EVAL'!$B$105:$BT$105</c:f>
              <c:numCache>
                <c:formatCode>0</c:formatCode>
                <c:ptCount val="71"/>
                <c:pt idx="0">
                  <c:v>-58.884424242424245</c:v>
                </c:pt>
                <c:pt idx="1">
                  <c:v>-57.409515151515158</c:v>
                </c:pt>
                <c:pt idx="2" formatCode="General">
                  <c:v>-56.039818181818184</c:v>
                </c:pt>
                <c:pt idx="3" formatCode="General">
                  <c:v>-54.789575757575761</c:v>
                </c:pt>
                <c:pt idx="4" formatCode="General">
                  <c:v>-53.629090909090912</c:v>
                </c:pt>
                <c:pt idx="5" formatCode="General">
                  <c:v>-52.992727272727279</c:v>
                </c:pt>
                <c:pt idx="6" formatCode="General">
                  <c:v>-52.435722891566265</c:v>
                </c:pt>
                <c:pt idx="7" formatCode="General">
                  <c:v>-51.983915662650602</c:v>
                </c:pt>
                <c:pt idx="8" formatCode="General">
                  <c:v>-51.576666666666668</c:v>
                </c:pt>
                <c:pt idx="9" formatCode="General">
                  <c:v>-51.189490909090914</c:v>
                </c:pt>
                <c:pt idx="10" formatCode="General">
                  <c:v>-50.851915151515158</c:v>
                </c:pt>
                <c:pt idx="11" formatCode="General">
                  <c:v>-50.56101059001513</c:v>
                </c:pt>
                <c:pt idx="12" formatCode="General">
                  <c:v>-50.322735249621786</c:v>
                </c:pt>
                <c:pt idx="13" formatCode="General">
                  <c:v>-50.084459909228443</c:v>
                </c:pt>
                <c:pt idx="14" formatCode="General">
                  <c:v>-49.846184568835099</c:v>
                </c:pt>
                <c:pt idx="15" formatCode="General">
                  <c:v>-49.607909228441756</c:v>
                </c:pt>
                <c:pt idx="16" formatCode="General">
                  <c:v>-49.369633888048412</c:v>
                </c:pt>
                <c:pt idx="17" formatCode="General">
                  <c:v>-49.131358547655068</c:v>
                </c:pt>
                <c:pt idx="18" formatCode="General">
                  <c:v>-48.959878787878786</c:v>
                </c:pt>
                <c:pt idx="19" formatCode="General">
                  <c:v>-48.802072727272723</c:v>
                </c:pt>
                <c:pt idx="20" formatCode="General">
                  <c:v>-48.654799999999994</c:v>
                </c:pt>
                <c:pt idx="21" formatCode="General">
                  <c:v>-48.612060606060602</c:v>
                </c:pt>
                <c:pt idx="22" formatCode="General">
                  <c:v>-48.651454545454548</c:v>
                </c:pt>
                <c:pt idx="23" formatCode="General">
                  <c:v>-48.951024096385545</c:v>
                </c:pt>
                <c:pt idx="24" formatCode="General">
                  <c:v>-49.273787878787878</c:v>
                </c:pt>
                <c:pt idx="25" formatCode="General">
                  <c:v>-49.588939393939398</c:v>
                </c:pt>
                <c:pt idx="26" formatCode="General">
                  <c:v>-49.904454545454549</c:v>
                </c:pt>
                <c:pt idx="27" formatCode="General">
                  <c:v>-50.220212121212121</c:v>
                </c:pt>
                <c:pt idx="28" formatCode="General">
                  <c:v>-50.535393939393941</c:v>
                </c:pt>
                <c:pt idx="29" formatCode="General">
                  <c:v>-50.850727272727276</c:v>
                </c:pt>
                <c:pt idx="30" formatCode="General">
                  <c:v>-51.166484848484849</c:v>
                </c:pt>
                <c:pt idx="31" formatCode="General">
                  <c:v>-51.481006024096381</c:v>
                </c:pt>
                <c:pt idx="32" formatCode="General">
                  <c:v>-51.794861445783127</c:v>
                </c:pt>
                <c:pt idx="33" formatCode="General">
                  <c:v>-52.098599999999998</c:v>
                </c:pt>
                <c:pt idx="34" formatCode="General">
                  <c:v>-52.402236363636362</c:v>
                </c:pt>
                <c:pt idx="35" formatCode="General">
                  <c:v>-52.705872727272727</c:v>
                </c:pt>
                <c:pt idx="36" formatCode="General">
                  <c:v>-53.009509090909091</c:v>
                </c:pt>
                <c:pt idx="37" formatCode="General">
                  <c:v>-53.31287291981846</c:v>
                </c:pt>
                <c:pt idx="38" formatCode="General">
                  <c:v>-53.609695915279879</c:v>
                </c:pt>
                <c:pt idx="39" formatCode="General">
                  <c:v>-53.906518910741298</c:v>
                </c:pt>
                <c:pt idx="40" formatCode="General">
                  <c:v>-54.203341906202724</c:v>
                </c:pt>
                <c:pt idx="41" formatCode="General">
                  <c:v>-54.500164901664142</c:v>
                </c:pt>
                <c:pt idx="42" formatCode="General">
                  <c:v>-54.796987897125568</c:v>
                </c:pt>
                <c:pt idx="43" formatCode="General">
                  <c:v>-55.093810892586987</c:v>
                </c:pt>
                <c:pt idx="44" formatCode="General">
                  <c:v>-55.388090909090906</c:v>
                </c:pt>
                <c:pt idx="45" formatCode="General">
                  <c:v>-55.679000000000002</c:v>
                </c:pt>
                <c:pt idx="46" formatCode="General">
                  <c:v>-55.969436363636362</c:v>
                </c:pt>
                <c:pt idx="47" formatCode="General">
                  <c:v>-56.259818181818183</c:v>
                </c:pt>
                <c:pt idx="48" formatCode="General">
                  <c:v>-56.550727272727272</c:v>
                </c:pt>
                <c:pt idx="49" formatCode="General">
                  <c:v>-56.834722891566265</c:v>
                </c:pt>
                <c:pt idx="50" formatCode="General">
                  <c:v>-57.11122891566265</c:v>
                </c:pt>
                <c:pt idx="51" formatCode="General">
                  <c:v>-57.389109090909095</c:v>
                </c:pt>
                <c:pt idx="52" formatCode="General">
                  <c:v>-57.667187878787885</c:v>
                </c:pt>
                <c:pt idx="53" formatCode="General">
                  <c:v>-57.944763636363639</c:v>
                </c:pt>
                <c:pt idx="54" formatCode="General">
                  <c:v>-58.222654545454546</c:v>
                </c:pt>
                <c:pt idx="55" formatCode="General">
                  <c:v>-58.500836363636367</c:v>
                </c:pt>
                <c:pt idx="56" formatCode="General">
                  <c:v>-58.778490909090905</c:v>
                </c:pt>
                <c:pt idx="57" formatCode="General">
                  <c:v>-59.053877458396364</c:v>
                </c:pt>
                <c:pt idx="58" formatCode="General">
                  <c:v>-59.321502269288956</c:v>
                </c:pt>
                <c:pt idx="59" formatCode="General">
                  <c:v>-59.589127080181541</c:v>
                </c:pt>
                <c:pt idx="60" formatCode="General">
                  <c:v>-59.856751891074126</c:v>
                </c:pt>
                <c:pt idx="61" formatCode="General">
                  <c:v>-60.124376701966717</c:v>
                </c:pt>
                <c:pt idx="62" formatCode="General">
                  <c:v>-60.392001512859302</c:v>
                </c:pt>
                <c:pt idx="63" formatCode="General">
                  <c:v>-60.659626323751887</c:v>
                </c:pt>
                <c:pt idx="64" formatCode="General">
                  <c:v>-60.925557575757573</c:v>
                </c:pt>
                <c:pt idx="65" formatCode="General">
                  <c:v>-61.190406060606058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3F45-444A-B599-5B97018058CE}"/>
            </c:ext>
          </c:extLst>
        </c:ser>
        <c:ser>
          <c:idx val="3"/>
          <c:order val="5"/>
          <c:tx>
            <c:strRef>
              <c:f>'Gibbs-EVAL'!$A$106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'Gibbs-EVAL'!$B$106:$BT$106</c:f>
              <c:numCache>
                <c:formatCode>0</c:formatCode>
                <c:ptCount val="71"/>
                <c:pt idx="0">
                  <c:v>-81.936848484848483</c:v>
                </c:pt>
                <c:pt idx="1">
                  <c:v>-79.557090909090917</c:v>
                </c:pt>
                <c:pt idx="2" formatCode="General">
                  <c:v>-77.338909090909098</c:v>
                </c:pt>
                <c:pt idx="3" formatCode="General">
                  <c:v>-75.293272727272736</c:v>
                </c:pt>
                <c:pt idx="4" formatCode="General">
                  <c:v>-73.308060606060607</c:v>
                </c:pt>
                <c:pt idx="5" formatCode="General">
                  <c:v>-71.283818181818177</c:v>
                </c:pt>
                <c:pt idx="6" formatCode="General">
                  <c:v>-69.319216867469876</c:v>
                </c:pt>
                <c:pt idx="7" formatCode="General">
                  <c:v>-67.433674698795187</c:v>
                </c:pt>
                <c:pt idx="8" formatCode="General">
                  <c:v>-65.665333333333336</c:v>
                </c:pt>
                <c:pt idx="9" formatCode="General">
                  <c:v>-63.948727272727275</c:v>
                </c:pt>
                <c:pt idx="10" formatCode="General">
                  <c:v>-62.354787878787882</c:v>
                </c:pt>
                <c:pt idx="11" formatCode="General">
                  <c:v>-60.894236006051436</c:v>
                </c:pt>
                <c:pt idx="12" formatCode="General">
                  <c:v>-59.584099848714068</c:v>
                </c:pt>
                <c:pt idx="13" formatCode="General">
                  <c:v>-58.2739636913767</c:v>
                </c:pt>
                <c:pt idx="14" formatCode="General">
                  <c:v>-56.963827534039332</c:v>
                </c:pt>
                <c:pt idx="15" formatCode="General">
                  <c:v>-55.653691376701964</c:v>
                </c:pt>
                <c:pt idx="16" formatCode="General">
                  <c:v>-54.343555219364596</c:v>
                </c:pt>
                <c:pt idx="17" formatCode="General">
                  <c:v>-53.033419062027228</c:v>
                </c:pt>
                <c:pt idx="18" formatCode="General">
                  <c:v>-51.917030303030302</c:v>
                </c:pt>
                <c:pt idx="19" formatCode="General">
                  <c:v>-50.844909090909091</c:v>
                </c:pt>
                <c:pt idx="20" formatCode="General">
                  <c:v>-49.820666666666668</c:v>
                </c:pt>
                <c:pt idx="21" formatCode="General">
                  <c:v>-48.837151515151518</c:v>
                </c:pt>
                <c:pt idx="22" formatCode="General">
                  <c:v>-47.885636363636358</c:v>
                </c:pt>
                <c:pt idx="23" formatCode="General">
                  <c:v>-46.994156626506019</c:v>
                </c:pt>
                <c:pt idx="24" formatCode="General">
                  <c:v>-46.119393939393937</c:v>
                </c:pt>
                <c:pt idx="25" formatCode="General">
                  <c:v>-45.276969696969694</c:v>
                </c:pt>
                <c:pt idx="26" formatCode="General">
                  <c:v>-44.463636363636361</c:v>
                </c:pt>
                <c:pt idx="27" formatCode="General">
                  <c:v>-43.669696969696965</c:v>
                </c:pt>
                <c:pt idx="28" formatCode="General">
                  <c:v>-42.921818181818182</c:v>
                </c:pt>
                <c:pt idx="29" formatCode="General">
                  <c:v>-42.205454545454543</c:v>
                </c:pt>
                <c:pt idx="30" formatCode="General">
                  <c:v>-41.556969696969695</c:v>
                </c:pt>
                <c:pt idx="31" formatCode="General">
                  <c:v>-41.032409638554213</c:v>
                </c:pt>
                <c:pt idx="32" formatCode="General">
                  <c:v>-40.574578313253014</c:v>
                </c:pt>
                <c:pt idx="33" formatCode="General">
                  <c:v>-40.138000000000005</c:v>
                </c:pt>
                <c:pt idx="34" formatCode="General">
                  <c:v>-39.711939393939396</c:v>
                </c:pt>
                <c:pt idx="35" formatCode="General">
                  <c:v>-39.30587878787879</c:v>
                </c:pt>
                <c:pt idx="36" formatCode="General">
                  <c:v>-38.912363636363636</c:v>
                </c:pt>
                <c:pt idx="37" formatCode="General">
                  <c:v>-38.526505295007567</c:v>
                </c:pt>
                <c:pt idx="38" formatCode="General">
                  <c:v>-38.189137670196672</c:v>
                </c:pt>
                <c:pt idx="39" formatCode="General">
                  <c:v>-37.851770045385777</c:v>
                </c:pt>
                <c:pt idx="40" formatCode="General">
                  <c:v>-37.514402420574889</c:v>
                </c:pt>
                <c:pt idx="41" formatCode="General">
                  <c:v>-37.177034795763994</c:v>
                </c:pt>
                <c:pt idx="42" formatCode="General">
                  <c:v>-36.839667170953106</c:v>
                </c:pt>
                <c:pt idx="43" formatCode="General">
                  <c:v>-36.502299546142211</c:v>
                </c:pt>
                <c:pt idx="44" formatCode="General">
                  <c:v>-36.182303030303032</c:v>
                </c:pt>
                <c:pt idx="45" formatCode="General">
                  <c:v>-35.885333333333335</c:v>
                </c:pt>
                <c:pt idx="46" formatCode="General">
                  <c:v>-35.600654545454546</c:v>
                </c:pt>
                <c:pt idx="47" formatCode="General">
                  <c:v>-35.321490909090912</c:v>
                </c:pt>
                <c:pt idx="48" formatCode="General">
                  <c:v>-35.056036363636366</c:v>
                </c:pt>
                <c:pt idx="49" formatCode="General">
                  <c:v>-34.795108433734939</c:v>
                </c:pt>
                <c:pt idx="50" formatCode="General">
                  <c:v>-34.539084337349401</c:v>
                </c:pt>
                <c:pt idx="51" formatCode="General">
                  <c:v>-34.300175757575758</c:v>
                </c:pt>
                <c:pt idx="52" formatCode="General">
                  <c:v>-34.135084848484851</c:v>
                </c:pt>
                <c:pt idx="53" formatCode="General">
                  <c:v>-34.312054545454544</c:v>
                </c:pt>
                <c:pt idx="54" formatCode="General">
                  <c:v>-34.489024242424243</c:v>
                </c:pt>
                <c:pt idx="55" formatCode="General">
                  <c:v>-34.665993939393942</c:v>
                </c:pt>
                <c:pt idx="56" formatCode="General">
                  <c:v>-34.844018181818178</c:v>
                </c:pt>
                <c:pt idx="57" formatCode="General">
                  <c:v>-35.021807866868379</c:v>
                </c:pt>
                <c:pt idx="58" formatCode="General">
                  <c:v>-35.198207261724662</c:v>
                </c:pt>
                <c:pt idx="59" formatCode="General">
                  <c:v>-35.374606656580937</c:v>
                </c:pt>
                <c:pt idx="60" formatCode="General">
                  <c:v>-35.551006051437213</c:v>
                </c:pt>
                <c:pt idx="61" formatCode="General">
                  <c:v>-35.727405446293496</c:v>
                </c:pt>
                <c:pt idx="62" formatCode="General">
                  <c:v>-35.903804841149771</c:v>
                </c:pt>
                <c:pt idx="63" formatCode="General">
                  <c:v>-36.080204236006054</c:v>
                </c:pt>
                <c:pt idx="64" formatCode="General">
                  <c:v>-36.258430303030302</c:v>
                </c:pt>
                <c:pt idx="65" formatCode="General">
                  <c:v>-36.437824242424242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3F45-444A-B599-5B97018058CE}"/>
            </c:ext>
          </c:extLst>
        </c:ser>
        <c:ser>
          <c:idx val="4"/>
          <c:order val="6"/>
          <c:tx>
            <c:strRef>
              <c:f>'Gibbs-EVAL'!$A$107</c:f>
              <c:strCache>
                <c:ptCount val="1"/>
                <c:pt idx="0">
                  <c:v>*Ge[l]</c:v>
                </c:pt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'Gibbs-EVAL'!$B$107:$BT$107</c:f>
              <c:numCache>
                <c:formatCode>0</c:formatCode>
                <c:ptCount val="71"/>
                <c:pt idx="0">
                  <c:v>-15.300424242424242</c:v>
                </c:pt>
                <c:pt idx="1">
                  <c:v>-14.974848484848485</c:v>
                </c:pt>
                <c:pt idx="2" formatCode="General">
                  <c:v>-14.671818181818182</c:v>
                </c:pt>
                <c:pt idx="3" formatCode="General">
                  <c:v>-14.399757575757576</c:v>
                </c:pt>
                <c:pt idx="4" formatCode="General">
                  <c:v>-14.105212121212121</c:v>
                </c:pt>
                <c:pt idx="5" formatCode="General">
                  <c:v>-13.420363636363636</c:v>
                </c:pt>
                <c:pt idx="6" formatCode="General">
                  <c:v>-12.711385542168674</c:v>
                </c:pt>
                <c:pt idx="7" formatCode="General">
                  <c:v>-11.970421686746988</c:v>
                </c:pt>
                <c:pt idx="8" formatCode="General">
                  <c:v>-11.272666666666668</c:v>
                </c:pt>
                <c:pt idx="9" formatCode="General">
                  <c:v>-10.593127272727273</c:v>
                </c:pt>
                <c:pt idx="10" formatCode="General">
                  <c:v>-9.9525212121212121</c:v>
                </c:pt>
                <c:pt idx="11" formatCode="General">
                  <c:v>-9.3588018154311658</c:v>
                </c:pt>
                <c:pt idx="12" formatCode="General">
                  <c:v>-8.8179546142208771</c:v>
                </c:pt>
                <c:pt idx="13" formatCode="General">
                  <c:v>-8.2771074130105902</c:v>
                </c:pt>
                <c:pt idx="14" formatCode="General">
                  <c:v>-7.7362602118003023</c:v>
                </c:pt>
                <c:pt idx="15" formatCode="General">
                  <c:v>-7.1954130105900145</c:v>
                </c:pt>
                <c:pt idx="16" formatCode="General">
                  <c:v>-6.6545658093797275</c:v>
                </c:pt>
                <c:pt idx="17" formatCode="General">
                  <c:v>-6.1137186081694388</c:v>
                </c:pt>
                <c:pt idx="18" formatCode="General">
                  <c:v>-5.6392727272727265</c:v>
                </c:pt>
                <c:pt idx="19" formatCode="General">
                  <c:v>-5.1809818181818166</c:v>
                </c:pt>
                <c:pt idx="20" formatCode="General">
                  <c:v>-4.742799999999999</c:v>
                </c:pt>
                <c:pt idx="21" formatCode="General">
                  <c:v>-4.4023636363636358</c:v>
                </c:pt>
                <c:pt idx="22" formatCode="General">
                  <c:v>-4.1387272727272721</c:v>
                </c:pt>
                <c:pt idx="23" formatCode="General">
                  <c:v>-4.1369277108433735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45-444A-B599-5B97018058CE}"/>
            </c:ext>
          </c:extLst>
        </c:ser>
        <c:ser>
          <c:idx val="5"/>
          <c:order val="7"/>
          <c:tx>
            <c:strRef>
              <c:f>'Gibbs-EVAL'!$A$108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'Gibbs-EVAL'!$B$108:$BT$108</c:f>
              <c:numCache>
                <c:formatCode>0</c:formatCode>
                <c:ptCount val="71"/>
                <c:pt idx="0">
                  <c:v>-37.092424242424244</c:v>
                </c:pt>
                <c:pt idx="1">
                  <c:v>-36.192181818181822</c:v>
                </c:pt>
                <c:pt idx="2" formatCode="General">
                  <c:v>-35.355818181818179</c:v>
                </c:pt>
                <c:pt idx="3" formatCode="General">
                  <c:v>-34.594666666666662</c:v>
                </c:pt>
                <c:pt idx="4" formatCode="General">
                  <c:v>-33.867151515151519</c:v>
                </c:pt>
                <c:pt idx="5" formatCode="General">
                  <c:v>-33.206545454545456</c:v>
                </c:pt>
                <c:pt idx="6" formatCode="General">
                  <c:v>-32.573554216867471</c:v>
                </c:pt>
                <c:pt idx="7" formatCode="General">
                  <c:v>-31.977168674698795</c:v>
                </c:pt>
                <c:pt idx="8" formatCode="General">
                  <c:v>-31.424666666666667</c:v>
                </c:pt>
                <c:pt idx="9" formatCode="General">
                  <c:v>-30.891309090909093</c:v>
                </c:pt>
                <c:pt idx="10" formatCode="General">
                  <c:v>-30.402218181818185</c:v>
                </c:pt>
                <c:pt idx="11" formatCode="General">
                  <c:v>-29.959906202723147</c:v>
                </c:pt>
                <c:pt idx="12" formatCode="General">
                  <c:v>-29.570344931921333</c:v>
                </c:pt>
                <c:pt idx="13" formatCode="General">
                  <c:v>-29.180783661119516</c:v>
                </c:pt>
                <c:pt idx="14" formatCode="General">
                  <c:v>-28.791222390317703</c:v>
                </c:pt>
                <c:pt idx="15" formatCode="General">
                  <c:v>-28.401661119515886</c:v>
                </c:pt>
                <c:pt idx="16" formatCode="General">
                  <c:v>-28.012099848714069</c:v>
                </c:pt>
                <c:pt idx="17" formatCode="General">
                  <c:v>-27.622538577912255</c:v>
                </c:pt>
                <c:pt idx="18" formatCode="General">
                  <c:v>-27.299575757575759</c:v>
                </c:pt>
                <c:pt idx="19" formatCode="General">
                  <c:v>-26.991527272727271</c:v>
                </c:pt>
                <c:pt idx="20" formatCode="General">
                  <c:v>-26.698799999999999</c:v>
                </c:pt>
                <c:pt idx="21" formatCode="General">
                  <c:v>-26.50721212121212</c:v>
                </c:pt>
                <c:pt idx="22" formatCode="General">
                  <c:v>-26.395090909090907</c:v>
                </c:pt>
                <c:pt idx="23" formatCode="General">
                  <c:v>-26.543975903614456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-27.907030120481927</c:v>
                </c:pt>
                <c:pt idx="32" formatCode="General">
                  <c:v>-28.076307228915663</c:v>
                </c:pt>
                <c:pt idx="33" formatCode="General">
                  <c:v>-28.240600000000001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3F45-444A-B599-5B97018058CE}"/>
            </c:ext>
          </c:extLst>
        </c:ser>
        <c:ser>
          <c:idx val="6"/>
          <c:order val="8"/>
          <c:tx>
            <c:strRef>
              <c:f>'Gibbs-EVAL'!$A$109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'Gibbs-EVAL'!$B$109:$BT$109</c:f>
              <c:numCache>
                <c:formatCode>0</c:formatCode>
                <c:ptCount val="71"/>
                <c:pt idx="0">
                  <c:v>-142.08169696969696</c:v>
                </c:pt>
                <c:pt idx="1">
                  <c:v>-137.89684848484848</c:v>
                </c:pt>
                <c:pt idx="2" formatCode="General">
                  <c:v>-133.99381818181817</c:v>
                </c:pt>
                <c:pt idx="3" formatCode="General">
                  <c:v>-130.39163636363637</c:v>
                </c:pt>
                <c:pt idx="4" formatCode="General">
                  <c:v>-126.85418181818181</c:v>
                </c:pt>
                <c:pt idx="5" formatCode="General">
                  <c:v>-122.78145454545454</c:v>
                </c:pt>
                <c:pt idx="6" formatCode="General">
                  <c:v>-118.77626506024096</c:v>
                </c:pt>
                <c:pt idx="7" formatCode="General">
                  <c:v>-114.86060240963856</c:v>
                </c:pt>
                <c:pt idx="8" formatCode="General">
                  <c:v>-111.17866666666667</c:v>
                </c:pt>
                <c:pt idx="9" formatCode="General">
                  <c:v>-107.59927272727273</c:v>
                </c:pt>
                <c:pt idx="10" formatCode="General">
                  <c:v>-104.25987878787879</c:v>
                </c:pt>
                <c:pt idx="11" formatCode="General">
                  <c:v>-101.18736762481089</c:v>
                </c:pt>
                <c:pt idx="12" formatCode="General">
                  <c:v>-98.415809379727676</c:v>
                </c:pt>
                <c:pt idx="13" formatCode="General">
                  <c:v>-95.644251134644477</c:v>
                </c:pt>
                <c:pt idx="14" formatCode="General">
                  <c:v>-92.872692889561264</c:v>
                </c:pt>
                <c:pt idx="15" formatCode="General">
                  <c:v>-90.101134644478066</c:v>
                </c:pt>
                <c:pt idx="16" formatCode="General">
                  <c:v>-87.329576399394853</c:v>
                </c:pt>
                <c:pt idx="17" formatCode="General">
                  <c:v>-84.55801815431164</c:v>
                </c:pt>
                <c:pt idx="18" formatCode="General">
                  <c:v>-82.173757575757577</c:v>
                </c:pt>
                <c:pt idx="19" formatCode="General">
                  <c:v>-79.879272727272721</c:v>
                </c:pt>
                <c:pt idx="20" formatCode="General">
                  <c:v>-77.685333333333332</c:v>
                </c:pt>
                <c:pt idx="21" formatCode="General">
                  <c:v>-75.569454545454533</c:v>
                </c:pt>
                <c:pt idx="22" formatCode="General">
                  <c:v>-73.514909090909086</c:v>
                </c:pt>
                <c:pt idx="23" formatCode="General">
                  <c:v>-71.581265060240966</c:v>
                </c:pt>
                <c:pt idx="24" formatCode="General">
                  <c:v>-69.682424242424247</c:v>
                </c:pt>
                <c:pt idx="25" formatCode="General">
                  <c:v>-67.852121212121219</c:v>
                </c:pt>
                <c:pt idx="26" formatCode="General">
                  <c:v>-66.08</c:v>
                </c:pt>
                <c:pt idx="27" formatCode="General">
                  <c:v>-64.346666666666664</c:v>
                </c:pt>
                <c:pt idx="28" formatCode="General">
                  <c:v>-62.705454545454543</c:v>
                </c:pt>
                <c:pt idx="29" formatCode="General">
                  <c:v>-61.127272727272732</c:v>
                </c:pt>
                <c:pt idx="30" formatCode="General">
                  <c:v>-59.684848484848487</c:v>
                </c:pt>
                <c:pt idx="31" formatCode="General">
                  <c:v>-58.490843373493981</c:v>
                </c:pt>
                <c:pt idx="32" formatCode="General">
                  <c:v>-57.43060240963856</c:v>
                </c:pt>
                <c:pt idx="33" formatCode="General">
                  <c:v>-56.418000000000006</c:v>
                </c:pt>
                <c:pt idx="34" formatCode="General">
                  <c:v>-55.426484848484847</c:v>
                </c:pt>
                <c:pt idx="35" formatCode="General">
                  <c:v>-54.474969696969701</c:v>
                </c:pt>
                <c:pt idx="36" formatCode="General">
                  <c:v>-53.548545454545454</c:v>
                </c:pt>
                <c:pt idx="37" formatCode="General">
                  <c:v>-52.637564296520431</c:v>
                </c:pt>
                <c:pt idx="38" formatCode="General">
                  <c:v>-51.82667170953102</c:v>
                </c:pt>
                <c:pt idx="39" formatCode="General">
                  <c:v>-51.015779122541609</c:v>
                </c:pt>
                <c:pt idx="40" formatCode="General">
                  <c:v>-50.204886535552198</c:v>
                </c:pt>
                <c:pt idx="41" formatCode="General">
                  <c:v>-49.393993948562787</c:v>
                </c:pt>
                <c:pt idx="42" formatCode="General">
                  <c:v>-48.583101361573377</c:v>
                </c:pt>
                <c:pt idx="43" formatCode="General">
                  <c:v>-47.772208774583973</c:v>
                </c:pt>
                <c:pt idx="44" formatCode="General">
                  <c:v>-46.99727272727273</c:v>
                </c:pt>
                <c:pt idx="45" formatCode="General">
                  <c:v>-46.27</c:v>
                </c:pt>
                <c:pt idx="46" formatCode="General">
                  <c:v>-45.567309090909099</c:v>
                </c:pt>
                <c:pt idx="47" formatCode="General">
                  <c:v>-44.87564848484849</c:v>
                </c:pt>
                <c:pt idx="48" formatCode="General">
                  <c:v>-44.211406060606066</c:v>
                </c:pt>
                <c:pt idx="49" formatCode="General">
                  <c:v>-43.559493975903614</c:v>
                </c:pt>
                <c:pt idx="50" formatCode="General">
                  <c:v>-42.920939759036138</c:v>
                </c:pt>
                <c:pt idx="51" formatCode="General">
                  <c:v>-42.315987878787872</c:v>
                </c:pt>
                <c:pt idx="52" formatCode="General">
                  <c:v>-41.858533333333334</c:v>
                </c:pt>
                <c:pt idx="53" formatCode="General">
                  <c:v>-42.0852</c:v>
                </c:pt>
                <c:pt idx="54" formatCode="General">
                  <c:v>-42.311866666666667</c:v>
                </c:pt>
                <c:pt idx="55" formatCode="General">
                  <c:v>-42.538533333333334</c:v>
                </c:pt>
                <c:pt idx="56" formatCode="General">
                  <c:v>-42.767309090909087</c:v>
                </c:pt>
                <c:pt idx="57" formatCode="General">
                  <c:v>-42.996656580937973</c:v>
                </c:pt>
                <c:pt idx="58" formatCode="General">
                  <c:v>-43.226913767019667</c:v>
                </c:pt>
                <c:pt idx="59" formatCode="General">
                  <c:v>-43.457170953101361</c:v>
                </c:pt>
                <c:pt idx="60" formatCode="General">
                  <c:v>-43.687428139183055</c:v>
                </c:pt>
                <c:pt idx="61" formatCode="General">
                  <c:v>-43.917685325264756</c:v>
                </c:pt>
                <c:pt idx="62" formatCode="General">
                  <c:v>-44.14794251134645</c:v>
                </c:pt>
                <c:pt idx="63" formatCode="General">
                  <c:v>-44.378199697428144</c:v>
                </c:pt>
                <c:pt idx="64" formatCode="General">
                  <c:v>-44.612921212121215</c:v>
                </c:pt>
                <c:pt idx="65" formatCode="General">
                  <c:v>-44.85049696969697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3F45-444A-B599-5B97018058CE}"/>
            </c:ext>
          </c:extLst>
        </c:ser>
        <c:ser>
          <c:idx val="7"/>
          <c:order val="9"/>
          <c:tx>
            <c:strRef>
              <c:f>'Gibbs-EVAL'!$A$110</c:f>
              <c:strCache>
                <c:ptCount val="1"/>
                <c:pt idx="0">
                  <c:v>Ar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-18.630969696969697</c:v>
                </c:pt>
                <c:pt idx="5" formatCode="General">
                  <c:v>-18.643090909090908</c:v>
                </c:pt>
                <c:pt idx="6" formatCode="General">
                  <c:v>-18.655180722891565</c:v>
                </c:pt>
                <c:pt idx="7" formatCode="General">
                  <c:v>-18.667228915662651</c:v>
                </c:pt>
                <c:pt idx="8" formatCode="General">
                  <c:v>-18.679333333333336</c:v>
                </c:pt>
                <c:pt idx="9" formatCode="General">
                  <c:v>-18.692181818181819</c:v>
                </c:pt>
                <c:pt idx="10" formatCode="General">
                  <c:v>-18.710363636363635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-18.855636363636364</c:v>
                </c:pt>
                <c:pt idx="19" formatCode="General">
                  <c:v>-18.873818181818184</c:v>
                </c:pt>
                <c:pt idx="20" formatCode="General">
                  <c:v>-18.891999999999999</c:v>
                </c:pt>
                <c:pt idx="21" formatCode="General">
                  <c:v>-18.913575757575757</c:v>
                </c:pt>
                <c:pt idx="22" formatCode="General">
                  <c:v>-18.937818181818184</c:v>
                </c:pt>
                <c:pt idx="23" formatCode="General">
                  <c:v>-18.95644578313253</c:v>
                </c:pt>
                <c:pt idx="24" formatCode="General">
                  <c:v>-18.976060606060607</c:v>
                </c:pt>
                <c:pt idx="25" formatCode="General">
                  <c:v>-19.00030303030303</c:v>
                </c:pt>
                <c:pt idx="26" formatCode="General">
                  <c:v>-19.020909090909093</c:v>
                </c:pt>
                <c:pt idx="27" formatCode="General">
                  <c:v>-19.039090909090909</c:v>
                </c:pt>
                <c:pt idx="28" formatCode="General">
                  <c:v>-19.057272727272728</c:v>
                </c:pt>
                <c:pt idx="29" formatCode="General">
                  <c:v>-19.077272727272728</c:v>
                </c:pt>
                <c:pt idx="30" formatCode="General">
                  <c:v>-19.101515151515152</c:v>
                </c:pt>
                <c:pt idx="31" formatCode="General">
                  <c:v>-19.121746987951806</c:v>
                </c:pt>
                <c:pt idx="32" formatCode="General">
                  <c:v>-19.139819277108433</c:v>
                </c:pt>
                <c:pt idx="33" formatCode="General">
                  <c:v>-19.164000000000001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3F45-444A-B599-5B97018058CE}"/>
            </c:ext>
          </c:extLst>
        </c:ser>
        <c:ser>
          <c:idx val="8"/>
          <c:order val="10"/>
          <c:tx>
            <c:strRef>
              <c:f>'Gibbs-EVAL'!$A$111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-60.144848484848481</c:v>
                </c:pt>
                <c:pt idx="1">
                  <c:v>-58.339757575757574</c:v>
                </c:pt>
                <c:pt idx="2" formatCode="General">
                  <c:v>-56.654909090909094</c:v>
                </c:pt>
                <c:pt idx="3" formatCode="General">
                  <c:v>-55.098363636363636</c:v>
                </c:pt>
                <c:pt idx="4" formatCode="General">
                  <c:v>-53.546121212121207</c:v>
                </c:pt>
                <c:pt idx="5" formatCode="General">
                  <c:v>-51.49763636363636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3F45-444A-B599-5B97018058CE}"/>
            </c:ext>
          </c:extLst>
        </c:ser>
        <c:ser>
          <c:idx val="9"/>
          <c:order val="11"/>
          <c:tx>
            <c:strRef>
              <c:f>'Gibbs-EVAL'!$A$112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-37.092424242424244</c:v>
                </c:pt>
                <c:pt idx="1">
                  <c:v>-36.192181818181822</c:v>
                </c:pt>
                <c:pt idx="2" formatCode="General">
                  <c:v>-35.355818181818179</c:v>
                </c:pt>
                <c:pt idx="3" formatCode="General">
                  <c:v>-34.594666666666662</c:v>
                </c:pt>
                <c:pt idx="4" formatCode="General">
                  <c:v>-33.867151515151519</c:v>
                </c:pt>
                <c:pt idx="5" formatCode="General">
                  <c:v>-33.206545454545456</c:v>
                </c:pt>
                <c:pt idx="6" formatCode="General">
                  <c:v>-32.573554216867471</c:v>
                </c:pt>
                <c:pt idx="7" formatCode="General">
                  <c:v>-31.977168674698795</c:v>
                </c:pt>
                <c:pt idx="8" formatCode="General">
                  <c:v>-31.424666666666667</c:v>
                </c:pt>
                <c:pt idx="9" formatCode="General">
                  <c:v>-30.891309090909093</c:v>
                </c:pt>
                <c:pt idx="10" formatCode="General">
                  <c:v>-30.402218181818185</c:v>
                </c:pt>
                <c:pt idx="11" formatCode="General">
                  <c:v>-29.959906202723147</c:v>
                </c:pt>
                <c:pt idx="12" formatCode="General">
                  <c:v>-29.570344931921333</c:v>
                </c:pt>
                <c:pt idx="13" formatCode="General">
                  <c:v>-29.180783661119516</c:v>
                </c:pt>
                <c:pt idx="14" formatCode="General">
                  <c:v>-28.791222390317703</c:v>
                </c:pt>
                <c:pt idx="15" formatCode="General">
                  <c:v>-28.401661119515886</c:v>
                </c:pt>
                <c:pt idx="16" formatCode="General">
                  <c:v>-28.012099848714069</c:v>
                </c:pt>
                <c:pt idx="17" formatCode="General">
                  <c:v>-27.622538577912255</c:v>
                </c:pt>
                <c:pt idx="18" formatCode="General">
                  <c:v>-27.299575757575759</c:v>
                </c:pt>
                <c:pt idx="19" formatCode="General">
                  <c:v>-26.991527272727271</c:v>
                </c:pt>
                <c:pt idx="20" formatCode="General">
                  <c:v>-26.698799999999999</c:v>
                </c:pt>
                <c:pt idx="21" formatCode="General">
                  <c:v>-26.50721212121212</c:v>
                </c:pt>
                <c:pt idx="22" formatCode="General">
                  <c:v>-26.395090909090907</c:v>
                </c:pt>
                <c:pt idx="23" formatCode="General">
                  <c:v>-26.543975903614456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-27.907030120481927</c:v>
                </c:pt>
                <c:pt idx="32" formatCode="General">
                  <c:v>-28.076307228915663</c:v>
                </c:pt>
                <c:pt idx="33" formatCode="General">
                  <c:v>-28.240600000000001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3F45-444A-B599-5B97018058CE}"/>
            </c:ext>
          </c:extLst>
        </c:ser>
        <c:ser>
          <c:idx val="10"/>
          <c:order val="12"/>
          <c:tx>
            <c:strRef>
              <c:f>'Gibbs-EVAL'!$A$113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'Gibbs-EVAL'!$B$113:$BT$113</c:f>
              <c:numCache>
                <c:formatCode>0</c:formatCode>
                <c:ptCount val="71"/>
                <c:pt idx="0">
                  <c:v>-15.300424242424242</c:v>
                </c:pt>
                <c:pt idx="1">
                  <c:v>-14.974848484848485</c:v>
                </c:pt>
                <c:pt idx="2" formatCode="General">
                  <c:v>-14.671818181818182</c:v>
                </c:pt>
                <c:pt idx="3" formatCode="General">
                  <c:v>-14.399757575757576</c:v>
                </c:pt>
                <c:pt idx="4" formatCode="General">
                  <c:v>-14.105212121212121</c:v>
                </c:pt>
                <c:pt idx="5" formatCode="General">
                  <c:v>-13.420363636363636</c:v>
                </c:pt>
                <c:pt idx="6" formatCode="General">
                  <c:v>-12.711385542168674</c:v>
                </c:pt>
                <c:pt idx="7" formatCode="General">
                  <c:v>-11.970421686746988</c:v>
                </c:pt>
                <c:pt idx="8" formatCode="General">
                  <c:v>-11.272666666666668</c:v>
                </c:pt>
                <c:pt idx="9" formatCode="General">
                  <c:v>-10.593127272727273</c:v>
                </c:pt>
                <c:pt idx="10" formatCode="General">
                  <c:v>-9.9525212121212121</c:v>
                </c:pt>
                <c:pt idx="11" formatCode="General">
                  <c:v>-9.3588018154311658</c:v>
                </c:pt>
                <c:pt idx="12" formatCode="General">
                  <c:v>-8.8179546142208771</c:v>
                </c:pt>
                <c:pt idx="13" formatCode="General">
                  <c:v>-8.2771074130105902</c:v>
                </c:pt>
                <c:pt idx="14" formatCode="General">
                  <c:v>-7.7362602118003023</c:v>
                </c:pt>
                <c:pt idx="15" formatCode="General">
                  <c:v>-7.1954130105900145</c:v>
                </c:pt>
                <c:pt idx="16" formatCode="General">
                  <c:v>-6.6545658093797275</c:v>
                </c:pt>
                <c:pt idx="17" formatCode="General">
                  <c:v>-6.1137186081694388</c:v>
                </c:pt>
                <c:pt idx="18" formatCode="General">
                  <c:v>-5.6392727272727265</c:v>
                </c:pt>
                <c:pt idx="19" formatCode="General">
                  <c:v>-5.1809818181818166</c:v>
                </c:pt>
                <c:pt idx="20" formatCode="General">
                  <c:v>-4.742799999999999</c:v>
                </c:pt>
                <c:pt idx="21" formatCode="General">
                  <c:v>-4.4023636363636358</c:v>
                </c:pt>
                <c:pt idx="22" formatCode="General">
                  <c:v>-4.1387272727272721</c:v>
                </c:pt>
                <c:pt idx="23" formatCode="General">
                  <c:v>-4.1369277108433735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3F45-444A-B599-5B97018058CE}"/>
            </c:ext>
          </c:extLst>
        </c:ser>
        <c:ser>
          <c:idx val="11"/>
          <c:order val="13"/>
          <c:tx>
            <c:strRef>
              <c:f>'Gibbs-EVAL'!$A$114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'Gibbs-EVAL'!$B$114:$BT$114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-18.630969696969697</c:v>
                </c:pt>
                <c:pt idx="5" formatCode="General">
                  <c:v>-18.643090909090908</c:v>
                </c:pt>
                <c:pt idx="6" formatCode="General">
                  <c:v>-18.655180722891565</c:v>
                </c:pt>
                <c:pt idx="7" formatCode="General">
                  <c:v>-18.667228915662651</c:v>
                </c:pt>
                <c:pt idx="8" formatCode="General">
                  <c:v>-18.679333333333336</c:v>
                </c:pt>
                <c:pt idx="9" formatCode="General">
                  <c:v>-18.692181818181819</c:v>
                </c:pt>
                <c:pt idx="10" formatCode="General">
                  <c:v>-18.710363636363635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-18.855636363636364</c:v>
                </c:pt>
                <c:pt idx="19" formatCode="General">
                  <c:v>-18.873818181818184</c:v>
                </c:pt>
                <c:pt idx="20" formatCode="General">
                  <c:v>-18.891999999999999</c:v>
                </c:pt>
                <c:pt idx="21" formatCode="General">
                  <c:v>-18.913575757575757</c:v>
                </c:pt>
                <c:pt idx="22" formatCode="General">
                  <c:v>-18.937818181818184</c:v>
                </c:pt>
                <c:pt idx="23" formatCode="General">
                  <c:v>-18.95644578313253</c:v>
                </c:pt>
                <c:pt idx="24" formatCode="General">
                  <c:v>-18.976060606060607</c:v>
                </c:pt>
                <c:pt idx="25" formatCode="General">
                  <c:v>-19.00030303030303</c:v>
                </c:pt>
                <c:pt idx="26" formatCode="General">
                  <c:v>-19.020909090909093</c:v>
                </c:pt>
                <c:pt idx="27" formatCode="General">
                  <c:v>-19.039090909090909</c:v>
                </c:pt>
                <c:pt idx="28" formatCode="General">
                  <c:v>-19.057272727272728</c:v>
                </c:pt>
                <c:pt idx="29" formatCode="General">
                  <c:v>-19.077272727272728</c:v>
                </c:pt>
                <c:pt idx="30" formatCode="General">
                  <c:v>-19.101515151515152</c:v>
                </c:pt>
                <c:pt idx="31" formatCode="General">
                  <c:v>-19.121746987951806</c:v>
                </c:pt>
                <c:pt idx="32" formatCode="General">
                  <c:v>-19.139819277108433</c:v>
                </c:pt>
                <c:pt idx="33" formatCode="General">
                  <c:v>-19.164000000000001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3F45-444A-B599-5B97018058CE}"/>
            </c:ext>
          </c:extLst>
        </c:ser>
        <c:ser>
          <c:idx val="12"/>
          <c:order val="14"/>
          <c:tx>
            <c:strRef>
              <c:f>'Gibbs-EVAL'!$A$115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'Gibbs-EVAL'!$B$115:$BT$115</c:f>
              <c:numCache>
                <c:formatCode>0</c:formatCode>
                <c:ptCount val="71"/>
                <c:pt idx="0">
                  <c:v>-60.144848484848481</c:v>
                </c:pt>
                <c:pt idx="1">
                  <c:v>-58.339757575757574</c:v>
                </c:pt>
                <c:pt idx="2" formatCode="General">
                  <c:v>-56.654909090909094</c:v>
                </c:pt>
                <c:pt idx="3" formatCode="General">
                  <c:v>-55.098363636363636</c:v>
                </c:pt>
                <c:pt idx="4" formatCode="General">
                  <c:v>-53.546121212121207</c:v>
                </c:pt>
                <c:pt idx="5" formatCode="General">
                  <c:v>-51.49763636363636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3F45-444A-B599-5B97018058CE}"/>
            </c:ext>
          </c:extLst>
        </c:ser>
        <c:ser>
          <c:idx val="13"/>
          <c:order val="15"/>
          <c:tx>
            <c:strRef>
              <c:f>'Gibbs-EVAL'!$A$116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'Gibbs-EVAL'!$B$116:$BT$116</c:f>
              <c:numCache>
                <c:formatCode>0</c:formatCode>
                <c:ptCount val="71"/>
                <c:pt idx="0">
                  <c:v>-15.300424242424242</c:v>
                </c:pt>
                <c:pt idx="1">
                  <c:v>-14.974848484848485</c:v>
                </c:pt>
                <c:pt idx="2" formatCode="General">
                  <c:v>-14.671818181818182</c:v>
                </c:pt>
                <c:pt idx="3" formatCode="General">
                  <c:v>-14.399757575757576</c:v>
                </c:pt>
                <c:pt idx="4" formatCode="General">
                  <c:v>-14.105212121212121</c:v>
                </c:pt>
                <c:pt idx="5" formatCode="General">
                  <c:v>-13.420363636363636</c:v>
                </c:pt>
                <c:pt idx="6" formatCode="General">
                  <c:v>-12.711385542168674</c:v>
                </c:pt>
                <c:pt idx="7" formatCode="General">
                  <c:v>-11.970421686746988</c:v>
                </c:pt>
                <c:pt idx="8" formatCode="General">
                  <c:v>-11.272666666666668</c:v>
                </c:pt>
                <c:pt idx="9" formatCode="General">
                  <c:v>-10.593127272727273</c:v>
                </c:pt>
                <c:pt idx="10" formatCode="General">
                  <c:v>-9.9525212121212121</c:v>
                </c:pt>
                <c:pt idx="11" formatCode="General">
                  <c:v>-9.3588018154311658</c:v>
                </c:pt>
                <c:pt idx="12" formatCode="General">
                  <c:v>-8.8179546142208771</c:v>
                </c:pt>
                <c:pt idx="13" formatCode="General">
                  <c:v>-8.2771074130105902</c:v>
                </c:pt>
                <c:pt idx="14" formatCode="General">
                  <c:v>-7.7362602118003023</c:v>
                </c:pt>
                <c:pt idx="15" formatCode="General">
                  <c:v>-7.1954130105900145</c:v>
                </c:pt>
                <c:pt idx="16" formatCode="General">
                  <c:v>-6.6545658093797275</c:v>
                </c:pt>
                <c:pt idx="17" formatCode="General">
                  <c:v>-6.1137186081694388</c:v>
                </c:pt>
                <c:pt idx="18" formatCode="General">
                  <c:v>-5.6392727272727265</c:v>
                </c:pt>
                <c:pt idx="19" formatCode="General">
                  <c:v>-5.1809818181818166</c:v>
                </c:pt>
                <c:pt idx="20" formatCode="General">
                  <c:v>-4.742799999999999</c:v>
                </c:pt>
                <c:pt idx="21" formatCode="General">
                  <c:v>-4.4023636363636358</c:v>
                </c:pt>
                <c:pt idx="22" formatCode="General">
                  <c:v>-4.1387272727272721</c:v>
                </c:pt>
                <c:pt idx="23" formatCode="General">
                  <c:v>-4.1369277108433735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3F45-444A-B599-5B97018058CE}"/>
            </c:ext>
          </c:extLst>
        </c:ser>
        <c:ser>
          <c:idx val="14"/>
          <c:order val="16"/>
          <c:tx>
            <c:strRef>
              <c:f>'Gibbs-EVAL'!$A$117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'Gibbs-EVAL'!$B$117:$BT$117</c:f>
              <c:numCache>
                <c:formatCode>0</c:formatCode>
                <c:ptCount val="71"/>
                <c:pt idx="0">
                  <c:v>-21.792000000000002</c:v>
                </c:pt>
                <c:pt idx="1">
                  <c:v>-21.217333333333332</c:v>
                </c:pt>
                <c:pt idx="2" formatCode="General">
                  <c:v>-20.683999999999997</c:v>
                </c:pt>
                <c:pt idx="3" formatCode="General">
                  <c:v>-20.194909090909089</c:v>
                </c:pt>
                <c:pt idx="4" formatCode="General">
                  <c:v>-19.761939393939397</c:v>
                </c:pt>
                <c:pt idx="5" formatCode="General">
                  <c:v>-19.78618181818182</c:v>
                </c:pt>
                <c:pt idx="6" formatCode="General">
                  <c:v>-19.862168674698797</c:v>
                </c:pt>
                <c:pt idx="7" formatCode="General">
                  <c:v>-20.006746987951807</c:v>
                </c:pt>
                <c:pt idx="8" formatCode="General">
                  <c:v>-20.152000000000001</c:v>
                </c:pt>
                <c:pt idx="9" formatCode="General">
                  <c:v>-20.298181818181821</c:v>
                </c:pt>
                <c:pt idx="10" formatCode="General">
                  <c:v>-20.449696969696969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-23.573975903614457</c:v>
                </c:pt>
                <c:pt idx="32" formatCode="General">
                  <c:v>-23.718554216867467</c:v>
                </c:pt>
                <c:pt idx="33" formatCode="General">
                  <c:v>-23.858000000000001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3F45-444A-B599-5B97018058CE}"/>
            </c:ext>
          </c:extLst>
        </c:ser>
        <c:ser>
          <c:idx val="15"/>
          <c:order val="17"/>
          <c:tx>
            <c:strRef>
              <c:f>'Gibbs-EVAL'!$A$118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3F45-444A-B599-5B97018058CE}"/>
            </c:ext>
          </c:extLst>
        </c:ser>
        <c:ser>
          <c:idx val="16"/>
          <c:order val="18"/>
          <c:tx>
            <c:strRef>
              <c:f>'Gibbs-EVAL'!$A$119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3F45-444A-B599-5B97018058CE}"/>
            </c:ext>
          </c:extLst>
        </c:ser>
        <c:ser>
          <c:idx val="17"/>
          <c:order val="19"/>
          <c:tx>
            <c:strRef>
              <c:f>'Gibbs-EVAL'!$A$120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3F45-444A-B599-5B97018058CE}"/>
            </c:ext>
          </c:extLst>
        </c:ser>
        <c:ser>
          <c:idx val="18"/>
          <c:order val="20"/>
          <c:tx>
            <c:strRef>
              <c:f>'Gibbs-EVAL'!$A$121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3F45-444A-B599-5B97018058CE}"/>
            </c:ext>
          </c:extLst>
        </c:ser>
        <c:ser>
          <c:idx val="19"/>
          <c:order val="21"/>
          <c:tx>
            <c:strRef>
              <c:f>'Gibbs-EVAL'!$A$122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3F45-444A-B599-5B97018058CE}"/>
            </c:ext>
          </c:extLst>
        </c:ser>
        <c:ser>
          <c:idx val="20"/>
          <c:order val="22"/>
          <c:tx>
            <c:strRef>
              <c:f>'Gibbs-EVAL'!$A$123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3F45-444A-B599-5B97018058CE}"/>
            </c:ext>
          </c:extLst>
        </c:ser>
        <c:ser>
          <c:idx val="21"/>
          <c:order val="23"/>
          <c:tx>
            <c:strRef>
              <c:f>'Gibbs-EVAL'!$A$124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3F45-444A-B599-5B97018058CE}"/>
            </c:ext>
          </c:extLst>
        </c:ser>
        <c:ser>
          <c:idx val="22"/>
          <c:order val="24"/>
          <c:tx>
            <c:strRef>
              <c:f>'Gibbs-EVAL'!$A$125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3F45-444A-B599-5B97018058CE}"/>
            </c:ext>
          </c:extLst>
        </c:ser>
        <c:ser>
          <c:idx val="23"/>
          <c:order val="25"/>
          <c:tx>
            <c:strRef>
              <c:f>'Gibbs-EVAL'!$A$126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3F45-444A-B599-5B97018058CE}"/>
            </c:ext>
          </c:extLst>
        </c:ser>
        <c:ser>
          <c:idx val="24"/>
          <c:order val="26"/>
          <c:tx>
            <c:strRef>
              <c:f>'Gibbs-EVAL'!$A$127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3F45-444A-B599-5B97018058CE}"/>
            </c:ext>
          </c:extLst>
        </c:ser>
        <c:ser>
          <c:idx val="25"/>
          <c:order val="27"/>
          <c:tx>
            <c:strRef>
              <c:f>'Gibbs-EVAL'!$A$128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3F45-444A-B599-5B97018058CE}"/>
            </c:ext>
          </c:extLst>
        </c:ser>
        <c:ser>
          <c:idx val="26"/>
          <c:order val="28"/>
          <c:tx>
            <c:strRef>
              <c:f>'Gibbs-EVAL'!$A$129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3F45-444A-B599-5B97018058CE}"/>
            </c:ext>
          </c:extLst>
        </c:ser>
        <c:ser>
          <c:idx val="27"/>
          <c:order val="29"/>
          <c:tx>
            <c:strRef>
              <c:f>'Gibbs-EVAL'!$A$130</c:f>
              <c:strCache>
                <c:ptCount val="1"/>
                <c:pt idx="0">
                  <c:v>end1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'Gibbs-EVAL'!$B$130:$BT$130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3F45-444A-B599-5B97018058CE}"/>
            </c:ext>
          </c:extLst>
        </c:ser>
        <c:ser>
          <c:idx val="28"/>
          <c:order val="30"/>
          <c:tx>
            <c:strRef>
              <c:f>'Gibbs-EVAL'!$A$131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3F45-444A-B599-5B97018058CE}"/>
            </c:ext>
          </c:extLst>
        </c:ser>
        <c:ser>
          <c:idx val="29"/>
          <c:order val="31"/>
          <c:tx>
            <c:strRef>
              <c:f>'Gibbs-EVAL'!$A$132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3F45-444A-B599-5B97018058CE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-22.065575757575758</c:v>
                </c:pt>
                <c:pt idx="1">
                  <c:v>-21.674060606060607</c:v>
                </c:pt>
                <c:pt idx="2" formatCode="General">
                  <c:v>-21.395272727272726</c:v>
                </c:pt>
                <c:pt idx="3" formatCode="General">
                  <c:v>-21.244787878787879</c:v>
                </c:pt>
                <c:pt idx="4" formatCode="General">
                  <c:v>-21.157019667170953</c:v>
                </c:pt>
                <c:pt idx="5" formatCode="General">
                  <c:v>-21.244765506807866</c:v>
                </c:pt>
                <c:pt idx="6" formatCode="General">
                  <c:v>-21.332511346444779</c:v>
                </c:pt>
                <c:pt idx="7" formatCode="General">
                  <c:v>-21.420257186081695</c:v>
                </c:pt>
                <c:pt idx="8" formatCode="General">
                  <c:v>-21.508003025718608</c:v>
                </c:pt>
                <c:pt idx="9" formatCode="General">
                  <c:v>-21.595748865355521</c:v>
                </c:pt>
                <c:pt idx="10" formatCode="General">
                  <c:v>-21.683494704992437</c:v>
                </c:pt>
                <c:pt idx="11" formatCode="General">
                  <c:v>-21.792666666666666</c:v>
                </c:pt>
                <c:pt idx="12" formatCode="General">
                  <c:v>-21.925999999999998</c:v>
                </c:pt>
                <c:pt idx="13" formatCode="General">
                  <c:v>-22.049393939393937</c:v>
                </c:pt>
                <c:pt idx="14" formatCode="General">
                  <c:v>-22.167409638554215</c:v>
                </c:pt>
                <c:pt idx="15" formatCode="General">
                  <c:v>-22.269819277108432</c:v>
                </c:pt>
                <c:pt idx="16" formatCode="General">
                  <c:v>-22.363272727272729</c:v>
                </c:pt>
                <c:pt idx="17" formatCode="General">
                  <c:v>-22.448121212121212</c:v>
                </c:pt>
                <c:pt idx="18" formatCode="General">
                  <c:v>-22.532969696969698</c:v>
                </c:pt>
                <c:pt idx="19" formatCode="General">
                  <c:v>-22.620363636363638</c:v>
                </c:pt>
                <c:pt idx="20" formatCode="General">
                  <c:v>-22.717333333333336</c:v>
                </c:pt>
                <c:pt idx="21" formatCode="General">
                  <c:v>-22.82448484848485</c:v>
                </c:pt>
                <c:pt idx="22" formatCode="General">
                  <c:v>-22.939636363636364</c:v>
                </c:pt>
                <c:pt idx="23" formatCode="General">
                  <c:v>-23.059638554216868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3F45-444A-B599-5B97018058CE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-37.871212121212125</c:v>
                </c:pt>
                <c:pt idx="1">
                  <c:v>-36.936060606060607</c:v>
                </c:pt>
                <c:pt idx="2" formatCode="General">
                  <c:v>-36.057272727272725</c:v>
                </c:pt>
                <c:pt idx="3" formatCode="General">
                  <c:v>-35.249272727272725</c:v>
                </c:pt>
                <c:pt idx="4" formatCode="General">
                  <c:v>-34.48330711043873</c:v>
                </c:pt>
                <c:pt idx="5" formatCode="General">
                  <c:v>-33.899645990922842</c:v>
                </c:pt>
                <c:pt idx="6" formatCode="General">
                  <c:v>-33.315984871406961</c:v>
                </c:pt>
                <c:pt idx="7" formatCode="General">
                  <c:v>-32.732323751891073</c:v>
                </c:pt>
                <c:pt idx="8" formatCode="General">
                  <c:v>-32.148662632375192</c:v>
                </c:pt>
                <c:pt idx="9" formatCode="General">
                  <c:v>-31.565001512859304</c:v>
                </c:pt>
                <c:pt idx="10" formatCode="General">
                  <c:v>-30.981340393343419</c:v>
                </c:pt>
                <c:pt idx="11" formatCode="General">
                  <c:v>-30.471751515151517</c:v>
                </c:pt>
                <c:pt idx="12" formatCode="General">
                  <c:v>-30.045690909090911</c:v>
                </c:pt>
                <c:pt idx="13" formatCode="General">
                  <c:v>-29.668830303030305</c:v>
                </c:pt>
                <c:pt idx="14" formatCode="General">
                  <c:v>-29.315024096385542</c:v>
                </c:pt>
                <c:pt idx="15" formatCode="General">
                  <c:v>-29.021048192771087</c:v>
                </c:pt>
                <c:pt idx="16" formatCode="General">
                  <c:v>-28.765418181818184</c:v>
                </c:pt>
                <c:pt idx="17" formatCode="General">
                  <c:v>-28.546630303030305</c:v>
                </c:pt>
                <c:pt idx="18" formatCode="General">
                  <c:v>-28.406024242424245</c:v>
                </c:pt>
                <c:pt idx="19" formatCode="General">
                  <c:v>-28.297109090909093</c:v>
                </c:pt>
                <c:pt idx="20" formatCode="General">
                  <c:v>-28.259533333333334</c:v>
                </c:pt>
                <c:pt idx="21" formatCode="General">
                  <c:v>-28.267096969696972</c:v>
                </c:pt>
                <c:pt idx="22" formatCode="General">
                  <c:v>-28.310127272727271</c:v>
                </c:pt>
                <c:pt idx="23" formatCode="General">
                  <c:v>-28.39896987951807</c:v>
                </c:pt>
                <c:pt idx="24" formatCode="General">
                  <c:v>-28.502333333333333</c:v>
                </c:pt>
                <c:pt idx="25" formatCode="General">
                  <c:v>-28.635666666666665</c:v>
                </c:pt>
                <c:pt idx="26" formatCode="General">
                  <c:v>-28.781727272727274</c:v>
                </c:pt>
                <c:pt idx="27" formatCode="General">
                  <c:v>-28.93627272727273</c:v>
                </c:pt>
                <c:pt idx="28" formatCode="General">
                  <c:v>-29.102333333333334</c:v>
                </c:pt>
                <c:pt idx="29" formatCode="General">
                  <c:v>-29.267909090909093</c:v>
                </c:pt>
                <c:pt idx="30" formatCode="General">
                  <c:v>-29.430939393939394</c:v>
                </c:pt>
                <c:pt idx="31" formatCode="General">
                  <c:v>-29.598030120481926</c:v>
                </c:pt>
                <c:pt idx="32" formatCode="General">
                  <c:v>-29.767307228915662</c:v>
                </c:pt>
                <c:pt idx="33" formatCode="General">
                  <c:v>-29.930999999999997</c:v>
                </c:pt>
                <c:pt idx="34" formatCode="General">
                  <c:v>-30.094842424242422</c:v>
                </c:pt>
                <c:pt idx="35" formatCode="General">
                  <c:v>-30.259084848484846</c:v>
                </c:pt>
                <c:pt idx="36" formatCode="General">
                  <c:v>-30.422909090909091</c:v>
                </c:pt>
                <c:pt idx="37" formatCode="General">
                  <c:v>-30.586432677760968</c:v>
                </c:pt>
                <c:pt idx="38" formatCode="General">
                  <c:v>-30.747249621785173</c:v>
                </c:pt>
                <c:pt idx="39" formatCode="General">
                  <c:v>-30.908066565809378</c:v>
                </c:pt>
                <c:pt idx="40" formatCode="General">
                  <c:v>-31.068883509833583</c:v>
                </c:pt>
                <c:pt idx="41" formatCode="General">
                  <c:v>-31.229700453857792</c:v>
                </c:pt>
                <c:pt idx="42" formatCode="General">
                  <c:v>-31.390517397881997</c:v>
                </c:pt>
                <c:pt idx="43" formatCode="General">
                  <c:v>-31.551334341906202</c:v>
                </c:pt>
                <c:pt idx="44" formatCode="General">
                  <c:v>-31.709614220877459</c:v>
                </c:pt>
                <c:pt idx="45" formatCode="General">
                  <c:v>-31.864531013615736</c:v>
                </c:pt>
                <c:pt idx="46" formatCode="General">
                  <c:v>-32.019447806354009</c:v>
                </c:pt>
                <c:pt idx="47" formatCode="General">
                  <c:v>-32.174364599092286</c:v>
                </c:pt>
                <c:pt idx="48" formatCode="General">
                  <c:v>-32.329281391830563</c:v>
                </c:pt>
                <c:pt idx="49" formatCode="General">
                  <c:v>-32.484198184568839</c:v>
                </c:pt>
                <c:pt idx="50" formatCode="General">
                  <c:v>-32.639114977307116</c:v>
                </c:pt>
                <c:pt idx="51" formatCode="General">
                  <c:v>-32.792360606060612</c:v>
                </c:pt>
                <c:pt idx="52" formatCode="General">
                  <c:v>-32.945239393939396</c:v>
                </c:pt>
                <c:pt idx="53" formatCode="General">
                  <c:v>-33.098118181818187</c:v>
                </c:pt>
                <c:pt idx="54" formatCode="General">
                  <c:v>-33.25099696969697</c:v>
                </c:pt>
                <c:pt idx="55" formatCode="General">
                  <c:v>-33.403875757575761</c:v>
                </c:pt>
                <c:pt idx="56" formatCode="General">
                  <c:v>-33.556754545454545</c:v>
                </c:pt>
                <c:pt idx="57" formatCode="General">
                  <c:v>-33.709000000000003</c:v>
                </c:pt>
                <c:pt idx="58" formatCode="General">
                  <c:v>-33.859000000000002</c:v>
                </c:pt>
                <c:pt idx="59" formatCode="General">
                  <c:v>-34.008490909090909</c:v>
                </c:pt>
                <c:pt idx="60" formatCode="General">
                  <c:v>-34.157581818181818</c:v>
                </c:pt>
                <c:pt idx="61" formatCode="General">
                  <c:v>-34.304466666666663</c:v>
                </c:pt>
                <c:pt idx="62" formatCode="General">
                  <c:v>-34.450818181818178</c:v>
                </c:pt>
                <c:pt idx="63" formatCode="General">
                  <c:v>-34.596272727272726</c:v>
                </c:pt>
                <c:pt idx="64" formatCode="General">
                  <c:v>-34.737660606060608</c:v>
                </c:pt>
                <c:pt idx="65" formatCode="General">
                  <c:v>-34.876448484848481</c:v>
                </c:pt>
                <c:pt idx="66" formatCode="General">
                  <c:v>-35.019060240963853</c:v>
                </c:pt>
                <c:pt idx="67" formatCode="General">
                  <c:v>-35.162090909090907</c:v>
                </c:pt>
                <c:pt idx="68" formatCode="General">
                  <c:v>-35.305727272727275</c:v>
                </c:pt>
                <c:pt idx="69" formatCode="General">
                  <c:v>-35.445030303030308</c:v>
                </c:pt>
                <c:pt idx="70" formatCode="General">
                  <c:v>-35.582000000000001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3F45-444A-B599-5B97018058CE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-18.631089258698939</c:v>
                </c:pt>
                <c:pt idx="5" formatCode="General">
                  <c:v>-18.644704992435702</c:v>
                </c:pt>
                <c:pt idx="6" formatCode="General">
                  <c:v>-18.658320726172466</c:v>
                </c:pt>
                <c:pt idx="7" formatCode="General">
                  <c:v>-18.671936459909226</c:v>
                </c:pt>
                <c:pt idx="8" formatCode="General">
                  <c:v>-18.685552193645989</c:v>
                </c:pt>
                <c:pt idx="9" formatCode="General">
                  <c:v>-18.699167927382753</c:v>
                </c:pt>
                <c:pt idx="10" formatCode="General">
                  <c:v>-18.712783661119516</c:v>
                </c:pt>
                <c:pt idx="11" formatCode="General">
                  <c:v>-18.728545454545454</c:v>
                </c:pt>
                <c:pt idx="12" formatCode="General">
                  <c:v>-18.746727272727274</c:v>
                </c:pt>
                <c:pt idx="13" formatCode="General">
                  <c:v>-18.764909090909093</c:v>
                </c:pt>
                <c:pt idx="14" formatCode="General">
                  <c:v>-18.783072289156628</c:v>
                </c:pt>
                <c:pt idx="15" formatCode="General">
                  <c:v>-18.801144578313252</c:v>
                </c:pt>
                <c:pt idx="16" formatCode="General">
                  <c:v>-18.819272727272725</c:v>
                </c:pt>
                <c:pt idx="17" formatCode="General">
                  <c:v>-18.837454545454545</c:v>
                </c:pt>
                <c:pt idx="18" formatCode="General">
                  <c:v>-18.855636363636364</c:v>
                </c:pt>
                <c:pt idx="19" formatCode="General">
                  <c:v>-18.873818181818184</c:v>
                </c:pt>
                <c:pt idx="20" formatCode="General">
                  <c:v>-18.891999999999999</c:v>
                </c:pt>
                <c:pt idx="21" formatCode="General">
                  <c:v>-18.913575757575757</c:v>
                </c:pt>
                <c:pt idx="22" formatCode="General">
                  <c:v>-18.937818181818184</c:v>
                </c:pt>
                <c:pt idx="23" formatCode="General">
                  <c:v>-18.95644578313253</c:v>
                </c:pt>
                <c:pt idx="24" formatCode="General">
                  <c:v>-18.976060606060607</c:v>
                </c:pt>
                <c:pt idx="25" formatCode="General">
                  <c:v>-19.00030303030303</c:v>
                </c:pt>
                <c:pt idx="26" formatCode="General">
                  <c:v>-19.020909090909093</c:v>
                </c:pt>
                <c:pt idx="27" formatCode="General">
                  <c:v>-19.039090909090909</c:v>
                </c:pt>
                <c:pt idx="28" formatCode="General">
                  <c:v>-19.057272727272728</c:v>
                </c:pt>
                <c:pt idx="29" formatCode="General">
                  <c:v>-19.077272727272728</c:v>
                </c:pt>
                <c:pt idx="30" formatCode="General">
                  <c:v>-19.101515151515152</c:v>
                </c:pt>
                <c:pt idx="31" formatCode="General">
                  <c:v>-19.121746987951806</c:v>
                </c:pt>
                <c:pt idx="32" formatCode="General">
                  <c:v>-19.139819277108433</c:v>
                </c:pt>
                <c:pt idx="33" formatCode="General">
                  <c:v>-19.164000000000001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-19.388456883509832</c:v>
                </c:pt>
                <c:pt idx="45" formatCode="General">
                  <c:v>-19.408124054462935</c:v>
                </c:pt>
                <c:pt idx="46" formatCode="General">
                  <c:v>-19.427791225416037</c:v>
                </c:pt>
                <c:pt idx="47" formatCode="General">
                  <c:v>-19.447458396369139</c:v>
                </c:pt>
                <c:pt idx="48" formatCode="General">
                  <c:v>-19.467125567322238</c:v>
                </c:pt>
                <c:pt idx="49" formatCode="General">
                  <c:v>-19.486792738275341</c:v>
                </c:pt>
                <c:pt idx="50" formatCode="General">
                  <c:v>-19.506459909228443</c:v>
                </c:pt>
                <c:pt idx="51" formatCode="General">
                  <c:v>-19.526151515151518</c:v>
                </c:pt>
                <c:pt idx="52" formatCode="General">
                  <c:v>-19.545848484848488</c:v>
                </c:pt>
                <c:pt idx="53" formatCode="General">
                  <c:v>-19.565545454545457</c:v>
                </c:pt>
                <c:pt idx="54" formatCode="General">
                  <c:v>-19.585242424242427</c:v>
                </c:pt>
                <c:pt idx="55" formatCode="General">
                  <c:v>-19.604939393939397</c:v>
                </c:pt>
                <c:pt idx="56" formatCode="General">
                  <c:v>-19.624636363636366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3F45-444A-B599-5B97018058CE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  <c:pt idx="0">
                  <c:v>(DGeSe2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-59.936787878787875</c:v>
                </c:pt>
                <c:pt idx="1">
                  <c:v>-58.610121212121214</c:v>
                </c:pt>
                <c:pt idx="2" formatCode="General">
                  <c:v>-57.452545454545458</c:v>
                </c:pt>
                <c:pt idx="3" formatCode="General">
                  <c:v>-56.494060606060607</c:v>
                </c:pt>
                <c:pt idx="4" formatCode="General">
                  <c:v>-55.64032677760968</c:v>
                </c:pt>
                <c:pt idx="5" formatCode="General">
                  <c:v>-55.144411497730708</c:v>
                </c:pt>
                <c:pt idx="6" formatCode="General">
                  <c:v>-54.648496217851736</c:v>
                </c:pt>
                <c:pt idx="7" formatCode="General">
                  <c:v>-54.152580937972772</c:v>
                </c:pt>
                <c:pt idx="8" formatCode="General">
                  <c:v>-53.6566656580938</c:v>
                </c:pt>
                <c:pt idx="9" formatCode="General">
                  <c:v>-53.160750378214829</c:v>
                </c:pt>
                <c:pt idx="10" formatCode="General">
                  <c:v>-52.664835098335857</c:v>
                </c:pt>
                <c:pt idx="11" formatCode="General">
                  <c:v>-52.264418181818179</c:v>
                </c:pt>
                <c:pt idx="12" formatCode="General">
                  <c:v>-51.97169090909091</c:v>
                </c:pt>
                <c:pt idx="13" formatCode="General">
                  <c:v>-51.718224242424242</c:v>
                </c:pt>
                <c:pt idx="14" formatCode="General">
                  <c:v>-51.482433734939761</c:v>
                </c:pt>
                <c:pt idx="15" formatCode="General">
                  <c:v>-51.290867469879522</c:v>
                </c:pt>
                <c:pt idx="16" formatCode="General">
                  <c:v>-51.128690909090913</c:v>
                </c:pt>
                <c:pt idx="17" formatCode="General">
                  <c:v>-50.994751515151513</c:v>
                </c:pt>
                <c:pt idx="18" formatCode="General">
                  <c:v>-50.938993939393939</c:v>
                </c:pt>
                <c:pt idx="19" formatCode="General">
                  <c:v>-50.917472727272731</c:v>
                </c:pt>
                <c:pt idx="20" formatCode="General">
                  <c:v>-50.976866666666666</c:v>
                </c:pt>
                <c:pt idx="21" formatCode="General">
                  <c:v>-51.091581818181815</c:v>
                </c:pt>
                <c:pt idx="22" formatCode="General">
                  <c:v>-51.249763636363632</c:v>
                </c:pt>
                <c:pt idx="23" formatCode="General">
                  <c:v>-51.458608433734938</c:v>
                </c:pt>
                <c:pt idx="24" formatCode="General">
                  <c:v>-51.68566666666667</c:v>
                </c:pt>
                <c:pt idx="25" formatCode="General">
                  <c:v>-51.952333333333335</c:v>
                </c:pt>
                <c:pt idx="26" formatCode="General">
                  <c:v>-52.235363636363644</c:v>
                </c:pt>
                <c:pt idx="27" formatCode="General">
                  <c:v>-52.529303030303033</c:v>
                </c:pt>
                <c:pt idx="28" formatCode="General">
                  <c:v>-52.840515151515149</c:v>
                </c:pt>
                <c:pt idx="29" formatCode="General">
                  <c:v>-53.149727272727269</c:v>
                </c:pt>
                <c:pt idx="30" formatCode="General">
                  <c:v>-53.452151515151513</c:v>
                </c:pt>
                <c:pt idx="31" formatCode="General">
                  <c:v>-53.76200602409638</c:v>
                </c:pt>
                <c:pt idx="32" formatCode="General">
                  <c:v>-54.075861445783126</c:v>
                </c:pt>
                <c:pt idx="33" formatCode="General">
                  <c:v>-54.378999999999998</c:v>
                </c:pt>
                <c:pt idx="34" formatCode="General">
                  <c:v>-54.682236363636363</c:v>
                </c:pt>
                <c:pt idx="35" formatCode="General">
                  <c:v>-54.985872727272728</c:v>
                </c:pt>
                <c:pt idx="36" formatCode="General">
                  <c:v>-55.289090909090909</c:v>
                </c:pt>
                <c:pt idx="37" formatCode="General">
                  <c:v>-55.591878971255667</c:v>
                </c:pt>
                <c:pt idx="38" formatCode="General">
                  <c:v>-55.8888532526475</c:v>
                </c:pt>
                <c:pt idx="39" formatCode="General">
                  <c:v>-56.185827534039333</c:v>
                </c:pt>
                <c:pt idx="40" formatCode="General">
                  <c:v>-56.482801815431159</c:v>
                </c:pt>
                <c:pt idx="41" formatCode="General">
                  <c:v>-56.779776096822992</c:v>
                </c:pt>
                <c:pt idx="42" formatCode="General">
                  <c:v>-57.076750378214825</c:v>
                </c:pt>
                <c:pt idx="43" formatCode="General">
                  <c:v>-57.373724659606651</c:v>
                </c:pt>
                <c:pt idx="44" formatCode="General">
                  <c:v>-57.664909228441751</c:v>
                </c:pt>
                <c:pt idx="45" formatCode="General">
                  <c:v>-57.948419062027227</c:v>
                </c:pt>
                <c:pt idx="46" formatCode="General">
                  <c:v>-58.231928895612711</c:v>
                </c:pt>
                <c:pt idx="47" formatCode="General">
                  <c:v>-58.515438729198188</c:v>
                </c:pt>
                <c:pt idx="48" formatCode="General">
                  <c:v>-58.798948562783664</c:v>
                </c:pt>
                <c:pt idx="49" formatCode="General">
                  <c:v>-59.082458396369141</c:v>
                </c:pt>
                <c:pt idx="50" formatCode="General">
                  <c:v>-59.365968229954618</c:v>
                </c:pt>
                <c:pt idx="51" formatCode="General">
                  <c:v>-59.641754545454546</c:v>
                </c:pt>
                <c:pt idx="52" formatCode="General">
                  <c:v>-59.915845454545455</c:v>
                </c:pt>
                <c:pt idx="53" formatCode="General">
                  <c:v>-60.189936363636363</c:v>
                </c:pt>
                <c:pt idx="54" formatCode="General">
                  <c:v>-60.464027272727272</c:v>
                </c:pt>
                <c:pt idx="55" formatCode="General">
                  <c:v>-60.73811818181818</c:v>
                </c:pt>
                <c:pt idx="56" formatCode="General">
                  <c:v>-61.012209090909089</c:v>
                </c:pt>
                <c:pt idx="57" formatCode="General">
                  <c:v>-61.285506024096385</c:v>
                </c:pt>
                <c:pt idx="58" formatCode="General">
                  <c:v>-61.555987951807225</c:v>
                </c:pt>
                <c:pt idx="59" formatCode="General">
                  <c:v>-61.826369696969692</c:v>
                </c:pt>
                <c:pt idx="60" formatCode="General">
                  <c:v>-62.096672727272725</c:v>
                </c:pt>
                <c:pt idx="61" formatCode="General">
                  <c:v>-62.364769696969695</c:v>
                </c:pt>
                <c:pt idx="62" formatCode="General">
                  <c:v>-62.632333333333328</c:v>
                </c:pt>
                <c:pt idx="63" formatCode="General">
                  <c:v>-62.899000000000001</c:v>
                </c:pt>
                <c:pt idx="64" formatCode="General">
                  <c:v>-63.157903030303032</c:v>
                </c:pt>
                <c:pt idx="65" formatCode="General">
                  <c:v>-63.411842424242423</c:v>
                </c:pt>
                <c:pt idx="66" formatCode="General">
                  <c:v>-63.674722891566262</c:v>
                </c:pt>
                <c:pt idx="67" formatCode="General">
                  <c:v>-63.93845454545454</c:v>
                </c:pt>
                <c:pt idx="68" formatCode="General">
                  <c:v>-64.203303030303033</c:v>
                </c:pt>
                <c:pt idx="69" formatCode="General">
                  <c:v>-64.459878787878793</c:v>
                </c:pt>
                <c:pt idx="70" formatCode="General">
                  <c:v>-64.712000000000003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3F45-444A-B599-5B97018058CE}"/>
            </c:ext>
          </c:extLst>
        </c:ser>
        <c:ser>
          <c:idx val="34"/>
          <c:order val="36"/>
          <c:tx>
            <c:strRef>
              <c:f>'Gibbs-EVAL'!$A$137</c:f>
              <c:strCache>
                <c:ptCount val="1"/>
                <c:pt idx="0">
                  <c:v>(DGeSe</c:v>
                </c:pt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'Gibbs-EVAL'!$B$137:$BT$137</c:f>
              <c:numCache>
                <c:formatCode>0</c:formatCode>
                <c:ptCount val="71"/>
                <c:pt idx="0">
                  <c:v>-37.871212121212125</c:v>
                </c:pt>
                <c:pt idx="1">
                  <c:v>-36.936060606060607</c:v>
                </c:pt>
                <c:pt idx="2" formatCode="General">
                  <c:v>-36.057272727272725</c:v>
                </c:pt>
                <c:pt idx="3" formatCode="General">
                  <c:v>-35.249272727272725</c:v>
                </c:pt>
                <c:pt idx="4" formatCode="General">
                  <c:v>-34.48330711043873</c:v>
                </c:pt>
                <c:pt idx="5" formatCode="General">
                  <c:v>-33.899645990922842</c:v>
                </c:pt>
                <c:pt idx="6" formatCode="General">
                  <c:v>-33.315984871406961</c:v>
                </c:pt>
                <c:pt idx="7" formatCode="General">
                  <c:v>-32.732323751891073</c:v>
                </c:pt>
                <c:pt idx="8" formatCode="General">
                  <c:v>-32.148662632375192</c:v>
                </c:pt>
                <c:pt idx="9" formatCode="General">
                  <c:v>-31.565001512859304</c:v>
                </c:pt>
                <c:pt idx="10" formatCode="General">
                  <c:v>-30.981340393343419</c:v>
                </c:pt>
                <c:pt idx="11" formatCode="General">
                  <c:v>-30.471751515151517</c:v>
                </c:pt>
                <c:pt idx="12" formatCode="General">
                  <c:v>-30.045690909090911</c:v>
                </c:pt>
                <c:pt idx="13" formatCode="General">
                  <c:v>-29.668830303030305</c:v>
                </c:pt>
                <c:pt idx="14" formatCode="General">
                  <c:v>-29.315024096385542</c:v>
                </c:pt>
                <c:pt idx="15" formatCode="General">
                  <c:v>-29.021048192771087</c:v>
                </c:pt>
                <c:pt idx="16" formatCode="General">
                  <c:v>-28.765418181818184</c:v>
                </c:pt>
                <c:pt idx="17" formatCode="General">
                  <c:v>-28.546630303030305</c:v>
                </c:pt>
                <c:pt idx="18" formatCode="General">
                  <c:v>-28.406024242424245</c:v>
                </c:pt>
                <c:pt idx="19" formatCode="General">
                  <c:v>-28.297109090909093</c:v>
                </c:pt>
                <c:pt idx="20" formatCode="General">
                  <c:v>-28.259533333333334</c:v>
                </c:pt>
                <c:pt idx="21" formatCode="General">
                  <c:v>-28.267096969696972</c:v>
                </c:pt>
                <c:pt idx="22" formatCode="General">
                  <c:v>-28.310127272727271</c:v>
                </c:pt>
                <c:pt idx="23" formatCode="General">
                  <c:v>-28.39896987951807</c:v>
                </c:pt>
                <c:pt idx="24" formatCode="General">
                  <c:v>-28.502333333333333</c:v>
                </c:pt>
                <c:pt idx="25" formatCode="General">
                  <c:v>-28.635666666666665</c:v>
                </c:pt>
                <c:pt idx="26" formatCode="General">
                  <c:v>-28.781727272727274</c:v>
                </c:pt>
                <c:pt idx="27" formatCode="General">
                  <c:v>-28.93627272727273</c:v>
                </c:pt>
                <c:pt idx="28" formatCode="General">
                  <c:v>-29.102333333333334</c:v>
                </c:pt>
                <c:pt idx="29" formatCode="General">
                  <c:v>-29.267909090909093</c:v>
                </c:pt>
                <c:pt idx="30" formatCode="General">
                  <c:v>-29.430939393939394</c:v>
                </c:pt>
                <c:pt idx="31" formatCode="General">
                  <c:v>-29.598030120481926</c:v>
                </c:pt>
                <c:pt idx="32" formatCode="General">
                  <c:v>-29.767307228915662</c:v>
                </c:pt>
                <c:pt idx="33" formatCode="General">
                  <c:v>-29.930999999999997</c:v>
                </c:pt>
                <c:pt idx="34" formatCode="General">
                  <c:v>-30.094842424242422</c:v>
                </c:pt>
                <c:pt idx="35" formatCode="General">
                  <c:v>-30.259084848484846</c:v>
                </c:pt>
                <c:pt idx="36" formatCode="General">
                  <c:v>-30.422909090909091</c:v>
                </c:pt>
                <c:pt idx="37" formatCode="General">
                  <c:v>-30.586432677760968</c:v>
                </c:pt>
                <c:pt idx="38" formatCode="General">
                  <c:v>-30.747249621785173</c:v>
                </c:pt>
                <c:pt idx="39" formatCode="General">
                  <c:v>-30.908066565809378</c:v>
                </c:pt>
                <c:pt idx="40" formatCode="General">
                  <c:v>-31.068883509833583</c:v>
                </c:pt>
                <c:pt idx="41" formatCode="General">
                  <c:v>-31.229700453857792</c:v>
                </c:pt>
                <c:pt idx="42" formatCode="General">
                  <c:v>-31.390517397881997</c:v>
                </c:pt>
                <c:pt idx="43" formatCode="General">
                  <c:v>-31.551334341906202</c:v>
                </c:pt>
                <c:pt idx="44" formatCode="General">
                  <c:v>-31.709614220877459</c:v>
                </c:pt>
                <c:pt idx="45" formatCode="General">
                  <c:v>-31.864531013615736</c:v>
                </c:pt>
                <c:pt idx="46" formatCode="General">
                  <c:v>-32.019447806354009</c:v>
                </c:pt>
                <c:pt idx="47" formatCode="General">
                  <c:v>-32.174364599092286</c:v>
                </c:pt>
                <c:pt idx="48" formatCode="General">
                  <c:v>-32.329281391830563</c:v>
                </c:pt>
                <c:pt idx="49" formatCode="General">
                  <c:v>-32.484198184568839</c:v>
                </c:pt>
                <c:pt idx="50" formatCode="General">
                  <c:v>-32.639114977307116</c:v>
                </c:pt>
                <c:pt idx="51" formatCode="General">
                  <c:v>-32.792360606060612</c:v>
                </c:pt>
                <c:pt idx="52" formatCode="General">
                  <c:v>-32.945239393939396</c:v>
                </c:pt>
                <c:pt idx="53" formatCode="General">
                  <c:v>-33.098118181818187</c:v>
                </c:pt>
                <c:pt idx="54" formatCode="General">
                  <c:v>-33.25099696969697</c:v>
                </c:pt>
                <c:pt idx="55" formatCode="General">
                  <c:v>-33.403875757575761</c:v>
                </c:pt>
                <c:pt idx="56" formatCode="General">
                  <c:v>-33.556754545454545</c:v>
                </c:pt>
                <c:pt idx="57" formatCode="General">
                  <c:v>-33.709000000000003</c:v>
                </c:pt>
                <c:pt idx="58" formatCode="General">
                  <c:v>-33.859000000000002</c:v>
                </c:pt>
                <c:pt idx="59" formatCode="General">
                  <c:v>-34.008490909090909</c:v>
                </c:pt>
                <c:pt idx="60" formatCode="General">
                  <c:v>-34.157581818181818</c:v>
                </c:pt>
                <c:pt idx="61" formatCode="General">
                  <c:v>-34.304466666666663</c:v>
                </c:pt>
                <c:pt idx="62" formatCode="General">
                  <c:v>-34.450818181818178</c:v>
                </c:pt>
                <c:pt idx="63" formatCode="General">
                  <c:v>-34.596272727272726</c:v>
                </c:pt>
                <c:pt idx="64" formatCode="General">
                  <c:v>-34.737660606060608</c:v>
                </c:pt>
                <c:pt idx="65" formatCode="General">
                  <c:v>-34.876448484848481</c:v>
                </c:pt>
                <c:pt idx="66" formatCode="General">
                  <c:v>-35.019060240963853</c:v>
                </c:pt>
                <c:pt idx="67" formatCode="General">
                  <c:v>-35.162090909090907</c:v>
                </c:pt>
                <c:pt idx="68" formatCode="General">
                  <c:v>-35.305727272727275</c:v>
                </c:pt>
                <c:pt idx="69" formatCode="General">
                  <c:v>-35.445030303030308</c:v>
                </c:pt>
                <c:pt idx="70" formatCode="General">
                  <c:v>-35.582000000000001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45-444A-B599-5B97018058CE}"/>
            </c:ext>
          </c:extLst>
        </c:ser>
        <c:ser>
          <c:idx val="35"/>
          <c:order val="37"/>
          <c:tx>
            <c:strRef>
              <c:f>'Gibbs-EVAL'!$A$138</c:f>
              <c:strCache>
                <c:ptCount val="1"/>
                <c:pt idx="0">
                  <c:v>(DGa2Sej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-143.53575757575757</c:v>
                </c:pt>
                <c:pt idx="1">
                  <c:v>-139.02181818181819</c:v>
                </c:pt>
                <c:pt idx="2" formatCode="General">
                  <c:v>-134.65818181818182</c:v>
                </c:pt>
                <c:pt idx="3" formatCode="General">
                  <c:v>-130.42284848484846</c:v>
                </c:pt>
                <c:pt idx="4" formatCode="General">
                  <c:v>-126.27735249621784</c:v>
                </c:pt>
                <c:pt idx="5" formatCode="General">
                  <c:v>-122.619258698941</c:v>
                </c:pt>
                <c:pt idx="6" formatCode="General">
                  <c:v>-118.96116490166413</c:v>
                </c:pt>
                <c:pt idx="7" formatCode="General">
                  <c:v>-115.30307110438729</c:v>
                </c:pt>
                <c:pt idx="8" formatCode="General">
                  <c:v>-111.64497730711044</c:v>
                </c:pt>
                <c:pt idx="9" formatCode="General">
                  <c:v>-107.98688350983359</c:v>
                </c:pt>
                <c:pt idx="10" formatCode="General">
                  <c:v>-104.32878971255674</c:v>
                </c:pt>
                <c:pt idx="11" formatCode="General">
                  <c:v>-100.97145454545455</c:v>
                </c:pt>
                <c:pt idx="12" formatCode="General">
                  <c:v>-97.953272727272733</c:v>
                </c:pt>
                <c:pt idx="13" formatCode="General">
                  <c:v>-95.1338787878788</c:v>
                </c:pt>
                <c:pt idx="14" formatCode="General">
                  <c:v>-92.402951807228931</c:v>
                </c:pt>
                <c:pt idx="15" formatCode="General">
                  <c:v>-89.890903614457827</c:v>
                </c:pt>
                <c:pt idx="16" formatCode="General">
                  <c:v>-87.485454545454544</c:v>
                </c:pt>
                <c:pt idx="17" formatCode="General">
                  <c:v>-85.182424242424233</c:v>
                </c:pt>
                <c:pt idx="18" formatCode="General">
                  <c:v>-83.046181818181807</c:v>
                </c:pt>
                <c:pt idx="19" formatCode="General">
                  <c:v>-80.967636363636359</c:v>
                </c:pt>
                <c:pt idx="20" formatCode="General">
                  <c:v>-79.003999999999991</c:v>
                </c:pt>
                <c:pt idx="21" formatCode="General">
                  <c:v>-77.111636363636364</c:v>
                </c:pt>
                <c:pt idx="22" formatCode="General">
                  <c:v>-75.275272727272721</c:v>
                </c:pt>
                <c:pt idx="23" formatCode="General">
                  <c:v>-73.564096385542157</c:v>
                </c:pt>
                <c:pt idx="24" formatCode="General">
                  <c:v>-71.893030303030301</c:v>
                </c:pt>
                <c:pt idx="25" formatCode="General">
                  <c:v>-70.305151515151508</c:v>
                </c:pt>
                <c:pt idx="26" formatCode="General">
                  <c:v>-68.800909090909087</c:v>
                </c:pt>
                <c:pt idx="27" formatCode="General">
                  <c:v>-67.352424242424249</c:v>
                </c:pt>
                <c:pt idx="28" formatCode="General">
                  <c:v>-66.036363636363646</c:v>
                </c:pt>
                <c:pt idx="29" formatCode="General">
                  <c:v>-64.758181818181825</c:v>
                </c:pt>
                <c:pt idx="30" formatCode="General">
                  <c:v>-63.552121212121214</c:v>
                </c:pt>
                <c:pt idx="31" formatCode="General">
                  <c:v>-62.417349397590364</c:v>
                </c:pt>
                <c:pt idx="32" formatCode="General">
                  <c:v>-61.320963855421688</c:v>
                </c:pt>
                <c:pt idx="33" formatCode="General">
                  <c:v>-60.284000000000006</c:v>
                </c:pt>
                <c:pt idx="34" formatCode="General">
                  <c:v>-59.272363636363643</c:v>
                </c:pt>
                <c:pt idx="35" formatCode="General">
                  <c:v>-58.308727272727282</c:v>
                </c:pt>
                <c:pt idx="36" formatCode="General">
                  <c:v>-57.370181818181827</c:v>
                </c:pt>
                <c:pt idx="37" formatCode="General">
                  <c:v>-56.447685325264757</c:v>
                </c:pt>
                <c:pt idx="38" formatCode="General">
                  <c:v>-55.639818456883518</c:v>
                </c:pt>
                <c:pt idx="39" formatCode="General">
                  <c:v>-54.831951588502278</c:v>
                </c:pt>
                <c:pt idx="40" formatCode="General">
                  <c:v>-54.024084720121031</c:v>
                </c:pt>
                <c:pt idx="41" formatCode="General">
                  <c:v>-53.216217851739792</c:v>
                </c:pt>
                <c:pt idx="42" formatCode="General">
                  <c:v>-52.408350983358552</c:v>
                </c:pt>
                <c:pt idx="43" formatCode="General">
                  <c:v>-51.600484114977313</c:v>
                </c:pt>
                <c:pt idx="44" formatCode="General">
                  <c:v>-50.870030257186087</c:v>
                </c:pt>
                <c:pt idx="45" formatCode="General">
                  <c:v>-50.242193645990923</c:v>
                </c:pt>
                <c:pt idx="46" formatCode="General">
                  <c:v>-49.614357034795766</c:v>
                </c:pt>
                <c:pt idx="47" formatCode="General">
                  <c:v>-48.986520423600602</c:v>
                </c:pt>
                <c:pt idx="48" formatCode="General">
                  <c:v>-48.358683812405445</c:v>
                </c:pt>
                <c:pt idx="49" formatCode="General">
                  <c:v>-47.730847201210281</c:v>
                </c:pt>
                <c:pt idx="50" formatCode="General">
                  <c:v>-47.103010590015124</c:v>
                </c:pt>
                <c:pt idx="51" formatCode="General">
                  <c:v>-46.776054545454542</c:v>
                </c:pt>
                <c:pt idx="52" formatCode="General">
                  <c:v>-46.515145454545447</c:v>
                </c:pt>
                <c:pt idx="53" formatCode="General">
                  <c:v>-46.254236363636359</c:v>
                </c:pt>
                <c:pt idx="54" formatCode="General">
                  <c:v>-45.993327272727271</c:v>
                </c:pt>
                <c:pt idx="55" formatCode="General">
                  <c:v>-45.732418181818183</c:v>
                </c:pt>
                <c:pt idx="56" formatCode="General">
                  <c:v>-45.471509090909088</c:v>
                </c:pt>
                <c:pt idx="57" formatCode="General">
                  <c:v>-45.268265060240964</c:v>
                </c:pt>
                <c:pt idx="58" formatCode="General">
                  <c:v>-45.26946987951807</c:v>
                </c:pt>
                <c:pt idx="59" formatCode="General">
                  <c:v>-45.306654545454542</c:v>
                </c:pt>
                <c:pt idx="60" formatCode="General">
                  <c:v>-45.372109090909092</c:v>
                </c:pt>
                <c:pt idx="61" formatCode="General">
                  <c:v>-45.473963636363635</c:v>
                </c:pt>
                <c:pt idx="62" formatCode="General">
                  <c:v>-45.585721212121214</c:v>
                </c:pt>
                <c:pt idx="63" formatCode="General">
                  <c:v>-45.715418181818187</c:v>
                </c:pt>
                <c:pt idx="64" formatCode="General">
                  <c:v>-45.851030303030306</c:v>
                </c:pt>
                <c:pt idx="65" formatCode="General">
                  <c:v>-45.99042424242424</c:v>
                </c:pt>
                <c:pt idx="66" formatCode="General">
                  <c:v>-46.141734939759033</c:v>
                </c:pt>
                <c:pt idx="67" formatCode="General">
                  <c:v>-46.295636363636362</c:v>
                </c:pt>
                <c:pt idx="68" formatCode="General">
                  <c:v>-46.454424242424246</c:v>
                </c:pt>
                <c:pt idx="69" formatCode="General">
                  <c:v>-46.610848484848489</c:v>
                </c:pt>
                <c:pt idx="70" formatCode="General">
                  <c:v>-46.765999999999998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3F45-444A-B599-5B97018058CE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  <c:pt idx="0">
                  <c:v>(DGaSe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-82.800666666666672</c:v>
                </c:pt>
                <c:pt idx="1">
                  <c:v>-80.347939393939399</c:v>
                </c:pt>
                <c:pt idx="2" formatCode="General">
                  <c:v>-78.026727272727271</c:v>
                </c:pt>
                <c:pt idx="3" formatCode="General">
                  <c:v>-75.833818181818188</c:v>
                </c:pt>
                <c:pt idx="4" formatCode="General">
                  <c:v>-73.717186081694393</c:v>
                </c:pt>
                <c:pt idx="5" formatCode="General">
                  <c:v>-71.932012102874438</c:v>
                </c:pt>
                <c:pt idx="6" formatCode="General">
                  <c:v>-70.146838124054469</c:v>
                </c:pt>
                <c:pt idx="7" formatCode="General">
                  <c:v>-68.361664145234499</c:v>
                </c:pt>
                <c:pt idx="8" formatCode="General">
                  <c:v>-66.57649016641453</c:v>
                </c:pt>
                <c:pt idx="9" formatCode="General">
                  <c:v>-64.79131618759456</c:v>
                </c:pt>
                <c:pt idx="10" formatCode="General">
                  <c:v>-63.006142208774591</c:v>
                </c:pt>
                <c:pt idx="11" formatCode="General">
                  <c:v>-61.382060606060605</c:v>
                </c:pt>
                <c:pt idx="12" formatCode="General">
                  <c:v>-59.93963636363636</c:v>
                </c:pt>
                <c:pt idx="13" formatCode="General">
                  <c:v>-58.591636363636361</c:v>
                </c:pt>
                <c:pt idx="14" formatCode="General">
                  <c:v>-57.285180722891567</c:v>
                </c:pt>
                <c:pt idx="15" formatCode="General">
                  <c:v>-56.080361445783133</c:v>
                </c:pt>
                <c:pt idx="16" formatCode="General">
                  <c:v>-54.924363636363637</c:v>
                </c:pt>
                <c:pt idx="17" formatCode="General">
                  <c:v>-53.81527272727272</c:v>
                </c:pt>
                <c:pt idx="18" formatCode="General">
                  <c:v>-52.789575757575754</c:v>
                </c:pt>
                <c:pt idx="19" formatCode="General">
                  <c:v>-51.793999999999997</c:v>
                </c:pt>
                <c:pt idx="20" formatCode="General">
                  <c:v>-50.860666666666667</c:v>
                </c:pt>
                <c:pt idx="21" formatCode="General">
                  <c:v>-49.968060606060604</c:v>
                </c:pt>
                <c:pt idx="22" formatCode="General">
                  <c:v>-49.107454545454544</c:v>
                </c:pt>
                <c:pt idx="23" formatCode="General">
                  <c:v>-48.311867469879516</c:v>
                </c:pt>
                <c:pt idx="24" formatCode="General">
                  <c:v>-47.538181818181819</c:v>
                </c:pt>
                <c:pt idx="25" formatCode="General">
                  <c:v>-46.810909090909085</c:v>
                </c:pt>
                <c:pt idx="26" formatCode="General">
                  <c:v>-46.127272727272725</c:v>
                </c:pt>
                <c:pt idx="27" formatCode="General">
                  <c:v>-45.472727272727269</c:v>
                </c:pt>
                <c:pt idx="28" formatCode="General">
                  <c:v>-44.88727272727273</c:v>
                </c:pt>
                <c:pt idx="29" formatCode="General">
                  <c:v>-44.32</c:v>
                </c:pt>
                <c:pt idx="30" formatCode="General">
                  <c:v>-43.786666666666669</c:v>
                </c:pt>
                <c:pt idx="31" formatCode="General">
                  <c:v>-43.290662650602414</c:v>
                </c:pt>
                <c:pt idx="32" formatCode="General">
                  <c:v>-42.814759036144579</c:v>
                </c:pt>
                <c:pt idx="33" formatCode="General">
                  <c:v>-42.366</c:v>
                </c:pt>
                <c:pt idx="34" formatCode="General">
                  <c:v>-41.929878787878792</c:v>
                </c:pt>
                <c:pt idx="35" formatCode="General">
                  <c:v>-41.517757575757578</c:v>
                </c:pt>
                <c:pt idx="36" formatCode="General">
                  <c:v>-41.118181818181817</c:v>
                </c:pt>
                <c:pt idx="37" formatCode="General">
                  <c:v>-40.726565809379728</c:v>
                </c:pt>
                <c:pt idx="38" formatCode="General">
                  <c:v>-40.390711043872919</c:v>
                </c:pt>
                <c:pt idx="39" formatCode="General">
                  <c:v>-40.05485627836611</c:v>
                </c:pt>
                <c:pt idx="40" formatCode="General">
                  <c:v>-39.719001512859307</c:v>
                </c:pt>
                <c:pt idx="41" formatCode="General">
                  <c:v>-39.383146747352498</c:v>
                </c:pt>
                <c:pt idx="42" formatCode="General">
                  <c:v>-39.047291981845689</c:v>
                </c:pt>
                <c:pt idx="43" formatCode="General">
                  <c:v>-38.711437216338879</c:v>
                </c:pt>
                <c:pt idx="44" formatCode="General">
                  <c:v>-38.412662632375188</c:v>
                </c:pt>
                <c:pt idx="45" formatCode="General">
                  <c:v>-38.163040847201209</c:v>
                </c:pt>
                <c:pt idx="46" formatCode="General">
                  <c:v>-37.913419062027231</c:v>
                </c:pt>
                <c:pt idx="47" formatCode="General">
                  <c:v>-37.663797276853252</c:v>
                </c:pt>
                <c:pt idx="48" formatCode="General">
                  <c:v>-37.414175491679273</c:v>
                </c:pt>
                <c:pt idx="49" formatCode="General">
                  <c:v>-37.164553706505295</c:v>
                </c:pt>
                <c:pt idx="50" formatCode="General">
                  <c:v>-36.914931921331309</c:v>
                </c:pt>
                <c:pt idx="51" formatCode="General">
                  <c:v>-36.812724242424238</c:v>
                </c:pt>
                <c:pt idx="52" formatCode="General">
                  <c:v>-36.742875757575753</c:v>
                </c:pt>
                <c:pt idx="53" formatCode="General">
                  <c:v>-36.673027272727268</c:v>
                </c:pt>
                <c:pt idx="54" formatCode="General">
                  <c:v>-36.603178787878782</c:v>
                </c:pt>
                <c:pt idx="55" formatCode="General">
                  <c:v>-36.533330303030304</c:v>
                </c:pt>
                <c:pt idx="56" formatCode="General">
                  <c:v>-36.463481818181819</c:v>
                </c:pt>
                <c:pt idx="57" formatCode="General">
                  <c:v>-36.422385542168676</c:v>
                </c:pt>
                <c:pt idx="58" formatCode="General">
                  <c:v>-36.48322891566265</c:v>
                </c:pt>
                <c:pt idx="59" formatCode="General">
                  <c:v>-36.562266666666666</c:v>
                </c:pt>
                <c:pt idx="60" formatCode="General">
                  <c:v>-36.6556</c:v>
                </c:pt>
                <c:pt idx="61" formatCode="General">
                  <c:v>-36.767133333333334</c:v>
                </c:pt>
                <c:pt idx="62" formatCode="General">
                  <c:v>-36.883618181818179</c:v>
                </c:pt>
                <c:pt idx="63" formatCode="General">
                  <c:v>-37.009072727272731</c:v>
                </c:pt>
                <c:pt idx="64" formatCode="General">
                  <c:v>-37.135636363636365</c:v>
                </c:pt>
                <c:pt idx="65" formatCode="General">
                  <c:v>-37.262909090909091</c:v>
                </c:pt>
                <c:pt idx="66" formatCode="General">
                  <c:v>-37.398698795180721</c:v>
                </c:pt>
                <c:pt idx="67" formatCode="General">
                  <c:v>-37.536000000000001</c:v>
                </c:pt>
                <c:pt idx="68" formatCode="General">
                  <c:v>-37.676000000000002</c:v>
                </c:pt>
                <c:pt idx="69" formatCode="General">
                  <c:v>-37.812848484848487</c:v>
                </c:pt>
                <c:pt idx="70" formatCode="General">
                  <c:v>-37.948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3F45-444A-B599-5B97018058CE}"/>
            </c:ext>
          </c:extLst>
        </c:ser>
        <c:ser>
          <c:idx val="37"/>
          <c:order val="39"/>
          <c:tx>
            <c:strRef>
              <c:f>'Gibbs-EVAL'!$A$140</c:f>
              <c:strCache>
                <c:ptCount val="1"/>
                <c:pt idx="0">
                  <c:v>(DGe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'Gibbs-EVAL'!$B$140:$BT$140</c:f>
              <c:numCache>
                <c:formatCode>0</c:formatCode>
                <c:ptCount val="71"/>
                <c:pt idx="0">
                  <c:v>-15.805636363636363</c:v>
                </c:pt>
                <c:pt idx="1">
                  <c:v>-15.261999999999999</c:v>
                </c:pt>
                <c:pt idx="2" formatCode="General">
                  <c:v>-14.661999999999999</c:v>
                </c:pt>
                <c:pt idx="3" formatCode="General">
                  <c:v>-14.004484848484848</c:v>
                </c:pt>
                <c:pt idx="4" formatCode="General">
                  <c:v>-13.326287443267777</c:v>
                </c:pt>
                <c:pt idx="5" formatCode="General">
                  <c:v>-12.654880484114978</c:v>
                </c:pt>
                <c:pt idx="6" formatCode="General">
                  <c:v>-11.983473524962179</c:v>
                </c:pt>
                <c:pt idx="7" formatCode="General">
                  <c:v>-11.31206656580938</c:v>
                </c:pt>
                <c:pt idx="8" formatCode="General">
                  <c:v>-10.64065960665658</c:v>
                </c:pt>
                <c:pt idx="9" formatCode="General">
                  <c:v>-9.969252647503783</c:v>
                </c:pt>
                <c:pt idx="10" formatCode="General">
                  <c:v>-9.2978456883509839</c:v>
                </c:pt>
                <c:pt idx="11" formatCode="General">
                  <c:v>-8.67908484848485</c:v>
                </c:pt>
                <c:pt idx="12" formatCode="General">
                  <c:v>-8.1196909090909095</c:v>
                </c:pt>
                <c:pt idx="13" formatCode="General">
                  <c:v>-7.619436363636364</c:v>
                </c:pt>
                <c:pt idx="14" formatCode="General">
                  <c:v>-7.1476144578313257</c:v>
                </c:pt>
                <c:pt idx="15" formatCode="General">
                  <c:v>-6.7512289156626508</c:v>
                </c:pt>
                <c:pt idx="16" formatCode="General">
                  <c:v>-6.4021454545454546</c:v>
                </c:pt>
                <c:pt idx="17" formatCode="General">
                  <c:v>-6.09850909090909</c:v>
                </c:pt>
                <c:pt idx="18" formatCode="General">
                  <c:v>-5.8730545454545453</c:v>
                </c:pt>
                <c:pt idx="19" formatCode="General">
                  <c:v>-5.6767454545454541</c:v>
                </c:pt>
                <c:pt idx="20" formatCode="General">
                  <c:v>-5.5421999999999993</c:v>
                </c:pt>
                <c:pt idx="21" formatCode="General">
                  <c:v>-5.4426121212121208</c:v>
                </c:pt>
                <c:pt idx="22" formatCode="General">
                  <c:v>-5.3704909090909085</c:v>
                </c:pt>
                <c:pt idx="23" formatCode="General">
                  <c:v>-5.3393313253012051</c:v>
                </c:pt>
                <c:pt idx="24" formatCode="General">
                  <c:v>-5.319</c:v>
                </c:pt>
                <c:pt idx="25" formatCode="General">
                  <c:v>-5.319</c:v>
                </c:pt>
                <c:pt idx="26" formatCode="General">
                  <c:v>-5.3280909090909088</c:v>
                </c:pt>
                <c:pt idx="27" formatCode="General">
                  <c:v>-5.3432424242424243</c:v>
                </c:pt>
                <c:pt idx="28" formatCode="General">
                  <c:v>-5.3641515151515149</c:v>
                </c:pt>
                <c:pt idx="29" formatCode="General">
                  <c:v>-5.3860909090909086</c:v>
                </c:pt>
                <c:pt idx="30" formatCode="General">
                  <c:v>-5.4097272727272729</c:v>
                </c:pt>
                <c:pt idx="31" formatCode="General">
                  <c:v>-5.4340542168674695</c:v>
                </c:pt>
                <c:pt idx="32" formatCode="General">
                  <c:v>-5.4587530120481924</c:v>
                </c:pt>
                <c:pt idx="33" formatCode="General">
                  <c:v>-5.4829999999999997</c:v>
                </c:pt>
                <c:pt idx="34" formatCode="General">
                  <c:v>-5.5074484848484841</c:v>
                </c:pt>
                <c:pt idx="35" formatCode="General">
                  <c:v>-5.5322969696969695</c:v>
                </c:pt>
                <c:pt idx="36" formatCode="General">
                  <c:v>-5.5567272727272723</c:v>
                </c:pt>
                <c:pt idx="37" formatCode="General">
                  <c:v>-5.5809863842662635</c:v>
                </c:pt>
                <c:pt idx="38" formatCode="General">
                  <c:v>-5.6056459909228442</c:v>
                </c:pt>
                <c:pt idx="39" formatCode="General">
                  <c:v>-5.6303055975794249</c:v>
                </c:pt>
                <c:pt idx="40" formatCode="General">
                  <c:v>-5.6549652042360066</c:v>
                </c:pt>
                <c:pt idx="41" formatCode="General">
                  <c:v>-5.6796248108925873</c:v>
                </c:pt>
                <c:pt idx="42" formatCode="General">
                  <c:v>-5.704284417549168</c:v>
                </c:pt>
                <c:pt idx="43" formatCode="General">
                  <c:v>-5.7289440242057488</c:v>
                </c:pt>
                <c:pt idx="44" formatCode="General">
                  <c:v>-5.7543192133131624</c:v>
                </c:pt>
                <c:pt idx="45" formatCode="General">
                  <c:v>-5.7806429652042359</c:v>
                </c:pt>
                <c:pt idx="46" formatCode="General">
                  <c:v>-5.8069667170953103</c:v>
                </c:pt>
                <c:pt idx="47" formatCode="General">
                  <c:v>-5.8332904689863847</c:v>
                </c:pt>
                <c:pt idx="48" formatCode="General">
                  <c:v>-5.8596142208774582</c:v>
                </c:pt>
                <c:pt idx="49" formatCode="General">
                  <c:v>-5.8859379727685326</c:v>
                </c:pt>
                <c:pt idx="50" formatCode="General">
                  <c:v>-5.912261724659607</c:v>
                </c:pt>
                <c:pt idx="51" formatCode="General">
                  <c:v>-5.942966666666667</c:v>
                </c:pt>
                <c:pt idx="52" formatCode="General">
                  <c:v>-5.9746333333333332</c:v>
                </c:pt>
                <c:pt idx="53" formatCode="General">
                  <c:v>-6.0063000000000004</c:v>
                </c:pt>
                <c:pt idx="54" formatCode="General">
                  <c:v>-6.0379666666666667</c:v>
                </c:pt>
                <c:pt idx="55" formatCode="General">
                  <c:v>-6.0696333333333339</c:v>
                </c:pt>
                <c:pt idx="56" formatCode="General">
                  <c:v>-6.1013000000000002</c:v>
                </c:pt>
                <c:pt idx="57" formatCode="General">
                  <c:v>-6.132493975903615</c:v>
                </c:pt>
                <c:pt idx="58" formatCode="General">
                  <c:v>-6.1620120481927714</c:v>
                </c:pt>
                <c:pt idx="59" formatCode="General">
                  <c:v>-6.190612121212121</c:v>
                </c:pt>
                <c:pt idx="60" formatCode="General">
                  <c:v>-6.2184909090909093</c:v>
                </c:pt>
                <c:pt idx="61" formatCode="General">
                  <c:v>-6.2441636363636368</c:v>
                </c:pt>
                <c:pt idx="62" formatCode="General">
                  <c:v>-6.2693030303030302</c:v>
                </c:pt>
                <c:pt idx="63" formatCode="General">
                  <c:v>-6.2935454545454546</c:v>
                </c:pt>
                <c:pt idx="64" formatCode="General">
                  <c:v>-6.3174181818181818</c:v>
                </c:pt>
                <c:pt idx="65" formatCode="General">
                  <c:v>-6.3410545454545453</c:v>
                </c:pt>
                <c:pt idx="66" formatCode="General">
                  <c:v>-6.363397590361445</c:v>
                </c:pt>
                <c:pt idx="67" formatCode="General">
                  <c:v>-6.385727272727272</c:v>
                </c:pt>
                <c:pt idx="68" formatCode="General">
                  <c:v>-6.4081515151515154</c:v>
                </c:pt>
                <c:pt idx="69" formatCode="General">
                  <c:v>-6.4301818181818184</c:v>
                </c:pt>
                <c:pt idx="70" formatCode="General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3F45-444A-B599-5B97018058CE}"/>
            </c:ext>
          </c:extLst>
        </c:ser>
        <c:ser>
          <c:idx val="38"/>
          <c:order val="40"/>
          <c:tx>
            <c:strRef>
              <c:f>'Gibbs-EVAL'!$A$141</c:f>
              <c:strCache>
                <c:ptCount val="1"/>
                <c:pt idx="0">
                  <c:v>(DGa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'Gibbs-EVAL'!$B$141:$BT$141</c:f>
              <c:numCache>
                <c:formatCode>0</c:formatCode>
                <c:ptCount val="71"/>
                <c:pt idx="0">
                  <c:v>-60.735090909090907</c:v>
                </c:pt>
                <c:pt idx="1">
                  <c:v>-58.673878787878785</c:v>
                </c:pt>
                <c:pt idx="2" formatCode="General">
                  <c:v>-56.631454545454545</c:v>
                </c:pt>
                <c:pt idx="3" formatCode="General">
                  <c:v>-54.589030303030299</c:v>
                </c:pt>
                <c:pt idx="4" formatCode="General">
                  <c:v>-52.560166414523451</c:v>
                </c:pt>
                <c:pt idx="5" formatCode="General">
                  <c:v>-50.687246596066565</c:v>
                </c:pt>
                <c:pt idx="6" formatCode="General">
                  <c:v>-48.814326777609679</c:v>
                </c:pt>
                <c:pt idx="7" formatCode="General">
                  <c:v>-46.9414069591528</c:v>
                </c:pt>
                <c:pt idx="8" formatCode="General">
                  <c:v>-45.068487140695915</c:v>
                </c:pt>
                <c:pt idx="9" formatCode="General">
                  <c:v>-43.195567322239029</c:v>
                </c:pt>
                <c:pt idx="10" formatCode="General">
                  <c:v>-41.32264750378215</c:v>
                </c:pt>
                <c:pt idx="11" formatCode="General">
                  <c:v>-39.589393939393936</c:v>
                </c:pt>
                <c:pt idx="12" formatCode="General">
                  <c:v>-38.013636363636365</c:v>
                </c:pt>
                <c:pt idx="13" formatCode="General">
                  <c:v>-36.542242424242424</c:v>
                </c:pt>
                <c:pt idx="14" formatCode="General">
                  <c:v>-35.117771084337356</c:v>
                </c:pt>
                <c:pt idx="15" formatCode="General">
                  <c:v>-33.810542168674701</c:v>
                </c:pt>
                <c:pt idx="16" formatCode="General">
                  <c:v>-32.561090909090908</c:v>
                </c:pt>
                <c:pt idx="17" formatCode="General">
                  <c:v>-31.367151515151512</c:v>
                </c:pt>
                <c:pt idx="18" formatCode="General">
                  <c:v>-30.256606060606057</c:v>
                </c:pt>
                <c:pt idx="19" formatCode="General">
                  <c:v>-29.173636363636362</c:v>
                </c:pt>
                <c:pt idx="20" formatCode="General">
                  <c:v>-28.143333333333331</c:v>
                </c:pt>
                <c:pt idx="21" formatCode="General">
                  <c:v>-27.143575757575757</c:v>
                </c:pt>
                <c:pt idx="22" formatCode="General">
                  <c:v>-26.167818181818177</c:v>
                </c:pt>
                <c:pt idx="23" formatCode="General">
                  <c:v>-25.252228915662648</c:v>
                </c:pt>
                <c:pt idx="24" formatCode="General">
                  <c:v>-24.354848484848485</c:v>
                </c:pt>
                <c:pt idx="25" formatCode="General">
                  <c:v>-23.494242424242422</c:v>
                </c:pt>
                <c:pt idx="26" formatCode="General">
                  <c:v>-22.673636363636362</c:v>
                </c:pt>
                <c:pt idx="27" formatCode="General">
                  <c:v>-21.879696969696969</c:v>
                </c:pt>
                <c:pt idx="28" formatCode="General">
                  <c:v>-21.149090909090908</c:v>
                </c:pt>
                <c:pt idx="29" formatCode="General">
                  <c:v>-20.438181818181818</c:v>
                </c:pt>
                <c:pt idx="30" formatCode="General">
                  <c:v>-19.765454545454546</c:v>
                </c:pt>
                <c:pt idx="31" formatCode="General">
                  <c:v>-19.126686746987954</c:v>
                </c:pt>
                <c:pt idx="32" formatCode="General">
                  <c:v>-18.506204819277109</c:v>
                </c:pt>
                <c:pt idx="33" formatCode="General">
                  <c:v>-17.918000000000003</c:v>
                </c:pt>
                <c:pt idx="34" formatCode="General">
                  <c:v>-17.342484848484851</c:v>
                </c:pt>
                <c:pt idx="35" formatCode="General">
                  <c:v>-16.7909696969697</c:v>
                </c:pt>
                <c:pt idx="36" formatCode="General">
                  <c:v>-16.252000000000002</c:v>
                </c:pt>
                <c:pt idx="37" formatCode="General">
                  <c:v>-15.721119515885023</c:v>
                </c:pt>
                <c:pt idx="38" formatCode="General">
                  <c:v>-15.249107413010591</c:v>
                </c:pt>
                <c:pt idx="39" formatCode="General">
                  <c:v>-14.77709531013616</c:v>
                </c:pt>
                <c:pt idx="40" formatCode="General">
                  <c:v>-14.305083207261726</c:v>
                </c:pt>
                <c:pt idx="41" formatCode="General">
                  <c:v>-13.833071104387294</c:v>
                </c:pt>
                <c:pt idx="42" formatCode="General">
                  <c:v>-13.36105900151286</c:v>
                </c:pt>
                <c:pt idx="43" formatCode="General">
                  <c:v>-12.889046898638428</c:v>
                </c:pt>
                <c:pt idx="44" formatCode="General">
                  <c:v>-12.457367624810892</c:v>
                </c:pt>
                <c:pt idx="45" formatCode="General">
                  <c:v>-12.079152798789712</c:v>
                </c:pt>
                <c:pt idx="46" formatCode="General">
                  <c:v>-11.700937972768532</c:v>
                </c:pt>
                <c:pt idx="47" formatCode="General">
                  <c:v>-11.322723146747352</c:v>
                </c:pt>
                <c:pt idx="48" formatCode="General">
                  <c:v>-10.944508320726172</c:v>
                </c:pt>
                <c:pt idx="49" formatCode="General">
                  <c:v>-10.56629349470499</c:v>
                </c:pt>
                <c:pt idx="50" formatCode="General">
                  <c:v>-10.18807866868381</c:v>
                </c:pt>
                <c:pt idx="51" formatCode="General">
                  <c:v>-9.9633303030303022</c:v>
                </c:pt>
                <c:pt idx="52" formatCode="General">
                  <c:v>-9.7722696969696958</c:v>
                </c:pt>
                <c:pt idx="53" formatCode="General">
                  <c:v>-9.5812090909090895</c:v>
                </c:pt>
                <c:pt idx="54" formatCode="General">
                  <c:v>-9.3901484848484831</c:v>
                </c:pt>
                <c:pt idx="55" formatCode="General">
                  <c:v>-9.1990878787878785</c:v>
                </c:pt>
                <c:pt idx="56" formatCode="General">
                  <c:v>-9.0080272727272721</c:v>
                </c:pt>
                <c:pt idx="57" formatCode="General">
                  <c:v>-8.8458795180722891</c:v>
                </c:pt>
                <c:pt idx="58" formatCode="General">
                  <c:v>-8.7862409638554215</c:v>
                </c:pt>
                <c:pt idx="59" formatCode="General">
                  <c:v>-8.7443878787878795</c:v>
                </c:pt>
                <c:pt idx="60" formatCode="General">
                  <c:v>-8.7165090909090921</c:v>
                </c:pt>
                <c:pt idx="61" formatCode="General">
                  <c:v>-8.7068303030303031</c:v>
                </c:pt>
                <c:pt idx="62" formatCode="General">
                  <c:v>-8.7021030303030305</c:v>
                </c:pt>
                <c:pt idx="63" formatCode="General">
                  <c:v>-8.7063454545454544</c:v>
                </c:pt>
                <c:pt idx="64" formatCode="General">
                  <c:v>-8.7153939393939392</c:v>
                </c:pt>
                <c:pt idx="65" formatCode="General">
                  <c:v>-8.727515151515151</c:v>
                </c:pt>
                <c:pt idx="66" formatCode="General">
                  <c:v>-8.7430361445783138</c:v>
                </c:pt>
                <c:pt idx="67" formatCode="General">
                  <c:v>-8.7596363636363641</c:v>
                </c:pt>
                <c:pt idx="68" formatCode="General">
                  <c:v>-8.7784242424242418</c:v>
                </c:pt>
                <c:pt idx="69" formatCode="General">
                  <c:v>-8.798</c:v>
                </c:pt>
                <c:pt idx="70" formatCode="General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3F45-444A-B599-5B97018058CE}"/>
            </c:ext>
          </c:extLst>
        </c:ser>
        <c:ser>
          <c:idx val="40"/>
          <c:order val="41"/>
          <c:tx>
            <c:strRef>
              <c:f>'Gibbs-EVAL'!$A$142</c:f>
              <c:strCache>
                <c:ptCount val="1"/>
                <c:pt idx="0">
                  <c:v>(1)Se[A]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'Gibbs-EVAL'!$B$142:$BT$142</c:f>
              <c:numCache>
                <c:formatCode>0</c:formatCode>
                <c:ptCount val="71"/>
                <c:pt idx="0">
                  <c:v>-22.065575757575758</c:v>
                </c:pt>
                <c:pt idx="1">
                  <c:v>-21.674060606060607</c:v>
                </c:pt>
                <c:pt idx="2" formatCode="General">
                  <c:v>-21.395272727272726</c:v>
                </c:pt>
                <c:pt idx="3" formatCode="General">
                  <c:v>-21.244787878787879</c:v>
                </c:pt>
                <c:pt idx="4" formatCode="General">
                  <c:v>-21.157019667170953</c:v>
                </c:pt>
                <c:pt idx="5" formatCode="General">
                  <c:v>-21.244765506807866</c:v>
                </c:pt>
                <c:pt idx="6" formatCode="General">
                  <c:v>-21.332511346444779</c:v>
                </c:pt>
                <c:pt idx="7" formatCode="General">
                  <c:v>-21.420257186081695</c:v>
                </c:pt>
                <c:pt idx="8" formatCode="General">
                  <c:v>-21.508003025718608</c:v>
                </c:pt>
                <c:pt idx="9" formatCode="General">
                  <c:v>-21.595748865355521</c:v>
                </c:pt>
                <c:pt idx="10" formatCode="General">
                  <c:v>-21.683494704992437</c:v>
                </c:pt>
                <c:pt idx="11" formatCode="General">
                  <c:v>-21.792666666666666</c:v>
                </c:pt>
                <c:pt idx="12" formatCode="General">
                  <c:v>-21.925999999999998</c:v>
                </c:pt>
                <c:pt idx="13" formatCode="General">
                  <c:v>-22.049393939393937</c:v>
                </c:pt>
                <c:pt idx="14" formatCode="General">
                  <c:v>-22.167409638554215</c:v>
                </c:pt>
                <c:pt idx="15" formatCode="General">
                  <c:v>-22.269819277108432</c:v>
                </c:pt>
                <c:pt idx="16" formatCode="General">
                  <c:v>-22.363272727272729</c:v>
                </c:pt>
                <c:pt idx="17" formatCode="General">
                  <c:v>-22.448121212121212</c:v>
                </c:pt>
                <c:pt idx="18" formatCode="General">
                  <c:v>-22.532969696969698</c:v>
                </c:pt>
                <c:pt idx="19" formatCode="General">
                  <c:v>-22.620363636363638</c:v>
                </c:pt>
                <c:pt idx="20" formatCode="General">
                  <c:v>-22.717333333333336</c:v>
                </c:pt>
                <c:pt idx="21" formatCode="General">
                  <c:v>-22.82448484848485</c:v>
                </c:pt>
                <c:pt idx="22" formatCode="General">
                  <c:v>-22.939636363636364</c:v>
                </c:pt>
                <c:pt idx="23" formatCode="General">
                  <c:v>-23.059638554216868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3F45-444A-B599-5B97018058CE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-22.065575757575758</c:v>
                </c:pt>
                <c:pt idx="1">
                  <c:v>-21.674060606060607</c:v>
                </c:pt>
                <c:pt idx="2" formatCode="General">
                  <c:v>-21.395272727272726</c:v>
                </c:pt>
                <c:pt idx="3" formatCode="General">
                  <c:v>-21.244787878787879</c:v>
                </c:pt>
                <c:pt idx="4" formatCode="General">
                  <c:v>-21.157019667170953</c:v>
                </c:pt>
                <c:pt idx="5" formatCode="General">
                  <c:v>-21.244765506807866</c:v>
                </c:pt>
                <c:pt idx="6" formatCode="General">
                  <c:v>-21.332511346444779</c:v>
                </c:pt>
                <c:pt idx="7" formatCode="General">
                  <c:v>-21.420257186081695</c:v>
                </c:pt>
                <c:pt idx="8" formatCode="General">
                  <c:v>-21.508003025718608</c:v>
                </c:pt>
                <c:pt idx="9" formatCode="General">
                  <c:v>-21.595748865355521</c:v>
                </c:pt>
                <c:pt idx="10" formatCode="General">
                  <c:v>-21.683494704992437</c:v>
                </c:pt>
                <c:pt idx="11" formatCode="General">
                  <c:v>-21.792666666666666</c:v>
                </c:pt>
                <c:pt idx="12" formatCode="General">
                  <c:v>-21.925999999999998</c:v>
                </c:pt>
                <c:pt idx="13" formatCode="General">
                  <c:v>-22.049393939393937</c:v>
                </c:pt>
                <c:pt idx="14" formatCode="General">
                  <c:v>-22.167409638554215</c:v>
                </c:pt>
                <c:pt idx="15" formatCode="General">
                  <c:v>-22.269819277108432</c:v>
                </c:pt>
                <c:pt idx="16" formatCode="General">
                  <c:v>-22.363272727272729</c:v>
                </c:pt>
                <c:pt idx="17" formatCode="General">
                  <c:v>-22.448121212121212</c:v>
                </c:pt>
                <c:pt idx="18" formatCode="General">
                  <c:v>-22.532969696969698</c:v>
                </c:pt>
                <c:pt idx="19" formatCode="General">
                  <c:v>-22.620363636363638</c:v>
                </c:pt>
                <c:pt idx="20" formatCode="General">
                  <c:v>-22.717333333333336</c:v>
                </c:pt>
                <c:pt idx="21" formatCode="General">
                  <c:v>-22.82448484848485</c:v>
                </c:pt>
                <c:pt idx="22" formatCode="General">
                  <c:v>-22.939636363636364</c:v>
                </c:pt>
                <c:pt idx="23" formatCode="General">
                  <c:v>-23.059638554216868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3F45-444A-B599-5B97018058CE}"/>
            </c:ext>
          </c:extLst>
        </c:ser>
        <c:ser>
          <c:idx val="42"/>
          <c:order val="43"/>
          <c:tx>
            <c:strRef>
              <c:f>'Gibbs-EVAL'!$A$144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'Gibbs-EVAL'!$B$144:$BT$144</c:f>
              <c:numCache>
                <c:formatCode>0</c:formatCode>
                <c:ptCount val="71"/>
                <c:pt idx="0">
                  <c:v>-22.065575757575758</c:v>
                </c:pt>
                <c:pt idx="1">
                  <c:v>-21.674060606060607</c:v>
                </c:pt>
                <c:pt idx="2" formatCode="General">
                  <c:v>-21.395272727272726</c:v>
                </c:pt>
                <c:pt idx="3" formatCode="General">
                  <c:v>-21.244787878787879</c:v>
                </c:pt>
                <c:pt idx="4" formatCode="General">
                  <c:v>-21.157019667170953</c:v>
                </c:pt>
                <c:pt idx="5" formatCode="General">
                  <c:v>-21.244765506807866</c:v>
                </c:pt>
                <c:pt idx="6" formatCode="General">
                  <c:v>-21.332511346444779</c:v>
                </c:pt>
                <c:pt idx="7" formatCode="General">
                  <c:v>-21.420257186081695</c:v>
                </c:pt>
                <c:pt idx="8" formatCode="General">
                  <c:v>-21.508003025718608</c:v>
                </c:pt>
                <c:pt idx="9" formatCode="General">
                  <c:v>-21.595748865355521</c:v>
                </c:pt>
                <c:pt idx="10" formatCode="General">
                  <c:v>-21.683494704992437</c:v>
                </c:pt>
                <c:pt idx="11" formatCode="General">
                  <c:v>-21.792666666666666</c:v>
                </c:pt>
                <c:pt idx="12" formatCode="General">
                  <c:v>-21.925999999999998</c:v>
                </c:pt>
                <c:pt idx="13" formatCode="General">
                  <c:v>-22.049393939393937</c:v>
                </c:pt>
                <c:pt idx="14" formatCode="General">
                  <c:v>-22.167409638554215</c:v>
                </c:pt>
                <c:pt idx="15" formatCode="General">
                  <c:v>-22.269819277108432</c:v>
                </c:pt>
                <c:pt idx="16" formatCode="General">
                  <c:v>-22.363272727272729</c:v>
                </c:pt>
                <c:pt idx="17" formatCode="General">
                  <c:v>-22.448121212121212</c:v>
                </c:pt>
                <c:pt idx="18" formatCode="General">
                  <c:v>-22.532969696969698</c:v>
                </c:pt>
                <c:pt idx="19" formatCode="General">
                  <c:v>-22.620363636363638</c:v>
                </c:pt>
                <c:pt idx="20" formatCode="General">
                  <c:v>-22.717333333333336</c:v>
                </c:pt>
                <c:pt idx="21" formatCode="General">
                  <c:v>-22.82448484848485</c:v>
                </c:pt>
                <c:pt idx="22" formatCode="General">
                  <c:v>-22.939636363636364</c:v>
                </c:pt>
                <c:pt idx="23" formatCode="General">
                  <c:v>-23.059638554216868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3F45-444A-B599-5B97018058CE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  <c:pt idx="0">
                  <c:v>(2)Ga[l]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-60.735090909090907</c:v>
                </c:pt>
                <c:pt idx="1">
                  <c:v>-58.673878787878785</c:v>
                </c:pt>
                <c:pt idx="2" formatCode="General">
                  <c:v>-56.631454545454545</c:v>
                </c:pt>
                <c:pt idx="3" formatCode="General">
                  <c:v>-54.589030303030299</c:v>
                </c:pt>
                <c:pt idx="4" formatCode="General">
                  <c:v>-52.560166414523451</c:v>
                </c:pt>
                <c:pt idx="5" formatCode="General">
                  <c:v>-50.687246596066565</c:v>
                </c:pt>
                <c:pt idx="6" formatCode="General">
                  <c:v>-48.814326777609679</c:v>
                </c:pt>
                <c:pt idx="7" formatCode="General">
                  <c:v>-46.9414069591528</c:v>
                </c:pt>
                <c:pt idx="8" formatCode="General">
                  <c:v>-45.068487140695915</c:v>
                </c:pt>
                <c:pt idx="9" formatCode="General">
                  <c:v>-43.195567322239029</c:v>
                </c:pt>
                <c:pt idx="10" formatCode="General">
                  <c:v>-41.32264750378215</c:v>
                </c:pt>
                <c:pt idx="11" formatCode="General">
                  <c:v>-39.589393939393936</c:v>
                </c:pt>
                <c:pt idx="12" formatCode="General">
                  <c:v>-38.013636363636365</c:v>
                </c:pt>
                <c:pt idx="13" formatCode="General">
                  <c:v>-36.542242424242424</c:v>
                </c:pt>
                <c:pt idx="14" formatCode="General">
                  <c:v>-35.117771084337356</c:v>
                </c:pt>
                <c:pt idx="15" formatCode="General">
                  <c:v>-33.810542168674701</c:v>
                </c:pt>
                <c:pt idx="16" formatCode="General">
                  <c:v>-32.561090909090908</c:v>
                </c:pt>
                <c:pt idx="17" formatCode="General">
                  <c:v>-31.367151515151512</c:v>
                </c:pt>
                <c:pt idx="18" formatCode="General">
                  <c:v>-30.256606060606057</c:v>
                </c:pt>
                <c:pt idx="19" formatCode="General">
                  <c:v>-29.173636363636362</c:v>
                </c:pt>
                <c:pt idx="20" formatCode="General">
                  <c:v>-28.143333333333331</c:v>
                </c:pt>
                <c:pt idx="21" formatCode="General">
                  <c:v>-27.143575757575757</c:v>
                </c:pt>
                <c:pt idx="22" formatCode="General">
                  <c:v>-26.167818181818177</c:v>
                </c:pt>
                <c:pt idx="23" formatCode="General">
                  <c:v>-25.252228915662648</c:v>
                </c:pt>
                <c:pt idx="24" formatCode="General">
                  <c:v>-24.354848484848485</c:v>
                </c:pt>
                <c:pt idx="25" formatCode="General">
                  <c:v>-23.494242424242422</c:v>
                </c:pt>
                <c:pt idx="26" formatCode="General">
                  <c:v>-22.673636363636362</c:v>
                </c:pt>
                <c:pt idx="27" formatCode="General">
                  <c:v>-21.879696969696969</c:v>
                </c:pt>
                <c:pt idx="28" formatCode="General">
                  <c:v>-21.149090909090908</c:v>
                </c:pt>
                <c:pt idx="29" formatCode="General">
                  <c:v>-20.438181818181818</c:v>
                </c:pt>
                <c:pt idx="30" formatCode="General">
                  <c:v>-19.765454545454546</c:v>
                </c:pt>
                <c:pt idx="31" formatCode="General">
                  <c:v>-19.126686746987954</c:v>
                </c:pt>
                <c:pt idx="32" formatCode="General">
                  <c:v>-18.506204819277109</c:v>
                </c:pt>
                <c:pt idx="33" formatCode="General">
                  <c:v>-17.918000000000003</c:v>
                </c:pt>
                <c:pt idx="34" formatCode="General">
                  <c:v>-17.342484848484851</c:v>
                </c:pt>
                <c:pt idx="35" formatCode="General">
                  <c:v>-16.7909696969697</c:v>
                </c:pt>
                <c:pt idx="36" formatCode="General">
                  <c:v>-16.252000000000002</c:v>
                </c:pt>
                <c:pt idx="37" formatCode="General">
                  <c:v>-15.721119515885023</c:v>
                </c:pt>
                <c:pt idx="38" formatCode="General">
                  <c:v>-15.249107413010591</c:v>
                </c:pt>
                <c:pt idx="39" formatCode="General">
                  <c:v>-14.77709531013616</c:v>
                </c:pt>
                <c:pt idx="40" formatCode="General">
                  <c:v>-14.305083207261726</c:v>
                </c:pt>
                <c:pt idx="41" formatCode="General">
                  <c:v>-13.833071104387294</c:v>
                </c:pt>
                <c:pt idx="42" formatCode="General">
                  <c:v>-13.36105900151286</c:v>
                </c:pt>
                <c:pt idx="43" formatCode="General">
                  <c:v>-12.889046898638428</c:v>
                </c:pt>
                <c:pt idx="44" formatCode="General">
                  <c:v>-12.457367624810892</c:v>
                </c:pt>
                <c:pt idx="45" formatCode="General">
                  <c:v>-12.079152798789712</c:v>
                </c:pt>
                <c:pt idx="46" formatCode="General">
                  <c:v>-11.700937972768532</c:v>
                </c:pt>
                <c:pt idx="47" formatCode="General">
                  <c:v>-11.322723146747352</c:v>
                </c:pt>
                <c:pt idx="48" formatCode="General">
                  <c:v>-10.944508320726172</c:v>
                </c:pt>
                <c:pt idx="49" formatCode="General">
                  <c:v>-10.56629349470499</c:v>
                </c:pt>
                <c:pt idx="50" formatCode="General">
                  <c:v>-10.18807866868381</c:v>
                </c:pt>
                <c:pt idx="51" formatCode="General">
                  <c:v>-9.9633303030303022</c:v>
                </c:pt>
                <c:pt idx="52" formatCode="General">
                  <c:v>-9.7722696969696958</c:v>
                </c:pt>
                <c:pt idx="53" formatCode="General">
                  <c:v>-9.5812090909090895</c:v>
                </c:pt>
                <c:pt idx="54" formatCode="General">
                  <c:v>-9.3901484848484831</c:v>
                </c:pt>
                <c:pt idx="55" formatCode="General">
                  <c:v>-9.1990878787878785</c:v>
                </c:pt>
                <c:pt idx="56" formatCode="General">
                  <c:v>-9.0080272727272721</c:v>
                </c:pt>
                <c:pt idx="57" formatCode="General">
                  <c:v>-8.8458795180722891</c:v>
                </c:pt>
                <c:pt idx="58" formatCode="General">
                  <c:v>-8.7862409638554215</c:v>
                </c:pt>
                <c:pt idx="59" formatCode="General">
                  <c:v>-8.7443878787878795</c:v>
                </c:pt>
                <c:pt idx="60" formatCode="General">
                  <c:v>-8.7165090909090921</c:v>
                </c:pt>
                <c:pt idx="61" formatCode="General">
                  <c:v>-8.7068303030303031</c:v>
                </c:pt>
                <c:pt idx="62" formatCode="General">
                  <c:v>-8.7021030303030305</c:v>
                </c:pt>
                <c:pt idx="63" formatCode="General">
                  <c:v>-8.7063454545454544</c:v>
                </c:pt>
                <c:pt idx="64" formatCode="General">
                  <c:v>-8.7153939393939392</c:v>
                </c:pt>
                <c:pt idx="65" formatCode="General">
                  <c:v>-8.727515151515151</c:v>
                </c:pt>
                <c:pt idx="66" formatCode="General">
                  <c:v>-8.7430361445783138</c:v>
                </c:pt>
                <c:pt idx="67" formatCode="General">
                  <c:v>-8.7596363636363641</c:v>
                </c:pt>
                <c:pt idx="68" formatCode="General">
                  <c:v>-8.7784242424242418</c:v>
                </c:pt>
                <c:pt idx="69" formatCode="General">
                  <c:v>-8.798</c:v>
                </c:pt>
                <c:pt idx="70" formatCode="General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3F45-444A-B599-5B97018058CE}"/>
            </c:ext>
          </c:extLst>
        </c:ser>
        <c:ser>
          <c:idx val="44"/>
          <c:order val="45"/>
          <c:tx>
            <c:strRef>
              <c:f>'Gibbs-EVAL'!$A$146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'Gibbs-EVAL'!$B$146:$BT$146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-18.631089258698939</c:v>
                </c:pt>
                <c:pt idx="5" formatCode="General">
                  <c:v>-18.644704992435702</c:v>
                </c:pt>
                <c:pt idx="6" formatCode="General">
                  <c:v>-18.658320726172466</c:v>
                </c:pt>
                <c:pt idx="7" formatCode="General">
                  <c:v>-18.671936459909226</c:v>
                </c:pt>
                <c:pt idx="8" formatCode="General">
                  <c:v>-18.685552193645989</c:v>
                </c:pt>
                <c:pt idx="9" formatCode="General">
                  <c:v>-18.699167927382753</c:v>
                </c:pt>
                <c:pt idx="10" formatCode="General">
                  <c:v>-18.712783661119516</c:v>
                </c:pt>
                <c:pt idx="11" formatCode="General">
                  <c:v>-18.728545454545454</c:v>
                </c:pt>
                <c:pt idx="12" formatCode="General">
                  <c:v>-18.746727272727274</c:v>
                </c:pt>
                <c:pt idx="13" formatCode="General">
                  <c:v>-18.764909090909093</c:v>
                </c:pt>
                <c:pt idx="14" formatCode="General">
                  <c:v>-18.783072289156628</c:v>
                </c:pt>
                <c:pt idx="15" formatCode="General">
                  <c:v>-18.801144578313252</c:v>
                </c:pt>
                <c:pt idx="16" formatCode="General">
                  <c:v>-18.819272727272725</c:v>
                </c:pt>
                <c:pt idx="17" formatCode="General">
                  <c:v>-18.837454545454545</c:v>
                </c:pt>
                <c:pt idx="18" formatCode="General">
                  <c:v>-18.855636363636364</c:v>
                </c:pt>
                <c:pt idx="19" formatCode="General">
                  <c:v>-18.873818181818184</c:v>
                </c:pt>
                <c:pt idx="20" formatCode="General">
                  <c:v>-18.891999999999999</c:v>
                </c:pt>
                <c:pt idx="21" formatCode="General">
                  <c:v>-18.913575757575757</c:v>
                </c:pt>
                <c:pt idx="22" formatCode="General">
                  <c:v>-18.937818181818184</c:v>
                </c:pt>
                <c:pt idx="23" formatCode="General">
                  <c:v>-18.95644578313253</c:v>
                </c:pt>
                <c:pt idx="24" formatCode="General">
                  <c:v>-18.976060606060607</c:v>
                </c:pt>
                <c:pt idx="25" formatCode="General">
                  <c:v>-19.00030303030303</c:v>
                </c:pt>
                <c:pt idx="26" formatCode="General">
                  <c:v>-19.020909090909093</c:v>
                </c:pt>
                <c:pt idx="27" formatCode="General">
                  <c:v>-19.039090909090909</c:v>
                </c:pt>
                <c:pt idx="28" formatCode="General">
                  <c:v>-19.057272727272728</c:v>
                </c:pt>
                <c:pt idx="29" formatCode="General">
                  <c:v>-19.077272727272728</c:v>
                </c:pt>
                <c:pt idx="30" formatCode="General">
                  <c:v>-19.101515151515152</c:v>
                </c:pt>
                <c:pt idx="31" formatCode="General">
                  <c:v>-19.121746987951806</c:v>
                </c:pt>
                <c:pt idx="32" formatCode="General">
                  <c:v>-19.139819277108433</c:v>
                </c:pt>
                <c:pt idx="33" formatCode="General">
                  <c:v>-19.164000000000001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-19.388456883509832</c:v>
                </c:pt>
                <c:pt idx="45" formatCode="General">
                  <c:v>-19.408124054462935</c:v>
                </c:pt>
                <c:pt idx="46" formatCode="General">
                  <c:v>-19.427791225416037</c:v>
                </c:pt>
                <c:pt idx="47" formatCode="General">
                  <c:v>-19.447458396369139</c:v>
                </c:pt>
                <c:pt idx="48" formatCode="General">
                  <c:v>-19.467125567322238</c:v>
                </c:pt>
                <c:pt idx="49" formatCode="General">
                  <c:v>-19.486792738275341</c:v>
                </c:pt>
                <c:pt idx="50" formatCode="General">
                  <c:v>-19.506459909228443</c:v>
                </c:pt>
                <c:pt idx="51" formatCode="General">
                  <c:v>-19.526151515151518</c:v>
                </c:pt>
                <c:pt idx="52" formatCode="General">
                  <c:v>-19.545848484848488</c:v>
                </c:pt>
                <c:pt idx="53" formatCode="General">
                  <c:v>-19.565545454545457</c:v>
                </c:pt>
                <c:pt idx="54" formatCode="General">
                  <c:v>-19.585242424242427</c:v>
                </c:pt>
                <c:pt idx="55" formatCode="General">
                  <c:v>-19.604939393939397</c:v>
                </c:pt>
                <c:pt idx="56" formatCode="General">
                  <c:v>-19.624636363636366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3F45-444A-B599-5B97018058CE}"/>
            </c:ext>
          </c:extLst>
        </c:ser>
        <c:ser>
          <c:idx val="45"/>
          <c:order val="46"/>
          <c:tx>
            <c:strRef>
              <c:f>'Gibbs-EVAL'!$A$147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'Gibbs-EVAL'!$B$147:$BT$147</c:f>
              <c:numCache>
                <c:formatCode>0</c:formatCode>
                <c:ptCount val="71"/>
                <c:pt idx="0">
                  <c:v>-60.735090909090907</c:v>
                </c:pt>
                <c:pt idx="1">
                  <c:v>-58.673878787878785</c:v>
                </c:pt>
                <c:pt idx="2" formatCode="General">
                  <c:v>-56.631454545454545</c:v>
                </c:pt>
                <c:pt idx="3" formatCode="General">
                  <c:v>-54.589030303030299</c:v>
                </c:pt>
                <c:pt idx="4" formatCode="General">
                  <c:v>-52.560166414523451</c:v>
                </c:pt>
                <c:pt idx="5" formatCode="General">
                  <c:v>-50.687246596066565</c:v>
                </c:pt>
                <c:pt idx="6" formatCode="General">
                  <c:v>-48.814326777609679</c:v>
                </c:pt>
                <c:pt idx="7" formatCode="General">
                  <c:v>-46.9414069591528</c:v>
                </c:pt>
                <c:pt idx="8" formatCode="General">
                  <c:v>-45.068487140695915</c:v>
                </c:pt>
                <c:pt idx="9" formatCode="General">
                  <c:v>-43.195567322239029</c:v>
                </c:pt>
                <c:pt idx="10" formatCode="General">
                  <c:v>-41.32264750378215</c:v>
                </c:pt>
                <c:pt idx="11" formatCode="General">
                  <c:v>-39.589393939393936</c:v>
                </c:pt>
                <c:pt idx="12" formatCode="General">
                  <c:v>-38.013636363636365</c:v>
                </c:pt>
                <c:pt idx="13" formatCode="General">
                  <c:v>-36.542242424242424</c:v>
                </c:pt>
                <c:pt idx="14" formatCode="General">
                  <c:v>-35.117771084337356</c:v>
                </c:pt>
                <c:pt idx="15" formatCode="General">
                  <c:v>-33.810542168674701</c:v>
                </c:pt>
                <c:pt idx="16" formatCode="General">
                  <c:v>-32.561090909090908</c:v>
                </c:pt>
                <c:pt idx="17" formatCode="General">
                  <c:v>-31.367151515151512</c:v>
                </c:pt>
                <c:pt idx="18" formatCode="General">
                  <c:v>-30.256606060606057</c:v>
                </c:pt>
                <c:pt idx="19" formatCode="General">
                  <c:v>-29.173636363636362</c:v>
                </c:pt>
                <c:pt idx="20" formatCode="General">
                  <c:v>-28.143333333333331</c:v>
                </c:pt>
                <c:pt idx="21" formatCode="General">
                  <c:v>-27.143575757575757</c:v>
                </c:pt>
                <c:pt idx="22" formatCode="General">
                  <c:v>-26.167818181818177</c:v>
                </c:pt>
                <c:pt idx="23" formatCode="General">
                  <c:v>-25.252228915662648</c:v>
                </c:pt>
                <c:pt idx="24" formatCode="General">
                  <c:v>-24.354848484848485</c:v>
                </c:pt>
                <c:pt idx="25" formatCode="General">
                  <c:v>-23.494242424242422</c:v>
                </c:pt>
                <c:pt idx="26" formatCode="General">
                  <c:v>-22.673636363636362</c:v>
                </c:pt>
                <c:pt idx="27" formatCode="General">
                  <c:v>-21.879696969696969</c:v>
                </c:pt>
                <c:pt idx="28" formatCode="General">
                  <c:v>-21.149090909090908</c:v>
                </c:pt>
                <c:pt idx="29" formatCode="General">
                  <c:v>-20.438181818181818</c:v>
                </c:pt>
                <c:pt idx="30" formatCode="General">
                  <c:v>-19.765454545454546</c:v>
                </c:pt>
                <c:pt idx="31" formatCode="General">
                  <c:v>-19.126686746987954</c:v>
                </c:pt>
                <c:pt idx="32" formatCode="General">
                  <c:v>-18.506204819277109</c:v>
                </c:pt>
                <c:pt idx="33" formatCode="General">
                  <c:v>-17.918000000000003</c:v>
                </c:pt>
                <c:pt idx="34" formatCode="General">
                  <c:v>-17.342484848484851</c:v>
                </c:pt>
                <c:pt idx="35" formatCode="General">
                  <c:v>-16.7909696969697</c:v>
                </c:pt>
                <c:pt idx="36" formatCode="General">
                  <c:v>-16.252000000000002</c:v>
                </c:pt>
                <c:pt idx="37" formatCode="General">
                  <c:v>-15.721119515885023</c:v>
                </c:pt>
                <c:pt idx="38" formatCode="General">
                  <c:v>-15.249107413010591</c:v>
                </c:pt>
                <c:pt idx="39" formatCode="General">
                  <c:v>-14.77709531013616</c:v>
                </c:pt>
                <c:pt idx="40" formatCode="General">
                  <c:v>-14.305083207261726</c:v>
                </c:pt>
                <c:pt idx="41" formatCode="General">
                  <c:v>-13.833071104387294</c:v>
                </c:pt>
                <c:pt idx="42" formatCode="General">
                  <c:v>-13.36105900151286</c:v>
                </c:pt>
                <c:pt idx="43" formatCode="General">
                  <c:v>-12.889046898638428</c:v>
                </c:pt>
                <c:pt idx="44" formatCode="General">
                  <c:v>-12.457367624810892</c:v>
                </c:pt>
                <c:pt idx="45" formatCode="General">
                  <c:v>-12.079152798789712</c:v>
                </c:pt>
                <c:pt idx="46" formatCode="General">
                  <c:v>-11.700937972768532</c:v>
                </c:pt>
                <c:pt idx="47" formatCode="General">
                  <c:v>-11.322723146747352</c:v>
                </c:pt>
                <c:pt idx="48" formatCode="General">
                  <c:v>-10.944508320726172</c:v>
                </c:pt>
                <c:pt idx="49" formatCode="General">
                  <c:v>-10.56629349470499</c:v>
                </c:pt>
                <c:pt idx="50" formatCode="General">
                  <c:v>-10.18807866868381</c:v>
                </c:pt>
                <c:pt idx="51" formatCode="General">
                  <c:v>-9.9633303030303022</c:v>
                </c:pt>
                <c:pt idx="52" formatCode="General">
                  <c:v>-9.7722696969696958</c:v>
                </c:pt>
                <c:pt idx="53" formatCode="General">
                  <c:v>-9.5812090909090895</c:v>
                </c:pt>
                <c:pt idx="54" formatCode="General">
                  <c:v>-9.3901484848484831</c:v>
                </c:pt>
                <c:pt idx="55" formatCode="General">
                  <c:v>-9.1990878787878785</c:v>
                </c:pt>
                <c:pt idx="56" formatCode="General">
                  <c:v>-9.0080272727272721</c:v>
                </c:pt>
                <c:pt idx="57" formatCode="General">
                  <c:v>-8.8458795180722891</c:v>
                </c:pt>
                <c:pt idx="58" formatCode="General">
                  <c:v>-8.7862409638554215</c:v>
                </c:pt>
                <c:pt idx="59" formatCode="General">
                  <c:v>-8.7443878787878795</c:v>
                </c:pt>
                <c:pt idx="60" formatCode="General">
                  <c:v>-8.7165090909090921</c:v>
                </c:pt>
                <c:pt idx="61" formatCode="General">
                  <c:v>-8.7068303030303031</c:v>
                </c:pt>
                <c:pt idx="62" formatCode="General">
                  <c:v>-8.7021030303030305</c:v>
                </c:pt>
                <c:pt idx="63" formatCode="General">
                  <c:v>-8.7063454545454544</c:v>
                </c:pt>
                <c:pt idx="64" formatCode="General">
                  <c:v>-8.7153939393939392</c:v>
                </c:pt>
                <c:pt idx="65" formatCode="General">
                  <c:v>-8.727515151515151</c:v>
                </c:pt>
                <c:pt idx="66" formatCode="General">
                  <c:v>-8.7430361445783138</c:v>
                </c:pt>
                <c:pt idx="67" formatCode="General">
                  <c:v>-8.7596363636363641</c:v>
                </c:pt>
                <c:pt idx="68" formatCode="General">
                  <c:v>-8.7784242424242418</c:v>
                </c:pt>
                <c:pt idx="69" formatCode="General">
                  <c:v>-8.798</c:v>
                </c:pt>
                <c:pt idx="70" formatCode="General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3F45-444A-B599-5B97018058CE}"/>
            </c:ext>
          </c:extLst>
        </c:ser>
        <c:ser>
          <c:idx val="46"/>
          <c:order val="47"/>
          <c:tx>
            <c:strRef>
              <c:f>'Gibbs-EVAL'!$A$148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'Gibbs-EVAL'!$B$148:$BT$148</c:f>
              <c:numCache>
                <c:formatCode>0</c:formatCode>
                <c:ptCount val="71"/>
                <c:pt idx="0">
                  <c:v>-15.805636363636363</c:v>
                </c:pt>
                <c:pt idx="1">
                  <c:v>-15.261999999999999</c:v>
                </c:pt>
                <c:pt idx="2" formatCode="General">
                  <c:v>-14.661999999999999</c:v>
                </c:pt>
                <c:pt idx="3" formatCode="General">
                  <c:v>-14.004484848484848</c:v>
                </c:pt>
                <c:pt idx="4" formatCode="General">
                  <c:v>-13.326287443267777</c:v>
                </c:pt>
                <c:pt idx="5" formatCode="General">
                  <c:v>-12.654880484114978</c:v>
                </c:pt>
                <c:pt idx="6" formatCode="General">
                  <c:v>-11.983473524962179</c:v>
                </c:pt>
                <c:pt idx="7" formatCode="General">
                  <c:v>-11.31206656580938</c:v>
                </c:pt>
                <c:pt idx="8" formatCode="General">
                  <c:v>-10.64065960665658</c:v>
                </c:pt>
                <c:pt idx="9" formatCode="General">
                  <c:v>-9.969252647503783</c:v>
                </c:pt>
                <c:pt idx="10" formatCode="General">
                  <c:v>-9.2978456883509839</c:v>
                </c:pt>
                <c:pt idx="11" formatCode="General">
                  <c:v>-8.67908484848485</c:v>
                </c:pt>
                <c:pt idx="12" formatCode="General">
                  <c:v>-8.1196909090909095</c:v>
                </c:pt>
                <c:pt idx="13" formatCode="General">
                  <c:v>-7.619436363636364</c:v>
                </c:pt>
                <c:pt idx="14" formatCode="General">
                  <c:v>-7.1476144578313257</c:v>
                </c:pt>
                <c:pt idx="15" formatCode="General">
                  <c:v>-6.7512289156626508</c:v>
                </c:pt>
                <c:pt idx="16" formatCode="General">
                  <c:v>-6.4021454545454546</c:v>
                </c:pt>
                <c:pt idx="17" formatCode="General">
                  <c:v>-6.09850909090909</c:v>
                </c:pt>
                <c:pt idx="18" formatCode="General">
                  <c:v>-5.8730545454545453</c:v>
                </c:pt>
                <c:pt idx="19" formatCode="General">
                  <c:v>-5.6767454545454541</c:v>
                </c:pt>
                <c:pt idx="20" formatCode="General">
                  <c:v>-5.5421999999999993</c:v>
                </c:pt>
                <c:pt idx="21" formatCode="General">
                  <c:v>-5.4426121212121208</c:v>
                </c:pt>
                <c:pt idx="22" formatCode="General">
                  <c:v>-5.3704909090909085</c:v>
                </c:pt>
                <c:pt idx="23" formatCode="General">
                  <c:v>-5.3393313253012051</c:v>
                </c:pt>
                <c:pt idx="24" formatCode="General">
                  <c:v>-5.319</c:v>
                </c:pt>
                <c:pt idx="25" formatCode="General">
                  <c:v>-5.319</c:v>
                </c:pt>
                <c:pt idx="26" formatCode="General">
                  <c:v>-5.3280909090909088</c:v>
                </c:pt>
                <c:pt idx="27" formatCode="General">
                  <c:v>-5.3432424242424243</c:v>
                </c:pt>
                <c:pt idx="28" formatCode="General">
                  <c:v>-5.3641515151515149</c:v>
                </c:pt>
                <c:pt idx="29" formatCode="General">
                  <c:v>-5.3860909090909086</c:v>
                </c:pt>
                <c:pt idx="30" formatCode="General">
                  <c:v>-5.4097272727272729</c:v>
                </c:pt>
                <c:pt idx="31" formatCode="General">
                  <c:v>-5.4340542168674695</c:v>
                </c:pt>
                <c:pt idx="32" formatCode="General">
                  <c:v>-5.4587530120481924</c:v>
                </c:pt>
                <c:pt idx="33" formatCode="General">
                  <c:v>-5.4829999999999997</c:v>
                </c:pt>
                <c:pt idx="34" formatCode="General">
                  <c:v>-5.5074484848484841</c:v>
                </c:pt>
                <c:pt idx="35" formatCode="General">
                  <c:v>-5.5322969696969695</c:v>
                </c:pt>
                <c:pt idx="36" formatCode="General">
                  <c:v>-5.5567272727272723</c:v>
                </c:pt>
                <c:pt idx="37" formatCode="General">
                  <c:v>-5.5809863842662635</c:v>
                </c:pt>
                <c:pt idx="38" formatCode="General">
                  <c:v>-5.6056459909228442</c:v>
                </c:pt>
                <c:pt idx="39" formatCode="General">
                  <c:v>-5.6303055975794249</c:v>
                </c:pt>
                <c:pt idx="40" formatCode="General">
                  <c:v>-5.6549652042360066</c:v>
                </c:pt>
                <c:pt idx="41" formatCode="General">
                  <c:v>-5.6796248108925873</c:v>
                </c:pt>
                <c:pt idx="42" formatCode="General">
                  <c:v>-5.704284417549168</c:v>
                </c:pt>
                <c:pt idx="43" formatCode="General">
                  <c:v>-5.7289440242057488</c:v>
                </c:pt>
                <c:pt idx="44" formatCode="General">
                  <c:v>-5.7543192133131624</c:v>
                </c:pt>
                <c:pt idx="45" formatCode="General">
                  <c:v>-5.7806429652042359</c:v>
                </c:pt>
                <c:pt idx="46" formatCode="General">
                  <c:v>-5.8069667170953103</c:v>
                </c:pt>
                <c:pt idx="47" formatCode="General">
                  <c:v>-5.8332904689863847</c:v>
                </c:pt>
                <c:pt idx="48" formatCode="General">
                  <c:v>-5.8596142208774582</c:v>
                </c:pt>
                <c:pt idx="49" formatCode="General">
                  <c:v>-5.8859379727685326</c:v>
                </c:pt>
                <c:pt idx="50" formatCode="General">
                  <c:v>-5.912261724659607</c:v>
                </c:pt>
                <c:pt idx="51" formatCode="General">
                  <c:v>-5.942966666666667</c:v>
                </c:pt>
                <c:pt idx="52" formatCode="General">
                  <c:v>-5.9746333333333332</c:v>
                </c:pt>
                <c:pt idx="53" formatCode="General">
                  <c:v>-6.0063000000000004</c:v>
                </c:pt>
                <c:pt idx="54" formatCode="General">
                  <c:v>-6.0379666666666667</c:v>
                </c:pt>
                <c:pt idx="55" formatCode="General">
                  <c:v>-6.0696333333333339</c:v>
                </c:pt>
                <c:pt idx="56" formatCode="General">
                  <c:v>-6.1013000000000002</c:v>
                </c:pt>
                <c:pt idx="57" formatCode="General">
                  <c:v>-6.132493975903615</c:v>
                </c:pt>
                <c:pt idx="58" formatCode="General">
                  <c:v>-6.1620120481927714</c:v>
                </c:pt>
                <c:pt idx="59" formatCode="General">
                  <c:v>-6.190612121212121</c:v>
                </c:pt>
                <c:pt idx="60" formatCode="General">
                  <c:v>-6.2184909090909093</c:v>
                </c:pt>
                <c:pt idx="61" formatCode="General">
                  <c:v>-6.2441636363636368</c:v>
                </c:pt>
                <c:pt idx="62" formatCode="General">
                  <c:v>-6.2693030303030302</c:v>
                </c:pt>
                <c:pt idx="63" formatCode="General">
                  <c:v>-6.2935454545454546</c:v>
                </c:pt>
                <c:pt idx="64" formatCode="General">
                  <c:v>-6.3174181818181818</c:v>
                </c:pt>
                <c:pt idx="65" formatCode="General">
                  <c:v>-6.3410545454545453</c:v>
                </c:pt>
                <c:pt idx="66" formatCode="General">
                  <c:v>-6.363397590361445</c:v>
                </c:pt>
                <c:pt idx="67" formatCode="General">
                  <c:v>-6.385727272727272</c:v>
                </c:pt>
                <c:pt idx="68" formatCode="General">
                  <c:v>-6.4081515151515154</c:v>
                </c:pt>
                <c:pt idx="69" formatCode="General">
                  <c:v>-6.4301818181818184</c:v>
                </c:pt>
                <c:pt idx="70" formatCode="General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3F45-444A-B599-5B97018058CE}"/>
            </c:ext>
          </c:extLst>
        </c:ser>
        <c:ser>
          <c:idx val="47"/>
          <c:order val="48"/>
          <c:tx>
            <c:strRef>
              <c:f>'Gibbs-EVAL'!$A$149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'Gibbs-EVAL'!$B$149:$BT$149</c:f>
              <c:numCache>
                <c:formatCode>0</c:formatCode>
                <c:ptCount val="71"/>
                <c:pt idx="0">
                  <c:v>-22.065575757575758</c:v>
                </c:pt>
                <c:pt idx="1">
                  <c:v>-21.674060606060607</c:v>
                </c:pt>
                <c:pt idx="2" formatCode="General">
                  <c:v>-21.395272727272726</c:v>
                </c:pt>
                <c:pt idx="3" formatCode="General">
                  <c:v>-21.244787878787879</c:v>
                </c:pt>
                <c:pt idx="4" formatCode="General">
                  <c:v>-21.157019667170953</c:v>
                </c:pt>
                <c:pt idx="5" formatCode="General">
                  <c:v>-21.244765506807866</c:v>
                </c:pt>
                <c:pt idx="6" formatCode="General">
                  <c:v>-21.332511346444779</c:v>
                </c:pt>
                <c:pt idx="7" formatCode="General">
                  <c:v>-21.420257186081695</c:v>
                </c:pt>
                <c:pt idx="8" formatCode="General">
                  <c:v>-21.508003025718608</c:v>
                </c:pt>
                <c:pt idx="9" formatCode="General">
                  <c:v>-21.595748865355521</c:v>
                </c:pt>
                <c:pt idx="10" formatCode="General">
                  <c:v>-21.683494704992437</c:v>
                </c:pt>
                <c:pt idx="11" formatCode="General">
                  <c:v>-21.792666666666666</c:v>
                </c:pt>
                <c:pt idx="12" formatCode="General">
                  <c:v>-21.925999999999998</c:v>
                </c:pt>
                <c:pt idx="13" formatCode="General">
                  <c:v>-22.049393939393937</c:v>
                </c:pt>
                <c:pt idx="14" formatCode="General">
                  <c:v>-22.167409638554215</c:v>
                </c:pt>
                <c:pt idx="15" formatCode="General">
                  <c:v>-22.269819277108432</c:v>
                </c:pt>
                <c:pt idx="16" formatCode="General">
                  <c:v>-22.363272727272729</c:v>
                </c:pt>
                <c:pt idx="17" formatCode="General">
                  <c:v>-22.448121212121212</c:v>
                </c:pt>
                <c:pt idx="18" formatCode="General">
                  <c:v>-22.532969696969698</c:v>
                </c:pt>
                <c:pt idx="19" formatCode="General">
                  <c:v>-22.620363636363638</c:v>
                </c:pt>
                <c:pt idx="20" formatCode="General">
                  <c:v>-22.717333333333336</c:v>
                </c:pt>
                <c:pt idx="21" formatCode="General">
                  <c:v>-22.82448484848485</c:v>
                </c:pt>
                <c:pt idx="22" formatCode="General">
                  <c:v>-22.939636363636364</c:v>
                </c:pt>
                <c:pt idx="23" formatCode="General">
                  <c:v>-23.059638554216868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3F45-444A-B599-5B97018058CE}"/>
            </c:ext>
          </c:extLst>
        </c:ser>
        <c:ser>
          <c:idx val="48"/>
          <c:order val="49"/>
          <c:tx>
            <c:strRef>
              <c:f>'Gibbs-EVAL'!$A$150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3F45-444A-B599-5B97018058CE}"/>
            </c:ext>
          </c:extLst>
        </c:ser>
        <c:ser>
          <c:idx val="49"/>
          <c:order val="50"/>
          <c:tx>
            <c:strRef>
              <c:f>'Gibbs-EVAL'!$A$151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3F45-444A-B599-5B97018058CE}"/>
            </c:ext>
          </c:extLst>
        </c:ser>
        <c:ser>
          <c:idx val="50"/>
          <c:order val="51"/>
          <c:tx>
            <c:strRef>
              <c:f>'Gibbs-EVAL'!$A$152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8-3F45-444A-B599-5B97018058CE}"/>
            </c:ext>
          </c:extLst>
        </c:ser>
        <c:ser>
          <c:idx val="51"/>
          <c:order val="52"/>
          <c:tx>
            <c:strRef>
              <c:f>'Gibbs-EVAL'!$A$153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9-3F45-444A-B599-5B97018058CE}"/>
            </c:ext>
          </c:extLst>
        </c:ser>
        <c:ser>
          <c:idx val="52"/>
          <c:order val="53"/>
          <c:tx>
            <c:strRef>
              <c:f>'Gibbs-EVAL'!$A$154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A-3F45-444A-B599-5B97018058CE}"/>
            </c:ext>
          </c:extLst>
        </c:ser>
        <c:ser>
          <c:idx val="53"/>
          <c:order val="54"/>
          <c:tx>
            <c:strRef>
              <c:f>'Gibbs-EVAL'!$A$155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F45-444A-B599-5B97018058CE}"/>
            </c:ext>
          </c:extLst>
        </c:ser>
        <c:ser>
          <c:idx val="55"/>
          <c:order val="55"/>
          <c:tx>
            <c:strRef>
              <c:f>'Gibbs-EVAL'!$A$156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3F45-444A-B599-5B97018058CE}"/>
            </c:ext>
          </c:extLst>
        </c:ser>
        <c:ser>
          <c:idx val="56"/>
          <c:order val="56"/>
          <c:tx>
            <c:strRef>
              <c:f>'Gibbs-EVAL'!$A$157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3F45-444A-B599-5B97018058CE}"/>
            </c:ext>
          </c:extLst>
        </c:ser>
        <c:ser>
          <c:idx val="57"/>
          <c:order val="57"/>
          <c:tx>
            <c:strRef>
              <c:f>'Gibbs-EVAL'!$A$158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3F45-444A-B599-5B97018058CE}"/>
            </c:ext>
          </c:extLst>
        </c:ser>
        <c:ser>
          <c:idx val="58"/>
          <c:order val="58"/>
          <c:tx>
            <c:strRef>
              <c:f>'Gibbs-EVAL'!$A$159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3F45-444A-B599-5B97018058CE}"/>
            </c:ext>
          </c:extLst>
        </c:ser>
        <c:ser>
          <c:idx val="59"/>
          <c:order val="59"/>
          <c:tx>
            <c:strRef>
              <c:f>'Gibbs-EVAL'!$A$160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3F45-444A-B599-5B97018058CE}"/>
            </c:ext>
          </c:extLst>
        </c:ser>
        <c:ser>
          <c:idx val="60"/>
          <c:order val="60"/>
          <c:tx>
            <c:strRef>
              <c:f>'Gibbs-EVAL'!$A$161</c:f>
              <c:strCache>
                <c:ptCount val="1"/>
                <c:pt idx="0">
                  <c:v>End2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'Gibbs-EVAL'!$B$161:$BT$161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3F45-444A-B599-5B9701805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0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Ga2Se</a:t>
            </a:r>
          </a:p>
        </c:rich>
      </c:tx>
      <c:layout>
        <c:manualLayout>
          <c:xMode val="edge"/>
          <c:yMode val="edge"/>
          <c:x val="0.14241247080956879"/>
          <c:y val="1.366793588338990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-21.792000000000002</c:v>
                </c:pt>
                <c:pt idx="1">
                  <c:v>-21.217333333333332</c:v>
                </c:pt>
                <c:pt idx="2" formatCode="General">
                  <c:v>-20.683999999999997</c:v>
                </c:pt>
                <c:pt idx="3" formatCode="General">
                  <c:v>-20.194909090909089</c:v>
                </c:pt>
                <c:pt idx="4" formatCode="General">
                  <c:v>-19.761939393939397</c:v>
                </c:pt>
                <c:pt idx="5" formatCode="General">
                  <c:v>-19.78618181818182</c:v>
                </c:pt>
                <c:pt idx="6" formatCode="General">
                  <c:v>-19.862168674698797</c:v>
                </c:pt>
                <c:pt idx="7" formatCode="General">
                  <c:v>-20.006746987951807</c:v>
                </c:pt>
                <c:pt idx="8" formatCode="General">
                  <c:v>-20.152000000000001</c:v>
                </c:pt>
                <c:pt idx="9" formatCode="General">
                  <c:v>-20.298181818181821</c:v>
                </c:pt>
                <c:pt idx="10" formatCode="General">
                  <c:v>-20.449696969696969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-23.573975903614457</c:v>
                </c:pt>
                <c:pt idx="32" formatCode="General">
                  <c:v>-23.718554216867467</c:v>
                </c:pt>
                <c:pt idx="33" formatCode="General">
                  <c:v>-23.858000000000001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2E28-4420-B8DD-7D9C02A58C4F}"/>
            </c:ext>
          </c:extLst>
        </c:ser>
        <c:ser>
          <c:idx val="39"/>
          <c:order val="1"/>
          <c:tx>
            <c:strRef>
              <c:f>'Gibbs-EVAL'!$A$102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-15.300424242424242</c:v>
                </c:pt>
                <c:pt idx="1">
                  <c:v>-14.974848484848485</c:v>
                </c:pt>
                <c:pt idx="2" formatCode="General">
                  <c:v>-14.671818181818182</c:v>
                </c:pt>
                <c:pt idx="3" formatCode="General">
                  <c:v>-14.399757575757576</c:v>
                </c:pt>
                <c:pt idx="4" formatCode="General">
                  <c:v>-14.105212121212121</c:v>
                </c:pt>
                <c:pt idx="5" formatCode="General">
                  <c:v>-13.420363636363636</c:v>
                </c:pt>
                <c:pt idx="6" formatCode="General">
                  <c:v>-12.711385542168674</c:v>
                </c:pt>
                <c:pt idx="7" formatCode="General">
                  <c:v>-11.970421686746988</c:v>
                </c:pt>
                <c:pt idx="8" formatCode="General">
                  <c:v>-11.272666666666668</c:v>
                </c:pt>
                <c:pt idx="9" formatCode="General">
                  <c:v>-10.593127272727273</c:v>
                </c:pt>
                <c:pt idx="10" formatCode="General">
                  <c:v>-9.9525212121212121</c:v>
                </c:pt>
                <c:pt idx="11" formatCode="General">
                  <c:v>-9.3588018154311658</c:v>
                </c:pt>
                <c:pt idx="12" formatCode="General">
                  <c:v>-8.8179546142208771</c:v>
                </c:pt>
                <c:pt idx="13" formatCode="General">
                  <c:v>-8.2771074130105902</c:v>
                </c:pt>
                <c:pt idx="14" formatCode="General">
                  <c:v>-7.7362602118003023</c:v>
                </c:pt>
                <c:pt idx="15" formatCode="General">
                  <c:v>-7.1954130105900145</c:v>
                </c:pt>
                <c:pt idx="16" formatCode="General">
                  <c:v>-6.6545658093797275</c:v>
                </c:pt>
                <c:pt idx="17" formatCode="General">
                  <c:v>-6.1137186081694388</c:v>
                </c:pt>
                <c:pt idx="18" formatCode="General">
                  <c:v>-5.6392727272727265</c:v>
                </c:pt>
                <c:pt idx="19" formatCode="General">
                  <c:v>-5.1809818181818166</c:v>
                </c:pt>
                <c:pt idx="20" formatCode="General">
                  <c:v>-4.742799999999999</c:v>
                </c:pt>
                <c:pt idx="21" formatCode="General">
                  <c:v>-4.4023636363636358</c:v>
                </c:pt>
                <c:pt idx="22" formatCode="General">
                  <c:v>-4.1387272727272721</c:v>
                </c:pt>
                <c:pt idx="23" formatCode="General">
                  <c:v>-4.1369277108433735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E28-4420-B8DD-7D9C02A58C4F}"/>
            </c:ext>
          </c:extLst>
        </c:ser>
        <c:ser>
          <c:idx val="54"/>
          <c:order val="2"/>
          <c:tx>
            <c:strRef>
              <c:f>'Gibbs-EVAL'!$A$103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2E28-4420-B8DD-7D9C02A58C4F}"/>
              </c:ext>
            </c:extLst>
          </c:dPt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'Gibbs-EVAL'!$B$103:$BT$103</c:f>
              <c:numCache>
                <c:formatCode>0</c:formatCode>
                <c:ptCount val="71"/>
                <c:pt idx="0">
                  <c:v>-185.66569696969697</c:v>
                </c:pt>
                <c:pt idx="1">
                  <c:v>-180.33151515151513</c:v>
                </c:pt>
                <c:pt idx="2" formatCode="General">
                  <c:v>-175.36181818181819</c:v>
                </c:pt>
                <c:pt idx="3" formatCode="General">
                  <c:v>-170.78145454545455</c:v>
                </c:pt>
                <c:pt idx="4" formatCode="General">
                  <c:v>-166.37806060606059</c:v>
                </c:pt>
                <c:pt idx="5" formatCode="General">
                  <c:v>-162.35381818181818</c:v>
                </c:pt>
                <c:pt idx="6" formatCode="General">
                  <c:v>-158.50060240963856</c:v>
                </c:pt>
                <c:pt idx="7" formatCode="General">
                  <c:v>-154.87409638554217</c:v>
                </c:pt>
                <c:pt idx="8" formatCode="General">
                  <c:v>-151.48266666666666</c:v>
                </c:pt>
                <c:pt idx="9" formatCode="General">
                  <c:v>-148.19563636363637</c:v>
                </c:pt>
                <c:pt idx="10" formatCode="General">
                  <c:v>-145.15927272727274</c:v>
                </c:pt>
                <c:pt idx="11" formatCode="General">
                  <c:v>-142.38957639939488</c:v>
                </c:pt>
                <c:pt idx="12" formatCode="General">
                  <c:v>-139.9205900151286</c:v>
                </c:pt>
                <c:pt idx="13" formatCode="General">
                  <c:v>-137.45160363086234</c:v>
                </c:pt>
                <c:pt idx="14" formatCode="General">
                  <c:v>-134.98261724659608</c:v>
                </c:pt>
                <c:pt idx="15" formatCode="General">
                  <c:v>-132.51363086232982</c:v>
                </c:pt>
                <c:pt idx="16" formatCode="General">
                  <c:v>-130.04464447806353</c:v>
                </c:pt>
                <c:pt idx="17" formatCode="General">
                  <c:v>-127.57565809379727</c:v>
                </c:pt>
                <c:pt idx="18" formatCode="General">
                  <c:v>-125.49436363636363</c:v>
                </c:pt>
                <c:pt idx="19" formatCode="General">
                  <c:v>-123.50036363636364</c:v>
                </c:pt>
                <c:pt idx="20" formatCode="General">
                  <c:v>-121.59733333333334</c:v>
                </c:pt>
                <c:pt idx="21" formatCode="General">
                  <c:v>-119.77915151515151</c:v>
                </c:pt>
                <c:pt idx="22" formatCode="General">
                  <c:v>-118.02763636363636</c:v>
                </c:pt>
                <c:pt idx="23" formatCode="General">
                  <c:v>-116.39536144578314</c:v>
                </c:pt>
                <c:pt idx="24" formatCode="General">
                  <c:v>-114.79515151515152</c:v>
                </c:pt>
                <c:pt idx="25" formatCode="General">
                  <c:v>-113.25575757575758</c:v>
                </c:pt>
                <c:pt idx="26" formatCode="General">
                  <c:v>-111.77454545454545</c:v>
                </c:pt>
                <c:pt idx="27" formatCode="General">
                  <c:v>-110.33212121212121</c:v>
                </c:pt>
                <c:pt idx="28" formatCode="General">
                  <c:v>-108.98181818181817</c:v>
                </c:pt>
                <c:pt idx="29" formatCode="General">
                  <c:v>-107.69454545454545</c:v>
                </c:pt>
                <c:pt idx="30" formatCode="General">
                  <c:v>-106.54303030303031</c:v>
                </c:pt>
                <c:pt idx="31" formatCode="General">
                  <c:v>-105.63879518072289</c:v>
                </c:pt>
                <c:pt idx="32" formatCode="General">
                  <c:v>-104.8677108433735</c:v>
                </c:pt>
                <c:pt idx="33" formatCode="General">
                  <c:v>-104.134</c:v>
                </c:pt>
                <c:pt idx="34" formatCode="General">
                  <c:v>-103.42127272727272</c:v>
                </c:pt>
                <c:pt idx="35" formatCode="General">
                  <c:v>-102.74854545454545</c:v>
                </c:pt>
                <c:pt idx="36" formatCode="General">
                  <c:v>-102.10090909090908</c:v>
                </c:pt>
                <c:pt idx="37" formatCode="General">
                  <c:v>-101.46845688350984</c:v>
                </c:pt>
                <c:pt idx="38" formatCode="General">
                  <c:v>-100.92987897125568</c:v>
                </c:pt>
                <c:pt idx="39" formatCode="General">
                  <c:v>-100.39130105900152</c:v>
                </c:pt>
                <c:pt idx="40" formatCode="General">
                  <c:v>-99.852723146747351</c:v>
                </c:pt>
                <c:pt idx="41" formatCode="General">
                  <c:v>-99.314145234493196</c:v>
                </c:pt>
                <c:pt idx="42" formatCode="General">
                  <c:v>-98.775567322239027</c:v>
                </c:pt>
                <c:pt idx="43" formatCode="General">
                  <c:v>-98.236989409984872</c:v>
                </c:pt>
                <c:pt idx="44" formatCode="General">
                  <c:v>-97.731939393939385</c:v>
                </c:pt>
                <c:pt idx="45" formatCode="General">
                  <c:v>-97.271333333333331</c:v>
                </c:pt>
                <c:pt idx="46" formatCode="General">
                  <c:v>-96.835309090909092</c:v>
                </c:pt>
                <c:pt idx="47" formatCode="General">
                  <c:v>-96.41031515151515</c:v>
                </c:pt>
                <c:pt idx="48" formatCode="General">
                  <c:v>-96.012739393939398</c:v>
                </c:pt>
                <c:pt idx="49" formatCode="General">
                  <c:v>-95.620939759036148</c:v>
                </c:pt>
                <c:pt idx="50" formatCode="General">
                  <c:v>-95.235397590361444</c:v>
                </c:pt>
                <c:pt idx="51" formatCode="General">
                  <c:v>-94.884715151515152</c:v>
                </c:pt>
                <c:pt idx="52" formatCode="General">
                  <c:v>-94.681806060606064</c:v>
                </c:pt>
                <c:pt idx="53" formatCode="General">
                  <c:v>-95.163018181818188</c:v>
                </c:pt>
                <c:pt idx="54" formatCode="General">
                  <c:v>-95.644230303030312</c:v>
                </c:pt>
                <c:pt idx="55" formatCode="General">
                  <c:v>-96.125442424242422</c:v>
                </c:pt>
                <c:pt idx="56" formatCode="General">
                  <c:v>-96.608763636363634</c:v>
                </c:pt>
                <c:pt idx="57" formatCode="General">
                  <c:v>-97.090574886535563</c:v>
                </c:pt>
                <c:pt idx="58" formatCode="General">
                  <c:v>-97.565915279878979</c:v>
                </c:pt>
                <c:pt idx="59" formatCode="General">
                  <c:v>-98.041255673222395</c:v>
                </c:pt>
                <c:pt idx="60" formatCode="General">
                  <c:v>-98.51659606656581</c:v>
                </c:pt>
                <c:pt idx="61" formatCode="General">
                  <c:v>-98.991936459909226</c:v>
                </c:pt>
                <c:pt idx="62" formatCode="General">
                  <c:v>-99.467276853252656</c:v>
                </c:pt>
                <c:pt idx="63" formatCode="General">
                  <c:v>-99.942617246596072</c:v>
                </c:pt>
                <c:pt idx="64" formatCode="General">
                  <c:v>-100.4208</c:v>
                </c:pt>
                <c:pt idx="65" formatCode="General">
                  <c:v>-100.9008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2E28-4420-B8DD-7D9C02A58C4F}"/>
            </c:ext>
          </c:extLst>
        </c:ser>
        <c:ser>
          <c:idx val="1"/>
          <c:order val="3"/>
          <c:tx>
            <c:strRef>
              <c:f>'Gibbs-EVAL'!$A$104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'Gibbs-EVAL'!$B$104:$BT$104</c:f>
              <c:numCache>
                <c:formatCode>0</c:formatCode>
                <c:ptCount val="71"/>
                <c:pt idx="0">
                  <c:v>-60.144848484848481</c:v>
                </c:pt>
                <c:pt idx="1">
                  <c:v>-58.339757575757574</c:v>
                </c:pt>
                <c:pt idx="2" formatCode="General">
                  <c:v>-56.654909090909094</c:v>
                </c:pt>
                <c:pt idx="3" formatCode="General">
                  <c:v>-55.098363636363636</c:v>
                </c:pt>
                <c:pt idx="4" formatCode="General">
                  <c:v>-53.546121212121207</c:v>
                </c:pt>
                <c:pt idx="5" formatCode="General">
                  <c:v>-51.49763636363636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2E28-4420-B8DD-7D9C02A58C4F}"/>
            </c:ext>
          </c:extLst>
        </c:ser>
        <c:ser>
          <c:idx val="2"/>
          <c:order val="4"/>
          <c:tx>
            <c:strRef>
              <c:f>'Gibbs-EVAL'!$A$105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'Gibbs-EVAL'!$B$105:$BT$105</c:f>
              <c:numCache>
                <c:formatCode>0</c:formatCode>
                <c:ptCount val="71"/>
                <c:pt idx="0">
                  <c:v>-58.884424242424245</c:v>
                </c:pt>
                <c:pt idx="1">
                  <c:v>-57.409515151515158</c:v>
                </c:pt>
                <c:pt idx="2" formatCode="General">
                  <c:v>-56.039818181818184</c:v>
                </c:pt>
                <c:pt idx="3" formatCode="General">
                  <c:v>-54.789575757575761</c:v>
                </c:pt>
                <c:pt idx="4" formatCode="General">
                  <c:v>-53.629090909090912</c:v>
                </c:pt>
                <c:pt idx="5" formatCode="General">
                  <c:v>-52.992727272727279</c:v>
                </c:pt>
                <c:pt idx="6" formatCode="General">
                  <c:v>-52.435722891566265</c:v>
                </c:pt>
                <c:pt idx="7" formatCode="General">
                  <c:v>-51.983915662650602</c:v>
                </c:pt>
                <c:pt idx="8" formatCode="General">
                  <c:v>-51.576666666666668</c:v>
                </c:pt>
                <c:pt idx="9" formatCode="General">
                  <c:v>-51.189490909090914</c:v>
                </c:pt>
                <c:pt idx="10" formatCode="General">
                  <c:v>-50.851915151515158</c:v>
                </c:pt>
                <c:pt idx="11" formatCode="General">
                  <c:v>-50.56101059001513</c:v>
                </c:pt>
                <c:pt idx="12" formatCode="General">
                  <c:v>-50.322735249621786</c:v>
                </c:pt>
                <c:pt idx="13" formatCode="General">
                  <c:v>-50.084459909228443</c:v>
                </c:pt>
                <c:pt idx="14" formatCode="General">
                  <c:v>-49.846184568835099</c:v>
                </c:pt>
                <c:pt idx="15" formatCode="General">
                  <c:v>-49.607909228441756</c:v>
                </c:pt>
                <c:pt idx="16" formatCode="General">
                  <c:v>-49.369633888048412</c:v>
                </c:pt>
                <c:pt idx="17" formatCode="General">
                  <c:v>-49.131358547655068</c:v>
                </c:pt>
                <c:pt idx="18" formatCode="General">
                  <c:v>-48.959878787878786</c:v>
                </c:pt>
                <c:pt idx="19" formatCode="General">
                  <c:v>-48.802072727272723</c:v>
                </c:pt>
                <c:pt idx="20" formatCode="General">
                  <c:v>-48.654799999999994</c:v>
                </c:pt>
                <c:pt idx="21" formatCode="General">
                  <c:v>-48.612060606060602</c:v>
                </c:pt>
                <c:pt idx="22" formatCode="General">
                  <c:v>-48.651454545454548</c:v>
                </c:pt>
                <c:pt idx="23" formatCode="General">
                  <c:v>-48.951024096385545</c:v>
                </c:pt>
                <c:pt idx="24" formatCode="General">
                  <c:v>-49.273787878787878</c:v>
                </c:pt>
                <c:pt idx="25" formatCode="General">
                  <c:v>-49.588939393939398</c:v>
                </c:pt>
                <c:pt idx="26" formatCode="General">
                  <c:v>-49.904454545454549</c:v>
                </c:pt>
                <c:pt idx="27" formatCode="General">
                  <c:v>-50.220212121212121</c:v>
                </c:pt>
                <c:pt idx="28" formatCode="General">
                  <c:v>-50.535393939393941</c:v>
                </c:pt>
                <c:pt idx="29" formatCode="General">
                  <c:v>-50.850727272727276</c:v>
                </c:pt>
                <c:pt idx="30" formatCode="General">
                  <c:v>-51.166484848484849</c:v>
                </c:pt>
                <c:pt idx="31" formatCode="General">
                  <c:v>-51.481006024096381</c:v>
                </c:pt>
                <c:pt idx="32" formatCode="General">
                  <c:v>-51.794861445783127</c:v>
                </c:pt>
                <c:pt idx="33" formatCode="General">
                  <c:v>-52.098599999999998</c:v>
                </c:pt>
                <c:pt idx="34" formatCode="General">
                  <c:v>-52.402236363636362</c:v>
                </c:pt>
                <c:pt idx="35" formatCode="General">
                  <c:v>-52.705872727272727</c:v>
                </c:pt>
                <c:pt idx="36" formatCode="General">
                  <c:v>-53.009509090909091</c:v>
                </c:pt>
                <c:pt idx="37" formatCode="General">
                  <c:v>-53.31287291981846</c:v>
                </c:pt>
                <c:pt idx="38" formatCode="General">
                  <c:v>-53.609695915279879</c:v>
                </c:pt>
                <c:pt idx="39" formatCode="General">
                  <c:v>-53.906518910741298</c:v>
                </c:pt>
                <c:pt idx="40" formatCode="General">
                  <c:v>-54.203341906202724</c:v>
                </c:pt>
                <c:pt idx="41" formatCode="General">
                  <c:v>-54.500164901664142</c:v>
                </c:pt>
                <c:pt idx="42" formatCode="General">
                  <c:v>-54.796987897125568</c:v>
                </c:pt>
                <c:pt idx="43" formatCode="General">
                  <c:v>-55.093810892586987</c:v>
                </c:pt>
                <c:pt idx="44" formatCode="General">
                  <c:v>-55.388090909090906</c:v>
                </c:pt>
                <c:pt idx="45" formatCode="General">
                  <c:v>-55.679000000000002</c:v>
                </c:pt>
                <c:pt idx="46" formatCode="General">
                  <c:v>-55.969436363636362</c:v>
                </c:pt>
                <c:pt idx="47" formatCode="General">
                  <c:v>-56.259818181818183</c:v>
                </c:pt>
                <c:pt idx="48" formatCode="General">
                  <c:v>-56.550727272727272</c:v>
                </c:pt>
                <c:pt idx="49" formatCode="General">
                  <c:v>-56.834722891566265</c:v>
                </c:pt>
                <c:pt idx="50" formatCode="General">
                  <c:v>-57.11122891566265</c:v>
                </c:pt>
                <c:pt idx="51" formatCode="General">
                  <c:v>-57.389109090909095</c:v>
                </c:pt>
                <c:pt idx="52" formatCode="General">
                  <c:v>-57.667187878787885</c:v>
                </c:pt>
                <c:pt idx="53" formatCode="General">
                  <c:v>-57.944763636363639</c:v>
                </c:pt>
                <c:pt idx="54" formatCode="General">
                  <c:v>-58.222654545454546</c:v>
                </c:pt>
                <c:pt idx="55" formatCode="General">
                  <c:v>-58.500836363636367</c:v>
                </c:pt>
                <c:pt idx="56" formatCode="General">
                  <c:v>-58.778490909090905</c:v>
                </c:pt>
                <c:pt idx="57" formatCode="General">
                  <c:v>-59.053877458396364</c:v>
                </c:pt>
                <c:pt idx="58" formatCode="General">
                  <c:v>-59.321502269288956</c:v>
                </c:pt>
                <c:pt idx="59" formatCode="General">
                  <c:v>-59.589127080181541</c:v>
                </c:pt>
                <c:pt idx="60" formatCode="General">
                  <c:v>-59.856751891074126</c:v>
                </c:pt>
                <c:pt idx="61" formatCode="General">
                  <c:v>-60.124376701966717</c:v>
                </c:pt>
                <c:pt idx="62" formatCode="General">
                  <c:v>-60.392001512859302</c:v>
                </c:pt>
                <c:pt idx="63" formatCode="General">
                  <c:v>-60.659626323751887</c:v>
                </c:pt>
                <c:pt idx="64" formatCode="General">
                  <c:v>-60.925557575757573</c:v>
                </c:pt>
                <c:pt idx="65" formatCode="General">
                  <c:v>-61.190406060606058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2E28-4420-B8DD-7D9C02A58C4F}"/>
            </c:ext>
          </c:extLst>
        </c:ser>
        <c:ser>
          <c:idx val="3"/>
          <c:order val="5"/>
          <c:tx>
            <c:strRef>
              <c:f>'Gibbs-EVAL'!$A$106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'Gibbs-EVAL'!$B$106:$BT$106</c:f>
              <c:numCache>
                <c:formatCode>0</c:formatCode>
                <c:ptCount val="71"/>
                <c:pt idx="0">
                  <c:v>-81.936848484848483</c:v>
                </c:pt>
                <c:pt idx="1">
                  <c:v>-79.557090909090917</c:v>
                </c:pt>
                <c:pt idx="2" formatCode="General">
                  <c:v>-77.338909090909098</c:v>
                </c:pt>
                <c:pt idx="3" formatCode="General">
                  <c:v>-75.293272727272736</c:v>
                </c:pt>
                <c:pt idx="4" formatCode="General">
                  <c:v>-73.308060606060607</c:v>
                </c:pt>
                <c:pt idx="5" formatCode="General">
                  <c:v>-71.283818181818177</c:v>
                </c:pt>
                <c:pt idx="6" formatCode="General">
                  <c:v>-69.319216867469876</c:v>
                </c:pt>
                <c:pt idx="7" formatCode="General">
                  <c:v>-67.433674698795187</c:v>
                </c:pt>
                <c:pt idx="8" formatCode="General">
                  <c:v>-65.665333333333336</c:v>
                </c:pt>
                <c:pt idx="9" formatCode="General">
                  <c:v>-63.948727272727275</c:v>
                </c:pt>
                <c:pt idx="10" formatCode="General">
                  <c:v>-62.354787878787882</c:v>
                </c:pt>
                <c:pt idx="11" formatCode="General">
                  <c:v>-60.894236006051436</c:v>
                </c:pt>
                <c:pt idx="12" formatCode="General">
                  <c:v>-59.584099848714068</c:v>
                </c:pt>
                <c:pt idx="13" formatCode="General">
                  <c:v>-58.2739636913767</c:v>
                </c:pt>
                <c:pt idx="14" formatCode="General">
                  <c:v>-56.963827534039332</c:v>
                </c:pt>
                <c:pt idx="15" formatCode="General">
                  <c:v>-55.653691376701964</c:v>
                </c:pt>
                <c:pt idx="16" formatCode="General">
                  <c:v>-54.343555219364596</c:v>
                </c:pt>
                <c:pt idx="17" formatCode="General">
                  <c:v>-53.033419062027228</c:v>
                </c:pt>
                <c:pt idx="18" formatCode="General">
                  <c:v>-51.917030303030302</c:v>
                </c:pt>
                <c:pt idx="19" formatCode="General">
                  <c:v>-50.844909090909091</c:v>
                </c:pt>
                <c:pt idx="20" formatCode="General">
                  <c:v>-49.820666666666668</c:v>
                </c:pt>
                <c:pt idx="21" formatCode="General">
                  <c:v>-48.837151515151518</c:v>
                </c:pt>
                <c:pt idx="22" formatCode="General">
                  <c:v>-47.885636363636358</c:v>
                </c:pt>
                <c:pt idx="23" formatCode="General">
                  <c:v>-46.994156626506019</c:v>
                </c:pt>
                <c:pt idx="24" formatCode="General">
                  <c:v>-46.119393939393937</c:v>
                </c:pt>
                <c:pt idx="25" formatCode="General">
                  <c:v>-45.276969696969694</c:v>
                </c:pt>
                <c:pt idx="26" formatCode="General">
                  <c:v>-44.463636363636361</c:v>
                </c:pt>
                <c:pt idx="27" formatCode="General">
                  <c:v>-43.669696969696965</c:v>
                </c:pt>
                <c:pt idx="28" formatCode="General">
                  <c:v>-42.921818181818182</c:v>
                </c:pt>
                <c:pt idx="29" formatCode="General">
                  <c:v>-42.205454545454543</c:v>
                </c:pt>
                <c:pt idx="30" formatCode="General">
                  <c:v>-41.556969696969695</c:v>
                </c:pt>
                <c:pt idx="31" formatCode="General">
                  <c:v>-41.032409638554213</c:v>
                </c:pt>
                <c:pt idx="32" formatCode="General">
                  <c:v>-40.574578313253014</c:v>
                </c:pt>
                <c:pt idx="33" formatCode="General">
                  <c:v>-40.138000000000005</c:v>
                </c:pt>
                <c:pt idx="34" formatCode="General">
                  <c:v>-39.711939393939396</c:v>
                </c:pt>
                <c:pt idx="35" formatCode="General">
                  <c:v>-39.30587878787879</c:v>
                </c:pt>
                <c:pt idx="36" formatCode="General">
                  <c:v>-38.912363636363636</c:v>
                </c:pt>
                <c:pt idx="37" formatCode="General">
                  <c:v>-38.526505295007567</c:v>
                </c:pt>
                <c:pt idx="38" formatCode="General">
                  <c:v>-38.189137670196672</c:v>
                </c:pt>
                <c:pt idx="39" formatCode="General">
                  <c:v>-37.851770045385777</c:v>
                </c:pt>
                <c:pt idx="40" formatCode="General">
                  <c:v>-37.514402420574889</c:v>
                </c:pt>
                <c:pt idx="41" formatCode="General">
                  <c:v>-37.177034795763994</c:v>
                </c:pt>
                <c:pt idx="42" formatCode="General">
                  <c:v>-36.839667170953106</c:v>
                </c:pt>
                <c:pt idx="43" formatCode="General">
                  <c:v>-36.502299546142211</c:v>
                </c:pt>
                <c:pt idx="44" formatCode="General">
                  <c:v>-36.182303030303032</c:v>
                </c:pt>
                <c:pt idx="45" formatCode="General">
                  <c:v>-35.885333333333335</c:v>
                </c:pt>
                <c:pt idx="46" formatCode="General">
                  <c:v>-35.600654545454546</c:v>
                </c:pt>
                <c:pt idx="47" formatCode="General">
                  <c:v>-35.321490909090912</c:v>
                </c:pt>
                <c:pt idx="48" formatCode="General">
                  <c:v>-35.056036363636366</c:v>
                </c:pt>
                <c:pt idx="49" formatCode="General">
                  <c:v>-34.795108433734939</c:v>
                </c:pt>
                <c:pt idx="50" formatCode="General">
                  <c:v>-34.539084337349401</c:v>
                </c:pt>
                <c:pt idx="51" formatCode="General">
                  <c:v>-34.300175757575758</c:v>
                </c:pt>
                <c:pt idx="52" formatCode="General">
                  <c:v>-34.135084848484851</c:v>
                </c:pt>
                <c:pt idx="53" formatCode="General">
                  <c:v>-34.312054545454544</c:v>
                </c:pt>
                <c:pt idx="54" formatCode="General">
                  <c:v>-34.489024242424243</c:v>
                </c:pt>
                <c:pt idx="55" formatCode="General">
                  <c:v>-34.665993939393942</c:v>
                </c:pt>
                <c:pt idx="56" formatCode="General">
                  <c:v>-34.844018181818178</c:v>
                </c:pt>
                <c:pt idx="57" formatCode="General">
                  <c:v>-35.021807866868379</c:v>
                </c:pt>
                <c:pt idx="58" formatCode="General">
                  <c:v>-35.198207261724662</c:v>
                </c:pt>
                <c:pt idx="59" formatCode="General">
                  <c:v>-35.374606656580937</c:v>
                </c:pt>
                <c:pt idx="60" formatCode="General">
                  <c:v>-35.551006051437213</c:v>
                </c:pt>
                <c:pt idx="61" formatCode="General">
                  <c:v>-35.727405446293496</c:v>
                </c:pt>
                <c:pt idx="62" formatCode="General">
                  <c:v>-35.903804841149771</c:v>
                </c:pt>
                <c:pt idx="63" formatCode="General">
                  <c:v>-36.080204236006054</c:v>
                </c:pt>
                <c:pt idx="64" formatCode="General">
                  <c:v>-36.258430303030302</c:v>
                </c:pt>
                <c:pt idx="65" formatCode="General">
                  <c:v>-36.437824242424242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2E28-4420-B8DD-7D9C02A58C4F}"/>
            </c:ext>
          </c:extLst>
        </c:ser>
        <c:ser>
          <c:idx val="4"/>
          <c:order val="6"/>
          <c:tx>
            <c:strRef>
              <c:f>'Gibbs-EVAL'!$A$107</c:f>
              <c:strCache>
                <c:ptCount val="1"/>
                <c:pt idx="0">
                  <c:v>*Ge[l]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'Gibbs-EVAL'!$B$107:$BT$107</c:f>
              <c:numCache>
                <c:formatCode>0</c:formatCode>
                <c:ptCount val="71"/>
                <c:pt idx="0">
                  <c:v>-15.300424242424242</c:v>
                </c:pt>
                <c:pt idx="1">
                  <c:v>-14.974848484848485</c:v>
                </c:pt>
                <c:pt idx="2" formatCode="General">
                  <c:v>-14.671818181818182</c:v>
                </c:pt>
                <c:pt idx="3" formatCode="General">
                  <c:v>-14.399757575757576</c:v>
                </c:pt>
                <c:pt idx="4" formatCode="General">
                  <c:v>-14.105212121212121</c:v>
                </c:pt>
                <c:pt idx="5" formatCode="General">
                  <c:v>-13.420363636363636</c:v>
                </c:pt>
                <c:pt idx="6" formatCode="General">
                  <c:v>-12.711385542168674</c:v>
                </c:pt>
                <c:pt idx="7" formatCode="General">
                  <c:v>-11.970421686746988</c:v>
                </c:pt>
                <c:pt idx="8" formatCode="General">
                  <c:v>-11.272666666666668</c:v>
                </c:pt>
                <c:pt idx="9" formatCode="General">
                  <c:v>-10.593127272727273</c:v>
                </c:pt>
                <c:pt idx="10" formatCode="General">
                  <c:v>-9.9525212121212121</c:v>
                </c:pt>
                <c:pt idx="11" formatCode="General">
                  <c:v>-9.3588018154311658</c:v>
                </c:pt>
                <c:pt idx="12" formatCode="General">
                  <c:v>-8.8179546142208771</c:v>
                </c:pt>
                <c:pt idx="13" formatCode="General">
                  <c:v>-8.2771074130105902</c:v>
                </c:pt>
                <c:pt idx="14" formatCode="General">
                  <c:v>-7.7362602118003023</c:v>
                </c:pt>
                <c:pt idx="15" formatCode="General">
                  <c:v>-7.1954130105900145</c:v>
                </c:pt>
                <c:pt idx="16" formatCode="General">
                  <c:v>-6.6545658093797275</c:v>
                </c:pt>
                <c:pt idx="17" formatCode="General">
                  <c:v>-6.1137186081694388</c:v>
                </c:pt>
                <c:pt idx="18" formatCode="General">
                  <c:v>-5.6392727272727265</c:v>
                </c:pt>
                <c:pt idx="19" formatCode="General">
                  <c:v>-5.1809818181818166</c:v>
                </c:pt>
                <c:pt idx="20" formatCode="General">
                  <c:v>-4.742799999999999</c:v>
                </c:pt>
                <c:pt idx="21" formatCode="General">
                  <c:v>-4.4023636363636358</c:v>
                </c:pt>
                <c:pt idx="22" formatCode="General">
                  <c:v>-4.1387272727272721</c:v>
                </c:pt>
                <c:pt idx="23" formatCode="General">
                  <c:v>-4.1369277108433735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2E28-4420-B8DD-7D9C02A58C4F}"/>
            </c:ext>
          </c:extLst>
        </c:ser>
        <c:ser>
          <c:idx val="5"/>
          <c:order val="7"/>
          <c:tx>
            <c:strRef>
              <c:f>'Gibbs-EVAL'!$A$108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'Gibbs-EVAL'!$B$108:$BT$108</c:f>
              <c:numCache>
                <c:formatCode>0</c:formatCode>
                <c:ptCount val="71"/>
                <c:pt idx="0">
                  <c:v>-37.092424242424244</c:v>
                </c:pt>
                <c:pt idx="1">
                  <c:v>-36.192181818181822</c:v>
                </c:pt>
                <c:pt idx="2" formatCode="General">
                  <c:v>-35.355818181818179</c:v>
                </c:pt>
                <c:pt idx="3" formatCode="General">
                  <c:v>-34.594666666666662</c:v>
                </c:pt>
                <c:pt idx="4" formatCode="General">
                  <c:v>-33.867151515151519</c:v>
                </c:pt>
                <c:pt idx="5" formatCode="General">
                  <c:v>-33.206545454545456</c:v>
                </c:pt>
                <c:pt idx="6" formatCode="General">
                  <c:v>-32.573554216867471</c:v>
                </c:pt>
                <c:pt idx="7" formatCode="General">
                  <c:v>-31.977168674698795</c:v>
                </c:pt>
                <c:pt idx="8" formatCode="General">
                  <c:v>-31.424666666666667</c:v>
                </c:pt>
                <c:pt idx="9" formatCode="General">
                  <c:v>-30.891309090909093</c:v>
                </c:pt>
                <c:pt idx="10" formatCode="General">
                  <c:v>-30.402218181818185</c:v>
                </c:pt>
                <c:pt idx="11" formatCode="General">
                  <c:v>-29.959906202723147</c:v>
                </c:pt>
                <c:pt idx="12" formatCode="General">
                  <c:v>-29.570344931921333</c:v>
                </c:pt>
                <c:pt idx="13" formatCode="General">
                  <c:v>-29.180783661119516</c:v>
                </c:pt>
                <c:pt idx="14" formatCode="General">
                  <c:v>-28.791222390317703</c:v>
                </c:pt>
                <c:pt idx="15" formatCode="General">
                  <c:v>-28.401661119515886</c:v>
                </c:pt>
                <c:pt idx="16" formatCode="General">
                  <c:v>-28.012099848714069</c:v>
                </c:pt>
                <c:pt idx="17" formatCode="General">
                  <c:v>-27.622538577912255</c:v>
                </c:pt>
                <c:pt idx="18" formatCode="General">
                  <c:v>-27.299575757575759</c:v>
                </c:pt>
                <c:pt idx="19" formatCode="General">
                  <c:v>-26.991527272727271</c:v>
                </c:pt>
                <c:pt idx="20" formatCode="General">
                  <c:v>-26.698799999999999</c:v>
                </c:pt>
                <c:pt idx="21" formatCode="General">
                  <c:v>-26.50721212121212</c:v>
                </c:pt>
                <c:pt idx="22" formatCode="General">
                  <c:v>-26.395090909090907</c:v>
                </c:pt>
                <c:pt idx="23" formatCode="General">
                  <c:v>-26.543975903614456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-27.907030120481927</c:v>
                </c:pt>
                <c:pt idx="32" formatCode="General">
                  <c:v>-28.076307228915663</c:v>
                </c:pt>
                <c:pt idx="33" formatCode="General">
                  <c:v>-28.240600000000001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2E28-4420-B8DD-7D9C02A58C4F}"/>
            </c:ext>
          </c:extLst>
        </c:ser>
        <c:ser>
          <c:idx val="6"/>
          <c:order val="8"/>
          <c:tx>
            <c:strRef>
              <c:f>'Gibbs-EVAL'!$A$109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'Gibbs-EVAL'!$B$109:$BT$109</c:f>
              <c:numCache>
                <c:formatCode>0</c:formatCode>
                <c:ptCount val="71"/>
                <c:pt idx="0">
                  <c:v>-142.08169696969696</c:v>
                </c:pt>
                <c:pt idx="1">
                  <c:v>-137.89684848484848</c:v>
                </c:pt>
                <c:pt idx="2" formatCode="General">
                  <c:v>-133.99381818181817</c:v>
                </c:pt>
                <c:pt idx="3" formatCode="General">
                  <c:v>-130.39163636363637</c:v>
                </c:pt>
                <c:pt idx="4" formatCode="General">
                  <c:v>-126.85418181818181</c:v>
                </c:pt>
                <c:pt idx="5" formatCode="General">
                  <c:v>-122.78145454545454</c:v>
                </c:pt>
                <c:pt idx="6" formatCode="General">
                  <c:v>-118.77626506024096</c:v>
                </c:pt>
                <c:pt idx="7" formatCode="General">
                  <c:v>-114.86060240963856</c:v>
                </c:pt>
                <c:pt idx="8" formatCode="General">
                  <c:v>-111.17866666666667</c:v>
                </c:pt>
                <c:pt idx="9" formatCode="General">
                  <c:v>-107.59927272727273</c:v>
                </c:pt>
                <c:pt idx="10" formatCode="General">
                  <c:v>-104.25987878787879</c:v>
                </c:pt>
                <c:pt idx="11" formatCode="General">
                  <c:v>-101.18736762481089</c:v>
                </c:pt>
                <c:pt idx="12" formatCode="General">
                  <c:v>-98.415809379727676</c:v>
                </c:pt>
                <c:pt idx="13" formatCode="General">
                  <c:v>-95.644251134644477</c:v>
                </c:pt>
                <c:pt idx="14" formatCode="General">
                  <c:v>-92.872692889561264</c:v>
                </c:pt>
                <c:pt idx="15" formatCode="General">
                  <c:v>-90.101134644478066</c:v>
                </c:pt>
                <c:pt idx="16" formatCode="General">
                  <c:v>-87.329576399394853</c:v>
                </c:pt>
                <c:pt idx="17" formatCode="General">
                  <c:v>-84.55801815431164</c:v>
                </c:pt>
                <c:pt idx="18" formatCode="General">
                  <c:v>-82.173757575757577</c:v>
                </c:pt>
                <c:pt idx="19" formatCode="General">
                  <c:v>-79.879272727272721</c:v>
                </c:pt>
                <c:pt idx="20" formatCode="General">
                  <c:v>-77.685333333333332</c:v>
                </c:pt>
                <c:pt idx="21" formatCode="General">
                  <c:v>-75.569454545454533</c:v>
                </c:pt>
                <c:pt idx="22" formatCode="General">
                  <c:v>-73.514909090909086</c:v>
                </c:pt>
                <c:pt idx="23" formatCode="General">
                  <c:v>-71.581265060240966</c:v>
                </c:pt>
                <c:pt idx="24" formatCode="General">
                  <c:v>-69.682424242424247</c:v>
                </c:pt>
                <c:pt idx="25" formatCode="General">
                  <c:v>-67.852121212121219</c:v>
                </c:pt>
                <c:pt idx="26" formatCode="General">
                  <c:v>-66.08</c:v>
                </c:pt>
                <c:pt idx="27" formatCode="General">
                  <c:v>-64.346666666666664</c:v>
                </c:pt>
                <c:pt idx="28" formatCode="General">
                  <c:v>-62.705454545454543</c:v>
                </c:pt>
                <c:pt idx="29" formatCode="General">
                  <c:v>-61.127272727272732</c:v>
                </c:pt>
                <c:pt idx="30" formatCode="General">
                  <c:v>-59.684848484848487</c:v>
                </c:pt>
                <c:pt idx="31" formatCode="General">
                  <c:v>-58.490843373493981</c:v>
                </c:pt>
                <c:pt idx="32" formatCode="General">
                  <c:v>-57.43060240963856</c:v>
                </c:pt>
                <c:pt idx="33" formatCode="General">
                  <c:v>-56.418000000000006</c:v>
                </c:pt>
                <c:pt idx="34" formatCode="General">
                  <c:v>-55.426484848484847</c:v>
                </c:pt>
                <c:pt idx="35" formatCode="General">
                  <c:v>-54.474969696969701</c:v>
                </c:pt>
                <c:pt idx="36" formatCode="General">
                  <c:v>-53.548545454545454</c:v>
                </c:pt>
                <c:pt idx="37" formatCode="General">
                  <c:v>-52.637564296520431</c:v>
                </c:pt>
                <c:pt idx="38" formatCode="General">
                  <c:v>-51.82667170953102</c:v>
                </c:pt>
                <c:pt idx="39" formatCode="General">
                  <c:v>-51.015779122541609</c:v>
                </c:pt>
                <c:pt idx="40" formatCode="General">
                  <c:v>-50.204886535552198</c:v>
                </c:pt>
                <c:pt idx="41" formatCode="General">
                  <c:v>-49.393993948562787</c:v>
                </c:pt>
                <c:pt idx="42" formatCode="General">
                  <c:v>-48.583101361573377</c:v>
                </c:pt>
                <c:pt idx="43" formatCode="General">
                  <c:v>-47.772208774583973</c:v>
                </c:pt>
                <c:pt idx="44" formatCode="General">
                  <c:v>-46.99727272727273</c:v>
                </c:pt>
                <c:pt idx="45" formatCode="General">
                  <c:v>-46.27</c:v>
                </c:pt>
                <c:pt idx="46" formatCode="General">
                  <c:v>-45.567309090909099</c:v>
                </c:pt>
                <c:pt idx="47" formatCode="General">
                  <c:v>-44.87564848484849</c:v>
                </c:pt>
                <c:pt idx="48" formatCode="General">
                  <c:v>-44.211406060606066</c:v>
                </c:pt>
                <c:pt idx="49" formatCode="General">
                  <c:v>-43.559493975903614</c:v>
                </c:pt>
                <c:pt idx="50" formatCode="General">
                  <c:v>-42.920939759036138</c:v>
                </c:pt>
                <c:pt idx="51" formatCode="General">
                  <c:v>-42.315987878787872</c:v>
                </c:pt>
                <c:pt idx="52" formatCode="General">
                  <c:v>-41.858533333333334</c:v>
                </c:pt>
                <c:pt idx="53" formatCode="General">
                  <c:v>-42.0852</c:v>
                </c:pt>
                <c:pt idx="54" formatCode="General">
                  <c:v>-42.311866666666667</c:v>
                </c:pt>
                <c:pt idx="55" formatCode="General">
                  <c:v>-42.538533333333334</c:v>
                </c:pt>
                <c:pt idx="56" formatCode="General">
                  <c:v>-42.767309090909087</c:v>
                </c:pt>
                <c:pt idx="57" formatCode="General">
                  <c:v>-42.996656580937973</c:v>
                </c:pt>
                <c:pt idx="58" formatCode="General">
                  <c:v>-43.226913767019667</c:v>
                </c:pt>
                <c:pt idx="59" formatCode="General">
                  <c:v>-43.457170953101361</c:v>
                </c:pt>
                <c:pt idx="60" formatCode="General">
                  <c:v>-43.687428139183055</c:v>
                </c:pt>
                <c:pt idx="61" formatCode="General">
                  <c:v>-43.917685325264756</c:v>
                </c:pt>
                <c:pt idx="62" formatCode="General">
                  <c:v>-44.14794251134645</c:v>
                </c:pt>
                <c:pt idx="63" formatCode="General">
                  <c:v>-44.378199697428144</c:v>
                </c:pt>
                <c:pt idx="64" formatCode="General">
                  <c:v>-44.612921212121215</c:v>
                </c:pt>
                <c:pt idx="65" formatCode="General">
                  <c:v>-44.85049696969697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2E28-4420-B8DD-7D9C02A58C4F}"/>
            </c:ext>
          </c:extLst>
        </c:ser>
        <c:ser>
          <c:idx val="7"/>
          <c:order val="9"/>
          <c:tx>
            <c:strRef>
              <c:f>'Gibbs-EVAL'!$A$110</c:f>
              <c:strCache>
                <c:ptCount val="1"/>
                <c:pt idx="0">
                  <c:v>Ar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-18.630969696969697</c:v>
                </c:pt>
                <c:pt idx="5" formatCode="General">
                  <c:v>-18.643090909090908</c:v>
                </c:pt>
                <c:pt idx="6" formatCode="General">
                  <c:v>-18.655180722891565</c:v>
                </c:pt>
                <c:pt idx="7" formatCode="General">
                  <c:v>-18.667228915662651</c:v>
                </c:pt>
                <c:pt idx="8" formatCode="General">
                  <c:v>-18.679333333333336</c:v>
                </c:pt>
                <c:pt idx="9" formatCode="General">
                  <c:v>-18.692181818181819</c:v>
                </c:pt>
                <c:pt idx="10" formatCode="General">
                  <c:v>-18.710363636363635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-18.855636363636364</c:v>
                </c:pt>
                <c:pt idx="19" formatCode="General">
                  <c:v>-18.873818181818184</c:v>
                </c:pt>
                <c:pt idx="20" formatCode="General">
                  <c:v>-18.891999999999999</c:v>
                </c:pt>
                <c:pt idx="21" formatCode="General">
                  <c:v>-18.913575757575757</c:v>
                </c:pt>
                <c:pt idx="22" formatCode="General">
                  <c:v>-18.937818181818184</c:v>
                </c:pt>
                <c:pt idx="23" formatCode="General">
                  <c:v>-18.95644578313253</c:v>
                </c:pt>
                <c:pt idx="24" formatCode="General">
                  <c:v>-18.976060606060607</c:v>
                </c:pt>
                <c:pt idx="25" formatCode="General">
                  <c:v>-19.00030303030303</c:v>
                </c:pt>
                <c:pt idx="26" formatCode="General">
                  <c:v>-19.020909090909093</c:v>
                </c:pt>
                <c:pt idx="27" formatCode="General">
                  <c:v>-19.039090909090909</c:v>
                </c:pt>
                <c:pt idx="28" formatCode="General">
                  <c:v>-19.057272727272728</c:v>
                </c:pt>
                <c:pt idx="29" formatCode="General">
                  <c:v>-19.077272727272728</c:v>
                </c:pt>
                <c:pt idx="30" formatCode="General">
                  <c:v>-19.101515151515152</c:v>
                </c:pt>
                <c:pt idx="31" formatCode="General">
                  <c:v>-19.121746987951806</c:v>
                </c:pt>
                <c:pt idx="32" formatCode="General">
                  <c:v>-19.139819277108433</c:v>
                </c:pt>
                <c:pt idx="33" formatCode="General">
                  <c:v>-19.164000000000001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2E28-4420-B8DD-7D9C02A58C4F}"/>
            </c:ext>
          </c:extLst>
        </c:ser>
        <c:ser>
          <c:idx val="8"/>
          <c:order val="10"/>
          <c:tx>
            <c:strRef>
              <c:f>'Gibbs-EVAL'!$A$111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-60.144848484848481</c:v>
                </c:pt>
                <c:pt idx="1">
                  <c:v>-58.339757575757574</c:v>
                </c:pt>
                <c:pt idx="2" formatCode="General">
                  <c:v>-56.654909090909094</c:v>
                </c:pt>
                <c:pt idx="3" formatCode="General">
                  <c:v>-55.098363636363636</c:v>
                </c:pt>
                <c:pt idx="4" formatCode="General">
                  <c:v>-53.546121212121207</c:v>
                </c:pt>
                <c:pt idx="5" formatCode="General">
                  <c:v>-51.49763636363636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2E28-4420-B8DD-7D9C02A58C4F}"/>
            </c:ext>
          </c:extLst>
        </c:ser>
        <c:ser>
          <c:idx val="9"/>
          <c:order val="11"/>
          <c:tx>
            <c:strRef>
              <c:f>'Gibbs-EVAL'!$A$112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-37.092424242424244</c:v>
                </c:pt>
                <c:pt idx="1">
                  <c:v>-36.192181818181822</c:v>
                </c:pt>
                <c:pt idx="2" formatCode="General">
                  <c:v>-35.355818181818179</c:v>
                </c:pt>
                <c:pt idx="3" formatCode="General">
                  <c:v>-34.594666666666662</c:v>
                </c:pt>
                <c:pt idx="4" formatCode="General">
                  <c:v>-33.867151515151519</c:v>
                </c:pt>
                <c:pt idx="5" formatCode="General">
                  <c:v>-33.206545454545456</c:v>
                </c:pt>
                <c:pt idx="6" formatCode="General">
                  <c:v>-32.573554216867471</c:v>
                </c:pt>
                <c:pt idx="7" formatCode="General">
                  <c:v>-31.977168674698795</c:v>
                </c:pt>
                <c:pt idx="8" formatCode="General">
                  <c:v>-31.424666666666667</c:v>
                </c:pt>
                <c:pt idx="9" formatCode="General">
                  <c:v>-30.891309090909093</c:v>
                </c:pt>
                <c:pt idx="10" formatCode="General">
                  <c:v>-30.402218181818185</c:v>
                </c:pt>
                <c:pt idx="11" formatCode="General">
                  <c:v>-29.959906202723147</c:v>
                </c:pt>
                <c:pt idx="12" formatCode="General">
                  <c:v>-29.570344931921333</c:v>
                </c:pt>
                <c:pt idx="13" formatCode="General">
                  <c:v>-29.180783661119516</c:v>
                </c:pt>
                <c:pt idx="14" formatCode="General">
                  <c:v>-28.791222390317703</c:v>
                </c:pt>
                <c:pt idx="15" formatCode="General">
                  <c:v>-28.401661119515886</c:v>
                </c:pt>
                <c:pt idx="16" formatCode="General">
                  <c:v>-28.012099848714069</c:v>
                </c:pt>
                <c:pt idx="17" formatCode="General">
                  <c:v>-27.622538577912255</c:v>
                </c:pt>
                <c:pt idx="18" formatCode="General">
                  <c:v>-27.299575757575759</c:v>
                </c:pt>
                <c:pt idx="19" formatCode="General">
                  <c:v>-26.991527272727271</c:v>
                </c:pt>
                <c:pt idx="20" formatCode="General">
                  <c:v>-26.698799999999999</c:v>
                </c:pt>
                <c:pt idx="21" formatCode="General">
                  <c:v>-26.50721212121212</c:v>
                </c:pt>
                <c:pt idx="22" formatCode="General">
                  <c:v>-26.395090909090907</c:v>
                </c:pt>
                <c:pt idx="23" formatCode="General">
                  <c:v>-26.543975903614456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-27.907030120481927</c:v>
                </c:pt>
                <c:pt idx="32" formatCode="General">
                  <c:v>-28.076307228915663</c:v>
                </c:pt>
                <c:pt idx="33" formatCode="General">
                  <c:v>-28.240600000000001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2E28-4420-B8DD-7D9C02A58C4F}"/>
            </c:ext>
          </c:extLst>
        </c:ser>
        <c:ser>
          <c:idx val="10"/>
          <c:order val="12"/>
          <c:tx>
            <c:strRef>
              <c:f>'Gibbs-EVAL'!$A$113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'Gibbs-EVAL'!$B$113:$BT$113</c:f>
              <c:numCache>
                <c:formatCode>0</c:formatCode>
                <c:ptCount val="71"/>
                <c:pt idx="0">
                  <c:v>-15.300424242424242</c:v>
                </c:pt>
                <c:pt idx="1">
                  <c:v>-14.974848484848485</c:v>
                </c:pt>
                <c:pt idx="2" formatCode="General">
                  <c:v>-14.671818181818182</c:v>
                </c:pt>
                <c:pt idx="3" formatCode="General">
                  <c:v>-14.399757575757576</c:v>
                </c:pt>
                <c:pt idx="4" formatCode="General">
                  <c:v>-14.105212121212121</c:v>
                </c:pt>
                <c:pt idx="5" formatCode="General">
                  <c:v>-13.420363636363636</c:v>
                </c:pt>
                <c:pt idx="6" formatCode="General">
                  <c:v>-12.711385542168674</c:v>
                </c:pt>
                <c:pt idx="7" formatCode="General">
                  <c:v>-11.970421686746988</c:v>
                </c:pt>
                <c:pt idx="8" formatCode="General">
                  <c:v>-11.272666666666668</c:v>
                </c:pt>
                <c:pt idx="9" formatCode="General">
                  <c:v>-10.593127272727273</c:v>
                </c:pt>
                <c:pt idx="10" formatCode="General">
                  <c:v>-9.9525212121212121</c:v>
                </c:pt>
                <c:pt idx="11" formatCode="General">
                  <c:v>-9.3588018154311658</c:v>
                </c:pt>
                <c:pt idx="12" formatCode="General">
                  <c:v>-8.8179546142208771</c:v>
                </c:pt>
                <c:pt idx="13" formatCode="General">
                  <c:v>-8.2771074130105902</c:v>
                </c:pt>
                <c:pt idx="14" formatCode="General">
                  <c:v>-7.7362602118003023</c:v>
                </c:pt>
                <c:pt idx="15" formatCode="General">
                  <c:v>-7.1954130105900145</c:v>
                </c:pt>
                <c:pt idx="16" formatCode="General">
                  <c:v>-6.6545658093797275</c:v>
                </c:pt>
                <c:pt idx="17" formatCode="General">
                  <c:v>-6.1137186081694388</c:v>
                </c:pt>
                <c:pt idx="18" formatCode="General">
                  <c:v>-5.6392727272727265</c:v>
                </c:pt>
                <c:pt idx="19" formatCode="General">
                  <c:v>-5.1809818181818166</c:v>
                </c:pt>
                <c:pt idx="20" formatCode="General">
                  <c:v>-4.742799999999999</c:v>
                </c:pt>
                <c:pt idx="21" formatCode="General">
                  <c:v>-4.4023636363636358</c:v>
                </c:pt>
                <c:pt idx="22" formatCode="General">
                  <c:v>-4.1387272727272721</c:v>
                </c:pt>
                <c:pt idx="23" formatCode="General">
                  <c:v>-4.1369277108433735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2E28-4420-B8DD-7D9C02A58C4F}"/>
            </c:ext>
          </c:extLst>
        </c:ser>
        <c:ser>
          <c:idx val="11"/>
          <c:order val="13"/>
          <c:tx>
            <c:strRef>
              <c:f>'Gibbs-EVAL'!$A$114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'Gibbs-EVAL'!$B$114:$BT$114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-18.630969696969697</c:v>
                </c:pt>
                <c:pt idx="5" formatCode="General">
                  <c:v>-18.643090909090908</c:v>
                </c:pt>
                <c:pt idx="6" formatCode="General">
                  <c:v>-18.655180722891565</c:v>
                </c:pt>
                <c:pt idx="7" formatCode="General">
                  <c:v>-18.667228915662651</c:v>
                </c:pt>
                <c:pt idx="8" formatCode="General">
                  <c:v>-18.679333333333336</c:v>
                </c:pt>
                <c:pt idx="9" formatCode="General">
                  <c:v>-18.692181818181819</c:v>
                </c:pt>
                <c:pt idx="10" formatCode="General">
                  <c:v>-18.710363636363635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-18.855636363636364</c:v>
                </c:pt>
                <c:pt idx="19" formatCode="General">
                  <c:v>-18.873818181818184</c:v>
                </c:pt>
                <c:pt idx="20" formatCode="General">
                  <c:v>-18.891999999999999</c:v>
                </c:pt>
                <c:pt idx="21" formatCode="General">
                  <c:v>-18.913575757575757</c:v>
                </c:pt>
                <c:pt idx="22" formatCode="General">
                  <c:v>-18.937818181818184</c:v>
                </c:pt>
                <c:pt idx="23" formatCode="General">
                  <c:v>-18.95644578313253</c:v>
                </c:pt>
                <c:pt idx="24" formatCode="General">
                  <c:v>-18.976060606060607</c:v>
                </c:pt>
                <c:pt idx="25" formatCode="General">
                  <c:v>-19.00030303030303</c:v>
                </c:pt>
                <c:pt idx="26" formatCode="General">
                  <c:v>-19.020909090909093</c:v>
                </c:pt>
                <c:pt idx="27" formatCode="General">
                  <c:v>-19.039090909090909</c:v>
                </c:pt>
                <c:pt idx="28" formatCode="General">
                  <c:v>-19.057272727272728</c:v>
                </c:pt>
                <c:pt idx="29" formatCode="General">
                  <c:v>-19.077272727272728</c:v>
                </c:pt>
                <c:pt idx="30" formatCode="General">
                  <c:v>-19.101515151515152</c:v>
                </c:pt>
                <c:pt idx="31" formatCode="General">
                  <c:v>-19.121746987951806</c:v>
                </c:pt>
                <c:pt idx="32" formatCode="General">
                  <c:v>-19.139819277108433</c:v>
                </c:pt>
                <c:pt idx="33" formatCode="General">
                  <c:v>-19.164000000000001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2E28-4420-B8DD-7D9C02A58C4F}"/>
            </c:ext>
          </c:extLst>
        </c:ser>
        <c:ser>
          <c:idx val="12"/>
          <c:order val="14"/>
          <c:tx>
            <c:strRef>
              <c:f>'Gibbs-EVAL'!$A$115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'Gibbs-EVAL'!$B$115:$BT$115</c:f>
              <c:numCache>
                <c:formatCode>0</c:formatCode>
                <c:ptCount val="71"/>
                <c:pt idx="0">
                  <c:v>-60.144848484848481</c:v>
                </c:pt>
                <c:pt idx="1">
                  <c:v>-58.339757575757574</c:v>
                </c:pt>
                <c:pt idx="2" formatCode="General">
                  <c:v>-56.654909090909094</c:v>
                </c:pt>
                <c:pt idx="3" formatCode="General">
                  <c:v>-55.098363636363636</c:v>
                </c:pt>
                <c:pt idx="4" formatCode="General">
                  <c:v>-53.546121212121207</c:v>
                </c:pt>
                <c:pt idx="5" formatCode="General">
                  <c:v>-51.49763636363636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2E28-4420-B8DD-7D9C02A58C4F}"/>
            </c:ext>
          </c:extLst>
        </c:ser>
        <c:ser>
          <c:idx val="13"/>
          <c:order val="15"/>
          <c:tx>
            <c:strRef>
              <c:f>'Gibbs-EVAL'!$A$116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'Gibbs-EVAL'!$B$116:$BT$116</c:f>
              <c:numCache>
                <c:formatCode>0</c:formatCode>
                <c:ptCount val="71"/>
                <c:pt idx="0">
                  <c:v>-15.300424242424242</c:v>
                </c:pt>
                <c:pt idx="1">
                  <c:v>-14.974848484848485</c:v>
                </c:pt>
                <c:pt idx="2" formatCode="General">
                  <c:v>-14.671818181818182</c:v>
                </c:pt>
                <c:pt idx="3" formatCode="General">
                  <c:v>-14.399757575757576</c:v>
                </c:pt>
                <c:pt idx="4" formatCode="General">
                  <c:v>-14.105212121212121</c:v>
                </c:pt>
                <c:pt idx="5" formatCode="General">
                  <c:v>-13.420363636363636</c:v>
                </c:pt>
                <c:pt idx="6" formatCode="General">
                  <c:v>-12.711385542168674</c:v>
                </c:pt>
                <c:pt idx="7" formatCode="General">
                  <c:v>-11.970421686746988</c:v>
                </c:pt>
                <c:pt idx="8" formatCode="General">
                  <c:v>-11.272666666666668</c:v>
                </c:pt>
                <c:pt idx="9" formatCode="General">
                  <c:v>-10.593127272727273</c:v>
                </c:pt>
                <c:pt idx="10" formatCode="General">
                  <c:v>-9.9525212121212121</c:v>
                </c:pt>
                <c:pt idx="11" formatCode="General">
                  <c:v>-9.3588018154311658</c:v>
                </c:pt>
                <c:pt idx="12" formatCode="General">
                  <c:v>-8.8179546142208771</c:v>
                </c:pt>
                <c:pt idx="13" formatCode="General">
                  <c:v>-8.2771074130105902</c:v>
                </c:pt>
                <c:pt idx="14" formatCode="General">
                  <c:v>-7.7362602118003023</c:v>
                </c:pt>
                <c:pt idx="15" formatCode="General">
                  <c:v>-7.1954130105900145</c:v>
                </c:pt>
                <c:pt idx="16" formatCode="General">
                  <c:v>-6.6545658093797275</c:v>
                </c:pt>
                <c:pt idx="17" formatCode="General">
                  <c:v>-6.1137186081694388</c:v>
                </c:pt>
                <c:pt idx="18" formatCode="General">
                  <c:v>-5.6392727272727265</c:v>
                </c:pt>
                <c:pt idx="19" formatCode="General">
                  <c:v>-5.1809818181818166</c:v>
                </c:pt>
                <c:pt idx="20" formatCode="General">
                  <c:v>-4.742799999999999</c:v>
                </c:pt>
                <c:pt idx="21" formatCode="General">
                  <c:v>-4.4023636363636358</c:v>
                </c:pt>
                <c:pt idx="22" formatCode="General">
                  <c:v>-4.1387272727272721</c:v>
                </c:pt>
                <c:pt idx="23" formatCode="General">
                  <c:v>-4.1369277108433735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2E28-4420-B8DD-7D9C02A58C4F}"/>
            </c:ext>
          </c:extLst>
        </c:ser>
        <c:ser>
          <c:idx val="14"/>
          <c:order val="16"/>
          <c:tx>
            <c:strRef>
              <c:f>'Gibbs-EVAL'!$A$117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'Gibbs-EVAL'!$B$117:$BT$117</c:f>
              <c:numCache>
                <c:formatCode>0</c:formatCode>
                <c:ptCount val="71"/>
                <c:pt idx="0">
                  <c:v>-21.792000000000002</c:v>
                </c:pt>
                <c:pt idx="1">
                  <c:v>-21.217333333333332</c:v>
                </c:pt>
                <c:pt idx="2" formatCode="General">
                  <c:v>-20.683999999999997</c:v>
                </c:pt>
                <c:pt idx="3" formatCode="General">
                  <c:v>-20.194909090909089</c:v>
                </c:pt>
                <c:pt idx="4" formatCode="General">
                  <c:v>-19.761939393939397</c:v>
                </c:pt>
                <c:pt idx="5" formatCode="General">
                  <c:v>-19.78618181818182</c:v>
                </c:pt>
                <c:pt idx="6" formatCode="General">
                  <c:v>-19.862168674698797</c:v>
                </c:pt>
                <c:pt idx="7" formatCode="General">
                  <c:v>-20.006746987951807</c:v>
                </c:pt>
                <c:pt idx="8" formatCode="General">
                  <c:v>-20.152000000000001</c:v>
                </c:pt>
                <c:pt idx="9" formatCode="General">
                  <c:v>-20.298181818181821</c:v>
                </c:pt>
                <c:pt idx="10" formatCode="General">
                  <c:v>-20.449696969696969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-23.573975903614457</c:v>
                </c:pt>
                <c:pt idx="32" formatCode="General">
                  <c:v>-23.718554216867467</c:v>
                </c:pt>
                <c:pt idx="33" formatCode="General">
                  <c:v>-23.858000000000001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2E28-4420-B8DD-7D9C02A58C4F}"/>
            </c:ext>
          </c:extLst>
        </c:ser>
        <c:ser>
          <c:idx val="15"/>
          <c:order val="17"/>
          <c:tx>
            <c:strRef>
              <c:f>'Gibbs-EVAL'!$A$118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2E28-4420-B8DD-7D9C02A58C4F}"/>
            </c:ext>
          </c:extLst>
        </c:ser>
        <c:ser>
          <c:idx val="16"/>
          <c:order val="18"/>
          <c:tx>
            <c:strRef>
              <c:f>'Gibbs-EVAL'!$A$119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2E28-4420-B8DD-7D9C02A58C4F}"/>
            </c:ext>
          </c:extLst>
        </c:ser>
        <c:ser>
          <c:idx val="17"/>
          <c:order val="19"/>
          <c:tx>
            <c:strRef>
              <c:f>'Gibbs-EVAL'!$A$120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2E28-4420-B8DD-7D9C02A58C4F}"/>
            </c:ext>
          </c:extLst>
        </c:ser>
        <c:ser>
          <c:idx val="18"/>
          <c:order val="20"/>
          <c:tx>
            <c:strRef>
              <c:f>'Gibbs-EVAL'!$A$121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2E28-4420-B8DD-7D9C02A58C4F}"/>
            </c:ext>
          </c:extLst>
        </c:ser>
        <c:ser>
          <c:idx val="19"/>
          <c:order val="21"/>
          <c:tx>
            <c:strRef>
              <c:f>'Gibbs-EVAL'!$A$122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2E28-4420-B8DD-7D9C02A58C4F}"/>
            </c:ext>
          </c:extLst>
        </c:ser>
        <c:ser>
          <c:idx val="20"/>
          <c:order val="22"/>
          <c:tx>
            <c:strRef>
              <c:f>'Gibbs-EVAL'!$A$123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2E28-4420-B8DD-7D9C02A58C4F}"/>
            </c:ext>
          </c:extLst>
        </c:ser>
        <c:ser>
          <c:idx val="21"/>
          <c:order val="23"/>
          <c:tx>
            <c:strRef>
              <c:f>'Gibbs-EVAL'!$A$124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2E28-4420-B8DD-7D9C02A58C4F}"/>
            </c:ext>
          </c:extLst>
        </c:ser>
        <c:ser>
          <c:idx val="22"/>
          <c:order val="24"/>
          <c:tx>
            <c:strRef>
              <c:f>'Gibbs-EVAL'!$A$125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2E28-4420-B8DD-7D9C02A58C4F}"/>
            </c:ext>
          </c:extLst>
        </c:ser>
        <c:ser>
          <c:idx val="23"/>
          <c:order val="25"/>
          <c:tx>
            <c:strRef>
              <c:f>'Gibbs-EVAL'!$A$126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2E28-4420-B8DD-7D9C02A58C4F}"/>
            </c:ext>
          </c:extLst>
        </c:ser>
        <c:ser>
          <c:idx val="24"/>
          <c:order val="26"/>
          <c:tx>
            <c:strRef>
              <c:f>'Gibbs-EVAL'!$A$127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2E28-4420-B8DD-7D9C02A58C4F}"/>
            </c:ext>
          </c:extLst>
        </c:ser>
        <c:ser>
          <c:idx val="25"/>
          <c:order val="27"/>
          <c:tx>
            <c:strRef>
              <c:f>'Gibbs-EVAL'!$A$128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2E28-4420-B8DD-7D9C02A58C4F}"/>
            </c:ext>
          </c:extLst>
        </c:ser>
        <c:ser>
          <c:idx val="26"/>
          <c:order val="28"/>
          <c:tx>
            <c:strRef>
              <c:f>'Gibbs-EVAL'!$A$129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2E28-4420-B8DD-7D9C02A58C4F}"/>
            </c:ext>
          </c:extLst>
        </c:ser>
        <c:ser>
          <c:idx val="27"/>
          <c:order val="29"/>
          <c:tx>
            <c:strRef>
              <c:f>'Gibbs-EVAL'!$A$130</c:f>
              <c:strCache>
                <c:ptCount val="1"/>
                <c:pt idx="0">
                  <c:v>end1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'Gibbs-EVAL'!$B$130:$BT$130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2E28-4420-B8DD-7D9C02A58C4F}"/>
            </c:ext>
          </c:extLst>
        </c:ser>
        <c:ser>
          <c:idx val="28"/>
          <c:order val="30"/>
          <c:tx>
            <c:strRef>
              <c:f>'Gibbs-EVAL'!$A$131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2E28-4420-B8DD-7D9C02A58C4F}"/>
            </c:ext>
          </c:extLst>
        </c:ser>
        <c:ser>
          <c:idx val="29"/>
          <c:order val="31"/>
          <c:tx>
            <c:strRef>
              <c:f>'Gibbs-EVAL'!$A$132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2E28-4420-B8DD-7D9C02A58C4F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-22.065575757575758</c:v>
                </c:pt>
                <c:pt idx="1">
                  <c:v>-21.674060606060607</c:v>
                </c:pt>
                <c:pt idx="2" formatCode="General">
                  <c:v>-21.395272727272726</c:v>
                </c:pt>
                <c:pt idx="3" formatCode="General">
                  <c:v>-21.244787878787879</c:v>
                </c:pt>
                <c:pt idx="4" formatCode="General">
                  <c:v>-21.157019667170953</c:v>
                </c:pt>
                <c:pt idx="5" formatCode="General">
                  <c:v>-21.244765506807866</c:v>
                </c:pt>
                <c:pt idx="6" formatCode="General">
                  <c:v>-21.332511346444779</c:v>
                </c:pt>
                <c:pt idx="7" formatCode="General">
                  <c:v>-21.420257186081695</c:v>
                </c:pt>
                <c:pt idx="8" formatCode="General">
                  <c:v>-21.508003025718608</c:v>
                </c:pt>
                <c:pt idx="9" formatCode="General">
                  <c:v>-21.595748865355521</c:v>
                </c:pt>
                <c:pt idx="10" formatCode="General">
                  <c:v>-21.683494704992437</c:v>
                </c:pt>
                <c:pt idx="11" formatCode="General">
                  <c:v>-21.792666666666666</c:v>
                </c:pt>
                <c:pt idx="12" formatCode="General">
                  <c:v>-21.925999999999998</c:v>
                </c:pt>
                <c:pt idx="13" formatCode="General">
                  <c:v>-22.049393939393937</c:v>
                </c:pt>
                <c:pt idx="14" formatCode="General">
                  <c:v>-22.167409638554215</c:v>
                </c:pt>
                <c:pt idx="15" formatCode="General">
                  <c:v>-22.269819277108432</c:v>
                </c:pt>
                <c:pt idx="16" formatCode="General">
                  <c:v>-22.363272727272729</c:v>
                </c:pt>
                <c:pt idx="17" formatCode="General">
                  <c:v>-22.448121212121212</c:v>
                </c:pt>
                <c:pt idx="18" formatCode="General">
                  <c:v>-22.532969696969698</c:v>
                </c:pt>
                <c:pt idx="19" formatCode="General">
                  <c:v>-22.620363636363638</c:v>
                </c:pt>
                <c:pt idx="20" formatCode="General">
                  <c:v>-22.717333333333336</c:v>
                </c:pt>
                <c:pt idx="21" formatCode="General">
                  <c:v>-22.82448484848485</c:v>
                </c:pt>
                <c:pt idx="22" formatCode="General">
                  <c:v>-22.939636363636364</c:v>
                </c:pt>
                <c:pt idx="23" formatCode="General">
                  <c:v>-23.059638554216868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2E28-4420-B8DD-7D9C02A58C4F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-37.871212121212125</c:v>
                </c:pt>
                <c:pt idx="1">
                  <c:v>-36.936060606060607</c:v>
                </c:pt>
                <c:pt idx="2" formatCode="General">
                  <c:v>-36.057272727272725</c:v>
                </c:pt>
                <c:pt idx="3" formatCode="General">
                  <c:v>-35.249272727272725</c:v>
                </c:pt>
                <c:pt idx="4" formatCode="General">
                  <c:v>-34.48330711043873</c:v>
                </c:pt>
                <c:pt idx="5" formatCode="General">
                  <c:v>-33.899645990922842</c:v>
                </c:pt>
                <c:pt idx="6" formatCode="General">
                  <c:v>-33.315984871406961</c:v>
                </c:pt>
                <c:pt idx="7" formatCode="General">
                  <c:v>-32.732323751891073</c:v>
                </c:pt>
                <c:pt idx="8" formatCode="General">
                  <c:v>-32.148662632375192</c:v>
                </c:pt>
                <c:pt idx="9" formatCode="General">
                  <c:v>-31.565001512859304</c:v>
                </c:pt>
                <c:pt idx="10" formatCode="General">
                  <c:v>-30.981340393343419</c:v>
                </c:pt>
                <c:pt idx="11" formatCode="General">
                  <c:v>-30.471751515151517</c:v>
                </c:pt>
                <c:pt idx="12" formatCode="General">
                  <c:v>-30.045690909090911</c:v>
                </c:pt>
                <c:pt idx="13" formatCode="General">
                  <c:v>-29.668830303030305</c:v>
                </c:pt>
                <c:pt idx="14" formatCode="General">
                  <c:v>-29.315024096385542</c:v>
                </c:pt>
                <c:pt idx="15" formatCode="General">
                  <c:v>-29.021048192771087</c:v>
                </c:pt>
                <c:pt idx="16" formatCode="General">
                  <c:v>-28.765418181818184</c:v>
                </c:pt>
                <c:pt idx="17" formatCode="General">
                  <c:v>-28.546630303030305</c:v>
                </c:pt>
                <c:pt idx="18" formatCode="General">
                  <c:v>-28.406024242424245</c:v>
                </c:pt>
                <c:pt idx="19" formatCode="General">
                  <c:v>-28.297109090909093</c:v>
                </c:pt>
                <c:pt idx="20" formatCode="General">
                  <c:v>-28.259533333333334</c:v>
                </c:pt>
                <c:pt idx="21" formatCode="General">
                  <c:v>-28.267096969696972</c:v>
                </c:pt>
                <c:pt idx="22" formatCode="General">
                  <c:v>-28.310127272727271</c:v>
                </c:pt>
                <c:pt idx="23" formatCode="General">
                  <c:v>-28.39896987951807</c:v>
                </c:pt>
                <c:pt idx="24" formatCode="General">
                  <c:v>-28.502333333333333</c:v>
                </c:pt>
                <c:pt idx="25" formatCode="General">
                  <c:v>-28.635666666666665</c:v>
                </c:pt>
                <c:pt idx="26" formatCode="General">
                  <c:v>-28.781727272727274</c:v>
                </c:pt>
                <c:pt idx="27" formatCode="General">
                  <c:v>-28.93627272727273</c:v>
                </c:pt>
                <c:pt idx="28" formatCode="General">
                  <c:v>-29.102333333333334</c:v>
                </c:pt>
                <c:pt idx="29" formatCode="General">
                  <c:v>-29.267909090909093</c:v>
                </c:pt>
                <c:pt idx="30" formatCode="General">
                  <c:v>-29.430939393939394</c:v>
                </c:pt>
                <c:pt idx="31" formatCode="General">
                  <c:v>-29.598030120481926</c:v>
                </c:pt>
                <c:pt idx="32" formatCode="General">
                  <c:v>-29.767307228915662</c:v>
                </c:pt>
                <c:pt idx="33" formatCode="General">
                  <c:v>-29.930999999999997</c:v>
                </c:pt>
                <c:pt idx="34" formatCode="General">
                  <c:v>-30.094842424242422</c:v>
                </c:pt>
                <c:pt idx="35" formatCode="General">
                  <c:v>-30.259084848484846</c:v>
                </c:pt>
                <c:pt idx="36" formatCode="General">
                  <c:v>-30.422909090909091</c:v>
                </c:pt>
                <c:pt idx="37" formatCode="General">
                  <c:v>-30.586432677760968</c:v>
                </c:pt>
                <c:pt idx="38" formatCode="General">
                  <c:v>-30.747249621785173</c:v>
                </c:pt>
                <c:pt idx="39" formatCode="General">
                  <c:v>-30.908066565809378</c:v>
                </c:pt>
                <c:pt idx="40" formatCode="General">
                  <c:v>-31.068883509833583</c:v>
                </c:pt>
                <c:pt idx="41" formatCode="General">
                  <c:v>-31.229700453857792</c:v>
                </c:pt>
                <c:pt idx="42" formatCode="General">
                  <c:v>-31.390517397881997</c:v>
                </c:pt>
                <c:pt idx="43" formatCode="General">
                  <c:v>-31.551334341906202</c:v>
                </c:pt>
                <c:pt idx="44" formatCode="General">
                  <c:v>-31.709614220877459</c:v>
                </c:pt>
                <c:pt idx="45" formatCode="General">
                  <c:v>-31.864531013615736</c:v>
                </c:pt>
                <c:pt idx="46" formatCode="General">
                  <c:v>-32.019447806354009</c:v>
                </c:pt>
                <c:pt idx="47" formatCode="General">
                  <c:v>-32.174364599092286</c:v>
                </c:pt>
                <c:pt idx="48" formatCode="General">
                  <c:v>-32.329281391830563</c:v>
                </c:pt>
                <c:pt idx="49" formatCode="General">
                  <c:v>-32.484198184568839</c:v>
                </c:pt>
                <c:pt idx="50" formatCode="General">
                  <c:v>-32.639114977307116</c:v>
                </c:pt>
                <c:pt idx="51" formatCode="General">
                  <c:v>-32.792360606060612</c:v>
                </c:pt>
                <c:pt idx="52" formatCode="General">
                  <c:v>-32.945239393939396</c:v>
                </c:pt>
                <c:pt idx="53" formatCode="General">
                  <c:v>-33.098118181818187</c:v>
                </c:pt>
                <c:pt idx="54" formatCode="General">
                  <c:v>-33.25099696969697</c:v>
                </c:pt>
                <c:pt idx="55" formatCode="General">
                  <c:v>-33.403875757575761</c:v>
                </c:pt>
                <c:pt idx="56" formatCode="General">
                  <c:v>-33.556754545454545</c:v>
                </c:pt>
                <c:pt idx="57" formatCode="General">
                  <c:v>-33.709000000000003</c:v>
                </c:pt>
                <c:pt idx="58" formatCode="General">
                  <c:v>-33.859000000000002</c:v>
                </c:pt>
                <c:pt idx="59" formatCode="General">
                  <c:v>-34.008490909090909</c:v>
                </c:pt>
                <c:pt idx="60" formatCode="General">
                  <c:v>-34.157581818181818</c:v>
                </c:pt>
                <c:pt idx="61" formatCode="General">
                  <c:v>-34.304466666666663</c:v>
                </c:pt>
                <c:pt idx="62" formatCode="General">
                  <c:v>-34.450818181818178</c:v>
                </c:pt>
                <c:pt idx="63" formatCode="General">
                  <c:v>-34.596272727272726</c:v>
                </c:pt>
                <c:pt idx="64" formatCode="General">
                  <c:v>-34.737660606060608</c:v>
                </c:pt>
                <c:pt idx="65" formatCode="General">
                  <c:v>-34.876448484848481</c:v>
                </c:pt>
                <c:pt idx="66" formatCode="General">
                  <c:v>-35.019060240963853</c:v>
                </c:pt>
                <c:pt idx="67" formatCode="General">
                  <c:v>-35.162090909090907</c:v>
                </c:pt>
                <c:pt idx="68" formatCode="General">
                  <c:v>-35.305727272727275</c:v>
                </c:pt>
                <c:pt idx="69" formatCode="General">
                  <c:v>-35.445030303030308</c:v>
                </c:pt>
                <c:pt idx="70" formatCode="General">
                  <c:v>-35.582000000000001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2E28-4420-B8DD-7D9C02A58C4F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-18.631089258698939</c:v>
                </c:pt>
                <c:pt idx="5" formatCode="General">
                  <c:v>-18.644704992435702</c:v>
                </c:pt>
                <c:pt idx="6" formatCode="General">
                  <c:v>-18.658320726172466</c:v>
                </c:pt>
                <c:pt idx="7" formatCode="General">
                  <c:v>-18.671936459909226</c:v>
                </c:pt>
                <c:pt idx="8" formatCode="General">
                  <c:v>-18.685552193645989</c:v>
                </c:pt>
                <c:pt idx="9" formatCode="General">
                  <c:v>-18.699167927382753</c:v>
                </c:pt>
                <c:pt idx="10" formatCode="General">
                  <c:v>-18.712783661119516</c:v>
                </c:pt>
                <c:pt idx="11" formatCode="General">
                  <c:v>-18.728545454545454</c:v>
                </c:pt>
                <c:pt idx="12" formatCode="General">
                  <c:v>-18.746727272727274</c:v>
                </c:pt>
                <c:pt idx="13" formatCode="General">
                  <c:v>-18.764909090909093</c:v>
                </c:pt>
                <c:pt idx="14" formatCode="General">
                  <c:v>-18.783072289156628</c:v>
                </c:pt>
                <c:pt idx="15" formatCode="General">
                  <c:v>-18.801144578313252</c:v>
                </c:pt>
                <c:pt idx="16" formatCode="General">
                  <c:v>-18.819272727272725</c:v>
                </c:pt>
                <c:pt idx="17" formatCode="General">
                  <c:v>-18.837454545454545</c:v>
                </c:pt>
                <c:pt idx="18" formatCode="General">
                  <c:v>-18.855636363636364</c:v>
                </c:pt>
                <c:pt idx="19" formatCode="General">
                  <c:v>-18.873818181818184</c:v>
                </c:pt>
                <c:pt idx="20" formatCode="General">
                  <c:v>-18.891999999999999</c:v>
                </c:pt>
                <c:pt idx="21" formatCode="General">
                  <c:v>-18.913575757575757</c:v>
                </c:pt>
                <c:pt idx="22" formatCode="General">
                  <c:v>-18.937818181818184</c:v>
                </c:pt>
                <c:pt idx="23" formatCode="General">
                  <c:v>-18.95644578313253</c:v>
                </c:pt>
                <c:pt idx="24" formatCode="General">
                  <c:v>-18.976060606060607</c:v>
                </c:pt>
                <c:pt idx="25" formatCode="General">
                  <c:v>-19.00030303030303</c:v>
                </c:pt>
                <c:pt idx="26" formatCode="General">
                  <c:v>-19.020909090909093</c:v>
                </c:pt>
                <c:pt idx="27" formatCode="General">
                  <c:v>-19.039090909090909</c:v>
                </c:pt>
                <c:pt idx="28" formatCode="General">
                  <c:v>-19.057272727272728</c:v>
                </c:pt>
                <c:pt idx="29" formatCode="General">
                  <c:v>-19.077272727272728</c:v>
                </c:pt>
                <c:pt idx="30" formatCode="General">
                  <c:v>-19.101515151515152</c:v>
                </c:pt>
                <c:pt idx="31" formatCode="General">
                  <c:v>-19.121746987951806</c:v>
                </c:pt>
                <c:pt idx="32" formatCode="General">
                  <c:v>-19.139819277108433</c:v>
                </c:pt>
                <c:pt idx="33" formatCode="General">
                  <c:v>-19.164000000000001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-19.388456883509832</c:v>
                </c:pt>
                <c:pt idx="45" formatCode="General">
                  <c:v>-19.408124054462935</c:v>
                </c:pt>
                <c:pt idx="46" formatCode="General">
                  <c:v>-19.427791225416037</c:v>
                </c:pt>
                <c:pt idx="47" formatCode="General">
                  <c:v>-19.447458396369139</c:v>
                </c:pt>
                <c:pt idx="48" formatCode="General">
                  <c:v>-19.467125567322238</c:v>
                </c:pt>
                <c:pt idx="49" formatCode="General">
                  <c:v>-19.486792738275341</c:v>
                </c:pt>
                <c:pt idx="50" formatCode="General">
                  <c:v>-19.506459909228443</c:v>
                </c:pt>
                <c:pt idx="51" formatCode="General">
                  <c:v>-19.526151515151518</c:v>
                </c:pt>
                <c:pt idx="52" formatCode="General">
                  <c:v>-19.545848484848488</c:v>
                </c:pt>
                <c:pt idx="53" formatCode="General">
                  <c:v>-19.565545454545457</c:v>
                </c:pt>
                <c:pt idx="54" formatCode="General">
                  <c:v>-19.585242424242427</c:v>
                </c:pt>
                <c:pt idx="55" formatCode="General">
                  <c:v>-19.604939393939397</c:v>
                </c:pt>
                <c:pt idx="56" formatCode="General">
                  <c:v>-19.624636363636366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2E28-4420-B8DD-7D9C02A58C4F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  <c:pt idx="0">
                  <c:v>(DGeSe2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-59.936787878787875</c:v>
                </c:pt>
                <c:pt idx="1">
                  <c:v>-58.610121212121214</c:v>
                </c:pt>
                <c:pt idx="2" formatCode="General">
                  <c:v>-57.452545454545458</c:v>
                </c:pt>
                <c:pt idx="3" formatCode="General">
                  <c:v>-56.494060606060607</c:v>
                </c:pt>
                <c:pt idx="4" formatCode="General">
                  <c:v>-55.64032677760968</c:v>
                </c:pt>
                <c:pt idx="5" formatCode="General">
                  <c:v>-55.144411497730708</c:v>
                </c:pt>
                <c:pt idx="6" formatCode="General">
                  <c:v>-54.648496217851736</c:v>
                </c:pt>
                <c:pt idx="7" formatCode="General">
                  <c:v>-54.152580937972772</c:v>
                </c:pt>
                <c:pt idx="8" formatCode="General">
                  <c:v>-53.6566656580938</c:v>
                </c:pt>
                <c:pt idx="9" formatCode="General">
                  <c:v>-53.160750378214829</c:v>
                </c:pt>
                <c:pt idx="10" formatCode="General">
                  <c:v>-52.664835098335857</c:v>
                </c:pt>
                <c:pt idx="11" formatCode="General">
                  <c:v>-52.264418181818179</c:v>
                </c:pt>
                <c:pt idx="12" formatCode="General">
                  <c:v>-51.97169090909091</c:v>
                </c:pt>
                <c:pt idx="13" formatCode="General">
                  <c:v>-51.718224242424242</c:v>
                </c:pt>
                <c:pt idx="14" formatCode="General">
                  <c:v>-51.482433734939761</c:v>
                </c:pt>
                <c:pt idx="15" formatCode="General">
                  <c:v>-51.290867469879522</c:v>
                </c:pt>
                <c:pt idx="16" formatCode="General">
                  <c:v>-51.128690909090913</c:v>
                </c:pt>
                <c:pt idx="17" formatCode="General">
                  <c:v>-50.994751515151513</c:v>
                </c:pt>
                <c:pt idx="18" formatCode="General">
                  <c:v>-50.938993939393939</c:v>
                </c:pt>
                <c:pt idx="19" formatCode="General">
                  <c:v>-50.917472727272731</c:v>
                </c:pt>
                <c:pt idx="20" formatCode="General">
                  <c:v>-50.976866666666666</c:v>
                </c:pt>
                <c:pt idx="21" formatCode="General">
                  <c:v>-51.091581818181815</c:v>
                </c:pt>
                <c:pt idx="22" formatCode="General">
                  <c:v>-51.249763636363632</c:v>
                </c:pt>
                <c:pt idx="23" formatCode="General">
                  <c:v>-51.458608433734938</c:v>
                </c:pt>
                <c:pt idx="24" formatCode="General">
                  <c:v>-51.68566666666667</c:v>
                </c:pt>
                <c:pt idx="25" formatCode="General">
                  <c:v>-51.952333333333335</c:v>
                </c:pt>
                <c:pt idx="26" formatCode="General">
                  <c:v>-52.235363636363644</c:v>
                </c:pt>
                <c:pt idx="27" formatCode="General">
                  <c:v>-52.529303030303033</c:v>
                </c:pt>
                <c:pt idx="28" formatCode="General">
                  <c:v>-52.840515151515149</c:v>
                </c:pt>
                <c:pt idx="29" formatCode="General">
                  <c:v>-53.149727272727269</c:v>
                </c:pt>
                <c:pt idx="30" formatCode="General">
                  <c:v>-53.452151515151513</c:v>
                </c:pt>
                <c:pt idx="31" formatCode="General">
                  <c:v>-53.76200602409638</c:v>
                </c:pt>
                <c:pt idx="32" formatCode="General">
                  <c:v>-54.075861445783126</c:v>
                </c:pt>
                <c:pt idx="33" formatCode="General">
                  <c:v>-54.378999999999998</c:v>
                </c:pt>
                <c:pt idx="34" formatCode="General">
                  <c:v>-54.682236363636363</c:v>
                </c:pt>
                <c:pt idx="35" formatCode="General">
                  <c:v>-54.985872727272728</c:v>
                </c:pt>
                <c:pt idx="36" formatCode="General">
                  <c:v>-55.289090909090909</c:v>
                </c:pt>
                <c:pt idx="37" formatCode="General">
                  <c:v>-55.591878971255667</c:v>
                </c:pt>
                <c:pt idx="38" formatCode="General">
                  <c:v>-55.8888532526475</c:v>
                </c:pt>
                <c:pt idx="39" formatCode="General">
                  <c:v>-56.185827534039333</c:v>
                </c:pt>
                <c:pt idx="40" formatCode="General">
                  <c:v>-56.482801815431159</c:v>
                </c:pt>
                <c:pt idx="41" formatCode="General">
                  <c:v>-56.779776096822992</c:v>
                </c:pt>
                <c:pt idx="42" formatCode="General">
                  <c:v>-57.076750378214825</c:v>
                </c:pt>
                <c:pt idx="43" formatCode="General">
                  <c:v>-57.373724659606651</c:v>
                </c:pt>
                <c:pt idx="44" formatCode="General">
                  <c:v>-57.664909228441751</c:v>
                </c:pt>
                <c:pt idx="45" formatCode="General">
                  <c:v>-57.948419062027227</c:v>
                </c:pt>
                <c:pt idx="46" formatCode="General">
                  <c:v>-58.231928895612711</c:v>
                </c:pt>
                <c:pt idx="47" formatCode="General">
                  <c:v>-58.515438729198188</c:v>
                </c:pt>
                <c:pt idx="48" formatCode="General">
                  <c:v>-58.798948562783664</c:v>
                </c:pt>
                <c:pt idx="49" formatCode="General">
                  <c:v>-59.082458396369141</c:v>
                </c:pt>
                <c:pt idx="50" formatCode="General">
                  <c:v>-59.365968229954618</c:v>
                </c:pt>
                <c:pt idx="51" formatCode="General">
                  <c:v>-59.641754545454546</c:v>
                </c:pt>
                <c:pt idx="52" formatCode="General">
                  <c:v>-59.915845454545455</c:v>
                </c:pt>
                <c:pt idx="53" formatCode="General">
                  <c:v>-60.189936363636363</c:v>
                </c:pt>
                <c:pt idx="54" formatCode="General">
                  <c:v>-60.464027272727272</c:v>
                </c:pt>
                <c:pt idx="55" formatCode="General">
                  <c:v>-60.73811818181818</c:v>
                </c:pt>
                <c:pt idx="56" formatCode="General">
                  <c:v>-61.012209090909089</c:v>
                </c:pt>
                <c:pt idx="57" formatCode="General">
                  <c:v>-61.285506024096385</c:v>
                </c:pt>
                <c:pt idx="58" formatCode="General">
                  <c:v>-61.555987951807225</c:v>
                </c:pt>
                <c:pt idx="59" formatCode="General">
                  <c:v>-61.826369696969692</c:v>
                </c:pt>
                <c:pt idx="60" formatCode="General">
                  <c:v>-62.096672727272725</c:v>
                </c:pt>
                <c:pt idx="61" formatCode="General">
                  <c:v>-62.364769696969695</c:v>
                </c:pt>
                <c:pt idx="62" formatCode="General">
                  <c:v>-62.632333333333328</c:v>
                </c:pt>
                <c:pt idx="63" formatCode="General">
                  <c:v>-62.899000000000001</c:v>
                </c:pt>
                <c:pt idx="64" formatCode="General">
                  <c:v>-63.157903030303032</c:v>
                </c:pt>
                <c:pt idx="65" formatCode="General">
                  <c:v>-63.411842424242423</c:v>
                </c:pt>
                <c:pt idx="66" formatCode="General">
                  <c:v>-63.674722891566262</c:v>
                </c:pt>
                <c:pt idx="67" formatCode="General">
                  <c:v>-63.93845454545454</c:v>
                </c:pt>
                <c:pt idx="68" formatCode="General">
                  <c:v>-64.203303030303033</c:v>
                </c:pt>
                <c:pt idx="69" formatCode="General">
                  <c:v>-64.459878787878793</c:v>
                </c:pt>
                <c:pt idx="70" formatCode="General">
                  <c:v>-64.712000000000003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2E28-4420-B8DD-7D9C02A58C4F}"/>
            </c:ext>
          </c:extLst>
        </c:ser>
        <c:ser>
          <c:idx val="34"/>
          <c:order val="36"/>
          <c:tx>
            <c:strRef>
              <c:f>'Gibbs-EVAL'!$A$137</c:f>
              <c:strCache>
                <c:ptCount val="1"/>
                <c:pt idx="0">
                  <c:v>(DGeSe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'Gibbs-EVAL'!$B$137:$BT$137</c:f>
              <c:numCache>
                <c:formatCode>0</c:formatCode>
                <c:ptCount val="71"/>
                <c:pt idx="0">
                  <c:v>-37.871212121212125</c:v>
                </c:pt>
                <c:pt idx="1">
                  <c:v>-36.936060606060607</c:v>
                </c:pt>
                <c:pt idx="2" formatCode="General">
                  <c:v>-36.057272727272725</c:v>
                </c:pt>
                <c:pt idx="3" formatCode="General">
                  <c:v>-35.249272727272725</c:v>
                </c:pt>
                <c:pt idx="4" formatCode="General">
                  <c:v>-34.48330711043873</c:v>
                </c:pt>
                <c:pt idx="5" formatCode="General">
                  <c:v>-33.899645990922842</c:v>
                </c:pt>
                <c:pt idx="6" formatCode="General">
                  <c:v>-33.315984871406961</c:v>
                </c:pt>
                <c:pt idx="7" formatCode="General">
                  <c:v>-32.732323751891073</c:v>
                </c:pt>
                <c:pt idx="8" formatCode="General">
                  <c:v>-32.148662632375192</c:v>
                </c:pt>
                <c:pt idx="9" formatCode="General">
                  <c:v>-31.565001512859304</c:v>
                </c:pt>
                <c:pt idx="10" formatCode="General">
                  <c:v>-30.981340393343419</c:v>
                </c:pt>
                <c:pt idx="11" formatCode="General">
                  <c:v>-30.471751515151517</c:v>
                </c:pt>
                <c:pt idx="12" formatCode="General">
                  <c:v>-30.045690909090911</c:v>
                </c:pt>
                <c:pt idx="13" formatCode="General">
                  <c:v>-29.668830303030305</c:v>
                </c:pt>
                <c:pt idx="14" formatCode="General">
                  <c:v>-29.315024096385542</c:v>
                </c:pt>
                <c:pt idx="15" formatCode="General">
                  <c:v>-29.021048192771087</c:v>
                </c:pt>
                <c:pt idx="16" formatCode="General">
                  <c:v>-28.765418181818184</c:v>
                </c:pt>
                <c:pt idx="17" formatCode="General">
                  <c:v>-28.546630303030305</c:v>
                </c:pt>
                <c:pt idx="18" formatCode="General">
                  <c:v>-28.406024242424245</c:v>
                </c:pt>
                <c:pt idx="19" formatCode="General">
                  <c:v>-28.297109090909093</c:v>
                </c:pt>
                <c:pt idx="20" formatCode="General">
                  <c:v>-28.259533333333334</c:v>
                </c:pt>
                <c:pt idx="21" formatCode="General">
                  <c:v>-28.267096969696972</c:v>
                </c:pt>
                <c:pt idx="22" formatCode="General">
                  <c:v>-28.310127272727271</c:v>
                </c:pt>
                <c:pt idx="23" formatCode="General">
                  <c:v>-28.39896987951807</c:v>
                </c:pt>
                <c:pt idx="24" formatCode="General">
                  <c:v>-28.502333333333333</c:v>
                </c:pt>
                <c:pt idx="25" formatCode="General">
                  <c:v>-28.635666666666665</c:v>
                </c:pt>
                <c:pt idx="26" formatCode="General">
                  <c:v>-28.781727272727274</c:v>
                </c:pt>
                <c:pt idx="27" formatCode="General">
                  <c:v>-28.93627272727273</c:v>
                </c:pt>
                <c:pt idx="28" formatCode="General">
                  <c:v>-29.102333333333334</c:v>
                </c:pt>
                <c:pt idx="29" formatCode="General">
                  <c:v>-29.267909090909093</c:v>
                </c:pt>
                <c:pt idx="30" formatCode="General">
                  <c:v>-29.430939393939394</c:v>
                </c:pt>
                <c:pt idx="31" formatCode="General">
                  <c:v>-29.598030120481926</c:v>
                </c:pt>
                <c:pt idx="32" formatCode="General">
                  <c:v>-29.767307228915662</c:v>
                </c:pt>
                <c:pt idx="33" formatCode="General">
                  <c:v>-29.930999999999997</c:v>
                </c:pt>
                <c:pt idx="34" formatCode="General">
                  <c:v>-30.094842424242422</c:v>
                </c:pt>
                <c:pt idx="35" formatCode="General">
                  <c:v>-30.259084848484846</c:v>
                </c:pt>
                <c:pt idx="36" formatCode="General">
                  <c:v>-30.422909090909091</c:v>
                </c:pt>
                <c:pt idx="37" formatCode="General">
                  <c:v>-30.586432677760968</c:v>
                </c:pt>
                <c:pt idx="38" formatCode="General">
                  <c:v>-30.747249621785173</c:v>
                </c:pt>
                <c:pt idx="39" formatCode="General">
                  <c:v>-30.908066565809378</c:v>
                </c:pt>
                <c:pt idx="40" formatCode="General">
                  <c:v>-31.068883509833583</c:v>
                </c:pt>
                <c:pt idx="41" formatCode="General">
                  <c:v>-31.229700453857792</c:v>
                </c:pt>
                <c:pt idx="42" formatCode="General">
                  <c:v>-31.390517397881997</c:v>
                </c:pt>
                <c:pt idx="43" formatCode="General">
                  <c:v>-31.551334341906202</c:v>
                </c:pt>
                <c:pt idx="44" formatCode="General">
                  <c:v>-31.709614220877459</c:v>
                </c:pt>
                <c:pt idx="45" formatCode="General">
                  <c:v>-31.864531013615736</c:v>
                </c:pt>
                <c:pt idx="46" formatCode="General">
                  <c:v>-32.019447806354009</c:v>
                </c:pt>
                <c:pt idx="47" formatCode="General">
                  <c:v>-32.174364599092286</c:v>
                </c:pt>
                <c:pt idx="48" formatCode="General">
                  <c:v>-32.329281391830563</c:v>
                </c:pt>
                <c:pt idx="49" formatCode="General">
                  <c:v>-32.484198184568839</c:v>
                </c:pt>
                <c:pt idx="50" formatCode="General">
                  <c:v>-32.639114977307116</c:v>
                </c:pt>
                <c:pt idx="51" formatCode="General">
                  <c:v>-32.792360606060612</c:v>
                </c:pt>
                <c:pt idx="52" formatCode="General">
                  <c:v>-32.945239393939396</c:v>
                </c:pt>
                <c:pt idx="53" formatCode="General">
                  <c:v>-33.098118181818187</c:v>
                </c:pt>
                <c:pt idx="54" formatCode="General">
                  <c:v>-33.25099696969697</c:v>
                </c:pt>
                <c:pt idx="55" formatCode="General">
                  <c:v>-33.403875757575761</c:v>
                </c:pt>
                <c:pt idx="56" formatCode="General">
                  <c:v>-33.556754545454545</c:v>
                </c:pt>
                <c:pt idx="57" formatCode="General">
                  <c:v>-33.709000000000003</c:v>
                </c:pt>
                <c:pt idx="58" formatCode="General">
                  <c:v>-33.859000000000002</c:v>
                </c:pt>
                <c:pt idx="59" formatCode="General">
                  <c:v>-34.008490909090909</c:v>
                </c:pt>
                <c:pt idx="60" formatCode="General">
                  <c:v>-34.157581818181818</c:v>
                </c:pt>
                <c:pt idx="61" formatCode="General">
                  <c:v>-34.304466666666663</c:v>
                </c:pt>
                <c:pt idx="62" formatCode="General">
                  <c:v>-34.450818181818178</c:v>
                </c:pt>
                <c:pt idx="63" formatCode="General">
                  <c:v>-34.596272727272726</c:v>
                </c:pt>
                <c:pt idx="64" formatCode="General">
                  <c:v>-34.737660606060608</c:v>
                </c:pt>
                <c:pt idx="65" formatCode="General">
                  <c:v>-34.876448484848481</c:v>
                </c:pt>
                <c:pt idx="66" formatCode="General">
                  <c:v>-35.019060240963853</c:v>
                </c:pt>
                <c:pt idx="67" formatCode="General">
                  <c:v>-35.162090909090907</c:v>
                </c:pt>
                <c:pt idx="68" formatCode="General">
                  <c:v>-35.305727272727275</c:v>
                </c:pt>
                <c:pt idx="69" formatCode="General">
                  <c:v>-35.445030303030308</c:v>
                </c:pt>
                <c:pt idx="70" formatCode="General">
                  <c:v>-35.582000000000001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2E28-4420-B8DD-7D9C02A58C4F}"/>
            </c:ext>
          </c:extLst>
        </c:ser>
        <c:ser>
          <c:idx val="35"/>
          <c:order val="37"/>
          <c:tx>
            <c:strRef>
              <c:f>'Gibbs-EVAL'!$A$138</c:f>
              <c:strCache>
                <c:ptCount val="1"/>
                <c:pt idx="0">
                  <c:v>(DGa2Sej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-143.53575757575757</c:v>
                </c:pt>
                <c:pt idx="1">
                  <c:v>-139.02181818181819</c:v>
                </c:pt>
                <c:pt idx="2" formatCode="General">
                  <c:v>-134.65818181818182</c:v>
                </c:pt>
                <c:pt idx="3" formatCode="General">
                  <c:v>-130.42284848484846</c:v>
                </c:pt>
                <c:pt idx="4" formatCode="General">
                  <c:v>-126.27735249621784</c:v>
                </c:pt>
                <c:pt idx="5" formatCode="General">
                  <c:v>-122.619258698941</c:v>
                </c:pt>
                <c:pt idx="6" formatCode="General">
                  <c:v>-118.96116490166413</c:v>
                </c:pt>
                <c:pt idx="7" formatCode="General">
                  <c:v>-115.30307110438729</c:v>
                </c:pt>
                <c:pt idx="8" formatCode="General">
                  <c:v>-111.64497730711044</c:v>
                </c:pt>
                <c:pt idx="9" formatCode="General">
                  <c:v>-107.98688350983359</c:v>
                </c:pt>
                <c:pt idx="10" formatCode="General">
                  <c:v>-104.32878971255674</c:v>
                </c:pt>
                <c:pt idx="11" formatCode="General">
                  <c:v>-100.97145454545455</c:v>
                </c:pt>
                <c:pt idx="12" formatCode="General">
                  <c:v>-97.953272727272733</c:v>
                </c:pt>
                <c:pt idx="13" formatCode="General">
                  <c:v>-95.1338787878788</c:v>
                </c:pt>
                <c:pt idx="14" formatCode="General">
                  <c:v>-92.402951807228931</c:v>
                </c:pt>
                <c:pt idx="15" formatCode="General">
                  <c:v>-89.890903614457827</c:v>
                </c:pt>
                <c:pt idx="16" formatCode="General">
                  <c:v>-87.485454545454544</c:v>
                </c:pt>
                <c:pt idx="17" formatCode="General">
                  <c:v>-85.182424242424233</c:v>
                </c:pt>
                <c:pt idx="18" formatCode="General">
                  <c:v>-83.046181818181807</c:v>
                </c:pt>
                <c:pt idx="19" formatCode="General">
                  <c:v>-80.967636363636359</c:v>
                </c:pt>
                <c:pt idx="20" formatCode="General">
                  <c:v>-79.003999999999991</c:v>
                </c:pt>
                <c:pt idx="21" formatCode="General">
                  <c:v>-77.111636363636364</c:v>
                </c:pt>
                <c:pt idx="22" formatCode="General">
                  <c:v>-75.275272727272721</c:v>
                </c:pt>
                <c:pt idx="23" formatCode="General">
                  <c:v>-73.564096385542157</c:v>
                </c:pt>
                <c:pt idx="24" formatCode="General">
                  <c:v>-71.893030303030301</c:v>
                </c:pt>
                <c:pt idx="25" formatCode="General">
                  <c:v>-70.305151515151508</c:v>
                </c:pt>
                <c:pt idx="26" formatCode="General">
                  <c:v>-68.800909090909087</c:v>
                </c:pt>
                <c:pt idx="27" formatCode="General">
                  <c:v>-67.352424242424249</c:v>
                </c:pt>
                <c:pt idx="28" formatCode="General">
                  <c:v>-66.036363636363646</c:v>
                </c:pt>
                <c:pt idx="29" formatCode="General">
                  <c:v>-64.758181818181825</c:v>
                </c:pt>
                <c:pt idx="30" formatCode="General">
                  <c:v>-63.552121212121214</c:v>
                </c:pt>
                <c:pt idx="31" formatCode="General">
                  <c:v>-62.417349397590364</c:v>
                </c:pt>
                <c:pt idx="32" formatCode="General">
                  <c:v>-61.320963855421688</c:v>
                </c:pt>
                <c:pt idx="33" formatCode="General">
                  <c:v>-60.284000000000006</c:v>
                </c:pt>
                <c:pt idx="34" formatCode="General">
                  <c:v>-59.272363636363643</c:v>
                </c:pt>
                <c:pt idx="35" formatCode="General">
                  <c:v>-58.308727272727282</c:v>
                </c:pt>
                <c:pt idx="36" formatCode="General">
                  <c:v>-57.370181818181827</c:v>
                </c:pt>
                <c:pt idx="37" formatCode="General">
                  <c:v>-56.447685325264757</c:v>
                </c:pt>
                <c:pt idx="38" formatCode="General">
                  <c:v>-55.639818456883518</c:v>
                </c:pt>
                <c:pt idx="39" formatCode="General">
                  <c:v>-54.831951588502278</c:v>
                </c:pt>
                <c:pt idx="40" formatCode="General">
                  <c:v>-54.024084720121031</c:v>
                </c:pt>
                <c:pt idx="41" formatCode="General">
                  <c:v>-53.216217851739792</c:v>
                </c:pt>
                <c:pt idx="42" formatCode="General">
                  <c:v>-52.408350983358552</c:v>
                </c:pt>
                <c:pt idx="43" formatCode="General">
                  <c:v>-51.600484114977313</c:v>
                </c:pt>
                <c:pt idx="44" formatCode="General">
                  <c:v>-50.870030257186087</c:v>
                </c:pt>
                <c:pt idx="45" formatCode="General">
                  <c:v>-50.242193645990923</c:v>
                </c:pt>
                <c:pt idx="46" formatCode="General">
                  <c:v>-49.614357034795766</c:v>
                </c:pt>
                <c:pt idx="47" formatCode="General">
                  <c:v>-48.986520423600602</c:v>
                </c:pt>
                <c:pt idx="48" formatCode="General">
                  <c:v>-48.358683812405445</c:v>
                </c:pt>
                <c:pt idx="49" formatCode="General">
                  <c:v>-47.730847201210281</c:v>
                </c:pt>
                <c:pt idx="50" formatCode="General">
                  <c:v>-47.103010590015124</c:v>
                </c:pt>
                <c:pt idx="51" formatCode="General">
                  <c:v>-46.776054545454542</c:v>
                </c:pt>
                <c:pt idx="52" formatCode="General">
                  <c:v>-46.515145454545447</c:v>
                </c:pt>
                <c:pt idx="53" formatCode="General">
                  <c:v>-46.254236363636359</c:v>
                </c:pt>
                <c:pt idx="54" formatCode="General">
                  <c:v>-45.993327272727271</c:v>
                </c:pt>
                <c:pt idx="55" formatCode="General">
                  <c:v>-45.732418181818183</c:v>
                </c:pt>
                <c:pt idx="56" formatCode="General">
                  <c:v>-45.471509090909088</c:v>
                </c:pt>
                <c:pt idx="57" formatCode="General">
                  <c:v>-45.268265060240964</c:v>
                </c:pt>
                <c:pt idx="58" formatCode="General">
                  <c:v>-45.26946987951807</c:v>
                </c:pt>
                <c:pt idx="59" formatCode="General">
                  <c:v>-45.306654545454542</c:v>
                </c:pt>
                <c:pt idx="60" formatCode="General">
                  <c:v>-45.372109090909092</c:v>
                </c:pt>
                <c:pt idx="61" formatCode="General">
                  <c:v>-45.473963636363635</c:v>
                </c:pt>
                <c:pt idx="62" formatCode="General">
                  <c:v>-45.585721212121214</c:v>
                </c:pt>
                <c:pt idx="63" formatCode="General">
                  <c:v>-45.715418181818187</c:v>
                </c:pt>
                <c:pt idx="64" formatCode="General">
                  <c:v>-45.851030303030306</c:v>
                </c:pt>
                <c:pt idx="65" formatCode="General">
                  <c:v>-45.99042424242424</c:v>
                </c:pt>
                <c:pt idx="66" formatCode="General">
                  <c:v>-46.141734939759033</c:v>
                </c:pt>
                <c:pt idx="67" formatCode="General">
                  <c:v>-46.295636363636362</c:v>
                </c:pt>
                <c:pt idx="68" formatCode="General">
                  <c:v>-46.454424242424246</c:v>
                </c:pt>
                <c:pt idx="69" formatCode="General">
                  <c:v>-46.610848484848489</c:v>
                </c:pt>
                <c:pt idx="70" formatCode="General">
                  <c:v>-46.765999999999998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2E28-4420-B8DD-7D9C02A58C4F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  <c:pt idx="0">
                  <c:v>(DGaSe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-82.800666666666672</c:v>
                </c:pt>
                <c:pt idx="1">
                  <c:v>-80.347939393939399</c:v>
                </c:pt>
                <c:pt idx="2" formatCode="General">
                  <c:v>-78.026727272727271</c:v>
                </c:pt>
                <c:pt idx="3" formatCode="General">
                  <c:v>-75.833818181818188</c:v>
                </c:pt>
                <c:pt idx="4" formatCode="General">
                  <c:v>-73.717186081694393</c:v>
                </c:pt>
                <c:pt idx="5" formatCode="General">
                  <c:v>-71.932012102874438</c:v>
                </c:pt>
                <c:pt idx="6" formatCode="General">
                  <c:v>-70.146838124054469</c:v>
                </c:pt>
                <c:pt idx="7" formatCode="General">
                  <c:v>-68.361664145234499</c:v>
                </c:pt>
                <c:pt idx="8" formatCode="General">
                  <c:v>-66.57649016641453</c:v>
                </c:pt>
                <c:pt idx="9" formatCode="General">
                  <c:v>-64.79131618759456</c:v>
                </c:pt>
                <c:pt idx="10" formatCode="General">
                  <c:v>-63.006142208774591</c:v>
                </c:pt>
                <c:pt idx="11" formatCode="General">
                  <c:v>-61.382060606060605</c:v>
                </c:pt>
                <c:pt idx="12" formatCode="General">
                  <c:v>-59.93963636363636</c:v>
                </c:pt>
                <c:pt idx="13" formatCode="General">
                  <c:v>-58.591636363636361</c:v>
                </c:pt>
                <c:pt idx="14" formatCode="General">
                  <c:v>-57.285180722891567</c:v>
                </c:pt>
                <c:pt idx="15" formatCode="General">
                  <c:v>-56.080361445783133</c:v>
                </c:pt>
                <c:pt idx="16" formatCode="General">
                  <c:v>-54.924363636363637</c:v>
                </c:pt>
                <c:pt idx="17" formatCode="General">
                  <c:v>-53.81527272727272</c:v>
                </c:pt>
                <c:pt idx="18" formatCode="General">
                  <c:v>-52.789575757575754</c:v>
                </c:pt>
                <c:pt idx="19" formatCode="General">
                  <c:v>-51.793999999999997</c:v>
                </c:pt>
                <c:pt idx="20" formatCode="General">
                  <c:v>-50.860666666666667</c:v>
                </c:pt>
                <c:pt idx="21" formatCode="General">
                  <c:v>-49.968060606060604</c:v>
                </c:pt>
                <c:pt idx="22" formatCode="General">
                  <c:v>-49.107454545454544</c:v>
                </c:pt>
                <c:pt idx="23" formatCode="General">
                  <c:v>-48.311867469879516</c:v>
                </c:pt>
                <c:pt idx="24" formatCode="General">
                  <c:v>-47.538181818181819</c:v>
                </c:pt>
                <c:pt idx="25" formatCode="General">
                  <c:v>-46.810909090909085</c:v>
                </c:pt>
                <c:pt idx="26" formatCode="General">
                  <c:v>-46.127272727272725</c:v>
                </c:pt>
                <c:pt idx="27" formatCode="General">
                  <c:v>-45.472727272727269</c:v>
                </c:pt>
                <c:pt idx="28" formatCode="General">
                  <c:v>-44.88727272727273</c:v>
                </c:pt>
                <c:pt idx="29" formatCode="General">
                  <c:v>-44.32</c:v>
                </c:pt>
                <c:pt idx="30" formatCode="General">
                  <c:v>-43.786666666666669</c:v>
                </c:pt>
                <c:pt idx="31" formatCode="General">
                  <c:v>-43.290662650602414</c:v>
                </c:pt>
                <c:pt idx="32" formatCode="General">
                  <c:v>-42.814759036144579</c:v>
                </c:pt>
                <c:pt idx="33" formatCode="General">
                  <c:v>-42.366</c:v>
                </c:pt>
                <c:pt idx="34" formatCode="General">
                  <c:v>-41.929878787878792</c:v>
                </c:pt>
                <c:pt idx="35" formatCode="General">
                  <c:v>-41.517757575757578</c:v>
                </c:pt>
                <c:pt idx="36" formatCode="General">
                  <c:v>-41.118181818181817</c:v>
                </c:pt>
                <c:pt idx="37" formatCode="General">
                  <c:v>-40.726565809379728</c:v>
                </c:pt>
                <c:pt idx="38" formatCode="General">
                  <c:v>-40.390711043872919</c:v>
                </c:pt>
                <c:pt idx="39" formatCode="General">
                  <c:v>-40.05485627836611</c:v>
                </c:pt>
                <c:pt idx="40" formatCode="General">
                  <c:v>-39.719001512859307</c:v>
                </c:pt>
                <c:pt idx="41" formatCode="General">
                  <c:v>-39.383146747352498</c:v>
                </c:pt>
                <c:pt idx="42" formatCode="General">
                  <c:v>-39.047291981845689</c:v>
                </c:pt>
                <c:pt idx="43" formatCode="General">
                  <c:v>-38.711437216338879</c:v>
                </c:pt>
                <c:pt idx="44" formatCode="General">
                  <c:v>-38.412662632375188</c:v>
                </c:pt>
                <c:pt idx="45" formatCode="General">
                  <c:v>-38.163040847201209</c:v>
                </c:pt>
                <c:pt idx="46" formatCode="General">
                  <c:v>-37.913419062027231</c:v>
                </c:pt>
                <c:pt idx="47" formatCode="General">
                  <c:v>-37.663797276853252</c:v>
                </c:pt>
                <c:pt idx="48" formatCode="General">
                  <c:v>-37.414175491679273</c:v>
                </c:pt>
                <c:pt idx="49" formatCode="General">
                  <c:v>-37.164553706505295</c:v>
                </c:pt>
                <c:pt idx="50" formatCode="General">
                  <c:v>-36.914931921331309</c:v>
                </c:pt>
                <c:pt idx="51" formatCode="General">
                  <c:v>-36.812724242424238</c:v>
                </c:pt>
                <c:pt idx="52" formatCode="General">
                  <c:v>-36.742875757575753</c:v>
                </c:pt>
                <c:pt idx="53" formatCode="General">
                  <c:v>-36.673027272727268</c:v>
                </c:pt>
                <c:pt idx="54" formatCode="General">
                  <c:v>-36.603178787878782</c:v>
                </c:pt>
                <c:pt idx="55" formatCode="General">
                  <c:v>-36.533330303030304</c:v>
                </c:pt>
                <c:pt idx="56" formatCode="General">
                  <c:v>-36.463481818181819</c:v>
                </c:pt>
                <c:pt idx="57" formatCode="General">
                  <c:v>-36.422385542168676</c:v>
                </c:pt>
                <c:pt idx="58" formatCode="General">
                  <c:v>-36.48322891566265</c:v>
                </c:pt>
                <c:pt idx="59" formatCode="General">
                  <c:v>-36.562266666666666</c:v>
                </c:pt>
                <c:pt idx="60" formatCode="General">
                  <c:v>-36.6556</c:v>
                </c:pt>
                <c:pt idx="61" formatCode="General">
                  <c:v>-36.767133333333334</c:v>
                </c:pt>
                <c:pt idx="62" formatCode="General">
                  <c:v>-36.883618181818179</c:v>
                </c:pt>
                <c:pt idx="63" formatCode="General">
                  <c:v>-37.009072727272731</c:v>
                </c:pt>
                <c:pt idx="64" formatCode="General">
                  <c:v>-37.135636363636365</c:v>
                </c:pt>
                <c:pt idx="65" formatCode="General">
                  <c:v>-37.262909090909091</c:v>
                </c:pt>
                <c:pt idx="66" formatCode="General">
                  <c:v>-37.398698795180721</c:v>
                </c:pt>
                <c:pt idx="67" formatCode="General">
                  <c:v>-37.536000000000001</c:v>
                </c:pt>
                <c:pt idx="68" formatCode="General">
                  <c:v>-37.676000000000002</c:v>
                </c:pt>
                <c:pt idx="69" formatCode="General">
                  <c:v>-37.812848484848487</c:v>
                </c:pt>
                <c:pt idx="70" formatCode="General">
                  <c:v>-37.948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2E28-4420-B8DD-7D9C02A58C4F}"/>
            </c:ext>
          </c:extLst>
        </c:ser>
        <c:ser>
          <c:idx val="37"/>
          <c:order val="39"/>
          <c:tx>
            <c:strRef>
              <c:f>'Gibbs-EVAL'!$A$140</c:f>
              <c:strCache>
                <c:ptCount val="1"/>
                <c:pt idx="0">
                  <c:v>(DGe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'Gibbs-EVAL'!$B$140:$BT$140</c:f>
              <c:numCache>
                <c:formatCode>0</c:formatCode>
                <c:ptCount val="71"/>
                <c:pt idx="0">
                  <c:v>-15.805636363636363</c:v>
                </c:pt>
                <c:pt idx="1">
                  <c:v>-15.261999999999999</c:v>
                </c:pt>
                <c:pt idx="2" formatCode="General">
                  <c:v>-14.661999999999999</c:v>
                </c:pt>
                <c:pt idx="3" formatCode="General">
                  <c:v>-14.004484848484848</c:v>
                </c:pt>
                <c:pt idx="4" formatCode="General">
                  <c:v>-13.326287443267777</c:v>
                </c:pt>
                <c:pt idx="5" formatCode="General">
                  <c:v>-12.654880484114978</c:v>
                </c:pt>
                <c:pt idx="6" formatCode="General">
                  <c:v>-11.983473524962179</c:v>
                </c:pt>
                <c:pt idx="7" formatCode="General">
                  <c:v>-11.31206656580938</c:v>
                </c:pt>
                <c:pt idx="8" formatCode="General">
                  <c:v>-10.64065960665658</c:v>
                </c:pt>
                <c:pt idx="9" formatCode="General">
                  <c:v>-9.969252647503783</c:v>
                </c:pt>
                <c:pt idx="10" formatCode="General">
                  <c:v>-9.2978456883509839</c:v>
                </c:pt>
                <c:pt idx="11" formatCode="General">
                  <c:v>-8.67908484848485</c:v>
                </c:pt>
                <c:pt idx="12" formatCode="General">
                  <c:v>-8.1196909090909095</c:v>
                </c:pt>
                <c:pt idx="13" formatCode="General">
                  <c:v>-7.619436363636364</c:v>
                </c:pt>
                <c:pt idx="14" formatCode="General">
                  <c:v>-7.1476144578313257</c:v>
                </c:pt>
                <c:pt idx="15" formatCode="General">
                  <c:v>-6.7512289156626508</c:v>
                </c:pt>
                <c:pt idx="16" formatCode="General">
                  <c:v>-6.4021454545454546</c:v>
                </c:pt>
                <c:pt idx="17" formatCode="General">
                  <c:v>-6.09850909090909</c:v>
                </c:pt>
                <c:pt idx="18" formatCode="General">
                  <c:v>-5.8730545454545453</c:v>
                </c:pt>
                <c:pt idx="19" formatCode="General">
                  <c:v>-5.6767454545454541</c:v>
                </c:pt>
                <c:pt idx="20" formatCode="General">
                  <c:v>-5.5421999999999993</c:v>
                </c:pt>
                <c:pt idx="21" formatCode="General">
                  <c:v>-5.4426121212121208</c:v>
                </c:pt>
                <c:pt idx="22" formatCode="General">
                  <c:v>-5.3704909090909085</c:v>
                </c:pt>
                <c:pt idx="23" formatCode="General">
                  <c:v>-5.3393313253012051</c:v>
                </c:pt>
                <c:pt idx="24" formatCode="General">
                  <c:v>-5.319</c:v>
                </c:pt>
                <c:pt idx="25" formatCode="General">
                  <c:v>-5.319</c:v>
                </c:pt>
                <c:pt idx="26" formatCode="General">
                  <c:v>-5.3280909090909088</c:v>
                </c:pt>
                <c:pt idx="27" formatCode="General">
                  <c:v>-5.3432424242424243</c:v>
                </c:pt>
                <c:pt idx="28" formatCode="General">
                  <c:v>-5.3641515151515149</c:v>
                </c:pt>
                <c:pt idx="29" formatCode="General">
                  <c:v>-5.3860909090909086</c:v>
                </c:pt>
                <c:pt idx="30" formatCode="General">
                  <c:v>-5.4097272727272729</c:v>
                </c:pt>
                <c:pt idx="31" formatCode="General">
                  <c:v>-5.4340542168674695</c:v>
                </c:pt>
                <c:pt idx="32" formatCode="General">
                  <c:v>-5.4587530120481924</c:v>
                </c:pt>
                <c:pt idx="33" formatCode="General">
                  <c:v>-5.4829999999999997</c:v>
                </c:pt>
                <c:pt idx="34" formatCode="General">
                  <c:v>-5.5074484848484841</c:v>
                </c:pt>
                <c:pt idx="35" formatCode="General">
                  <c:v>-5.5322969696969695</c:v>
                </c:pt>
                <c:pt idx="36" formatCode="General">
                  <c:v>-5.5567272727272723</c:v>
                </c:pt>
                <c:pt idx="37" formatCode="General">
                  <c:v>-5.5809863842662635</c:v>
                </c:pt>
                <c:pt idx="38" formatCode="General">
                  <c:v>-5.6056459909228442</c:v>
                </c:pt>
                <c:pt idx="39" formatCode="General">
                  <c:v>-5.6303055975794249</c:v>
                </c:pt>
                <c:pt idx="40" formatCode="General">
                  <c:v>-5.6549652042360066</c:v>
                </c:pt>
                <c:pt idx="41" formatCode="General">
                  <c:v>-5.6796248108925873</c:v>
                </c:pt>
                <c:pt idx="42" formatCode="General">
                  <c:v>-5.704284417549168</c:v>
                </c:pt>
                <c:pt idx="43" formatCode="General">
                  <c:v>-5.7289440242057488</c:v>
                </c:pt>
                <c:pt idx="44" formatCode="General">
                  <c:v>-5.7543192133131624</c:v>
                </c:pt>
                <c:pt idx="45" formatCode="General">
                  <c:v>-5.7806429652042359</c:v>
                </c:pt>
                <c:pt idx="46" formatCode="General">
                  <c:v>-5.8069667170953103</c:v>
                </c:pt>
                <c:pt idx="47" formatCode="General">
                  <c:v>-5.8332904689863847</c:v>
                </c:pt>
                <c:pt idx="48" formatCode="General">
                  <c:v>-5.8596142208774582</c:v>
                </c:pt>
                <c:pt idx="49" formatCode="General">
                  <c:v>-5.8859379727685326</c:v>
                </c:pt>
                <c:pt idx="50" formatCode="General">
                  <c:v>-5.912261724659607</c:v>
                </c:pt>
                <c:pt idx="51" formatCode="General">
                  <c:v>-5.942966666666667</c:v>
                </c:pt>
                <c:pt idx="52" formatCode="General">
                  <c:v>-5.9746333333333332</c:v>
                </c:pt>
                <c:pt idx="53" formatCode="General">
                  <c:v>-6.0063000000000004</c:v>
                </c:pt>
                <c:pt idx="54" formatCode="General">
                  <c:v>-6.0379666666666667</c:v>
                </c:pt>
                <c:pt idx="55" formatCode="General">
                  <c:v>-6.0696333333333339</c:v>
                </c:pt>
                <c:pt idx="56" formatCode="General">
                  <c:v>-6.1013000000000002</c:v>
                </c:pt>
                <c:pt idx="57" formatCode="General">
                  <c:v>-6.132493975903615</c:v>
                </c:pt>
                <c:pt idx="58" formatCode="General">
                  <c:v>-6.1620120481927714</c:v>
                </c:pt>
                <c:pt idx="59" formatCode="General">
                  <c:v>-6.190612121212121</c:v>
                </c:pt>
                <c:pt idx="60" formatCode="General">
                  <c:v>-6.2184909090909093</c:v>
                </c:pt>
                <c:pt idx="61" formatCode="General">
                  <c:v>-6.2441636363636368</c:v>
                </c:pt>
                <c:pt idx="62" formatCode="General">
                  <c:v>-6.2693030303030302</c:v>
                </c:pt>
                <c:pt idx="63" formatCode="General">
                  <c:v>-6.2935454545454546</c:v>
                </c:pt>
                <c:pt idx="64" formatCode="General">
                  <c:v>-6.3174181818181818</c:v>
                </c:pt>
                <c:pt idx="65" formatCode="General">
                  <c:v>-6.3410545454545453</c:v>
                </c:pt>
                <c:pt idx="66" formatCode="General">
                  <c:v>-6.363397590361445</c:v>
                </c:pt>
                <c:pt idx="67" formatCode="General">
                  <c:v>-6.385727272727272</c:v>
                </c:pt>
                <c:pt idx="68" formatCode="General">
                  <c:v>-6.4081515151515154</c:v>
                </c:pt>
                <c:pt idx="69" formatCode="General">
                  <c:v>-6.4301818181818184</c:v>
                </c:pt>
                <c:pt idx="70" formatCode="General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2E28-4420-B8DD-7D9C02A58C4F}"/>
            </c:ext>
          </c:extLst>
        </c:ser>
        <c:ser>
          <c:idx val="38"/>
          <c:order val="40"/>
          <c:tx>
            <c:strRef>
              <c:f>'Gibbs-EVAL'!$A$141</c:f>
              <c:strCache>
                <c:ptCount val="1"/>
                <c:pt idx="0">
                  <c:v>(DGa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'Gibbs-EVAL'!$B$141:$BT$141</c:f>
              <c:numCache>
                <c:formatCode>0</c:formatCode>
                <c:ptCount val="71"/>
                <c:pt idx="0">
                  <c:v>-60.735090909090907</c:v>
                </c:pt>
                <c:pt idx="1">
                  <c:v>-58.673878787878785</c:v>
                </c:pt>
                <c:pt idx="2" formatCode="General">
                  <c:v>-56.631454545454545</c:v>
                </c:pt>
                <c:pt idx="3" formatCode="General">
                  <c:v>-54.589030303030299</c:v>
                </c:pt>
                <c:pt idx="4" formatCode="General">
                  <c:v>-52.560166414523451</c:v>
                </c:pt>
                <c:pt idx="5" formatCode="General">
                  <c:v>-50.687246596066565</c:v>
                </c:pt>
                <c:pt idx="6" formatCode="General">
                  <c:v>-48.814326777609679</c:v>
                </c:pt>
                <c:pt idx="7" formatCode="General">
                  <c:v>-46.9414069591528</c:v>
                </c:pt>
                <c:pt idx="8" formatCode="General">
                  <c:v>-45.068487140695915</c:v>
                </c:pt>
                <c:pt idx="9" formatCode="General">
                  <c:v>-43.195567322239029</c:v>
                </c:pt>
                <c:pt idx="10" formatCode="General">
                  <c:v>-41.32264750378215</c:v>
                </c:pt>
                <c:pt idx="11" formatCode="General">
                  <c:v>-39.589393939393936</c:v>
                </c:pt>
                <c:pt idx="12" formatCode="General">
                  <c:v>-38.013636363636365</c:v>
                </c:pt>
                <c:pt idx="13" formatCode="General">
                  <c:v>-36.542242424242424</c:v>
                </c:pt>
                <c:pt idx="14" formatCode="General">
                  <c:v>-35.117771084337356</c:v>
                </c:pt>
                <c:pt idx="15" formatCode="General">
                  <c:v>-33.810542168674701</c:v>
                </c:pt>
                <c:pt idx="16" formatCode="General">
                  <c:v>-32.561090909090908</c:v>
                </c:pt>
                <c:pt idx="17" formatCode="General">
                  <c:v>-31.367151515151512</c:v>
                </c:pt>
                <c:pt idx="18" formatCode="General">
                  <c:v>-30.256606060606057</c:v>
                </c:pt>
                <c:pt idx="19" formatCode="General">
                  <c:v>-29.173636363636362</c:v>
                </c:pt>
                <c:pt idx="20" formatCode="General">
                  <c:v>-28.143333333333331</c:v>
                </c:pt>
                <c:pt idx="21" formatCode="General">
                  <c:v>-27.143575757575757</c:v>
                </c:pt>
                <c:pt idx="22" formatCode="General">
                  <c:v>-26.167818181818177</c:v>
                </c:pt>
                <c:pt idx="23" formatCode="General">
                  <c:v>-25.252228915662648</c:v>
                </c:pt>
                <c:pt idx="24" formatCode="General">
                  <c:v>-24.354848484848485</c:v>
                </c:pt>
                <c:pt idx="25" formatCode="General">
                  <c:v>-23.494242424242422</c:v>
                </c:pt>
                <c:pt idx="26" formatCode="General">
                  <c:v>-22.673636363636362</c:v>
                </c:pt>
                <c:pt idx="27" formatCode="General">
                  <c:v>-21.879696969696969</c:v>
                </c:pt>
                <c:pt idx="28" formatCode="General">
                  <c:v>-21.149090909090908</c:v>
                </c:pt>
                <c:pt idx="29" formatCode="General">
                  <c:v>-20.438181818181818</c:v>
                </c:pt>
                <c:pt idx="30" formatCode="General">
                  <c:v>-19.765454545454546</c:v>
                </c:pt>
                <c:pt idx="31" formatCode="General">
                  <c:v>-19.126686746987954</c:v>
                </c:pt>
                <c:pt idx="32" formatCode="General">
                  <c:v>-18.506204819277109</c:v>
                </c:pt>
                <c:pt idx="33" formatCode="General">
                  <c:v>-17.918000000000003</c:v>
                </c:pt>
                <c:pt idx="34" formatCode="General">
                  <c:v>-17.342484848484851</c:v>
                </c:pt>
                <c:pt idx="35" formatCode="General">
                  <c:v>-16.7909696969697</c:v>
                </c:pt>
                <c:pt idx="36" formatCode="General">
                  <c:v>-16.252000000000002</c:v>
                </c:pt>
                <c:pt idx="37" formatCode="General">
                  <c:v>-15.721119515885023</c:v>
                </c:pt>
                <c:pt idx="38" formatCode="General">
                  <c:v>-15.249107413010591</c:v>
                </c:pt>
                <c:pt idx="39" formatCode="General">
                  <c:v>-14.77709531013616</c:v>
                </c:pt>
                <c:pt idx="40" formatCode="General">
                  <c:v>-14.305083207261726</c:v>
                </c:pt>
                <c:pt idx="41" formatCode="General">
                  <c:v>-13.833071104387294</c:v>
                </c:pt>
                <c:pt idx="42" formatCode="General">
                  <c:v>-13.36105900151286</c:v>
                </c:pt>
                <c:pt idx="43" formatCode="General">
                  <c:v>-12.889046898638428</c:v>
                </c:pt>
                <c:pt idx="44" formatCode="General">
                  <c:v>-12.457367624810892</c:v>
                </c:pt>
                <c:pt idx="45" formatCode="General">
                  <c:v>-12.079152798789712</c:v>
                </c:pt>
                <c:pt idx="46" formatCode="General">
                  <c:v>-11.700937972768532</c:v>
                </c:pt>
                <c:pt idx="47" formatCode="General">
                  <c:v>-11.322723146747352</c:v>
                </c:pt>
                <c:pt idx="48" formatCode="General">
                  <c:v>-10.944508320726172</c:v>
                </c:pt>
                <c:pt idx="49" formatCode="General">
                  <c:v>-10.56629349470499</c:v>
                </c:pt>
                <c:pt idx="50" formatCode="General">
                  <c:v>-10.18807866868381</c:v>
                </c:pt>
                <c:pt idx="51" formatCode="General">
                  <c:v>-9.9633303030303022</c:v>
                </c:pt>
                <c:pt idx="52" formatCode="General">
                  <c:v>-9.7722696969696958</c:v>
                </c:pt>
                <c:pt idx="53" formatCode="General">
                  <c:v>-9.5812090909090895</c:v>
                </c:pt>
                <c:pt idx="54" formatCode="General">
                  <c:v>-9.3901484848484831</c:v>
                </c:pt>
                <c:pt idx="55" formatCode="General">
                  <c:v>-9.1990878787878785</c:v>
                </c:pt>
                <c:pt idx="56" formatCode="General">
                  <c:v>-9.0080272727272721</c:v>
                </c:pt>
                <c:pt idx="57" formatCode="General">
                  <c:v>-8.8458795180722891</c:v>
                </c:pt>
                <c:pt idx="58" formatCode="General">
                  <c:v>-8.7862409638554215</c:v>
                </c:pt>
                <c:pt idx="59" formatCode="General">
                  <c:v>-8.7443878787878795</c:v>
                </c:pt>
                <c:pt idx="60" formatCode="General">
                  <c:v>-8.7165090909090921</c:v>
                </c:pt>
                <c:pt idx="61" formatCode="General">
                  <c:v>-8.7068303030303031</c:v>
                </c:pt>
                <c:pt idx="62" formatCode="General">
                  <c:v>-8.7021030303030305</c:v>
                </c:pt>
                <c:pt idx="63" formatCode="General">
                  <c:v>-8.7063454545454544</c:v>
                </c:pt>
                <c:pt idx="64" formatCode="General">
                  <c:v>-8.7153939393939392</c:v>
                </c:pt>
                <c:pt idx="65" formatCode="General">
                  <c:v>-8.727515151515151</c:v>
                </c:pt>
                <c:pt idx="66" formatCode="General">
                  <c:v>-8.7430361445783138</c:v>
                </c:pt>
                <c:pt idx="67" formatCode="General">
                  <c:v>-8.7596363636363641</c:v>
                </c:pt>
                <c:pt idx="68" formatCode="General">
                  <c:v>-8.7784242424242418</c:v>
                </c:pt>
                <c:pt idx="69" formatCode="General">
                  <c:v>-8.798</c:v>
                </c:pt>
                <c:pt idx="70" formatCode="General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2E28-4420-B8DD-7D9C02A58C4F}"/>
            </c:ext>
          </c:extLst>
        </c:ser>
        <c:ser>
          <c:idx val="40"/>
          <c:order val="41"/>
          <c:tx>
            <c:strRef>
              <c:f>'Gibbs-EVAL'!$A$142</c:f>
              <c:strCache>
                <c:ptCount val="1"/>
                <c:pt idx="0">
                  <c:v>(1)Se[A]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'Gibbs-EVAL'!$B$142:$BT$142</c:f>
              <c:numCache>
                <c:formatCode>0</c:formatCode>
                <c:ptCount val="71"/>
                <c:pt idx="0">
                  <c:v>-22.065575757575758</c:v>
                </c:pt>
                <c:pt idx="1">
                  <c:v>-21.674060606060607</c:v>
                </c:pt>
                <c:pt idx="2" formatCode="General">
                  <c:v>-21.395272727272726</c:v>
                </c:pt>
                <c:pt idx="3" formatCode="General">
                  <c:v>-21.244787878787879</c:v>
                </c:pt>
                <c:pt idx="4" formatCode="General">
                  <c:v>-21.157019667170953</c:v>
                </c:pt>
                <c:pt idx="5" formatCode="General">
                  <c:v>-21.244765506807866</c:v>
                </c:pt>
                <c:pt idx="6" formatCode="General">
                  <c:v>-21.332511346444779</c:v>
                </c:pt>
                <c:pt idx="7" formatCode="General">
                  <c:v>-21.420257186081695</c:v>
                </c:pt>
                <c:pt idx="8" formatCode="General">
                  <c:v>-21.508003025718608</c:v>
                </c:pt>
                <c:pt idx="9" formatCode="General">
                  <c:v>-21.595748865355521</c:v>
                </c:pt>
                <c:pt idx="10" formatCode="General">
                  <c:v>-21.683494704992437</c:v>
                </c:pt>
                <c:pt idx="11" formatCode="General">
                  <c:v>-21.792666666666666</c:v>
                </c:pt>
                <c:pt idx="12" formatCode="General">
                  <c:v>-21.925999999999998</c:v>
                </c:pt>
                <c:pt idx="13" formatCode="General">
                  <c:v>-22.049393939393937</c:v>
                </c:pt>
                <c:pt idx="14" formatCode="General">
                  <c:v>-22.167409638554215</c:v>
                </c:pt>
                <c:pt idx="15" formatCode="General">
                  <c:v>-22.269819277108432</c:v>
                </c:pt>
                <c:pt idx="16" formatCode="General">
                  <c:v>-22.363272727272729</c:v>
                </c:pt>
                <c:pt idx="17" formatCode="General">
                  <c:v>-22.448121212121212</c:v>
                </c:pt>
                <c:pt idx="18" formatCode="General">
                  <c:v>-22.532969696969698</c:v>
                </c:pt>
                <c:pt idx="19" formatCode="General">
                  <c:v>-22.620363636363638</c:v>
                </c:pt>
                <c:pt idx="20" formatCode="General">
                  <c:v>-22.717333333333336</c:v>
                </c:pt>
                <c:pt idx="21" formatCode="General">
                  <c:v>-22.82448484848485</c:v>
                </c:pt>
                <c:pt idx="22" formatCode="General">
                  <c:v>-22.939636363636364</c:v>
                </c:pt>
                <c:pt idx="23" formatCode="General">
                  <c:v>-23.059638554216868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2E28-4420-B8DD-7D9C02A58C4F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-22.065575757575758</c:v>
                </c:pt>
                <c:pt idx="1">
                  <c:v>-21.674060606060607</c:v>
                </c:pt>
                <c:pt idx="2" formatCode="General">
                  <c:v>-21.395272727272726</c:v>
                </c:pt>
                <c:pt idx="3" formatCode="General">
                  <c:v>-21.244787878787879</c:v>
                </c:pt>
                <c:pt idx="4" formatCode="General">
                  <c:v>-21.157019667170953</c:v>
                </c:pt>
                <c:pt idx="5" formatCode="General">
                  <c:v>-21.244765506807866</c:v>
                </c:pt>
                <c:pt idx="6" formatCode="General">
                  <c:v>-21.332511346444779</c:v>
                </c:pt>
                <c:pt idx="7" formatCode="General">
                  <c:v>-21.420257186081695</c:v>
                </c:pt>
                <c:pt idx="8" formatCode="General">
                  <c:v>-21.508003025718608</c:v>
                </c:pt>
                <c:pt idx="9" formatCode="General">
                  <c:v>-21.595748865355521</c:v>
                </c:pt>
                <c:pt idx="10" formatCode="General">
                  <c:v>-21.683494704992437</c:v>
                </c:pt>
                <c:pt idx="11" formatCode="General">
                  <c:v>-21.792666666666666</c:v>
                </c:pt>
                <c:pt idx="12" formatCode="General">
                  <c:v>-21.925999999999998</c:v>
                </c:pt>
                <c:pt idx="13" formatCode="General">
                  <c:v>-22.049393939393937</c:v>
                </c:pt>
                <c:pt idx="14" formatCode="General">
                  <c:v>-22.167409638554215</c:v>
                </c:pt>
                <c:pt idx="15" formatCode="General">
                  <c:v>-22.269819277108432</c:v>
                </c:pt>
                <c:pt idx="16" formatCode="General">
                  <c:v>-22.363272727272729</c:v>
                </c:pt>
                <c:pt idx="17" formatCode="General">
                  <c:v>-22.448121212121212</c:v>
                </c:pt>
                <c:pt idx="18" formatCode="General">
                  <c:v>-22.532969696969698</c:v>
                </c:pt>
                <c:pt idx="19" formatCode="General">
                  <c:v>-22.620363636363638</c:v>
                </c:pt>
                <c:pt idx="20" formatCode="General">
                  <c:v>-22.717333333333336</c:v>
                </c:pt>
                <c:pt idx="21" formatCode="General">
                  <c:v>-22.82448484848485</c:v>
                </c:pt>
                <c:pt idx="22" formatCode="General">
                  <c:v>-22.939636363636364</c:v>
                </c:pt>
                <c:pt idx="23" formatCode="General">
                  <c:v>-23.059638554216868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2E28-4420-B8DD-7D9C02A58C4F}"/>
            </c:ext>
          </c:extLst>
        </c:ser>
        <c:ser>
          <c:idx val="42"/>
          <c:order val="43"/>
          <c:tx>
            <c:strRef>
              <c:f>'Gibbs-EVAL'!$A$144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'Gibbs-EVAL'!$B$144:$BT$144</c:f>
              <c:numCache>
                <c:formatCode>0</c:formatCode>
                <c:ptCount val="71"/>
                <c:pt idx="0">
                  <c:v>-22.065575757575758</c:v>
                </c:pt>
                <c:pt idx="1">
                  <c:v>-21.674060606060607</c:v>
                </c:pt>
                <c:pt idx="2" formatCode="General">
                  <c:v>-21.395272727272726</c:v>
                </c:pt>
                <c:pt idx="3" formatCode="General">
                  <c:v>-21.244787878787879</c:v>
                </c:pt>
                <c:pt idx="4" formatCode="General">
                  <c:v>-21.157019667170953</c:v>
                </c:pt>
                <c:pt idx="5" formatCode="General">
                  <c:v>-21.244765506807866</c:v>
                </c:pt>
                <c:pt idx="6" formatCode="General">
                  <c:v>-21.332511346444779</c:v>
                </c:pt>
                <c:pt idx="7" formatCode="General">
                  <c:v>-21.420257186081695</c:v>
                </c:pt>
                <c:pt idx="8" formatCode="General">
                  <c:v>-21.508003025718608</c:v>
                </c:pt>
                <c:pt idx="9" formatCode="General">
                  <c:v>-21.595748865355521</c:v>
                </c:pt>
                <c:pt idx="10" formatCode="General">
                  <c:v>-21.683494704992437</c:v>
                </c:pt>
                <c:pt idx="11" formatCode="General">
                  <c:v>-21.792666666666666</c:v>
                </c:pt>
                <c:pt idx="12" formatCode="General">
                  <c:v>-21.925999999999998</c:v>
                </c:pt>
                <c:pt idx="13" formatCode="General">
                  <c:v>-22.049393939393937</c:v>
                </c:pt>
                <c:pt idx="14" formatCode="General">
                  <c:v>-22.167409638554215</c:v>
                </c:pt>
                <c:pt idx="15" formatCode="General">
                  <c:v>-22.269819277108432</c:v>
                </c:pt>
                <c:pt idx="16" formatCode="General">
                  <c:v>-22.363272727272729</c:v>
                </c:pt>
                <c:pt idx="17" formatCode="General">
                  <c:v>-22.448121212121212</c:v>
                </c:pt>
                <c:pt idx="18" formatCode="General">
                  <c:v>-22.532969696969698</c:v>
                </c:pt>
                <c:pt idx="19" formatCode="General">
                  <c:v>-22.620363636363638</c:v>
                </c:pt>
                <c:pt idx="20" formatCode="General">
                  <c:v>-22.717333333333336</c:v>
                </c:pt>
                <c:pt idx="21" formatCode="General">
                  <c:v>-22.82448484848485</c:v>
                </c:pt>
                <c:pt idx="22" formatCode="General">
                  <c:v>-22.939636363636364</c:v>
                </c:pt>
                <c:pt idx="23" formatCode="General">
                  <c:v>-23.059638554216868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2E28-4420-B8DD-7D9C02A58C4F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  <c:pt idx="0">
                  <c:v>(2)Ga[l]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-60.735090909090907</c:v>
                </c:pt>
                <c:pt idx="1">
                  <c:v>-58.673878787878785</c:v>
                </c:pt>
                <c:pt idx="2" formatCode="General">
                  <c:v>-56.631454545454545</c:v>
                </c:pt>
                <c:pt idx="3" formatCode="General">
                  <c:v>-54.589030303030299</c:v>
                </c:pt>
                <c:pt idx="4" formatCode="General">
                  <c:v>-52.560166414523451</c:v>
                </c:pt>
                <c:pt idx="5" formatCode="General">
                  <c:v>-50.687246596066565</c:v>
                </c:pt>
                <c:pt idx="6" formatCode="General">
                  <c:v>-48.814326777609679</c:v>
                </c:pt>
                <c:pt idx="7" formatCode="General">
                  <c:v>-46.9414069591528</c:v>
                </c:pt>
                <c:pt idx="8" formatCode="General">
                  <c:v>-45.068487140695915</c:v>
                </c:pt>
                <c:pt idx="9" formatCode="General">
                  <c:v>-43.195567322239029</c:v>
                </c:pt>
                <c:pt idx="10" formatCode="General">
                  <c:v>-41.32264750378215</c:v>
                </c:pt>
                <c:pt idx="11" formatCode="General">
                  <c:v>-39.589393939393936</c:v>
                </c:pt>
                <c:pt idx="12" formatCode="General">
                  <c:v>-38.013636363636365</c:v>
                </c:pt>
                <c:pt idx="13" formatCode="General">
                  <c:v>-36.542242424242424</c:v>
                </c:pt>
                <c:pt idx="14" formatCode="General">
                  <c:v>-35.117771084337356</c:v>
                </c:pt>
                <c:pt idx="15" formatCode="General">
                  <c:v>-33.810542168674701</c:v>
                </c:pt>
                <c:pt idx="16" formatCode="General">
                  <c:v>-32.561090909090908</c:v>
                </c:pt>
                <c:pt idx="17" formatCode="General">
                  <c:v>-31.367151515151512</c:v>
                </c:pt>
                <c:pt idx="18" formatCode="General">
                  <c:v>-30.256606060606057</c:v>
                </c:pt>
                <c:pt idx="19" formatCode="General">
                  <c:v>-29.173636363636362</c:v>
                </c:pt>
                <c:pt idx="20" formatCode="General">
                  <c:v>-28.143333333333331</c:v>
                </c:pt>
                <c:pt idx="21" formatCode="General">
                  <c:v>-27.143575757575757</c:v>
                </c:pt>
                <c:pt idx="22" formatCode="General">
                  <c:v>-26.167818181818177</c:v>
                </c:pt>
                <c:pt idx="23" formatCode="General">
                  <c:v>-25.252228915662648</c:v>
                </c:pt>
                <c:pt idx="24" formatCode="General">
                  <c:v>-24.354848484848485</c:v>
                </c:pt>
                <c:pt idx="25" formatCode="General">
                  <c:v>-23.494242424242422</c:v>
                </c:pt>
                <c:pt idx="26" formatCode="General">
                  <c:v>-22.673636363636362</c:v>
                </c:pt>
                <c:pt idx="27" formatCode="General">
                  <c:v>-21.879696969696969</c:v>
                </c:pt>
                <c:pt idx="28" formatCode="General">
                  <c:v>-21.149090909090908</c:v>
                </c:pt>
                <c:pt idx="29" formatCode="General">
                  <c:v>-20.438181818181818</c:v>
                </c:pt>
                <c:pt idx="30" formatCode="General">
                  <c:v>-19.765454545454546</c:v>
                </c:pt>
                <c:pt idx="31" formatCode="General">
                  <c:v>-19.126686746987954</c:v>
                </c:pt>
                <c:pt idx="32" formatCode="General">
                  <c:v>-18.506204819277109</c:v>
                </c:pt>
                <c:pt idx="33" formatCode="General">
                  <c:v>-17.918000000000003</c:v>
                </c:pt>
                <c:pt idx="34" formatCode="General">
                  <c:v>-17.342484848484851</c:v>
                </c:pt>
                <c:pt idx="35" formatCode="General">
                  <c:v>-16.7909696969697</c:v>
                </c:pt>
                <c:pt idx="36" formatCode="General">
                  <c:v>-16.252000000000002</c:v>
                </c:pt>
                <c:pt idx="37" formatCode="General">
                  <c:v>-15.721119515885023</c:v>
                </c:pt>
                <c:pt idx="38" formatCode="General">
                  <c:v>-15.249107413010591</c:v>
                </c:pt>
                <c:pt idx="39" formatCode="General">
                  <c:v>-14.77709531013616</c:v>
                </c:pt>
                <c:pt idx="40" formatCode="General">
                  <c:v>-14.305083207261726</c:v>
                </c:pt>
                <c:pt idx="41" formatCode="General">
                  <c:v>-13.833071104387294</c:v>
                </c:pt>
                <c:pt idx="42" formatCode="General">
                  <c:v>-13.36105900151286</c:v>
                </c:pt>
                <c:pt idx="43" formatCode="General">
                  <c:v>-12.889046898638428</c:v>
                </c:pt>
                <c:pt idx="44" formatCode="General">
                  <c:v>-12.457367624810892</c:v>
                </c:pt>
                <c:pt idx="45" formatCode="General">
                  <c:v>-12.079152798789712</c:v>
                </c:pt>
                <c:pt idx="46" formatCode="General">
                  <c:v>-11.700937972768532</c:v>
                </c:pt>
                <c:pt idx="47" formatCode="General">
                  <c:v>-11.322723146747352</c:v>
                </c:pt>
                <c:pt idx="48" formatCode="General">
                  <c:v>-10.944508320726172</c:v>
                </c:pt>
                <c:pt idx="49" formatCode="General">
                  <c:v>-10.56629349470499</c:v>
                </c:pt>
                <c:pt idx="50" formatCode="General">
                  <c:v>-10.18807866868381</c:v>
                </c:pt>
                <c:pt idx="51" formatCode="General">
                  <c:v>-9.9633303030303022</c:v>
                </c:pt>
                <c:pt idx="52" formatCode="General">
                  <c:v>-9.7722696969696958</c:v>
                </c:pt>
                <c:pt idx="53" formatCode="General">
                  <c:v>-9.5812090909090895</c:v>
                </c:pt>
                <c:pt idx="54" formatCode="General">
                  <c:v>-9.3901484848484831</c:v>
                </c:pt>
                <c:pt idx="55" formatCode="General">
                  <c:v>-9.1990878787878785</c:v>
                </c:pt>
                <c:pt idx="56" formatCode="General">
                  <c:v>-9.0080272727272721</c:v>
                </c:pt>
                <c:pt idx="57" formatCode="General">
                  <c:v>-8.8458795180722891</c:v>
                </c:pt>
                <c:pt idx="58" formatCode="General">
                  <c:v>-8.7862409638554215</c:v>
                </c:pt>
                <c:pt idx="59" formatCode="General">
                  <c:v>-8.7443878787878795</c:v>
                </c:pt>
                <c:pt idx="60" formatCode="General">
                  <c:v>-8.7165090909090921</c:v>
                </c:pt>
                <c:pt idx="61" formatCode="General">
                  <c:v>-8.7068303030303031</c:v>
                </c:pt>
                <c:pt idx="62" formatCode="General">
                  <c:v>-8.7021030303030305</c:v>
                </c:pt>
                <c:pt idx="63" formatCode="General">
                  <c:v>-8.7063454545454544</c:v>
                </c:pt>
                <c:pt idx="64" formatCode="General">
                  <c:v>-8.7153939393939392</c:v>
                </c:pt>
                <c:pt idx="65" formatCode="General">
                  <c:v>-8.727515151515151</c:v>
                </c:pt>
                <c:pt idx="66" formatCode="General">
                  <c:v>-8.7430361445783138</c:v>
                </c:pt>
                <c:pt idx="67" formatCode="General">
                  <c:v>-8.7596363636363641</c:v>
                </c:pt>
                <c:pt idx="68" formatCode="General">
                  <c:v>-8.7784242424242418</c:v>
                </c:pt>
                <c:pt idx="69" formatCode="General">
                  <c:v>-8.798</c:v>
                </c:pt>
                <c:pt idx="70" formatCode="General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2E28-4420-B8DD-7D9C02A58C4F}"/>
            </c:ext>
          </c:extLst>
        </c:ser>
        <c:ser>
          <c:idx val="44"/>
          <c:order val="45"/>
          <c:tx>
            <c:strRef>
              <c:f>'Gibbs-EVAL'!$A$146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'Gibbs-EVAL'!$B$146:$BT$146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-18.631089258698939</c:v>
                </c:pt>
                <c:pt idx="5" formatCode="General">
                  <c:v>-18.644704992435702</c:v>
                </c:pt>
                <c:pt idx="6" formatCode="General">
                  <c:v>-18.658320726172466</c:v>
                </c:pt>
                <c:pt idx="7" formatCode="General">
                  <c:v>-18.671936459909226</c:v>
                </c:pt>
                <c:pt idx="8" formatCode="General">
                  <c:v>-18.685552193645989</c:v>
                </c:pt>
                <c:pt idx="9" formatCode="General">
                  <c:v>-18.699167927382753</c:v>
                </c:pt>
                <c:pt idx="10" formatCode="General">
                  <c:v>-18.712783661119516</c:v>
                </c:pt>
                <c:pt idx="11" formatCode="General">
                  <c:v>-18.728545454545454</c:v>
                </c:pt>
                <c:pt idx="12" formatCode="General">
                  <c:v>-18.746727272727274</c:v>
                </c:pt>
                <c:pt idx="13" formatCode="General">
                  <c:v>-18.764909090909093</c:v>
                </c:pt>
                <c:pt idx="14" formatCode="General">
                  <c:v>-18.783072289156628</c:v>
                </c:pt>
                <c:pt idx="15" formatCode="General">
                  <c:v>-18.801144578313252</c:v>
                </c:pt>
                <c:pt idx="16" formatCode="General">
                  <c:v>-18.819272727272725</c:v>
                </c:pt>
                <c:pt idx="17" formatCode="General">
                  <c:v>-18.837454545454545</c:v>
                </c:pt>
                <c:pt idx="18" formatCode="General">
                  <c:v>-18.855636363636364</c:v>
                </c:pt>
                <c:pt idx="19" formatCode="General">
                  <c:v>-18.873818181818184</c:v>
                </c:pt>
                <c:pt idx="20" formatCode="General">
                  <c:v>-18.891999999999999</c:v>
                </c:pt>
                <c:pt idx="21" formatCode="General">
                  <c:v>-18.913575757575757</c:v>
                </c:pt>
                <c:pt idx="22" formatCode="General">
                  <c:v>-18.937818181818184</c:v>
                </c:pt>
                <c:pt idx="23" formatCode="General">
                  <c:v>-18.95644578313253</c:v>
                </c:pt>
                <c:pt idx="24" formatCode="General">
                  <c:v>-18.976060606060607</c:v>
                </c:pt>
                <c:pt idx="25" formatCode="General">
                  <c:v>-19.00030303030303</c:v>
                </c:pt>
                <c:pt idx="26" formatCode="General">
                  <c:v>-19.020909090909093</c:v>
                </c:pt>
                <c:pt idx="27" formatCode="General">
                  <c:v>-19.039090909090909</c:v>
                </c:pt>
                <c:pt idx="28" formatCode="General">
                  <c:v>-19.057272727272728</c:v>
                </c:pt>
                <c:pt idx="29" formatCode="General">
                  <c:v>-19.077272727272728</c:v>
                </c:pt>
                <c:pt idx="30" formatCode="General">
                  <c:v>-19.101515151515152</c:v>
                </c:pt>
                <c:pt idx="31" formatCode="General">
                  <c:v>-19.121746987951806</c:v>
                </c:pt>
                <c:pt idx="32" formatCode="General">
                  <c:v>-19.139819277108433</c:v>
                </c:pt>
                <c:pt idx="33" formatCode="General">
                  <c:v>-19.164000000000001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-19.388456883509832</c:v>
                </c:pt>
                <c:pt idx="45" formatCode="General">
                  <c:v>-19.408124054462935</c:v>
                </c:pt>
                <c:pt idx="46" formatCode="General">
                  <c:v>-19.427791225416037</c:v>
                </c:pt>
                <c:pt idx="47" formatCode="General">
                  <c:v>-19.447458396369139</c:v>
                </c:pt>
                <c:pt idx="48" formatCode="General">
                  <c:v>-19.467125567322238</c:v>
                </c:pt>
                <c:pt idx="49" formatCode="General">
                  <c:v>-19.486792738275341</c:v>
                </c:pt>
                <c:pt idx="50" formatCode="General">
                  <c:v>-19.506459909228443</c:v>
                </c:pt>
                <c:pt idx="51" formatCode="General">
                  <c:v>-19.526151515151518</c:v>
                </c:pt>
                <c:pt idx="52" formatCode="General">
                  <c:v>-19.545848484848488</c:v>
                </c:pt>
                <c:pt idx="53" formatCode="General">
                  <c:v>-19.565545454545457</c:v>
                </c:pt>
                <c:pt idx="54" formatCode="General">
                  <c:v>-19.585242424242427</c:v>
                </c:pt>
                <c:pt idx="55" formatCode="General">
                  <c:v>-19.604939393939397</c:v>
                </c:pt>
                <c:pt idx="56" formatCode="General">
                  <c:v>-19.624636363636366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2E28-4420-B8DD-7D9C02A58C4F}"/>
            </c:ext>
          </c:extLst>
        </c:ser>
        <c:ser>
          <c:idx val="45"/>
          <c:order val="46"/>
          <c:tx>
            <c:strRef>
              <c:f>'Gibbs-EVAL'!$A$147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'Gibbs-EVAL'!$B$147:$BT$147</c:f>
              <c:numCache>
                <c:formatCode>0</c:formatCode>
                <c:ptCount val="71"/>
                <c:pt idx="0">
                  <c:v>-60.735090909090907</c:v>
                </c:pt>
                <c:pt idx="1">
                  <c:v>-58.673878787878785</c:v>
                </c:pt>
                <c:pt idx="2" formatCode="General">
                  <c:v>-56.631454545454545</c:v>
                </c:pt>
                <c:pt idx="3" formatCode="General">
                  <c:v>-54.589030303030299</c:v>
                </c:pt>
                <c:pt idx="4" formatCode="General">
                  <c:v>-52.560166414523451</c:v>
                </c:pt>
                <c:pt idx="5" formatCode="General">
                  <c:v>-50.687246596066565</c:v>
                </c:pt>
                <c:pt idx="6" formatCode="General">
                  <c:v>-48.814326777609679</c:v>
                </c:pt>
                <c:pt idx="7" formatCode="General">
                  <c:v>-46.9414069591528</c:v>
                </c:pt>
                <c:pt idx="8" formatCode="General">
                  <c:v>-45.068487140695915</c:v>
                </c:pt>
                <c:pt idx="9" formatCode="General">
                  <c:v>-43.195567322239029</c:v>
                </c:pt>
                <c:pt idx="10" formatCode="General">
                  <c:v>-41.32264750378215</c:v>
                </c:pt>
                <c:pt idx="11" formatCode="General">
                  <c:v>-39.589393939393936</c:v>
                </c:pt>
                <c:pt idx="12" formatCode="General">
                  <c:v>-38.013636363636365</c:v>
                </c:pt>
                <c:pt idx="13" formatCode="General">
                  <c:v>-36.542242424242424</c:v>
                </c:pt>
                <c:pt idx="14" formatCode="General">
                  <c:v>-35.117771084337356</c:v>
                </c:pt>
                <c:pt idx="15" formatCode="General">
                  <c:v>-33.810542168674701</c:v>
                </c:pt>
                <c:pt idx="16" formatCode="General">
                  <c:v>-32.561090909090908</c:v>
                </c:pt>
                <c:pt idx="17" formatCode="General">
                  <c:v>-31.367151515151512</c:v>
                </c:pt>
                <c:pt idx="18" formatCode="General">
                  <c:v>-30.256606060606057</c:v>
                </c:pt>
                <c:pt idx="19" formatCode="General">
                  <c:v>-29.173636363636362</c:v>
                </c:pt>
                <c:pt idx="20" formatCode="General">
                  <c:v>-28.143333333333331</c:v>
                </c:pt>
                <c:pt idx="21" formatCode="General">
                  <c:v>-27.143575757575757</c:v>
                </c:pt>
                <c:pt idx="22" formatCode="General">
                  <c:v>-26.167818181818177</c:v>
                </c:pt>
                <c:pt idx="23" formatCode="General">
                  <c:v>-25.252228915662648</c:v>
                </c:pt>
                <c:pt idx="24" formatCode="General">
                  <c:v>-24.354848484848485</c:v>
                </c:pt>
                <c:pt idx="25" formatCode="General">
                  <c:v>-23.494242424242422</c:v>
                </c:pt>
                <c:pt idx="26" formatCode="General">
                  <c:v>-22.673636363636362</c:v>
                </c:pt>
                <c:pt idx="27" formatCode="General">
                  <c:v>-21.879696969696969</c:v>
                </c:pt>
                <c:pt idx="28" formatCode="General">
                  <c:v>-21.149090909090908</c:v>
                </c:pt>
                <c:pt idx="29" formatCode="General">
                  <c:v>-20.438181818181818</c:v>
                </c:pt>
                <c:pt idx="30" formatCode="General">
                  <c:v>-19.765454545454546</c:v>
                </c:pt>
                <c:pt idx="31" formatCode="General">
                  <c:v>-19.126686746987954</c:v>
                </c:pt>
                <c:pt idx="32" formatCode="General">
                  <c:v>-18.506204819277109</c:v>
                </c:pt>
                <c:pt idx="33" formatCode="General">
                  <c:v>-17.918000000000003</c:v>
                </c:pt>
                <c:pt idx="34" formatCode="General">
                  <c:v>-17.342484848484851</c:v>
                </c:pt>
                <c:pt idx="35" formatCode="General">
                  <c:v>-16.7909696969697</c:v>
                </c:pt>
                <c:pt idx="36" formatCode="General">
                  <c:v>-16.252000000000002</c:v>
                </c:pt>
                <c:pt idx="37" formatCode="General">
                  <c:v>-15.721119515885023</c:v>
                </c:pt>
                <c:pt idx="38" formatCode="General">
                  <c:v>-15.249107413010591</c:v>
                </c:pt>
                <c:pt idx="39" formatCode="General">
                  <c:v>-14.77709531013616</c:v>
                </c:pt>
                <c:pt idx="40" formatCode="General">
                  <c:v>-14.305083207261726</c:v>
                </c:pt>
                <c:pt idx="41" formatCode="General">
                  <c:v>-13.833071104387294</c:v>
                </c:pt>
                <c:pt idx="42" formatCode="General">
                  <c:v>-13.36105900151286</c:v>
                </c:pt>
                <c:pt idx="43" formatCode="General">
                  <c:v>-12.889046898638428</c:v>
                </c:pt>
                <c:pt idx="44" formatCode="General">
                  <c:v>-12.457367624810892</c:v>
                </c:pt>
                <c:pt idx="45" formatCode="General">
                  <c:v>-12.079152798789712</c:v>
                </c:pt>
                <c:pt idx="46" formatCode="General">
                  <c:v>-11.700937972768532</c:v>
                </c:pt>
                <c:pt idx="47" formatCode="General">
                  <c:v>-11.322723146747352</c:v>
                </c:pt>
                <c:pt idx="48" formatCode="General">
                  <c:v>-10.944508320726172</c:v>
                </c:pt>
                <c:pt idx="49" formatCode="General">
                  <c:v>-10.56629349470499</c:v>
                </c:pt>
                <c:pt idx="50" formatCode="General">
                  <c:v>-10.18807866868381</c:v>
                </c:pt>
                <c:pt idx="51" formatCode="General">
                  <c:v>-9.9633303030303022</c:v>
                </c:pt>
                <c:pt idx="52" formatCode="General">
                  <c:v>-9.7722696969696958</c:v>
                </c:pt>
                <c:pt idx="53" formatCode="General">
                  <c:v>-9.5812090909090895</c:v>
                </c:pt>
                <c:pt idx="54" formatCode="General">
                  <c:v>-9.3901484848484831</c:v>
                </c:pt>
                <c:pt idx="55" formatCode="General">
                  <c:v>-9.1990878787878785</c:v>
                </c:pt>
                <c:pt idx="56" formatCode="General">
                  <c:v>-9.0080272727272721</c:v>
                </c:pt>
                <c:pt idx="57" formatCode="General">
                  <c:v>-8.8458795180722891</c:v>
                </c:pt>
                <c:pt idx="58" formatCode="General">
                  <c:v>-8.7862409638554215</c:v>
                </c:pt>
                <c:pt idx="59" formatCode="General">
                  <c:v>-8.7443878787878795</c:v>
                </c:pt>
                <c:pt idx="60" formatCode="General">
                  <c:v>-8.7165090909090921</c:v>
                </c:pt>
                <c:pt idx="61" formatCode="General">
                  <c:v>-8.7068303030303031</c:v>
                </c:pt>
                <c:pt idx="62" formatCode="General">
                  <c:v>-8.7021030303030305</c:v>
                </c:pt>
                <c:pt idx="63" formatCode="General">
                  <c:v>-8.7063454545454544</c:v>
                </c:pt>
                <c:pt idx="64" formatCode="General">
                  <c:v>-8.7153939393939392</c:v>
                </c:pt>
                <c:pt idx="65" formatCode="General">
                  <c:v>-8.727515151515151</c:v>
                </c:pt>
                <c:pt idx="66" formatCode="General">
                  <c:v>-8.7430361445783138</c:v>
                </c:pt>
                <c:pt idx="67" formatCode="General">
                  <c:v>-8.7596363636363641</c:v>
                </c:pt>
                <c:pt idx="68" formatCode="General">
                  <c:v>-8.7784242424242418</c:v>
                </c:pt>
                <c:pt idx="69" formatCode="General">
                  <c:v>-8.798</c:v>
                </c:pt>
                <c:pt idx="70" formatCode="General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2E28-4420-B8DD-7D9C02A58C4F}"/>
            </c:ext>
          </c:extLst>
        </c:ser>
        <c:ser>
          <c:idx val="46"/>
          <c:order val="47"/>
          <c:tx>
            <c:strRef>
              <c:f>'Gibbs-EVAL'!$A$148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'Gibbs-EVAL'!$B$148:$BT$148</c:f>
              <c:numCache>
                <c:formatCode>0</c:formatCode>
                <c:ptCount val="71"/>
                <c:pt idx="0">
                  <c:v>-15.805636363636363</c:v>
                </c:pt>
                <c:pt idx="1">
                  <c:v>-15.261999999999999</c:v>
                </c:pt>
                <c:pt idx="2" formatCode="General">
                  <c:v>-14.661999999999999</c:v>
                </c:pt>
                <c:pt idx="3" formatCode="General">
                  <c:v>-14.004484848484848</c:v>
                </c:pt>
                <c:pt idx="4" formatCode="General">
                  <c:v>-13.326287443267777</c:v>
                </c:pt>
                <c:pt idx="5" formatCode="General">
                  <c:v>-12.654880484114978</c:v>
                </c:pt>
                <c:pt idx="6" formatCode="General">
                  <c:v>-11.983473524962179</c:v>
                </c:pt>
                <c:pt idx="7" formatCode="General">
                  <c:v>-11.31206656580938</c:v>
                </c:pt>
                <c:pt idx="8" formatCode="General">
                  <c:v>-10.64065960665658</c:v>
                </c:pt>
                <c:pt idx="9" formatCode="General">
                  <c:v>-9.969252647503783</c:v>
                </c:pt>
                <c:pt idx="10" formatCode="General">
                  <c:v>-9.2978456883509839</c:v>
                </c:pt>
                <c:pt idx="11" formatCode="General">
                  <c:v>-8.67908484848485</c:v>
                </c:pt>
                <c:pt idx="12" formatCode="General">
                  <c:v>-8.1196909090909095</c:v>
                </c:pt>
                <c:pt idx="13" formatCode="General">
                  <c:v>-7.619436363636364</c:v>
                </c:pt>
                <c:pt idx="14" formatCode="General">
                  <c:v>-7.1476144578313257</c:v>
                </c:pt>
                <c:pt idx="15" formatCode="General">
                  <c:v>-6.7512289156626508</c:v>
                </c:pt>
                <c:pt idx="16" formatCode="General">
                  <c:v>-6.4021454545454546</c:v>
                </c:pt>
                <c:pt idx="17" formatCode="General">
                  <c:v>-6.09850909090909</c:v>
                </c:pt>
                <c:pt idx="18" formatCode="General">
                  <c:v>-5.8730545454545453</c:v>
                </c:pt>
                <c:pt idx="19" formatCode="General">
                  <c:v>-5.6767454545454541</c:v>
                </c:pt>
                <c:pt idx="20" formatCode="General">
                  <c:v>-5.5421999999999993</c:v>
                </c:pt>
                <c:pt idx="21" formatCode="General">
                  <c:v>-5.4426121212121208</c:v>
                </c:pt>
                <c:pt idx="22" formatCode="General">
                  <c:v>-5.3704909090909085</c:v>
                </c:pt>
                <c:pt idx="23" formatCode="General">
                  <c:v>-5.3393313253012051</c:v>
                </c:pt>
                <c:pt idx="24" formatCode="General">
                  <c:v>-5.319</c:v>
                </c:pt>
                <c:pt idx="25" formatCode="General">
                  <c:v>-5.319</c:v>
                </c:pt>
                <c:pt idx="26" formatCode="General">
                  <c:v>-5.3280909090909088</c:v>
                </c:pt>
                <c:pt idx="27" formatCode="General">
                  <c:v>-5.3432424242424243</c:v>
                </c:pt>
                <c:pt idx="28" formatCode="General">
                  <c:v>-5.3641515151515149</c:v>
                </c:pt>
                <c:pt idx="29" formatCode="General">
                  <c:v>-5.3860909090909086</c:v>
                </c:pt>
                <c:pt idx="30" formatCode="General">
                  <c:v>-5.4097272727272729</c:v>
                </c:pt>
                <c:pt idx="31" formatCode="General">
                  <c:v>-5.4340542168674695</c:v>
                </c:pt>
                <c:pt idx="32" formatCode="General">
                  <c:v>-5.4587530120481924</c:v>
                </c:pt>
                <c:pt idx="33" formatCode="General">
                  <c:v>-5.4829999999999997</c:v>
                </c:pt>
                <c:pt idx="34" formatCode="General">
                  <c:v>-5.5074484848484841</c:v>
                </c:pt>
                <c:pt idx="35" formatCode="General">
                  <c:v>-5.5322969696969695</c:v>
                </c:pt>
                <c:pt idx="36" formatCode="General">
                  <c:v>-5.5567272727272723</c:v>
                </c:pt>
                <c:pt idx="37" formatCode="General">
                  <c:v>-5.5809863842662635</c:v>
                </c:pt>
                <c:pt idx="38" formatCode="General">
                  <c:v>-5.6056459909228442</c:v>
                </c:pt>
                <c:pt idx="39" formatCode="General">
                  <c:v>-5.6303055975794249</c:v>
                </c:pt>
                <c:pt idx="40" formatCode="General">
                  <c:v>-5.6549652042360066</c:v>
                </c:pt>
                <c:pt idx="41" formatCode="General">
                  <c:v>-5.6796248108925873</c:v>
                </c:pt>
                <c:pt idx="42" formatCode="General">
                  <c:v>-5.704284417549168</c:v>
                </c:pt>
                <c:pt idx="43" formatCode="General">
                  <c:v>-5.7289440242057488</c:v>
                </c:pt>
                <c:pt idx="44" formatCode="General">
                  <c:v>-5.7543192133131624</c:v>
                </c:pt>
                <c:pt idx="45" formatCode="General">
                  <c:v>-5.7806429652042359</c:v>
                </c:pt>
                <c:pt idx="46" formatCode="General">
                  <c:v>-5.8069667170953103</c:v>
                </c:pt>
                <c:pt idx="47" formatCode="General">
                  <c:v>-5.8332904689863847</c:v>
                </c:pt>
                <c:pt idx="48" formatCode="General">
                  <c:v>-5.8596142208774582</c:v>
                </c:pt>
                <c:pt idx="49" formatCode="General">
                  <c:v>-5.8859379727685326</c:v>
                </c:pt>
                <c:pt idx="50" formatCode="General">
                  <c:v>-5.912261724659607</c:v>
                </c:pt>
                <c:pt idx="51" formatCode="General">
                  <c:v>-5.942966666666667</c:v>
                </c:pt>
                <c:pt idx="52" formatCode="General">
                  <c:v>-5.9746333333333332</c:v>
                </c:pt>
                <c:pt idx="53" formatCode="General">
                  <c:v>-6.0063000000000004</c:v>
                </c:pt>
                <c:pt idx="54" formatCode="General">
                  <c:v>-6.0379666666666667</c:v>
                </c:pt>
                <c:pt idx="55" formatCode="General">
                  <c:v>-6.0696333333333339</c:v>
                </c:pt>
                <c:pt idx="56" formatCode="General">
                  <c:v>-6.1013000000000002</c:v>
                </c:pt>
                <c:pt idx="57" formatCode="General">
                  <c:v>-6.132493975903615</c:v>
                </c:pt>
                <c:pt idx="58" formatCode="General">
                  <c:v>-6.1620120481927714</c:v>
                </c:pt>
                <c:pt idx="59" formatCode="General">
                  <c:v>-6.190612121212121</c:v>
                </c:pt>
                <c:pt idx="60" formatCode="General">
                  <c:v>-6.2184909090909093</c:v>
                </c:pt>
                <c:pt idx="61" formatCode="General">
                  <c:v>-6.2441636363636368</c:v>
                </c:pt>
                <c:pt idx="62" formatCode="General">
                  <c:v>-6.2693030303030302</c:v>
                </c:pt>
                <c:pt idx="63" formatCode="General">
                  <c:v>-6.2935454545454546</c:v>
                </c:pt>
                <c:pt idx="64" formatCode="General">
                  <c:v>-6.3174181818181818</c:v>
                </c:pt>
                <c:pt idx="65" formatCode="General">
                  <c:v>-6.3410545454545453</c:v>
                </c:pt>
                <c:pt idx="66" formatCode="General">
                  <c:v>-6.363397590361445</c:v>
                </c:pt>
                <c:pt idx="67" formatCode="General">
                  <c:v>-6.385727272727272</c:v>
                </c:pt>
                <c:pt idx="68" formatCode="General">
                  <c:v>-6.4081515151515154</c:v>
                </c:pt>
                <c:pt idx="69" formatCode="General">
                  <c:v>-6.4301818181818184</c:v>
                </c:pt>
                <c:pt idx="70" formatCode="General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2E28-4420-B8DD-7D9C02A58C4F}"/>
            </c:ext>
          </c:extLst>
        </c:ser>
        <c:ser>
          <c:idx val="47"/>
          <c:order val="48"/>
          <c:tx>
            <c:strRef>
              <c:f>'Gibbs-EVAL'!$A$149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'Gibbs-EVAL'!$B$149:$BT$149</c:f>
              <c:numCache>
                <c:formatCode>0</c:formatCode>
                <c:ptCount val="71"/>
                <c:pt idx="0">
                  <c:v>-22.065575757575758</c:v>
                </c:pt>
                <c:pt idx="1">
                  <c:v>-21.674060606060607</c:v>
                </c:pt>
                <c:pt idx="2" formatCode="General">
                  <c:v>-21.395272727272726</c:v>
                </c:pt>
                <c:pt idx="3" formatCode="General">
                  <c:v>-21.244787878787879</c:v>
                </c:pt>
                <c:pt idx="4" formatCode="General">
                  <c:v>-21.157019667170953</c:v>
                </c:pt>
                <c:pt idx="5" formatCode="General">
                  <c:v>-21.244765506807866</c:v>
                </c:pt>
                <c:pt idx="6" formatCode="General">
                  <c:v>-21.332511346444779</c:v>
                </c:pt>
                <c:pt idx="7" formatCode="General">
                  <c:v>-21.420257186081695</c:v>
                </c:pt>
                <c:pt idx="8" formatCode="General">
                  <c:v>-21.508003025718608</c:v>
                </c:pt>
                <c:pt idx="9" formatCode="General">
                  <c:v>-21.595748865355521</c:v>
                </c:pt>
                <c:pt idx="10" formatCode="General">
                  <c:v>-21.683494704992437</c:v>
                </c:pt>
                <c:pt idx="11" formatCode="General">
                  <c:v>-21.792666666666666</c:v>
                </c:pt>
                <c:pt idx="12" formatCode="General">
                  <c:v>-21.925999999999998</c:v>
                </c:pt>
                <c:pt idx="13" formatCode="General">
                  <c:v>-22.049393939393937</c:v>
                </c:pt>
                <c:pt idx="14" formatCode="General">
                  <c:v>-22.167409638554215</c:v>
                </c:pt>
                <c:pt idx="15" formatCode="General">
                  <c:v>-22.269819277108432</c:v>
                </c:pt>
                <c:pt idx="16" formatCode="General">
                  <c:v>-22.363272727272729</c:v>
                </c:pt>
                <c:pt idx="17" formatCode="General">
                  <c:v>-22.448121212121212</c:v>
                </c:pt>
                <c:pt idx="18" formatCode="General">
                  <c:v>-22.532969696969698</c:v>
                </c:pt>
                <c:pt idx="19" formatCode="General">
                  <c:v>-22.620363636363638</c:v>
                </c:pt>
                <c:pt idx="20" formatCode="General">
                  <c:v>-22.717333333333336</c:v>
                </c:pt>
                <c:pt idx="21" formatCode="General">
                  <c:v>-22.82448484848485</c:v>
                </c:pt>
                <c:pt idx="22" formatCode="General">
                  <c:v>-22.939636363636364</c:v>
                </c:pt>
                <c:pt idx="23" formatCode="General">
                  <c:v>-23.059638554216868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2E28-4420-B8DD-7D9C02A58C4F}"/>
            </c:ext>
          </c:extLst>
        </c:ser>
        <c:ser>
          <c:idx val="48"/>
          <c:order val="49"/>
          <c:tx>
            <c:strRef>
              <c:f>'Gibbs-EVAL'!$A$150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2E28-4420-B8DD-7D9C02A58C4F}"/>
            </c:ext>
          </c:extLst>
        </c:ser>
        <c:ser>
          <c:idx val="49"/>
          <c:order val="50"/>
          <c:tx>
            <c:strRef>
              <c:f>'Gibbs-EVAL'!$A$151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2E28-4420-B8DD-7D9C02A58C4F}"/>
            </c:ext>
          </c:extLst>
        </c:ser>
        <c:ser>
          <c:idx val="50"/>
          <c:order val="51"/>
          <c:tx>
            <c:strRef>
              <c:f>'Gibbs-EVAL'!$A$152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2E28-4420-B8DD-7D9C02A58C4F}"/>
            </c:ext>
          </c:extLst>
        </c:ser>
        <c:ser>
          <c:idx val="51"/>
          <c:order val="52"/>
          <c:tx>
            <c:strRef>
              <c:f>'Gibbs-EVAL'!$A$153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2E28-4420-B8DD-7D9C02A58C4F}"/>
            </c:ext>
          </c:extLst>
        </c:ser>
        <c:ser>
          <c:idx val="52"/>
          <c:order val="53"/>
          <c:tx>
            <c:strRef>
              <c:f>'Gibbs-EVAL'!$A$154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2E28-4420-B8DD-7D9C02A58C4F}"/>
            </c:ext>
          </c:extLst>
        </c:ser>
        <c:ser>
          <c:idx val="53"/>
          <c:order val="54"/>
          <c:tx>
            <c:strRef>
              <c:f>'Gibbs-EVAL'!$A$155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2E28-4420-B8DD-7D9C02A58C4F}"/>
            </c:ext>
          </c:extLst>
        </c:ser>
        <c:ser>
          <c:idx val="55"/>
          <c:order val="55"/>
          <c:tx>
            <c:strRef>
              <c:f>'Gibbs-EVAL'!$A$156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2E28-4420-B8DD-7D9C02A58C4F}"/>
            </c:ext>
          </c:extLst>
        </c:ser>
        <c:ser>
          <c:idx val="56"/>
          <c:order val="56"/>
          <c:tx>
            <c:strRef>
              <c:f>'Gibbs-EVAL'!$A$157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2E28-4420-B8DD-7D9C02A58C4F}"/>
            </c:ext>
          </c:extLst>
        </c:ser>
        <c:ser>
          <c:idx val="57"/>
          <c:order val="57"/>
          <c:tx>
            <c:strRef>
              <c:f>'Gibbs-EVAL'!$A$158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2E28-4420-B8DD-7D9C02A58C4F}"/>
            </c:ext>
          </c:extLst>
        </c:ser>
        <c:ser>
          <c:idx val="58"/>
          <c:order val="58"/>
          <c:tx>
            <c:strRef>
              <c:f>'Gibbs-EVAL'!$A$159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2E28-4420-B8DD-7D9C02A58C4F}"/>
            </c:ext>
          </c:extLst>
        </c:ser>
        <c:ser>
          <c:idx val="59"/>
          <c:order val="59"/>
          <c:tx>
            <c:strRef>
              <c:f>'Gibbs-EVAL'!$A$160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2E28-4420-B8DD-7D9C02A58C4F}"/>
            </c:ext>
          </c:extLst>
        </c:ser>
        <c:ser>
          <c:idx val="60"/>
          <c:order val="60"/>
          <c:tx>
            <c:strRef>
              <c:f>'Gibbs-EVAL'!$A$161</c:f>
              <c:strCache>
                <c:ptCount val="1"/>
                <c:pt idx="0">
                  <c:v>End2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'Gibbs-EVAL'!$B$161:$BT$161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2E28-4420-B8DD-7D9C02A58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4124321255599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-21.792000000000002</c:v>
                </c:pt>
                <c:pt idx="1">
                  <c:v>-21.217333333333332</c:v>
                </c:pt>
                <c:pt idx="2" formatCode="General">
                  <c:v>-20.683999999999997</c:v>
                </c:pt>
                <c:pt idx="3" formatCode="General">
                  <c:v>-20.194909090909089</c:v>
                </c:pt>
                <c:pt idx="4" formatCode="General">
                  <c:v>-19.761939393939397</c:v>
                </c:pt>
                <c:pt idx="5" formatCode="General">
                  <c:v>-19.78618181818182</c:v>
                </c:pt>
                <c:pt idx="6" formatCode="General">
                  <c:v>-19.862168674698797</c:v>
                </c:pt>
                <c:pt idx="7" formatCode="General">
                  <c:v>-20.006746987951807</c:v>
                </c:pt>
                <c:pt idx="8" formatCode="General">
                  <c:v>-20.152000000000001</c:v>
                </c:pt>
                <c:pt idx="9" formatCode="General">
                  <c:v>-20.298181818181821</c:v>
                </c:pt>
                <c:pt idx="10" formatCode="General">
                  <c:v>-20.449696969696969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-23.573975903614457</c:v>
                </c:pt>
                <c:pt idx="32" formatCode="General">
                  <c:v>-23.718554216867467</c:v>
                </c:pt>
                <c:pt idx="33" formatCode="General">
                  <c:v>-23.858000000000001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4A52-48C1-879E-D295987745E2}"/>
            </c:ext>
          </c:extLst>
        </c:ser>
        <c:ser>
          <c:idx val="39"/>
          <c:order val="1"/>
          <c:tx>
            <c:strRef>
              <c:f>'Gibbs-EVAL'!$A$102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-15.300424242424242</c:v>
                </c:pt>
                <c:pt idx="1">
                  <c:v>-14.974848484848485</c:v>
                </c:pt>
                <c:pt idx="2" formatCode="General">
                  <c:v>-14.671818181818182</c:v>
                </c:pt>
                <c:pt idx="3" formatCode="General">
                  <c:v>-14.399757575757576</c:v>
                </c:pt>
                <c:pt idx="4" formatCode="General">
                  <c:v>-14.105212121212121</c:v>
                </c:pt>
                <c:pt idx="5" formatCode="General">
                  <c:v>-13.420363636363636</c:v>
                </c:pt>
                <c:pt idx="6" formatCode="General">
                  <c:v>-12.711385542168674</c:v>
                </c:pt>
                <c:pt idx="7" formatCode="General">
                  <c:v>-11.970421686746988</c:v>
                </c:pt>
                <c:pt idx="8" formatCode="General">
                  <c:v>-11.272666666666668</c:v>
                </c:pt>
                <c:pt idx="9" formatCode="General">
                  <c:v>-10.593127272727273</c:v>
                </c:pt>
                <c:pt idx="10" formatCode="General">
                  <c:v>-9.9525212121212121</c:v>
                </c:pt>
                <c:pt idx="11" formatCode="General">
                  <c:v>-9.3588018154311658</c:v>
                </c:pt>
                <c:pt idx="12" formatCode="General">
                  <c:v>-8.8179546142208771</c:v>
                </c:pt>
                <c:pt idx="13" formatCode="General">
                  <c:v>-8.2771074130105902</c:v>
                </c:pt>
                <c:pt idx="14" formatCode="General">
                  <c:v>-7.7362602118003023</c:v>
                </c:pt>
                <c:pt idx="15" formatCode="General">
                  <c:v>-7.1954130105900145</c:v>
                </c:pt>
                <c:pt idx="16" formatCode="General">
                  <c:v>-6.6545658093797275</c:v>
                </c:pt>
                <c:pt idx="17" formatCode="General">
                  <c:v>-6.1137186081694388</c:v>
                </c:pt>
                <c:pt idx="18" formatCode="General">
                  <c:v>-5.6392727272727265</c:v>
                </c:pt>
                <c:pt idx="19" formatCode="General">
                  <c:v>-5.1809818181818166</c:v>
                </c:pt>
                <c:pt idx="20" formatCode="General">
                  <c:v>-4.742799999999999</c:v>
                </c:pt>
                <c:pt idx="21" formatCode="General">
                  <c:v>-4.4023636363636358</c:v>
                </c:pt>
                <c:pt idx="22" formatCode="General">
                  <c:v>-4.1387272727272721</c:v>
                </c:pt>
                <c:pt idx="23" formatCode="General">
                  <c:v>-4.1369277108433735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4A52-48C1-879E-D295987745E2}"/>
            </c:ext>
          </c:extLst>
        </c:ser>
        <c:ser>
          <c:idx val="54"/>
          <c:order val="2"/>
          <c:tx>
            <c:strRef>
              <c:f>'Gibbs-EVAL'!$A$103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4A52-48C1-879E-D295987745E2}"/>
              </c:ext>
            </c:extLst>
          </c:dPt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'Gibbs-EVAL'!$B$103:$BT$103</c:f>
              <c:numCache>
                <c:formatCode>0</c:formatCode>
                <c:ptCount val="71"/>
                <c:pt idx="0">
                  <c:v>-185.66569696969697</c:v>
                </c:pt>
                <c:pt idx="1">
                  <c:v>-180.33151515151513</c:v>
                </c:pt>
                <c:pt idx="2" formatCode="General">
                  <c:v>-175.36181818181819</c:v>
                </c:pt>
                <c:pt idx="3" formatCode="General">
                  <c:v>-170.78145454545455</c:v>
                </c:pt>
                <c:pt idx="4" formatCode="General">
                  <c:v>-166.37806060606059</c:v>
                </c:pt>
                <c:pt idx="5" formatCode="General">
                  <c:v>-162.35381818181818</c:v>
                </c:pt>
                <c:pt idx="6" formatCode="General">
                  <c:v>-158.50060240963856</c:v>
                </c:pt>
                <c:pt idx="7" formatCode="General">
                  <c:v>-154.87409638554217</c:v>
                </c:pt>
                <c:pt idx="8" formatCode="General">
                  <c:v>-151.48266666666666</c:v>
                </c:pt>
                <c:pt idx="9" formatCode="General">
                  <c:v>-148.19563636363637</c:v>
                </c:pt>
                <c:pt idx="10" formatCode="General">
                  <c:v>-145.15927272727274</c:v>
                </c:pt>
                <c:pt idx="11" formatCode="General">
                  <c:v>-142.38957639939488</c:v>
                </c:pt>
                <c:pt idx="12" formatCode="General">
                  <c:v>-139.9205900151286</c:v>
                </c:pt>
                <c:pt idx="13" formatCode="General">
                  <c:v>-137.45160363086234</c:v>
                </c:pt>
                <c:pt idx="14" formatCode="General">
                  <c:v>-134.98261724659608</c:v>
                </c:pt>
                <c:pt idx="15" formatCode="General">
                  <c:v>-132.51363086232982</c:v>
                </c:pt>
                <c:pt idx="16" formatCode="General">
                  <c:v>-130.04464447806353</c:v>
                </c:pt>
                <c:pt idx="17" formatCode="General">
                  <c:v>-127.57565809379727</c:v>
                </c:pt>
                <c:pt idx="18" formatCode="General">
                  <c:v>-125.49436363636363</c:v>
                </c:pt>
                <c:pt idx="19" formatCode="General">
                  <c:v>-123.50036363636364</c:v>
                </c:pt>
                <c:pt idx="20" formatCode="General">
                  <c:v>-121.59733333333334</c:v>
                </c:pt>
                <c:pt idx="21" formatCode="General">
                  <c:v>-119.77915151515151</c:v>
                </c:pt>
                <c:pt idx="22" formatCode="General">
                  <c:v>-118.02763636363636</c:v>
                </c:pt>
                <c:pt idx="23" formatCode="General">
                  <c:v>-116.39536144578314</c:v>
                </c:pt>
                <c:pt idx="24" formatCode="General">
                  <c:v>-114.79515151515152</c:v>
                </c:pt>
                <c:pt idx="25" formatCode="General">
                  <c:v>-113.25575757575758</c:v>
                </c:pt>
                <c:pt idx="26" formatCode="General">
                  <c:v>-111.77454545454545</c:v>
                </c:pt>
                <c:pt idx="27" formatCode="General">
                  <c:v>-110.33212121212121</c:v>
                </c:pt>
                <c:pt idx="28" formatCode="General">
                  <c:v>-108.98181818181817</c:v>
                </c:pt>
                <c:pt idx="29" formatCode="General">
                  <c:v>-107.69454545454545</c:v>
                </c:pt>
                <c:pt idx="30" formatCode="General">
                  <c:v>-106.54303030303031</c:v>
                </c:pt>
                <c:pt idx="31" formatCode="General">
                  <c:v>-105.63879518072289</c:v>
                </c:pt>
                <c:pt idx="32" formatCode="General">
                  <c:v>-104.8677108433735</c:v>
                </c:pt>
                <c:pt idx="33" formatCode="General">
                  <c:v>-104.134</c:v>
                </c:pt>
                <c:pt idx="34" formatCode="General">
                  <c:v>-103.42127272727272</c:v>
                </c:pt>
                <c:pt idx="35" formatCode="General">
                  <c:v>-102.74854545454545</c:v>
                </c:pt>
                <c:pt idx="36" formatCode="General">
                  <c:v>-102.10090909090908</c:v>
                </c:pt>
                <c:pt idx="37" formatCode="General">
                  <c:v>-101.46845688350984</c:v>
                </c:pt>
                <c:pt idx="38" formatCode="General">
                  <c:v>-100.92987897125568</c:v>
                </c:pt>
                <c:pt idx="39" formatCode="General">
                  <c:v>-100.39130105900152</c:v>
                </c:pt>
                <c:pt idx="40" formatCode="General">
                  <c:v>-99.852723146747351</c:v>
                </c:pt>
                <c:pt idx="41" formatCode="General">
                  <c:v>-99.314145234493196</c:v>
                </c:pt>
                <c:pt idx="42" formatCode="General">
                  <c:v>-98.775567322239027</c:v>
                </c:pt>
                <c:pt idx="43" formatCode="General">
                  <c:v>-98.236989409984872</c:v>
                </c:pt>
                <c:pt idx="44" formatCode="General">
                  <c:v>-97.731939393939385</c:v>
                </c:pt>
                <c:pt idx="45" formatCode="General">
                  <c:v>-97.271333333333331</c:v>
                </c:pt>
                <c:pt idx="46" formatCode="General">
                  <c:v>-96.835309090909092</c:v>
                </c:pt>
                <c:pt idx="47" formatCode="General">
                  <c:v>-96.41031515151515</c:v>
                </c:pt>
                <c:pt idx="48" formatCode="General">
                  <c:v>-96.012739393939398</c:v>
                </c:pt>
                <c:pt idx="49" formatCode="General">
                  <c:v>-95.620939759036148</c:v>
                </c:pt>
                <c:pt idx="50" formatCode="General">
                  <c:v>-95.235397590361444</c:v>
                </c:pt>
                <c:pt idx="51" formatCode="General">
                  <c:v>-94.884715151515152</c:v>
                </c:pt>
                <c:pt idx="52" formatCode="General">
                  <c:v>-94.681806060606064</c:v>
                </c:pt>
                <c:pt idx="53" formatCode="General">
                  <c:v>-95.163018181818188</c:v>
                </c:pt>
                <c:pt idx="54" formatCode="General">
                  <c:v>-95.644230303030312</c:v>
                </c:pt>
                <c:pt idx="55" formatCode="General">
                  <c:v>-96.125442424242422</c:v>
                </c:pt>
                <c:pt idx="56" formatCode="General">
                  <c:v>-96.608763636363634</c:v>
                </c:pt>
                <c:pt idx="57" formatCode="General">
                  <c:v>-97.090574886535563</c:v>
                </c:pt>
                <c:pt idx="58" formatCode="General">
                  <c:v>-97.565915279878979</c:v>
                </c:pt>
                <c:pt idx="59" formatCode="General">
                  <c:v>-98.041255673222395</c:v>
                </c:pt>
                <c:pt idx="60" formatCode="General">
                  <c:v>-98.51659606656581</c:v>
                </c:pt>
                <c:pt idx="61" formatCode="General">
                  <c:v>-98.991936459909226</c:v>
                </c:pt>
                <c:pt idx="62" formatCode="General">
                  <c:v>-99.467276853252656</c:v>
                </c:pt>
                <c:pt idx="63" formatCode="General">
                  <c:v>-99.942617246596072</c:v>
                </c:pt>
                <c:pt idx="64" formatCode="General">
                  <c:v>-100.4208</c:v>
                </c:pt>
                <c:pt idx="65" formatCode="General">
                  <c:v>-100.9008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4A52-48C1-879E-D295987745E2}"/>
            </c:ext>
          </c:extLst>
        </c:ser>
        <c:ser>
          <c:idx val="1"/>
          <c:order val="3"/>
          <c:tx>
            <c:strRef>
              <c:f>'Gibbs-EVAL'!$A$104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'Gibbs-EVAL'!$B$104:$BT$104</c:f>
              <c:numCache>
                <c:formatCode>0</c:formatCode>
                <c:ptCount val="71"/>
                <c:pt idx="0">
                  <c:v>-60.144848484848481</c:v>
                </c:pt>
                <c:pt idx="1">
                  <c:v>-58.339757575757574</c:v>
                </c:pt>
                <c:pt idx="2" formatCode="General">
                  <c:v>-56.654909090909094</c:v>
                </c:pt>
                <c:pt idx="3" formatCode="General">
                  <c:v>-55.098363636363636</c:v>
                </c:pt>
                <c:pt idx="4" formatCode="General">
                  <c:v>-53.546121212121207</c:v>
                </c:pt>
                <c:pt idx="5" formatCode="General">
                  <c:v>-51.49763636363636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4A52-48C1-879E-D295987745E2}"/>
            </c:ext>
          </c:extLst>
        </c:ser>
        <c:ser>
          <c:idx val="2"/>
          <c:order val="4"/>
          <c:tx>
            <c:strRef>
              <c:f>'Gibbs-EVAL'!$A$105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'Gibbs-EVAL'!$B$105:$BT$105</c:f>
              <c:numCache>
                <c:formatCode>0</c:formatCode>
                <c:ptCount val="71"/>
                <c:pt idx="0">
                  <c:v>-58.884424242424245</c:v>
                </c:pt>
                <c:pt idx="1">
                  <c:v>-57.409515151515158</c:v>
                </c:pt>
                <c:pt idx="2" formatCode="General">
                  <c:v>-56.039818181818184</c:v>
                </c:pt>
                <c:pt idx="3" formatCode="General">
                  <c:v>-54.789575757575761</c:v>
                </c:pt>
                <c:pt idx="4" formatCode="General">
                  <c:v>-53.629090909090912</c:v>
                </c:pt>
                <c:pt idx="5" formatCode="General">
                  <c:v>-52.992727272727279</c:v>
                </c:pt>
                <c:pt idx="6" formatCode="General">
                  <c:v>-52.435722891566265</c:v>
                </c:pt>
                <c:pt idx="7" formatCode="General">
                  <c:v>-51.983915662650602</c:v>
                </c:pt>
                <c:pt idx="8" formatCode="General">
                  <c:v>-51.576666666666668</c:v>
                </c:pt>
                <c:pt idx="9" formatCode="General">
                  <c:v>-51.189490909090914</c:v>
                </c:pt>
                <c:pt idx="10" formatCode="General">
                  <c:v>-50.851915151515158</c:v>
                </c:pt>
                <c:pt idx="11" formatCode="General">
                  <c:v>-50.56101059001513</c:v>
                </c:pt>
                <c:pt idx="12" formatCode="General">
                  <c:v>-50.322735249621786</c:v>
                </c:pt>
                <c:pt idx="13" formatCode="General">
                  <c:v>-50.084459909228443</c:v>
                </c:pt>
                <c:pt idx="14" formatCode="General">
                  <c:v>-49.846184568835099</c:v>
                </c:pt>
                <c:pt idx="15" formatCode="General">
                  <c:v>-49.607909228441756</c:v>
                </c:pt>
                <c:pt idx="16" formatCode="General">
                  <c:v>-49.369633888048412</c:v>
                </c:pt>
                <c:pt idx="17" formatCode="General">
                  <c:v>-49.131358547655068</c:v>
                </c:pt>
                <c:pt idx="18" formatCode="General">
                  <c:v>-48.959878787878786</c:v>
                </c:pt>
                <c:pt idx="19" formatCode="General">
                  <c:v>-48.802072727272723</c:v>
                </c:pt>
                <c:pt idx="20" formatCode="General">
                  <c:v>-48.654799999999994</c:v>
                </c:pt>
                <c:pt idx="21" formatCode="General">
                  <c:v>-48.612060606060602</c:v>
                </c:pt>
                <c:pt idx="22" formatCode="General">
                  <c:v>-48.651454545454548</c:v>
                </c:pt>
                <c:pt idx="23" formatCode="General">
                  <c:v>-48.951024096385545</c:v>
                </c:pt>
                <c:pt idx="24" formatCode="General">
                  <c:v>-49.273787878787878</c:v>
                </c:pt>
                <c:pt idx="25" formatCode="General">
                  <c:v>-49.588939393939398</c:v>
                </c:pt>
                <c:pt idx="26" formatCode="General">
                  <c:v>-49.904454545454549</c:v>
                </c:pt>
                <c:pt idx="27" formatCode="General">
                  <c:v>-50.220212121212121</c:v>
                </c:pt>
                <c:pt idx="28" formatCode="General">
                  <c:v>-50.535393939393941</c:v>
                </c:pt>
                <c:pt idx="29" formatCode="General">
                  <c:v>-50.850727272727276</c:v>
                </c:pt>
                <c:pt idx="30" formatCode="General">
                  <c:v>-51.166484848484849</c:v>
                </c:pt>
                <c:pt idx="31" formatCode="General">
                  <c:v>-51.481006024096381</c:v>
                </c:pt>
                <c:pt idx="32" formatCode="General">
                  <c:v>-51.794861445783127</c:v>
                </c:pt>
                <c:pt idx="33" formatCode="General">
                  <c:v>-52.098599999999998</c:v>
                </c:pt>
                <c:pt idx="34" formatCode="General">
                  <c:v>-52.402236363636362</c:v>
                </c:pt>
                <c:pt idx="35" formatCode="General">
                  <c:v>-52.705872727272727</c:v>
                </c:pt>
                <c:pt idx="36" formatCode="General">
                  <c:v>-53.009509090909091</c:v>
                </c:pt>
                <c:pt idx="37" formatCode="General">
                  <c:v>-53.31287291981846</c:v>
                </c:pt>
                <c:pt idx="38" formatCode="General">
                  <c:v>-53.609695915279879</c:v>
                </c:pt>
                <c:pt idx="39" formatCode="General">
                  <c:v>-53.906518910741298</c:v>
                </c:pt>
                <c:pt idx="40" formatCode="General">
                  <c:v>-54.203341906202724</c:v>
                </c:pt>
                <c:pt idx="41" formatCode="General">
                  <c:v>-54.500164901664142</c:v>
                </c:pt>
                <c:pt idx="42" formatCode="General">
                  <c:v>-54.796987897125568</c:v>
                </c:pt>
                <c:pt idx="43" formatCode="General">
                  <c:v>-55.093810892586987</c:v>
                </c:pt>
                <c:pt idx="44" formatCode="General">
                  <c:v>-55.388090909090906</c:v>
                </c:pt>
                <c:pt idx="45" formatCode="General">
                  <c:v>-55.679000000000002</c:v>
                </c:pt>
                <c:pt idx="46" formatCode="General">
                  <c:v>-55.969436363636362</c:v>
                </c:pt>
                <c:pt idx="47" formatCode="General">
                  <c:v>-56.259818181818183</c:v>
                </c:pt>
                <c:pt idx="48" formatCode="General">
                  <c:v>-56.550727272727272</c:v>
                </c:pt>
                <c:pt idx="49" formatCode="General">
                  <c:v>-56.834722891566265</c:v>
                </c:pt>
                <c:pt idx="50" formatCode="General">
                  <c:v>-57.11122891566265</c:v>
                </c:pt>
                <c:pt idx="51" formatCode="General">
                  <c:v>-57.389109090909095</c:v>
                </c:pt>
                <c:pt idx="52" formatCode="General">
                  <c:v>-57.667187878787885</c:v>
                </c:pt>
                <c:pt idx="53" formatCode="General">
                  <c:v>-57.944763636363639</c:v>
                </c:pt>
                <c:pt idx="54" formatCode="General">
                  <c:v>-58.222654545454546</c:v>
                </c:pt>
                <c:pt idx="55" formatCode="General">
                  <c:v>-58.500836363636367</c:v>
                </c:pt>
                <c:pt idx="56" formatCode="General">
                  <c:v>-58.778490909090905</c:v>
                </c:pt>
                <c:pt idx="57" formatCode="General">
                  <c:v>-59.053877458396364</c:v>
                </c:pt>
                <c:pt idx="58" formatCode="General">
                  <c:v>-59.321502269288956</c:v>
                </c:pt>
                <c:pt idx="59" formatCode="General">
                  <c:v>-59.589127080181541</c:v>
                </c:pt>
                <c:pt idx="60" formatCode="General">
                  <c:v>-59.856751891074126</c:v>
                </c:pt>
                <c:pt idx="61" formatCode="General">
                  <c:v>-60.124376701966717</c:v>
                </c:pt>
                <c:pt idx="62" formatCode="General">
                  <c:v>-60.392001512859302</c:v>
                </c:pt>
                <c:pt idx="63" formatCode="General">
                  <c:v>-60.659626323751887</c:v>
                </c:pt>
                <c:pt idx="64" formatCode="General">
                  <c:v>-60.925557575757573</c:v>
                </c:pt>
                <c:pt idx="65" formatCode="General">
                  <c:v>-61.190406060606058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4A52-48C1-879E-D295987745E2}"/>
            </c:ext>
          </c:extLst>
        </c:ser>
        <c:ser>
          <c:idx val="3"/>
          <c:order val="5"/>
          <c:tx>
            <c:strRef>
              <c:f>'Gibbs-EVAL'!$A$106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'Gibbs-EVAL'!$B$106:$BT$106</c:f>
              <c:numCache>
                <c:formatCode>0</c:formatCode>
                <c:ptCount val="71"/>
                <c:pt idx="0">
                  <c:v>-81.936848484848483</c:v>
                </c:pt>
                <c:pt idx="1">
                  <c:v>-79.557090909090917</c:v>
                </c:pt>
                <c:pt idx="2" formatCode="General">
                  <c:v>-77.338909090909098</c:v>
                </c:pt>
                <c:pt idx="3" formatCode="General">
                  <c:v>-75.293272727272736</c:v>
                </c:pt>
                <c:pt idx="4" formatCode="General">
                  <c:v>-73.308060606060607</c:v>
                </c:pt>
                <c:pt idx="5" formatCode="General">
                  <c:v>-71.283818181818177</c:v>
                </c:pt>
                <c:pt idx="6" formatCode="General">
                  <c:v>-69.319216867469876</c:v>
                </c:pt>
                <c:pt idx="7" formatCode="General">
                  <c:v>-67.433674698795187</c:v>
                </c:pt>
                <c:pt idx="8" formatCode="General">
                  <c:v>-65.665333333333336</c:v>
                </c:pt>
                <c:pt idx="9" formatCode="General">
                  <c:v>-63.948727272727275</c:v>
                </c:pt>
                <c:pt idx="10" formatCode="General">
                  <c:v>-62.354787878787882</c:v>
                </c:pt>
                <c:pt idx="11" formatCode="General">
                  <c:v>-60.894236006051436</c:v>
                </c:pt>
                <c:pt idx="12" formatCode="General">
                  <c:v>-59.584099848714068</c:v>
                </c:pt>
                <c:pt idx="13" formatCode="General">
                  <c:v>-58.2739636913767</c:v>
                </c:pt>
                <c:pt idx="14" formatCode="General">
                  <c:v>-56.963827534039332</c:v>
                </c:pt>
                <c:pt idx="15" formatCode="General">
                  <c:v>-55.653691376701964</c:v>
                </c:pt>
                <c:pt idx="16" formatCode="General">
                  <c:v>-54.343555219364596</c:v>
                </c:pt>
                <c:pt idx="17" formatCode="General">
                  <c:v>-53.033419062027228</c:v>
                </c:pt>
                <c:pt idx="18" formatCode="General">
                  <c:v>-51.917030303030302</c:v>
                </c:pt>
                <c:pt idx="19" formatCode="General">
                  <c:v>-50.844909090909091</c:v>
                </c:pt>
                <c:pt idx="20" formatCode="General">
                  <c:v>-49.820666666666668</c:v>
                </c:pt>
                <c:pt idx="21" formatCode="General">
                  <c:v>-48.837151515151518</c:v>
                </c:pt>
                <c:pt idx="22" formatCode="General">
                  <c:v>-47.885636363636358</c:v>
                </c:pt>
                <c:pt idx="23" formatCode="General">
                  <c:v>-46.994156626506019</c:v>
                </c:pt>
                <c:pt idx="24" formatCode="General">
                  <c:v>-46.119393939393937</c:v>
                </c:pt>
                <c:pt idx="25" formatCode="General">
                  <c:v>-45.276969696969694</c:v>
                </c:pt>
                <c:pt idx="26" formatCode="General">
                  <c:v>-44.463636363636361</c:v>
                </c:pt>
                <c:pt idx="27" formatCode="General">
                  <c:v>-43.669696969696965</c:v>
                </c:pt>
                <c:pt idx="28" formatCode="General">
                  <c:v>-42.921818181818182</c:v>
                </c:pt>
                <c:pt idx="29" formatCode="General">
                  <c:v>-42.205454545454543</c:v>
                </c:pt>
                <c:pt idx="30" formatCode="General">
                  <c:v>-41.556969696969695</c:v>
                </c:pt>
                <c:pt idx="31" formatCode="General">
                  <c:v>-41.032409638554213</c:v>
                </c:pt>
                <c:pt idx="32" formatCode="General">
                  <c:v>-40.574578313253014</c:v>
                </c:pt>
                <c:pt idx="33" formatCode="General">
                  <c:v>-40.138000000000005</c:v>
                </c:pt>
                <c:pt idx="34" formatCode="General">
                  <c:v>-39.711939393939396</c:v>
                </c:pt>
                <c:pt idx="35" formatCode="General">
                  <c:v>-39.30587878787879</c:v>
                </c:pt>
                <c:pt idx="36" formatCode="General">
                  <c:v>-38.912363636363636</c:v>
                </c:pt>
                <c:pt idx="37" formatCode="General">
                  <c:v>-38.526505295007567</c:v>
                </c:pt>
                <c:pt idx="38" formatCode="General">
                  <c:v>-38.189137670196672</c:v>
                </c:pt>
                <c:pt idx="39" formatCode="General">
                  <c:v>-37.851770045385777</c:v>
                </c:pt>
                <c:pt idx="40" formatCode="General">
                  <c:v>-37.514402420574889</c:v>
                </c:pt>
                <c:pt idx="41" formatCode="General">
                  <c:v>-37.177034795763994</c:v>
                </c:pt>
                <c:pt idx="42" formatCode="General">
                  <c:v>-36.839667170953106</c:v>
                </c:pt>
                <c:pt idx="43" formatCode="General">
                  <c:v>-36.502299546142211</c:v>
                </c:pt>
                <c:pt idx="44" formatCode="General">
                  <c:v>-36.182303030303032</c:v>
                </c:pt>
                <c:pt idx="45" formatCode="General">
                  <c:v>-35.885333333333335</c:v>
                </c:pt>
                <c:pt idx="46" formatCode="General">
                  <c:v>-35.600654545454546</c:v>
                </c:pt>
                <c:pt idx="47" formatCode="General">
                  <c:v>-35.321490909090912</c:v>
                </c:pt>
                <c:pt idx="48" formatCode="General">
                  <c:v>-35.056036363636366</c:v>
                </c:pt>
                <c:pt idx="49" formatCode="General">
                  <c:v>-34.795108433734939</c:v>
                </c:pt>
                <c:pt idx="50" formatCode="General">
                  <c:v>-34.539084337349401</c:v>
                </c:pt>
                <c:pt idx="51" formatCode="General">
                  <c:v>-34.300175757575758</c:v>
                </c:pt>
                <c:pt idx="52" formatCode="General">
                  <c:v>-34.135084848484851</c:v>
                </c:pt>
                <c:pt idx="53" formatCode="General">
                  <c:v>-34.312054545454544</c:v>
                </c:pt>
                <c:pt idx="54" formatCode="General">
                  <c:v>-34.489024242424243</c:v>
                </c:pt>
                <c:pt idx="55" formatCode="General">
                  <c:v>-34.665993939393942</c:v>
                </c:pt>
                <c:pt idx="56" formatCode="General">
                  <c:v>-34.844018181818178</c:v>
                </c:pt>
                <c:pt idx="57" formatCode="General">
                  <c:v>-35.021807866868379</c:v>
                </c:pt>
                <c:pt idx="58" formatCode="General">
                  <c:v>-35.198207261724662</c:v>
                </c:pt>
                <c:pt idx="59" formatCode="General">
                  <c:v>-35.374606656580937</c:v>
                </c:pt>
                <c:pt idx="60" formatCode="General">
                  <c:v>-35.551006051437213</c:v>
                </c:pt>
                <c:pt idx="61" formatCode="General">
                  <c:v>-35.727405446293496</c:v>
                </c:pt>
                <c:pt idx="62" formatCode="General">
                  <c:v>-35.903804841149771</c:v>
                </c:pt>
                <c:pt idx="63" formatCode="General">
                  <c:v>-36.080204236006054</c:v>
                </c:pt>
                <c:pt idx="64" formatCode="General">
                  <c:v>-36.258430303030302</c:v>
                </c:pt>
                <c:pt idx="65" formatCode="General">
                  <c:v>-36.437824242424242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4A52-48C1-879E-D295987745E2}"/>
            </c:ext>
          </c:extLst>
        </c:ser>
        <c:ser>
          <c:idx val="4"/>
          <c:order val="6"/>
          <c:tx>
            <c:strRef>
              <c:f>'Gibbs-EVAL'!$A$107</c:f>
              <c:strCache>
                <c:ptCount val="1"/>
                <c:pt idx="0">
                  <c:v>*Ge[l]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'Gibbs-EVAL'!$B$107:$BT$107</c:f>
              <c:numCache>
                <c:formatCode>0</c:formatCode>
                <c:ptCount val="71"/>
                <c:pt idx="0">
                  <c:v>-15.300424242424242</c:v>
                </c:pt>
                <c:pt idx="1">
                  <c:v>-14.974848484848485</c:v>
                </c:pt>
                <c:pt idx="2" formatCode="General">
                  <c:v>-14.671818181818182</c:v>
                </c:pt>
                <c:pt idx="3" formatCode="General">
                  <c:v>-14.399757575757576</c:v>
                </c:pt>
                <c:pt idx="4" formatCode="General">
                  <c:v>-14.105212121212121</c:v>
                </c:pt>
                <c:pt idx="5" formatCode="General">
                  <c:v>-13.420363636363636</c:v>
                </c:pt>
                <c:pt idx="6" formatCode="General">
                  <c:v>-12.711385542168674</c:v>
                </c:pt>
                <c:pt idx="7" formatCode="General">
                  <c:v>-11.970421686746988</c:v>
                </c:pt>
                <c:pt idx="8" formatCode="General">
                  <c:v>-11.272666666666668</c:v>
                </c:pt>
                <c:pt idx="9" formatCode="General">
                  <c:v>-10.593127272727273</c:v>
                </c:pt>
                <c:pt idx="10" formatCode="General">
                  <c:v>-9.9525212121212121</c:v>
                </c:pt>
                <c:pt idx="11" formatCode="General">
                  <c:v>-9.3588018154311658</c:v>
                </c:pt>
                <c:pt idx="12" formatCode="General">
                  <c:v>-8.8179546142208771</c:v>
                </c:pt>
                <c:pt idx="13" formatCode="General">
                  <c:v>-8.2771074130105902</c:v>
                </c:pt>
                <c:pt idx="14" formatCode="General">
                  <c:v>-7.7362602118003023</c:v>
                </c:pt>
                <c:pt idx="15" formatCode="General">
                  <c:v>-7.1954130105900145</c:v>
                </c:pt>
                <c:pt idx="16" formatCode="General">
                  <c:v>-6.6545658093797275</c:v>
                </c:pt>
                <c:pt idx="17" formatCode="General">
                  <c:v>-6.1137186081694388</c:v>
                </c:pt>
                <c:pt idx="18" formatCode="General">
                  <c:v>-5.6392727272727265</c:v>
                </c:pt>
                <c:pt idx="19" formatCode="General">
                  <c:v>-5.1809818181818166</c:v>
                </c:pt>
                <c:pt idx="20" formatCode="General">
                  <c:v>-4.742799999999999</c:v>
                </c:pt>
                <c:pt idx="21" formatCode="General">
                  <c:v>-4.4023636363636358</c:v>
                </c:pt>
                <c:pt idx="22" formatCode="General">
                  <c:v>-4.1387272727272721</c:v>
                </c:pt>
                <c:pt idx="23" formatCode="General">
                  <c:v>-4.1369277108433735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4A52-48C1-879E-D295987745E2}"/>
            </c:ext>
          </c:extLst>
        </c:ser>
        <c:ser>
          <c:idx val="5"/>
          <c:order val="7"/>
          <c:tx>
            <c:strRef>
              <c:f>'Gibbs-EVAL'!$A$108</c:f>
              <c:strCache>
                <c:ptCount val="1"/>
                <c:pt idx="0">
                  <c:v>*GeSe</c:v>
                </c:pt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'Gibbs-EVAL'!$B$108:$BT$108</c:f>
              <c:numCache>
                <c:formatCode>0</c:formatCode>
                <c:ptCount val="71"/>
                <c:pt idx="0">
                  <c:v>-37.092424242424244</c:v>
                </c:pt>
                <c:pt idx="1">
                  <c:v>-36.192181818181822</c:v>
                </c:pt>
                <c:pt idx="2" formatCode="General">
                  <c:v>-35.355818181818179</c:v>
                </c:pt>
                <c:pt idx="3" formatCode="General">
                  <c:v>-34.594666666666662</c:v>
                </c:pt>
                <c:pt idx="4" formatCode="General">
                  <c:v>-33.867151515151519</c:v>
                </c:pt>
                <c:pt idx="5" formatCode="General">
                  <c:v>-33.206545454545456</c:v>
                </c:pt>
                <c:pt idx="6" formatCode="General">
                  <c:v>-32.573554216867471</c:v>
                </c:pt>
                <c:pt idx="7" formatCode="General">
                  <c:v>-31.977168674698795</c:v>
                </c:pt>
                <c:pt idx="8" formatCode="General">
                  <c:v>-31.424666666666667</c:v>
                </c:pt>
                <c:pt idx="9" formatCode="General">
                  <c:v>-30.891309090909093</c:v>
                </c:pt>
                <c:pt idx="10" formatCode="General">
                  <c:v>-30.402218181818185</c:v>
                </c:pt>
                <c:pt idx="11" formatCode="General">
                  <c:v>-29.959906202723147</c:v>
                </c:pt>
                <c:pt idx="12" formatCode="General">
                  <c:v>-29.570344931921333</c:v>
                </c:pt>
                <c:pt idx="13" formatCode="General">
                  <c:v>-29.180783661119516</c:v>
                </c:pt>
                <c:pt idx="14" formatCode="General">
                  <c:v>-28.791222390317703</c:v>
                </c:pt>
                <c:pt idx="15" formatCode="General">
                  <c:v>-28.401661119515886</c:v>
                </c:pt>
                <c:pt idx="16" formatCode="General">
                  <c:v>-28.012099848714069</c:v>
                </c:pt>
                <c:pt idx="17" formatCode="General">
                  <c:v>-27.622538577912255</c:v>
                </c:pt>
                <c:pt idx="18" formatCode="General">
                  <c:v>-27.299575757575759</c:v>
                </c:pt>
                <c:pt idx="19" formatCode="General">
                  <c:v>-26.991527272727271</c:v>
                </c:pt>
                <c:pt idx="20" formatCode="General">
                  <c:v>-26.698799999999999</c:v>
                </c:pt>
                <c:pt idx="21" formatCode="General">
                  <c:v>-26.50721212121212</c:v>
                </c:pt>
                <c:pt idx="22" formatCode="General">
                  <c:v>-26.395090909090907</c:v>
                </c:pt>
                <c:pt idx="23" formatCode="General">
                  <c:v>-26.543975903614456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-27.907030120481927</c:v>
                </c:pt>
                <c:pt idx="32" formatCode="General">
                  <c:v>-28.076307228915663</c:v>
                </c:pt>
                <c:pt idx="33" formatCode="General">
                  <c:v>-28.240600000000001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A52-48C1-879E-D295987745E2}"/>
            </c:ext>
          </c:extLst>
        </c:ser>
        <c:ser>
          <c:idx val="6"/>
          <c:order val="8"/>
          <c:tx>
            <c:strRef>
              <c:f>'Gibbs-EVAL'!$A$109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'Gibbs-EVAL'!$B$109:$BT$109</c:f>
              <c:numCache>
                <c:formatCode>0</c:formatCode>
                <c:ptCount val="71"/>
                <c:pt idx="0">
                  <c:v>-142.08169696969696</c:v>
                </c:pt>
                <c:pt idx="1">
                  <c:v>-137.89684848484848</c:v>
                </c:pt>
                <c:pt idx="2" formatCode="General">
                  <c:v>-133.99381818181817</c:v>
                </c:pt>
                <c:pt idx="3" formatCode="General">
                  <c:v>-130.39163636363637</c:v>
                </c:pt>
                <c:pt idx="4" formatCode="General">
                  <c:v>-126.85418181818181</c:v>
                </c:pt>
                <c:pt idx="5" formatCode="General">
                  <c:v>-122.78145454545454</c:v>
                </c:pt>
                <c:pt idx="6" formatCode="General">
                  <c:v>-118.77626506024096</c:v>
                </c:pt>
                <c:pt idx="7" formatCode="General">
                  <c:v>-114.86060240963856</c:v>
                </c:pt>
                <c:pt idx="8" formatCode="General">
                  <c:v>-111.17866666666667</c:v>
                </c:pt>
                <c:pt idx="9" formatCode="General">
                  <c:v>-107.59927272727273</c:v>
                </c:pt>
                <c:pt idx="10" formatCode="General">
                  <c:v>-104.25987878787879</c:v>
                </c:pt>
                <c:pt idx="11" formatCode="General">
                  <c:v>-101.18736762481089</c:v>
                </c:pt>
                <c:pt idx="12" formatCode="General">
                  <c:v>-98.415809379727676</c:v>
                </c:pt>
                <c:pt idx="13" formatCode="General">
                  <c:v>-95.644251134644477</c:v>
                </c:pt>
                <c:pt idx="14" formatCode="General">
                  <c:v>-92.872692889561264</c:v>
                </c:pt>
                <c:pt idx="15" formatCode="General">
                  <c:v>-90.101134644478066</c:v>
                </c:pt>
                <c:pt idx="16" formatCode="General">
                  <c:v>-87.329576399394853</c:v>
                </c:pt>
                <c:pt idx="17" formatCode="General">
                  <c:v>-84.55801815431164</c:v>
                </c:pt>
                <c:pt idx="18" formatCode="General">
                  <c:v>-82.173757575757577</c:v>
                </c:pt>
                <c:pt idx="19" formatCode="General">
                  <c:v>-79.879272727272721</c:v>
                </c:pt>
                <c:pt idx="20" formatCode="General">
                  <c:v>-77.685333333333332</c:v>
                </c:pt>
                <c:pt idx="21" formatCode="General">
                  <c:v>-75.569454545454533</c:v>
                </c:pt>
                <c:pt idx="22" formatCode="General">
                  <c:v>-73.514909090909086</c:v>
                </c:pt>
                <c:pt idx="23" formatCode="General">
                  <c:v>-71.581265060240966</c:v>
                </c:pt>
                <c:pt idx="24" formatCode="General">
                  <c:v>-69.682424242424247</c:v>
                </c:pt>
                <c:pt idx="25" formatCode="General">
                  <c:v>-67.852121212121219</c:v>
                </c:pt>
                <c:pt idx="26" formatCode="General">
                  <c:v>-66.08</c:v>
                </c:pt>
                <c:pt idx="27" formatCode="General">
                  <c:v>-64.346666666666664</c:v>
                </c:pt>
                <c:pt idx="28" formatCode="General">
                  <c:v>-62.705454545454543</c:v>
                </c:pt>
                <c:pt idx="29" formatCode="General">
                  <c:v>-61.127272727272732</c:v>
                </c:pt>
                <c:pt idx="30" formatCode="General">
                  <c:v>-59.684848484848487</c:v>
                </c:pt>
                <c:pt idx="31" formatCode="General">
                  <c:v>-58.490843373493981</c:v>
                </c:pt>
                <c:pt idx="32" formatCode="General">
                  <c:v>-57.43060240963856</c:v>
                </c:pt>
                <c:pt idx="33" formatCode="General">
                  <c:v>-56.418000000000006</c:v>
                </c:pt>
                <c:pt idx="34" formatCode="General">
                  <c:v>-55.426484848484847</c:v>
                </c:pt>
                <c:pt idx="35" formatCode="General">
                  <c:v>-54.474969696969701</c:v>
                </c:pt>
                <c:pt idx="36" formatCode="General">
                  <c:v>-53.548545454545454</c:v>
                </c:pt>
                <c:pt idx="37" formatCode="General">
                  <c:v>-52.637564296520431</c:v>
                </c:pt>
                <c:pt idx="38" formatCode="General">
                  <c:v>-51.82667170953102</c:v>
                </c:pt>
                <c:pt idx="39" formatCode="General">
                  <c:v>-51.015779122541609</c:v>
                </c:pt>
                <c:pt idx="40" formatCode="General">
                  <c:v>-50.204886535552198</c:v>
                </c:pt>
                <c:pt idx="41" formatCode="General">
                  <c:v>-49.393993948562787</c:v>
                </c:pt>
                <c:pt idx="42" formatCode="General">
                  <c:v>-48.583101361573377</c:v>
                </c:pt>
                <c:pt idx="43" formatCode="General">
                  <c:v>-47.772208774583973</c:v>
                </c:pt>
                <c:pt idx="44" formatCode="General">
                  <c:v>-46.99727272727273</c:v>
                </c:pt>
                <c:pt idx="45" formatCode="General">
                  <c:v>-46.27</c:v>
                </c:pt>
                <c:pt idx="46" formatCode="General">
                  <c:v>-45.567309090909099</c:v>
                </c:pt>
                <c:pt idx="47" formatCode="General">
                  <c:v>-44.87564848484849</c:v>
                </c:pt>
                <c:pt idx="48" formatCode="General">
                  <c:v>-44.211406060606066</c:v>
                </c:pt>
                <c:pt idx="49" formatCode="General">
                  <c:v>-43.559493975903614</c:v>
                </c:pt>
                <c:pt idx="50" formatCode="General">
                  <c:v>-42.920939759036138</c:v>
                </c:pt>
                <c:pt idx="51" formatCode="General">
                  <c:v>-42.315987878787872</c:v>
                </c:pt>
                <c:pt idx="52" formatCode="General">
                  <c:v>-41.858533333333334</c:v>
                </c:pt>
                <c:pt idx="53" formatCode="General">
                  <c:v>-42.0852</c:v>
                </c:pt>
                <c:pt idx="54" formatCode="General">
                  <c:v>-42.311866666666667</c:v>
                </c:pt>
                <c:pt idx="55" formatCode="General">
                  <c:v>-42.538533333333334</c:v>
                </c:pt>
                <c:pt idx="56" formatCode="General">
                  <c:v>-42.767309090909087</c:v>
                </c:pt>
                <c:pt idx="57" formatCode="General">
                  <c:v>-42.996656580937973</c:v>
                </c:pt>
                <c:pt idx="58" formatCode="General">
                  <c:v>-43.226913767019667</c:v>
                </c:pt>
                <c:pt idx="59" formatCode="General">
                  <c:v>-43.457170953101361</c:v>
                </c:pt>
                <c:pt idx="60" formatCode="General">
                  <c:v>-43.687428139183055</c:v>
                </c:pt>
                <c:pt idx="61" formatCode="General">
                  <c:v>-43.917685325264756</c:v>
                </c:pt>
                <c:pt idx="62" formatCode="General">
                  <c:v>-44.14794251134645</c:v>
                </c:pt>
                <c:pt idx="63" formatCode="General">
                  <c:v>-44.378199697428144</c:v>
                </c:pt>
                <c:pt idx="64" formatCode="General">
                  <c:v>-44.612921212121215</c:v>
                </c:pt>
                <c:pt idx="65" formatCode="General">
                  <c:v>-44.85049696969697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4A52-48C1-879E-D295987745E2}"/>
            </c:ext>
          </c:extLst>
        </c:ser>
        <c:ser>
          <c:idx val="7"/>
          <c:order val="9"/>
          <c:tx>
            <c:strRef>
              <c:f>'Gibbs-EVAL'!$A$110</c:f>
              <c:strCache>
                <c:ptCount val="1"/>
                <c:pt idx="0">
                  <c:v>Ar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-18.630969696969697</c:v>
                </c:pt>
                <c:pt idx="5" formatCode="General">
                  <c:v>-18.643090909090908</c:v>
                </c:pt>
                <c:pt idx="6" formatCode="General">
                  <c:v>-18.655180722891565</c:v>
                </c:pt>
                <c:pt idx="7" formatCode="General">
                  <c:v>-18.667228915662651</c:v>
                </c:pt>
                <c:pt idx="8" formatCode="General">
                  <c:v>-18.679333333333336</c:v>
                </c:pt>
                <c:pt idx="9" formatCode="General">
                  <c:v>-18.692181818181819</c:v>
                </c:pt>
                <c:pt idx="10" formatCode="General">
                  <c:v>-18.710363636363635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-18.855636363636364</c:v>
                </c:pt>
                <c:pt idx="19" formatCode="General">
                  <c:v>-18.873818181818184</c:v>
                </c:pt>
                <c:pt idx="20" formatCode="General">
                  <c:v>-18.891999999999999</c:v>
                </c:pt>
                <c:pt idx="21" formatCode="General">
                  <c:v>-18.913575757575757</c:v>
                </c:pt>
                <c:pt idx="22" formatCode="General">
                  <c:v>-18.937818181818184</c:v>
                </c:pt>
                <c:pt idx="23" formatCode="General">
                  <c:v>-18.95644578313253</c:v>
                </c:pt>
                <c:pt idx="24" formatCode="General">
                  <c:v>-18.976060606060607</c:v>
                </c:pt>
                <c:pt idx="25" formatCode="General">
                  <c:v>-19.00030303030303</c:v>
                </c:pt>
                <c:pt idx="26" formatCode="General">
                  <c:v>-19.020909090909093</c:v>
                </c:pt>
                <c:pt idx="27" formatCode="General">
                  <c:v>-19.039090909090909</c:v>
                </c:pt>
                <c:pt idx="28" formatCode="General">
                  <c:v>-19.057272727272728</c:v>
                </c:pt>
                <c:pt idx="29" formatCode="General">
                  <c:v>-19.077272727272728</c:v>
                </c:pt>
                <c:pt idx="30" formatCode="General">
                  <c:v>-19.101515151515152</c:v>
                </c:pt>
                <c:pt idx="31" formatCode="General">
                  <c:v>-19.121746987951806</c:v>
                </c:pt>
                <c:pt idx="32" formatCode="General">
                  <c:v>-19.139819277108433</c:v>
                </c:pt>
                <c:pt idx="33" formatCode="General">
                  <c:v>-19.164000000000001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4A52-48C1-879E-D295987745E2}"/>
            </c:ext>
          </c:extLst>
        </c:ser>
        <c:ser>
          <c:idx val="8"/>
          <c:order val="10"/>
          <c:tx>
            <c:strRef>
              <c:f>'Gibbs-EVAL'!$A$111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-60.144848484848481</c:v>
                </c:pt>
                <c:pt idx="1">
                  <c:v>-58.339757575757574</c:v>
                </c:pt>
                <c:pt idx="2" formatCode="General">
                  <c:v>-56.654909090909094</c:v>
                </c:pt>
                <c:pt idx="3" formatCode="General">
                  <c:v>-55.098363636363636</c:v>
                </c:pt>
                <c:pt idx="4" formatCode="General">
                  <c:v>-53.546121212121207</c:v>
                </c:pt>
                <c:pt idx="5" formatCode="General">
                  <c:v>-51.49763636363636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4A52-48C1-879E-D295987745E2}"/>
            </c:ext>
          </c:extLst>
        </c:ser>
        <c:ser>
          <c:idx val="9"/>
          <c:order val="11"/>
          <c:tx>
            <c:strRef>
              <c:f>'Gibbs-EVAL'!$A$112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-37.092424242424244</c:v>
                </c:pt>
                <c:pt idx="1">
                  <c:v>-36.192181818181822</c:v>
                </c:pt>
                <c:pt idx="2" formatCode="General">
                  <c:v>-35.355818181818179</c:v>
                </c:pt>
                <c:pt idx="3" formatCode="General">
                  <c:v>-34.594666666666662</c:v>
                </c:pt>
                <c:pt idx="4" formatCode="General">
                  <c:v>-33.867151515151519</c:v>
                </c:pt>
                <c:pt idx="5" formatCode="General">
                  <c:v>-33.206545454545456</c:v>
                </c:pt>
                <c:pt idx="6" formatCode="General">
                  <c:v>-32.573554216867471</c:v>
                </c:pt>
                <c:pt idx="7" formatCode="General">
                  <c:v>-31.977168674698795</c:v>
                </c:pt>
                <c:pt idx="8" formatCode="General">
                  <c:v>-31.424666666666667</c:v>
                </c:pt>
                <c:pt idx="9" formatCode="General">
                  <c:v>-30.891309090909093</c:v>
                </c:pt>
                <c:pt idx="10" formatCode="General">
                  <c:v>-30.402218181818185</c:v>
                </c:pt>
                <c:pt idx="11" formatCode="General">
                  <c:v>-29.959906202723147</c:v>
                </c:pt>
                <c:pt idx="12" formatCode="General">
                  <c:v>-29.570344931921333</c:v>
                </c:pt>
                <c:pt idx="13" formatCode="General">
                  <c:v>-29.180783661119516</c:v>
                </c:pt>
                <c:pt idx="14" formatCode="General">
                  <c:v>-28.791222390317703</c:v>
                </c:pt>
                <c:pt idx="15" formatCode="General">
                  <c:v>-28.401661119515886</c:v>
                </c:pt>
                <c:pt idx="16" formatCode="General">
                  <c:v>-28.012099848714069</c:v>
                </c:pt>
                <c:pt idx="17" formatCode="General">
                  <c:v>-27.622538577912255</c:v>
                </c:pt>
                <c:pt idx="18" formatCode="General">
                  <c:v>-27.299575757575759</c:v>
                </c:pt>
                <c:pt idx="19" formatCode="General">
                  <c:v>-26.991527272727271</c:v>
                </c:pt>
                <c:pt idx="20" formatCode="General">
                  <c:v>-26.698799999999999</c:v>
                </c:pt>
                <c:pt idx="21" formatCode="General">
                  <c:v>-26.50721212121212</c:v>
                </c:pt>
                <c:pt idx="22" formatCode="General">
                  <c:v>-26.395090909090907</c:v>
                </c:pt>
                <c:pt idx="23" formatCode="General">
                  <c:v>-26.543975903614456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-27.907030120481927</c:v>
                </c:pt>
                <c:pt idx="32" formatCode="General">
                  <c:v>-28.076307228915663</c:v>
                </c:pt>
                <c:pt idx="33" formatCode="General">
                  <c:v>-28.240600000000001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4A52-48C1-879E-D295987745E2}"/>
            </c:ext>
          </c:extLst>
        </c:ser>
        <c:ser>
          <c:idx val="10"/>
          <c:order val="12"/>
          <c:tx>
            <c:strRef>
              <c:f>'Gibbs-EVAL'!$A$113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'Gibbs-EVAL'!$B$113:$BT$113</c:f>
              <c:numCache>
                <c:formatCode>0</c:formatCode>
                <c:ptCount val="71"/>
                <c:pt idx="0">
                  <c:v>-15.300424242424242</c:v>
                </c:pt>
                <c:pt idx="1">
                  <c:v>-14.974848484848485</c:v>
                </c:pt>
                <c:pt idx="2" formatCode="General">
                  <c:v>-14.671818181818182</c:v>
                </c:pt>
                <c:pt idx="3" formatCode="General">
                  <c:v>-14.399757575757576</c:v>
                </c:pt>
                <c:pt idx="4" formatCode="General">
                  <c:v>-14.105212121212121</c:v>
                </c:pt>
                <c:pt idx="5" formatCode="General">
                  <c:v>-13.420363636363636</c:v>
                </c:pt>
                <c:pt idx="6" formatCode="General">
                  <c:v>-12.711385542168674</c:v>
                </c:pt>
                <c:pt idx="7" formatCode="General">
                  <c:v>-11.970421686746988</c:v>
                </c:pt>
                <c:pt idx="8" formatCode="General">
                  <c:v>-11.272666666666668</c:v>
                </c:pt>
                <c:pt idx="9" formatCode="General">
                  <c:v>-10.593127272727273</c:v>
                </c:pt>
                <c:pt idx="10" formatCode="General">
                  <c:v>-9.9525212121212121</c:v>
                </c:pt>
                <c:pt idx="11" formatCode="General">
                  <c:v>-9.3588018154311658</c:v>
                </c:pt>
                <c:pt idx="12" formatCode="General">
                  <c:v>-8.8179546142208771</c:v>
                </c:pt>
                <c:pt idx="13" formatCode="General">
                  <c:v>-8.2771074130105902</c:v>
                </c:pt>
                <c:pt idx="14" formatCode="General">
                  <c:v>-7.7362602118003023</c:v>
                </c:pt>
                <c:pt idx="15" formatCode="General">
                  <c:v>-7.1954130105900145</c:v>
                </c:pt>
                <c:pt idx="16" formatCode="General">
                  <c:v>-6.6545658093797275</c:v>
                </c:pt>
                <c:pt idx="17" formatCode="General">
                  <c:v>-6.1137186081694388</c:v>
                </c:pt>
                <c:pt idx="18" formatCode="General">
                  <c:v>-5.6392727272727265</c:v>
                </c:pt>
                <c:pt idx="19" formatCode="General">
                  <c:v>-5.1809818181818166</c:v>
                </c:pt>
                <c:pt idx="20" formatCode="General">
                  <c:v>-4.742799999999999</c:v>
                </c:pt>
                <c:pt idx="21" formatCode="General">
                  <c:v>-4.4023636363636358</c:v>
                </c:pt>
                <c:pt idx="22" formatCode="General">
                  <c:v>-4.1387272727272721</c:v>
                </c:pt>
                <c:pt idx="23" formatCode="General">
                  <c:v>-4.1369277108433735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4A52-48C1-879E-D295987745E2}"/>
            </c:ext>
          </c:extLst>
        </c:ser>
        <c:ser>
          <c:idx val="11"/>
          <c:order val="13"/>
          <c:tx>
            <c:strRef>
              <c:f>'Gibbs-EVAL'!$A$114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'Gibbs-EVAL'!$B$114:$BT$114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-18.630969696969697</c:v>
                </c:pt>
                <c:pt idx="5" formatCode="General">
                  <c:v>-18.643090909090908</c:v>
                </c:pt>
                <c:pt idx="6" formatCode="General">
                  <c:v>-18.655180722891565</c:v>
                </c:pt>
                <c:pt idx="7" formatCode="General">
                  <c:v>-18.667228915662651</c:v>
                </c:pt>
                <c:pt idx="8" formatCode="General">
                  <c:v>-18.679333333333336</c:v>
                </c:pt>
                <c:pt idx="9" formatCode="General">
                  <c:v>-18.692181818181819</c:v>
                </c:pt>
                <c:pt idx="10" formatCode="General">
                  <c:v>-18.710363636363635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-18.855636363636364</c:v>
                </c:pt>
                <c:pt idx="19" formatCode="General">
                  <c:v>-18.873818181818184</c:v>
                </c:pt>
                <c:pt idx="20" formatCode="General">
                  <c:v>-18.891999999999999</c:v>
                </c:pt>
                <c:pt idx="21" formatCode="General">
                  <c:v>-18.913575757575757</c:v>
                </c:pt>
                <c:pt idx="22" formatCode="General">
                  <c:v>-18.937818181818184</c:v>
                </c:pt>
                <c:pt idx="23" formatCode="General">
                  <c:v>-18.95644578313253</c:v>
                </c:pt>
                <c:pt idx="24" formatCode="General">
                  <c:v>-18.976060606060607</c:v>
                </c:pt>
                <c:pt idx="25" formatCode="General">
                  <c:v>-19.00030303030303</c:v>
                </c:pt>
                <c:pt idx="26" formatCode="General">
                  <c:v>-19.020909090909093</c:v>
                </c:pt>
                <c:pt idx="27" formatCode="General">
                  <c:v>-19.039090909090909</c:v>
                </c:pt>
                <c:pt idx="28" formatCode="General">
                  <c:v>-19.057272727272728</c:v>
                </c:pt>
                <c:pt idx="29" formatCode="General">
                  <c:v>-19.077272727272728</c:v>
                </c:pt>
                <c:pt idx="30" formatCode="General">
                  <c:v>-19.101515151515152</c:v>
                </c:pt>
                <c:pt idx="31" formatCode="General">
                  <c:v>-19.121746987951806</c:v>
                </c:pt>
                <c:pt idx="32" formatCode="General">
                  <c:v>-19.139819277108433</c:v>
                </c:pt>
                <c:pt idx="33" formatCode="General">
                  <c:v>-19.164000000000001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4A52-48C1-879E-D295987745E2}"/>
            </c:ext>
          </c:extLst>
        </c:ser>
        <c:ser>
          <c:idx val="12"/>
          <c:order val="14"/>
          <c:tx>
            <c:strRef>
              <c:f>'Gibbs-EVAL'!$A$115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'Gibbs-EVAL'!$B$115:$BT$115</c:f>
              <c:numCache>
                <c:formatCode>0</c:formatCode>
                <c:ptCount val="71"/>
                <c:pt idx="0">
                  <c:v>-60.144848484848481</c:v>
                </c:pt>
                <c:pt idx="1">
                  <c:v>-58.339757575757574</c:v>
                </c:pt>
                <c:pt idx="2" formatCode="General">
                  <c:v>-56.654909090909094</c:v>
                </c:pt>
                <c:pt idx="3" formatCode="General">
                  <c:v>-55.098363636363636</c:v>
                </c:pt>
                <c:pt idx="4" formatCode="General">
                  <c:v>-53.546121212121207</c:v>
                </c:pt>
                <c:pt idx="5" formatCode="General">
                  <c:v>-51.49763636363636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4A52-48C1-879E-D295987745E2}"/>
            </c:ext>
          </c:extLst>
        </c:ser>
        <c:ser>
          <c:idx val="13"/>
          <c:order val="15"/>
          <c:tx>
            <c:strRef>
              <c:f>'Gibbs-EVAL'!$A$116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'Gibbs-EVAL'!$B$116:$BT$116</c:f>
              <c:numCache>
                <c:formatCode>0</c:formatCode>
                <c:ptCount val="71"/>
                <c:pt idx="0">
                  <c:v>-15.300424242424242</c:v>
                </c:pt>
                <c:pt idx="1">
                  <c:v>-14.974848484848485</c:v>
                </c:pt>
                <c:pt idx="2" formatCode="General">
                  <c:v>-14.671818181818182</c:v>
                </c:pt>
                <c:pt idx="3" formatCode="General">
                  <c:v>-14.399757575757576</c:v>
                </c:pt>
                <c:pt idx="4" formatCode="General">
                  <c:v>-14.105212121212121</c:v>
                </c:pt>
                <c:pt idx="5" formatCode="General">
                  <c:v>-13.420363636363636</c:v>
                </c:pt>
                <c:pt idx="6" formatCode="General">
                  <c:v>-12.711385542168674</c:v>
                </c:pt>
                <c:pt idx="7" formatCode="General">
                  <c:v>-11.970421686746988</c:v>
                </c:pt>
                <c:pt idx="8" formatCode="General">
                  <c:v>-11.272666666666668</c:v>
                </c:pt>
                <c:pt idx="9" formatCode="General">
                  <c:v>-10.593127272727273</c:v>
                </c:pt>
                <c:pt idx="10" formatCode="General">
                  <c:v>-9.9525212121212121</c:v>
                </c:pt>
                <c:pt idx="11" formatCode="General">
                  <c:v>-9.3588018154311658</c:v>
                </c:pt>
                <c:pt idx="12" formatCode="General">
                  <c:v>-8.8179546142208771</c:v>
                </c:pt>
                <c:pt idx="13" formatCode="General">
                  <c:v>-8.2771074130105902</c:v>
                </c:pt>
                <c:pt idx="14" formatCode="General">
                  <c:v>-7.7362602118003023</c:v>
                </c:pt>
                <c:pt idx="15" formatCode="General">
                  <c:v>-7.1954130105900145</c:v>
                </c:pt>
                <c:pt idx="16" formatCode="General">
                  <c:v>-6.6545658093797275</c:v>
                </c:pt>
                <c:pt idx="17" formatCode="General">
                  <c:v>-6.1137186081694388</c:v>
                </c:pt>
                <c:pt idx="18" formatCode="General">
                  <c:v>-5.6392727272727265</c:v>
                </c:pt>
                <c:pt idx="19" formatCode="General">
                  <c:v>-5.1809818181818166</c:v>
                </c:pt>
                <c:pt idx="20" formatCode="General">
                  <c:v>-4.742799999999999</c:v>
                </c:pt>
                <c:pt idx="21" formatCode="General">
                  <c:v>-4.4023636363636358</c:v>
                </c:pt>
                <c:pt idx="22" formatCode="General">
                  <c:v>-4.1387272727272721</c:v>
                </c:pt>
                <c:pt idx="23" formatCode="General">
                  <c:v>-4.1369277108433735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4A52-48C1-879E-D295987745E2}"/>
            </c:ext>
          </c:extLst>
        </c:ser>
        <c:ser>
          <c:idx val="14"/>
          <c:order val="16"/>
          <c:tx>
            <c:strRef>
              <c:f>'Gibbs-EVAL'!$A$117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'Gibbs-EVAL'!$B$117:$BT$117</c:f>
              <c:numCache>
                <c:formatCode>0</c:formatCode>
                <c:ptCount val="71"/>
                <c:pt idx="0">
                  <c:v>-21.792000000000002</c:v>
                </c:pt>
                <c:pt idx="1">
                  <c:v>-21.217333333333332</c:v>
                </c:pt>
                <c:pt idx="2" formatCode="General">
                  <c:v>-20.683999999999997</c:v>
                </c:pt>
                <c:pt idx="3" formatCode="General">
                  <c:v>-20.194909090909089</c:v>
                </c:pt>
                <c:pt idx="4" formatCode="General">
                  <c:v>-19.761939393939397</c:v>
                </c:pt>
                <c:pt idx="5" formatCode="General">
                  <c:v>-19.78618181818182</c:v>
                </c:pt>
                <c:pt idx="6" formatCode="General">
                  <c:v>-19.862168674698797</c:v>
                </c:pt>
                <c:pt idx="7" formatCode="General">
                  <c:v>-20.006746987951807</c:v>
                </c:pt>
                <c:pt idx="8" formatCode="General">
                  <c:v>-20.152000000000001</c:v>
                </c:pt>
                <c:pt idx="9" formatCode="General">
                  <c:v>-20.298181818181821</c:v>
                </c:pt>
                <c:pt idx="10" formatCode="General">
                  <c:v>-20.449696969696969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-23.573975903614457</c:v>
                </c:pt>
                <c:pt idx="32" formatCode="General">
                  <c:v>-23.718554216867467</c:v>
                </c:pt>
                <c:pt idx="33" formatCode="General">
                  <c:v>-23.858000000000001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4A52-48C1-879E-D295987745E2}"/>
            </c:ext>
          </c:extLst>
        </c:ser>
        <c:ser>
          <c:idx val="15"/>
          <c:order val="17"/>
          <c:tx>
            <c:strRef>
              <c:f>'Gibbs-EVAL'!$A$118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4A52-48C1-879E-D295987745E2}"/>
            </c:ext>
          </c:extLst>
        </c:ser>
        <c:ser>
          <c:idx val="16"/>
          <c:order val="18"/>
          <c:tx>
            <c:strRef>
              <c:f>'Gibbs-EVAL'!$A$119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4A52-48C1-879E-D295987745E2}"/>
            </c:ext>
          </c:extLst>
        </c:ser>
        <c:ser>
          <c:idx val="17"/>
          <c:order val="19"/>
          <c:tx>
            <c:strRef>
              <c:f>'Gibbs-EVAL'!$A$120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4A52-48C1-879E-D295987745E2}"/>
            </c:ext>
          </c:extLst>
        </c:ser>
        <c:ser>
          <c:idx val="18"/>
          <c:order val="20"/>
          <c:tx>
            <c:strRef>
              <c:f>'Gibbs-EVAL'!$A$121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4A52-48C1-879E-D295987745E2}"/>
            </c:ext>
          </c:extLst>
        </c:ser>
        <c:ser>
          <c:idx val="19"/>
          <c:order val="21"/>
          <c:tx>
            <c:strRef>
              <c:f>'Gibbs-EVAL'!$A$122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4A52-48C1-879E-D295987745E2}"/>
            </c:ext>
          </c:extLst>
        </c:ser>
        <c:ser>
          <c:idx val="20"/>
          <c:order val="22"/>
          <c:tx>
            <c:strRef>
              <c:f>'Gibbs-EVAL'!$A$123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4A52-48C1-879E-D295987745E2}"/>
            </c:ext>
          </c:extLst>
        </c:ser>
        <c:ser>
          <c:idx val="21"/>
          <c:order val="23"/>
          <c:tx>
            <c:strRef>
              <c:f>'Gibbs-EVAL'!$A$124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4A52-48C1-879E-D295987745E2}"/>
            </c:ext>
          </c:extLst>
        </c:ser>
        <c:ser>
          <c:idx val="22"/>
          <c:order val="24"/>
          <c:tx>
            <c:strRef>
              <c:f>'Gibbs-EVAL'!$A$125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4A52-48C1-879E-D295987745E2}"/>
            </c:ext>
          </c:extLst>
        </c:ser>
        <c:ser>
          <c:idx val="23"/>
          <c:order val="25"/>
          <c:tx>
            <c:strRef>
              <c:f>'Gibbs-EVAL'!$A$126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4A52-48C1-879E-D295987745E2}"/>
            </c:ext>
          </c:extLst>
        </c:ser>
        <c:ser>
          <c:idx val="24"/>
          <c:order val="26"/>
          <c:tx>
            <c:strRef>
              <c:f>'Gibbs-EVAL'!$A$127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4A52-48C1-879E-D295987745E2}"/>
            </c:ext>
          </c:extLst>
        </c:ser>
        <c:ser>
          <c:idx val="25"/>
          <c:order val="27"/>
          <c:tx>
            <c:strRef>
              <c:f>'Gibbs-EVAL'!$A$128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4A52-48C1-879E-D295987745E2}"/>
            </c:ext>
          </c:extLst>
        </c:ser>
        <c:ser>
          <c:idx val="26"/>
          <c:order val="28"/>
          <c:tx>
            <c:strRef>
              <c:f>'Gibbs-EVAL'!$A$129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4A52-48C1-879E-D295987745E2}"/>
            </c:ext>
          </c:extLst>
        </c:ser>
        <c:ser>
          <c:idx val="27"/>
          <c:order val="29"/>
          <c:tx>
            <c:strRef>
              <c:f>'Gibbs-EVAL'!$A$130</c:f>
              <c:strCache>
                <c:ptCount val="1"/>
                <c:pt idx="0">
                  <c:v>end1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'Gibbs-EVAL'!$B$130:$BT$130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4A52-48C1-879E-D295987745E2}"/>
            </c:ext>
          </c:extLst>
        </c:ser>
        <c:ser>
          <c:idx val="28"/>
          <c:order val="30"/>
          <c:tx>
            <c:strRef>
              <c:f>'Gibbs-EVAL'!$A$131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4A52-48C1-879E-D295987745E2}"/>
            </c:ext>
          </c:extLst>
        </c:ser>
        <c:ser>
          <c:idx val="29"/>
          <c:order val="31"/>
          <c:tx>
            <c:strRef>
              <c:f>'Gibbs-EVAL'!$A$132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4A52-48C1-879E-D295987745E2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-22.065575757575758</c:v>
                </c:pt>
                <c:pt idx="1">
                  <c:v>-21.674060606060607</c:v>
                </c:pt>
                <c:pt idx="2" formatCode="General">
                  <c:v>-21.395272727272726</c:v>
                </c:pt>
                <c:pt idx="3" formatCode="General">
                  <c:v>-21.244787878787879</c:v>
                </c:pt>
                <c:pt idx="4" formatCode="General">
                  <c:v>-21.157019667170953</c:v>
                </c:pt>
                <c:pt idx="5" formatCode="General">
                  <c:v>-21.244765506807866</c:v>
                </c:pt>
                <c:pt idx="6" formatCode="General">
                  <c:v>-21.332511346444779</c:v>
                </c:pt>
                <c:pt idx="7" formatCode="General">
                  <c:v>-21.420257186081695</c:v>
                </c:pt>
                <c:pt idx="8" formatCode="General">
                  <c:v>-21.508003025718608</c:v>
                </c:pt>
                <c:pt idx="9" formatCode="General">
                  <c:v>-21.595748865355521</c:v>
                </c:pt>
                <c:pt idx="10" formatCode="General">
                  <c:v>-21.683494704992437</c:v>
                </c:pt>
                <c:pt idx="11" formatCode="General">
                  <c:v>-21.792666666666666</c:v>
                </c:pt>
                <c:pt idx="12" formatCode="General">
                  <c:v>-21.925999999999998</c:v>
                </c:pt>
                <c:pt idx="13" formatCode="General">
                  <c:v>-22.049393939393937</c:v>
                </c:pt>
                <c:pt idx="14" formatCode="General">
                  <c:v>-22.167409638554215</c:v>
                </c:pt>
                <c:pt idx="15" formatCode="General">
                  <c:v>-22.269819277108432</c:v>
                </c:pt>
                <c:pt idx="16" formatCode="General">
                  <c:v>-22.363272727272729</c:v>
                </c:pt>
                <c:pt idx="17" formatCode="General">
                  <c:v>-22.448121212121212</c:v>
                </c:pt>
                <c:pt idx="18" formatCode="General">
                  <c:v>-22.532969696969698</c:v>
                </c:pt>
                <c:pt idx="19" formatCode="General">
                  <c:v>-22.620363636363638</c:v>
                </c:pt>
                <c:pt idx="20" formatCode="General">
                  <c:v>-22.717333333333336</c:v>
                </c:pt>
                <c:pt idx="21" formatCode="General">
                  <c:v>-22.82448484848485</c:v>
                </c:pt>
                <c:pt idx="22" formatCode="General">
                  <c:v>-22.939636363636364</c:v>
                </c:pt>
                <c:pt idx="23" formatCode="General">
                  <c:v>-23.059638554216868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4A52-48C1-879E-D295987745E2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-37.871212121212125</c:v>
                </c:pt>
                <c:pt idx="1">
                  <c:v>-36.936060606060607</c:v>
                </c:pt>
                <c:pt idx="2" formatCode="General">
                  <c:v>-36.057272727272725</c:v>
                </c:pt>
                <c:pt idx="3" formatCode="General">
                  <c:v>-35.249272727272725</c:v>
                </c:pt>
                <c:pt idx="4" formatCode="General">
                  <c:v>-34.48330711043873</c:v>
                </c:pt>
                <c:pt idx="5" formatCode="General">
                  <c:v>-33.899645990922842</c:v>
                </c:pt>
                <c:pt idx="6" formatCode="General">
                  <c:v>-33.315984871406961</c:v>
                </c:pt>
                <c:pt idx="7" formatCode="General">
                  <c:v>-32.732323751891073</c:v>
                </c:pt>
                <c:pt idx="8" formatCode="General">
                  <c:v>-32.148662632375192</c:v>
                </c:pt>
                <c:pt idx="9" formatCode="General">
                  <c:v>-31.565001512859304</c:v>
                </c:pt>
                <c:pt idx="10" formatCode="General">
                  <c:v>-30.981340393343419</c:v>
                </c:pt>
                <c:pt idx="11" formatCode="General">
                  <c:v>-30.471751515151517</c:v>
                </c:pt>
                <c:pt idx="12" formatCode="General">
                  <c:v>-30.045690909090911</c:v>
                </c:pt>
                <c:pt idx="13" formatCode="General">
                  <c:v>-29.668830303030305</c:v>
                </c:pt>
                <c:pt idx="14" formatCode="General">
                  <c:v>-29.315024096385542</c:v>
                </c:pt>
                <c:pt idx="15" formatCode="General">
                  <c:v>-29.021048192771087</c:v>
                </c:pt>
                <c:pt idx="16" formatCode="General">
                  <c:v>-28.765418181818184</c:v>
                </c:pt>
                <c:pt idx="17" formatCode="General">
                  <c:v>-28.546630303030305</c:v>
                </c:pt>
                <c:pt idx="18" formatCode="General">
                  <c:v>-28.406024242424245</c:v>
                </c:pt>
                <c:pt idx="19" formatCode="General">
                  <c:v>-28.297109090909093</c:v>
                </c:pt>
                <c:pt idx="20" formatCode="General">
                  <c:v>-28.259533333333334</c:v>
                </c:pt>
                <c:pt idx="21" formatCode="General">
                  <c:v>-28.267096969696972</c:v>
                </c:pt>
                <c:pt idx="22" formatCode="General">
                  <c:v>-28.310127272727271</c:v>
                </c:pt>
                <c:pt idx="23" formatCode="General">
                  <c:v>-28.39896987951807</c:v>
                </c:pt>
                <c:pt idx="24" formatCode="General">
                  <c:v>-28.502333333333333</c:v>
                </c:pt>
                <c:pt idx="25" formatCode="General">
                  <c:v>-28.635666666666665</c:v>
                </c:pt>
                <c:pt idx="26" formatCode="General">
                  <c:v>-28.781727272727274</c:v>
                </c:pt>
                <c:pt idx="27" formatCode="General">
                  <c:v>-28.93627272727273</c:v>
                </c:pt>
                <c:pt idx="28" formatCode="General">
                  <c:v>-29.102333333333334</c:v>
                </c:pt>
                <c:pt idx="29" formatCode="General">
                  <c:v>-29.267909090909093</c:v>
                </c:pt>
                <c:pt idx="30" formatCode="General">
                  <c:v>-29.430939393939394</c:v>
                </c:pt>
                <c:pt idx="31" formatCode="General">
                  <c:v>-29.598030120481926</c:v>
                </c:pt>
                <c:pt idx="32" formatCode="General">
                  <c:v>-29.767307228915662</c:v>
                </c:pt>
                <c:pt idx="33" formatCode="General">
                  <c:v>-29.930999999999997</c:v>
                </c:pt>
                <c:pt idx="34" formatCode="General">
                  <c:v>-30.094842424242422</c:v>
                </c:pt>
                <c:pt idx="35" formatCode="General">
                  <c:v>-30.259084848484846</c:v>
                </c:pt>
                <c:pt idx="36" formatCode="General">
                  <c:v>-30.422909090909091</c:v>
                </c:pt>
                <c:pt idx="37" formatCode="General">
                  <c:v>-30.586432677760968</c:v>
                </c:pt>
                <c:pt idx="38" formatCode="General">
                  <c:v>-30.747249621785173</c:v>
                </c:pt>
                <c:pt idx="39" formatCode="General">
                  <c:v>-30.908066565809378</c:v>
                </c:pt>
                <c:pt idx="40" formatCode="General">
                  <c:v>-31.068883509833583</c:v>
                </c:pt>
                <c:pt idx="41" formatCode="General">
                  <c:v>-31.229700453857792</c:v>
                </c:pt>
                <c:pt idx="42" formatCode="General">
                  <c:v>-31.390517397881997</c:v>
                </c:pt>
                <c:pt idx="43" formatCode="General">
                  <c:v>-31.551334341906202</c:v>
                </c:pt>
                <c:pt idx="44" formatCode="General">
                  <c:v>-31.709614220877459</c:v>
                </c:pt>
                <c:pt idx="45" formatCode="General">
                  <c:v>-31.864531013615736</c:v>
                </c:pt>
                <c:pt idx="46" formatCode="General">
                  <c:v>-32.019447806354009</c:v>
                </c:pt>
                <c:pt idx="47" formatCode="General">
                  <c:v>-32.174364599092286</c:v>
                </c:pt>
                <c:pt idx="48" formatCode="General">
                  <c:v>-32.329281391830563</c:v>
                </c:pt>
                <c:pt idx="49" formatCode="General">
                  <c:v>-32.484198184568839</c:v>
                </c:pt>
                <c:pt idx="50" formatCode="General">
                  <c:v>-32.639114977307116</c:v>
                </c:pt>
                <c:pt idx="51" formatCode="General">
                  <c:v>-32.792360606060612</c:v>
                </c:pt>
                <c:pt idx="52" formatCode="General">
                  <c:v>-32.945239393939396</c:v>
                </c:pt>
                <c:pt idx="53" formatCode="General">
                  <c:v>-33.098118181818187</c:v>
                </c:pt>
                <c:pt idx="54" formatCode="General">
                  <c:v>-33.25099696969697</c:v>
                </c:pt>
                <c:pt idx="55" formatCode="General">
                  <c:v>-33.403875757575761</c:v>
                </c:pt>
                <c:pt idx="56" formatCode="General">
                  <c:v>-33.556754545454545</c:v>
                </c:pt>
                <c:pt idx="57" formatCode="General">
                  <c:v>-33.709000000000003</c:v>
                </c:pt>
                <c:pt idx="58" formatCode="General">
                  <c:v>-33.859000000000002</c:v>
                </c:pt>
                <c:pt idx="59" formatCode="General">
                  <c:v>-34.008490909090909</c:v>
                </c:pt>
                <c:pt idx="60" formatCode="General">
                  <c:v>-34.157581818181818</c:v>
                </c:pt>
                <c:pt idx="61" formatCode="General">
                  <c:v>-34.304466666666663</c:v>
                </c:pt>
                <c:pt idx="62" formatCode="General">
                  <c:v>-34.450818181818178</c:v>
                </c:pt>
                <c:pt idx="63" formatCode="General">
                  <c:v>-34.596272727272726</c:v>
                </c:pt>
                <c:pt idx="64" formatCode="General">
                  <c:v>-34.737660606060608</c:v>
                </c:pt>
                <c:pt idx="65" formatCode="General">
                  <c:v>-34.876448484848481</c:v>
                </c:pt>
                <c:pt idx="66" formatCode="General">
                  <c:v>-35.019060240963853</c:v>
                </c:pt>
                <c:pt idx="67" formatCode="General">
                  <c:v>-35.162090909090907</c:v>
                </c:pt>
                <c:pt idx="68" formatCode="General">
                  <c:v>-35.305727272727275</c:v>
                </c:pt>
                <c:pt idx="69" formatCode="General">
                  <c:v>-35.445030303030308</c:v>
                </c:pt>
                <c:pt idx="70" formatCode="General">
                  <c:v>-35.582000000000001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4A52-48C1-879E-D295987745E2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-18.631089258698939</c:v>
                </c:pt>
                <c:pt idx="5" formatCode="General">
                  <c:v>-18.644704992435702</c:v>
                </c:pt>
                <c:pt idx="6" formatCode="General">
                  <c:v>-18.658320726172466</c:v>
                </c:pt>
                <c:pt idx="7" formatCode="General">
                  <c:v>-18.671936459909226</c:v>
                </c:pt>
                <c:pt idx="8" formatCode="General">
                  <c:v>-18.685552193645989</c:v>
                </c:pt>
                <c:pt idx="9" formatCode="General">
                  <c:v>-18.699167927382753</c:v>
                </c:pt>
                <c:pt idx="10" formatCode="General">
                  <c:v>-18.712783661119516</c:v>
                </c:pt>
                <c:pt idx="11" formatCode="General">
                  <c:v>-18.728545454545454</c:v>
                </c:pt>
                <c:pt idx="12" formatCode="General">
                  <c:v>-18.746727272727274</c:v>
                </c:pt>
                <c:pt idx="13" formatCode="General">
                  <c:v>-18.764909090909093</c:v>
                </c:pt>
                <c:pt idx="14" formatCode="General">
                  <c:v>-18.783072289156628</c:v>
                </c:pt>
                <c:pt idx="15" formatCode="General">
                  <c:v>-18.801144578313252</c:v>
                </c:pt>
                <c:pt idx="16" formatCode="General">
                  <c:v>-18.819272727272725</c:v>
                </c:pt>
                <c:pt idx="17" formatCode="General">
                  <c:v>-18.837454545454545</c:v>
                </c:pt>
                <c:pt idx="18" formatCode="General">
                  <c:v>-18.855636363636364</c:v>
                </c:pt>
                <c:pt idx="19" formatCode="General">
                  <c:v>-18.873818181818184</c:v>
                </c:pt>
                <c:pt idx="20" formatCode="General">
                  <c:v>-18.891999999999999</c:v>
                </c:pt>
                <c:pt idx="21" formatCode="General">
                  <c:v>-18.913575757575757</c:v>
                </c:pt>
                <c:pt idx="22" formatCode="General">
                  <c:v>-18.937818181818184</c:v>
                </c:pt>
                <c:pt idx="23" formatCode="General">
                  <c:v>-18.95644578313253</c:v>
                </c:pt>
                <c:pt idx="24" formatCode="General">
                  <c:v>-18.976060606060607</c:v>
                </c:pt>
                <c:pt idx="25" formatCode="General">
                  <c:v>-19.00030303030303</c:v>
                </c:pt>
                <c:pt idx="26" formatCode="General">
                  <c:v>-19.020909090909093</c:v>
                </c:pt>
                <c:pt idx="27" formatCode="General">
                  <c:v>-19.039090909090909</c:v>
                </c:pt>
                <c:pt idx="28" formatCode="General">
                  <c:v>-19.057272727272728</c:v>
                </c:pt>
                <c:pt idx="29" formatCode="General">
                  <c:v>-19.077272727272728</c:v>
                </c:pt>
                <c:pt idx="30" formatCode="General">
                  <c:v>-19.101515151515152</c:v>
                </c:pt>
                <c:pt idx="31" formatCode="General">
                  <c:v>-19.121746987951806</c:v>
                </c:pt>
                <c:pt idx="32" formatCode="General">
                  <c:v>-19.139819277108433</c:v>
                </c:pt>
                <c:pt idx="33" formatCode="General">
                  <c:v>-19.164000000000001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-19.388456883509832</c:v>
                </c:pt>
                <c:pt idx="45" formatCode="General">
                  <c:v>-19.408124054462935</c:v>
                </c:pt>
                <c:pt idx="46" formatCode="General">
                  <c:v>-19.427791225416037</c:v>
                </c:pt>
                <c:pt idx="47" formatCode="General">
                  <c:v>-19.447458396369139</c:v>
                </c:pt>
                <c:pt idx="48" formatCode="General">
                  <c:v>-19.467125567322238</c:v>
                </c:pt>
                <c:pt idx="49" formatCode="General">
                  <c:v>-19.486792738275341</c:v>
                </c:pt>
                <c:pt idx="50" formatCode="General">
                  <c:v>-19.506459909228443</c:v>
                </c:pt>
                <c:pt idx="51" formatCode="General">
                  <c:v>-19.526151515151518</c:v>
                </c:pt>
                <c:pt idx="52" formatCode="General">
                  <c:v>-19.545848484848488</c:v>
                </c:pt>
                <c:pt idx="53" formatCode="General">
                  <c:v>-19.565545454545457</c:v>
                </c:pt>
                <c:pt idx="54" formatCode="General">
                  <c:v>-19.585242424242427</c:v>
                </c:pt>
                <c:pt idx="55" formatCode="General">
                  <c:v>-19.604939393939397</c:v>
                </c:pt>
                <c:pt idx="56" formatCode="General">
                  <c:v>-19.624636363636366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4A52-48C1-879E-D295987745E2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  <c:pt idx="0">
                  <c:v>(DGeSe2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-59.936787878787875</c:v>
                </c:pt>
                <c:pt idx="1">
                  <c:v>-58.610121212121214</c:v>
                </c:pt>
                <c:pt idx="2" formatCode="General">
                  <c:v>-57.452545454545458</c:v>
                </c:pt>
                <c:pt idx="3" formatCode="General">
                  <c:v>-56.494060606060607</c:v>
                </c:pt>
                <c:pt idx="4" formatCode="General">
                  <c:v>-55.64032677760968</c:v>
                </c:pt>
                <c:pt idx="5" formatCode="General">
                  <c:v>-55.144411497730708</c:v>
                </c:pt>
                <c:pt idx="6" formatCode="General">
                  <c:v>-54.648496217851736</c:v>
                </c:pt>
                <c:pt idx="7" formatCode="General">
                  <c:v>-54.152580937972772</c:v>
                </c:pt>
                <c:pt idx="8" formatCode="General">
                  <c:v>-53.6566656580938</c:v>
                </c:pt>
                <c:pt idx="9" formatCode="General">
                  <c:v>-53.160750378214829</c:v>
                </c:pt>
                <c:pt idx="10" formatCode="General">
                  <c:v>-52.664835098335857</c:v>
                </c:pt>
                <c:pt idx="11" formatCode="General">
                  <c:v>-52.264418181818179</c:v>
                </c:pt>
                <c:pt idx="12" formatCode="General">
                  <c:v>-51.97169090909091</c:v>
                </c:pt>
                <c:pt idx="13" formatCode="General">
                  <c:v>-51.718224242424242</c:v>
                </c:pt>
                <c:pt idx="14" formatCode="General">
                  <c:v>-51.482433734939761</c:v>
                </c:pt>
                <c:pt idx="15" formatCode="General">
                  <c:v>-51.290867469879522</c:v>
                </c:pt>
                <c:pt idx="16" formatCode="General">
                  <c:v>-51.128690909090913</c:v>
                </c:pt>
                <c:pt idx="17" formatCode="General">
                  <c:v>-50.994751515151513</c:v>
                </c:pt>
                <c:pt idx="18" formatCode="General">
                  <c:v>-50.938993939393939</c:v>
                </c:pt>
                <c:pt idx="19" formatCode="General">
                  <c:v>-50.917472727272731</c:v>
                </c:pt>
                <c:pt idx="20" formatCode="General">
                  <c:v>-50.976866666666666</c:v>
                </c:pt>
                <c:pt idx="21" formatCode="General">
                  <c:v>-51.091581818181815</c:v>
                </c:pt>
                <c:pt idx="22" formatCode="General">
                  <c:v>-51.249763636363632</c:v>
                </c:pt>
                <c:pt idx="23" formatCode="General">
                  <c:v>-51.458608433734938</c:v>
                </c:pt>
                <c:pt idx="24" formatCode="General">
                  <c:v>-51.68566666666667</c:v>
                </c:pt>
                <c:pt idx="25" formatCode="General">
                  <c:v>-51.952333333333335</c:v>
                </c:pt>
                <c:pt idx="26" formatCode="General">
                  <c:v>-52.235363636363644</c:v>
                </c:pt>
                <c:pt idx="27" formatCode="General">
                  <c:v>-52.529303030303033</c:v>
                </c:pt>
                <c:pt idx="28" formatCode="General">
                  <c:v>-52.840515151515149</c:v>
                </c:pt>
                <c:pt idx="29" formatCode="General">
                  <c:v>-53.149727272727269</c:v>
                </c:pt>
                <c:pt idx="30" formatCode="General">
                  <c:v>-53.452151515151513</c:v>
                </c:pt>
                <c:pt idx="31" formatCode="General">
                  <c:v>-53.76200602409638</c:v>
                </c:pt>
                <c:pt idx="32" formatCode="General">
                  <c:v>-54.075861445783126</c:v>
                </c:pt>
                <c:pt idx="33" formatCode="General">
                  <c:v>-54.378999999999998</c:v>
                </c:pt>
                <c:pt idx="34" formatCode="General">
                  <c:v>-54.682236363636363</c:v>
                </c:pt>
                <c:pt idx="35" formatCode="General">
                  <c:v>-54.985872727272728</c:v>
                </c:pt>
                <c:pt idx="36" formatCode="General">
                  <c:v>-55.289090909090909</c:v>
                </c:pt>
                <c:pt idx="37" formatCode="General">
                  <c:v>-55.591878971255667</c:v>
                </c:pt>
                <c:pt idx="38" formatCode="General">
                  <c:v>-55.8888532526475</c:v>
                </c:pt>
                <c:pt idx="39" formatCode="General">
                  <c:v>-56.185827534039333</c:v>
                </c:pt>
                <c:pt idx="40" formatCode="General">
                  <c:v>-56.482801815431159</c:v>
                </c:pt>
                <c:pt idx="41" formatCode="General">
                  <c:v>-56.779776096822992</c:v>
                </c:pt>
                <c:pt idx="42" formatCode="General">
                  <c:v>-57.076750378214825</c:v>
                </c:pt>
                <c:pt idx="43" formatCode="General">
                  <c:v>-57.373724659606651</c:v>
                </c:pt>
                <c:pt idx="44" formatCode="General">
                  <c:v>-57.664909228441751</c:v>
                </c:pt>
                <c:pt idx="45" formatCode="General">
                  <c:v>-57.948419062027227</c:v>
                </c:pt>
                <c:pt idx="46" formatCode="General">
                  <c:v>-58.231928895612711</c:v>
                </c:pt>
                <c:pt idx="47" formatCode="General">
                  <c:v>-58.515438729198188</c:v>
                </c:pt>
                <c:pt idx="48" formatCode="General">
                  <c:v>-58.798948562783664</c:v>
                </c:pt>
                <c:pt idx="49" formatCode="General">
                  <c:v>-59.082458396369141</c:v>
                </c:pt>
                <c:pt idx="50" formatCode="General">
                  <c:v>-59.365968229954618</c:v>
                </c:pt>
                <c:pt idx="51" formatCode="General">
                  <c:v>-59.641754545454546</c:v>
                </c:pt>
                <c:pt idx="52" formatCode="General">
                  <c:v>-59.915845454545455</c:v>
                </c:pt>
                <c:pt idx="53" formatCode="General">
                  <c:v>-60.189936363636363</c:v>
                </c:pt>
                <c:pt idx="54" formatCode="General">
                  <c:v>-60.464027272727272</c:v>
                </c:pt>
                <c:pt idx="55" formatCode="General">
                  <c:v>-60.73811818181818</c:v>
                </c:pt>
                <c:pt idx="56" formatCode="General">
                  <c:v>-61.012209090909089</c:v>
                </c:pt>
                <c:pt idx="57" formatCode="General">
                  <c:v>-61.285506024096385</c:v>
                </c:pt>
                <c:pt idx="58" formatCode="General">
                  <c:v>-61.555987951807225</c:v>
                </c:pt>
                <c:pt idx="59" formatCode="General">
                  <c:v>-61.826369696969692</c:v>
                </c:pt>
                <c:pt idx="60" formatCode="General">
                  <c:v>-62.096672727272725</c:v>
                </c:pt>
                <c:pt idx="61" formatCode="General">
                  <c:v>-62.364769696969695</c:v>
                </c:pt>
                <c:pt idx="62" formatCode="General">
                  <c:v>-62.632333333333328</c:v>
                </c:pt>
                <c:pt idx="63" formatCode="General">
                  <c:v>-62.899000000000001</c:v>
                </c:pt>
                <c:pt idx="64" formatCode="General">
                  <c:v>-63.157903030303032</c:v>
                </c:pt>
                <c:pt idx="65" formatCode="General">
                  <c:v>-63.411842424242423</c:v>
                </c:pt>
                <c:pt idx="66" formatCode="General">
                  <c:v>-63.674722891566262</c:v>
                </c:pt>
                <c:pt idx="67" formatCode="General">
                  <c:v>-63.93845454545454</c:v>
                </c:pt>
                <c:pt idx="68" formatCode="General">
                  <c:v>-64.203303030303033</c:v>
                </c:pt>
                <c:pt idx="69" formatCode="General">
                  <c:v>-64.459878787878793</c:v>
                </c:pt>
                <c:pt idx="70" formatCode="General">
                  <c:v>-64.712000000000003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4A52-48C1-879E-D295987745E2}"/>
            </c:ext>
          </c:extLst>
        </c:ser>
        <c:ser>
          <c:idx val="34"/>
          <c:order val="36"/>
          <c:tx>
            <c:strRef>
              <c:f>'Gibbs-EVAL'!$A$137</c:f>
              <c:strCache>
                <c:ptCount val="1"/>
                <c:pt idx="0">
                  <c:v>(DGeSe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'Gibbs-EVAL'!$B$137:$BT$137</c:f>
              <c:numCache>
                <c:formatCode>0</c:formatCode>
                <c:ptCount val="71"/>
                <c:pt idx="0">
                  <c:v>-37.871212121212125</c:v>
                </c:pt>
                <c:pt idx="1">
                  <c:v>-36.936060606060607</c:v>
                </c:pt>
                <c:pt idx="2" formatCode="General">
                  <c:v>-36.057272727272725</c:v>
                </c:pt>
                <c:pt idx="3" formatCode="General">
                  <c:v>-35.249272727272725</c:v>
                </c:pt>
                <c:pt idx="4" formatCode="General">
                  <c:v>-34.48330711043873</c:v>
                </c:pt>
                <c:pt idx="5" formatCode="General">
                  <c:v>-33.899645990922842</c:v>
                </c:pt>
                <c:pt idx="6" formatCode="General">
                  <c:v>-33.315984871406961</c:v>
                </c:pt>
                <c:pt idx="7" formatCode="General">
                  <c:v>-32.732323751891073</c:v>
                </c:pt>
                <c:pt idx="8" formatCode="General">
                  <c:v>-32.148662632375192</c:v>
                </c:pt>
                <c:pt idx="9" formatCode="General">
                  <c:v>-31.565001512859304</c:v>
                </c:pt>
                <c:pt idx="10" formatCode="General">
                  <c:v>-30.981340393343419</c:v>
                </c:pt>
                <c:pt idx="11" formatCode="General">
                  <c:v>-30.471751515151517</c:v>
                </c:pt>
                <c:pt idx="12" formatCode="General">
                  <c:v>-30.045690909090911</c:v>
                </c:pt>
                <c:pt idx="13" formatCode="General">
                  <c:v>-29.668830303030305</c:v>
                </c:pt>
                <c:pt idx="14" formatCode="General">
                  <c:v>-29.315024096385542</c:v>
                </c:pt>
                <c:pt idx="15" formatCode="General">
                  <c:v>-29.021048192771087</c:v>
                </c:pt>
                <c:pt idx="16" formatCode="General">
                  <c:v>-28.765418181818184</c:v>
                </c:pt>
                <c:pt idx="17" formatCode="General">
                  <c:v>-28.546630303030305</c:v>
                </c:pt>
                <c:pt idx="18" formatCode="General">
                  <c:v>-28.406024242424245</c:v>
                </c:pt>
                <c:pt idx="19" formatCode="General">
                  <c:v>-28.297109090909093</c:v>
                </c:pt>
                <c:pt idx="20" formatCode="General">
                  <c:v>-28.259533333333334</c:v>
                </c:pt>
                <c:pt idx="21" formatCode="General">
                  <c:v>-28.267096969696972</c:v>
                </c:pt>
                <c:pt idx="22" formatCode="General">
                  <c:v>-28.310127272727271</c:v>
                </c:pt>
                <c:pt idx="23" formatCode="General">
                  <c:v>-28.39896987951807</c:v>
                </c:pt>
                <c:pt idx="24" formatCode="General">
                  <c:v>-28.502333333333333</c:v>
                </c:pt>
                <c:pt idx="25" formatCode="General">
                  <c:v>-28.635666666666665</c:v>
                </c:pt>
                <c:pt idx="26" formatCode="General">
                  <c:v>-28.781727272727274</c:v>
                </c:pt>
                <c:pt idx="27" formatCode="General">
                  <c:v>-28.93627272727273</c:v>
                </c:pt>
                <c:pt idx="28" formatCode="General">
                  <c:v>-29.102333333333334</c:v>
                </c:pt>
                <c:pt idx="29" formatCode="General">
                  <c:v>-29.267909090909093</c:v>
                </c:pt>
                <c:pt idx="30" formatCode="General">
                  <c:v>-29.430939393939394</c:v>
                </c:pt>
                <c:pt idx="31" formatCode="General">
                  <c:v>-29.598030120481926</c:v>
                </c:pt>
                <c:pt idx="32" formatCode="General">
                  <c:v>-29.767307228915662</c:v>
                </c:pt>
                <c:pt idx="33" formatCode="General">
                  <c:v>-29.930999999999997</c:v>
                </c:pt>
                <c:pt idx="34" formatCode="General">
                  <c:v>-30.094842424242422</c:v>
                </c:pt>
                <c:pt idx="35" formatCode="General">
                  <c:v>-30.259084848484846</c:v>
                </c:pt>
                <c:pt idx="36" formatCode="General">
                  <c:v>-30.422909090909091</c:v>
                </c:pt>
                <c:pt idx="37" formatCode="General">
                  <c:v>-30.586432677760968</c:v>
                </c:pt>
                <c:pt idx="38" formatCode="General">
                  <c:v>-30.747249621785173</c:v>
                </c:pt>
                <c:pt idx="39" formatCode="General">
                  <c:v>-30.908066565809378</c:v>
                </c:pt>
                <c:pt idx="40" formatCode="General">
                  <c:v>-31.068883509833583</c:v>
                </c:pt>
                <c:pt idx="41" formatCode="General">
                  <c:v>-31.229700453857792</c:v>
                </c:pt>
                <c:pt idx="42" formatCode="General">
                  <c:v>-31.390517397881997</c:v>
                </c:pt>
                <c:pt idx="43" formatCode="General">
                  <c:v>-31.551334341906202</c:v>
                </c:pt>
                <c:pt idx="44" formatCode="General">
                  <c:v>-31.709614220877459</c:v>
                </c:pt>
                <c:pt idx="45" formatCode="General">
                  <c:v>-31.864531013615736</c:v>
                </c:pt>
                <c:pt idx="46" formatCode="General">
                  <c:v>-32.019447806354009</c:v>
                </c:pt>
                <c:pt idx="47" formatCode="General">
                  <c:v>-32.174364599092286</c:v>
                </c:pt>
                <c:pt idx="48" formatCode="General">
                  <c:v>-32.329281391830563</c:v>
                </c:pt>
                <c:pt idx="49" formatCode="General">
                  <c:v>-32.484198184568839</c:v>
                </c:pt>
                <c:pt idx="50" formatCode="General">
                  <c:v>-32.639114977307116</c:v>
                </c:pt>
                <c:pt idx="51" formatCode="General">
                  <c:v>-32.792360606060612</c:v>
                </c:pt>
                <c:pt idx="52" formatCode="General">
                  <c:v>-32.945239393939396</c:v>
                </c:pt>
                <c:pt idx="53" formatCode="General">
                  <c:v>-33.098118181818187</c:v>
                </c:pt>
                <c:pt idx="54" formatCode="General">
                  <c:v>-33.25099696969697</c:v>
                </c:pt>
                <c:pt idx="55" formatCode="General">
                  <c:v>-33.403875757575761</c:v>
                </c:pt>
                <c:pt idx="56" formatCode="General">
                  <c:v>-33.556754545454545</c:v>
                </c:pt>
                <c:pt idx="57" formatCode="General">
                  <c:v>-33.709000000000003</c:v>
                </c:pt>
                <c:pt idx="58" formatCode="General">
                  <c:v>-33.859000000000002</c:v>
                </c:pt>
                <c:pt idx="59" formatCode="General">
                  <c:v>-34.008490909090909</c:v>
                </c:pt>
                <c:pt idx="60" formatCode="General">
                  <c:v>-34.157581818181818</c:v>
                </c:pt>
                <c:pt idx="61" formatCode="General">
                  <c:v>-34.304466666666663</c:v>
                </c:pt>
                <c:pt idx="62" formatCode="General">
                  <c:v>-34.450818181818178</c:v>
                </c:pt>
                <c:pt idx="63" formatCode="General">
                  <c:v>-34.596272727272726</c:v>
                </c:pt>
                <c:pt idx="64" formatCode="General">
                  <c:v>-34.737660606060608</c:v>
                </c:pt>
                <c:pt idx="65" formatCode="General">
                  <c:v>-34.876448484848481</c:v>
                </c:pt>
                <c:pt idx="66" formatCode="General">
                  <c:v>-35.019060240963853</c:v>
                </c:pt>
                <c:pt idx="67" formatCode="General">
                  <c:v>-35.162090909090907</c:v>
                </c:pt>
                <c:pt idx="68" formatCode="General">
                  <c:v>-35.305727272727275</c:v>
                </c:pt>
                <c:pt idx="69" formatCode="General">
                  <c:v>-35.445030303030308</c:v>
                </c:pt>
                <c:pt idx="70" formatCode="General">
                  <c:v>-35.582000000000001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4A52-48C1-879E-D295987745E2}"/>
            </c:ext>
          </c:extLst>
        </c:ser>
        <c:ser>
          <c:idx val="35"/>
          <c:order val="37"/>
          <c:tx>
            <c:strRef>
              <c:f>'Gibbs-EVAL'!$A$138</c:f>
              <c:strCache>
                <c:ptCount val="1"/>
                <c:pt idx="0">
                  <c:v>(DGa2Sej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-143.53575757575757</c:v>
                </c:pt>
                <c:pt idx="1">
                  <c:v>-139.02181818181819</c:v>
                </c:pt>
                <c:pt idx="2" formatCode="General">
                  <c:v>-134.65818181818182</c:v>
                </c:pt>
                <c:pt idx="3" formatCode="General">
                  <c:v>-130.42284848484846</c:v>
                </c:pt>
                <c:pt idx="4" formatCode="General">
                  <c:v>-126.27735249621784</c:v>
                </c:pt>
                <c:pt idx="5" formatCode="General">
                  <c:v>-122.619258698941</c:v>
                </c:pt>
                <c:pt idx="6" formatCode="General">
                  <c:v>-118.96116490166413</c:v>
                </c:pt>
                <c:pt idx="7" formatCode="General">
                  <c:v>-115.30307110438729</c:v>
                </c:pt>
                <c:pt idx="8" formatCode="General">
                  <c:v>-111.64497730711044</c:v>
                </c:pt>
                <c:pt idx="9" formatCode="General">
                  <c:v>-107.98688350983359</c:v>
                </c:pt>
                <c:pt idx="10" formatCode="General">
                  <c:v>-104.32878971255674</c:v>
                </c:pt>
                <c:pt idx="11" formatCode="General">
                  <c:v>-100.97145454545455</c:v>
                </c:pt>
                <c:pt idx="12" formatCode="General">
                  <c:v>-97.953272727272733</c:v>
                </c:pt>
                <c:pt idx="13" formatCode="General">
                  <c:v>-95.1338787878788</c:v>
                </c:pt>
                <c:pt idx="14" formatCode="General">
                  <c:v>-92.402951807228931</c:v>
                </c:pt>
                <c:pt idx="15" formatCode="General">
                  <c:v>-89.890903614457827</c:v>
                </c:pt>
                <c:pt idx="16" formatCode="General">
                  <c:v>-87.485454545454544</c:v>
                </c:pt>
                <c:pt idx="17" formatCode="General">
                  <c:v>-85.182424242424233</c:v>
                </c:pt>
                <c:pt idx="18" formatCode="General">
                  <c:v>-83.046181818181807</c:v>
                </c:pt>
                <c:pt idx="19" formatCode="General">
                  <c:v>-80.967636363636359</c:v>
                </c:pt>
                <c:pt idx="20" formatCode="General">
                  <c:v>-79.003999999999991</c:v>
                </c:pt>
                <c:pt idx="21" formatCode="General">
                  <c:v>-77.111636363636364</c:v>
                </c:pt>
                <c:pt idx="22" formatCode="General">
                  <c:v>-75.275272727272721</c:v>
                </c:pt>
                <c:pt idx="23" formatCode="General">
                  <c:v>-73.564096385542157</c:v>
                </c:pt>
                <c:pt idx="24" formatCode="General">
                  <c:v>-71.893030303030301</c:v>
                </c:pt>
                <c:pt idx="25" formatCode="General">
                  <c:v>-70.305151515151508</c:v>
                </c:pt>
                <c:pt idx="26" formatCode="General">
                  <c:v>-68.800909090909087</c:v>
                </c:pt>
                <c:pt idx="27" formatCode="General">
                  <c:v>-67.352424242424249</c:v>
                </c:pt>
                <c:pt idx="28" formatCode="General">
                  <c:v>-66.036363636363646</c:v>
                </c:pt>
                <c:pt idx="29" formatCode="General">
                  <c:v>-64.758181818181825</c:v>
                </c:pt>
                <c:pt idx="30" formatCode="General">
                  <c:v>-63.552121212121214</c:v>
                </c:pt>
                <c:pt idx="31" formatCode="General">
                  <c:v>-62.417349397590364</c:v>
                </c:pt>
                <c:pt idx="32" formatCode="General">
                  <c:v>-61.320963855421688</c:v>
                </c:pt>
                <c:pt idx="33" formatCode="General">
                  <c:v>-60.284000000000006</c:v>
                </c:pt>
                <c:pt idx="34" formatCode="General">
                  <c:v>-59.272363636363643</c:v>
                </c:pt>
                <c:pt idx="35" formatCode="General">
                  <c:v>-58.308727272727282</c:v>
                </c:pt>
                <c:pt idx="36" formatCode="General">
                  <c:v>-57.370181818181827</c:v>
                </c:pt>
                <c:pt idx="37" formatCode="General">
                  <c:v>-56.447685325264757</c:v>
                </c:pt>
                <c:pt idx="38" formatCode="General">
                  <c:v>-55.639818456883518</c:v>
                </c:pt>
                <c:pt idx="39" formatCode="General">
                  <c:v>-54.831951588502278</c:v>
                </c:pt>
                <c:pt idx="40" formatCode="General">
                  <c:v>-54.024084720121031</c:v>
                </c:pt>
                <c:pt idx="41" formatCode="General">
                  <c:v>-53.216217851739792</c:v>
                </c:pt>
                <c:pt idx="42" formatCode="General">
                  <c:v>-52.408350983358552</c:v>
                </c:pt>
                <c:pt idx="43" formatCode="General">
                  <c:v>-51.600484114977313</c:v>
                </c:pt>
                <c:pt idx="44" formatCode="General">
                  <c:v>-50.870030257186087</c:v>
                </c:pt>
                <c:pt idx="45" formatCode="General">
                  <c:v>-50.242193645990923</c:v>
                </c:pt>
                <c:pt idx="46" formatCode="General">
                  <c:v>-49.614357034795766</c:v>
                </c:pt>
                <c:pt idx="47" formatCode="General">
                  <c:v>-48.986520423600602</c:v>
                </c:pt>
                <c:pt idx="48" formatCode="General">
                  <c:v>-48.358683812405445</c:v>
                </c:pt>
                <c:pt idx="49" formatCode="General">
                  <c:v>-47.730847201210281</c:v>
                </c:pt>
                <c:pt idx="50" formatCode="General">
                  <c:v>-47.103010590015124</c:v>
                </c:pt>
                <c:pt idx="51" formatCode="General">
                  <c:v>-46.776054545454542</c:v>
                </c:pt>
                <c:pt idx="52" formatCode="General">
                  <c:v>-46.515145454545447</c:v>
                </c:pt>
                <c:pt idx="53" formatCode="General">
                  <c:v>-46.254236363636359</c:v>
                </c:pt>
                <c:pt idx="54" formatCode="General">
                  <c:v>-45.993327272727271</c:v>
                </c:pt>
                <c:pt idx="55" formatCode="General">
                  <c:v>-45.732418181818183</c:v>
                </c:pt>
                <c:pt idx="56" formatCode="General">
                  <c:v>-45.471509090909088</c:v>
                </c:pt>
                <c:pt idx="57" formatCode="General">
                  <c:v>-45.268265060240964</c:v>
                </c:pt>
                <c:pt idx="58" formatCode="General">
                  <c:v>-45.26946987951807</c:v>
                </c:pt>
                <c:pt idx="59" formatCode="General">
                  <c:v>-45.306654545454542</c:v>
                </c:pt>
                <c:pt idx="60" formatCode="General">
                  <c:v>-45.372109090909092</c:v>
                </c:pt>
                <c:pt idx="61" formatCode="General">
                  <c:v>-45.473963636363635</c:v>
                </c:pt>
                <c:pt idx="62" formatCode="General">
                  <c:v>-45.585721212121214</c:v>
                </c:pt>
                <c:pt idx="63" formatCode="General">
                  <c:v>-45.715418181818187</c:v>
                </c:pt>
                <c:pt idx="64" formatCode="General">
                  <c:v>-45.851030303030306</c:v>
                </c:pt>
                <c:pt idx="65" formatCode="General">
                  <c:v>-45.99042424242424</c:v>
                </c:pt>
                <c:pt idx="66" formatCode="General">
                  <c:v>-46.141734939759033</c:v>
                </c:pt>
                <c:pt idx="67" formatCode="General">
                  <c:v>-46.295636363636362</c:v>
                </c:pt>
                <c:pt idx="68" formatCode="General">
                  <c:v>-46.454424242424246</c:v>
                </c:pt>
                <c:pt idx="69" formatCode="General">
                  <c:v>-46.610848484848489</c:v>
                </c:pt>
                <c:pt idx="70" formatCode="General">
                  <c:v>-46.765999999999998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4A52-48C1-879E-D295987745E2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  <c:pt idx="0">
                  <c:v>(DGaSe</c:v>
                </c:pt>
              </c:strCache>
            </c:strRef>
          </c:tx>
          <c:spPr>
            <a:ln>
              <a:solidFill>
                <a:srgbClr val="7030A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-82.800666666666672</c:v>
                </c:pt>
                <c:pt idx="1">
                  <c:v>-80.347939393939399</c:v>
                </c:pt>
                <c:pt idx="2" formatCode="General">
                  <c:v>-78.026727272727271</c:v>
                </c:pt>
                <c:pt idx="3" formatCode="General">
                  <c:v>-75.833818181818188</c:v>
                </c:pt>
                <c:pt idx="4" formatCode="General">
                  <c:v>-73.717186081694393</c:v>
                </c:pt>
                <c:pt idx="5" formatCode="General">
                  <c:v>-71.932012102874438</c:v>
                </c:pt>
                <c:pt idx="6" formatCode="General">
                  <c:v>-70.146838124054469</c:v>
                </c:pt>
                <c:pt idx="7" formatCode="General">
                  <c:v>-68.361664145234499</c:v>
                </c:pt>
                <c:pt idx="8" formatCode="General">
                  <c:v>-66.57649016641453</c:v>
                </c:pt>
                <c:pt idx="9" formatCode="General">
                  <c:v>-64.79131618759456</c:v>
                </c:pt>
                <c:pt idx="10" formatCode="General">
                  <c:v>-63.006142208774591</c:v>
                </c:pt>
                <c:pt idx="11" formatCode="General">
                  <c:v>-61.382060606060605</c:v>
                </c:pt>
                <c:pt idx="12" formatCode="General">
                  <c:v>-59.93963636363636</c:v>
                </c:pt>
                <c:pt idx="13" formatCode="General">
                  <c:v>-58.591636363636361</c:v>
                </c:pt>
                <c:pt idx="14" formatCode="General">
                  <c:v>-57.285180722891567</c:v>
                </c:pt>
                <c:pt idx="15" formatCode="General">
                  <c:v>-56.080361445783133</c:v>
                </c:pt>
                <c:pt idx="16" formatCode="General">
                  <c:v>-54.924363636363637</c:v>
                </c:pt>
                <c:pt idx="17" formatCode="General">
                  <c:v>-53.81527272727272</c:v>
                </c:pt>
                <c:pt idx="18" formatCode="General">
                  <c:v>-52.789575757575754</c:v>
                </c:pt>
                <c:pt idx="19" formatCode="General">
                  <c:v>-51.793999999999997</c:v>
                </c:pt>
                <c:pt idx="20" formatCode="General">
                  <c:v>-50.860666666666667</c:v>
                </c:pt>
                <c:pt idx="21" formatCode="General">
                  <c:v>-49.968060606060604</c:v>
                </c:pt>
                <c:pt idx="22" formatCode="General">
                  <c:v>-49.107454545454544</c:v>
                </c:pt>
                <c:pt idx="23" formatCode="General">
                  <c:v>-48.311867469879516</c:v>
                </c:pt>
                <c:pt idx="24" formatCode="General">
                  <c:v>-47.538181818181819</c:v>
                </c:pt>
                <c:pt idx="25" formatCode="General">
                  <c:v>-46.810909090909085</c:v>
                </c:pt>
                <c:pt idx="26" formatCode="General">
                  <c:v>-46.127272727272725</c:v>
                </c:pt>
                <c:pt idx="27" formatCode="General">
                  <c:v>-45.472727272727269</c:v>
                </c:pt>
                <c:pt idx="28" formatCode="General">
                  <c:v>-44.88727272727273</c:v>
                </c:pt>
                <c:pt idx="29" formatCode="General">
                  <c:v>-44.32</c:v>
                </c:pt>
                <c:pt idx="30" formatCode="General">
                  <c:v>-43.786666666666669</c:v>
                </c:pt>
                <c:pt idx="31" formatCode="General">
                  <c:v>-43.290662650602414</c:v>
                </c:pt>
                <c:pt idx="32" formatCode="General">
                  <c:v>-42.814759036144579</c:v>
                </c:pt>
                <c:pt idx="33" formatCode="General">
                  <c:v>-42.366</c:v>
                </c:pt>
                <c:pt idx="34" formatCode="General">
                  <c:v>-41.929878787878792</c:v>
                </c:pt>
                <c:pt idx="35" formatCode="General">
                  <c:v>-41.517757575757578</c:v>
                </c:pt>
                <c:pt idx="36" formatCode="General">
                  <c:v>-41.118181818181817</c:v>
                </c:pt>
                <c:pt idx="37" formatCode="General">
                  <c:v>-40.726565809379728</c:v>
                </c:pt>
                <c:pt idx="38" formatCode="General">
                  <c:v>-40.390711043872919</c:v>
                </c:pt>
                <c:pt idx="39" formatCode="General">
                  <c:v>-40.05485627836611</c:v>
                </c:pt>
                <c:pt idx="40" formatCode="General">
                  <c:v>-39.719001512859307</c:v>
                </c:pt>
                <c:pt idx="41" formatCode="General">
                  <c:v>-39.383146747352498</c:v>
                </c:pt>
                <c:pt idx="42" formatCode="General">
                  <c:v>-39.047291981845689</c:v>
                </c:pt>
                <c:pt idx="43" formatCode="General">
                  <c:v>-38.711437216338879</c:v>
                </c:pt>
                <c:pt idx="44" formatCode="General">
                  <c:v>-38.412662632375188</c:v>
                </c:pt>
                <c:pt idx="45" formatCode="General">
                  <c:v>-38.163040847201209</c:v>
                </c:pt>
                <c:pt idx="46" formatCode="General">
                  <c:v>-37.913419062027231</c:v>
                </c:pt>
                <c:pt idx="47" formatCode="General">
                  <c:v>-37.663797276853252</c:v>
                </c:pt>
                <c:pt idx="48" formatCode="General">
                  <c:v>-37.414175491679273</c:v>
                </c:pt>
                <c:pt idx="49" formatCode="General">
                  <c:v>-37.164553706505295</c:v>
                </c:pt>
                <c:pt idx="50" formatCode="General">
                  <c:v>-36.914931921331309</c:v>
                </c:pt>
                <c:pt idx="51" formatCode="General">
                  <c:v>-36.812724242424238</c:v>
                </c:pt>
                <c:pt idx="52" formatCode="General">
                  <c:v>-36.742875757575753</c:v>
                </c:pt>
                <c:pt idx="53" formatCode="General">
                  <c:v>-36.673027272727268</c:v>
                </c:pt>
                <c:pt idx="54" formatCode="General">
                  <c:v>-36.603178787878782</c:v>
                </c:pt>
                <c:pt idx="55" formatCode="General">
                  <c:v>-36.533330303030304</c:v>
                </c:pt>
                <c:pt idx="56" formatCode="General">
                  <c:v>-36.463481818181819</c:v>
                </c:pt>
                <c:pt idx="57" formatCode="General">
                  <c:v>-36.422385542168676</c:v>
                </c:pt>
                <c:pt idx="58" formatCode="General">
                  <c:v>-36.48322891566265</c:v>
                </c:pt>
                <c:pt idx="59" formatCode="General">
                  <c:v>-36.562266666666666</c:v>
                </c:pt>
                <c:pt idx="60" formatCode="General">
                  <c:v>-36.6556</c:v>
                </c:pt>
                <c:pt idx="61" formatCode="General">
                  <c:v>-36.767133333333334</c:v>
                </c:pt>
                <c:pt idx="62" formatCode="General">
                  <c:v>-36.883618181818179</c:v>
                </c:pt>
                <c:pt idx="63" formatCode="General">
                  <c:v>-37.009072727272731</c:v>
                </c:pt>
                <c:pt idx="64" formatCode="General">
                  <c:v>-37.135636363636365</c:v>
                </c:pt>
                <c:pt idx="65" formatCode="General">
                  <c:v>-37.262909090909091</c:v>
                </c:pt>
                <c:pt idx="66" formatCode="General">
                  <c:v>-37.398698795180721</c:v>
                </c:pt>
                <c:pt idx="67" formatCode="General">
                  <c:v>-37.536000000000001</c:v>
                </c:pt>
                <c:pt idx="68" formatCode="General">
                  <c:v>-37.676000000000002</c:v>
                </c:pt>
                <c:pt idx="69" formatCode="General">
                  <c:v>-37.812848484848487</c:v>
                </c:pt>
                <c:pt idx="70" formatCode="General">
                  <c:v>-37.948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4A52-48C1-879E-D295987745E2}"/>
            </c:ext>
          </c:extLst>
        </c:ser>
        <c:ser>
          <c:idx val="37"/>
          <c:order val="39"/>
          <c:tx>
            <c:strRef>
              <c:f>'Gibbs-EVAL'!$A$140</c:f>
              <c:strCache>
                <c:ptCount val="1"/>
                <c:pt idx="0">
                  <c:v>(DGe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'Gibbs-EVAL'!$B$140:$BT$140</c:f>
              <c:numCache>
                <c:formatCode>0</c:formatCode>
                <c:ptCount val="71"/>
                <c:pt idx="0">
                  <c:v>-15.805636363636363</c:v>
                </c:pt>
                <c:pt idx="1">
                  <c:v>-15.261999999999999</c:v>
                </c:pt>
                <c:pt idx="2" formatCode="General">
                  <c:v>-14.661999999999999</c:v>
                </c:pt>
                <c:pt idx="3" formatCode="General">
                  <c:v>-14.004484848484848</c:v>
                </c:pt>
                <c:pt idx="4" formatCode="General">
                  <c:v>-13.326287443267777</c:v>
                </c:pt>
                <c:pt idx="5" formatCode="General">
                  <c:v>-12.654880484114978</c:v>
                </c:pt>
                <c:pt idx="6" formatCode="General">
                  <c:v>-11.983473524962179</c:v>
                </c:pt>
                <c:pt idx="7" formatCode="General">
                  <c:v>-11.31206656580938</c:v>
                </c:pt>
                <c:pt idx="8" formatCode="General">
                  <c:v>-10.64065960665658</c:v>
                </c:pt>
                <c:pt idx="9" formatCode="General">
                  <c:v>-9.969252647503783</c:v>
                </c:pt>
                <c:pt idx="10" formatCode="General">
                  <c:v>-9.2978456883509839</c:v>
                </c:pt>
                <c:pt idx="11" formatCode="General">
                  <c:v>-8.67908484848485</c:v>
                </c:pt>
                <c:pt idx="12" formatCode="General">
                  <c:v>-8.1196909090909095</c:v>
                </c:pt>
                <c:pt idx="13" formatCode="General">
                  <c:v>-7.619436363636364</c:v>
                </c:pt>
                <c:pt idx="14" formatCode="General">
                  <c:v>-7.1476144578313257</c:v>
                </c:pt>
                <c:pt idx="15" formatCode="General">
                  <c:v>-6.7512289156626508</c:v>
                </c:pt>
                <c:pt idx="16" formatCode="General">
                  <c:v>-6.4021454545454546</c:v>
                </c:pt>
                <c:pt idx="17" formatCode="General">
                  <c:v>-6.09850909090909</c:v>
                </c:pt>
                <c:pt idx="18" formatCode="General">
                  <c:v>-5.8730545454545453</c:v>
                </c:pt>
                <c:pt idx="19" formatCode="General">
                  <c:v>-5.6767454545454541</c:v>
                </c:pt>
                <c:pt idx="20" formatCode="General">
                  <c:v>-5.5421999999999993</c:v>
                </c:pt>
                <c:pt idx="21" formatCode="General">
                  <c:v>-5.4426121212121208</c:v>
                </c:pt>
                <c:pt idx="22" formatCode="General">
                  <c:v>-5.3704909090909085</c:v>
                </c:pt>
                <c:pt idx="23" formatCode="General">
                  <c:v>-5.3393313253012051</c:v>
                </c:pt>
                <c:pt idx="24" formatCode="General">
                  <c:v>-5.319</c:v>
                </c:pt>
                <c:pt idx="25" formatCode="General">
                  <c:v>-5.319</c:v>
                </c:pt>
                <c:pt idx="26" formatCode="General">
                  <c:v>-5.3280909090909088</c:v>
                </c:pt>
                <c:pt idx="27" formatCode="General">
                  <c:v>-5.3432424242424243</c:v>
                </c:pt>
                <c:pt idx="28" formatCode="General">
                  <c:v>-5.3641515151515149</c:v>
                </c:pt>
                <c:pt idx="29" formatCode="General">
                  <c:v>-5.3860909090909086</c:v>
                </c:pt>
                <c:pt idx="30" formatCode="General">
                  <c:v>-5.4097272727272729</c:v>
                </c:pt>
                <c:pt idx="31" formatCode="General">
                  <c:v>-5.4340542168674695</c:v>
                </c:pt>
                <c:pt idx="32" formatCode="General">
                  <c:v>-5.4587530120481924</c:v>
                </c:pt>
                <c:pt idx="33" formatCode="General">
                  <c:v>-5.4829999999999997</c:v>
                </c:pt>
                <c:pt idx="34" formatCode="General">
                  <c:v>-5.5074484848484841</c:v>
                </c:pt>
                <c:pt idx="35" formatCode="General">
                  <c:v>-5.5322969696969695</c:v>
                </c:pt>
                <c:pt idx="36" formatCode="General">
                  <c:v>-5.5567272727272723</c:v>
                </c:pt>
                <c:pt idx="37" formatCode="General">
                  <c:v>-5.5809863842662635</c:v>
                </c:pt>
                <c:pt idx="38" formatCode="General">
                  <c:v>-5.6056459909228442</c:v>
                </c:pt>
                <c:pt idx="39" formatCode="General">
                  <c:v>-5.6303055975794249</c:v>
                </c:pt>
                <c:pt idx="40" formatCode="General">
                  <c:v>-5.6549652042360066</c:v>
                </c:pt>
                <c:pt idx="41" formatCode="General">
                  <c:v>-5.6796248108925873</c:v>
                </c:pt>
                <c:pt idx="42" formatCode="General">
                  <c:v>-5.704284417549168</c:v>
                </c:pt>
                <c:pt idx="43" formatCode="General">
                  <c:v>-5.7289440242057488</c:v>
                </c:pt>
                <c:pt idx="44" formatCode="General">
                  <c:v>-5.7543192133131624</c:v>
                </c:pt>
                <c:pt idx="45" formatCode="General">
                  <c:v>-5.7806429652042359</c:v>
                </c:pt>
                <c:pt idx="46" formatCode="General">
                  <c:v>-5.8069667170953103</c:v>
                </c:pt>
                <c:pt idx="47" formatCode="General">
                  <c:v>-5.8332904689863847</c:v>
                </c:pt>
                <c:pt idx="48" formatCode="General">
                  <c:v>-5.8596142208774582</c:v>
                </c:pt>
                <c:pt idx="49" formatCode="General">
                  <c:v>-5.8859379727685326</c:v>
                </c:pt>
                <c:pt idx="50" formatCode="General">
                  <c:v>-5.912261724659607</c:v>
                </c:pt>
                <c:pt idx="51" formatCode="General">
                  <c:v>-5.942966666666667</c:v>
                </c:pt>
                <c:pt idx="52" formatCode="General">
                  <c:v>-5.9746333333333332</c:v>
                </c:pt>
                <c:pt idx="53" formatCode="General">
                  <c:v>-6.0063000000000004</c:v>
                </c:pt>
                <c:pt idx="54" formatCode="General">
                  <c:v>-6.0379666666666667</c:v>
                </c:pt>
                <c:pt idx="55" formatCode="General">
                  <c:v>-6.0696333333333339</c:v>
                </c:pt>
                <c:pt idx="56" formatCode="General">
                  <c:v>-6.1013000000000002</c:v>
                </c:pt>
                <c:pt idx="57" formatCode="General">
                  <c:v>-6.132493975903615</c:v>
                </c:pt>
                <c:pt idx="58" formatCode="General">
                  <c:v>-6.1620120481927714</c:v>
                </c:pt>
                <c:pt idx="59" formatCode="General">
                  <c:v>-6.190612121212121</c:v>
                </c:pt>
                <c:pt idx="60" formatCode="General">
                  <c:v>-6.2184909090909093</c:v>
                </c:pt>
                <c:pt idx="61" formatCode="General">
                  <c:v>-6.2441636363636368</c:v>
                </c:pt>
                <c:pt idx="62" formatCode="General">
                  <c:v>-6.2693030303030302</c:v>
                </c:pt>
                <c:pt idx="63" formatCode="General">
                  <c:v>-6.2935454545454546</c:v>
                </c:pt>
                <c:pt idx="64" formatCode="General">
                  <c:v>-6.3174181818181818</c:v>
                </c:pt>
                <c:pt idx="65" formatCode="General">
                  <c:v>-6.3410545454545453</c:v>
                </c:pt>
                <c:pt idx="66" formatCode="General">
                  <c:v>-6.363397590361445</c:v>
                </c:pt>
                <c:pt idx="67" formatCode="General">
                  <c:v>-6.385727272727272</c:v>
                </c:pt>
                <c:pt idx="68" formatCode="General">
                  <c:v>-6.4081515151515154</c:v>
                </c:pt>
                <c:pt idx="69" formatCode="General">
                  <c:v>-6.4301818181818184</c:v>
                </c:pt>
                <c:pt idx="70" formatCode="General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4A52-48C1-879E-D295987745E2}"/>
            </c:ext>
          </c:extLst>
        </c:ser>
        <c:ser>
          <c:idx val="38"/>
          <c:order val="40"/>
          <c:tx>
            <c:strRef>
              <c:f>'Gibbs-EVAL'!$A$141</c:f>
              <c:strCache>
                <c:ptCount val="1"/>
                <c:pt idx="0">
                  <c:v>(DGa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'Gibbs-EVAL'!$B$141:$BT$141</c:f>
              <c:numCache>
                <c:formatCode>0</c:formatCode>
                <c:ptCount val="71"/>
                <c:pt idx="0">
                  <c:v>-60.735090909090907</c:v>
                </c:pt>
                <c:pt idx="1">
                  <c:v>-58.673878787878785</c:v>
                </c:pt>
                <c:pt idx="2" formatCode="General">
                  <c:v>-56.631454545454545</c:v>
                </c:pt>
                <c:pt idx="3" formatCode="General">
                  <c:v>-54.589030303030299</c:v>
                </c:pt>
                <c:pt idx="4" formatCode="General">
                  <c:v>-52.560166414523451</c:v>
                </c:pt>
                <c:pt idx="5" formatCode="General">
                  <c:v>-50.687246596066565</c:v>
                </c:pt>
                <c:pt idx="6" formatCode="General">
                  <c:v>-48.814326777609679</c:v>
                </c:pt>
                <c:pt idx="7" formatCode="General">
                  <c:v>-46.9414069591528</c:v>
                </c:pt>
                <c:pt idx="8" formatCode="General">
                  <c:v>-45.068487140695915</c:v>
                </c:pt>
                <c:pt idx="9" formatCode="General">
                  <c:v>-43.195567322239029</c:v>
                </c:pt>
                <c:pt idx="10" formatCode="General">
                  <c:v>-41.32264750378215</c:v>
                </c:pt>
                <c:pt idx="11" formatCode="General">
                  <c:v>-39.589393939393936</c:v>
                </c:pt>
                <c:pt idx="12" formatCode="General">
                  <c:v>-38.013636363636365</c:v>
                </c:pt>
                <c:pt idx="13" formatCode="General">
                  <c:v>-36.542242424242424</c:v>
                </c:pt>
                <c:pt idx="14" formatCode="General">
                  <c:v>-35.117771084337356</c:v>
                </c:pt>
                <c:pt idx="15" formatCode="General">
                  <c:v>-33.810542168674701</c:v>
                </c:pt>
                <c:pt idx="16" formatCode="General">
                  <c:v>-32.561090909090908</c:v>
                </c:pt>
                <c:pt idx="17" formatCode="General">
                  <c:v>-31.367151515151512</c:v>
                </c:pt>
                <c:pt idx="18" formatCode="General">
                  <c:v>-30.256606060606057</c:v>
                </c:pt>
                <c:pt idx="19" formatCode="General">
                  <c:v>-29.173636363636362</c:v>
                </c:pt>
                <c:pt idx="20" formatCode="General">
                  <c:v>-28.143333333333331</c:v>
                </c:pt>
                <c:pt idx="21" formatCode="General">
                  <c:v>-27.143575757575757</c:v>
                </c:pt>
                <c:pt idx="22" formatCode="General">
                  <c:v>-26.167818181818177</c:v>
                </c:pt>
                <c:pt idx="23" formatCode="General">
                  <c:v>-25.252228915662648</c:v>
                </c:pt>
                <c:pt idx="24" formatCode="General">
                  <c:v>-24.354848484848485</c:v>
                </c:pt>
                <c:pt idx="25" formatCode="General">
                  <c:v>-23.494242424242422</c:v>
                </c:pt>
                <c:pt idx="26" formatCode="General">
                  <c:v>-22.673636363636362</c:v>
                </c:pt>
                <c:pt idx="27" formatCode="General">
                  <c:v>-21.879696969696969</c:v>
                </c:pt>
                <c:pt idx="28" formatCode="General">
                  <c:v>-21.149090909090908</c:v>
                </c:pt>
                <c:pt idx="29" formatCode="General">
                  <c:v>-20.438181818181818</c:v>
                </c:pt>
                <c:pt idx="30" formatCode="General">
                  <c:v>-19.765454545454546</c:v>
                </c:pt>
                <c:pt idx="31" formatCode="General">
                  <c:v>-19.126686746987954</c:v>
                </c:pt>
                <c:pt idx="32" formatCode="General">
                  <c:v>-18.506204819277109</c:v>
                </c:pt>
                <c:pt idx="33" formatCode="General">
                  <c:v>-17.918000000000003</c:v>
                </c:pt>
                <c:pt idx="34" formatCode="General">
                  <c:v>-17.342484848484851</c:v>
                </c:pt>
                <c:pt idx="35" formatCode="General">
                  <c:v>-16.7909696969697</c:v>
                </c:pt>
                <c:pt idx="36" formatCode="General">
                  <c:v>-16.252000000000002</c:v>
                </c:pt>
                <c:pt idx="37" formatCode="General">
                  <c:v>-15.721119515885023</c:v>
                </c:pt>
                <c:pt idx="38" formatCode="General">
                  <c:v>-15.249107413010591</c:v>
                </c:pt>
                <c:pt idx="39" formatCode="General">
                  <c:v>-14.77709531013616</c:v>
                </c:pt>
                <c:pt idx="40" formatCode="General">
                  <c:v>-14.305083207261726</c:v>
                </c:pt>
                <c:pt idx="41" formatCode="General">
                  <c:v>-13.833071104387294</c:v>
                </c:pt>
                <c:pt idx="42" formatCode="General">
                  <c:v>-13.36105900151286</c:v>
                </c:pt>
                <c:pt idx="43" formatCode="General">
                  <c:v>-12.889046898638428</c:v>
                </c:pt>
                <c:pt idx="44" formatCode="General">
                  <c:v>-12.457367624810892</c:v>
                </c:pt>
                <c:pt idx="45" formatCode="General">
                  <c:v>-12.079152798789712</c:v>
                </c:pt>
                <c:pt idx="46" formatCode="General">
                  <c:v>-11.700937972768532</c:v>
                </c:pt>
                <c:pt idx="47" formatCode="General">
                  <c:v>-11.322723146747352</c:v>
                </c:pt>
                <c:pt idx="48" formatCode="General">
                  <c:v>-10.944508320726172</c:v>
                </c:pt>
                <c:pt idx="49" formatCode="General">
                  <c:v>-10.56629349470499</c:v>
                </c:pt>
                <c:pt idx="50" formatCode="General">
                  <c:v>-10.18807866868381</c:v>
                </c:pt>
                <c:pt idx="51" formatCode="General">
                  <c:v>-9.9633303030303022</c:v>
                </c:pt>
                <c:pt idx="52" formatCode="General">
                  <c:v>-9.7722696969696958</c:v>
                </c:pt>
                <c:pt idx="53" formatCode="General">
                  <c:v>-9.5812090909090895</c:v>
                </c:pt>
                <c:pt idx="54" formatCode="General">
                  <c:v>-9.3901484848484831</c:v>
                </c:pt>
                <c:pt idx="55" formatCode="General">
                  <c:v>-9.1990878787878785</c:v>
                </c:pt>
                <c:pt idx="56" formatCode="General">
                  <c:v>-9.0080272727272721</c:v>
                </c:pt>
                <c:pt idx="57" formatCode="General">
                  <c:v>-8.8458795180722891</c:v>
                </c:pt>
                <c:pt idx="58" formatCode="General">
                  <c:v>-8.7862409638554215</c:v>
                </c:pt>
                <c:pt idx="59" formatCode="General">
                  <c:v>-8.7443878787878795</c:v>
                </c:pt>
                <c:pt idx="60" formatCode="General">
                  <c:v>-8.7165090909090921</c:v>
                </c:pt>
                <c:pt idx="61" formatCode="General">
                  <c:v>-8.7068303030303031</c:v>
                </c:pt>
                <c:pt idx="62" formatCode="General">
                  <c:v>-8.7021030303030305</c:v>
                </c:pt>
                <c:pt idx="63" formatCode="General">
                  <c:v>-8.7063454545454544</c:v>
                </c:pt>
                <c:pt idx="64" formatCode="General">
                  <c:v>-8.7153939393939392</c:v>
                </c:pt>
                <c:pt idx="65" formatCode="General">
                  <c:v>-8.727515151515151</c:v>
                </c:pt>
                <c:pt idx="66" formatCode="General">
                  <c:v>-8.7430361445783138</c:v>
                </c:pt>
                <c:pt idx="67" formatCode="General">
                  <c:v>-8.7596363636363641</c:v>
                </c:pt>
                <c:pt idx="68" formatCode="General">
                  <c:v>-8.7784242424242418</c:v>
                </c:pt>
                <c:pt idx="69" formatCode="General">
                  <c:v>-8.798</c:v>
                </c:pt>
                <c:pt idx="70" formatCode="General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4A52-48C1-879E-D295987745E2}"/>
            </c:ext>
          </c:extLst>
        </c:ser>
        <c:ser>
          <c:idx val="40"/>
          <c:order val="41"/>
          <c:tx>
            <c:strRef>
              <c:f>'Gibbs-EVAL'!$A$142</c:f>
              <c:strCache>
                <c:ptCount val="1"/>
                <c:pt idx="0">
                  <c:v>(1)Se[A]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'Gibbs-EVAL'!$B$142:$BT$142</c:f>
              <c:numCache>
                <c:formatCode>0</c:formatCode>
                <c:ptCount val="71"/>
                <c:pt idx="0">
                  <c:v>-22.065575757575758</c:v>
                </c:pt>
                <c:pt idx="1">
                  <c:v>-21.674060606060607</c:v>
                </c:pt>
                <c:pt idx="2" formatCode="General">
                  <c:v>-21.395272727272726</c:v>
                </c:pt>
                <c:pt idx="3" formatCode="General">
                  <c:v>-21.244787878787879</c:v>
                </c:pt>
                <c:pt idx="4" formatCode="General">
                  <c:v>-21.157019667170953</c:v>
                </c:pt>
                <c:pt idx="5" formatCode="General">
                  <c:v>-21.244765506807866</c:v>
                </c:pt>
                <c:pt idx="6" formatCode="General">
                  <c:v>-21.332511346444779</c:v>
                </c:pt>
                <c:pt idx="7" formatCode="General">
                  <c:v>-21.420257186081695</c:v>
                </c:pt>
                <c:pt idx="8" formatCode="General">
                  <c:v>-21.508003025718608</c:v>
                </c:pt>
                <c:pt idx="9" formatCode="General">
                  <c:v>-21.595748865355521</c:v>
                </c:pt>
                <c:pt idx="10" formatCode="General">
                  <c:v>-21.683494704992437</c:v>
                </c:pt>
                <c:pt idx="11" formatCode="General">
                  <c:v>-21.792666666666666</c:v>
                </c:pt>
                <c:pt idx="12" formatCode="General">
                  <c:v>-21.925999999999998</c:v>
                </c:pt>
                <c:pt idx="13" formatCode="General">
                  <c:v>-22.049393939393937</c:v>
                </c:pt>
                <c:pt idx="14" formatCode="General">
                  <c:v>-22.167409638554215</c:v>
                </c:pt>
                <c:pt idx="15" formatCode="General">
                  <c:v>-22.269819277108432</c:v>
                </c:pt>
                <c:pt idx="16" formatCode="General">
                  <c:v>-22.363272727272729</c:v>
                </c:pt>
                <c:pt idx="17" formatCode="General">
                  <c:v>-22.448121212121212</c:v>
                </c:pt>
                <c:pt idx="18" formatCode="General">
                  <c:v>-22.532969696969698</c:v>
                </c:pt>
                <c:pt idx="19" formatCode="General">
                  <c:v>-22.620363636363638</c:v>
                </c:pt>
                <c:pt idx="20" formatCode="General">
                  <c:v>-22.717333333333336</c:v>
                </c:pt>
                <c:pt idx="21" formatCode="General">
                  <c:v>-22.82448484848485</c:v>
                </c:pt>
                <c:pt idx="22" formatCode="General">
                  <c:v>-22.939636363636364</c:v>
                </c:pt>
                <c:pt idx="23" formatCode="General">
                  <c:v>-23.059638554216868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4A52-48C1-879E-D295987745E2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-22.065575757575758</c:v>
                </c:pt>
                <c:pt idx="1">
                  <c:v>-21.674060606060607</c:v>
                </c:pt>
                <c:pt idx="2" formatCode="General">
                  <c:v>-21.395272727272726</c:v>
                </c:pt>
                <c:pt idx="3" formatCode="General">
                  <c:v>-21.244787878787879</c:v>
                </c:pt>
                <c:pt idx="4" formatCode="General">
                  <c:v>-21.157019667170953</c:v>
                </c:pt>
                <c:pt idx="5" formatCode="General">
                  <c:v>-21.244765506807866</c:v>
                </c:pt>
                <c:pt idx="6" formatCode="General">
                  <c:v>-21.332511346444779</c:v>
                </c:pt>
                <c:pt idx="7" formatCode="General">
                  <c:v>-21.420257186081695</c:v>
                </c:pt>
                <c:pt idx="8" formatCode="General">
                  <c:v>-21.508003025718608</c:v>
                </c:pt>
                <c:pt idx="9" formatCode="General">
                  <c:v>-21.595748865355521</c:v>
                </c:pt>
                <c:pt idx="10" formatCode="General">
                  <c:v>-21.683494704992437</c:v>
                </c:pt>
                <c:pt idx="11" formatCode="General">
                  <c:v>-21.792666666666666</c:v>
                </c:pt>
                <c:pt idx="12" formatCode="General">
                  <c:v>-21.925999999999998</c:v>
                </c:pt>
                <c:pt idx="13" formatCode="General">
                  <c:v>-22.049393939393937</c:v>
                </c:pt>
                <c:pt idx="14" formatCode="General">
                  <c:v>-22.167409638554215</c:v>
                </c:pt>
                <c:pt idx="15" formatCode="General">
                  <c:v>-22.269819277108432</c:v>
                </c:pt>
                <c:pt idx="16" formatCode="General">
                  <c:v>-22.363272727272729</c:v>
                </c:pt>
                <c:pt idx="17" formatCode="General">
                  <c:v>-22.448121212121212</c:v>
                </c:pt>
                <c:pt idx="18" formatCode="General">
                  <c:v>-22.532969696969698</c:v>
                </c:pt>
                <c:pt idx="19" formatCode="General">
                  <c:v>-22.620363636363638</c:v>
                </c:pt>
                <c:pt idx="20" formatCode="General">
                  <c:v>-22.717333333333336</c:v>
                </c:pt>
                <c:pt idx="21" formatCode="General">
                  <c:v>-22.82448484848485</c:v>
                </c:pt>
                <c:pt idx="22" formatCode="General">
                  <c:v>-22.939636363636364</c:v>
                </c:pt>
                <c:pt idx="23" formatCode="General">
                  <c:v>-23.059638554216868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4A52-48C1-879E-D295987745E2}"/>
            </c:ext>
          </c:extLst>
        </c:ser>
        <c:ser>
          <c:idx val="42"/>
          <c:order val="43"/>
          <c:tx>
            <c:strRef>
              <c:f>'Gibbs-EVAL'!$A$144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'Gibbs-EVAL'!$B$144:$BT$144</c:f>
              <c:numCache>
                <c:formatCode>0</c:formatCode>
                <c:ptCount val="71"/>
                <c:pt idx="0">
                  <c:v>-22.065575757575758</c:v>
                </c:pt>
                <c:pt idx="1">
                  <c:v>-21.674060606060607</c:v>
                </c:pt>
                <c:pt idx="2" formatCode="General">
                  <c:v>-21.395272727272726</c:v>
                </c:pt>
                <c:pt idx="3" formatCode="General">
                  <c:v>-21.244787878787879</c:v>
                </c:pt>
                <c:pt idx="4" formatCode="General">
                  <c:v>-21.157019667170953</c:v>
                </c:pt>
                <c:pt idx="5" formatCode="General">
                  <c:v>-21.244765506807866</c:v>
                </c:pt>
                <c:pt idx="6" formatCode="General">
                  <c:v>-21.332511346444779</c:v>
                </c:pt>
                <c:pt idx="7" formatCode="General">
                  <c:v>-21.420257186081695</c:v>
                </c:pt>
                <c:pt idx="8" formatCode="General">
                  <c:v>-21.508003025718608</c:v>
                </c:pt>
                <c:pt idx="9" formatCode="General">
                  <c:v>-21.595748865355521</c:v>
                </c:pt>
                <c:pt idx="10" formatCode="General">
                  <c:v>-21.683494704992437</c:v>
                </c:pt>
                <c:pt idx="11" formatCode="General">
                  <c:v>-21.792666666666666</c:v>
                </c:pt>
                <c:pt idx="12" formatCode="General">
                  <c:v>-21.925999999999998</c:v>
                </c:pt>
                <c:pt idx="13" formatCode="General">
                  <c:v>-22.049393939393937</c:v>
                </c:pt>
                <c:pt idx="14" formatCode="General">
                  <c:v>-22.167409638554215</c:v>
                </c:pt>
                <c:pt idx="15" formatCode="General">
                  <c:v>-22.269819277108432</c:v>
                </c:pt>
                <c:pt idx="16" formatCode="General">
                  <c:v>-22.363272727272729</c:v>
                </c:pt>
                <c:pt idx="17" formatCode="General">
                  <c:v>-22.448121212121212</c:v>
                </c:pt>
                <c:pt idx="18" formatCode="General">
                  <c:v>-22.532969696969698</c:v>
                </c:pt>
                <c:pt idx="19" formatCode="General">
                  <c:v>-22.620363636363638</c:v>
                </c:pt>
                <c:pt idx="20" formatCode="General">
                  <c:v>-22.717333333333336</c:v>
                </c:pt>
                <c:pt idx="21" formatCode="General">
                  <c:v>-22.82448484848485</c:v>
                </c:pt>
                <c:pt idx="22" formatCode="General">
                  <c:v>-22.939636363636364</c:v>
                </c:pt>
                <c:pt idx="23" formatCode="General">
                  <c:v>-23.059638554216868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4A52-48C1-879E-D295987745E2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  <c:pt idx="0">
                  <c:v>(2)Ga[l]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-60.735090909090907</c:v>
                </c:pt>
                <c:pt idx="1">
                  <c:v>-58.673878787878785</c:v>
                </c:pt>
                <c:pt idx="2" formatCode="General">
                  <c:v>-56.631454545454545</c:v>
                </c:pt>
                <c:pt idx="3" formatCode="General">
                  <c:v>-54.589030303030299</c:v>
                </c:pt>
                <c:pt idx="4" formatCode="General">
                  <c:v>-52.560166414523451</c:v>
                </c:pt>
                <c:pt idx="5" formatCode="General">
                  <c:v>-50.687246596066565</c:v>
                </c:pt>
                <c:pt idx="6" formatCode="General">
                  <c:v>-48.814326777609679</c:v>
                </c:pt>
                <c:pt idx="7" formatCode="General">
                  <c:v>-46.9414069591528</c:v>
                </c:pt>
                <c:pt idx="8" formatCode="General">
                  <c:v>-45.068487140695915</c:v>
                </c:pt>
                <c:pt idx="9" formatCode="General">
                  <c:v>-43.195567322239029</c:v>
                </c:pt>
                <c:pt idx="10" formatCode="General">
                  <c:v>-41.32264750378215</c:v>
                </c:pt>
                <c:pt idx="11" formatCode="General">
                  <c:v>-39.589393939393936</c:v>
                </c:pt>
                <c:pt idx="12" formatCode="General">
                  <c:v>-38.013636363636365</c:v>
                </c:pt>
                <c:pt idx="13" formatCode="General">
                  <c:v>-36.542242424242424</c:v>
                </c:pt>
                <c:pt idx="14" formatCode="General">
                  <c:v>-35.117771084337356</c:v>
                </c:pt>
                <c:pt idx="15" formatCode="General">
                  <c:v>-33.810542168674701</c:v>
                </c:pt>
                <c:pt idx="16" formatCode="General">
                  <c:v>-32.561090909090908</c:v>
                </c:pt>
                <c:pt idx="17" formatCode="General">
                  <c:v>-31.367151515151512</c:v>
                </c:pt>
                <c:pt idx="18" formatCode="General">
                  <c:v>-30.256606060606057</c:v>
                </c:pt>
                <c:pt idx="19" formatCode="General">
                  <c:v>-29.173636363636362</c:v>
                </c:pt>
                <c:pt idx="20" formatCode="General">
                  <c:v>-28.143333333333331</c:v>
                </c:pt>
                <c:pt idx="21" formatCode="General">
                  <c:v>-27.143575757575757</c:v>
                </c:pt>
                <c:pt idx="22" formatCode="General">
                  <c:v>-26.167818181818177</c:v>
                </c:pt>
                <c:pt idx="23" formatCode="General">
                  <c:v>-25.252228915662648</c:v>
                </c:pt>
                <c:pt idx="24" formatCode="General">
                  <c:v>-24.354848484848485</c:v>
                </c:pt>
                <c:pt idx="25" formatCode="General">
                  <c:v>-23.494242424242422</c:v>
                </c:pt>
                <c:pt idx="26" formatCode="General">
                  <c:v>-22.673636363636362</c:v>
                </c:pt>
                <c:pt idx="27" formatCode="General">
                  <c:v>-21.879696969696969</c:v>
                </c:pt>
                <c:pt idx="28" formatCode="General">
                  <c:v>-21.149090909090908</c:v>
                </c:pt>
                <c:pt idx="29" formatCode="General">
                  <c:v>-20.438181818181818</c:v>
                </c:pt>
                <c:pt idx="30" formatCode="General">
                  <c:v>-19.765454545454546</c:v>
                </c:pt>
                <c:pt idx="31" formatCode="General">
                  <c:v>-19.126686746987954</c:v>
                </c:pt>
                <c:pt idx="32" formatCode="General">
                  <c:v>-18.506204819277109</c:v>
                </c:pt>
                <c:pt idx="33" formatCode="General">
                  <c:v>-17.918000000000003</c:v>
                </c:pt>
                <c:pt idx="34" formatCode="General">
                  <c:v>-17.342484848484851</c:v>
                </c:pt>
                <c:pt idx="35" formatCode="General">
                  <c:v>-16.7909696969697</c:v>
                </c:pt>
                <c:pt idx="36" formatCode="General">
                  <c:v>-16.252000000000002</c:v>
                </c:pt>
                <c:pt idx="37" formatCode="General">
                  <c:v>-15.721119515885023</c:v>
                </c:pt>
                <c:pt idx="38" formatCode="General">
                  <c:v>-15.249107413010591</c:v>
                </c:pt>
                <c:pt idx="39" formatCode="General">
                  <c:v>-14.77709531013616</c:v>
                </c:pt>
                <c:pt idx="40" formatCode="General">
                  <c:v>-14.305083207261726</c:v>
                </c:pt>
                <c:pt idx="41" formatCode="General">
                  <c:v>-13.833071104387294</c:v>
                </c:pt>
                <c:pt idx="42" formatCode="General">
                  <c:v>-13.36105900151286</c:v>
                </c:pt>
                <c:pt idx="43" formatCode="General">
                  <c:v>-12.889046898638428</c:v>
                </c:pt>
                <c:pt idx="44" formatCode="General">
                  <c:v>-12.457367624810892</c:v>
                </c:pt>
                <c:pt idx="45" formatCode="General">
                  <c:v>-12.079152798789712</c:v>
                </c:pt>
                <c:pt idx="46" formatCode="General">
                  <c:v>-11.700937972768532</c:v>
                </c:pt>
                <c:pt idx="47" formatCode="General">
                  <c:v>-11.322723146747352</c:v>
                </c:pt>
                <c:pt idx="48" formatCode="General">
                  <c:v>-10.944508320726172</c:v>
                </c:pt>
                <c:pt idx="49" formatCode="General">
                  <c:v>-10.56629349470499</c:v>
                </c:pt>
                <c:pt idx="50" formatCode="General">
                  <c:v>-10.18807866868381</c:v>
                </c:pt>
                <c:pt idx="51" formatCode="General">
                  <c:v>-9.9633303030303022</c:v>
                </c:pt>
                <c:pt idx="52" formatCode="General">
                  <c:v>-9.7722696969696958</c:v>
                </c:pt>
                <c:pt idx="53" formatCode="General">
                  <c:v>-9.5812090909090895</c:v>
                </c:pt>
                <c:pt idx="54" formatCode="General">
                  <c:v>-9.3901484848484831</c:v>
                </c:pt>
                <c:pt idx="55" formatCode="General">
                  <c:v>-9.1990878787878785</c:v>
                </c:pt>
                <c:pt idx="56" formatCode="General">
                  <c:v>-9.0080272727272721</c:v>
                </c:pt>
                <c:pt idx="57" formatCode="General">
                  <c:v>-8.8458795180722891</c:v>
                </c:pt>
                <c:pt idx="58" formatCode="General">
                  <c:v>-8.7862409638554215</c:v>
                </c:pt>
                <c:pt idx="59" formatCode="General">
                  <c:v>-8.7443878787878795</c:v>
                </c:pt>
                <c:pt idx="60" formatCode="General">
                  <c:v>-8.7165090909090921</c:v>
                </c:pt>
                <c:pt idx="61" formatCode="General">
                  <c:v>-8.7068303030303031</c:v>
                </c:pt>
                <c:pt idx="62" formatCode="General">
                  <c:v>-8.7021030303030305</c:v>
                </c:pt>
                <c:pt idx="63" formatCode="General">
                  <c:v>-8.7063454545454544</c:v>
                </c:pt>
                <c:pt idx="64" formatCode="General">
                  <c:v>-8.7153939393939392</c:v>
                </c:pt>
                <c:pt idx="65" formatCode="General">
                  <c:v>-8.727515151515151</c:v>
                </c:pt>
                <c:pt idx="66" formatCode="General">
                  <c:v>-8.7430361445783138</c:v>
                </c:pt>
                <c:pt idx="67" formatCode="General">
                  <c:v>-8.7596363636363641</c:v>
                </c:pt>
                <c:pt idx="68" formatCode="General">
                  <c:v>-8.7784242424242418</c:v>
                </c:pt>
                <c:pt idx="69" formatCode="General">
                  <c:v>-8.798</c:v>
                </c:pt>
                <c:pt idx="70" formatCode="General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4A52-48C1-879E-D295987745E2}"/>
            </c:ext>
          </c:extLst>
        </c:ser>
        <c:ser>
          <c:idx val="44"/>
          <c:order val="45"/>
          <c:tx>
            <c:strRef>
              <c:f>'Gibbs-EVAL'!$A$146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'Gibbs-EVAL'!$B$146:$BT$146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-18.631089258698939</c:v>
                </c:pt>
                <c:pt idx="5" formatCode="General">
                  <c:v>-18.644704992435702</c:v>
                </c:pt>
                <c:pt idx="6" formatCode="General">
                  <c:v>-18.658320726172466</c:v>
                </c:pt>
                <c:pt idx="7" formatCode="General">
                  <c:v>-18.671936459909226</c:v>
                </c:pt>
                <c:pt idx="8" formatCode="General">
                  <c:v>-18.685552193645989</c:v>
                </c:pt>
                <c:pt idx="9" formatCode="General">
                  <c:v>-18.699167927382753</c:v>
                </c:pt>
                <c:pt idx="10" formatCode="General">
                  <c:v>-18.712783661119516</c:v>
                </c:pt>
                <c:pt idx="11" formatCode="General">
                  <c:v>-18.728545454545454</c:v>
                </c:pt>
                <c:pt idx="12" formatCode="General">
                  <c:v>-18.746727272727274</c:v>
                </c:pt>
                <c:pt idx="13" formatCode="General">
                  <c:v>-18.764909090909093</c:v>
                </c:pt>
                <c:pt idx="14" formatCode="General">
                  <c:v>-18.783072289156628</c:v>
                </c:pt>
                <c:pt idx="15" formatCode="General">
                  <c:v>-18.801144578313252</c:v>
                </c:pt>
                <c:pt idx="16" formatCode="General">
                  <c:v>-18.819272727272725</c:v>
                </c:pt>
                <c:pt idx="17" formatCode="General">
                  <c:v>-18.837454545454545</c:v>
                </c:pt>
                <c:pt idx="18" formatCode="General">
                  <c:v>-18.855636363636364</c:v>
                </c:pt>
                <c:pt idx="19" formatCode="General">
                  <c:v>-18.873818181818184</c:v>
                </c:pt>
                <c:pt idx="20" formatCode="General">
                  <c:v>-18.891999999999999</c:v>
                </c:pt>
                <c:pt idx="21" formatCode="General">
                  <c:v>-18.913575757575757</c:v>
                </c:pt>
                <c:pt idx="22" formatCode="General">
                  <c:v>-18.937818181818184</c:v>
                </c:pt>
                <c:pt idx="23" formatCode="General">
                  <c:v>-18.95644578313253</c:v>
                </c:pt>
                <c:pt idx="24" formatCode="General">
                  <c:v>-18.976060606060607</c:v>
                </c:pt>
                <c:pt idx="25" formatCode="General">
                  <c:v>-19.00030303030303</c:v>
                </c:pt>
                <c:pt idx="26" formatCode="General">
                  <c:v>-19.020909090909093</c:v>
                </c:pt>
                <c:pt idx="27" formatCode="General">
                  <c:v>-19.039090909090909</c:v>
                </c:pt>
                <c:pt idx="28" formatCode="General">
                  <c:v>-19.057272727272728</c:v>
                </c:pt>
                <c:pt idx="29" formatCode="General">
                  <c:v>-19.077272727272728</c:v>
                </c:pt>
                <c:pt idx="30" formatCode="General">
                  <c:v>-19.101515151515152</c:v>
                </c:pt>
                <c:pt idx="31" formatCode="General">
                  <c:v>-19.121746987951806</c:v>
                </c:pt>
                <c:pt idx="32" formatCode="General">
                  <c:v>-19.139819277108433</c:v>
                </c:pt>
                <c:pt idx="33" formatCode="General">
                  <c:v>-19.164000000000001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-19.388456883509832</c:v>
                </c:pt>
                <c:pt idx="45" formatCode="General">
                  <c:v>-19.408124054462935</c:v>
                </c:pt>
                <c:pt idx="46" formatCode="General">
                  <c:v>-19.427791225416037</c:v>
                </c:pt>
                <c:pt idx="47" formatCode="General">
                  <c:v>-19.447458396369139</c:v>
                </c:pt>
                <c:pt idx="48" formatCode="General">
                  <c:v>-19.467125567322238</c:v>
                </c:pt>
                <c:pt idx="49" formatCode="General">
                  <c:v>-19.486792738275341</c:v>
                </c:pt>
                <c:pt idx="50" formatCode="General">
                  <c:v>-19.506459909228443</c:v>
                </c:pt>
                <c:pt idx="51" formatCode="General">
                  <c:v>-19.526151515151518</c:v>
                </c:pt>
                <c:pt idx="52" formatCode="General">
                  <c:v>-19.545848484848488</c:v>
                </c:pt>
                <c:pt idx="53" formatCode="General">
                  <c:v>-19.565545454545457</c:v>
                </c:pt>
                <c:pt idx="54" formatCode="General">
                  <c:v>-19.585242424242427</c:v>
                </c:pt>
                <c:pt idx="55" formatCode="General">
                  <c:v>-19.604939393939397</c:v>
                </c:pt>
                <c:pt idx="56" formatCode="General">
                  <c:v>-19.624636363636366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4A52-48C1-879E-D295987745E2}"/>
            </c:ext>
          </c:extLst>
        </c:ser>
        <c:ser>
          <c:idx val="45"/>
          <c:order val="46"/>
          <c:tx>
            <c:strRef>
              <c:f>'Gibbs-EVAL'!$A$147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'Gibbs-EVAL'!$B$147:$BT$147</c:f>
              <c:numCache>
                <c:formatCode>0</c:formatCode>
                <c:ptCount val="71"/>
                <c:pt idx="0">
                  <c:v>-60.735090909090907</c:v>
                </c:pt>
                <c:pt idx="1">
                  <c:v>-58.673878787878785</c:v>
                </c:pt>
                <c:pt idx="2" formatCode="General">
                  <c:v>-56.631454545454545</c:v>
                </c:pt>
                <c:pt idx="3" formatCode="General">
                  <c:v>-54.589030303030299</c:v>
                </c:pt>
                <c:pt idx="4" formatCode="General">
                  <c:v>-52.560166414523451</c:v>
                </c:pt>
                <c:pt idx="5" formatCode="General">
                  <c:v>-50.687246596066565</c:v>
                </c:pt>
                <c:pt idx="6" formatCode="General">
                  <c:v>-48.814326777609679</c:v>
                </c:pt>
                <c:pt idx="7" formatCode="General">
                  <c:v>-46.9414069591528</c:v>
                </c:pt>
                <c:pt idx="8" formatCode="General">
                  <c:v>-45.068487140695915</c:v>
                </c:pt>
                <c:pt idx="9" formatCode="General">
                  <c:v>-43.195567322239029</c:v>
                </c:pt>
                <c:pt idx="10" formatCode="General">
                  <c:v>-41.32264750378215</c:v>
                </c:pt>
                <c:pt idx="11" formatCode="General">
                  <c:v>-39.589393939393936</c:v>
                </c:pt>
                <c:pt idx="12" formatCode="General">
                  <c:v>-38.013636363636365</c:v>
                </c:pt>
                <c:pt idx="13" formatCode="General">
                  <c:v>-36.542242424242424</c:v>
                </c:pt>
                <c:pt idx="14" formatCode="General">
                  <c:v>-35.117771084337356</c:v>
                </c:pt>
                <c:pt idx="15" formatCode="General">
                  <c:v>-33.810542168674701</c:v>
                </c:pt>
                <c:pt idx="16" formatCode="General">
                  <c:v>-32.561090909090908</c:v>
                </c:pt>
                <c:pt idx="17" formatCode="General">
                  <c:v>-31.367151515151512</c:v>
                </c:pt>
                <c:pt idx="18" formatCode="General">
                  <c:v>-30.256606060606057</c:v>
                </c:pt>
                <c:pt idx="19" formatCode="General">
                  <c:v>-29.173636363636362</c:v>
                </c:pt>
                <c:pt idx="20" formatCode="General">
                  <c:v>-28.143333333333331</c:v>
                </c:pt>
                <c:pt idx="21" formatCode="General">
                  <c:v>-27.143575757575757</c:v>
                </c:pt>
                <c:pt idx="22" formatCode="General">
                  <c:v>-26.167818181818177</c:v>
                </c:pt>
                <c:pt idx="23" formatCode="General">
                  <c:v>-25.252228915662648</c:v>
                </c:pt>
                <c:pt idx="24" formatCode="General">
                  <c:v>-24.354848484848485</c:v>
                </c:pt>
                <c:pt idx="25" formatCode="General">
                  <c:v>-23.494242424242422</c:v>
                </c:pt>
                <c:pt idx="26" formatCode="General">
                  <c:v>-22.673636363636362</c:v>
                </c:pt>
                <c:pt idx="27" formatCode="General">
                  <c:v>-21.879696969696969</c:v>
                </c:pt>
                <c:pt idx="28" formatCode="General">
                  <c:v>-21.149090909090908</c:v>
                </c:pt>
                <c:pt idx="29" formatCode="General">
                  <c:v>-20.438181818181818</c:v>
                </c:pt>
                <c:pt idx="30" formatCode="General">
                  <c:v>-19.765454545454546</c:v>
                </c:pt>
                <c:pt idx="31" formatCode="General">
                  <c:v>-19.126686746987954</c:v>
                </c:pt>
                <c:pt idx="32" formatCode="General">
                  <c:v>-18.506204819277109</c:v>
                </c:pt>
                <c:pt idx="33" formatCode="General">
                  <c:v>-17.918000000000003</c:v>
                </c:pt>
                <c:pt idx="34" formatCode="General">
                  <c:v>-17.342484848484851</c:v>
                </c:pt>
                <c:pt idx="35" formatCode="General">
                  <c:v>-16.7909696969697</c:v>
                </c:pt>
                <c:pt idx="36" formatCode="General">
                  <c:v>-16.252000000000002</c:v>
                </c:pt>
                <c:pt idx="37" formatCode="General">
                  <c:v>-15.721119515885023</c:v>
                </c:pt>
                <c:pt idx="38" formatCode="General">
                  <c:v>-15.249107413010591</c:v>
                </c:pt>
                <c:pt idx="39" formatCode="General">
                  <c:v>-14.77709531013616</c:v>
                </c:pt>
                <c:pt idx="40" formatCode="General">
                  <c:v>-14.305083207261726</c:v>
                </c:pt>
                <c:pt idx="41" formatCode="General">
                  <c:v>-13.833071104387294</c:v>
                </c:pt>
                <c:pt idx="42" formatCode="General">
                  <c:v>-13.36105900151286</c:v>
                </c:pt>
                <c:pt idx="43" formatCode="General">
                  <c:v>-12.889046898638428</c:v>
                </c:pt>
                <c:pt idx="44" formatCode="General">
                  <c:v>-12.457367624810892</c:v>
                </c:pt>
                <c:pt idx="45" formatCode="General">
                  <c:v>-12.079152798789712</c:v>
                </c:pt>
                <c:pt idx="46" formatCode="General">
                  <c:v>-11.700937972768532</c:v>
                </c:pt>
                <c:pt idx="47" formatCode="General">
                  <c:v>-11.322723146747352</c:v>
                </c:pt>
                <c:pt idx="48" formatCode="General">
                  <c:v>-10.944508320726172</c:v>
                </c:pt>
                <c:pt idx="49" formatCode="General">
                  <c:v>-10.56629349470499</c:v>
                </c:pt>
                <c:pt idx="50" formatCode="General">
                  <c:v>-10.18807866868381</c:v>
                </c:pt>
                <c:pt idx="51" formatCode="General">
                  <c:v>-9.9633303030303022</c:v>
                </c:pt>
                <c:pt idx="52" formatCode="General">
                  <c:v>-9.7722696969696958</c:v>
                </c:pt>
                <c:pt idx="53" formatCode="General">
                  <c:v>-9.5812090909090895</c:v>
                </c:pt>
                <c:pt idx="54" formatCode="General">
                  <c:v>-9.3901484848484831</c:v>
                </c:pt>
                <c:pt idx="55" formatCode="General">
                  <c:v>-9.1990878787878785</c:v>
                </c:pt>
                <c:pt idx="56" formatCode="General">
                  <c:v>-9.0080272727272721</c:v>
                </c:pt>
                <c:pt idx="57" formatCode="General">
                  <c:v>-8.8458795180722891</c:v>
                </c:pt>
                <c:pt idx="58" formatCode="General">
                  <c:v>-8.7862409638554215</c:v>
                </c:pt>
                <c:pt idx="59" formatCode="General">
                  <c:v>-8.7443878787878795</c:v>
                </c:pt>
                <c:pt idx="60" formatCode="General">
                  <c:v>-8.7165090909090921</c:v>
                </c:pt>
                <c:pt idx="61" formatCode="General">
                  <c:v>-8.7068303030303031</c:v>
                </c:pt>
                <c:pt idx="62" formatCode="General">
                  <c:v>-8.7021030303030305</c:v>
                </c:pt>
                <c:pt idx="63" formatCode="General">
                  <c:v>-8.7063454545454544</c:v>
                </c:pt>
                <c:pt idx="64" formatCode="General">
                  <c:v>-8.7153939393939392</c:v>
                </c:pt>
                <c:pt idx="65" formatCode="General">
                  <c:v>-8.727515151515151</c:v>
                </c:pt>
                <c:pt idx="66" formatCode="General">
                  <c:v>-8.7430361445783138</c:v>
                </c:pt>
                <c:pt idx="67" formatCode="General">
                  <c:v>-8.7596363636363641</c:v>
                </c:pt>
                <c:pt idx="68" formatCode="General">
                  <c:v>-8.7784242424242418</c:v>
                </c:pt>
                <c:pt idx="69" formatCode="General">
                  <c:v>-8.798</c:v>
                </c:pt>
                <c:pt idx="70" formatCode="General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4A52-48C1-879E-D295987745E2}"/>
            </c:ext>
          </c:extLst>
        </c:ser>
        <c:ser>
          <c:idx val="46"/>
          <c:order val="47"/>
          <c:tx>
            <c:strRef>
              <c:f>'Gibbs-EVAL'!$A$148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'Gibbs-EVAL'!$B$148:$BT$148</c:f>
              <c:numCache>
                <c:formatCode>0</c:formatCode>
                <c:ptCount val="71"/>
                <c:pt idx="0">
                  <c:v>-15.805636363636363</c:v>
                </c:pt>
                <c:pt idx="1">
                  <c:v>-15.261999999999999</c:v>
                </c:pt>
                <c:pt idx="2" formatCode="General">
                  <c:v>-14.661999999999999</c:v>
                </c:pt>
                <c:pt idx="3" formatCode="General">
                  <c:v>-14.004484848484848</c:v>
                </c:pt>
                <c:pt idx="4" formatCode="General">
                  <c:v>-13.326287443267777</c:v>
                </c:pt>
                <c:pt idx="5" formatCode="General">
                  <c:v>-12.654880484114978</c:v>
                </c:pt>
                <c:pt idx="6" formatCode="General">
                  <c:v>-11.983473524962179</c:v>
                </c:pt>
                <c:pt idx="7" formatCode="General">
                  <c:v>-11.31206656580938</c:v>
                </c:pt>
                <c:pt idx="8" formatCode="General">
                  <c:v>-10.64065960665658</c:v>
                </c:pt>
                <c:pt idx="9" formatCode="General">
                  <c:v>-9.969252647503783</c:v>
                </c:pt>
                <c:pt idx="10" formatCode="General">
                  <c:v>-9.2978456883509839</c:v>
                </c:pt>
                <c:pt idx="11" formatCode="General">
                  <c:v>-8.67908484848485</c:v>
                </c:pt>
                <c:pt idx="12" formatCode="General">
                  <c:v>-8.1196909090909095</c:v>
                </c:pt>
                <c:pt idx="13" formatCode="General">
                  <c:v>-7.619436363636364</c:v>
                </c:pt>
                <c:pt idx="14" formatCode="General">
                  <c:v>-7.1476144578313257</c:v>
                </c:pt>
                <c:pt idx="15" formatCode="General">
                  <c:v>-6.7512289156626508</c:v>
                </c:pt>
                <c:pt idx="16" formatCode="General">
                  <c:v>-6.4021454545454546</c:v>
                </c:pt>
                <c:pt idx="17" formatCode="General">
                  <c:v>-6.09850909090909</c:v>
                </c:pt>
                <c:pt idx="18" formatCode="General">
                  <c:v>-5.8730545454545453</c:v>
                </c:pt>
                <c:pt idx="19" formatCode="General">
                  <c:v>-5.6767454545454541</c:v>
                </c:pt>
                <c:pt idx="20" formatCode="General">
                  <c:v>-5.5421999999999993</c:v>
                </c:pt>
                <c:pt idx="21" formatCode="General">
                  <c:v>-5.4426121212121208</c:v>
                </c:pt>
                <c:pt idx="22" formatCode="General">
                  <c:v>-5.3704909090909085</c:v>
                </c:pt>
                <c:pt idx="23" formatCode="General">
                  <c:v>-5.3393313253012051</c:v>
                </c:pt>
                <c:pt idx="24" formatCode="General">
                  <c:v>-5.319</c:v>
                </c:pt>
                <c:pt idx="25" formatCode="General">
                  <c:v>-5.319</c:v>
                </c:pt>
                <c:pt idx="26" formatCode="General">
                  <c:v>-5.3280909090909088</c:v>
                </c:pt>
                <c:pt idx="27" formatCode="General">
                  <c:v>-5.3432424242424243</c:v>
                </c:pt>
                <c:pt idx="28" formatCode="General">
                  <c:v>-5.3641515151515149</c:v>
                </c:pt>
                <c:pt idx="29" formatCode="General">
                  <c:v>-5.3860909090909086</c:v>
                </c:pt>
                <c:pt idx="30" formatCode="General">
                  <c:v>-5.4097272727272729</c:v>
                </c:pt>
                <c:pt idx="31" formatCode="General">
                  <c:v>-5.4340542168674695</c:v>
                </c:pt>
                <c:pt idx="32" formatCode="General">
                  <c:v>-5.4587530120481924</c:v>
                </c:pt>
                <c:pt idx="33" formatCode="General">
                  <c:v>-5.4829999999999997</c:v>
                </c:pt>
                <c:pt idx="34" formatCode="General">
                  <c:v>-5.5074484848484841</c:v>
                </c:pt>
                <c:pt idx="35" formatCode="General">
                  <c:v>-5.5322969696969695</c:v>
                </c:pt>
                <c:pt idx="36" formatCode="General">
                  <c:v>-5.5567272727272723</c:v>
                </c:pt>
                <c:pt idx="37" formatCode="General">
                  <c:v>-5.5809863842662635</c:v>
                </c:pt>
                <c:pt idx="38" formatCode="General">
                  <c:v>-5.6056459909228442</c:v>
                </c:pt>
                <c:pt idx="39" formatCode="General">
                  <c:v>-5.6303055975794249</c:v>
                </c:pt>
                <c:pt idx="40" formatCode="General">
                  <c:v>-5.6549652042360066</c:v>
                </c:pt>
                <c:pt idx="41" formatCode="General">
                  <c:v>-5.6796248108925873</c:v>
                </c:pt>
                <c:pt idx="42" formatCode="General">
                  <c:v>-5.704284417549168</c:v>
                </c:pt>
                <c:pt idx="43" formatCode="General">
                  <c:v>-5.7289440242057488</c:v>
                </c:pt>
                <c:pt idx="44" formatCode="General">
                  <c:v>-5.7543192133131624</c:v>
                </c:pt>
                <c:pt idx="45" formatCode="General">
                  <c:v>-5.7806429652042359</c:v>
                </c:pt>
                <c:pt idx="46" formatCode="General">
                  <c:v>-5.8069667170953103</c:v>
                </c:pt>
                <c:pt idx="47" formatCode="General">
                  <c:v>-5.8332904689863847</c:v>
                </c:pt>
                <c:pt idx="48" formatCode="General">
                  <c:v>-5.8596142208774582</c:v>
                </c:pt>
                <c:pt idx="49" formatCode="General">
                  <c:v>-5.8859379727685326</c:v>
                </c:pt>
                <c:pt idx="50" formatCode="General">
                  <c:v>-5.912261724659607</c:v>
                </c:pt>
                <c:pt idx="51" formatCode="General">
                  <c:v>-5.942966666666667</c:v>
                </c:pt>
                <c:pt idx="52" formatCode="General">
                  <c:v>-5.9746333333333332</c:v>
                </c:pt>
                <c:pt idx="53" formatCode="General">
                  <c:v>-6.0063000000000004</c:v>
                </c:pt>
                <c:pt idx="54" formatCode="General">
                  <c:v>-6.0379666666666667</c:v>
                </c:pt>
                <c:pt idx="55" formatCode="General">
                  <c:v>-6.0696333333333339</c:v>
                </c:pt>
                <c:pt idx="56" formatCode="General">
                  <c:v>-6.1013000000000002</c:v>
                </c:pt>
                <c:pt idx="57" formatCode="General">
                  <c:v>-6.132493975903615</c:v>
                </c:pt>
                <c:pt idx="58" formatCode="General">
                  <c:v>-6.1620120481927714</c:v>
                </c:pt>
                <c:pt idx="59" formatCode="General">
                  <c:v>-6.190612121212121</c:v>
                </c:pt>
                <c:pt idx="60" formatCode="General">
                  <c:v>-6.2184909090909093</c:v>
                </c:pt>
                <c:pt idx="61" formatCode="General">
                  <c:v>-6.2441636363636368</c:v>
                </c:pt>
                <c:pt idx="62" formatCode="General">
                  <c:v>-6.2693030303030302</c:v>
                </c:pt>
                <c:pt idx="63" formatCode="General">
                  <c:v>-6.2935454545454546</c:v>
                </c:pt>
                <c:pt idx="64" formatCode="General">
                  <c:v>-6.3174181818181818</c:v>
                </c:pt>
                <c:pt idx="65" formatCode="General">
                  <c:v>-6.3410545454545453</c:v>
                </c:pt>
                <c:pt idx="66" formatCode="General">
                  <c:v>-6.363397590361445</c:v>
                </c:pt>
                <c:pt idx="67" formatCode="General">
                  <c:v>-6.385727272727272</c:v>
                </c:pt>
                <c:pt idx="68" formatCode="General">
                  <c:v>-6.4081515151515154</c:v>
                </c:pt>
                <c:pt idx="69" formatCode="General">
                  <c:v>-6.4301818181818184</c:v>
                </c:pt>
                <c:pt idx="70" formatCode="General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4A52-48C1-879E-D295987745E2}"/>
            </c:ext>
          </c:extLst>
        </c:ser>
        <c:ser>
          <c:idx val="47"/>
          <c:order val="48"/>
          <c:tx>
            <c:strRef>
              <c:f>'Gibbs-EVAL'!$A$149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'Gibbs-EVAL'!$B$149:$BT$149</c:f>
              <c:numCache>
                <c:formatCode>0</c:formatCode>
                <c:ptCount val="71"/>
                <c:pt idx="0">
                  <c:v>-22.065575757575758</c:v>
                </c:pt>
                <c:pt idx="1">
                  <c:v>-21.674060606060607</c:v>
                </c:pt>
                <c:pt idx="2" formatCode="General">
                  <c:v>-21.395272727272726</c:v>
                </c:pt>
                <c:pt idx="3" formatCode="General">
                  <c:v>-21.244787878787879</c:v>
                </c:pt>
                <c:pt idx="4" formatCode="General">
                  <c:v>-21.157019667170953</c:v>
                </c:pt>
                <c:pt idx="5" formatCode="General">
                  <c:v>-21.244765506807866</c:v>
                </c:pt>
                <c:pt idx="6" formatCode="General">
                  <c:v>-21.332511346444779</c:v>
                </c:pt>
                <c:pt idx="7" formatCode="General">
                  <c:v>-21.420257186081695</c:v>
                </c:pt>
                <c:pt idx="8" formatCode="General">
                  <c:v>-21.508003025718608</c:v>
                </c:pt>
                <c:pt idx="9" formatCode="General">
                  <c:v>-21.595748865355521</c:v>
                </c:pt>
                <c:pt idx="10" formatCode="General">
                  <c:v>-21.683494704992437</c:v>
                </c:pt>
                <c:pt idx="11" formatCode="General">
                  <c:v>-21.792666666666666</c:v>
                </c:pt>
                <c:pt idx="12" formatCode="General">
                  <c:v>-21.925999999999998</c:v>
                </c:pt>
                <c:pt idx="13" formatCode="General">
                  <c:v>-22.049393939393937</c:v>
                </c:pt>
                <c:pt idx="14" formatCode="General">
                  <c:v>-22.167409638554215</c:v>
                </c:pt>
                <c:pt idx="15" formatCode="General">
                  <c:v>-22.269819277108432</c:v>
                </c:pt>
                <c:pt idx="16" formatCode="General">
                  <c:v>-22.363272727272729</c:v>
                </c:pt>
                <c:pt idx="17" formatCode="General">
                  <c:v>-22.448121212121212</c:v>
                </c:pt>
                <c:pt idx="18" formatCode="General">
                  <c:v>-22.532969696969698</c:v>
                </c:pt>
                <c:pt idx="19" formatCode="General">
                  <c:v>-22.620363636363638</c:v>
                </c:pt>
                <c:pt idx="20" formatCode="General">
                  <c:v>-22.717333333333336</c:v>
                </c:pt>
                <c:pt idx="21" formatCode="General">
                  <c:v>-22.82448484848485</c:v>
                </c:pt>
                <c:pt idx="22" formatCode="General">
                  <c:v>-22.939636363636364</c:v>
                </c:pt>
                <c:pt idx="23" formatCode="General">
                  <c:v>-23.059638554216868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4A52-48C1-879E-D295987745E2}"/>
            </c:ext>
          </c:extLst>
        </c:ser>
        <c:ser>
          <c:idx val="48"/>
          <c:order val="49"/>
          <c:tx>
            <c:strRef>
              <c:f>'Gibbs-EVAL'!$A$150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4A52-48C1-879E-D295987745E2}"/>
            </c:ext>
          </c:extLst>
        </c:ser>
        <c:ser>
          <c:idx val="49"/>
          <c:order val="50"/>
          <c:tx>
            <c:strRef>
              <c:f>'Gibbs-EVAL'!$A$151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4A52-48C1-879E-D295987745E2}"/>
            </c:ext>
          </c:extLst>
        </c:ser>
        <c:ser>
          <c:idx val="50"/>
          <c:order val="51"/>
          <c:tx>
            <c:strRef>
              <c:f>'Gibbs-EVAL'!$A$152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4A52-48C1-879E-D295987745E2}"/>
            </c:ext>
          </c:extLst>
        </c:ser>
        <c:ser>
          <c:idx val="51"/>
          <c:order val="52"/>
          <c:tx>
            <c:strRef>
              <c:f>'Gibbs-EVAL'!$A$153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4A52-48C1-879E-D295987745E2}"/>
            </c:ext>
          </c:extLst>
        </c:ser>
        <c:ser>
          <c:idx val="52"/>
          <c:order val="53"/>
          <c:tx>
            <c:strRef>
              <c:f>'Gibbs-EVAL'!$A$154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4A52-48C1-879E-D295987745E2}"/>
            </c:ext>
          </c:extLst>
        </c:ser>
        <c:ser>
          <c:idx val="53"/>
          <c:order val="54"/>
          <c:tx>
            <c:strRef>
              <c:f>'Gibbs-EVAL'!$A$155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4A52-48C1-879E-D295987745E2}"/>
            </c:ext>
          </c:extLst>
        </c:ser>
        <c:ser>
          <c:idx val="55"/>
          <c:order val="55"/>
          <c:tx>
            <c:strRef>
              <c:f>'Gibbs-EVAL'!$A$156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4A52-48C1-879E-D295987745E2}"/>
            </c:ext>
          </c:extLst>
        </c:ser>
        <c:ser>
          <c:idx val="56"/>
          <c:order val="56"/>
          <c:tx>
            <c:strRef>
              <c:f>'Gibbs-EVAL'!$A$157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4A52-48C1-879E-D295987745E2}"/>
            </c:ext>
          </c:extLst>
        </c:ser>
        <c:ser>
          <c:idx val="57"/>
          <c:order val="57"/>
          <c:tx>
            <c:strRef>
              <c:f>'Gibbs-EVAL'!$A$158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4A52-48C1-879E-D295987745E2}"/>
            </c:ext>
          </c:extLst>
        </c:ser>
        <c:ser>
          <c:idx val="58"/>
          <c:order val="58"/>
          <c:tx>
            <c:strRef>
              <c:f>'Gibbs-EVAL'!$A$159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4A52-48C1-879E-D295987745E2}"/>
            </c:ext>
          </c:extLst>
        </c:ser>
        <c:ser>
          <c:idx val="59"/>
          <c:order val="59"/>
          <c:tx>
            <c:strRef>
              <c:f>'Gibbs-EVAL'!$A$160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4A52-48C1-879E-D295987745E2}"/>
            </c:ext>
          </c:extLst>
        </c:ser>
        <c:ser>
          <c:idx val="60"/>
          <c:order val="60"/>
          <c:tx>
            <c:strRef>
              <c:f>'Gibbs-EVAL'!$A$161</c:f>
              <c:strCache>
                <c:ptCount val="1"/>
                <c:pt idx="0">
                  <c:v>End2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'Gibbs-EVAL'!$B$161:$BT$161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4A52-48C1-879E-D29598774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332237031845046"/>
          <c:y val="1.403859009444820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4.0122484763636409E-11</c:v>
                </c:pt>
                <c:pt idx="1">
                  <c:v>4.4496089090909203E-10</c:v>
                </c:pt>
                <c:pt idx="2">
                  <c:v>1.4468027090909102E-9</c:v>
                </c:pt>
                <c:pt idx="3">
                  <c:v>1.5836322181818206E-7</c:v>
                </c:pt>
                <c:pt idx="4">
                  <c:v>5.8185203482425066E-3</c:v>
                </c:pt>
                <c:pt idx="5">
                  <c:v>7.8545577451272802E-2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  <c:pt idx="21">
                  <c:v>0.20145454545454577</c:v>
                </c:pt>
                <c:pt idx="22">
                  <c:v>0.34690909090909122</c:v>
                </c:pt>
                <c:pt idx="23">
                  <c:v>0.36</c:v>
                </c:pt>
                <c:pt idx="24">
                  <c:v>0.36</c:v>
                </c:pt>
                <c:pt idx="25">
                  <c:v>0.36</c:v>
                </c:pt>
                <c:pt idx="26">
                  <c:v>0.36</c:v>
                </c:pt>
                <c:pt idx="27">
                  <c:v>0.36</c:v>
                </c:pt>
                <c:pt idx="28">
                  <c:v>0.36</c:v>
                </c:pt>
                <c:pt idx="29">
                  <c:v>0.36727272727272725</c:v>
                </c:pt>
                <c:pt idx="30">
                  <c:v>0.39151515151515154</c:v>
                </c:pt>
                <c:pt idx="31">
                  <c:v>0.4</c:v>
                </c:pt>
                <c:pt idx="32">
                  <c:v>0.4</c:v>
                </c:pt>
                <c:pt idx="33">
                  <c:v>0.4</c:v>
                </c:pt>
                <c:pt idx="34">
                  <c:v>0.4</c:v>
                </c:pt>
                <c:pt idx="35">
                  <c:v>0.4</c:v>
                </c:pt>
                <c:pt idx="36">
                  <c:v>0.4</c:v>
                </c:pt>
                <c:pt idx="37">
                  <c:v>0.4</c:v>
                </c:pt>
                <c:pt idx="38">
                  <c:v>0.4</c:v>
                </c:pt>
                <c:pt idx="39">
                  <c:v>0.4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  <c:pt idx="46">
                  <c:v>0.4</c:v>
                </c:pt>
                <c:pt idx="47">
                  <c:v>0.4</c:v>
                </c:pt>
                <c:pt idx="48">
                  <c:v>0.4</c:v>
                </c:pt>
                <c:pt idx="49">
                  <c:v>0.4</c:v>
                </c:pt>
                <c:pt idx="50">
                  <c:v>0.4</c:v>
                </c:pt>
                <c:pt idx="51">
                  <c:v>0.43881333333333356</c:v>
                </c:pt>
                <c:pt idx="52">
                  <c:v>0.4782957575757576</c:v>
                </c:pt>
                <c:pt idx="53">
                  <c:v>0.47944727272727272</c:v>
                </c:pt>
                <c:pt idx="54">
                  <c:v>0.48</c:v>
                </c:pt>
                <c:pt idx="55">
                  <c:v>0.48</c:v>
                </c:pt>
                <c:pt idx="56">
                  <c:v>0.48</c:v>
                </c:pt>
                <c:pt idx="57">
                  <c:v>0.48</c:v>
                </c:pt>
                <c:pt idx="58">
                  <c:v>0.48</c:v>
                </c:pt>
                <c:pt idx="59">
                  <c:v>0.48</c:v>
                </c:pt>
                <c:pt idx="60">
                  <c:v>0.48</c:v>
                </c:pt>
                <c:pt idx="61">
                  <c:v>0.48</c:v>
                </c:pt>
                <c:pt idx="62">
                  <c:v>0.48</c:v>
                </c:pt>
                <c:pt idx="63">
                  <c:v>0.48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6749-4437-9EBA-FACF01A95B36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9.4775333333333184E-34</c:v>
                </c:pt>
                <c:pt idx="9">
                  <c:v>3.7209473377436009E-27</c:v>
                </c:pt>
                <c:pt idx="10">
                  <c:v>3.4728824894773901E-26</c:v>
                </c:pt>
                <c:pt idx="11">
                  <c:v>1.9889319213313171E-11</c:v>
                </c:pt>
                <c:pt idx="12">
                  <c:v>6.2207019667170965E-11</c:v>
                </c:pt>
                <c:pt idx="13">
                  <c:v>1.0452472012102877E-10</c:v>
                </c:pt>
                <c:pt idx="14">
                  <c:v>1.4684242057488658E-10</c:v>
                </c:pt>
                <c:pt idx="15">
                  <c:v>1.8916012102874438E-10</c:v>
                </c:pt>
                <c:pt idx="16">
                  <c:v>2.3147782148260218E-10</c:v>
                </c:pt>
                <c:pt idx="17">
                  <c:v>2.7379552193645998E-10</c:v>
                </c:pt>
                <c:pt idx="18">
                  <c:v>8.7112896969697131E-10</c:v>
                </c:pt>
                <c:pt idx="19">
                  <c:v>5.1064036363636761E-9</c:v>
                </c:pt>
                <c:pt idx="20">
                  <c:v>2.2687373333333375E-8</c:v>
                </c:pt>
                <c:pt idx="21">
                  <c:v>8.145456555216396E-2</c:v>
                </c:pt>
                <c:pt idx="22">
                  <c:v>0.22690909256852759</c:v>
                </c:pt>
                <c:pt idx="23">
                  <c:v>0.24</c:v>
                </c:pt>
                <c:pt idx="24">
                  <c:v>0.24</c:v>
                </c:pt>
                <c:pt idx="25">
                  <c:v>0.24</c:v>
                </c:pt>
                <c:pt idx="26">
                  <c:v>0.24</c:v>
                </c:pt>
                <c:pt idx="27">
                  <c:v>0.24</c:v>
                </c:pt>
                <c:pt idx="28">
                  <c:v>0.24</c:v>
                </c:pt>
                <c:pt idx="29">
                  <c:v>0.24</c:v>
                </c:pt>
                <c:pt idx="30">
                  <c:v>0.24</c:v>
                </c:pt>
                <c:pt idx="31">
                  <c:v>0.24</c:v>
                </c:pt>
                <c:pt idx="32">
                  <c:v>0.24</c:v>
                </c:pt>
                <c:pt idx="33">
                  <c:v>0.24</c:v>
                </c:pt>
                <c:pt idx="34">
                  <c:v>0.24</c:v>
                </c:pt>
                <c:pt idx="35">
                  <c:v>0.24</c:v>
                </c:pt>
                <c:pt idx="36">
                  <c:v>0.24</c:v>
                </c:pt>
                <c:pt idx="37">
                  <c:v>0.24</c:v>
                </c:pt>
                <c:pt idx="38">
                  <c:v>0.24</c:v>
                </c:pt>
                <c:pt idx="39">
                  <c:v>0.24</c:v>
                </c:pt>
                <c:pt idx="40">
                  <c:v>0.24</c:v>
                </c:pt>
                <c:pt idx="41">
                  <c:v>0.24</c:v>
                </c:pt>
                <c:pt idx="42">
                  <c:v>0.24</c:v>
                </c:pt>
                <c:pt idx="43">
                  <c:v>0.24</c:v>
                </c:pt>
                <c:pt idx="44">
                  <c:v>0.24</c:v>
                </c:pt>
                <c:pt idx="45">
                  <c:v>0.24</c:v>
                </c:pt>
                <c:pt idx="46">
                  <c:v>0.24</c:v>
                </c:pt>
                <c:pt idx="47">
                  <c:v>0.24</c:v>
                </c:pt>
                <c:pt idx="48">
                  <c:v>0.24</c:v>
                </c:pt>
                <c:pt idx="49">
                  <c:v>0.24</c:v>
                </c:pt>
                <c:pt idx="50">
                  <c:v>0.24</c:v>
                </c:pt>
                <c:pt idx="51">
                  <c:v>0.23194909090909085</c:v>
                </c:pt>
                <c:pt idx="52">
                  <c:v>0.22352078787878787</c:v>
                </c:pt>
                <c:pt idx="53">
                  <c:v>0.22187836363636362</c:v>
                </c:pt>
                <c:pt idx="54">
                  <c:v>0.22027060606060606</c:v>
                </c:pt>
                <c:pt idx="55">
                  <c:v>0.21869484848484846</c:v>
                </c:pt>
                <c:pt idx="56">
                  <c:v>0.21694509090909089</c:v>
                </c:pt>
                <c:pt idx="57">
                  <c:v>0.21502680786686837</c:v>
                </c:pt>
                <c:pt idx="58">
                  <c:v>0.21260320726172466</c:v>
                </c:pt>
                <c:pt idx="59">
                  <c:v>0.21017960665658092</c:v>
                </c:pt>
                <c:pt idx="60">
                  <c:v>0.20775600605143721</c:v>
                </c:pt>
                <c:pt idx="61">
                  <c:v>0.2053324054462935</c:v>
                </c:pt>
                <c:pt idx="62">
                  <c:v>0.20290880484114976</c:v>
                </c:pt>
                <c:pt idx="63">
                  <c:v>0.20048520423600605</c:v>
                </c:pt>
                <c:pt idx="64">
                  <c:v>0.19751036363636362</c:v>
                </c:pt>
                <c:pt idx="65">
                  <c:v>0.19418309090909089</c:v>
                </c:pt>
                <c:pt idx="66">
                  <c:v>0.19040084337349397</c:v>
                </c:pt>
                <c:pt idx="67">
                  <c:v>0.18640909090909091</c:v>
                </c:pt>
                <c:pt idx="68">
                  <c:v>0.18197272727272726</c:v>
                </c:pt>
                <c:pt idx="69">
                  <c:v>0.17705181818181817</c:v>
                </c:pt>
                <c:pt idx="70">
                  <c:v>0.17186999999999999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6749-4437-9EBA-FACF01A95B36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6749-4437-9EBA-FACF01A95B36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0.04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3.2727300083636363E-2</c:v>
                </c:pt>
                <c:pt idx="30">
                  <c:v>8.4849670290909132E-3</c:v>
                </c:pt>
                <c:pt idx="31">
                  <c:v>9.2012587349397678E-8</c:v>
                </c:pt>
                <c:pt idx="32">
                  <c:v>2.0934909638556205E-9</c:v>
                </c:pt>
                <c:pt idx="33">
                  <c:v>6.0522000000000135E-10</c:v>
                </c:pt>
                <c:pt idx="34">
                  <c:v>1.7152876363636392E-10</c:v>
                </c:pt>
                <c:pt idx="35">
                  <c:v>5.1025127272727563E-11</c:v>
                </c:pt>
                <c:pt idx="36">
                  <c:v>9.3014254545454674E-12</c:v>
                </c:pt>
                <c:pt idx="37">
                  <c:v>3.2052853252647528E-12</c:v>
                </c:pt>
                <c:pt idx="38">
                  <c:v>2.7174184568835376E-12</c:v>
                </c:pt>
                <c:pt idx="39">
                  <c:v>2.2295515885023228E-12</c:v>
                </c:pt>
                <c:pt idx="40">
                  <c:v>1.741684720121108E-12</c:v>
                </c:pt>
                <c:pt idx="41">
                  <c:v>1.2538178517398928E-12</c:v>
                </c:pt>
                <c:pt idx="42">
                  <c:v>7.65950983358678E-13</c:v>
                </c:pt>
                <c:pt idx="43">
                  <c:v>2.780841149774632E-13</c:v>
                </c:pt>
                <c:pt idx="44">
                  <c:v>1.2466971230242472E-25</c:v>
                </c:pt>
                <c:pt idx="45">
                  <c:v>2.2482996726667122E-26</c:v>
                </c:pt>
                <c:pt idx="46">
                  <c:v>1.011994545454551E-30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6749-4437-9EBA-FACF01A95B36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*Ga[1]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3.4433888048409526E-29</c:v>
                </c:pt>
                <c:pt idx="38">
                  <c:v>8.9528108925869658E-28</c:v>
                </c:pt>
                <c:pt idx="39">
                  <c:v>1.7561282904689835E-27</c:v>
                </c:pt>
                <c:pt idx="40">
                  <c:v>2.6169754916792708E-27</c:v>
                </c:pt>
                <c:pt idx="41">
                  <c:v>3.4778226928895578E-27</c:v>
                </c:pt>
                <c:pt idx="42">
                  <c:v>4.3386698940998448E-27</c:v>
                </c:pt>
                <c:pt idx="43">
                  <c:v>5.1995170953101317E-27</c:v>
                </c:pt>
                <c:pt idx="44">
                  <c:v>8.3405517818180944E-25</c:v>
                </c:pt>
                <c:pt idx="45">
                  <c:v>2.7604853599999911E-24</c:v>
                </c:pt>
                <c:pt idx="46">
                  <c:v>2.7552517636363479E-22</c:v>
                </c:pt>
                <c:pt idx="47">
                  <c:v>1.5058913939393614E-21</c:v>
                </c:pt>
                <c:pt idx="48">
                  <c:v>8.6335944242423924E-21</c:v>
                </c:pt>
                <c:pt idx="49">
                  <c:v>1.64338072289156E-19</c:v>
                </c:pt>
                <c:pt idx="50">
                  <c:v>4.8100072289156739E-19</c:v>
                </c:pt>
                <c:pt idx="51">
                  <c:v>3.0472341818181691E-19</c:v>
                </c:pt>
                <c:pt idx="52">
                  <c:v>2.0336121218275148E-10</c:v>
                </c:pt>
                <c:pt idx="53">
                  <c:v>1.3996036363835989E-9</c:v>
                </c:pt>
                <c:pt idx="54">
                  <c:v>1.0271487272727344E-8</c:v>
                </c:pt>
                <c:pt idx="55">
                  <c:v>2.6228578181818253E-8</c:v>
                </c:pt>
                <c:pt idx="56">
                  <c:v>3.5589381818181855E-8</c:v>
                </c:pt>
                <c:pt idx="57">
                  <c:v>4.2250305597579427E-8</c:v>
                </c:pt>
                <c:pt idx="58">
                  <c:v>4.2833512859304087E-8</c:v>
                </c:pt>
                <c:pt idx="59">
                  <c:v>4.3416720121028747E-8</c:v>
                </c:pt>
                <c:pt idx="60">
                  <c:v>4.3999927382753407E-8</c:v>
                </c:pt>
                <c:pt idx="61">
                  <c:v>4.4583134644478067E-8</c:v>
                </c:pt>
                <c:pt idx="62">
                  <c:v>4.5166341906202727E-8</c:v>
                </c:pt>
                <c:pt idx="63">
                  <c:v>4.5749549167927387E-8</c:v>
                </c:pt>
                <c:pt idx="64">
                  <c:v>4.4567345454545453E-8</c:v>
                </c:pt>
                <c:pt idx="65">
                  <c:v>4.2256436363636358E-8</c:v>
                </c:pt>
                <c:pt idx="66">
                  <c:v>2.6851999999999985E-8</c:v>
                </c:pt>
                <c:pt idx="67">
                  <c:v>1.3646309090909091E-8</c:v>
                </c:pt>
                <c:pt idx="68">
                  <c:v>6.8440060606060596E-9</c:v>
                </c:pt>
                <c:pt idx="69">
                  <c:v>2.9135448484848485E-9</c:v>
                </c:pt>
                <c:pt idx="70">
                  <c:v>5.2946000000000036E-10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6749-4437-9EBA-FACF01A95B36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*GeSe2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0.11418181839080718</c:v>
                </c:pt>
                <c:pt idx="5">
                  <c:v>4.145454827589809E-2</c:v>
                </c:pt>
                <c:pt idx="6">
                  <c:v>3.2263518674698782E-9</c:v>
                </c:pt>
                <c:pt idx="7">
                  <c:v>7.0530969879518313E-10</c:v>
                </c:pt>
                <c:pt idx="8">
                  <c:v>6.9458380000000084E-11</c:v>
                </c:pt>
                <c:pt idx="9">
                  <c:v>5.0540360727272767E-12</c:v>
                </c:pt>
                <c:pt idx="10">
                  <c:v>1.7951700121212162E-12</c:v>
                </c:pt>
                <c:pt idx="11">
                  <c:v>6.3137963801403633E-14</c:v>
                </c:pt>
                <c:pt idx="12">
                  <c:v>5.2854908059709232E-14</c:v>
                </c:pt>
                <c:pt idx="13">
                  <c:v>4.2571852318014825E-14</c:v>
                </c:pt>
                <c:pt idx="14">
                  <c:v>3.2288796576320418E-14</c:v>
                </c:pt>
                <c:pt idx="15">
                  <c:v>2.200574083462601E-14</c:v>
                </c:pt>
                <c:pt idx="16">
                  <c:v>1.1722685092931603E-14</c:v>
                </c:pt>
                <c:pt idx="17">
                  <c:v>1.4396293512372023E-15</c:v>
                </c:pt>
                <c:pt idx="18">
                  <c:v>7.4087636363640254E-22</c:v>
                </c:pt>
                <c:pt idx="19">
                  <c:v>6.8757818181818073E-35</c:v>
                </c:pt>
                <c:pt idx="20">
                  <c:v>2.1009333333333221E-35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6749-4437-9EBA-FACF01A95B36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1.4189933333333312E-30</c:v>
                </c:pt>
                <c:pt idx="9">
                  <c:v>6.7565728649090263E-26</c:v>
                </c:pt>
                <c:pt idx="10">
                  <c:v>6.3058812822484776E-25</c:v>
                </c:pt>
                <c:pt idx="11">
                  <c:v>4.3909092293046825E-15</c:v>
                </c:pt>
                <c:pt idx="12">
                  <c:v>1.3733269289678517E-14</c:v>
                </c:pt>
                <c:pt idx="13">
                  <c:v>2.3075629350052353E-14</c:v>
                </c:pt>
                <c:pt idx="14">
                  <c:v>3.2417989410426183E-14</c:v>
                </c:pt>
                <c:pt idx="15">
                  <c:v>4.1760349470800024E-14</c:v>
                </c:pt>
                <c:pt idx="16">
                  <c:v>5.1102709531173858E-14</c:v>
                </c:pt>
                <c:pt idx="17">
                  <c:v>6.0445069591547691E-14</c:v>
                </c:pt>
                <c:pt idx="18">
                  <c:v>2.959639235151507E-14</c:v>
                </c:pt>
                <c:pt idx="19">
                  <c:v>4.9905163636572299E-17</c:v>
                </c:pt>
                <c:pt idx="20">
                  <c:v>1.5248800001202663E-17</c:v>
                </c:pt>
                <c:pt idx="21">
                  <c:v>1.0834599999999976E-27</c:v>
                </c:pt>
                <c:pt idx="22">
                  <c:v>8.9459999999997778E-29</c:v>
                </c:pt>
                <c:pt idx="23">
                  <c:v>2.1785180722891592E-18</c:v>
                </c:pt>
                <c:pt idx="24">
                  <c:v>6.5104548826424235E-11</c:v>
                </c:pt>
                <c:pt idx="25">
                  <c:v>3.2552272823612119E-10</c:v>
                </c:pt>
                <c:pt idx="26">
                  <c:v>5.4156209090909096E-9</c:v>
                </c:pt>
                <c:pt idx="27">
                  <c:v>1.3725505757575759E-8</c:v>
                </c:pt>
                <c:pt idx="28">
                  <c:v>9.1896484848484868E-8</c:v>
                </c:pt>
                <c:pt idx="29">
                  <c:v>1.4545576609999999E-2</c:v>
                </c:pt>
                <c:pt idx="30">
                  <c:v>6.3030334676666674E-2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  <c:pt idx="36">
                  <c:v>0.08</c:v>
                </c:pt>
                <c:pt idx="37">
                  <c:v>0.08</c:v>
                </c:pt>
                <c:pt idx="38">
                  <c:v>0.08</c:v>
                </c:pt>
                <c:pt idx="39">
                  <c:v>0.08</c:v>
                </c:pt>
                <c:pt idx="40">
                  <c:v>0.08</c:v>
                </c:pt>
                <c:pt idx="41">
                  <c:v>0.08</c:v>
                </c:pt>
                <c:pt idx="42">
                  <c:v>0.08</c:v>
                </c:pt>
                <c:pt idx="43">
                  <c:v>0.08</c:v>
                </c:pt>
                <c:pt idx="44">
                  <c:v>0.08</c:v>
                </c:pt>
                <c:pt idx="45">
                  <c:v>0.08</c:v>
                </c:pt>
                <c:pt idx="46">
                  <c:v>0.08</c:v>
                </c:pt>
                <c:pt idx="47">
                  <c:v>0.08</c:v>
                </c:pt>
                <c:pt idx="48">
                  <c:v>0.08</c:v>
                </c:pt>
                <c:pt idx="49">
                  <c:v>0.08</c:v>
                </c:pt>
                <c:pt idx="50">
                  <c:v>0.08</c:v>
                </c:pt>
                <c:pt idx="51">
                  <c:v>4.1186368484848267E-2</c:v>
                </c:pt>
                <c:pt idx="52">
                  <c:v>1.7037053191939343E-3</c:v>
                </c:pt>
                <c:pt idx="53">
                  <c:v>5.5256013798181294E-4</c:v>
                </c:pt>
                <c:pt idx="54">
                  <c:v>7.3314821818181544E-9</c:v>
                </c:pt>
                <c:pt idx="55">
                  <c:v>1.3324094545454276E-9</c:v>
                </c:pt>
                <c:pt idx="56">
                  <c:v>2.6120366918181658E-10</c:v>
                </c:pt>
                <c:pt idx="57">
                  <c:v>1.406090015128592E-14</c:v>
                </c:pt>
                <c:pt idx="58">
                  <c:v>1.1860446293494696E-14</c:v>
                </c:pt>
                <c:pt idx="59">
                  <c:v>9.6599924357034704E-15</c:v>
                </c:pt>
                <c:pt idx="60">
                  <c:v>7.4595385779122465E-15</c:v>
                </c:pt>
                <c:pt idx="61">
                  <c:v>5.2590847201210225E-15</c:v>
                </c:pt>
                <c:pt idx="62">
                  <c:v>3.058630862329797E-15</c:v>
                </c:pt>
                <c:pt idx="63">
                  <c:v>8.5817700453857299E-16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6749-4437-9EBA-FACF01A95B36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*Ge[l]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9.8429803328290279E-33</c:v>
                </c:pt>
                <c:pt idx="12">
                  <c:v>3.078549167927382E-32</c:v>
                </c:pt>
                <c:pt idx="13">
                  <c:v>5.1728003025718609E-32</c:v>
                </c:pt>
                <c:pt idx="14">
                  <c:v>7.2670514372163404E-32</c:v>
                </c:pt>
                <c:pt idx="15">
                  <c:v>9.3613025718608199E-32</c:v>
                </c:pt>
                <c:pt idx="16">
                  <c:v>1.1455553706505298E-31</c:v>
                </c:pt>
                <c:pt idx="17">
                  <c:v>1.3549804841149778E-31</c:v>
                </c:pt>
                <c:pt idx="18">
                  <c:v>6.6278606060605875E-32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3.9242424242424246E-35</c:v>
                </c:pt>
                <c:pt idx="25">
                  <c:v>1.9621212121212122E-34</c:v>
                </c:pt>
                <c:pt idx="26">
                  <c:v>1.6481818181818182E-34</c:v>
                </c:pt>
                <c:pt idx="27">
                  <c:v>7.8484848484848385E-36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1.7481599999999957E-22</c:v>
                </c:pt>
                <c:pt idx="34">
                  <c:v>1.8245661625212001E-17</c:v>
                </c:pt>
                <c:pt idx="35">
                  <c:v>7.1908515346424115E-17</c:v>
                </c:pt>
                <c:pt idx="36">
                  <c:v>1.4228351650909046E-13</c:v>
                </c:pt>
                <c:pt idx="37">
                  <c:v>3.4509718608169414E-13</c:v>
                </c:pt>
                <c:pt idx="38">
                  <c:v>4.6952683812405417E-13</c:v>
                </c:pt>
                <c:pt idx="39">
                  <c:v>5.939564901664141E-13</c:v>
                </c:pt>
                <c:pt idx="40">
                  <c:v>7.1838614220877423E-13</c:v>
                </c:pt>
                <c:pt idx="41">
                  <c:v>8.4281579425113416E-13</c:v>
                </c:pt>
                <c:pt idx="42">
                  <c:v>9.6724544629349429E-13</c:v>
                </c:pt>
                <c:pt idx="43">
                  <c:v>1.0916750983358542E-12</c:v>
                </c:pt>
                <c:pt idx="44">
                  <c:v>1.0477066060606072E-12</c:v>
                </c:pt>
                <c:pt idx="45">
                  <c:v>7.8051266666666788E-13</c:v>
                </c:pt>
                <c:pt idx="46">
                  <c:v>4.0931352727272913E-13</c:v>
                </c:pt>
                <c:pt idx="47">
                  <c:v>5.6056281254545627E-14</c:v>
                </c:pt>
                <c:pt idx="48">
                  <c:v>1.9189213981818354E-14</c:v>
                </c:pt>
                <c:pt idx="49">
                  <c:v>1.303615663559395E-17</c:v>
                </c:pt>
                <c:pt idx="50">
                  <c:v>1.9885662930812397E-18</c:v>
                </c:pt>
                <c:pt idx="51">
                  <c:v>1.5809739393939309E-26</c:v>
                </c:pt>
                <c:pt idx="52">
                  <c:v>8.2071878787880986E-18</c:v>
                </c:pt>
                <c:pt idx="53">
                  <c:v>5.648476363636386E-17</c:v>
                </c:pt>
                <c:pt idx="54">
                  <c:v>6.3944296977903582E-11</c:v>
                </c:pt>
                <c:pt idx="55">
                  <c:v>1.869139456700248E-10</c:v>
                </c:pt>
                <c:pt idx="56">
                  <c:v>2.1600800000000007E-10</c:v>
                </c:pt>
                <c:pt idx="57">
                  <c:v>2.3325167927382764E-10</c:v>
                </c:pt>
                <c:pt idx="58">
                  <c:v>2.5821385779122553E-10</c:v>
                </c:pt>
                <c:pt idx="59">
                  <c:v>2.8317603630862337E-10</c:v>
                </c:pt>
                <c:pt idx="60">
                  <c:v>3.0813821482602127E-10</c:v>
                </c:pt>
                <c:pt idx="61">
                  <c:v>3.3310039334341916E-10</c:v>
                </c:pt>
                <c:pt idx="62">
                  <c:v>3.58062571860817E-10</c:v>
                </c:pt>
                <c:pt idx="63">
                  <c:v>3.8302475037821489E-10</c:v>
                </c:pt>
                <c:pt idx="64">
                  <c:v>8.6576509090909274E-10</c:v>
                </c:pt>
                <c:pt idx="65">
                  <c:v>1.6411832727272747E-9</c:v>
                </c:pt>
                <c:pt idx="66">
                  <c:v>2.2457132530120486E-9</c:v>
                </c:pt>
                <c:pt idx="67">
                  <c:v>3.036172727272727E-9</c:v>
                </c:pt>
                <c:pt idx="68">
                  <c:v>4.2770818181818183E-9</c:v>
                </c:pt>
                <c:pt idx="69">
                  <c:v>4.5253424242424245E-9</c:v>
                </c:pt>
                <c:pt idx="70">
                  <c:v>4.2391000000000004E-9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6749-4437-9EBA-FACF01A95B36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0.12581818181818188</c:v>
                </c:pt>
                <c:pt idx="5">
                  <c:v>0.19854545454545464</c:v>
                </c:pt>
                <c:pt idx="6">
                  <c:v>0.24</c:v>
                </c:pt>
                <c:pt idx="7">
                  <c:v>0.24</c:v>
                </c:pt>
                <c:pt idx="8">
                  <c:v>0.24</c:v>
                </c:pt>
                <c:pt idx="9">
                  <c:v>0.24</c:v>
                </c:pt>
                <c:pt idx="10">
                  <c:v>0.24</c:v>
                </c:pt>
                <c:pt idx="11">
                  <c:v>0.24</c:v>
                </c:pt>
                <c:pt idx="12">
                  <c:v>0.24</c:v>
                </c:pt>
                <c:pt idx="13">
                  <c:v>0.24</c:v>
                </c:pt>
                <c:pt idx="14">
                  <c:v>0.24</c:v>
                </c:pt>
                <c:pt idx="15">
                  <c:v>0.24</c:v>
                </c:pt>
                <c:pt idx="16">
                  <c:v>0.24</c:v>
                </c:pt>
                <c:pt idx="17">
                  <c:v>0.24</c:v>
                </c:pt>
                <c:pt idx="18">
                  <c:v>0.24</c:v>
                </c:pt>
                <c:pt idx="19">
                  <c:v>0.24</c:v>
                </c:pt>
                <c:pt idx="20">
                  <c:v>0.24</c:v>
                </c:pt>
                <c:pt idx="21">
                  <c:v>0.15854551267006028</c:v>
                </c:pt>
                <c:pt idx="22">
                  <c:v>1.3091071009454225E-2</c:v>
                </c:pt>
                <c:pt idx="23">
                  <c:v>7.8679505421686649E-8</c:v>
                </c:pt>
                <c:pt idx="24">
                  <c:v>2.0281442424242425E-9</c:v>
                </c:pt>
                <c:pt idx="25">
                  <c:v>6.3312121212121203E-10</c:v>
                </c:pt>
                <c:pt idx="26">
                  <c:v>4.7798545472282182E-11</c:v>
                </c:pt>
                <c:pt idx="27">
                  <c:v>2.2761212594191502E-12</c:v>
                </c:pt>
                <c:pt idx="28">
                  <c:v>2.0692848484848481E-20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9.8105999999999776E-27</c:v>
                </c:pt>
                <c:pt idx="34">
                  <c:v>1.0627163521212051E-23</c:v>
                </c:pt>
                <c:pt idx="35">
                  <c:v>4.1835435642424169E-23</c:v>
                </c:pt>
                <c:pt idx="36">
                  <c:v>5.2605876363636189E-21</c:v>
                </c:pt>
                <c:pt idx="37">
                  <c:v>1.2432308623298038E-20</c:v>
                </c:pt>
                <c:pt idx="38">
                  <c:v>1.0540024205748888E-20</c:v>
                </c:pt>
                <c:pt idx="39">
                  <c:v>8.647739788199739E-21</c:v>
                </c:pt>
                <c:pt idx="40">
                  <c:v>6.7554553706505879E-21</c:v>
                </c:pt>
                <c:pt idx="41">
                  <c:v>4.8631709531014383E-21</c:v>
                </c:pt>
                <c:pt idx="42">
                  <c:v>2.970886535552288E-21</c:v>
                </c:pt>
                <c:pt idx="43">
                  <c:v>1.0786021180031377E-21</c:v>
                </c:pt>
                <c:pt idx="44">
                  <c:v>8.3181818181818497E-35</c:v>
                </c:pt>
                <c:pt idx="45">
                  <c:v>1.5000000000000312E-35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6749-4437-9EBA-FACF01A95B36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4.7752284417549078E-33</c:v>
                </c:pt>
                <c:pt idx="12">
                  <c:v>1.4935288956127075E-32</c:v>
                </c:pt>
                <c:pt idx="13">
                  <c:v>2.5095349470499246E-32</c:v>
                </c:pt>
                <c:pt idx="14">
                  <c:v>3.5255409984871412E-32</c:v>
                </c:pt>
                <c:pt idx="15">
                  <c:v>4.5415470499243583E-32</c:v>
                </c:pt>
                <c:pt idx="16">
                  <c:v>5.5575531013615749E-32</c:v>
                </c:pt>
                <c:pt idx="17">
                  <c:v>6.573559152798792E-32</c:v>
                </c:pt>
                <c:pt idx="18">
                  <c:v>4.1267968606060713E-30</c:v>
                </c:pt>
                <c:pt idx="19">
                  <c:v>9.4366327272728209E-29</c:v>
                </c:pt>
                <c:pt idx="20">
                  <c:v>5.0632026666666759E-28</c:v>
                </c:pt>
                <c:pt idx="21">
                  <c:v>1.6155261939394003E-26</c:v>
                </c:pt>
                <c:pt idx="22">
                  <c:v>4.3776122545454608E-26</c:v>
                </c:pt>
                <c:pt idx="23">
                  <c:v>1.3641382530120496E-24</c:v>
                </c:pt>
                <c:pt idx="24">
                  <c:v>1.7886618181818183E-23</c:v>
                </c:pt>
                <c:pt idx="25">
                  <c:v>7.9631890909090907E-23</c:v>
                </c:pt>
                <c:pt idx="26">
                  <c:v>1.3894463636363638E-21</c:v>
                </c:pt>
                <c:pt idx="27">
                  <c:v>3.5313069696969699E-21</c:v>
                </c:pt>
                <c:pt idx="28">
                  <c:v>6.236659393939394E-20</c:v>
                </c:pt>
                <c:pt idx="29">
                  <c:v>4.7974181818181818E-19</c:v>
                </c:pt>
                <c:pt idx="30">
                  <c:v>1.7267478787878789E-18</c:v>
                </c:pt>
                <c:pt idx="31">
                  <c:v>1.0295169879518059E-17</c:v>
                </c:pt>
                <c:pt idx="32">
                  <c:v>2.2805892771084307E-17</c:v>
                </c:pt>
                <c:pt idx="33">
                  <c:v>1.3901239999999973E-16</c:v>
                </c:pt>
                <c:pt idx="34">
                  <c:v>5.4968242424242201E-16</c:v>
                </c:pt>
                <c:pt idx="35">
                  <c:v>1.5299248484848462E-15</c:v>
                </c:pt>
                <c:pt idx="36">
                  <c:v>6.948247272727256E-15</c:v>
                </c:pt>
                <c:pt idx="37">
                  <c:v>1.3806361270801109E-13</c:v>
                </c:pt>
                <c:pt idx="38">
                  <c:v>3.2380539304084641E-12</c:v>
                </c:pt>
                <c:pt idx="39">
                  <c:v>6.3380442481089176E-12</c:v>
                </c:pt>
                <c:pt idx="40">
                  <c:v>9.4380345658093712E-12</c:v>
                </c:pt>
                <c:pt idx="41">
                  <c:v>1.2538024883509825E-11</c:v>
                </c:pt>
                <c:pt idx="42">
                  <c:v>1.5638015201210277E-11</c:v>
                </c:pt>
                <c:pt idx="43">
                  <c:v>1.8738005518910729E-11</c:v>
                </c:pt>
                <c:pt idx="44">
                  <c:v>4.2522303030302796E-11</c:v>
                </c:pt>
                <c:pt idx="45">
                  <c:v>9.3725333333333104E-11</c:v>
                </c:pt>
                <c:pt idx="46">
                  <c:v>2.933670909090898E-10</c:v>
                </c:pt>
                <c:pt idx="47">
                  <c:v>6.4269187878787391E-10</c:v>
                </c:pt>
                <c:pt idx="48">
                  <c:v>1.7135524848484799E-9</c:v>
                </c:pt>
                <c:pt idx="49">
                  <c:v>4.4081349397590272E-9</c:v>
                </c:pt>
                <c:pt idx="50">
                  <c:v>8.8617493975903763E-9</c:v>
                </c:pt>
                <c:pt idx="51">
                  <c:v>2.3639480000000078E-8</c:v>
                </c:pt>
                <c:pt idx="52">
                  <c:v>3.7759624242424239E-8</c:v>
                </c:pt>
                <c:pt idx="53">
                  <c:v>3.7604472727272728E-8</c:v>
                </c:pt>
                <c:pt idx="54">
                  <c:v>3.7317272727272722E-8</c:v>
                </c:pt>
                <c:pt idx="55">
                  <c:v>3.6908181818181817E-8</c:v>
                </c:pt>
                <c:pt idx="56">
                  <c:v>3.6274472727272722E-8</c:v>
                </c:pt>
                <c:pt idx="57">
                  <c:v>3.5496290468986376E-8</c:v>
                </c:pt>
                <c:pt idx="58">
                  <c:v>3.4324883509833575E-8</c:v>
                </c:pt>
                <c:pt idx="59">
                  <c:v>3.3153476550680781E-8</c:v>
                </c:pt>
                <c:pt idx="60">
                  <c:v>3.198206959152798E-8</c:v>
                </c:pt>
                <c:pt idx="61">
                  <c:v>3.0810662632375186E-8</c:v>
                </c:pt>
                <c:pt idx="62">
                  <c:v>2.9639255673222385E-8</c:v>
                </c:pt>
                <c:pt idx="63">
                  <c:v>2.8467848714069588E-8</c:v>
                </c:pt>
                <c:pt idx="64">
                  <c:v>2.709193333333333E-8</c:v>
                </c:pt>
                <c:pt idx="65">
                  <c:v>2.5585266666666661E-8</c:v>
                </c:pt>
                <c:pt idx="66">
                  <c:v>2.4030638554216866E-8</c:v>
                </c:pt>
                <c:pt idx="67">
                  <c:v>2.2464454545454547E-8</c:v>
                </c:pt>
                <c:pt idx="68">
                  <c:v>2.0875969696969696E-8</c:v>
                </c:pt>
                <c:pt idx="69">
                  <c:v>1.9294575757575758E-8</c:v>
                </c:pt>
                <c:pt idx="70">
                  <c:v>1.7716999999999999E-8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6749-4437-9EBA-FACF01A95B36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6749-4437-9EBA-FACF01A95B36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3.0726733333333287E-34</c:v>
                </c:pt>
                <c:pt idx="9">
                  <c:v>5.8647963509090362E-31</c:v>
                </c:pt>
                <c:pt idx="10">
                  <c:v>5.4683230108484795E-30</c:v>
                </c:pt>
                <c:pt idx="11">
                  <c:v>5.8107217087170821E-22</c:v>
                </c:pt>
                <c:pt idx="12">
                  <c:v>1.817395921544069E-21</c:v>
                </c:pt>
                <c:pt idx="13">
                  <c:v>3.0537196722164296E-21</c:v>
                </c:pt>
                <c:pt idx="14">
                  <c:v>4.2900434228887903E-21</c:v>
                </c:pt>
                <c:pt idx="15">
                  <c:v>5.5263671735611517E-21</c:v>
                </c:pt>
                <c:pt idx="16">
                  <c:v>6.7626909242335124E-21</c:v>
                </c:pt>
                <c:pt idx="17">
                  <c:v>7.999014674905873E-21</c:v>
                </c:pt>
                <c:pt idx="18">
                  <c:v>3.9157727284848382E-21</c:v>
                </c:pt>
                <c:pt idx="19">
                  <c:v>5.1409745454548644E-24</c:v>
                </c:pt>
                <c:pt idx="20">
                  <c:v>1.5708533333352117E-24</c:v>
                </c:pt>
                <c:pt idx="21">
                  <c:v>1.6992109090909056E-36</c:v>
                </c:pt>
                <c:pt idx="22">
                  <c:v>1.4030181818181455E-37</c:v>
                </c:pt>
                <c:pt idx="23">
                  <c:v>0</c:v>
                </c:pt>
                <c:pt idx="24">
                  <c:v>4.9569696969696967E-29</c:v>
                </c:pt>
                <c:pt idx="25">
                  <c:v>2.4784848484848483E-28</c:v>
                </c:pt>
                <c:pt idx="26">
                  <c:v>2.0819272903956365E-28</c:v>
                </c:pt>
                <c:pt idx="27">
                  <c:v>9.9139441055030448E-30</c:v>
                </c:pt>
                <c:pt idx="28">
                  <c:v>2.0613090909090906E-36</c:v>
                </c:pt>
                <c:pt idx="29">
                  <c:v>0</c:v>
                </c:pt>
                <c:pt idx="30">
                  <c:v>0</c:v>
                </c:pt>
                <c:pt idx="31">
                  <c:v>2.0264728915662624E-36</c:v>
                </c:pt>
                <c:pt idx="32">
                  <c:v>5.1441234939758971E-36</c:v>
                </c:pt>
                <c:pt idx="33">
                  <c:v>6.9486000000000036E-22</c:v>
                </c:pt>
                <c:pt idx="34">
                  <c:v>4.560625279454515E-17</c:v>
                </c:pt>
                <c:pt idx="35">
                  <c:v>1.7973888424909059E-16</c:v>
                </c:pt>
                <c:pt idx="36">
                  <c:v>3.3358694981818071E-13</c:v>
                </c:pt>
                <c:pt idx="37">
                  <c:v>1.0592069591527839E-12</c:v>
                </c:pt>
                <c:pt idx="38">
                  <c:v>7.6043809379727524E-12</c:v>
                </c:pt>
                <c:pt idx="39">
                  <c:v>1.414955491679272E-11</c:v>
                </c:pt>
                <c:pt idx="40">
                  <c:v>2.069472889561269E-11</c:v>
                </c:pt>
                <c:pt idx="41">
                  <c:v>2.7239902874432658E-11</c:v>
                </c:pt>
                <c:pt idx="42">
                  <c:v>3.3785076853252623E-11</c:v>
                </c:pt>
                <c:pt idx="43">
                  <c:v>4.0330250832072591E-11</c:v>
                </c:pt>
                <c:pt idx="44">
                  <c:v>8.1494193939393535E-11</c:v>
                </c:pt>
                <c:pt idx="45">
                  <c:v>1.6854813333333293E-10</c:v>
                </c:pt>
                <c:pt idx="46">
                  <c:v>4.2458363636363501E-10</c:v>
                </c:pt>
                <c:pt idx="47">
                  <c:v>7.3908242424242254E-10</c:v>
                </c:pt>
                <c:pt idx="48">
                  <c:v>1.1258703030303014E-9</c:v>
                </c:pt>
                <c:pt idx="49">
                  <c:v>7.4568313253011812E-9</c:v>
                </c:pt>
                <c:pt idx="50">
                  <c:v>2.0227313253012093E-8</c:v>
                </c:pt>
                <c:pt idx="51">
                  <c:v>3.8813841634291128E-2</c:v>
                </c:pt>
                <c:pt idx="52">
                  <c:v>7.829665454545455E-2</c:v>
                </c:pt>
                <c:pt idx="53">
                  <c:v>7.9447563636363641E-2</c:v>
                </c:pt>
                <c:pt idx="54">
                  <c:v>0.08</c:v>
                </c:pt>
                <c:pt idx="55">
                  <c:v>0.08</c:v>
                </c:pt>
                <c:pt idx="56">
                  <c:v>0.08</c:v>
                </c:pt>
                <c:pt idx="57">
                  <c:v>0.08</c:v>
                </c:pt>
                <c:pt idx="58">
                  <c:v>0.08</c:v>
                </c:pt>
                <c:pt idx="59">
                  <c:v>0.08</c:v>
                </c:pt>
                <c:pt idx="60">
                  <c:v>0.08</c:v>
                </c:pt>
                <c:pt idx="61">
                  <c:v>0.08</c:v>
                </c:pt>
                <c:pt idx="62">
                  <c:v>0.08</c:v>
                </c:pt>
                <c:pt idx="63">
                  <c:v>0.08</c:v>
                </c:pt>
                <c:pt idx="64">
                  <c:v>0.08</c:v>
                </c:pt>
                <c:pt idx="65">
                  <c:v>0.08</c:v>
                </c:pt>
                <c:pt idx="66">
                  <c:v>0.08</c:v>
                </c:pt>
                <c:pt idx="67">
                  <c:v>0.08</c:v>
                </c:pt>
                <c:pt idx="68">
                  <c:v>0.08</c:v>
                </c:pt>
                <c:pt idx="69">
                  <c:v>0.08</c:v>
                </c:pt>
                <c:pt idx="70">
                  <c:v>0.08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6749-4437-9EBA-FACF01A95B36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5.0933624242424188E-27</c:v>
                </c:pt>
                <c:pt idx="1">
                  <c:v>1.4913648484848473E-27</c:v>
                </c:pt>
                <c:pt idx="2">
                  <c:v>3.1706181818181696E-28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1.2169259036144594E-26</c:v>
                </c:pt>
                <c:pt idx="7">
                  <c:v>4.0469861445783111E-26</c:v>
                </c:pt>
                <c:pt idx="8">
                  <c:v>2.4067869172213292E-19</c:v>
                </c:pt>
                <c:pt idx="9">
                  <c:v>3.0690595272726992E-17</c:v>
                </c:pt>
                <c:pt idx="10">
                  <c:v>2.8214772254545429E-16</c:v>
                </c:pt>
                <c:pt idx="11">
                  <c:v>3.0954176518608111E-12</c:v>
                </c:pt>
                <c:pt idx="12">
                  <c:v>9.6805287834795737E-12</c:v>
                </c:pt>
                <c:pt idx="13">
                  <c:v>1.6265639915098336E-11</c:v>
                </c:pt>
                <c:pt idx="14">
                  <c:v>2.2850751046717101E-11</c:v>
                </c:pt>
                <c:pt idx="15">
                  <c:v>2.9435862178335862E-11</c:v>
                </c:pt>
                <c:pt idx="16">
                  <c:v>3.6020973309954626E-11</c:v>
                </c:pt>
                <c:pt idx="17">
                  <c:v>4.260608444157339E-11</c:v>
                </c:pt>
                <c:pt idx="18">
                  <c:v>2.0843000162424183E-11</c:v>
                </c:pt>
                <c:pt idx="19">
                  <c:v>3.8869527272727604E-15</c:v>
                </c:pt>
                <c:pt idx="20">
                  <c:v>1.1876800000002197E-15</c:v>
                </c:pt>
                <c:pt idx="21">
                  <c:v>2.0375733333333293E-28</c:v>
                </c:pt>
                <c:pt idx="22">
                  <c:v>1.6823999999999587E-29</c:v>
                </c:pt>
                <c:pt idx="23">
                  <c:v>3.2704084337349434E-31</c:v>
                </c:pt>
                <c:pt idx="24">
                  <c:v>8.4765156577042423E-24</c:v>
                </c:pt>
                <c:pt idx="25">
                  <c:v>4.2382575902201214E-23</c:v>
                </c:pt>
                <c:pt idx="26">
                  <c:v>3.5601363672702913E-23</c:v>
                </c:pt>
                <c:pt idx="27">
                  <c:v>1.6953031272077559E-24</c:v>
                </c:pt>
                <c:pt idx="28">
                  <c:v>4.2395818181818187E-32</c:v>
                </c:pt>
                <c:pt idx="29">
                  <c:v>0</c:v>
                </c:pt>
                <c:pt idx="30">
                  <c:v>0</c:v>
                </c:pt>
                <c:pt idx="31">
                  <c:v>1.9438132530120455E-34</c:v>
                </c:pt>
                <c:pt idx="32">
                  <c:v>4.934295180722885E-34</c:v>
                </c:pt>
                <c:pt idx="33">
                  <c:v>1.5739800000000163E-20</c:v>
                </c:pt>
                <c:pt idx="34">
                  <c:v>2.5866810013939223E-16</c:v>
                </c:pt>
                <c:pt idx="35">
                  <c:v>1.0193794740787861E-15</c:v>
                </c:pt>
                <c:pt idx="36">
                  <c:v>5.0075029818181656E-13</c:v>
                </c:pt>
                <c:pt idx="37">
                  <c:v>1.1916027534039337E-12</c:v>
                </c:pt>
                <c:pt idx="38">
                  <c:v>1.0891715885022697E-12</c:v>
                </c:pt>
                <c:pt idx="39">
                  <c:v>9.8674042360060542E-13</c:v>
                </c:pt>
                <c:pt idx="40">
                  <c:v>8.8430925869894138E-13</c:v>
                </c:pt>
                <c:pt idx="41">
                  <c:v>7.8187809379727724E-13</c:v>
                </c:pt>
                <c:pt idx="42">
                  <c:v>6.7944692889561309E-13</c:v>
                </c:pt>
                <c:pt idx="43">
                  <c:v>5.7701576399394905E-13</c:v>
                </c:pt>
                <c:pt idx="44">
                  <c:v>5.7356054545454484E-13</c:v>
                </c:pt>
                <c:pt idx="45">
                  <c:v>7.0130599999999948E-13</c:v>
                </c:pt>
                <c:pt idx="46">
                  <c:v>8.1780999999999942E-13</c:v>
                </c:pt>
                <c:pt idx="47">
                  <c:v>8.9348509090909166E-13</c:v>
                </c:pt>
                <c:pt idx="48">
                  <c:v>7.1713963636363711E-13</c:v>
                </c:pt>
                <c:pt idx="49">
                  <c:v>1.5676742168674661E-12</c:v>
                </c:pt>
                <c:pt idx="50">
                  <c:v>3.5306621686747056E-12</c:v>
                </c:pt>
                <c:pt idx="51">
                  <c:v>2.562477105284863E-6</c:v>
                </c:pt>
                <c:pt idx="52">
                  <c:v>5.0395593939393904E-6</c:v>
                </c:pt>
                <c:pt idx="53">
                  <c:v>4.3534381818181788E-6</c:v>
                </c:pt>
                <c:pt idx="54">
                  <c:v>3.730536363636361E-6</c:v>
                </c:pt>
                <c:pt idx="55">
                  <c:v>3.1659909090909063E-6</c:v>
                </c:pt>
                <c:pt idx="56">
                  <c:v>2.7262509090909071E-6</c:v>
                </c:pt>
                <c:pt idx="57">
                  <c:v>2.3494559152798783E-6</c:v>
                </c:pt>
                <c:pt idx="58">
                  <c:v>2.1297100756429644E-6</c:v>
                </c:pt>
                <c:pt idx="59">
                  <c:v>1.9099642360060506E-6</c:v>
                </c:pt>
                <c:pt idx="60">
                  <c:v>1.6902183963691369E-6</c:v>
                </c:pt>
                <c:pt idx="61">
                  <c:v>1.4704725567322233E-6</c:v>
                </c:pt>
                <c:pt idx="62">
                  <c:v>1.2507267170953094E-6</c:v>
                </c:pt>
                <c:pt idx="63">
                  <c:v>1.0309808774583957E-6</c:v>
                </c:pt>
                <c:pt idx="64">
                  <c:v>8.7883806060606028E-7</c:v>
                </c:pt>
                <c:pt idx="65">
                  <c:v>7.6991684848484817E-7</c:v>
                </c:pt>
                <c:pt idx="66">
                  <c:v>6.8465397590361432E-7</c:v>
                </c:pt>
                <c:pt idx="67">
                  <c:v>6.0574909090909088E-7</c:v>
                </c:pt>
                <c:pt idx="68">
                  <c:v>5.3937939393939392E-7</c:v>
                </c:pt>
                <c:pt idx="69">
                  <c:v>4.8222000000000004E-7</c:v>
                </c:pt>
                <c:pt idx="70">
                  <c:v>4.3001999999999998E-7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6749-4437-9EBA-FACF01A95B36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2.40997515151515E-34</c:v>
                </c:pt>
                <c:pt idx="1">
                  <c:v>1.3060987878787867E-34</c:v>
                </c:pt>
                <c:pt idx="2">
                  <c:v>2.7767454545454423E-35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9.1994096385542283E-32</c:v>
                </c:pt>
                <c:pt idx="7">
                  <c:v>3.0593385542168653E-31</c:v>
                </c:pt>
                <c:pt idx="8">
                  <c:v>7.1843335227413237E-24</c:v>
                </c:pt>
                <c:pt idx="9">
                  <c:v>3.2474389999999696E-21</c:v>
                </c:pt>
                <c:pt idx="10">
                  <c:v>3.0181138999999976E-20</c:v>
                </c:pt>
                <c:pt idx="11">
                  <c:v>2.5326001960641405E-14</c:v>
                </c:pt>
                <c:pt idx="12">
                  <c:v>7.9211017927963675E-14</c:v>
                </c:pt>
                <c:pt idx="13">
                  <c:v>1.3309603389528592E-13</c:v>
                </c:pt>
                <c:pt idx="14">
                  <c:v>1.869810498626082E-13</c:v>
                </c:pt>
                <c:pt idx="15">
                  <c:v>2.4086606582993048E-13</c:v>
                </c:pt>
                <c:pt idx="16">
                  <c:v>2.9475108179725273E-13</c:v>
                </c:pt>
                <c:pt idx="17">
                  <c:v>3.4863609776457503E-13</c:v>
                </c:pt>
                <c:pt idx="18">
                  <c:v>1.7058277193939347E-13</c:v>
                </c:pt>
                <c:pt idx="19">
                  <c:v>8.054836363636547E-17</c:v>
                </c:pt>
                <c:pt idx="20">
                  <c:v>2.4612000000011159E-17</c:v>
                </c:pt>
                <c:pt idx="21">
                  <c:v>1.0168048484848464E-29</c:v>
                </c:pt>
                <c:pt idx="22">
                  <c:v>8.3956363636361568E-31</c:v>
                </c:pt>
                <c:pt idx="23">
                  <c:v>8.283192771084347E-32</c:v>
                </c:pt>
                <c:pt idx="24">
                  <c:v>4.55909103729697E-24</c:v>
                </c:pt>
                <c:pt idx="25">
                  <c:v>2.279545458208485E-23</c:v>
                </c:pt>
                <c:pt idx="26">
                  <c:v>1.9148181858258182E-23</c:v>
                </c:pt>
                <c:pt idx="27">
                  <c:v>9.1181828868848721E-25</c:v>
                </c:pt>
                <c:pt idx="28">
                  <c:v>4.6755757575757586E-32</c:v>
                </c:pt>
                <c:pt idx="29">
                  <c:v>0</c:v>
                </c:pt>
                <c:pt idx="30">
                  <c:v>0</c:v>
                </c:pt>
                <c:pt idx="31">
                  <c:v>1.5383072289156606E-33</c:v>
                </c:pt>
                <c:pt idx="32">
                  <c:v>3.9049337349397536E-33</c:v>
                </c:pt>
                <c:pt idx="33">
                  <c:v>2.2770600000000107E-19</c:v>
                </c:pt>
                <c:pt idx="34">
                  <c:v>6.6816103988484406E-15</c:v>
                </c:pt>
                <c:pt idx="35">
                  <c:v>2.6332289483696925E-14</c:v>
                </c:pt>
                <c:pt idx="36">
                  <c:v>2.2579773963636287E-11</c:v>
                </c:pt>
                <c:pt idx="37">
                  <c:v>5.4712481089258651E-11</c:v>
                </c:pt>
                <c:pt idx="38">
                  <c:v>7.3774508320726124E-11</c:v>
                </c:pt>
                <c:pt idx="39">
                  <c:v>9.2836535552193591E-11</c:v>
                </c:pt>
                <c:pt idx="40">
                  <c:v>1.1189856278366106E-10</c:v>
                </c:pt>
                <c:pt idx="41">
                  <c:v>1.3096059001512851E-10</c:v>
                </c:pt>
                <c:pt idx="42">
                  <c:v>1.50022617246596E-10</c:v>
                </c:pt>
                <c:pt idx="43">
                  <c:v>1.6908464447806347E-10</c:v>
                </c:pt>
                <c:pt idx="44">
                  <c:v>2.3839090909090851E-10</c:v>
                </c:pt>
                <c:pt idx="45">
                  <c:v>3.7429999999999942E-10</c:v>
                </c:pt>
                <c:pt idx="46">
                  <c:v>5.9094618181818068E-10</c:v>
                </c:pt>
                <c:pt idx="47">
                  <c:v>8.0298321212121202E-10</c:v>
                </c:pt>
                <c:pt idx="48">
                  <c:v>8.317771515151514E-10</c:v>
                </c:pt>
                <c:pt idx="49">
                  <c:v>2.9317572289156548E-9</c:v>
                </c:pt>
                <c:pt idx="50">
                  <c:v>7.2755222891566424E-9</c:v>
                </c:pt>
                <c:pt idx="51">
                  <c:v>8.0464404167527731E-3</c:v>
                </c:pt>
                <c:pt idx="52">
                  <c:v>1.6471036363636372E-2</c:v>
                </c:pt>
                <c:pt idx="53">
                  <c:v>1.8118309090909099E-2</c:v>
                </c:pt>
                <c:pt idx="54">
                  <c:v>1.9728709090909097E-2</c:v>
                </c:pt>
                <c:pt idx="55">
                  <c:v>2.1305072727272736E-2</c:v>
                </c:pt>
                <c:pt idx="56">
                  <c:v>2.3051218181818191E-2</c:v>
                </c:pt>
                <c:pt idx="57">
                  <c:v>2.4966391830559768E-2</c:v>
                </c:pt>
                <c:pt idx="58">
                  <c:v>2.7390900151285941E-2</c:v>
                </c:pt>
                <c:pt idx="59">
                  <c:v>2.9815408472012112E-2</c:v>
                </c:pt>
                <c:pt idx="60">
                  <c:v>3.2239916792738285E-2</c:v>
                </c:pt>
                <c:pt idx="61">
                  <c:v>3.4664425113464459E-2</c:v>
                </c:pt>
                <c:pt idx="62">
                  <c:v>3.7088933434190632E-2</c:v>
                </c:pt>
                <c:pt idx="63">
                  <c:v>3.9513441754916799E-2</c:v>
                </c:pt>
                <c:pt idx="64">
                  <c:v>4.2487527272727282E-2</c:v>
                </c:pt>
                <c:pt idx="65">
                  <c:v>4.5812981818181824E-2</c:v>
                </c:pt>
                <c:pt idx="66">
                  <c:v>4.9596891566265067E-2</c:v>
                </c:pt>
                <c:pt idx="67">
                  <c:v>5.3589181818181821E-2</c:v>
                </c:pt>
                <c:pt idx="68">
                  <c:v>5.8023121212121213E-2</c:v>
                </c:pt>
                <c:pt idx="69">
                  <c:v>6.2943575757575768E-2</c:v>
                </c:pt>
                <c:pt idx="70">
                  <c:v>6.8126000000000006E-2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6749-4437-9EBA-FACF01A95B36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>
                  <c:v>-18.618363636363636</c:v>
                </c:pt>
                <c:pt idx="3">
                  <c:v>-18.624424242424244</c:v>
                </c:pt>
                <c:pt idx="4">
                  <c:v>-18.630969696969697</c:v>
                </c:pt>
                <c:pt idx="5">
                  <c:v>-18.643090909090908</c:v>
                </c:pt>
                <c:pt idx="6">
                  <c:v>-18.655180722891565</c:v>
                </c:pt>
                <c:pt idx="7">
                  <c:v>-18.667228915662651</c:v>
                </c:pt>
                <c:pt idx="8">
                  <c:v>-18.679333333333336</c:v>
                </c:pt>
                <c:pt idx="9">
                  <c:v>-18.692181818181819</c:v>
                </c:pt>
                <c:pt idx="10">
                  <c:v>-18.710363636363635</c:v>
                </c:pt>
                <c:pt idx="11">
                  <c:v>-18.728532526475036</c:v>
                </c:pt>
                <c:pt idx="12">
                  <c:v>-18.746686838124052</c:v>
                </c:pt>
                <c:pt idx="13">
                  <c:v>-18.764841149773069</c:v>
                </c:pt>
                <c:pt idx="14">
                  <c:v>-18.782995461422086</c:v>
                </c:pt>
                <c:pt idx="15">
                  <c:v>-18.801149773071103</c:v>
                </c:pt>
                <c:pt idx="16">
                  <c:v>-18.81930408472012</c:v>
                </c:pt>
                <c:pt idx="17">
                  <c:v>-18.837458396369136</c:v>
                </c:pt>
                <c:pt idx="18">
                  <c:v>-18.855636363636364</c:v>
                </c:pt>
                <c:pt idx="19">
                  <c:v>-18.873818181818184</c:v>
                </c:pt>
                <c:pt idx="20">
                  <c:v>-18.891999999999999</c:v>
                </c:pt>
                <c:pt idx="21">
                  <c:v>-18.913575757575757</c:v>
                </c:pt>
                <c:pt idx="22">
                  <c:v>-18.937818181818184</c:v>
                </c:pt>
                <c:pt idx="23">
                  <c:v>-18.95644578313253</c:v>
                </c:pt>
                <c:pt idx="24">
                  <c:v>-18.976060606060607</c:v>
                </c:pt>
                <c:pt idx="25">
                  <c:v>-19.00030303030303</c:v>
                </c:pt>
                <c:pt idx="26">
                  <c:v>-19.020909090909093</c:v>
                </c:pt>
                <c:pt idx="27">
                  <c:v>-19.039090909090909</c:v>
                </c:pt>
                <c:pt idx="28">
                  <c:v>-19.057272727272728</c:v>
                </c:pt>
                <c:pt idx="29">
                  <c:v>-19.077272727272728</c:v>
                </c:pt>
                <c:pt idx="30">
                  <c:v>-19.101515151515152</c:v>
                </c:pt>
                <c:pt idx="31">
                  <c:v>-19.121746987951806</c:v>
                </c:pt>
                <c:pt idx="32">
                  <c:v>-19.139819277108433</c:v>
                </c:pt>
                <c:pt idx="33">
                  <c:v>-19.164000000000001</c:v>
                </c:pt>
                <c:pt idx="34">
                  <c:v>-19.186181818181819</c:v>
                </c:pt>
                <c:pt idx="35">
                  <c:v>-19.204363636363638</c:v>
                </c:pt>
                <c:pt idx="36">
                  <c:v>-19.226727272727274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6749-4437-9EBA-FACF01A95B36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-60.144848484848481</c:v>
                </c:pt>
                <c:pt idx="1">
                  <c:v>-58.339757575757574</c:v>
                </c:pt>
                <c:pt idx="2">
                  <c:v>-56.654909090909094</c:v>
                </c:pt>
                <c:pt idx="3">
                  <c:v>-55.098363636363636</c:v>
                </c:pt>
                <c:pt idx="4">
                  <c:v>-53.546121212121207</c:v>
                </c:pt>
                <c:pt idx="5">
                  <c:v>-51.49763636363636</c:v>
                </c:pt>
                <c:pt idx="6">
                  <c:v>-49.457048192771083</c:v>
                </c:pt>
                <c:pt idx="7">
                  <c:v>-47.426927710843373</c:v>
                </c:pt>
                <c:pt idx="8">
                  <c:v>-45.513333333333335</c:v>
                </c:pt>
                <c:pt idx="9">
                  <c:v>-43.650545454545458</c:v>
                </c:pt>
                <c:pt idx="10">
                  <c:v>-41.905090909090909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-17.45843373493976</c:v>
                </c:pt>
                <c:pt idx="32">
                  <c:v>-16.856024096385546</c:v>
                </c:pt>
                <c:pt idx="33">
                  <c:v>-16.28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-8.0158121212121198</c:v>
                </c:pt>
                <c:pt idx="52">
                  <c:v>-7.7234484848484852</c:v>
                </c:pt>
                <c:pt idx="53">
                  <c:v>-7.7731454545454541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-8.5329090909090901</c:v>
                </c:pt>
                <c:pt idx="68">
                  <c:v>-8.5959393939393944</c:v>
                </c:pt>
                <c:pt idx="69">
                  <c:v>-8.6605454545454545</c:v>
                </c:pt>
                <c:pt idx="70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6749-4437-9EBA-FACF01A95B36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-15.300424242424242</c:v>
                </c:pt>
                <c:pt idx="1">
                  <c:v>-14.974848484848485</c:v>
                </c:pt>
                <c:pt idx="2">
                  <c:v>-14.671818181818182</c:v>
                </c:pt>
                <c:pt idx="3">
                  <c:v>-14.399757575757576</c:v>
                </c:pt>
                <c:pt idx="4">
                  <c:v>-14.105212121212121</c:v>
                </c:pt>
                <c:pt idx="5">
                  <c:v>-13.420363636363636</c:v>
                </c:pt>
                <c:pt idx="6">
                  <c:v>-12.711385542168674</c:v>
                </c:pt>
                <c:pt idx="7">
                  <c:v>-11.970421686746988</c:v>
                </c:pt>
                <c:pt idx="8">
                  <c:v>-11.272666666666668</c:v>
                </c:pt>
                <c:pt idx="9">
                  <c:v>-10.593127272727273</c:v>
                </c:pt>
                <c:pt idx="10">
                  <c:v>-9.9525212121212121</c:v>
                </c:pt>
                <c:pt idx="11">
                  <c:v>-9.3588018154311658</c:v>
                </c:pt>
                <c:pt idx="12">
                  <c:v>-8.8179546142208771</c:v>
                </c:pt>
                <c:pt idx="13">
                  <c:v>-8.2771074130105902</c:v>
                </c:pt>
                <c:pt idx="14">
                  <c:v>-7.7362602118003023</c:v>
                </c:pt>
                <c:pt idx="15">
                  <c:v>-7.1954130105900145</c:v>
                </c:pt>
                <c:pt idx="16">
                  <c:v>-6.6545658093797275</c:v>
                </c:pt>
                <c:pt idx="17">
                  <c:v>-6.1137186081694388</c:v>
                </c:pt>
                <c:pt idx="18">
                  <c:v>-5.6392727272727265</c:v>
                </c:pt>
                <c:pt idx="19">
                  <c:v>-5.1809818181818166</c:v>
                </c:pt>
                <c:pt idx="20">
                  <c:v>-4.742799999999999</c:v>
                </c:pt>
                <c:pt idx="21">
                  <c:v>-4.4023636363636358</c:v>
                </c:pt>
                <c:pt idx="22">
                  <c:v>-4.1387272727272721</c:v>
                </c:pt>
                <c:pt idx="23">
                  <c:v>-4.1369277108433735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-4.3330542168674695</c:v>
                </c:pt>
                <c:pt idx="32">
                  <c:v>-4.3577530120481924</c:v>
                </c:pt>
                <c:pt idx="33">
                  <c:v>-4.3826000000000001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-5.1835454545454542</c:v>
                </c:pt>
                <c:pt idx="68">
                  <c:v>-5.2053636363636366</c:v>
                </c:pt>
                <c:pt idx="69">
                  <c:v>-5.2271818181818182</c:v>
                </c:pt>
                <c:pt idx="70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6749-4437-9EBA-FACF01A95B36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  <c:pt idx="0">
                  <c:v>-21.792000000000002</c:v>
                </c:pt>
                <c:pt idx="1">
                  <c:v>-21.217333333333332</c:v>
                </c:pt>
                <c:pt idx="2">
                  <c:v>-20.683999999999997</c:v>
                </c:pt>
                <c:pt idx="3">
                  <c:v>-20.194909090909089</c:v>
                </c:pt>
                <c:pt idx="4">
                  <c:v>-19.761939393939397</c:v>
                </c:pt>
                <c:pt idx="5">
                  <c:v>-19.78618181818182</c:v>
                </c:pt>
                <c:pt idx="6">
                  <c:v>-19.862168674698797</c:v>
                </c:pt>
                <c:pt idx="7">
                  <c:v>-20.006746987951807</c:v>
                </c:pt>
                <c:pt idx="8">
                  <c:v>-20.152000000000001</c:v>
                </c:pt>
                <c:pt idx="9">
                  <c:v>-20.298181818181821</c:v>
                </c:pt>
                <c:pt idx="10">
                  <c:v>-20.449696969696969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-23.573975903614457</c:v>
                </c:pt>
                <c:pt idx="32">
                  <c:v>-23.718554216867467</c:v>
                </c:pt>
                <c:pt idx="33">
                  <c:v>-23.858000000000001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6749-4437-9EBA-FACF01A95B36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6749-4437-9EBA-FACF01A95B36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6749-4437-9EBA-FACF01A95B36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6749-4437-9EBA-FACF01A95B36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6749-4437-9EBA-FACF01A95B36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6749-4437-9EBA-FACF01A95B36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6749-4437-9EBA-FACF01A95B36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6749-4437-9EBA-FACF01A95B36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6749-4437-9EBA-FACF01A95B36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6749-4437-9EBA-FACF01A95B36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6749-4437-9EBA-FACF01A95B36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6749-4437-9EBA-FACF01A95B36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6749-4437-9EBA-FACF01A95B36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  <c:pt idx="0">
                  <c:v>end1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6749-4437-9EBA-FACF01A95B36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6749-4437-9EBA-FACF01A95B36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6749-4437-9EBA-FACF01A95B36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1.6735315156149013E-23</c:v>
                </c:pt>
                <c:pt idx="1">
                  <c:v>3.0091301472727363E-20</c:v>
                </c:pt>
                <c:pt idx="2">
                  <c:v>1.0920838692727282E-19</c:v>
                </c:pt>
                <c:pt idx="3">
                  <c:v>2.2640414545454577E-18</c:v>
                </c:pt>
                <c:pt idx="4">
                  <c:v>1.2732251739788308E-17</c:v>
                </c:pt>
                <c:pt idx="5">
                  <c:v>1.0997539848714078E-16</c:v>
                </c:pt>
                <c:pt idx="6">
                  <c:v>2.0721854523449323E-16</c:v>
                </c:pt>
                <c:pt idx="7">
                  <c:v>3.044616919818457E-16</c:v>
                </c:pt>
                <c:pt idx="8">
                  <c:v>4.0170483872919815E-16</c:v>
                </c:pt>
                <c:pt idx="9">
                  <c:v>4.989479854765506E-16</c:v>
                </c:pt>
                <c:pt idx="10">
                  <c:v>5.9619113222390305E-16</c:v>
                </c:pt>
                <c:pt idx="11">
                  <c:v>2.0334523636363604E-15</c:v>
                </c:pt>
                <c:pt idx="12">
                  <c:v>4.9817978181818147E-15</c:v>
                </c:pt>
                <c:pt idx="13">
                  <c:v>1.0748446969696955E-13</c:v>
                </c:pt>
                <c:pt idx="14">
                  <c:v>3.6167728915662492E-12</c:v>
                </c:pt>
                <c:pt idx="15">
                  <c:v>2.3652495783132553E-11</c:v>
                </c:pt>
                <c:pt idx="16">
                  <c:v>5.6734109090909323E-10</c:v>
                </c:pt>
                <c:pt idx="17">
                  <c:v>1.6141471515151537E-9</c:v>
                </c:pt>
                <c:pt idx="18">
                  <c:v>3.6844939393939443E-9</c:v>
                </c:pt>
                <c:pt idx="19">
                  <c:v>5.7876490909090949E-9</c:v>
                </c:pt>
                <c:pt idx="20">
                  <c:v>7.3874066666666711E-9</c:v>
                </c:pt>
                <c:pt idx="21">
                  <c:v>8.8368466666666702E-9</c:v>
                </c:pt>
                <c:pt idx="22">
                  <c:v>1.0168180000000002E-8</c:v>
                </c:pt>
                <c:pt idx="23">
                  <c:v>1.3718042168674703E-8</c:v>
                </c:pt>
                <c:pt idx="24">
                  <c:v>1.686969696969697E-8</c:v>
                </c:pt>
                <c:pt idx="25">
                  <c:v>1.8168484848484851E-8</c:v>
                </c:pt>
                <c:pt idx="26">
                  <c:v>1.7813454545454547E-8</c:v>
                </c:pt>
                <c:pt idx="27">
                  <c:v>1.6355878787878789E-8</c:v>
                </c:pt>
                <c:pt idx="28">
                  <c:v>1.3967878787878787E-8</c:v>
                </c:pt>
                <c:pt idx="29">
                  <c:v>1.2826181818181817E-8</c:v>
                </c:pt>
                <c:pt idx="30">
                  <c:v>1.4706787878787877E-8</c:v>
                </c:pt>
                <c:pt idx="31">
                  <c:v>1.6280873493975901E-8</c:v>
                </c:pt>
                <c:pt idx="32">
                  <c:v>1.7689909638554213E-8</c:v>
                </c:pt>
                <c:pt idx="33">
                  <c:v>1.8416199999999999E-8</c:v>
                </c:pt>
                <c:pt idx="34">
                  <c:v>1.8968066666666667E-8</c:v>
                </c:pt>
                <c:pt idx="35">
                  <c:v>1.9194733333333334E-8</c:v>
                </c:pt>
                <c:pt idx="36">
                  <c:v>1.926458181818182E-8</c:v>
                </c:pt>
                <c:pt idx="37">
                  <c:v>1.9265597579425112E-8</c:v>
                </c:pt>
                <c:pt idx="38">
                  <c:v>1.930553706505295E-8</c:v>
                </c:pt>
                <c:pt idx="39">
                  <c:v>1.9345476550680787E-8</c:v>
                </c:pt>
                <c:pt idx="40">
                  <c:v>1.9385416036308625E-8</c:v>
                </c:pt>
                <c:pt idx="41">
                  <c:v>1.9425355521936462E-8</c:v>
                </c:pt>
                <c:pt idx="42">
                  <c:v>1.9465295007564296E-8</c:v>
                </c:pt>
                <c:pt idx="43">
                  <c:v>1.9505234493192133E-8</c:v>
                </c:pt>
                <c:pt idx="44">
                  <c:v>1.9223812405446296E-8</c:v>
                </c:pt>
                <c:pt idx="45">
                  <c:v>1.851639939485628E-8</c:v>
                </c:pt>
                <c:pt idx="46">
                  <c:v>1.7808986384266264E-8</c:v>
                </c:pt>
                <c:pt idx="47">
                  <c:v>1.7101573373676247E-8</c:v>
                </c:pt>
                <c:pt idx="48">
                  <c:v>1.6394160363086231E-8</c:v>
                </c:pt>
                <c:pt idx="49">
                  <c:v>1.5686747352496217E-8</c:v>
                </c:pt>
                <c:pt idx="50">
                  <c:v>1.4979334341906198E-8</c:v>
                </c:pt>
                <c:pt idx="51">
                  <c:v>1.5298527272727276E-8</c:v>
                </c:pt>
                <c:pt idx="52">
                  <c:v>1.584307272727273E-8</c:v>
                </c:pt>
                <c:pt idx="53">
                  <c:v>1.6387618181818185E-8</c:v>
                </c:pt>
                <c:pt idx="54">
                  <c:v>1.6932163636363639E-8</c:v>
                </c:pt>
                <c:pt idx="55">
                  <c:v>1.7476709090909093E-8</c:v>
                </c:pt>
                <c:pt idx="56">
                  <c:v>1.8021254545454547E-8</c:v>
                </c:pt>
                <c:pt idx="57">
                  <c:v>1.9184590361445798E-8</c:v>
                </c:pt>
                <c:pt idx="58">
                  <c:v>2.2541819277108446E-8</c:v>
                </c:pt>
                <c:pt idx="59">
                  <c:v>2.5591751515151521E-8</c:v>
                </c:pt>
                <c:pt idx="60">
                  <c:v>2.8400236363636368E-8</c:v>
                </c:pt>
                <c:pt idx="61">
                  <c:v>2.3413054545454533E-8</c:v>
                </c:pt>
                <c:pt idx="62">
                  <c:v>1.9415151515151516E-8</c:v>
                </c:pt>
                <c:pt idx="63">
                  <c:v>2.0427272727272728E-8</c:v>
                </c:pt>
                <c:pt idx="64">
                  <c:v>2.1302236363636366E-8</c:v>
                </c:pt>
                <c:pt idx="65">
                  <c:v>2.2089509090909092E-8</c:v>
                </c:pt>
                <c:pt idx="66">
                  <c:v>2.2701626506024097E-8</c:v>
                </c:pt>
                <c:pt idx="67">
                  <c:v>2.3236818181818183E-8</c:v>
                </c:pt>
                <c:pt idx="68">
                  <c:v>2.3609545454545456E-8</c:v>
                </c:pt>
                <c:pt idx="69">
                  <c:v>2.3866454545454545E-8</c:v>
                </c:pt>
                <c:pt idx="70">
                  <c:v>2.4061E-8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6749-4437-9EBA-FACF01A95B36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3.2555735757575792E-9</c:v>
                </c:pt>
                <c:pt idx="1">
                  <c:v>6.4679496969697017E-9</c:v>
                </c:pt>
                <c:pt idx="2">
                  <c:v>1.0333343636363642E-8</c:v>
                </c:pt>
                <c:pt idx="3">
                  <c:v>1.3194036363636367E-8</c:v>
                </c:pt>
                <c:pt idx="4">
                  <c:v>1.5618608169440246E-8</c:v>
                </c:pt>
                <c:pt idx="5">
                  <c:v>1.7301210287443269E-8</c:v>
                </c:pt>
                <c:pt idx="6">
                  <c:v>1.8983812405446296E-8</c:v>
                </c:pt>
                <c:pt idx="7">
                  <c:v>2.0666414523449319E-8</c:v>
                </c:pt>
                <c:pt idx="8">
                  <c:v>2.2349016641452346E-8</c:v>
                </c:pt>
                <c:pt idx="9">
                  <c:v>2.4031618759455369E-8</c:v>
                </c:pt>
                <c:pt idx="10">
                  <c:v>2.5714220877458396E-8</c:v>
                </c:pt>
                <c:pt idx="11">
                  <c:v>2.567938787878788E-8</c:v>
                </c:pt>
                <c:pt idx="12">
                  <c:v>2.3707872727272731E-8</c:v>
                </c:pt>
                <c:pt idx="13">
                  <c:v>1.9535278787878792E-8</c:v>
                </c:pt>
                <c:pt idx="14">
                  <c:v>1.4790082530120485E-8</c:v>
                </c:pt>
                <c:pt idx="15">
                  <c:v>9.6082150602409582E-9</c:v>
                </c:pt>
                <c:pt idx="16">
                  <c:v>5.0340949090908996E-9</c:v>
                </c:pt>
                <c:pt idx="17">
                  <c:v>1.0438888484848395E-9</c:v>
                </c:pt>
                <c:pt idx="18">
                  <c:v>2.3246483987878717E-10</c:v>
                </c:pt>
                <c:pt idx="19">
                  <c:v>2.1471726774181785E-13</c:v>
                </c:pt>
                <c:pt idx="20">
                  <c:v>6.5609018893332971E-14</c:v>
                </c:pt>
                <c:pt idx="21">
                  <c:v>9.1784613702739211E-19</c:v>
                </c:pt>
                <c:pt idx="22">
                  <c:v>7.5785667433452768E-20</c:v>
                </c:pt>
                <c:pt idx="23">
                  <c:v>1.0173344210858421E-25</c:v>
                </c:pt>
                <c:pt idx="24">
                  <c:v>1.2960606060606063E-32</c:v>
                </c:pt>
                <c:pt idx="25">
                  <c:v>3.7030303030303034E-33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6749-4437-9EBA-FACF01A95B36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6749-4437-9EBA-FACF01A95B36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(DGeSe2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0.10389327878787878</c:v>
                </c:pt>
                <c:pt idx="1">
                  <c:v>9.3476199999999982E-2</c:v>
                </c:pt>
                <c:pt idx="2">
                  <c:v>7.9316199999999989E-2</c:v>
                </c:pt>
                <c:pt idx="3">
                  <c:v>6.3278109090909071E-2</c:v>
                </c:pt>
                <c:pt idx="4">
                  <c:v>4.7338432677760965E-2</c:v>
                </c:pt>
                <c:pt idx="5">
                  <c:v>4.0518841149773069E-2</c:v>
                </c:pt>
                <c:pt idx="6">
                  <c:v>3.3699249621785173E-2</c:v>
                </c:pt>
                <c:pt idx="7">
                  <c:v>2.6879658093797276E-2</c:v>
                </c:pt>
                <c:pt idx="8">
                  <c:v>2.006006656580938E-2</c:v>
                </c:pt>
                <c:pt idx="9">
                  <c:v>1.3240475037821484E-2</c:v>
                </c:pt>
                <c:pt idx="10">
                  <c:v>6.4208835098335873E-3</c:v>
                </c:pt>
                <c:pt idx="11">
                  <c:v>2.4000496969696977E-3</c:v>
                </c:pt>
                <c:pt idx="12">
                  <c:v>1.5352618181818192E-3</c:v>
                </c:pt>
                <c:pt idx="13">
                  <c:v>1.0426595151515157E-3</c:v>
                </c:pt>
                <c:pt idx="14">
                  <c:v>6.671675903614459E-4</c:v>
                </c:pt>
                <c:pt idx="15">
                  <c:v>4.645651807228913E-4</c:v>
                </c:pt>
                <c:pt idx="16">
                  <c:v>3.1076018181818159E-4</c:v>
                </c:pt>
                <c:pt idx="17">
                  <c:v>2.0383896969696945E-4</c:v>
                </c:pt>
                <c:pt idx="18">
                  <c:v>1.3877838787878773E-4</c:v>
                </c:pt>
                <c:pt idx="19">
                  <c:v>8.6257054545454468E-5</c:v>
                </c:pt>
                <c:pt idx="20">
                  <c:v>5.5271599999999927E-5</c:v>
                </c:pt>
                <c:pt idx="21">
                  <c:v>3.3232909090909054E-5</c:v>
                </c:pt>
                <c:pt idx="22">
                  <c:v>1.8223818181818145E-5</c:v>
                </c:pt>
                <c:pt idx="23">
                  <c:v>1.1076025903614452E-5</c:v>
                </c:pt>
                <c:pt idx="24">
                  <c:v>5.6845272727272729E-6</c:v>
                </c:pt>
                <c:pt idx="25">
                  <c:v>3.2294363636363638E-6</c:v>
                </c:pt>
                <c:pt idx="26">
                  <c:v>1.7186363636363636E-6</c:v>
                </c:pt>
                <c:pt idx="27">
                  <c:v>8.3736363636363636E-7</c:v>
                </c:pt>
                <c:pt idx="28">
                  <c:v>4.9969242424242433E-7</c:v>
                </c:pt>
                <c:pt idx="29">
                  <c:v>2.5067727272727273E-7</c:v>
                </c:pt>
                <c:pt idx="30">
                  <c:v>1.4176818181818184E-7</c:v>
                </c:pt>
                <c:pt idx="31">
                  <c:v>7.8348554216867519E-8</c:v>
                </c:pt>
                <c:pt idx="32">
                  <c:v>3.9423253012048289E-8</c:v>
                </c:pt>
                <c:pt idx="33">
                  <c:v>2.4707800000000034E-8</c:v>
                </c:pt>
                <c:pt idx="34">
                  <c:v>1.3283847272727287E-8</c:v>
                </c:pt>
                <c:pt idx="35">
                  <c:v>7.7745745454545592E-9</c:v>
                </c:pt>
                <c:pt idx="36">
                  <c:v>4.5754218181818237E-9</c:v>
                </c:pt>
                <c:pt idx="37">
                  <c:v>2.4860376520423605E-9</c:v>
                </c:pt>
                <c:pt idx="38">
                  <c:v>2.1219789531013622E-9</c:v>
                </c:pt>
                <c:pt idx="39">
                  <c:v>1.7579202541603642E-9</c:v>
                </c:pt>
                <c:pt idx="40">
                  <c:v>1.3938615552193656E-9</c:v>
                </c:pt>
                <c:pt idx="41">
                  <c:v>1.0298028562783674E-9</c:v>
                </c:pt>
                <c:pt idx="42">
                  <c:v>6.6574415733736903E-10</c:v>
                </c:pt>
                <c:pt idx="43">
                  <c:v>3.0168545839637065E-10</c:v>
                </c:pt>
                <c:pt idx="44">
                  <c:v>8.8383159152798849E-11</c:v>
                </c:pt>
                <c:pt idx="45">
                  <c:v>7.4920738577912292E-11</c:v>
                </c:pt>
                <c:pt idx="46">
                  <c:v>6.1458318003025735E-11</c:v>
                </c:pt>
                <c:pt idx="47">
                  <c:v>4.7995897428139184E-11</c:v>
                </c:pt>
                <c:pt idx="48">
                  <c:v>3.4533476853252621E-11</c:v>
                </c:pt>
                <c:pt idx="49">
                  <c:v>2.1071056278366077E-11</c:v>
                </c:pt>
                <c:pt idx="50">
                  <c:v>7.60863570347952E-12</c:v>
                </c:pt>
                <c:pt idx="51">
                  <c:v>4.591056545454542E-12</c:v>
                </c:pt>
                <c:pt idx="52">
                  <c:v>3.8662474545454517E-12</c:v>
                </c:pt>
                <c:pt idx="53">
                  <c:v>3.1414383636363602E-12</c:v>
                </c:pt>
                <c:pt idx="54">
                  <c:v>2.4166292727272695E-12</c:v>
                </c:pt>
                <c:pt idx="55">
                  <c:v>1.6918201818181784E-12</c:v>
                </c:pt>
                <c:pt idx="56">
                  <c:v>9.6701109090908733E-13</c:v>
                </c:pt>
                <c:pt idx="57">
                  <c:v>3.774401204819272E-13</c:v>
                </c:pt>
                <c:pt idx="58">
                  <c:v>2.6734975903614426E-13</c:v>
                </c:pt>
                <c:pt idx="59">
                  <c:v>1.854593333333332E-13</c:v>
                </c:pt>
                <c:pt idx="60">
                  <c:v>1.2572599999999987E-13</c:v>
                </c:pt>
                <c:pt idx="61">
                  <c:v>9.0792096969696904E-14</c:v>
                </c:pt>
                <c:pt idx="62">
                  <c:v>6.2127999999999965E-14</c:v>
                </c:pt>
                <c:pt idx="63">
                  <c:v>4.4327999999999961E-14</c:v>
                </c:pt>
                <c:pt idx="64">
                  <c:v>3.1382121212121193E-14</c:v>
                </c:pt>
                <c:pt idx="65">
                  <c:v>2.153969696969695E-14</c:v>
                </c:pt>
                <c:pt idx="66">
                  <c:v>1.5904168674698789E-14</c:v>
                </c:pt>
                <c:pt idx="67">
                  <c:v>1.1152854545454546E-14</c:v>
                </c:pt>
                <c:pt idx="68">
                  <c:v>8.0557030303030312E-15</c:v>
                </c:pt>
                <c:pt idx="69">
                  <c:v>5.8255333333333333E-15</c:v>
                </c:pt>
                <c:pt idx="70">
                  <c:v>4.0621999999999996E-15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6749-4437-9EBA-FACF01A95B36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(DGeSe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0.1361048484848485</c:v>
                </c:pt>
                <c:pt idx="1">
                  <c:v>0.14651987878787881</c:v>
                </c:pt>
                <c:pt idx="2">
                  <c:v>0.16067745454545457</c:v>
                </c:pt>
                <c:pt idx="3">
                  <c:v>0.17670648484848486</c:v>
                </c:pt>
                <c:pt idx="4">
                  <c:v>0.19260582450832076</c:v>
                </c:pt>
                <c:pt idx="5">
                  <c:v>0.19905363086232983</c:v>
                </c:pt>
                <c:pt idx="6">
                  <c:v>0.2055014372163389</c:v>
                </c:pt>
                <c:pt idx="7">
                  <c:v>0.21194924357034797</c:v>
                </c:pt>
                <c:pt idx="8">
                  <c:v>0.21839704992435705</c:v>
                </c:pt>
                <c:pt idx="9">
                  <c:v>0.22484485627836612</c:v>
                </c:pt>
                <c:pt idx="10">
                  <c:v>0.23129266263237519</c:v>
                </c:pt>
                <c:pt idx="11">
                  <c:v>0.23395230303030304</c:v>
                </c:pt>
                <c:pt idx="12">
                  <c:v>0.23234018181818183</c:v>
                </c:pt>
                <c:pt idx="13">
                  <c:v>0.22791024242424243</c:v>
                </c:pt>
                <c:pt idx="14">
                  <c:v>0.22200873493975903</c:v>
                </c:pt>
                <c:pt idx="15">
                  <c:v>0.21194246987951806</c:v>
                </c:pt>
                <c:pt idx="16">
                  <c:v>0.19868618181818179</c:v>
                </c:pt>
                <c:pt idx="17">
                  <c:v>0.18236496969696964</c:v>
                </c:pt>
                <c:pt idx="18">
                  <c:v>0.16131636363636359</c:v>
                </c:pt>
                <c:pt idx="19">
                  <c:v>0.13901199999999997</c:v>
                </c:pt>
                <c:pt idx="20">
                  <c:v>0.11487866666666663</c:v>
                </c:pt>
                <c:pt idx="21">
                  <c:v>9.2028242424242374E-2</c:v>
                </c:pt>
                <c:pt idx="22">
                  <c:v>7.0185818181818127E-2</c:v>
                </c:pt>
                <c:pt idx="23">
                  <c:v>5.3410024096385525E-2</c:v>
                </c:pt>
                <c:pt idx="24">
                  <c:v>3.855460606060606E-2</c:v>
                </c:pt>
                <c:pt idx="25">
                  <c:v>2.7957030303030303E-2</c:v>
                </c:pt>
                <c:pt idx="26">
                  <c:v>1.9962363636363636E-2</c:v>
                </c:pt>
                <c:pt idx="27">
                  <c:v>1.3702969696969698E-2</c:v>
                </c:pt>
                <c:pt idx="28">
                  <c:v>1.003160606060606E-2</c:v>
                </c:pt>
                <c:pt idx="29">
                  <c:v>6.9664363636363635E-3</c:v>
                </c:pt>
                <c:pt idx="30">
                  <c:v>4.9978909090909098E-3</c:v>
                </c:pt>
                <c:pt idx="31">
                  <c:v>3.5984030120481936E-3</c:v>
                </c:pt>
                <c:pt idx="32">
                  <c:v>2.5053307228915687E-3</c:v>
                </c:pt>
                <c:pt idx="33">
                  <c:v>1.8790400000000015E-3</c:v>
                </c:pt>
                <c:pt idx="34">
                  <c:v>1.347492121212122E-3</c:v>
                </c:pt>
                <c:pt idx="35">
                  <c:v>9.9070424242424324E-4</c:v>
                </c:pt>
                <c:pt idx="36">
                  <c:v>7.3638763636363683E-4</c:v>
                </c:pt>
                <c:pt idx="37">
                  <c:v>5.337176399394858E-4</c:v>
                </c:pt>
                <c:pt idx="38">
                  <c:v>4.6565863842662654E-4</c:v>
                </c:pt>
                <c:pt idx="39">
                  <c:v>3.9759963691376722E-4</c:v>
                </c:pt>
                <c:pt idx="40">
                  <c:v>3.2954063540090791E-4</c:v>
                </c:pt>
                <c:pt idx="41">
                  <c:v>2.6148163388804864E-4</c:v>
                </c:pt>
                <c:pt idx="42">
                  <c:v>1.9342263237518938E-4</c:v>
                </c:pt>
                <c:pt idx="43">
                  <c:v>1.2536363086233007E-4</c:v>
                </c:pt>
                <c:pt idx="44">
                  <c:v>8.2073019667170993E-5</c:v>
                </c:pt>
                <c:pt idx="45">
                  <c:v>7.1614925869894136E-5</c:v>
                </c:pt>
                <c:pt idx="46">
                  <c:v>6.1156832072617264E-5</c:v>
                </c:pt>
                <c:pt idx="47">
                  <c:v>5.0698738275340393E-5</c:v>
                </c:pt>
                <c:pt idx="48">
                  <c:v>4.0240644478063521E-5</c:v>
                </c:pt>
                <c:pt idx="49">
                  <c:v>2.9782550680786656E-5</c:v>
                </c:pt>
                <c:pt idx="50">
                  <c:v>1.9324456883509792E-5</c:v>
                </c:pt>
                <c:pt idx="51">
                  <c:v>1.5805963333333326E-5</c:v>
                </c:pt>
                <c:pt idx="52">
                  <c:v>1.3810796666666659E-5</c:v>
                </c:pt>
                <c:pt idx="53">
                  <c:v>1.1815629999999991E-5</c:v>
                </c:pt>
                <c:pt idx="54">
                  <c:v>9.8204633333333237E-6</c:v>
                </c:pt>
                <c:pt idx="55">
                  <c:v>7.825296666666658E-6</c:v>
                </c:pt>
                <c:pt idx="56">
                  <c:v>5.8301299999999922E-6</c:v>
                </c:pt>
                <c:pt idx="57">
                  <c:v>4.1138566265060206E-6</c:v>
                </c:pt>
                <c:pt idx="58">
                  <c:v>3.3863867469879499E-6</c:v>
                </c:pt>
                <c:pt idx="59">
                  <c:v>2.7763218181818171E-6</c:v>
                </c:pt>
                <c:pt idx="60">
                  <c:v>2.2585036363636352E-6</c:v>
                </c:pt>
                <c:pt idx="61">
                  <c:v>1.8769648484848475E-6</c:v>
                </c:pt>
                <c:pt idx="62">
                  <c:v>1.5362436363636358E-6</c:v>
                </c:pt>
                <c:pt idx="63">
                  <c:v>1.273334545454545E-6</c:v>
                </c:pt>
                <c:pt idx="64">
                  <c:v>1.0556652727272724E-6</c:v>
                </c:pt>
                <c:pt idx="65">
                  <c:v>8.6691981818181775E-7</c:v>
                </c:pt>
                <c:pt idx="66">
                  <c:v>7.2934783132530101E-7</c:v>
                </c:pt>
                <c:pt idx="67">
                  <c:v>6.0485818181818178E-7</c:v>
                </c:pt>
                <c:pt idx="68">
                  <c:v>5.0591878787878786E-7</c:v>
                </c:pt>
                <c:pt idx="69">
                  <c:v>4.2430878787878785E-7</c:v>
                </c:pt>
                <c:pt idx="70">
                  <c:v>3.5203000000000001E-7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6749-4437-9EBA-FACF01A95B36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(DGa2Sej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3.9995751515151515E-2</c:v>
                </c:pt>
                <c:pt idx="1">
                  <c:v>3.9993848484848486E-2</c:v>
                </c:pt>
                <c:pt idx="2">
                  <c:v>3.9990818181818183E-2</c:v>
                </c:pt>
                <c:pt idx="3">
                  <c:v>3.998469090909091E-2</c:v>
                </c:pt>
                <c:pt idx="4">
                  <c:v>3.9973231467473523E-2</c:v>
                </c:pt>
                <c:pt idx="5">
                  <c:v>3.9913624810892584E-2</c:v>
                </c:pt>
                <c:pt idx="6">
                  <c:v>3.9854018154311652E-2</c:v>
                </c:pt>
                <c:pt idx="7">
                  <c:v>3.9794411497730713E-2</c:v>
                </c:pt>
                <c:pt idx="8">
                  <c:v>3.9734804841149773E-2</c:v>
                </c:pt>
                <c:pt idx="9">
                  <c:v>3.9675198184568834E-2</c:v>
                </c:pt>
                <c:pt idx="10">
                  <c:v>3.9615591527987895E-2</c:v>
                </c:pt>
                <c:pt idx="11">
                  <c:v>3.9480884848484853E-2</c:v>
                </c:pt>
                <c:pt idx="12">
                  <c:v>3.926149090909091E-2</c:v>
                </c:pt>
                <c:pt idx="13">
                  <c:v>3.8919345454545458E-2</c:v>
                </c:pt>
                <c:pt idx="14">
                  <c:v>3.8513253012048193E-2</c:v>
                </c:pt>
                <c:pt idx="15">
                  <c:v>3.7926506024096383E-2</c:v>
                </c:pt>
                <c:pt idx="16">
                  <c:v>3.7175363636363631E-2</c:v>
                </c:pt>
                <c:pt idx="17">
                  <c:v>3.6266272727272723E-2</c:v>
                </c:pt>
                <c:pt idx="18">
                  <c:v>3.4971484848484842E-2</c:v>
                </c:pt>
                <c:pt idx="19">
                  <c:v>3.3489818181818176E-2</c:v>
                </c:pt>
                <c:pt idx="20">
                  <c:v>3.1541333333333331E-2</c:v>
                </c:pt>
                <c:pt idx="21">
                  <c:v>2.9217139393939388E-2</c:v>
                </c:pt>
                <c:pt idx="22">
                  <c:v>2.6597745454545449E-2</c:v>
                </c:pt>
                <c:pt idx="23">
                  <c:v>2.346809036144578E-2</c:v>
                </c:pt>
                <c:pt idx="24">
                  <c:v>2.0223000000000001E-2</c:v>
                </c:pt>
                <c:pt idx="25">
                  <c:v>1.6782999999999999E-2</c:v>
                </c:pt>
                <c:pt idx="26">
                  <c:v>1.3509545454545455E-2</c:v>
                </c:pt>
                <c:pt idx="27">
                  <c:v>1.0347121212121212E-2</c:v>
                </c:pt>
                <c:pt idx="28">
                  <c:v>7.8636878787878787E-3</c:v>
                </c:pt>
                <c:pt idx="29">
                  <c:v>5.6642818181818185E-3</c:v>
                </c:pt>
                <c:pt idx="30">
                  <c:v>4.0442212121212118E-3</c:v>
                </c:pt>
                <c:pt idx="31">
                  <c:v>2.8594259036144589E-3</c:v>
                </c:pt>
                <c:pt idx="32">
                  <c:v>1.9090042168674718E-3</c:v>
                </c:pt>
                <c:pt idx="33">
                  <c:v>1.3763000000000013E-3</c:v>
                </c:pt>
                <c:pt idx="34">
                  <c:v>9.3088642424242485E-4</c:v>
                </c:pt>
                <c:pt idx="35">
                  <c:v>6.4672884848484917E-4</c:v>
                </c:pt>
                <c:pt idx="36">
                  <c:v>4.5366800000000033E-4</c:v>
                </c:pt>
                <c:pt idx="37">
                  <c:v>3.0595765809379738E-4</c:v>
                </c:pt>
                <c:pt idx="38">
                  <c:v>2.643991104387293E-4</c:v>
                </c:pt>
                <c:pt idx="39">
                  <c:v>2.2284056278366123E-4</c:v>
                </c:pt>
                <c:pt idx="40">
                  <c:v>1.8128201512859315E-4</c:v>
                </c:pt>
                <c:pt idx="41">
                  <c:v>1.397234674735251E-4</c:v>
                </c:pt>
                <c:pt idx="42">
                  <c:v>9.8164919818457028E-5</c:v>
                </c:pt>
                <c:pt idx="43">
                  <c:v>5.660637216338898E-5</c:v>
                </c:pt>
                <c:pt idx="44">
                  <c:v>3.0996986384266278E-5</c:v>
                </c:pt>
                <c:pt idx="45">
                  <c:v>2.6529512859304093E-5</c:v>
                </c:pt>
                <c:pt idx="46">
                  <c:v>2.2062039334341909E-5</c:v>
                </c:pt>
                <c:pt idx="47">
                  <c:v>1.7594565809379727E-5</c:v>
                </c:pt>
                <c:pt idx="48">
                  <c:v>1.3127092284417543E-5</c:v>
                </c:pt>
                <c:pt idx="49">
                  <c:v>8.6596187594553582E-6</c:v>
                </c:pt>
                <c:pt idx="50">
                  <c:v>4.1921452344931735E-6</c:v>
                </c:pt>
                <c:pt idx="51">
                  <c:v>2.9773789121212098E-6</c:v>
                </c:pt>
                <c:pt idx="52">
                  <c:v>2.4766214878787855E-6</c:v>
                </c:pt>
                <c:pt idx="53">
                  <c:v>1.9758640636363612E-6</c:v>
                </c:pt>
                <c:pt idx="54">
                  <c:v>1.4751066393939374E-6</c:v>
                </c:pt>
                <c:pt idx="55">
                  <c:v>9.7434921515151307E-7</c:v>
                </c:pt>
                <c:pt idx="56">
                  <c:v>4.7359179090908878E-7</c:v>
                </c:pt>
                <c:pt idx="57">
                  <c:v>7.514116867469864E-8</c:v>
                </c:pt>
                <c:pt idx="58">
                  <c:v>3.9414662650602312E-8</c:v>
                </c:pt>
                <c:pt idx="59">
                  <c:v>1.7789375757575735E-8</c:v>
                </c:pt>
                <c:pt idx="60">
                  <c:v>7.2436181818181591E-9</c:v>
                </c:pt>
                <c:pt idx="61">
                  <c:v>3.7129678787878722E-9</c:v>
                </c:pt>
                <c:pt idx="62">
                  <c:v>1.4240292121212105E-9</c:v>
                </c:pt>
                <c:pt idx="63">
                  <c:v>6.9452618181818013E-10</c:v>
                </c:pt>
                <c:pt idx="64">
                  <c:v>2.9726612121212078E-10</c:v>
                </c:pt>
                <c:pt idx="65">
                  <c:v>1.1242369696969652E-10</c:v>
                </c:pt>
                <c:pt idx="66">
                  <c:v>6.0129759036144536E-11</c:v>
                </c:pt>
                <c:pt idx="67">
                  <c:v>2.373932727272727E-11</c:v>
                </c:pt>
                <c:pt idx="68">
                  <c:v>1.157041818181818E-11</c:v>
                </c:pt>
                <c:pt idx="69">
                  <c:v>5.2199939393939392E-12</c:v>
                </c:pt>
                <c:pt idx="70">
                  <c:v>2.0025999999999996E-12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6749-4437-9EBA-FACF01A95B36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(DGaSe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8.144792727272731E-6</c:v>
                </c:pt>
                <c:pt idx="1">
                  <c:v>1.2367880000000008E-5</c:v>
                </c:pt>
                <c:pt idx="2">
                  <c:v>1.8723880000000007E-5</c:v>
                </c:pt>
                <c:pt idx="3">
                  <c:v>3.0952884848484866E-5</c:v>
                </c:pt>
                <c:pt idx="4">
                  <c:v>5.3736378214826152E-5</c:v>
                </c:pt>
                <c:pt idx="5">
                  <c:v>1.7291610590015134E-4</c:v>
                </c:pt>
                <c:pt idx="6">
                  <c:v>2.9209583358547661E-4</c:v>
                </c:pt>
                <c:pt idx="7">
                  <c:v>4.1127556127080182E-4</c:v>
                </c:pt>
                <c:pt idx="8">
                  <c:v>5.3045528895612703E-4</c:v>
                </c:pt>
                <c:pt idx="9">
                  <c:v>6.4963501664145218E-4</c:v>
                </c:pt>
                <c:pt idx="10">
                  <c:v>7.6881474432677745E-4</c:v>
                </c:pt>
                <c:pt idx="11">
                  <c:v>1.038130545454545E-3</c:v>
                </c:pt>
                <c:pt idx="12">
                  <c:v>1.4767487272727268E-3</c:v>
                </c:pt>
                <c:pt idx="13">
                  <c:v>2.1608599999999993E-3</c:v>
                </c:pt>
                <c:pt idx="14">
                  <c:v>2.9729554216867461E-3</c:v>
                </c:pt>
                <c:pt idx="15">
                  <c:v>4.1468108433734951E-3</c:v>
                </c:pt>
                <c:pt idx="16">
                  <c:v>5.6491800000000036E-3</c:v>
                </c:pt>
                <c:pt idx="17">
                  <c:v>7.4671800000000038E-3</c:v>
                </c:pt>
                <c:pt idx="18">
                  <c:v>1.0056886666666673E-2</c:v>
                </c:pt>
                <c:pt idx="19">
                  <c:v>1.3020363636363644E-2</c:v>
                </c:pt>
                <c:pt idx="20">
                  <c:v>1.691733333333334E-2</c:v>
                </c:pt>
                <c:pt idx="21">
                  <c:v>2.1566060606060616E-2</c:v>
                </c:pt>
                <c:pt idx="22">
                  <c:v>2.6805454545454556E-2</c:v>
                </c:pt>
                <c:pt idx="23">
                  <c:v>3.3064271084337356E-2</c:v>
                </c:pt>
                <c:pt idx="24">
                  <c:v>3.9553999999999999E-2</c:v>
                </c:pt>
                <c:pt idx="25">
                  <c:v>4.6434000000000003E-2</c:v>
                </c:pt>
                <c:pt idx="26">
                  <c:v>5.2980545454545454E-2</c:v>
                </c:pt>
                <c:pt idx="27">
                  <c:v>5.930478787878788E-2</c:v>
                </c:pt>
                <c:pt idx="28">
                  <c:v>6.4271969696969689E-2</c:v>
                </c:pt>
                <c:pt idx="29">
                  <c:v>6.8670999999999996E-2</c:v>
                </c:pt>
                <c:pt idx="30">
                  <c:v>7.1911000000000003E-2</c:v>
                </c:pt>
                <c:pt idx="31">
                  <c:v>7.4279999999999999E-2</c:v>
                </c:pt>
                <c:pt idx="32">
                  <c:v>7.6179999999999998E-2</c:v>
                </c:pt>
                <c:pt idx="33">
                  <c:v>7.7243599999999996E-2</c:v>
                </c:pt>
                <c:pt idx="34">
                  <c:v>7.8131636363636361E-2</c:v>
                </c:pt>
                <c:pt idx="35">
                  <c:v>7.8695272727272725E-2</c:v>
                </c:pt>
                <c:pt idx="36">
                  <c:v>7.9071981818181813E-2</c:v>
                </c:pt>
                <c:pt idx="37">
                  <c:v>7.9351360060514381E-2</c:v>
                </c:pt>
                <c:pt idx="38">
                  <c:v>7.9310361573373678E-2</c:v>
                </c:pt>
                <c:pt idx="39">
                  <c:v>7.9269363086232988E-2</c:v>
                </c:pt>
                <c:pt idx="40">
                  <c:v>7.9228364599092285E-2</c:v>
                </c:pt>
                <c:pt idx="41">
                  <c:v>7.9187366111951596E-2</c:v>
                </c:pt>
                <c:pt idx="42">
                  <c:v>7.9146367624810893E-2</c:v>
                </c:pt>
                <c:pt idx="43">
                  <c:v>7.9105369137670203E-2</c:v>
                </c:pt>
                <c:pt idx="44">
                  <c:v>7.8333240544629354E-2</c:v>
                </c:pt>
                <c:pt idx="45">
                  <c:v>7.6591939485627841E-2</c:v>
                </c:pt>
                <c:pt idx="46">
                  <c:v>7.4850638426626329E-2</c:v>
                </c:pt>
                <c:pt idx="47">
                  <c:v>7.3109337367624802E-2</c:v>
                </c:pt>
                <c:pt idx="48">
                  <c:v>7.1368036308623289E-2</c:v>
                </c:pt>
                <c:pt idx="49">
                  <c:v>6.9626735249621777E-2</c:v>
                </c:pt>
                <c:pt idx="50">
                  <c:v>6.7885434190620264E-2</c:v>
                </c:pt>
                <c:pt idx="51">
                  <c:v>6.2340275757575725E-2</c:v>
                </c:pt>
                <c:pt idx="52">
                  <c:v>5.5960124242424206E-2</c:v>
                </c:pt>
                <c:pt idx="53">
                  <c:v>4.9579972727272693E-2</c:v>
                </c:pt>
                <c:pt idx="54">
                  <c:v>4.3199821212121181E-2</c:v>
                </c:pt>
                <c:pt idx="55">
                  <c:v>3.6819669696969662E-2</c:v>
                </c:pt>
                <c:pt idx="56">
                  <c:v>3.043951818181815E-2</c:v>
                </c:pt>
                <c:pt idx="57">
                  <c:v>2.4302831325301182E-2</c:v>
                </c:pt>
                <c:pt idx="58">
                  <c:v>1.9029337349397577E-2</c:v>
                </c:pt>
                <c:pt idx="59">
                  <c:v>1.4608151515151508E-2</c:v>
                </c:pt>
                <c:pt idx="60">
                  <c:v>1.0856636363636357E-2</c:v>
                </c:pt>
                <c:pt idx="61">
                  <c:v>8.2869630303030253E-3</c:v>
                </c:pt>
                <c:pt idx="62">
                  <c:v>6.0737218181818146E-3</c:v>
                </c:pt>
                <c:pt idx="63">
                  <c:v>4.5422672727272687E-3</c:v>
                </c:pt>
                <c:pt idx="64">
                  <c:v>3.3751121212121189E-3</c:v>
                </c:pt>
                <c:pt idx="65">
                  <c:v>2.4408696969696947E-3</c:v>
                </c:pt>
                <c:pt idx="66">
                  <c:v>1.8644542168674695E-3</c:v>
                </c:pt>
                <c:pt idx="67">
                  <c:v>1.3689000000000002E-3</c:v>
                </c:pt>
                <c:pt idx="68">
                  <c:v>1.0272333333333334E-3</c:v>
                </c:pt>
                <c:pt idx="69">
                  <c:v>7.7267848484848488E-4</c:v>
                </c:pt>
                <c:pt idx="70">
                  <c:v>5.6503E-4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6749-4437-9EBA-FACF01A95B36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(DGe</c:v>
                </c:pt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1.8518487272727281E-6</c:v>
                </c:pt>
                <c:pt idx="1">
                  <c:v>3.4363939393939423E-6</c:v>
                </c:pt>
                <c:pt idx="2">
                  <c:v>6.2242727272727299E-6</c:v>
                </c:pt>
                <c:pt idx="3">
                  <c:v>1.4302660606060617E-5</c:v>
                </c:pt>
                <c:pt idx="4">
                  <c:v>5.3347586989410396E-5</c:v>
                </c:pt>
                <c:pt idx="5">
                  <c:v>4.2600492435703504E-4</c:v>
                </c:pt>
                <c:pt idx="6">
                  <c:v>7.9866226172465974E-4</c:v>
                </c:pt>
                <c:pt idx="7">
                  <c:v>1.1713195990922846E-3</c:v>
                </c:pt>
                <c:pt idx="8">
                  <c:v>1.543976936459909E-3</c:v>
                </c:pt>
                <c:pt idx="9">
                  <c:v>1.9166342738275337E-3</c:v>
                </c:pt>
                <c:pt idx="10">
                  <c:v>2.2892916111951584E-3</c:v>
                </c:pt>
                <c:pt idx="11">
                  <c:v>3.6487824242424213E-3</c:v>
                </c:pt>
                <c:pt idx="12">
                  <c:v>6.1210854545454517E-3</c:v>
                </c:pt>
                <c:pt idx="13">
                  <c:v>1.1046729090909084E-2</c:v>
                </c:pt>
                <c:pt idx="14">
                  <c:v>1.732736746987951E-2</c:v>
                </c:pt>
                <c:pt idx="15">
                  <c:v>2.7594234939759051E-2</c:v>
                </c:pt>
                <c:pt idx="16">
                  <c:v>4.1002290909090952E-2</c:v>
                </c:pt>
                <c:pt idx="17">
                  <c:v>5.7428351515151556E-2</c:v>
                </c:pt>
                <c:pt idx="18">
                  <c:v>7.8544800000000053E-2</c:v>
                </c:pt>
                <c:pt idx="19">
                  <c:v>0.10090436363636369</c:v>
                </c:pt>
                <c:pt idx="20">
                  <c:v>0.12506800000000004</c:v>
                </c:pt>
                <c:pt idx="21">
                  <c:v>0.14793854545454549</c:v>
                </c:pt>
                <c:pt idx="22">
                  <c:v>0.16979309090909095</c:v>
                </c:pt>
                <c:pt idx="23">
                  <c:v>0.18657765060240966</c:v>
                </c:pt>
                <c:pt idx="24">
                  <c:v>0.20144000000000001</c:v>
                </c:pt>
                <c:pt idx="25">
                  <c:v>0.21204000000000001</c:v>
                </c:pt>
                <c:pt idx="26">
                  <c:v>0.22003636363636364</c:v>
                </c:pt>
                <c:pt idx="27">
                  <c:v>0.22629696969696969</c:v>
                </c:pt>
                <c:pt idx="28">
                  <c:v>0.22996666666666668</c:v>
                </c:pt>
                <c:pt idx="29">
                  <c:v>0.23303090909090909</c:v>
                </c:pt>
                <c:pt idx="30">
                  <c:v>0.23500060606060608</c:v>
                </c:pt>
                <c:pt idx="31">
                  <c:v>0.23640265060240964</c:v>
                </c:pt>
                <c:pt idx="32">
                  <c:v>0.23749903614457832</c:v>
                </c:pt>
                <c:pt idx="33">
                  <c:v>0.238122</c:v>
                </c:pt>
                <c:pt idx="34">
                  <c:v>0.23865157575757576</c:v>
                </c:pt>
                <c:pt idx="35">
                  <c:v>0.23900915151515151</c:v>
                </c:pt>
                <c:pt idx="36">
                  <c:v>0.23926218181818182</c:v>
                </c:pt>
                <c:pt idx="37">
                  <c:v>0.23946272314674735</c:v>
                </c:pt>
                <c:pt idx="38">
                  <c:v>0.23953080181543118</c:v>
                </c:pt>
                <c:pt idx="39">
                  <c:v>0.23959888048411498</c:v>
                </c:pt>
                <c:pt idx="40">
                  <c:v>0.23966695915279879</c:v>
                </c:pt>
                <c:pt idx="41">
                  <c:v>0.23973503782148262</c:v>
                </c:pt>
                <c:pt idx="42">
                  <c:v>0.23980311649016642</c:v>
                </c:pt>
                <c:pt idx="43">
                  <c:v>0.23987119515885025</c:v>
                </c:pt>
                <c:pt idx="44">
                  <c:v>0.2399145537065053</c:v>
                </c:pt>
                <c:pt idx="45">
                  <c:v>0.2399251437216339</c:v>
                </c:pt>
                <c:pt idx="46">
                  <c:v>0.2399357337367625</c:v>
                </c:pt>
                <c:pt idx="47">
                  <c:v>0.23994632375189107</c:v>
                </c:pt>
                <c:pt idx="48">
                  <c:v>0.23995691376701966</c:v>
                </c:pt>
                <c:pt idx="49">
                  <c:v>0.23996750378214826</c:v>
                </c:pt>
                <c:pt idx="50">
                  <c:v>0.23997809379727686</c:v>
                </c:pt>
                <c:pt idx="51">
                  <c:v>0.23998248484848483</c:v>
                </c:pt>
                <c:pt idx="52">
                  <c:v>0.23998551515151514</c:v>
                </c:pt>
                <c:pt idx="53">
                  <c:v>0.23998854545454545</c:v>
                </c:pt>
                <c:pt idx="54">
                  <c:v>0.23999157575757576</c:v>
                </c:pt>
                <c:pt idx="55">
                  <c:v>0.23999460606060605</c:v>
                </c:pt>
                <c:pt idx="56">
                  <c:v>0.23999763636363636</c:v>
                </c:pt>
                <c:pt idx="57">
                  <c:v>0.24</c:v>
                </c:pt>
                <c:pt idx="58">
                  <c:v>0.24</c:v>
                </c:pt>
                <c:pt idx="59">
                  <c:v>0.24</c:v>
                </c:pt>
                <c:pt idx="60">
                  <c:v>0.24</c:v>
                </c:pt>
                <c:pt idx="61">
                  <c:v>0.24</c:v>
                </c:pt>
                <c:pt idx="62">
                  <c:v>0.24</c:v>
                </c:pt>
                <c:pt idx="63">
                  <c:v>0.24</c:v>
                </c:pt>
                <c:pt idx="64">
                  <c:v>0.24</c:v>
                </c:pt>
                <c:pt idx="65">
                  <c:v>0.24</c:v>
                </c:pt>
                <c:pt idx="66">
                  <c:v>0.24</c:v>
                </c:pt>
                <c:pt idx="67">
                  <c:v>0.24</c:v>
                </c:pt>
                <c:pt idx="68">
                  <c:v>0.24</c:v>
                </c:pt>
                <c:pt idx="69">
                  <c:v>0.24</c:v>
                </c:pt>
                <c:pt idx="70">
                  <c:v>0.24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6749-4437-9EBA-FACF01A95B36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(DGa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3.9289779393939436E-25</c:v>
                </c:pt>
                <c:pt idx="1">
                  <c:v>4.9760621212121333E-24</c:v>
                </c:pt>
                <c:pt idx="2">
                  <c:v>1.6445304545454558E-23</c:v>
                </c:pt>
                <c:pt idx="3">
                  <c:v>2.8815899393939435E-22</c:v>
                </c:pt>
                <c:pt idx="4">
                  <c:v>2.2815268208321047E-18</c:v>
                </c:pt>
                <c:pt idx="5">
                  <c:v>3.0792778456233002E-17</c:v>
                </c:pt>
                <c:pt idx="6">
                  <c:v>5.9304030091633909E-17</c:v>
                </c:pt>
                <c:pt idx="7">
                  <c:v>8.7815281727034804E-17</c:v>
                </c:pt>
                <c:pt idx="8">
                  <c:v>1.1632653336243571E-16</c:v>
                </c:pt>
                <c:pt idx="9">
                  <c:v>1.4483778499783661E-16</c:v>
                </c:pt>
                <c:pt idx="10">
                  <c:v>1.733490366332375E-16</c:v>
                </c:pt>
                <c:pt idx="11">
                  <c:v>9.0170351515151355E-16</c:v>
                </c:pt>
                <c:pt idx="12">
                  <c:v>2.4192429090909073E-15</c:v>
                </c:pt>
                <c:pt idx="13">
                  <c:v>1.6883667878787857E-14</c:v>
                </c:pt>
                <c:pt idx="14">
                  <c:v>5.84461566265059E-14</c:v>
                </c:pt>
                <c:pt idx="15">
                  <c:v>2.1843531325301226E-13</c:v>
                </c:pt>
                <c:pt idx="16">
                  <c:v>9.3629890909091196E-13</c:v>
                </c:pt>
                <c:pt idx="17">
                  <c:v>2.1901595151515179E-12</c:v>
                </c:pt>
                <c:pt idx="18">
                  <c:v>9.6857593939394146E-12</c:v>
                </c:pt>
                <c:pt idx="19">
                  <c:v>2.7304545454545575E-11</c:v>
                </c:pt>
                <c:pt idx="20">
                  <c:v>7.9183333333333453E-11</c:v>
                </c:pt>
                <c:pt idx="21">
                  <c:v>2.6220393939394003E-10</c:v>
                </c:pt>
                <c:pt idx="22">
                  <c:v>5.4826454545454599E-10</c:v>
                </c:pt>
                <c:pt idx="23">
                  <c:v>1.8529382530120499E-9</c:v>
                </c:pt>
                <c:pt idx="24">
                  <c:v>4.4518484848484852E-9</c:v>
                </c:pt>
                <c:pt idx="25">
                  <c:v>1.0631242424242426E-8</c:v>
                </c:pt>
                <c:pt idx="26">
                  <c:v>2.7327363636363635E-8</c:v>
                </c:pt>
                <c:pt idx="27">
                  <c:v>5.1034636363636363E-8</c:v>
                </c:pt>
                <c:pt idx="28">
                  <c:v>1.2862878787878787E-7</c:v>
                </c:pt>
                <c:pt idx="29">
                  <c:v>2.5882272727272727E-7</c:v>
                </c:pt>
                <c:pt idx="30">
                  <c:v>5.0513181818181822E-7</c:v>
                </c:pt>
                <c:pt idx="31">
                  <c:v>1.0418996385542163E-6</c:v>
                </c:pt>
                <c:pt idx="32">
                  <c:v>1.7350683132530105E-6</c:v>
                </c:pt>
                <c:pt idx="33">
                  <c:v>3.582199999999996E-6</c:v>
                </c:pt>
                <c:pt idx="34">
                  <c:v>6.4125636363636262E-6</c:v>
                </c:pt>
                <c:pt idx="35">
                  <c:v>1.1128927272727263E-5</c:v>
                </c:pt>
                <c:pt idx="36">
                  <c:v>2.0503418181818157E-5</c:v>
                </c:pt>
                <c:pt idx="37">
                  <c:v>3.6477252647503501E-5</c:v>
                </c:pt>
                <c:pt idx="38">
                  <c:v>1.6060856883509799E-4</c:v>
                </c:pt>
                <c:pt idx="39">
                  <c:v>2.8473988502269245E-4</c:v>
                </c:pt>
                <c:pt idx="40">
                  <c:v>4.0887120121028698E-4</c:v>
                </c:pt>
                <c:pt idx="41">
                  <c:v>5.3300251739788157E-4</c:v>
                </c:pt>
                <c:pt idx="42">
                  <c:v>6.5713383358547599E-4</c:v>
                </c:pt>
                <c:pt idx="43">
                  <c:v>7.8126514977307053E-4</c:v>
                </c:pt>
                <c:pt idx="44">
                  <c:v>1.6046813313161808E-3</c:v>
                </c:pt>
                <c:pt idx="45">
                  <c:v>3.3550565204235961E-3</c:v>
                </c:pt>
                <c:pt idx="46">
                  <c:v>5.1054317095310126E-3</c:v>
                </c:pt>
                <c:pt idx="47">
                  <c:v>6.8558068986384274E-3</c:v>
                </c:pt>
                <c:pt idx="48">
                  <c:v>8.6061820877458423E-3</c:v>
                </c:pt>
                <c:pt idx="49">
                  <c:v>1.035655727685326E-2</c:v>
                </c:pt>
                <c:pt idx="50">
                  <c:v>1.2106932465960675E-2</c:v>
                </c:pt>
                <c:pt idx="51">
                  <c:v>1.7654345454545486E-2</c:v>
                </c:pt>
                <c:pt idx="52">
                  <c:v>2.4035254545454576E-2</c:v>
                </c:pt>
                <c:pt idx="53">
                  <c:v>3.0416163636363666E-2</c:v>
                </c:pt>
                <c:pt idx="54">
                  <c:v>3.6797072727272756E-2</c:v>
                </c:pt>
                <c:pt idx="55">
                  <c:v>4.3177981818181846E-2</c:v>
                </c:pt>
                <c:pt idx="56">
                  <c:v>4.9558890909090943E-2</c:v>
                </c:pt>
                <c:pt idx="57">
                  <c:v>5.5696301204819304E-2</c:v>
                </c:pt>
                <c:pt idx="58">
                  <c:v>6.0970397590361464E-2</c:v>
                </c:pt>
                <c:pt idx="59">
                  <c:v>6.5391848484848497E-2</c:v>
                </c:pt>
                <c:pt idx="60">
                  <c:v>6.9143363636363642E-2</c:v>
                </c:pt>
                <c:pt idx="61">
                  <c:v>7.1712981818181823E-2</c:v>
                </c:pt>
                <c:pt idx="62">
                  <c:v>7.3926193939393939E-2</c:v>
                </c:pt>
                <c:pt idx="63">
                  <c:v>7.5457709090909098E-2</c:v>
                </c:pt>
                <c:pt idx="64">
                  <c:v>7.6624703030303026E-2</c:v>
                </c:pt>
                <c:pt idx="65">
                  <c:v>7.755864242424243E-2</c:v>
                </c:pt>
                <c:pt idx="66">
                  <c:v>7.8135566265060241E-2</c:v>
                </c:pt>
                <c:pt idx="67">
                  <c:v>7.8631363636363638E-2</c:v>
                </c:pt>
                <c:pt idx="68">
                  <c:v>7.8972575757575755E-2</c:v>
                </c:pt>
                <c:pt idx="69">
                  <c:v>7.9227121212121207E-2</c:v>
                </c:pt>
                <c:pt idx="70">
                  <c:v>7.9435000000000006E-2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6749-4437-9EBA-FACF01A95B36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(1)Se[A]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3.8229806060606086E-9</c:v>
                </c:pt>
                <c:pt idx="1">
                  <c:v>5.9545309090909122E-9</c:v>
                </c:pt>
                <c:pt idx="2">
                  <c:v>8.6343490909090934E-9</c:v>
                </c:pt>
                <c:pt idx="3">
                  <c:v>1.1178962424242427E-8</c:v>
                </c:pt>
                <c:pt idx="4">
                  <c:v>1.3465757942511346E-8</c:v>
                </c:pt>
                <c:pt idx="5">
                  <c:v>1.3362732223903178E-8</c:v>
                </c:pt>
                <c:pt idx="6">
                  <c:v>1.3259706505295008E-8</c:v>
                </c:pt>
                <c:pt idx="7">
                  <c:v>1.3156680786686838E-8</c:v>
                </c:pt>
                <c:pt idx="8">
                  <c:v>1.305365506807867E-8</c:v>
                </c:pt>
                <c:pt idx="9">
                  <c:v>1.29506293494705E-8</c:v>
                </c:pt>
                <c:pt idx="10">
                  <c:v>1.284760363086233E-8</c:v>
                </c:pt>
                <c:pt idx="11">
                  <c:v>1.2424690909090911E-8</c:v>
                </c:pt>
                <c:pt idx="12">
                  <c:v>1.1641054545454546E-8</c:v>
                </c:pt>
                <c:pt idx="13">
                  <c:v>1.1066145454545456E-8</c:v>
                </c:pt>
                <c:pt idx="14">
                  <c:v>1.0590849397590362E-8</c:v>
                </c:pt>
                <c:pt idx="15">
                  <c:v>1.0378198795180723E-8</c:v>
                </c:pt>
                <c:pt idx="16">
                  <c:v>1.0301818181818182E-8</c:v>
                </c:pt>
                <c:pt idx="17">
                  <c:v>1.0356363636363636E-8</c:v>
                </c:pt>
                <c:pt idx="18">
                  <c:v>1.0510460606060606E-8</c:v>
                </c:pt>
                <c:pt idx="19">
                  <c:v>1.0663072727272728E-8</c:v>
                </c:pt>
                <c:pt idx="20">
                  <c:v>1.0749133333333333E-8</c:v>
                </c:pt>
                <c:pt idx="21">
                  <c:v>1.0703169696969696E-8</c:v>
                </c:pt>
                <c:pt idx="22">
                  <c:v>1.0553472727272728E-8</c:v>
                </c:pt>
                <c:pt idx="23">
                  <c:v>1.017737048192771E-8</c:v>
                </c:pt>
                <c:pt idx="24">
                  <c:v>9.7371818181818185E-9</c:v>
                </c:pt>
                <c:pt idx="25">
                  <c:v>9.1719090909090917E-9</c:v>
                </c:pt>
                <c:pt idx="26">
                  <c:v>8.5685272727272732E-9</c:v>
                </c:pt>
                <c:pt idx="27">
                  <c:v>7.9397393939393932E-9</c:v>
                </c:pt>
                <c:pt idx="28">
                  <c:v>7.3161909090909089E-9</c:v>
                </c:pt>
                <c:pt idx="29">
                  <c:v>6.7060999999999994E-9</c:v>
                </c:pt>
                <c:pt idx="30">
                  <c:v>6.1267666666666662E-9</c:v>
                </c:pt>
                <c:pt idx="31">
                  <c:v>5.5895240963855429E-9</c:v>
                </c:pt>
                <c:pt idx="32">
                  <c:v>5.0749457831325317E-9</c:v>
                </c:pt>
                <c:pt idx="33">
                  <c:v>4.622800000000001E-9</c:v>
                </c:pt>
                <c:pt idx="34">
                  <c:v>4.1927357575757585E-9</c:v>
                </c:pt>
                <c:pt idx="35">
                  <c:v>3.8043115151515158E-9</c:v>
                </c:pt>
                <c:pt idx="36">
                  <c:v>3.4550290909090919E-9</c:v>
                </c:pt>
                <c:pt idx="37">
                  <c:v>3.1276493192133139E-9</c:v>
                </c:pt>
                <c:pt idx="38">
                  <c:v>2.903882299546143E-9</c:v>
                </c:pt>
                <c:pt idx="39">
                  <c:v>2.680115279878972E-9</c:v>
                </c:pt>
                <c:pt idx="40">
                  <c:v>2.456348260211801E-9</c:v>
                </c:pt>
                <c:pt idx="41">
                  <c:v>2.2325812405446301E-9</c:v>
                </c:pt>
                <c:pt idx="42">
                  <c:v>2.0088142208774591E-9</c:v>
                </c:pt>
                <c:pt idx="43">
                  <c:v>1.7850472012102884E-9</c:v>
                </c:pt>
                <c:pt idx="44">
                  <c:v>1.6088703177004543E-9</c:v>
                </c:pt>
                <c:pt idx="45">
                  <c:v>1.495778033282905E-9</c:v>
                </c:pt>
                <c:pt idx="46">
                  <c:v>1.3826857488653557E-9</c:v>
                </c:pt>
                <c:pt idx="47">
                  <c:v>1.2695934644478063E-9</c:v>
                </c:pt>
                <c:pt idx="48">
                  <c:v>1.156501180030257E-9</c:v>
                </c:pt>
                <c:pt idx="49">
                  <c:v>1.0434088956127077E-9</c:v>
                </c:pt>
                <c:pt idx="50">
                  <c:v>9.3031661119515847E-10</c:v>
                </c:pt>
                <c:pt idx="51">
                  <c:v>8.6426487878787858E-10</c:v>
                </c:pt>
                <c:pt idx="52">
                  <c:v>8.0853912121212099E-10</c:v>
                </c:pt>
                <c:pt idx="53">
                  <c:v>7.528133636363634E-10</c:v>
                </c:pt>
                <c:pt idx="54">
                  <c:v>6.9708760606060581E-10</c:v>
                </c:pt>
                <c:pt idx="55">
                  <c:v>6.4136184848484822E-10</c:v>
                </c:pt>
                <c:pt idx="56">
                  <c:v>5.8563609090909063E-10</c:v>
                </c:pt>
                <c:pt idx="57">
                  <c:v>5.3324012048192755E-10</c:v>
                </c:pt>
                <c:pt idx="58">
                  <c:v>4.9264975903614445E-10</c:v>
                </c:pt>
                <c:pt idx="59">
                  <c:v>4.5405642424242413E-10</c:v>
                </c:pt>
                <c:pt idx="60">
                  <c:v>4.1703218181818171E-10</c:v>
                </c:pt>
                <c:pt idx="61">
                  <c:v>3.8356521212121205E-10</c:v>
                </c:pt>
                <c:pt idx="62">
                  <c:v>3.514616969696969E-10</c:v>
                </c:pt>
                <c:pt idx="63">
                  <c:v>3.2223745454545448E-10</c:v>
                </c:pt>
                <c:pt idx="64">
                  <c:v>2.9527206060606053E-10</c:v>
                </c:pt>
                <c:pt idx="65">
                  <c:v>2.6975084848484845E-10</c:v>
                </c:pt>
                <c:pt idx="66">
                  <c:v>2.4759843373493976E-10</c:v>
                </c:pt>
                <c:pt idx="67">
                  <c:v>2.2644636363636365E-10</c:v>
                </c:pt>
                <c:pt idx="68">
                  <c:v>2.0730090909090909E-10</c:v>
                </c:pt>
                <c:pt idx="69">
                  <c:v>1.8986121212121213E-10</c:v>
                </c:pt>
                <c:pt idx="70">
                  <c:v>1.7333999999999999E-10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6749-4437-9EBA-FACF01A95B36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(1)Se[M]</c:v>
                </c:pt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1.6113195151515158E-2</c:v>
                </c:pt>
                <c:pt idx="1">
                  <c:v>2.6533103030303047E-2</c:v>
                </c:pt>
                <c:pt idx="2">
                  <c:v>4.0699163636363653E-2</c:v>
                </c:pt>
                <c:pt idx="3">
                  <c:v>5.6751721212121235E-2</c:v>
                </c:pt>
                <c:pt idx="4">
                  <c:v>7.2742187594553712E-2</c:v>
                </c:pt>
                <c:pt idx="5">
                  <c:v>7.9994532526475051E-2</c:v>
                </c:pt>
                <c:pt idx="6">
                  <c:v>8.7246877458396377E-2</c:v>
                </c:pt>
                <c:pt idx="7">
                  <c:v>9.4499222390317703E-2</c:v>
                </c:pt>
                <c:pt idx="8">
                  <c:v>0.10175156732223903</c:v>
                </c:pt>
                <c:pt idx="9">
                  <c:v>0.10900391225416037</c:v>
                </c:pt>
                <c:pt idx="10">
                  <c:v>0.11625625718608168</c:v>
                </c:pt>
                <c:pt idx="11">
                  <c:v>0.12176921212121211</c:v>
                </c:pt>
                <c:pt idx="12">
                  <c:v>0.12532072727272725</c:v>
                </c:pt>
                <c:pt idx="13">
                  <c:v>0.13108375757575758</c:v>
                </c:pt>
                <c:pt idx="14">
                  <c:v>0.13814921686746987</c:v>
                </c:pt>
                <c:pt idx="15">
                  <c:v>0.14920343373493977</c:v>
                </c:pt>
                <c:pt idx="16">
                  <c:v>0.16351563636363642</c:v>
                </c:pt>
                <c:pt idx="17">
                  <c:v>0.18095806060606065</c:v>
                </c:pt>
                <c:pt idx="18">
                  <c:v>0.203435393939394</c:v>
                </c:pt>
                <c:pt idx="19">
                  <c:v>0.2273292727272728</c:v>
                </c:pt>
                <c:pt idx="20">
                  <c:v>0.25346866666666673</c:v>
                </c:pt>
                <c:pt idx="21">
                  <c:v>0.27868490909090915</c:v>
                </c:pt>
                <c:pt idx="22">
                  <c:v>0.30317581818181821</c:v>
                </c:pt>
                <c:pt idx="23">
                  <c:v>0.32309759036144581</c:v>
                </c:pt>
                <c:pt idx="24">
                  <c:v>0.34121060606060605</c:v>
                </c:pt>
                <c:pt idx="25">
                  <c:v>0.35525303030303035</c:v>
                </c:pt>
                <c:pt idx="26">
                  <c:v>0.36652454545454544</c:v>
                </c:pt>
                <c:pt idx="27">
                  <c:v>0.37594878787878788</c:v>
                </c:pt>
                <c:pt idx="28">
                  <c:v>0.38210272727272726</c:v>
                </c:pt>
                <c:pt idx="29">
                  <c:v>0.38736636363636368</c:v>
                </c:pt>
                <c:pt idx="30">
                  <c:v>0.39095424242424243</c:v>
                </c:pt>
                <c:pt idx="31">
                  <c:v>0.39354132530120484</c:v>
                </c:pt>
                <c:pt idx="32">
                  <c:v>0.39558951807228915</c:v>
                </c:pt>
                <c:pt idx="33">
                  <c:v>0.39674999999999999</c:v>
                </c:pt>
                <c:pt idx="34">
                  <c:v>0.39772842424242422</c:v>
                </c:pt>
                <c:pt idx="35">
                  <c:v>0.39837084848484844</c:v>
                </c:pt>
                <c:pt idx="36">
                  <c:v>0.3988292727272727</c:v>
                </c:pt>
                <c:pt idx="37">
                  <c:v>0.39919931921331314</c:v>
                </c:pt>
                <c:pt idx="38">
                  <c:v>0.39943229954614218</c:v>
                </c:pt>
                <c:pt idx="39">
                  <c:v>0.39966527987897121</c:v>
                </c:pt>
                <c:pt idx="40">
                  <c:v>0.3998982602118003</c:v>
                </c:pt>
                <c:pt idx="41">
                  <c:v>0.40013124054462934</c:v>
                </c:pt>
                <c:pt idx="42">
                  <c:v>0.40036422087745838</c:v>
                </c:pt>
                <c:pt idx="43">
                  <c:v>0.40059720121028741</c:v>
                </c:pt>
                <c:pt idx="44">
                  <c:v>0.40148916792738271</c:v>
                </c:pt>
                <c:pt idx="45">
                  <c:v>0.40325467473524962</c:v>
                </c:pt>
                <c:pt idx="46">
                  <c:v>0.40502018154311648</c:v>
                </c:pt>
                <c:pt idx="47">
                  <c:v>0.40678568835098333</c:v>
                </c:pt>
                <c:pt idx="48">
                  <c:v>0.40855119515885019</c:v>
                </c:pt>
                <c:pt idx="49">
                  <c:v>0.4103167019667171</c:v>
                </c:pt>
                <c:pt idx="50">
                  <c:v>0.41208220877458396</c:v>
                </c:pt>
                <c:pt idx="51">
                  <c:v>0.41763433333333333</c:v>
                </c:pt>
                <c:pt idx="52">
                  <c:v>0.42401766666666668</c:v>
                </c:pt>
                <c:pt idx="53">
                  <c:v>0.43040100000000003</c:v>
                </c:pt>
                <c:pt idx="54">
                  <c:v>0.43678433333333333</c:v>
                </c:pt>
                <c:pt idx="55">
                  <c:v>0.44316766666666668</c:v>
                </c:pt>
                <c:pt idx="56">
                  <c:v>0.44955100000000003</c:v>
                </c:pt>
                <c:pt idx="57">
                  <c:v>0.45569096385542168</c:v>
                </c:pt>
                <c:pt idx="58">
                  <c:v>0.46096807228915665</c:v>
                </c:pt>
                <c:pt idx="59">
                  <c:v>0.46539084848484846</c:v>
                </c:pt>
                <c:pt idx="60">
                  <c:v>0.46914236363636364</c:v>
                </c:pt>
                <c:pt idx="61">
                  <c:v>0.47171363636363639</c:v>
                </c:pt>
                <c:pt idx="62">
                  <c:v>0.47392709090909091</c:v>
                </c:pt>
                <c:pt idx="63">
                  <c:v>0.47545436363636362</c:v>
                </c:pt>
                <c:pt idx="64">
                  <c:v>0.47662303030303027</c:v>
                </c:pt>
                <c:pt idx="65">
                  <c:v>0.47756242424242429</c:v>
                </c:pt>
                <c:pt idx="66">
                  <c:v>0.47813783132530124</c:v>
                </c:pt>
                <c:pt idx="67">
                  <c:v>0.47863181818181821</c:v>
                </c:pt>
                <c:pt idx="68">
                  <c:v>0.47897121212121213</c:v>
                </c:pt>
                <c:pt idx="69">
                  <c:v>0.47922393939393942</c:v>
                </c:pt>
                <c:pt idx="70">
                  <c:v>0.47943000000000002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6749-4437-9EBA-FACF01A95B36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1.3421683636363642E-8</c:v>
                </c:pt>
                <c:pt idx="1">
                  <c:v>1.9719218181818192E-8</c:v>
                </c:pt>
                <c:pt idx="2">
                  <c:v>2.7035581818181827E-8</c:v>
                </c:pt>
                <c:pt idx="3">
                  <c:v>3.3029096969696978E-8</c:v>
                </c:pt>
                <c:pt idx="4">
                  <c:v>3.7957338880484114E-8</c:v>
                </c:pt>
                <c:pt idx="5">
                  <c:v>3.6261574886535554E-8</c:v>
                </c:pt>
                <c:pt idx="6">
                  <c:v>3.4565810892586994E-8</c:v>
                </c:pt>
                <c:pt idx="7">
                  <c:v>3.2870046898638427E-8</c:v>
                </c:pt>
                <c:pt idx="8">
                  <c:v>3.1174282904689867E-8</c:v>
                </c:pt>
                <c:pt idx="9">
                  <c:v>2.9478518910741304E-8</c:v>
                </c:pt>
                <c:pt idx="10">
                  <c:v>2.778275491679274E-8</c:v>
                </c:pt>
                <c:pt idx="11">
                  <c:v>2.5709000000000002E-8</c:v>
                </c:pt>
                <c:pt idx="12">
                  <c:v>2.3209000000000003E-8</c:v>
                </c:pt>
                <c:pt idx="13">
                  <c:v>2.1335181818181821E-8</c:v>
                </c:pt>
                <c:pt idx="14">
                  <c:v>1.9727277108433734E-8</c:v>
                </c:pt>
                <c:pt idx="15">
                  <c:v>1.8746554216867469E-8</c:v>
                </c:pt>
                <c:pt idx="16">
                  <c:v>1.8048090909090908E-8</c:v>
                </c:pt>
                <c:pt idx="17">
                  <c:v>1.7620818181818181E-8</c:v>
                </c:pt>
                <c:pt idx="18">
                  <c:v>1.7398381818181818E-8</c:v>
                </c:pt>
                <c:pt idx="19">
                  <c:v>1.7269363636363638E-8</c:v>
                </c:pt>
                <c:pt idx="20">
                  <c:v>1.7366333333333334E-8</c:v>
                </c:pt>
                <c:pt idx="21">
                  <c:v>1.7322793939393938E-8</c:v>
                </c:pt>
                <c:pt idx="22">
                  <c:v>1.7168854545454545E-8</c:v>
                </c:pt>
                <c:pt idx="23">
                  <c:v>1.6643536144578314E-8</c:v>
                </c:pt>
                <c:pt idx="24">
                  <c:v>1.6010636363636366E-8</c:v>
                </c:pt>
                <c:pt idx="25">
                  <c:v>1.5165181818181819E-8</c:v>
                </c:pt>
                <c:pt idx="26">
                  <c:v>1.4247363636363636E-8</c:v>
                </c:pt>
                <c:pt idx="27">
                  <c:v>1.3281303030303031E-8</c:v>
                </c:pt>
                <c:pt idx="28">
                  <c:v>1.2307181818181818E-8</c:v>
                </c:pt>
                <c:pt idx="29">
                  <c:v>1.1349363636363637E-8</c:v>
                </c:pt>
                <c:pt idx="30">
                  <c:v>1.0430575757575757E-8</c:v>
                </c:pt>
                <c:pt idx="31">
                  <c:v>9.5722018072289161E-9</c:v>
                </c:pt>
                <c:pt idx="32">
                  <c:v>8.7463584337349428E-9</c:v>
                </c:pt>
                <c:pt idx="33">
                  <c:v>8.0127000000000023E-9</c:v>
                </c:pt>
                <c:pt idx="34">
                  <c:v>7.3125303030303041E-9</c:v>
                </c:pt>
                <c:pt idx="35">
                  <c:v>6.675560606060607E-9</c:v>
                </c:pt>
                <c:pt idx="36">
                  <c:v>6.0989763636363648E-9</c:v>
                </c:pt>
                <c:pt idx="37">
                  <c:v>5.5563278366111956E-9</c:v>
                </c:pt>
                <c:pt idx="38">
                  <c:v>5.1770237518910746E-9</c:v>
                </c:pt>
                <c:pt idx="39">
                  <c:v>4.7977196671709536E-9</c:v>
                </c:pt>
                <c:pt idx="40">
                  <c:v>4.4184155824508326E-9</c:v>
                </c:pt>
                <c:pt idx="41">
                  <c:v>4.0391114977307125E-9</c:v>
                </c:pt>
                <c:pt idx="42">
                  <c:v>3.6598074130105915E-9</c:v>
                </c:pt>
                <c:pt idx="43">
                  <c:v>3.2805033282904705E-9</c:v>
                </c:pt>
                <c:pt idx="44">
                  <c:v>2.9787488653555227E-9</c:v>
                </c:pt>
                <c:pt idx="45">
                  <c:v>2.779792738275341E-9</c:v>
                </c:pt>
                <c:pt idx="46">
                  <c:v>2.5808366111951589E-9</c:v>
                </c:pt>
                <c:pt idx="47">
                  <c:v>2.3818804841149772E-9</c:v>
                </c:pt>
                <c:pt idx="48">
                  <c:v>2.1829243570347955E-9</c:v>
                </c:pt>
                <c:pt idx="49">
                  <c:v>1.9839682299546133E-9</c:v>
                </c:pt>
                <c:pt idx="50">
                  <c:v>1.7850121028744318E-9</c:v>
                </c:pt>
                <c:pt idx="51">
                  <c:v>1.666355151515151E-9</c:v>
                </c:pt>
                <c:pt idx="52">
                  <c:v>1.5653248484848479E-9</c:v>
                </c:pt>
                <c:pt idx="53">
                  <c:v>1.4642945454545448E-9</c:v>
                </c:pt>
                <c:pt idx="54">
                  <c:v>1.363264242424242E-9</c:v>
                </c:pt>
                <c:pt idx="55">
                  <c:v>1.2622339393939389E-9</c:v>
                </c:pt>
                <c:pt idx="56">
                  <c:v>1.1612036363636358E-9</c:v>
                </c:pt>
                <c:pt idx="57">
                  <c:v>1.0657436144578308E-9</c:v>
                </c:pt>
                <c:pt idx="58">
                  <c:v>9.9003277108433708E-10</c:v>
                </c:pt>
                <c:pt idx="59">
                  <c:v>9.1756412121212104E-10</c:v>
                </c:pt>
                <c:pt idx="60">
                  <c:v>8.4764290909090898E-10</c:v>
                </c:pt>
                <c:pt idx="61">
                  <c:v>7.837663030303029E-10</c:v>
                </c:pt>
                <c:pt idx="62">
                  <c:v>7.2226812121212113E-10</c:v>
                </c:pt>
                <c:pt idx="63">
                  <c:v>6.6583781818181809E-10</c:v>
                </c:pt>
                <c:pt idx="64">
                  <c:v>6.1345939393939384E-10</c:v>
                </c:pt>
                <c:pt idx="65">
                  <c:v>5.6367151515151499E-10</c:v>
                </c:pt>
                <c:pt idx="66">
                  <c:v>5.2005301204819272E-10</c:v>
                </c:pt>
                <c:pt idx="67">
                  <c:v>4.7828000000000003E-10</c:v>
                </c:pt>
                <c:pt idx="68">
                  <c:v>4.4021333333333332E-10</c:v>
                </c:pt>
                <c:pt idx="69">
                  <c:v>4.0534151515151513E-10</c:v>
                </c:pt>
                <c:pt idx="70">
                  <c:v>3.7218999999999998E-10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6749-4437-9EBA-FACF01A95B36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(2)Ga[l]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1.739711043872904E-29</c:v>
                </c:pt>
                <c:pt idx="45">
                  <c:v>5.7855506807866774E-29</c:v>
                </c:pt>
                <c:pt idx="46">
                  <c:v>9.8313903177004503E-29</c:v>
                </c:pt>
                <c:pt idx="47">
                  <c:v>1.3877229954614222E-28</c:v>
                </c:pt>
                <c:pt idx="48">
                  <c:v>1.7923069591527995E-28</c:v>
                </c:pt>
                <c:pt idx="49">
                  <c:v>2.196890922844177E-28</c:v>
                </c:pt>
                <c:pt idx="50">
                  <c:v>2.6014748865355543E-28</c:v>
                </c:pt>
                <c:pt idx="51">
                  <c:v>3.1393575757578274E-15</c:v>
                </c:pt>
                <c:pt idx="52">
                  <c:v>6.9678424242426355E-15</c:v>
                </c:pt>
                <c:pt idx="53">
                  <c:v>1.0796327272727445E-14</c:v>
                </c:pt>
                <c:pt idx="54">
                  <c:v>1.4624812121212252E-14</c:v>
                </c:pt>
                <c:pt idx="55">
                  <c:v>1.8453296969697059E-14</c:v>
                </c:pt>
                <c:pt idx="56">
                  <c:v>2.2281781818181867E-14</c:v>
                </c:pt>
                <c:pt idx="57">
                  <c:v>2.4544453012048614E-13</c:v>
                </c:pt>
                <c:pt idx="58">
                  <c:v>1.2462469397590391E-12</c:v>
                </c:pt>
                <c:pt idx="59">
                  <c:v>1.1443293333333371E-11</c:v>
                </c:pt>
                <c:pt idx="60">
                  <c:v>2.8865960000000039E-11</c:v>
                </c:pt>
                <c:pt idx="61">
                  <c:v>8.0779612121212242E-11</c:v>
                </c:pt>
                <c:pt idx="62">
                  <c:v>1.9348945454545518E-10</c:v>
                </c:pt>
                <c:pt idx="63">
                  <c:v>4.6952581818181878E-10</c:v>
                </c:pt>
                <c:pt idx="64">
                  <c:v>1.0956504242424264E-9</c:v>
                </c:pt>
                <c:pt idx="65">
                  <c:v>1.9456019393939417E-9</c:v>
                </c:pt>
                <c:pt idx="66">
                  <c:v>4.0711277108433757E-9</c:v>
                </c:pt>
                <c:pt idx="67">
                  <c:v>7.1356181818181823E-9</c:v>
                </c:pt>
                <c:pt idx="68">
                  <c:v>1.2267012121212121E-8</c:v>
                </c:pt>
                <c:pt idx="69">
                  <c:v>2.147418181818182E-8</c:v>
                </c:pt>
                <c:pt idx="70">
                  <c:v>3.2876000000000003E-8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6749-4437-9EBA-FACF01A95B36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>
                  <c:v>-18.618363636363636</c:v>
                </c:pt>
                <c:pt idx="3">
                  <c:v>-18.624424242424244</c:v>
                </c:pt>
                <c:pt idx="4">
                  <c:v>-18.631089258698939</c:v>
                </c:pt>
                <c:pt idx="5">
                  <c:v>-18.644704992435702</c:v>
                </c:pt>
                <c:pt idx="6">
                  <c:v>-18.658320726172466</c:v>
                </c:pt>
                <c:pt idx="7">
                  <c:v>-18.671936459909226</c:v>
                </c:pt>
                <c:pt idx="8">
                  <c:v>-18.685552193645989</c:v>
                </c:pt>
                <c:pt idx="9">
                  <c:v>-18.699167927382753</c:v>
                </c:pt>
                <c:pt idx="10">
                  <c:v>-18.712783661119516</c:v>
                </c:pt>
                <c:pt idx="11">
                  <c:v>-18.728545454545454</c:v>
                </c:pt>
                <c:pt idx="12">
                  <c:v>-18.746727272727274</c:v>
                </c:pt>
                <c:pt idx="13">
                  <c:v>-18.764909090909093</c:v>
                </c:pt>
                <c:pt idx="14">
                  <c:v>-18.783072289156628</c:v>
                </c:pt>
                <c:pt idx="15">
                  <c:v>-18.801144578313252</c:v>
                </c:pt>
                <c:pt idx="16">
                  <c:v>-18.819272727272725</c:v>
                </c:pt>
                <c:pt idx="17">
                  <c:v>-18.837454545454545</c:v>
                </c:pt>
                <c:pt idx="18">
                  <c:v>-18.855636363636364</c:v>
                </c:pt>
                <c:pt idx="19">
                  <c:v>-18.873818181818184</c:v>
                </c:pt>
                <c:pt idx="20">
                  <c:v>-18.891999999999999</c:v>
                </c:pt>
                <c:pt idx="21">
                  <c:v>-18.913575757575757</c:v>
                </c:pt>
                <c:pt idx="22">
                  <c:v>-18.937818181818184</c:v>
                </c:pt>
                <c:pt idx="23">
                  <c:v>-18.95644578313253</c:v>
                </c:pt>
                <c:pt idx="24">
                  <c:v>-18.976060606060607</c:v>
                </c:pt>
                <c:pt idx="25">
                  <c:v>-19.00030303030303</c:v>
                </c:pt>
                <c:pt idx="26">
                  <c:v>-19.020909090909093</c:v>
                </c:pt>
                <c:pt idx="27">
                  <c:v>-19.039090909090909</c:v>
                </c:pt>
                <c:pt idx="28">
                  <c:v>-19.057272727272728</c:v>
                </c:pt>
                <c:pt idx="29">
                  <c:v>-19.077272727272728</c:v>
                </c:pt>
                <c:pt idx="30">
                  <c:v>-19.101515151515152</c:v>
                </c:pt>
                <c:pt idx="31">
                  <c:v>-19.121746987951806</c:v>
                </c:pt>
                <c:pt idx="32">
                  <c:v>-19.139819277108433</c:v>
                </c:pt>
                <c:pt idx="33">
                  <c:v>-19.164000000000001</c:v>
                </c:pt>
                <c:pt idx="34">
                  <c:v>-19.186181818181819</c:v>
                </c:pt>
                <c:pt idx="35">
                  <c:v>-19.204363636363638</c:v>
                </c:pt>
                <c:pt idx="36">
                  <c:v>-19.226727272727274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-19.388456883509832</c:v>
                </c:pt>
                <c:pt idx="45">
                  <c:v>-19.408124054462935</c:v>
                </c:pt>
                <c:pt idx="46">
                  <c:v>-19.427791225416037</c:v>
                </c:pt>
                <c:pt idx="47">
                  <c:v>-19.447458396369139</c:v>
                </c:pt>
                <c:pt idx="48">
                  <c:v>-19.467125567322238</c:v>
                </c:pt>
                <c:pt idx="49">
                  <c:v>-19.486792738275341</c:v>
                </c:pt>
                <c:pt idx="50">
                  <c:v>-19.506459909228443</c:v>
                </c:pt>
                <c:pt idx="51">
                  <c:v>-19.526151515151518</c:v>
                </c:pt>
                <c:pt idx="52">
                  <c:v>-19.545848484848488</c:v>
                </c:pt>
                <c:pt idx="53">
                  <c:v>-19.565545454545457</c:v>
                </c:pt>
                <c:pt idx="54">
                  <c:v>-19.585242424242427</c:v>
                </c:pt>
                <c:pt idx="55">
                  <c:v>-19.604939393939397</c:v>
                </c:pt>
                <c:pt idx="56">
                  <c:v>-19.624636363636366</c:v>
                </c:pt>
                <c:pt idx="57">
                  <c:v>-19.643975903614457</c:v>
                </c:pt>
                <c:pt idx="58">
                  <c:v>-19.662048192771085</c:v>
                </c:pt>
                <c:pt idx="59">
                  <c:v>-19.680181818181818</c:v>
                </c:pt>
                <c:pt idx="60">
                  <c:v>-19.698363636363634</c:v>
                </c:pt>
                <c:pt idx="61">
                  <c:v>-19.716545454545454</c:v>
                </c:pt>
                <c:pt idx="62">
                  <c:v>-19.734727272727273</c:v>
                </c:pt>
                <c:pt idx="63">
                  <c:v>-19.752909090909093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6749-4437-9EBA-FACF01A95B36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H (Ga)</c:v>
                </c:pt>
              </c:strCache>
            </c:strRef>
          </c:tx>
          <c:spPr>
            <a:ln>
              <a:solidFill>
                <a:schemeClr val="accent1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-60.735090909090907</c:v>
                </c:pt>
                <c:pt idx="1">
                  <c:v>-58.673878787878785</c:v>
                </c:pt>
                <c:pt idx="2">
                  <c:v>-56.631454545454545</c:v>
                </c:pt>
                <c:pt idx="3">
                  <c:v>-54.589030303030299</c:v>
                </c:pt>
                <c:pt idx="4">
                  <c:v>-52.560166414523451</c:v>
                </c:pt>
                <c:pt idx="5">
                  <c:v>-50.687246596066565</c:v>
                </c:pt>
                <c:pt idx="6">
                  <c:v>-48.814326777609679</c:v>
                </c:pt>
                <c:pt idx="7">
                  <c:v>-46.9414069591528</c:v>
                </c:pt>
                <c:pt idx="8">
                  <c:v>-45.068487140695915</c:v>
                </c:pt>
                <c:pt idx="9">
                  <c:v>-43.195567322239029</c:v>
                </c:pt>
                <c:pt idx="10">
                  <c:v>-41.32264750378215</c:v>
                </c:pt>
                <c:pt idx="11">
                  <c:v>-39.589393939393936</c:v>
                </c:pt>
                <c:pt idx="12">
                  <c:v>-38.013636363636365</c:v>
                </c:pt>
                <c:pt idx="13">
                  <c:v>-36.542242424242424</c:v>
                </c:pt>
                <c:pt idx="14">
                  <c:v>-35.117771084337356</c:v>
                </c:pt>
                <c:pt idx="15">
                  <c:v>-33.810542168674701</c:v>
                </c:pt>
                <c:pt idx="16">
                  <c:v>-32.561090909090908</c:v>
                </c:pt>
                <c:pt idx="17">
                  <c:v>-31.367151515151512</c:v>
                </c:pt>
                <c:pt idx="18">
                  <c:v>-30.256606060606057</c:v>
                </c:pt>
                <c:pt idx="19">
                  <c:v>-29.173636363636362</c:v>
                </c:pt>
                <c:pt idx="20">
                  <c:v>-28.143333333333331</c:v>
                </c:pt>
                <c:pt idx="21">
                  <c:v>-27.143575757575757</c:v>
                </c:pt>
                <c:pt idx="22">
                  <c:v>-26.167818181818177</c:v>
                </c:pt>
                <c:pt idx="23">
                  <c:v>-25.252228915662648</c:v>
                </c:pt>
                <c:pt idx="24">
                  <c:v>-24.354848484848485</c:v>
                </c:pt>
                <c:pt idx="25">
                  <c:v>-23.494242424242422</c:v>
                </c:pt>
                <c:pt idx="26">
                  <c:v>-22.673636363636362</c:v>
                </c:pt>
                <c:pt idx="27">
                  <c:v>-21.879696969696969</c:v>
                </c:pt>
                <c:pt idx="28">
                  <c:v>-21.149090909090908</c:v>
                </c:pt>
                <c:pt idx="29">
                  <c:v>-20.438181818181818</c:v>
                </c:pt>
                <c:pt idx="30">
                  <c:v>-19.765454545454546</c:v>
                </c:pt>
                <c:pt idx="31">
                  <c:v>-19.126686746987954</c:v>
                </c:pt>
                <c:pt idx="32">
                  <c:v>-18.506204819277109</c:v>
                </c:pt>
                <c:pt idx="33">
                  <c:v>-17.918000000000003</c:v>
                </c:pt>
                <c:pt idx="34">
                  <c:v>-17.342484848484851</c:v>
                </c:pt>
                <c:pt idx="35">
                  <c:v>-16.7909696969697</c:v>
                </c:pt>
                <c:pt idx="36">
                  <c:v>-16.252000000000002</c:v>
                </c:pt>
                <c:pt idx="37">
                  <c:v>-15.721119515885023</c:v>
                </c:pt>
                <c:pt idx="38">
                  <c:v>-15.249107413010591</c:v>
                </c:pt>
                <c:pt idx="39">
                  <c:v>-14.77709531013616</c:v>
                </c:pt>
                <c:pt idx="40">
                  <c:v>-14.305083207261726</c:v>
                </c:pt>
                <c:pt idx="41">
                  <c:v>-13.833071104387294</c:v>
                </c:pt>
                <c:pt idx="42">
                  <c:v>-13.36105900151286</c:v>
                </c:pt>
                <c:pt idx="43">
                  <c:v>-12.889046898638428</c:v>
                </c:pt>
                <c:pt idx="44">
                  <c:v>-12.457367624810892</c:v>
                </c:pt>
                <c:pt idx="45">
                  <c:v>-12.079152798789712</c:v>
                </c:pt>
                <c:pt idx="46">
                  <c:v>-11.700937972768532</c:v>
                </c:pt>
                <c:pt idx="47">
                  <c:v>-11.322723146747352</c:v>
                </c:pt>
                <c:pt idx="48">
                  <c:v>-10.944508320726172</c:v>
                </c:pt>
                <c:pt idx="49">
                  <c:v>-10.56629349470499</c:v>
                </c:pt>
                <c:pt idx="50">
                  <c:v>-10.18807866868381</c:v>
                </c:pt>
                <c:pt idx="51">
                  <c:v>-9.9633303030303022</c:v>
                </c:pt>
                <c:pt idx="52">
                  <c:v>-9.7722696969696958</c:v>
                </c:pt>
                <c:pt idx="53">
                  <c:v>-9.5812090909090895</c:v>
                </c:pt>
                <c:pt idx="54">
                  <c:v>-9.3901484848484831</c:v>
                </c:pt>
                <c:pt idx="55">
                  <c:v>-9.1990878787878785</c:v>
                </c:pt>
                <c:pt idx="56">
                  <c:v>-9.0080272727272721</c:v>
                </c:pt>
                <c:pt idx="57">
                  <c:v>-8.8458795180722891</c:v>
                </c:pt>
                <c:pt idx="58">
                  <c:v>-8.7862409638554215</c:v>
                </c:pt>
                <c:pt idx="59">
                  <c:v>-8.7443878787878795</c:v>
                </c:pt>
                <c:pt idx="60">
                  <c:v>-8.7165090909090921</c:v>
                </c:pt>
                <c:pt idx="61">
                  <c:v>-8.7068303030303031</c:v>
                </c:pt>
                <c:pt idx="62">
                  <c:v>-8.7021030303030305</c:v>
                </c:pt>
                <c:pt idx="63">
                  <c:v>-8.7063454545454544</c:v>
                </c:pt>
                <c:pt idx="64">
                  <c:v>-8.7153939393939392</c:v>
                </c:pt>
                <c:pt idx="65">
                  <c:v>-8.727515151515151</c:v>
                </c:pt>
                <c:pt idx="66">
                  <c:v>-8.7430361445783138</c:v>
                </c:pt>
                <c:pt idx="67">
                  <c:v>-8.7596363636363641</c:v>
                </c:pt>
                <c:pt idx="68">
                  <c:v>-8.7784242424242418</c:v>
                </c:pt>
                <c:pt idx="69">
                  <c:v>-8.798</c:v>
                </c:pt>
                <c:pt idx="70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6749-4437-9EBA-FACF01A95B36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-15.805636363636363</c:v>
                </c:pt>
                <c:pt idx="1">
                  <c:v>-15.261999999999999</c:v>
                </c:pt>
                <c:pt idx="2">
                  <c:v>-14.661999999999999</c:v>
                </c:pt>
                <c:pt idx="3">
                  <c:v>-14.004484848484848</c:v>
                </c:pt>
                <c:pt idx="4">
                  <c:v>-13.326287443267777</c:v>
                </c:pt>
                <c:pt idx="5">
                  <c:v>-12.654880484114978</c:v>
                </c:pt>
                <c:pt idx="6">
                  <c:v>-11.983473524962179</c:v>
                </c:pt>
                <c:pt idx="7">
                  <c:v>-11.31206656580938</c:v>
                </c:pt>
                <c:pt idx="8">
                  <c:v>-10.64065960665658</c:v>
                </c:pt>
                <c:pt idx="9">
                  <c:v>-9.969252647503783</c:v>
                </c:pt>
                <c:pt idx="10">
                  <c:v>-9.2978456883509839</c:v>
                </c:pt>
                <c:pt idx="11">
                  <c:v>-8.67908484848485</c:v>
                </c:pt>
                <c:pt idx="12">
                  <c:v>-8.1196909090909095</c:v>
                </c:pt>
                <c:pt idx="13">
                  <c:v>-7.619436363636364</c:v>
                </c:pt>
                <c:pt idx="14">
                  <c:v>-7.1476144578313257</c:v>
                </c:pt>
                <c:pt idx="15">
                  <c:v>-6.7512289156626508</c:v>
                </c:pt>
                <c:pt idx="16">
                  <c:v>-6.4021454545454546</c:v>
                </c:pt>
                <c:pt idx="17">
                  <c:v>-6.09850909090909</c:v>
                </c:pt>
                <c:pt idx="18">
                  <c:v>-5.8730545454545453</c:v>
                </c:pt>
                <c:pt idx="19">
                  <c:v>-5.6767454545454541</c:v>
                </c:pt>
                <c:pt idx="20">
                  <c:v>-5.5421999999999993</c:v>
                </c:pt>
                <c:pt idx="21">
                  <c:v>-5.4426121212121208</c:v>
                </c:pt>
                <c:pt idx="22">
                  <c:v>-5.3704909090909085</c:v>
                </c:pt>
                <c:pt idx="23">
                  <c:v>-5.3393313253012051</c:v>
                </c:pt>
                <c:pt idx="24">
                  <c:v>-5.319</c:v>
                </c:pt>
                <c:pt idx="25">
                  <c:v>-5.319</c:v>
                </c:pt>
                <c:pt idx="26">
                  <c:v>-5.3280909090909088</c:v>
                </c:pt>
                <c:pt idx="27">
                  <c:v>-5.3432424242424243</c:v>
                </c:pt>
                <c:pt idx="28">
                  <c:v>-5.3641515151515149</c:v>
                </c:pt>
                <c:pt idx="29">
                  <c:v>-5.3860909090909086</c:v>
                </c:pt>
                <c:pt idx="30">
                  <c:v>-5.4097272727272729</c:v>
                </c:pt>
                <c:pt idx="31">
                  <c:v>-5.4340542168674695</c:v>
                </c:pt>
                <c:pt idx="32">
                  <c:v>-5.4587530120481924</c:v>
                </c:pt>
                <c:pt idx="33">
                  <c:v>-5.4829999999999997</c:v>
                </c:pt>
                <c:pt idx="34">
                  <c:v>-5.5074484848484841</c:v>
                </c:pt>
                <c:pt idx="35">
                  <c:v>-5.5322969696969695</c:v>
                </c:pt>
                <c:pt idx="36">
                  <c:v>-5.5567272727272723</c:v>
                </c:pt>
                <c:pt idx="37">
                  <c:v>-5.5809863842662635</c:v>
                </c:pt>
                <c:pt idx="38">
                  <c:v>-5.6056459909228442</c:v>
                </c:pt>
                <c:pt idx="39">
                  <c:v>-5.6303055975794249</c:v>
                </c:pt>
                <c:pt idx="40">
                  <c:v>-5.6549652042360066</c:v>
                </c:pt>
                <c:pt idx="41">
                  <c:v>-5.6796248108925873</c:v>
                </c:pt>
                <c:pt idx="42">
                  <c:v>-5.704284417549168</c:v>
                </c:pt>
                <c:pt idx="43">
                  <c:v>-5.7289440242057488</c:v>
                </c:pt>
                <c:pt idx="44">
                  <c:v>-5.7543192133131624</c:v>
                </c:pt>
                <c:pt idx="45">
                  <c:v>-5.7806429652042359</c:v>
                </c:pt>
                <c:pt idx="46">
                  <c:v>-5.8069667170953103</c:v>
                </c:pt>
                <c:pt idx="47">
                  <c:v>-5.8332904689863847</c:v>
                </c:pt>
                <c:pt idx="48">
                  <c:v>-5.8596142208774582</c:v>
                </c:pt>
                <c:pt idx="49">
                  <c:v>-5.8859379727685326</c:v>
                </c:pt>
                <c:pt idx="50">
                  <c:v>-5.912261724659607</c:v>
                </c:pt>
                <c:pt idx="51">
                  <c:v>-5.942966666666667</c:v>
                </c:pt>
                <c:pt idx="52">
                  <c:v>-5.9746333333333332</c:v>
                </c:pt>
                <c:pt idx="53">
                  <c:v>-6.0063000000000004</c:v>
                </c:pt>
                <c:pt idx="54">
                  <c:v>-6.0379666666666667</c:v>
                </c:pt>
                <c:pt idx="55">
                  <c:v>-6.0696333333333339</c:v>
                </c:pt>
                <c:pt idx="56">
                  <c:v>-6.1013000000000002</c:v>
                </c:pt>
                <c:pt idx="57">
                  <c:v>-6.132493975903615</c:v>
                </c:pt>
                <c:pt idx="58">
                  <c:v>-6.1620120481927714</c:v>
                </c:pt>
                <c:pt idx="59">
                  <c:v>-6.190612121212121</c:v>
                </c:pt>
                <c:pt idx="60">
                  <c:v>-6.2184909090909093</c:v>
                </c:pt>
                <c:pt idx="61">
                  <c:v>-6.2441636363636368</c:v>
                </c:pt>
                <c:pt idx="62">
                  <c:v>-6.2693030303030302</c:v>
                </c:pt>
                <c:pt idx="63">
                  <c:v>-6.2935454545454546</c:v>
                </c:pt>
                <c:pt idx="64">
                  <c:v>-6.3174181818181818</c:v>
                </c:pt>
                <c:pt idx="65">
                  <c:v>-6.3410545454545453</c:v>
                </c:pt>
                <c:pt idx="66">
                  <c:v>-6.363397590361445</c:v>
                </c:pt>
                <c:pt idx="67">
                  <c:v>-6.385727272727272</c:v>
                </c:pt>
                <c:pt idx="68">
                  <c:v>-6.4081515151515154</c:v>
                </c:pt>
                <c:pt idx="69">
                  <c:v>-6.4301818181818184</c:v>
                </c:pt>
                <c:pt idx="70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6749-4437-9EBA-FACF01A95B36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  <c:pt idx="0">
                  <c:v>-22.065575757575758</c:v>
                </c:pt>
                <c:pt idx="1">
                  <c:v>-21.674060606060607</c:v>
                </c:pt>
                <c:pt idx="2">
                  <c:v>-21.395272727272726</c:v>
                </c:pt>
                <c:pt idx="3">
                  <c:v>-21.244787878787879</c:v>
                </c:pt>
                <c:pt idx="4">
                  <c:v>-21.157019667170953</c:v>
                </c:pt>
                <c:pt idx="5">
                  <c:v>-21.244765506807866</c:v>
                </c:pt>
                <c:pt idx="6">
                  <c:v>-21.332511346444779</c:v>
                </c:pt>
                <c:pt idx="7">
                  <c:v>-21.420257186081695</c:v>
                </c:pt>
                <c:pt idx="8">
                  <c:v>-21.508003025718608</c:v>
                </c:pt>
                <c:pt idx="9">
                  <c:v>-21.595748865355521</c:v>
                </c:pt>
                <c:pt idx="10">
                  <c:v>-21.683494704992437</c:v>
                </c:pt>
                <c:pt idx="11">
                  <c:v>-21.792666666666666</c:v>
                </c:pt>
                <c:pt idx="12">
                  <c:v>-21.925999999999998</c:v>
                </c:pt>
                <c:pt idx="13">
                  <c:v>-22.049393939393937</c:v>
                </c:pt>
                <c:pt idx="14">
                  <c:v>-22.167409638554215</c:v>
                </c:pt>
                <c:pt idx="15">
                  <c:v>-22.269819277108432</c:v>
                </c:pt>
                <c:pt idx="16">
                  <c:v>-22.363272727272729</c:v>
                </c:pt>
                <c:pt idx="17">
                  <c:v>-22.448121212121212</c:v>
                </c:pt>
                <c:pt idx="18">
                  <c:v>-22.532969696969698</c:v>
                </c:pt>
                <c:pt idx="19">
                  <c:v>-22.620363636363638</c:v>
                </c:pt>
                <c:pt idx="20">
                  <c:v>-22.717333333333336</c:v>
                </c:pt>
                <c:pt idx="21">
                  <c:v>-22.82448484848485</c:v>
                </c:pt>
                <c:pt idx="22">
                  <c:v>-22.939636363636364</c:v>
                </c:pt>
                <c:pt idx="23">
                  <c:v>-23.059638554216868</c:v>
                </c:pt>
                <c:pt idx="24">
                  <c:v>-23.183333333333334</c:v>
                </c:pt>
                <c:pt idx="25">
                  <c:v>-23.316666666666666</c:v>
                </c:pt>
                <c:pt idx="26">
                  <c:v>-23.453636363636363</c:v>
                </c:pt>
                <c:pt idx="27">
                  <c:v>-23.593030303030304</c:v>
                </c:pt>
                <c:pt idx="28">
                  <c:v>-23.738181818181818</c:v>
                </c:pt>
                <c:pt idx="29">
                  <c:v>-23.881818181818183</c:v>
                </c:pt>
                <c:pt idx="30">
                  <c:v>-24.02121212121212</c:v>
                </c:pt>
                <c:pt idx="31">
                  <c:v>-24.163975903614457</c:v>
                </c:pt>
                <c:pt idx="32">
                  <c:v>-24.308554216867467</c:v>
                </c:pt>
                <c:pt idx="33">
                  <c:v>-24.448</c:v>
                </c:pt>
                <c:pt idx="34">
                  <c:v>-24.587393939393937</c:v>
                </c:pt>
                <c:pt idx="35">
                  <c:v>-24.726787878787878</c:v>
                </c:pt>
                <c:pt idx="36">
                  <c:v>-24.866181818181818</c:v>
                </c:pt>
                <c:pt idx="37">
                  <c:v>-25.005446293494703</c:v>
                </c:pt>
                <c:pt idx="38">
                  <c:v>-25.141603630862328</c:v>
                </c:pt>
                <c:pt idx="39">
                  <c:v>-25.277760968229956</c:v>
                </c:pt>
                <c:pt idx="40">
                  <c:v>-25.41391830559758</c:v>
                </c:pt>
                <c:pt idx="41">
                  <c:v>-25.550075642965204</c:v>
                </c:pt>
                <c:pt idx="42">
                  <c:v>-25.686232980332829</c:v>
                </c:pt>
                <c:pt idx="43">
                  <c:v>-25.822390317700453</c:v>
                </c:pt>
                <c:pt idx="44">
                  <c:v>-25.955295007564295</c:v>
                </c:pt>
                <c:pt idx="45">
                  <c:v>-26.083888048411495</c:v>
                </c:pt>
                <c:pt idx="46">
                  <c:v>-26.212481089258699</c:v>
                </c:pt>
                <c:pt idx="47">
                  <c:v>-26.341074130105898</c:v>
                </c:pt>
                <c:pt idx="48">
                  <c:v>-26.469667170953102</c:v>
                </c:pt>
                <c:pt idx="49">
                  <c:v>-26.598260211800302</c:v>
                </c:pt>
                <c:pt idx="50">
                  <c:v>-26.726853252647505</c:v>
                </c:pt>
                <c:pt idx="51">
                  <c:v>-26.849393939393941</c:v>
                </c:pt>
                <c:pt idx="52">
                  <c:v>-26.970606060606062</c:v>
                </c:pt>
                <c:pt idx="53">
                  <c:v>-27.091818181818184</c:v>
                </c:pt>
                <c:pt idx="54">
                  <c:v>-27.213030303030305</c:v>
                </c:pt>
                <c:pt idx="55">
                  <c:v>-27.334242424242426</c:v>
                </c:pt>
                <c:pt idx="56">
                  <c:v>-27.455454545454547</c:v>
                </c:pt>
                <c:pt idx="57">
                  <c:v>-27.576506024096386</c:v>
                </c:pt>
                <c:pt idx="58">
                  <c:v>-27.69698795180723</c:v>
                </c:pt>
                <c:pt idx="59">
                  <c:v>-27.817878787878787</c:v>
                </c:pt>
                <c:pt idx="60">
                  <c:v>-27.939090909090908</c:v>
                </c:pt>
                <c:pt idx="61">
                  <c:v>-28.060303030303029</c:v>
                </c:pt>
                <c:pt idx="62">
                  <c:v>-28.18151515151515</c:v>
                </c:pt>
                <c:pt idx="63">
                  <c:v>-28.302727272727275</c:v>
                </c:pt>
                <c:pt idx="64">
                  <c:v>-28.420242424242424</c:v>
                </c:pt>
                <c:pt idx="65">
                  <c:v>-28.535393939393938</c:v>
                </c:pt>
                <c:pt idx="66">
                  <c:v>-28.655662650602409</c:v>
                </c:pt>
                <c:pt idx="67">
                  <c:v>-28.776363636363634</c:v>
                </c:pt>
                <c:pt idx="68">
                  <c:v>-28.897575757575758</c:v>
                </c:pt>
                <c:pt idx="69">
                  <c:v>-29.014848484848486</c:v>
                </c:pt>
                <c:pt idx="70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6749-4437-9EBA-FACF01A95B36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6749-4437-9EBA-FACF01A95B36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6749-4437-9EBA-FACF01A95B36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6749-4437-9EBA-FACF01A95B36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6749-4437-9EBA-FACF01A95B36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6749-4437-9EBA-FACF01A95B36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6749-4437-9EBA-FACF01A95B36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6749-4437-9EBA-FACF01A95B36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6749-4437-9EBA-FACF01A95B36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6749-4437-9EBA-FACF01A95B36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6749-4437-9EBA-FACF01A95B36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6749-4437-9EBA-FACF01A95B36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  <c:pt idx="0">
                  <c:v>End2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6749-4437-9EBA-FACF01A95B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364295062896362"/>
          <c:y val="1.405444437220484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4.0122484763636409E-11</c:v>
                </c:pt>
                <c:pt idx="1">
                  <c:v>4.4496089090909203E-10</c:v>
                </c:pt>
                <c:pt idx="2">
                  <c:v>1.4468027090909102E-9</c:v>
                </c:pt>
                <c:pt idx="3">
                  <c:v>1.5836322181818206E-7</c:v>
                </c:pt>
                <c:pt idx="4">
                  <c:v>5.8185203482425066E-3</c:v>
                </c:pt>
                <c:pt idx="5">
                  <c:v>7.8545577451272802E-2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  <c:pt idx="21">
                  <c:v>0.20145454545454577</c:v>
                </c:pt>
                <c:pt idx="22">
                  <c:v>0.34690909090909122</c:v>
                </c:pt>
                <c:pt idx="23">
                  <c:v>0.36</c:v>
                </c:pt>
                <c:pt idx="24">
                  <c:v>0.36</c:v>
                </c:pt>
                <c:pt idx="25">
                  <c:v>0.36</c:v>
                </c:pt>
                <c:pt idx="26">
                  <c:v>0.36</c:v>
                </c:pt>
                <c:pt idx="27">
                  <c:v>0.36</c:v>
                </c:pt>
                <c:pt idx="28">
                  <c:v>0.36</c:v>
                </c:pt>
                <c:pt idx="29">
                  <c:v>0.36727272727272725</c:v>
                </c:pt>
                <c:pt idx="30">
                  <c:v>0.39151515151515154</c:v>
                </c:pt>
                <c:pt idx="31">
                  <c:v>0.4</c:v>
                </c:pt>
                <c:pt idx="32">
                  <c:v>0.4</c:v>
                </c:pt>
                <c:pt idx="33">
                  <c:v>0.4</c:v>
                </c:pt>
                <c:pt idx="34">
                  <c:v>0.4</c:v>
                </c:pt>
                <c:pt idx="35">
                  <c:v>0.4</c:v>
                </c:pt>
                <c:pt idx="36">
                  <c:v>0.4</c:v>
                </c:pt>
                <c:pt idx="37">
                  <c:v>0.4</c:v>
                </c:pt>
                <c:pt idx="38">
                  <c:v>0.4</c:v>
                </c:pt>
                <c:pt idx="39">
                  <c:v>0.4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  <c:pt idx="46">
                  <c:v>0.4</c:v>
                </c:pt>
                <c:pt idx="47">
                  <c:v>0.4</c:v>
                </c:pt>
                <c:pt idx="48">
                  <c:v>0.4</c:v>
                </c:pt>
                <c:pt idx="49">
                  <c:v>0.4</c:v>
                </c:pt>
                <c:pt idx="50">
                  <c:v>0.4</c:v>
                </c:pt>
                <c:pt idx="51">
                  <c:v>0.43881333333333356</c:v>
                </c:pt>
                <c:pt idx="52">
                  <c:v>0.4782957575757576</c:v>
                </c:pt>
                <c:pt idx="53">
                  <c:v>0.47944727272727272</c:v>
                </c:pt>
                <c:pt idx="54">
                  <c:v>0.48</c:v>
                </c:pt>
                <c:pt idx="55">
                  <c:v>0.48</c:v>
                </c:pt>
                <c:pt idx="56">
                  <c:v>0.48</c:v>
                </c:pt>
                <c:pt idx="57">
                  <c:v>0.48</c:v>
                </c:pt>
                <c:pt idx="58">
                  <c:v>0.48</c:v>
                </c:pt>
                <c:pt idx="59">
                  <c:v>0.48</c:v>
                </c:pt>
                <c:pt idx="60">
                  <c:v>0.48</c:v>
                </c:pt>
                <c:pt idx="61">
                  <c:v>0.48</c:v>
                </c:pt>
                <c:pt idx="62">
                  <c:v>0.48</c:v>
                </c:pt>
                <c:pt idx="63">
                  <c:v>0.48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1E4F-48F0-98BD-B294EEA8CE8B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9.4775333333333184E-34</c:v>
                </c:pt>
                <c:pt idx="9">
                  <c:v>3.7209473377436009E-27</c:v>
                </c:pt>
                <c:pt idx="10">
                  <c:v>3.4728824894773901E-26</c:v>
                </c:pt>
                <c:pt idx="11">
                  <c:v>1.9889319213313171E-11</c:v>
                </c:pt>
                <c:pt idx="12">
                  <c:v>6.2207019667170965E-11</c:v>
                </c:pt>
                <c:pt idx="13">
                  <c:v>1.0452472012102877E-10</c:v>
                </c:pt>
                <c:pt idx="14">
                  <c:v>1.4684242057488658E-10</c:v>
                </c:pt>
                <c:pt idx="15">
                  <c:v>1.8916012102874438E-10</c:v>
                </c:pt>
                <c:pt idx="16">
                  <c:v>2.3147782148260218E-10</c:v>
                </c:pt>
                <c:pt idx="17">
                  <c:v>2.7379552193645998E-10</c:v>
                </c:pt>
                <c:pt idx="18">
                  <c:v>8.7112896969697131E-10</c:v>
                </c:pt>
                <c:pt idx="19">
                  <c:v>5.1064036363636761E-9</c:v>
                </c:pt>
                <c:pt idx="20">
                  <c:v>2.2687373333333375E-8</c:v>
                </c:pt>
                <c:pt idx="21">
                  <c:v>8.145456555216396E-2</c:v>
                </c:pt>
                <c:pt idx="22">
                  <c:v>0.22690909256852759</c:v>
                </c:pt>
                <c:pt idx="23">
                  <c:v>0.24</c:v>
                </c:pt>
                <c:pt idx="24">
                  <c:v>0.24</c:v>
                </c:pt>
                <c:pt idx="25">
                  <c:v>0.24</c:v>
                </c:pt>
                <c:pt idx="26">
                  <c:v>0.24</c:v>
                </c:pt>
                <c:pt idx="27">
                  <c:v>0.24</c:v>
                </c:pt>
                <c:pt idx="28">
                  <c:v>0.24</c:v>
                </c:pt>
                <c:pt idx="29">
                  <c:v>0.24</c:v>
                </c:pt>
                <c:pt idx="30">
                  <c:v>0.24</c:v>
                </c:pt>
                <c:pt idx="31">
                  <c:v>0.24</c:v>
                </c:pt>
                <c:pt idx="32">
                  <c:v>0.24</c:v>
                </c:pt>
                <c:pt idx="33">
                  <c:v>0.24</c:v>
                </c:pt>
                <c:pt idx="34">
                  <c:v>0.24</c:v>
                </c:pt>
                <c:pt idx="35">
                  <c:v>0.24</c:v>
                </c:pt>
                <c:pt idx="36">
                  <c:v>0.24</c:v>
                </c:pt>
                <c:pt idx="37">
                  <c:v>0.24</c:v>
                </c:pt>
                <c:pt idx="38">
                  <c:v>0.24</c:v>
                </c:pt>
                <c:pt idx="39">
                  <c:v>0.24</c:v>
                </c:pt>
                <c:pt idx="40">
                  <c:v>0.24</c:v>
                </c:pt>
                <c:pt idx="41">
                  <c:v>0.24</c:v>
                </c:pt>
                <c:pt idx="42">
                  <c:v>0.24</c:v>
                </c:pt>
                <c:pt idx="43">
                  <c:v>0.24</c:v>
                </c:pt>
                <c:pt idx="44">
                  <c:v>0.24</c:v>
                </c:pt>
                <c:pt idx="45">
                  <c:v>0.24</c:v>
                </c:pt>
                <c:pt idx="46">
                  <c:v>0.24</c:v>
                </c:pt>
                <c:pt idx="47">
                  <c:v>0.24</c:v>
                </c:pt>
                <c:pt idx="48">
                  <c:v>0.24</c:v>
                </c:pt>
                <c:pt idx="49">
                  <c:v>0.24</c:v>
                </c:pt>
                <c:pt idx="50">
                  <c:v>0.24</c:v>
                </c:pt>
                <c:pt idx="51">
                  <c:v>0.23194909090909085</c:v>
                </c:pt>
                <c:pt idx="52">
                  <c:v>0.22352078787878787</c:v>
                </c:pt>
                <c:pt idx="53">
                  <c:v>0.22187836363636362</c:v>
                </c:pt>
                <c:pt idx="54">
                  <c:v>0.22027060606060606</c:v>
                </c:pt>
                <c:pt idx="55">
                  <c:v>0.21869484848484846</c:v>
                </c:pt>
                <c:pt idx="56">
                  <c:v>0.21694509090909089</c:v>
                </c:pt>
                <c:pt idx="57">
                  <c:v>0.21502680786686837</c:v>
                </c:pt>
                <c:pt idx="58">
                  <c:v>0.21260320726172466</c:v>
                </c:pt>
                <c:pt idx="59">
                  <c:v>0.21017960665658092</c:v>
                </c:pt>
                <c:pt idx="60">
                  <c:v>0.20775600605143721</c:v>
                </c:pt>
                <c:pt idx="61">
                  <c:v>0.2053324054462935</c:v>
                </c:pt>
                <c:pt idx="62">
                  <c:v>0.20290880484114976</c:v>
                </c:pt>
                <c:pt idx="63">
                  <c:v>0.20048520423600605</c:v>
                </c:pt>
                <c:pt idx="64">
                  <c:v>0.19751036363636362</c:v>
                </c:pt>
                <c:pt idx="65">
                  <c:v>0.19418309090909089</c:v>
                </c:pt>
                <c:pt idx="66">
                  <c:v>0.19040084337349397</c:v>
                </c:pt>
                <c:pt idx="67">
                  <c:v>0.18640909090909091</c:v>
                </c:pt>
                <c:pt idx="68">
                  <c:v>0.18197272727272726</c:v>
                </c:pt>
                <c:pt idx="69">
                  <c:v>0.17705181818181817</c:v>
                </c:pt>
                <c:pt idx="70">
                  <c:v>0.17186999999999999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1E4F-48F0-98BD-B294EEA8CE8B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1E4F-48F0-98BD-B294EEA8CE8B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0.04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3.2727300083636363E-2</c:v>
                </c:pt>
                <c:pt idx="30">
                  <c:v>8.4849670290909132E-3</c:v>
                </c:pt>
                <c:pt idx="31">
                  <c:v>9.2012587349397678E-8</c:v>
                </c:pt>
                <c:pt idx="32">
                  <c:v>2.0934909638556205E-9</c:v>
                </c:pt>
                <c:pt idx="33">
                  <c:v>6.0522000000000135E-10</c:v>
                </c:pt>
                <c:pt idx="34">
                  <c:v>1.7152876363636392E-10</c:v>
                </c:pt>
                <c:pt idx="35">
                  <c:v>5.1025127272727563E-11</c:v>
                </c:pt>
                <c:pt idx="36">
                  <c:v>9.3014254545454674E-12</c:v>
                </c:pt>
                <c:pt idx="37">
                  <c:v>3.2052853252647528E-12</c:v>
                </c:pt>
                <c:pt idx="38">
                  <c:v>2.7174184568835376E-12</c:v>
                </c:pt>
                <c:pt idx="39">
                  <c:v>2.2295515885023228E-12</c:v>
                </c:pt>
                <c:pt idx="40">
                  <c:v>1.741684720121108E-12</c:v>
                </c:pt>
                <c:pt idx="41">
                  <c:v>1.2538178517398928E-12</c:v>
                </c:pt>
                <c:pt idx="42">
                  <c:v>7.65950983358678E-13</c:v>
                </c:pt>
                <c:pt idx="43">
                  <c:v>2.780841149774632E-13</c:v>
                </c:pt>
                <c:pt idx="44">
                  <c:v>1.2466971230242472E-25</c:v>
                </c:pt>
                <c:pt idx="45">
                  <c:v>2.2482996726667122E-26</c:v>
                </c:pt>
                <c:pt idx="46">
                  <c:v>1.011994545454551E-30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1E4F-48F0-98BD-B294EEA8CE8B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*Ga[1]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3.4433888048409526E-29</c:v>
                </c:pt>
                <c:pt idx="38">
                  <c:v>8.9528108925869658E-28</c:v>
                </c:pt>
                <c:pt idx="39">
                  <c:v>1.7561282904689835E-27</c:v>
                </c:pt>
                <c:pt idx="40">
                  <c:v>2.6169754916792708E-27</c:v>
                </c:pt>
                <c:pt idx="41">
                  <c:v>3.4778226928895578E-27</c:v>
                </c:pt>
                <c:pt idx="42">
                  <c:v>4.3386698940998448E-27</c:v>
                </c:pt>
                <c:pt idx="43">
                  <c:v>5.1995170953101317E-27</c:v>
                </c:pt>
                <c:pt idx="44">
                  <c:v>8.3405517818180944E-25</c:v>
                </c:pt>
                <c:pt idx="45">
                  <c:v>2.7604853599999911E-24</c:v>
                </c:pt>
                <c:pt idx="46">
                  <c:v>2.7552517636363479E-22</c:v>
                </c:pt>
                <c:pt idx="47">
                  <c:v>1.5058913939393614E-21</c:v>
                </c:pt>
                <c:pt idx="48">
                  <c:v>8.6335944242423924E-21</c:v>
                </c:pt>
                <c:pt idx="49">
                  <c:v>1.64338072289156E-19</c:v>
                </c:pt>
                <c:pt idx="50">
                  <c:v>4.8100072289156739E-19</c:v>
                </c:pt>
                <c:pt idx="51">
                  <c:v>3.0472341818181691E-19</c:v>
                </c:pt>
                <c:pt idx="52">
                  <c:v>2.0336121218275148E-10</c:v>
                </c:pt>
                <c:pt idx="53">
                  <c:v>1.3996036363835989E-9</c:v>
                </c:pt>
                <c:pt idx="54">
                  <c:v>1.0271487272727344E-8</c:v>
                </c:pt>
                <c:pt idx="55">
                  <c:v>2.6228578181818253E-8</c:v>
                </c:pt>
                <c:pt idx="56">
                  <c:v>3.5589381818181855E-8</c:v>
                </c:pt>
                <c:pt idx="57">
                  <c:v>4.2250305597579427E-8</c:v>
                </c:pt>
                <c:pt idx="58">
                  <c:v>4.2833512859304087E-8</c:v>
                </c:pt>
                <c:pt idx="59">
                  <c:v>4.3416720121028747E-8</c:v>
                </c:pt>
                <c:pt idx="60">
                  <c:v>4.3999927382753407E-8</c:v>
                </c:pt>
                <c:pt idx="61">
                  <c:v>4.4583134644478067E-8</c:v>
                </c:pt>
                <c:pt idx="62">
                  <c:v>4.5166341906202727E-8</c:v>
                </c:pt>
                <c:pt idx="63">
                  <c:v>4.5749549167927387E-8</c:v>
                </c:pt>
                <c:pt idx="64">
                  <c:v>4.4567345454545453E-8</c:v>
                </c:pt>
                <c:pt idx="65">
                  <c:v>4.2256436363636358E-8</c:v>
                </c:pt>
                <c:pt idx="66">
                  <c:v>2.6851999999999985E-8</c:v>
                </c:pt>
                <c:pt idx="67">
                  <c:v>1.3646309090909091E-8</c:v>
                </c:pt>
                <c:pt idx="68">
                  <c:v>6.8440060606060596E-9</c:v>
                </c:pt>
                <c:pt idx="69">
                  <c:v>2.9135448484848485E-9</c:v>
                </c:pt>
                <c:pt idx="70">
                  <c:v>5.2946000000000036E-10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F-48F0-98BD-B294EEA8CE8B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0.11418181839080718</c:v>
                </c:pt>
                <c:pt idx="5">
                  <c:v>4.145454827589809E-2</c:v>
                </c:pt>
                <c:pt idx="6">
                  <c:v>3.2263518674698782E-9</c:v>
                </c:pt>
                <c:pt idx="7">
                  <c:v>7.0530969879518313E-10</c:v>
                </c:pt>
                <c:pt idx="8">
                  <c:v>6.9458380000000084E-11</c:v>
                </c:pt>
                <c:pt idx="9">
                  <c:v>5.0540360727272767E-12</c:v>
                </c:pt>
                <c:pt idx="10">
                  <c:v>1.7951700121212162E-12</c:v>
                </c:pt>
                <c:pt idx="11">
                  <c:v>6.3137963801403633E-14</c:v>
                </c:pt>
                <c:pt idx="12">
                  <c:v>5.2854908059709232E-14</c:v>
                </c:pt>
                <c:pt idx="13">
                  <c:v>4.2571852318014825E-14</c:v>
                </c:pt>
                <c:pt idx="14">
                  <c:v>3.2288796576320418E-14</c:v>
                </c:pt>
                <c:pt idx="15">
                  <c:v>2.200574083462601E-14</c:v>
                </c:pt>
                <c:pt idx="16">
                  <c:v>1.1722685092931603E-14</c:v>
                </c:pt>
                <c:pt idx="17">
                  <c:v>1.4396293512372023E-15</c:v>
                </c:pt>
                <c:pt idx="18">
                  <c:v>7.4087636363640254E-22</c:v>
                </c:pt>
                <c:pt idx="19">
                  <c:v>6.8757818181818073E-35</c:v>
                </c:pt>
                <c:pt idx="20">
                  <c:v>2.1009333333333221E-35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1E4F-48F0-98BD-B294EEA8CE8B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1.4189933333333312E-30</c:v>
                </c:pt>
                <c:pt idx="9">
                  <c:v>6.7565728649090263E-26</c:v>
                </c:pt>
                <c:pt idx="10">
                  <c:v>6.3058812822484776E-25</c:v>
                </c:pt>
                <c:pt idx="11">
                  <c:v>4.3909092293046825E-15</c:v>
                </c:pt>
                <c:pt idx="12">
                  <c:v>1.3733269289678517E-14</c:v>
                </c:pt>
                <c:pt idx="13">
                  <c:v>2.3075629350052353E-14</c:v>
                </c:pt>
                <c:pt idx="14">
                  <c:v>3.2417989410426183E-14</c:v>
                </c:pt>
                <c:pt idx="15">
                  <c:v>4.1760349470800024E-14</c:v>
                </c:pt>
                <c:pt idx="16">
                  <c:v>5.1102709531173858E-14</c:v>
                </c:pt>
                <c:pt idx="17">
                  <c:v>6.0445069591547691E-14</c:v>
                </c:pt>
                <c:pt idx="18">
                  <c:v>2.959639235151507E-14</c:v>
                </c:pt>
                <c:pt idx="19">
                  <c:v>4.9905163636572299E-17</c:v>
                </c:pt>
                <c:pt idx="20">
                  <c:v>1.5248800001202663E-17</c:v>
                </c:pt>
                <c:pt idx="21">
                  <c:v>1.0834599999999976E-27</c:v>
                </c:pt>
                <c:pt idx="22">
                  <c:v>8.9459999999997778E-29</c:v>
                </c:pt>
                <c:pt idx="23">
                  <c:v>2.1785180722891592E-18</c:v>
                </c:pt>
                <c:pt idx="24">
                  <c:v>6.5104548826424235E-11</c:v>
                </c:pt>
                <c:pt idx="25">
                  <c:v>3.2552272823612119E-10</c:v>
                </c:pt>
                <c:pt idx="26">
                  <c:v>5.4156209090909096E-9</c:v>
                </c:pt>
                <c:pt idx="27">
                  <c:v>1.3725505757575759E-8</c:v>
                </c:pt>
                <c:pt idx="28">
                  <c:v>9.1896484848484868E-8</c:v>
                </c:pt>
                <c:pt idx="29">
                  <c:v>1.4545576609999999E-2</c:v>
                </c:pt>
                <c:pt idx="30">
                  <c:v>6.3030334676666674E-2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  <c:pt idx="36">
                  <c:v>0.08</c:v>
                </c:pt>
                <c:pt idx="37">
                  <c:v>0.08</c:v>
                </c:pt>
                <c:pt idx="38">
                  <c:v>0.08</c:v>
                </c:pt>
                <c:pt idx="39">
                  <c:v>0.08</c:v>
                </c:pt>
                <c:pt idx="40">
                  <c:v>0.08</c:v>
                </c:pt>
                <c:pt idx="41">
                  <c:v>0.08</c:v>
                </c:pt>
                <c:pt idx="42">
                  <c:v>0.08</c:v>
                </c:pt>
                <c:pt idx="43">
                  <c:v>0.08</c:v>
                </c:pt>
                <c:pt idx="44">
                  <c:v>0.08</c:v>
                </c:pt>
                <c:pt idx="45">
                  <c:v>0.08</c:v>
                </c:pt>
                <c:pt idx="46">
                  <c:v>0.08</c:v>
                </c:pt>
                <c:pt idx="47">
                  <c:v>0.08</c:v>
                </c:pt>
                <c:pt idx="48">
                  <c:v>0.08</c:v>
                </c:pt>
                <c:pt idx="49">
                  <c:v>0.08</c:v>
                </c:pt>
                <c:pt idx="50">
                  <c:v>0.08</c:v>
                </c:pt>
                <c:pt idx="51">
                  <c:v>4.1186368484848267E-2</c:v>
                </c:pt>
                <c:pt idx="52">
                  <c:v>1.7037053191939343E-3</c:v>
                </c:pt>
                <c:pt idx="53">
                  <c:v>5.5256013798181294E-4</c:v>
                </c:pt>
                <c:pt idx="54">
                  <c:v>7.3314821818181544E-9</c:v>
                </c:pt>
                <c:pt idx="55">
                  <c:v>1.3324094545454276E-9</c:v>
                </c:pt>
                <c:pt idx="56">
                  <c:v>2.6120366918181658E-10</c:v>
                </c:pt>
                <c:pt idx="57">
                  <c:v>1.406090015128592E-14</c:v>
                </c:pt>
                <c:pt idx="58">
                  <c:v>1.1860446293494696E-14</c:v>
                </c:pt>
                <c:pt idx="59">
                  <c:v>9.6599924357034704E-15</c:v>
                </c:pt>
                <c:pt idx="60">
                  <c:v>7.4595385779122465E-15</c:v>
                </c:pt>
                <c:pt idx="61">
                  <c:v>5.2590847201210225E-15</c:v>
                </c:pt>
                <c:pt idx="62">
                  <c:v>3.058630862329797E-15</c:v>
                </c:pt>
                <c:pt idx="63">
                  <c:v>8.5817700453857299E-16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1E4F-48F0-98BD-B294EEA8CE8B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*Ge[l]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9.8429803328290279E-33</c:v>
                </c:pt>
                <c:pt idx="12">
                  <c:v>3.078549167927382E-32</c:v>
                </c:pt>
                <c:pt idx="13">
                  <c:v>5.1728003025718609E-32</c:v>
                </c:pt>
                <c:pt idx="14">
                  <c:v>7.2670514372163404E-32</c:v>
                </c:pt>
                <c:pt idx="15">
                  <c:v>9.3613025718608199E-32</c:v>
                </c:pt>
                <c:pt idx="16">
                  <c:v>1.1455553706505298E-31</c:v>
                </c:pt>
                <c:pt idx="17">
                  <c:v>1.3549804841149778E-31</c:v>
                </c:pt>
                <c:pt idx="18">
                  <c:v>6.6278606060605875E-32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3.9242424242424246E-35</c:v>
                </c:pt>
                <c:pt idx="25">
                  <c:v>1.9621212121212122E-34</c:v>
                </c:pt>
                <c:pt idx="26">
                  <c:v>1.6481818181818182E-34</c:v>
                </c:pt>
                <c:pt idx="27">
                  <c:v>7.8484848484848385E-36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1.7481599999999957E-22</c:v>
                </c:pt>
                <c:pt idx="34">
                  <c:v>1.8245661625212001E-17</c:v>
                </c:pt>
                <c:pt idx="35">
                  <c:v>7.1908515346424115E-17</c:v>
                </c:pt>
                <c:pt idx="36">
                  <c:v>1.4228351650909046E-13</c:v>
                </c:pt>
                <c:pt idx="37">
                  <c:v>3.4509718608169414E-13</c:v>
                </c:pt>
                <c:pt idx="38">
                  <c:v>4.6952683812405417E-13</c:v>
                </c:pt>
                <c:pt idx="39">
                  <c:v>5.939564901664141E-13</c:v>
                </c:pt>
                <c:pt idx="40">
                  <c:v>7.1838614220877423E-13</c:v>
                </c:pt>
                <c:pt idx="41">
                  <c:v>8.4281579425113416E-13</c:v>
                </c:pt>
                <c:pt idx="42">
                  <c:v>9.6724544629349429E-13</c:v>
                </c:pt>
                <c:pt idx="43">
                  <c:v>1.0916750983358542E-12</c:v>
                </c:pt>
                <c:pt idx="44">
                  <c:v>1.0477066060606072E-12</c:v>
                </c:pt>
                <c:pt idx="45">
                  <c:v>7.8051266666666788E-13</c:v>
                </c:pt>
                <c:pt idx="46">
                  <c:v>4.0931352727272913E-13</c:v>
                </c:pt>
                <c:pt idx="47">
                  <c:v>5.6056281254545627E-14</c:v>
                </c:pt>
                <c:pt idx="48">
                  <c:v>1.9189213981818354E-14</c:v>
                </c:pt>
                <c:pt idx="49">
                  <c:v>1.303615663559395E-17</c:v>
                </c:pt>
                <c:pt idx="50">
                  <c:v>1.9885662930812397E-18</c:v>
                </c:pt>
                <c:pt idx="51">
                  <c:v>1.5809739393939309E-26</c:v>
                </c:pt>
                <c:pt idx="52">
                  <c:v>8.2071878787880986E-18</c:v>
                </c:pt>
                <c:pt idx="53">
                  <c:v>5.648476363636386E-17</c:v>
                </c:pt>
                <c:pt idx="54">
                  <c:v>6.3944296977903582E-11</c:v>
                </c:pt>
                <c:pt idx="55">
                  <c:v>1.869139456700248E-10</c:v>
                </c:pt>
                <c:pt idx="56">
                  <c:v>2.1600800000000007E-10</c:v>
                </c:pt>
                <c:pt idx="57">
                  <c:v>2.3325167927382764E-10</c:v>
                </c:pt>
                <c:pt idx="58">
                  <c:v>2.5821385779122553E-10</c:v>
                </c:pt>
                <c:pt idx="59">
                  <c:v>2.8317603630862337E-10</c:v>
                </c:pt>
                <c:pt idx="60">
                  <c:v>3.0813821482602127E-10</c:v>
                </c:pt>
                <c:pt idx="61">
                  <c:v>3.3310039334341916E-10</c:v>
                </c:pt>
                <c:pt idx="62">
                  <c:v>3.58062571860817E-10</c:v>
                </c:pt>
                <c:pt idx="63">
                  <c:v>3.8302475037821489E-10</c:v>
                </c:pt>
                <c:pt idx="64">
                  <c:v>8.6576509090909274E-10</c:v>
                </c:pt>
                <c:pt idx="65">
                  <c:v>1.6411832727272747E-9</c:v>
                </c:pt>
                <c:pt idx="66">
                  <c:v>2.2457132530120486E-9</c:v>
                </c:pt>
                <c:pt idx="67">
                  <c:v>3.036172727272727E-9</c:v>
                </c:pt>
                <c:pt idx="68">
                  <c:v>4.2770818181818183E-9</c:v>
                </c:pt>
                <c:pt idx="69">
                  <c:v>4.5253424242424245E-9</c:v>
                </c:pt>
                <c:pt idx="70">
                  <c:v>4.2391000000000004E-9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1E4F-48F0-98BD-B294EEA8CE8B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0.12581818181818188</c:v>
                </c:pt>
                <c:pt idx="5">
                  <c:v>0.19854545454545464</c:v>
                </c:pt>
                <c:pt idx="6">
                  <c:v>0.24</c:v>
                </c:pt>
                <c:pt idx="7">
                  <c:v>0.24</c:v>
                </c:pt>
                <c:pt idx="8">
                  <c:v>0.24</c:v>
                </c:pt>
                <c:pt idx="9">
                  <c:v>0.24</c:v>
                </c:pt>
                <c:pt idx="10">
                  <c:v>0.24</c:v>
                </c:pt>
                <c:pt idx="11">
                  <c:v>0.24</c:v>
                </c:pt>
                <c:pt idx="12">
                  <c:v>0.24</c:v>
                </c:pt>
                <c:pt idx="13">
                  <c:v>0.24</c:v>
                </c:pt>
                <c:pt idx="14">
                  <c:v>0.24</c:v>
                </c:pt>
                <c:pt idx="15">
                  <c:v>0.24</c:v>
                </c:pt>
                <c:pt idx="16">
                  <c:v>0.24</c:v>
                </c:pt>
                <c:pt idx="17">
                  <c:v>0.24</c:v>
                </c:pt>
                <c:pt idx="18">
                  <c:v>0.24</c:v>
                </c:pt>
                <c:pt idx="19">
                  <c:v>0.24</c:v>
                </c:pt>
                <c:pt idx="20">
                  <c:v>0.24</c:v>
                </c:pt>
                <c:pt idx="21">
                  <c:v>0.15854551267006028</c:v>
                </c:pt>
                <c:pt idx="22">
                  <c:v>1.3091071009454225E-2</c:v>
                </c:pt>
                <c:pt idx="23">
                  <c:v>7.8679505421686649E-8</c:v>
                </c:pt>
                <c:pt idx="24">
                  <c:v>2.0281442424242425E-9</c:v>
                </c:pt>
                <c:pt idx="25">
                  <c:v>6.3312121212121203E-10</c:v>
                </c:pt>
                <c:pt idx="26">
                  <c:v>4.7798545472282182E-11</c:v>
                </c:pt>
                <c:pt idx="27">
                  <c:v>2.2761212594191502E-12</c:v>
                </c:pt>
                <c:pt idx="28">
                  <c:v>2.0692848484848481E-20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9.8105999999999776E-27</c:v>
                </c:pt>
                <c:pt idx="34">
                  <c:v>1.0627163521212051E-23</c:v>
                </c:pt>
                <c:pt idx="35">
                  <c:v>4.1835435642424169E-23</c:v>
                </c:pt>
                <c:pt idx="36">
                  <c:v>5.2605876363636189E-21</c:v>
                </c:pt>
                <c:pt idx="37">
                  <c:v>1.2432308623298038E-20</c:v>
                </c:pt>
                <c:pt idx="38">
                  <c:v>1.0540024205748888E-20</c:v>
                </c:pt>
                <c:pt idx="39">
                  <c:v>8.647739788199739E-21</c:v>
                </c:pt>
                <c:pt idx="40">
                  <c:v>6.7554553706505879E-21</c:v>
                </c:pt>
                <c:pt idx="41">
                  <c:v>4.8631709531014383E-21</c:v>
                </c:pt>
                <c:pt idx="42">
                  <c:v>2.970886535552288E-21</c:v>
                </c:pt>
                <c:pt idx="43">
                  <c:v>1.0786021180031377E-21</c:v>
                </c:pt>
                <c:pt idx="44">
                  <c:v>8.3181818181818497E-35</c:v>
                </c:pt>
                <c:pt idx="45">
                  <c:v>1.5000000000000312E-35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1E4F-48F0-98BD-B294EEA8CE8B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Ga2Se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4.7752284417549078E-33</c:v>
                </c:pt>
                <c:pt idx="12">
                  <c:v>1.4935288956127075E-32</c:v>
                </c:pt>
                <c:pt idx="13">
                  <c:v>2.5095349470499246E-32</c:v>
                </c:pt>
                <c:pt idx="14">
                  <c:v>3.5255409984871412E-32</c:v>
                </c:pt>
                <c:pt idx="15">
                  <c:v>4.5415470499243583E-32</c:v>
                </c:pt>
                <c:pt idx="16">
                  <c:v>5.5575531013615749E-32</c:v>
                </c:pt>
                <c:pt idx="17">
                  <c:v>6.573559152798792E-32</c:v>
                </c:pt>
                <c:pt idx="18">
                  <c:v>4.1267968606060713E-30</c:v>
                </c:pt>
                <c:pt idx="19">
                  <c:v>9.4366327272728209E-29</c:v>
                </c:pt>
                <c:pt idx="20">
                  <c:v>5.0632026666666759E-28</c:v>
                </c:pt>
                <c:pt idx="21">
                  <c:v>1.6155261939394003E-26</c:v>
                </c:pt>
                <c:pt idx="22">
                  <c:v>4.3776122545454608E-26</c:v>
                </c:pt>
                <c:pt idx="23">
                  <c:v>1.3641382530120496E-24</c:v>
                </c:pt>
                <c:pt idx="24">
                  <c:v>1.7886618181818183E-23</c:v>
                </c:pt>
                <c:pt idx="25">
                  <c:v>7.9631890909090907E-23</c:v>
                </c:pt>
                <c:pt idx="26">
                  <c:v>1.3894463636363638E-21</c:v>
                </c:pt>
                <c:pt idx="27">
                  <c:v>3.5313069696969699E-21</c:v>
                </c:pt>
                <c:pt idx="28">
                  <c:v>6.236659393939394E-20</c:v>
                </c:pt>
                <c:pt idx="29">
                  <c:v>4.7974181818181818E-19</c:v>
                </c:pt>
                <c:pt idx="30">
                  <c:v>1.7267478787878789E-18</c:v>
                </c:pt>
                <c:pt idx="31">
                  <c:v>1.0295169879518059E-17</c:v>
                </c:pt>
                <c:pt idx="32">
                  <c:v>2.2805892771084307E-17</c:v>
                </c:pt>
                <c:pt idx="33">
                  <c:v>1.3901239999999973E-16</c:v>
                </c:pt>
                <c:pt idx="34">
                  <c:v>5.4968242424242201E-16</c:v>
                </c:pt>
                <c:pt idx="35">
                  <c:v>1.5299248484848462E-15</c:v>
                </c:pt>
                <c:pt idx="36">
                  <c:v>6.948247272727256E-15</c:v>
                </c:pt>
                <c:pt idx="37">
                  <c:v>1.3806361270801109E-13</c:v>
                </c:pt>
                <c:pt idx="38">
                  <c:v>3.2380539304084641E-12</c:v>
                </c:pt>
                <c:pt idx="39">
                  <c:v>6.3380442481089176E-12</c:v>
                </c:pt>
                <c:pt idx="40">
                  <c:v>9.4380345658093712E-12</c:v>
                </c:pt>
                <c:pt idx="41">
                  <c:v>1.2538024883509825E-11</c:v>
                </c:pt>
                <c:pt idx="42">
                  <c:v>1.5638015201210277E-11</c:v>
                </c:pt>
                <c:pt idx="43">
                  <c:v>1.8738005518910729E-11</c:v>
                </c:pt>
                <c:pt idx="44">
                  <c:v>4.2522303030302796E-11</c:v>
                </c:pt>
                <c:pt idx="45">
                  <c:v>9.3725333333333104E-11</c:v>
                </c:pt>
                <c:pt idx="46">
                  <c:v>2.933670909090898E-10</c:v>
                </c:pt>
                <c:pt idx="47">
                  <c:v>6.4269187878787391E-10</c:v>
                </c:pt>
                <c:pt idx="48">
                  <c:v>1.7135524848484799E-9</c:v>
                </c:pt>
                <c:pt idx="49">
                  <c:v>4.4081349397590272E-9</c:v>
                </c:pt>
                <c:pt idx="50">
                  <c:v>8.8617493975903763E-9</c:v>
                </c:pt>
                <c:pt idx="51">
                  <c:v>2.3639480000000078E-8</c:v>
                </c:pt>
                <c:pt idx="52">
                  <c:v>3.7759624242424239E-8</c:v>
                </c:pt>
                <c:pt idx="53">
                  <c:v>3.7604472727272728E-8</c:v>
                </c:pt>
                <c:pt idx="54">
                  <c:v>3.7317272727272722E-8</c:v>
                </c:pt>
                <c:pt idx="55">
                  <c:v>3.6908181818181817E-8</c:v>
                </c:pt>
                <c:pt idx="56">
                  <c:v>3.6274472727272722E-8</c:v>
                </c:pt>
                <c:pt idx="57">
                  <c:v>3.5496290468986376E-8</c:v>
                </c:pt>
                <c:pt idx="58">
                  <c:v>3.4324883509833575E-8</c:v>
                </c:pt>
                <c:pt idx="59">
                  <c:v>3.3153476550680781E-8</c:v>
                </c:pt>
                <c:pt idx="60">
                  <c:v>3.198206959152798E-8</c:v>
                </c:pt>
                <c:pt idx="61">
                  <c:v>3.0810662632375186E-8</c:v>
                </c:pt>
                <c:pt idx="62">
                  <c:v>2.9639255673222385E-8</c:v>
                </c:pt>
                <c:pt idx="63">
                  <c:v>2.8467848714069588E-8</c:v>
                </c:pt>
                <c:pt idx="64">
                  <c:v>2.709193333333333E-8</c:v>
                </c:pt>
                <c:pt idx="65">
                  <c:v>2.5585266666666661E-8</c:v>
                </c:pt>
                <c:pt idx="66">
                  <c:v>2.4030638554216866E-8</c:v>
                </c:pt>
                <c:pt idx="67">
                  <c:v>2.2464454545454547E-8</c:v>
                </c:pt>
                <c:pt idx="68">
                  <c:v>2.0875969696969696E-8</c:v>
                </c:pt>
                <c:pt idx="69">
                  <c:v>1.9294575757575758E-8</c:v>
                </c:pt>
                <c:pt idx="70">
                  <c:v>1.7716999999999999E-8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1E4F-48F0-98BD-B294EEA8CE8B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1E4F-48F0-98BD-B294EEA8CE8B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3.0726733333333287E-34</c:v>
                </c:pt>
                <c:pt idx="9">
                  <c:v>5.8647963509090362E-31</c:v>
                </c:pt>
                <c:pt idx="10">
                  <c:v>5.4683230108484795E-30</c:v>
                </c:pt>
                <c:pt idx="11">
                  <c:v>5.8107217087170821E-22</c:v>
                </c:pt>
                <c:pt idx="12">
                  <c:v>1.817395921544069E-21</c:v>
                </c:pt>
                <c:pt idx="13">
                  <c:v>3.0537196722164296E-21</c:v>
                </c:pt>
                <c:pt idx="14">
                  <c:v>4.2900434228887903E-21</c:v>
                </c:pt>
                <c:pt idx="15">
                  <c:v>5.5263671735611517E-21</c:v>
                </c:pt>
                <c:pt idx="16">
                  <c:v>6.7626909242335124E-21</c:v>
                </c:pt>
                <c:pt idx="17">
                  <c:v>7.999014674905873E-21</c:v>
                </c:pt>
                <c:pt idx="18">
                  <c:v>3.9157727284848382E-21</c:v>
                </c:pt>
                <c:pt idx="19">
                  <c:v>5.1409745454548644E-24</c:v>
                </c:pt>
                <c:pt idx="20">
                  <c:v>1.5708533333352117E-24</c:v>
                </c:pt>
                <c:pt idx="21">
                  <c:v>1.6992109090909056E-36</c:v>
                </c:pt>
                <c:pt idx="22">
                  <c:v>1.4030181818181455E-37</c:v>
                </c:pt>
                <c:pt idx="23">
                  <c:v>0</c:v>
                </c:pt>
                <c:pt idx="24">
                  <c:v>4.9569696969696967E-29</c:v>
                </c:pt>
                <c:pt idx="25">
                  <c:v>2.4784848484848483E-28</c:v>
                </c:pt>
                <c:pt idx="26">
                  <c:v>2.0819272903956365E-28</c:v>
                </c:pt>
                <c:pt idx="27">
                  <c:v>9.9139441055030448E-30</c:v>
                </c:pt>
                <c:pt idx="28">
                  <c:v>2.0613090909090906E-36</c:v>
                </c:pt>
                <c:pt idx="29">
                  <c:v>0</c:v>
                </c:pt>
                <c:pt idx="30">
                  <c:v>0</c:v>
                </c:pt>
                <c:pt idx="31">
                  <c:v>2.0264728915662624E-36</c:v>
                </c:pt>
                <c:pt idx="32">
                  <c:v>5.1441234939758971E-36</c:v>
                </c:pt>
                <c:pt idx="33">
                  <c:v>6.9486000000000036E-22</c:v>
                </c:pt>
                <c:pt idx="34">
                  <c:v>4.560625279454515E-17</c:v>
                </c:pt>
                <c:pt idx="35">
                  <c:v>1.7973888424909059E-16</c:v>
                </c:pt>
                <c:pt idx="36">
                  <c:v>3.3358694981818071E-13</c:v>
                </c:pt>
                <c:pt idx="37">
                  <c:v>1.0592069591527839E-12</c:v>
                </c:pt>
                <c:pt idx="38">
                  <c:v>7.6043809379727524E-12</c:v>
                </c:pt>
                <c:pt idx="39">
                  <c:v>1.414955491679272E-11</c:v>
                </c:pt>
                <c:pt idx="40">
                  <c:v>2.069472889561269E-11</c:v>
                </c:pt>
                <c:pt idx="41">
                  <c:v>2.7239902874432658E-11</c:v>
                </c:pt>
                <c:pt idx="42">
                  <c:v>3.3785076853252623E-11</c:v>
                </c:pt>
                <c:pt idx="43">
                  <c:v>4.0330250832072591E-11</c:v>
                </c:pt>
                <c:pt idx="44">
                  <c:v>8.1494193939393535E-11</c:v>
                </c:pt>
                <c:pt idx="45">
                  <c:v>1.6854813333333293E-10</c:v>
                </c:pt>
                <c:pt idx="46">
                  <c:v>4.2458363636363501E-10</c:v>
                </c:pt>
                <c:pt idx="47">
                  <c:v>7.3908242424242254E-10</c:v>
                </c:pt>
                <c:pt idx="48">
                  <c:v>1.1258703030303014E-9</c:v>
                </c:pt>
                <c:pt idx="49">
                  <c:v>7.4568313253011812E-9</c:v>
                </c:pt>
                <c:pt idx="50">
                  <c:v>2.0227313253012093E-8</c:v>
                </c:pt>
                <c:pt idx="51">
                  <c:v>3.8813841634291128E-2</c:v>
                </c:pt>
                <c:pt idx="52">
                  <c:v>7.829665454545455E-2</c:v>
                </c:pt>
                <c:pt idx="53">
                  <c:v>7.9447563636363641E-2</c:v>
                </c:pt>
                <c:pt idx="54">
                  <c:v>0.08</c:v>
                </c:pt>
                <c:pt idx="55">
                  <c:v>0.08</c:v>
                </c:pt>
                <c:pt idx="56">
                  <c:v>0.08</c:v>
                </c:pt>
                <c:pt idx="57">
                  <c:v>0.08</c:v>
                </c:pt>
                <c:pt idx="58">
                  <c:v>0.08</c:v>
                </c:pt>
                <c:pt idx="59">
                  <c:v>0.08</c:v>
                </c:pt>
                <c:pt idx="60">
                  <c:v>0.08</c:v>
                </c:pt>
                <c:pt idx="61">
                  <c:v>0.08</c:v>
                </c:pt>
                <c:pt idx="62">
                  <c:v>0.08</c:v>
                </c:pt>
                <c:pt idx="63">
                  <c:v>0.08</c:v>
                </c:pt>
                <c:pt idx="64">
                  <c:v>0.08</c:v>
                </c:pt>
                <c:pt idx="65">
                  <c:v>0.08</c:v>
                </c:pt>
                <c:pt idx="66">
                  <c:v>0.08</c:v>
                </c:pt>
                <c:pt idx="67">
                  <c:v>0.08</c:v>
                </c:pt>
                <c:pt idx="68">
                  <c:v>0.08</c:v>
                </c:pt>
                <c:pt idx="69">
                  <c:v>0.08</c:v>
                </c:pt>
                <c:pt idx="70">
                  <c:v>0.08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1E4F-48F0-98BD-B294EEA8CE8B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5.0933624242424188E-27</c:v>
                </c:pt>
                <c:pt idx="1">
                  <c:v>1.4913648484848473E-27</c:v>
                </c:pt>
                <c:pt idx="2">
                  <c:v>3.1706181818181696E-28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1.2169259036144594E-26</c:v>
                </c:pt>
                <c:pt idx="7">
                  <c:v>4.0469861445783111E-26</c:v>
                </c:pt>
                <c:pt idx="8">
                  <c:v>2.4067869172213292E-19</c:v>
                </c:pt>
                <c:pt idx="9">
                  <c:v>3.0690595272726992E-17</c:v>
                </c:pt>
                <c:pt idx="10">
                  <c:v>2.8214772254545429E-16</c:v>
                </c:pt>
                <c:pt idx="11">
                  <c:v>3.0954176518608111E-12</c:v>
                </c:pt>
                <c:pt idx="12">
                  <c:v>9.6805287834795737E-12</c:v>
                </c:pt>
                <c:pt idx="13">
                  <c:v>1.6265639915098336E-11</c:v>
                </c:pt>
                <c:pt idx="14">
                  <c:v>2.2850751046717101E-11</c:v>
                </c:pt>
                <c:pt idx="15">
                  <c:v>2.9435862178335862E-11</c:v>
                </c:pt>
                <c:pt idx="16">
                  <c:v>3.6020973309954626E-11</c:v>
                </c:pt>
                <c:pt idx="17">
                  <c:v>4.260608444157339E-11</c:v>
                </c:pt>
                <c:pt idx="18">
                  <c:v>2.0843000162424183E-11</c:v>
                </c:pt>
                <c:pt idx="19">
                  <c:v>3.8869527272727604E-15</c:v>
                </c:pt>
                <c:pt idx="20">
                  <c:v>1.1876800000002197E-15</c:v>
                </c:pt>
                <c:pt idx="21">
                  <c:v>2.0375733333333293E-28</c:v>
                </c:pt>
                <c:pt idx="22">
                  <c:v>1.6823999999999587E-29</c:v>
                </c:pt>
                <c:pt idx="23">
                  <c:v>3.2704084337349434E-31</c:v>
                </c:pt>
                <c:pt idx="24">
                  <c:v>8.4765156577042423E-24</c:v>
                </c:pt>
                <c:pt idx="25">
                  <c:v>4.2382575902201214E-23</c:v>
                </c:pt>
                <c:pt idx="26">
                  <c:v>3.5601363672702913E-23</c:v>
                </c:pt>
                <c:pt idx="27">
                  <c:v>1.6953031272077559E-24</c:v>
                </c:pt>
                <c:pt idx="28">
                  <c:v>4.2395818181818187E-32</c:v>
                </c:pt>
                <c:pt idx="29">
                  <c:v>0</c:v>
                </c:pt>
                <c:pt idx="30">
                  <c:v>0</c:v>
                </c:pt>
                <c:pt idx="31">
                  <c:v>1.9438132530120455E-34</c:v>
                </c:pt>
                <c:pt idx="32">
                  <c:v>4.934295180722885E-34</c:v>
                </c:pt>
                <c:pt idx="33">
                  <c:v>1.5739800000000163E-20</c:v>
                </c:pt>
                <c:pt idx="34">
                  <c:v>2.5866810013939223E-16</c:v>
                </c:pt>
                <c:pt idx="35">
                  <c:v>1.0193794740787861E-15</c:v>
                </c:pt>
                <c:pt idx="36">
                  <c:v>5.0075029818181656E-13</c:v>
                </c:pt>
                <c:pt idx="37">
                  <c:v>1.1916027534039337E-12</c:v>
                </c:pt>
                <c:pt idx="38">
                  <c:v>1.0891715885022697E-12</c:v>
                </c:pt>
                <c:pt idx="39">
                  <c:v>9.8674042360060542E-13</c:v>
                </c:pt>
                <c:pt idx="40">
                  <c:v>8.8430925869894138E-13</c:v>
                </c:pt>
                <c:pt idx="41">
                  <c:v>7.8187809379727724E-13</c:v>
                </c:pt>
                <c:pt idx="42">
                  <c:v>6.7944692889561309E-13</c:v>
                </c:pt>
                <c:pt idx="43">
                  <c:v>5.7701576399394905E-13</c:v>
                </c:pt>
                <c:pt idx="44">
                  <c:v>5.7356054545454484E-13</c:v>
                </c:pt>
                <c:pt idx="45">
                  <c:v>7.0130599999999948E-13</c:v>
                </c:pt>
                <c:pt idx="46">
                  <c:v>8.1780999999999942E-13</c:v>
                </c:pt>
                <c:pt idx="47">
                  <c:v>8.9348509090909166E-13</c:v>
                </c:pt>
                <c:pt idx="48">
                  <c:v>7.1713963636363711E-13</c:v>
                </c:pt>
                <c:pt idx="49">
                  <c:v>1.5676742168674661E-12</c:v>
                </c:pt>
                <c:pt idx="50">
                  <c:v>3.5306621686747056E-12</c:v>
                </c:pt>
                <c:pt idx="51">
                  <c:v>2.562477105284863E-6</c:v>
                </c:pt>
                <c:pt idx="52">
                  <c:v>5.0395593939393904E-6</c:v>
                </c:pt>
                <c:pt idx="53">
                  <c:v>4.3534381818181788E-6</c:v>
                </c:pt>
                <c:pt idx="54">
                  <c:v>3.730536363636361E-6</c:v>
                </c:pt>
                <c:pt idx="55">
                  <c:v>3.1659909090909063E-6</c:v>
                </c:pt>
                <c:pt idx="56">
                  <c:v>2.7262509090909071E-6</c:v>
                </c:pt>
                <c:pt idx="57">
                  <c:v>2.3494559152798783E-6</c:v>
                </c:pt>
                <c:pt idx="58">
                  <c:v>2.1297100756429644E-6</c:v>
                </c:pt>
                <c:pt idx="59">
                  <c:v>1.9099642360060506E-6</c:v>
                </c:pt>
                <c:pt idx="60">
                  <c:v>1.6902183963691369E-6</c:v>
                </c:pt>
                <c:pt idx="61">
                  <c:v>1.4704725567322233E-6</c:v>
                </c:pt>
                <c:pt idx="62">
                  <c:v>1.2507267170953094E-6</c:v>
                </c:pt>
                <c:pt idx="63">
                  <c:v>1.0309808774583957E-6</c:v>
                </c:pt>
                <c:pt idx="64">
                  <c:v>8.7883806060606028E-7</c:v>
                </c:pt>
                <c:pt idx="65">
                  <c:v>7.6991684848484817E-7</c:v>
                </c:pt>
                <c:pt idx="66">
                  <c:v>6.8465397590361432E-7</c:v>
                </c:pt>
                <c:pt idx="67">
                  <c:v>6.0574909090909088E-7</c:v>
                </c:pt>
                <c:pt idx="68">
                  <c:v>5.3937939393939392E-7</c:v>
                </c:pt>
                <c:pt idx="69">
                  <c:v>4.8222000000000004E-7</c:v>
                </c:pt>
                <c:pt idx="70">
                  <c:v>4.3001999999999998E-7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1E4F-48F0-98BD-B294EEA8CE8B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2.40997515151515E-34</c:v>
                </c:pt>
                <c:pt idx="1">
                  <c:v>1.3060987878787867E-34</c:v>
                </c:pt>
                <c:pt idx="2">
                  <c:v>2.7767454545454423E-35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9.1994096385542283E-32</c:v>
                </c:pt>
                <c:pt idx="7">
                  <c:v>3.0593385542168653E-31</c:v>
                </c:pt>
                <c:pt idx="8">
                  <c:v>7.1843335227413237E-24</c:v>
                </c:pt>
                <c:pt idx="9">
                  <c:v>3.2474389999999696E-21</c:v>
                </c:pt>
                <c:pt idx="10">
                  <c:v>3.0181138999999976E-20</c:v>
                </c:pt>
                <c:pt idx="11">
                  <c:v>2.5326001960641405E-14</c:v>
                </c:pt>
                <c:pt idx="12">
                  <c:v>7.9211017927963675E-14</c:v>
                </c:pt>
                <c:pt idx="13">
                  <c:v>1.3309603389528592E-13</c:v>
                </c:pt>
                <c:pt idx="14">
                  <c:v>1.869810498626082E-13</c:v>
                </c:pt>
                <c:pt idx="15">
                  <c:v>2.4086606582993048E-13</c:v>
                </c:pt>
                <c:pt idx="16">
                  <c:v>2.9475108179725273E-13</c:v>
                </c:pt>
                <c:pt idx="17">
                  <c:v>3.4863609776457503E-13</c:v>
                </c:pt>
                <c:pt idx="18">
                  <c:v>1.7058277193939347E-13</c:v>
                </c:pt>
                <c:pt idx="19">
                  <c:v>8.054836363636547E-17</c:v>
                </c:pt>
                <c:pt idx="20">
                  <c:v>2.4612000000011159E-17</c:v>
                </c:pt>
                <c:pt idx="21">
                  <c:v>1.0168048484848464E-29</c:v>
                </c:pt>
                <c:pt idx="22">
                  <c:v>8.3956363636361568E-31</c:v>
                </c:pt>
                <c:pt idx="23">
                  <c:v>8.283192771084347E-32</c:v>
                </c:pt>
                <c:pt idx="24">
                  <c:v>4.55909103729697E-24</c:v>
                </c:pt>
                <c:pt idx="25">
                  <c:v>2.279545458208485E-23</c:v>
                </c:pt>
                <c:pt idx="26">
                  <c:v>1.9148181858258182E-23</c:v>
                </c:pt>
                <c:pt idx="27">
                  <c:v>9.1181828868848721E-25</c:v>
                </c:pt>
                <c:pt idx="28">
                  <c:v>4.6755757575757586E-32</c:v>
                </c:pt>
                <c:pt idx="29">
                  <c:v>0</c:v>
                </c:pt>
                <c:pt idx="30">
                  <c:v>0</c:v>
                </c:pt>
                <c:pt idx="31">
                  <c:v>1.5383072289156606E-33</c:v>
                </c:pt>
                <c:pt idx="32">
                  <c:v>3.9049337349397536E-33</c:v>
                </c:pt>
                <c:pt idx="33">
                  <c:v>2.2770600000000107E-19</c:v>
                </c:pt>
                <c:pt idx="34">
                  <c:v>6.6816103988484406E-15</c:v>
                </c:pt>
                <c:pt idx="35">
                  <c:v>2.6332289483696925E-14</c:v>
                </c:pt>
                <c:pt idx="36">
                  <c:v>2.2579773963636287E-11</c:v>
                </c:pt>
                <c:pt idx="37">
                  <c:v>5.4712481089258651E-11</c:v>
                </c:pt>
                <c:pt idx="38">
                  <c:v>7.3774508320726124E-11</c:v>
                </c:pt>
                <c:pt idx="39">
                  <c:v>9.2836535552193591E-11</c:v>
                </c:pt>
                <c:pt idx="40">
                  <c:v>1.1189856278366106E-10</c:v>
                </c:pt>
                <c:pt idx="41">
                  <c:v>1.3096059001512851E-10</c:v>
                </c:pt>
                <c:pt idx="42">
                  <c:v>1.50022617246596E-10</c:v>
                </c:pt>
                <c:pt idx="43">
                  <c:v>1.6908464447806347E-10</c:v>
                </c:pt>
                <c:pt idx="44">
                  <c:v>2.3839090909090851E-10</c:v>
                </c:pt>
                <c:pt idx="45">
                  <c:v>3.7429999999999942E-10</c:v>
                </c:pt>
                <c:pt idx="46">
                  <c:v>5.9094618181818068E-10</c:v>
                </c:pt>
                <c:pt idx="47">
                  <c:v>8.0298321212121202E-10</c:v>
                </c:pt>
                <c:pt idx="48">
                  <c:v>8.317771515151514E-10</c:v>
                </c:pt>
                <c:pt idx="49">
                  <c:v>2.9317572289156548E-9</c:v>
                </c:pt>
                <c:pt idx="50">
                  <c:v>7.2755222891566424E-9</c:v>
                </c:pt>
                <c:pt idx="51">
                  <c:v>8.0464404167527731E-3</c:v>
                </c:pt>
                <c:pt idx="52">
                  <c:v>1.6471036363636372E-2</c:v>
                </c:pt>
                <c:pt idx="53">
                  <c:v>1.8118309090909099E-2</c:v>
                </c:pt>
                <c:pt idx="54">
                  <c:v>1.9728709090909097E-2</c:v>
                </c:pt>
                <c:pt idx="55">
                  <c:v>2.1305072727272736E-2</c:v>
                </c:pt>
                <c:pt idx="56">
                  <c:v>2.3051218181818191E-2</c:v>
                </c:pt>
                <c:pt idx="57">
                  <c:v>2.4966391830559768E-2</c:v>
                </c:pt>
                <c:pt idx="58">
                  <c:v>2.7390900151285941E-2</c:v>
                </c:pt>
                <c:pt idx="59">
                  <c:v>2.9815408472012112E-2</c:v>
                </c:pt>
                <c:pt idx="60">
                  <c:v>3.2239916792738285E-2</c:v>
                </c:pt>
                <c:pt idx="61">
                  <c:v>3.4664425113464459E-2</c:v>
                </c:pt>
                <c:pt idx="62">
                  <c:v>3.7088933434190632E-2</c:v>
                </c:pt>
                <c:pt idx="63">
                  <c:v>3.9513441754916799E-2</c:v>
                </c:pt>
                <c:pt idx="64">
                  <c:v>4.2487527272727282E-2</c:v>
                </c:pt>
                <c:pt idx="65">
                  <c:v>4.5812981818181824E-2</c:v>
                </c:pt>
                <c:pt idx="66">
                  <c:v>4.9596891566265067E-2</c:v>
                </c:pt>
                <c:pt idx="67">
                  <c:v>5.3589181818181821E-2</c:v>
                </c:pt>
                <c:pt idx="68">
                  <c:v>5.8023121212121213E-2</c:v>
                </c:pt>
                <c:pt idx="69">
                  <c:v>6.2943575757575768E-2</c:v>
                </c:pt>
                <c:pt idx="70">
                  <c:v>6.8126000000000006E-2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1E4F-48F0-98BD-B294EEA8CE8B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>
                  <c:v>-18.618363636363636</c:v>
                </c:pt>
                <c:pt idx="3">
                  <c:v>-18.624424242424244</c:v>
                </c:pt>
                <c:pt idx="4">
                  <c:v>-18.630969696969697</c:v>
                </c:pt>
                <c:pt idx="5">
                  <c:v>-18.643090909090908</c:v>
                </c:pt>
                <c:pt idx="6">
                  <c:v>-18.655180722891565</c:v>
                </c:pt>
                <c:pt idx="7">
                  <c:v>-18.667228915662651</c:v>
                </c:pt>
                <c:pt idx="8">
                  <c:v>-18.679333333333336</c:v>
                </c:pt>
                <c:pt idx="9">
                  <c:v>-18.692181818181819</c:v>
                </c:pt>
                <c:pt idx="10">
                  <c:v>-18.710363636363635</c:v>
                </c:pt>
                <c:pt idx="11">
                  <c:v>-18.728532526475036</c:v>
                </c:pt>
                <c:pt idx="12">
                  <c:v>-18.746686838124052</c:v>
                </c:pt>
                <c:pt idx="13">
                  <c:v>-18.764841149773069</c:v>
                </c:pt>
                <c:pt idx="14">
                  <c:v>-18.782995461422086</c:v>
                </c:pt>
                <c:pt idx="15">
                  <c:v>-18.801149773071103</c:v>
                </c:pt>
                <c:pt idx="16">
                  <c:v>-18.81930408472012</c:v>
                </c:pt>
                <c:pt idx="17">
                  <c:v>-18.837458396369136</c:v>
                </c:pt>
                <c:pt idx="18">
                  <c:v>-18.855636363636364</c:v>
                </c:pt>
                <c:pt idx="19">
                  <c:v>-18.873818181818184</c:v>
                </c:pt>
                <c:pt idx="20">
                  <c:v>-18.891999999999999</c:v>
                </c:pt>
                <c:pt idx="21">
                  <c:v>-18.913575757575757</c:v>
                </c:pt>
                <c:pt idx="22">
                  <c:v>-18.937818181818184</c:v>
                </c:pt>
                <c:pt idx="23">
                  <c:v>-18.95644578313253</c:v>
                </c:pt>
                <c:pt idx="24">
                  <c:v>-18.976060606060607</c:v>
                </c:pt>
                <c:pt idx="25">
                  <c:v>-19.00030303030303</c:v>
                </c:pt>
                <c:pt idx="26">
                  <c:v>-19.020909090909093</c:v>
                </c:pt>
                <c:pt idx="27">
                  <c:v>-19.039090909090909</c:v>
                </c:pt>
                <c:pt idx="28">
                  <c:v>-19.057272727272728</c:v>
                </c:pt>
                <c:pt idx="29">
                  <c:v>-19.077272727272728</c:v>
                </c:pt>
                <c:pt idx="30">
                  <c:v>-19.101515151515152</c:v>
                </c:pt>
                <c:pt idx="31">
                  <c:v>-19.121746987951806</c:v>
                </c:pt>
                <c:pt idx="32">
                  <c:v>-19.139819277108433</c:v>
                </c:pt>
                <c:pt idx="33">
                  <c:v>-19.164000000000001</c:v>
                </c:pt>
                <c:pt idx="34">
                  <c:v>-19.186181818181819</c:v>
                </c:pt>
                <c:pt idx="35">
                  <c:v>-19.204363636363638</c:v>
                </c:pt>
                <c:pt idx="36">
                  <c:v>-19.226727272727274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1E4F-48F0-98BD-B294EEA8CE8B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-60.144848484848481</c:v>
                </c:pt>
                <c:pt idx="1">
                  <c:v>-58.339757575757574</c:v>
                </c:pt>
                <c:pt idx="2">
                  <c:v>-56.654909090909094</c:v>
                </c:pt>
                <c:pt idx="3">
                  <c:v>-55.098363636363636</c:v>
                </c:pt>
                <c:pt idx="4">
                  <c:v>-53.546121212121207</c:v>
                </c:pt>
                <c:pt idx="5">
                  <c:v>-51.49763636363636</c:v>
                </c:pt>
                <c:pt idx="6">
                  <c:v>-49.457048192771083</c:v>
                </c:pt>
                <c:pt idx="7">
                  <c:v>-47.426927710843373</c:v>
                </c:pt>
                <c:pt idx="8">
                  <c:v>-45.513333333333335</c:v>
                </c:pt>
                <c:pt idx="9">
                  <c:v>-43.650545454545458</c:v>
                </c:pt>
                <c:pt idx="10">
                  <c:v>-41.905090909090909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-17.45843373493976</c:v>
                </c:pt>
                <c:pt idx="32">
                  <c:v>-16.856024096385546</c:v>
                </c:pt>
                <c:pt idx="33">
                  <c:v>-16.28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-8.0158121212121198</c:v>
                </c:pt>
                <c:pt idx="52">
                  <c:v>-7.7234484848484852</c:v>
                </c:pt>
                <c:pt idx="53">
                  <c:v>-7.7731454545454541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-8.5329090909090901</c:v>
                </c:pt>
                <c:pt idx="68">
                  <c:v>-8.5959393939393944</c:v>
                </c:pt>
                <c:pt idx="69">
                  <c:v>-8.6605454545454545</c:v>
                </c:pt>
                <c:pt idx="70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1E4F-48F0-98BD-B294EEA8CE8B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-15.300424242424242</c:v>
                </c:pt>
                <c:pt idx="1">
                  <c:v>-14.974848484848485</c:v>
                </c:pt>
                <c:pt idx="2">
                  <c:v>-14.671818181818182</c:v>
                </c:pt>
                <c:pt idx="3">
                  <c:v>-14.399757575757576</c:v>
                </c:pt>
                <c:pt idx="4">
                  <c:v>-14.105212121212121</c:v>
                </c:pt>
                <c:pt idx="5">
                  <c:v>-13.420363636363636</c:v>
                </c:pt>
                <c:pt idx="6">
                  <c:v>-12.711385542168674</c:v>
                </c:pt>
                <c:pt idx="7">
                  <c:v>-11.970421686746988</c:v>
                </c:pt>
                <c:pt idx="8">
                  <c:v>-11.272666666666668</c:v>
                </c:pt>
                <c:pt idx="9">
                  <c:v>-10.593127272727273</c:v>
                </c:pt>
                <c:pt idx="10">
                  <c:v>-9.9525212121212121</c:v>
                </c:pt>
                <c:pt idx="11">
                  <c:v>-9.3588018154311658</c:v>
                </c:pt>
                <c:pt idx="12">
                  <c:v>-8.8179546142208771</c:v>
                </c:pt>
                <c:pt idx="13">
                  <c:v>-8.2771074130105902</c:v>
                </c:pt>
                <c:pt idx="14">
                  <c:v>-7.7362602118003023</c:v>
                </c:pt>
                <c:pt idx="15">
                  <c:v>-7.1954130105900145</c:v>
                </c:pt>
                <c:pt idx="16">
                  <c:v>-6.6545658093797275</c:v>
                </c:pt>
                <c:pt idx="17">
                  <c:v>-6.1137186081694388</c:v>
                </c:pt>
                <c:pt idx="18">
                  <c:v>-5.6392727272727265</c:v>
                </c:pt>
                <c:pt idx="19">
                  <c:v>-5.1809818181818166</c:v>
                </c:pt>
                <c:pt idx="20">
                  <c:v>-4.742799999999999</c:v>
                </c:pt>
                <c:pt idx="21">
                  <c:v>-4.4023636363636358</c:v>
                </c:pt>
                <c:pt idx="22">
                  <c:v>-4.1387272727272721</c:v>
                </c:pt>
                <c:pt idx="23">
                  <c:v>-4.1369277108433735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-4.3330542168674695</c:v>
                </c:pt>
                <c:pt idx="32">
                  <c:v>-4.3577530120481924</c:v>
                </c:pt>
                <c:pt idx="33">
                  <c:v>-4.3826000000000001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-5.1835454545454542</c:v>
                </c:pt>
                <c:pt idx="68">
                  <c:v>-5.2053636363636366</c:v>
                </c:pt>
                <c:pt idx="69">
                  <c:v>-5.2271818181818182</c:v>
                </c:pt>
                <c:pt idx="70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1E4F-48F0-98BD-B294EEA8CE8B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  <c:pt idx="0">
                  <c:v>-21.792000000000002</c:v>
                </c:pt>
                <c:pt idx="1">
                  <c:v>-21.217333333333332</c:v>
                </c:pt>
                <c:pt idx="2">
                  <c:v>-20.683999999999997</c:v>
                </c:pt>
                <c:pt idx="3">
                  <c:v>-20.194909090909089</c:v>
                </c:pt>
                <c:pt idx="4">
                  <c:v>-19.761939393939397</c:v>
                </c:pt>
                <c:pt idx="5">
                  <c:v>-19.78618181818182</c:v>
                </c:pt>
                <c:pt idx="6">
                  <c:v>-19.862168674698797</c:v>
                </c:pt>
                <c:pt idx="7">
                  <c:v>-20.006746987951807</c:v>
                </c:pt>
                <c:pt idx="8">
                  <c:v>-20.152000000000001</c:v>
                </c:pt>
                <c:pt idx="9">
                  <c:v>-20.298181818181821</c:v>
                </c:pt>
                <c:pt idx="10">
                  <c:v>-20.449696969696969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-23.573975903614457</c:v>
                </c:pt>
                <c:pt idx="32">
                  <c:v>-23.718554216867467</c:v>
                </c:pt>
                <c:pt idx="33">
                  <c:v>-23.858000000000001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1E4F-48F0-98BD-B294EEA8CE8B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1E4F-48F0-98BD-B294EEA8CE8B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1E4F-48F0-98BD-B294EEA8CE8B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1E4F-48F0-98BD-B294EEA8CE8B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1E4F-48F0-98BD-B294EEA8CE8B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1E4F-48F0-98BD-B294EEA8CE8B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1E4F-48F0-98BD-B294EEA8CE8B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1E4F-48F0-98BD-B294EEA8CE8B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1E4F-48F0-98BD-B294EEA8CE8B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1E4F-48F0-98BD-B294EEA8CE8B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1E4F-48F0-98BD-B294EEA8CE8B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1E4F-48F0-98BD-B294EEA8CE8B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1E4F-48F0-98BD-B294EEA8CE8B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  <c:pt idx="0">
                  <c:v>end1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1E4F-48F0-98BD-B294EEA8CE8B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1E4F-48F0-98BD-B294EEA8CE8B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1E4F-48F0-98BD-B294EEA8CE8B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1.6735315156149013E-23</c:v>
                </c:pt>
                <c:pt idx="1">
                  <c:v>3.0091301472727363E-20</c:v>
                </c:pt>
                <c:pt idx="2">
                  <c:v>1.0920838692727282E-19</c:v>
                </c:pt>
                <c:pt idx="3">
                  <c:v>2.2640414545454577E-18</c:v>
                </c:pt>
                <c:pt idx="4">
                  <c:v>1.2732251739788308E-17</c:v>
                </c:pt>
                <c:pt idx="5">
                  <c:v>1.0997539848714078E-16</c:v>
                </c:pt>
                <c:pt idx="6">
                  <c:v>2.0721854523449323E-16</c:v>
                </c:pt>
                <c:pt idx="7">
                  <c:v>3.044616919818457E-16</c:v>
                </c:pt>
                <c:pt idx="8">
                  <c:v>4.0170483872919815E-16</c:v>
                </c:pt>
                <c:pt idx="9">
                  <c:v>4.989479854765506E-16</c:v>
                </c:pt>
                <c:pt idx="10">
                  <c:v>5.9619113222390305E-16</c:v>
                </c:pt>
                <c:pt idx="11">
                  <c:v>2.0334523636363604E-15</c:v>
                </c:pt>
                <c:pt idx="12">
                  <c:v>4.9817978181818147E-15</c:v>
                </c:pt>
                <c:pt idx="13">
                  <c:v>1.0748446969696955E-13</c:v>
                </c:pt>
                <c:pt idx="14">
                  <c:v>3.6167728915662492E-12</c:v>
                </c:pt>
                <c:pt idx="15">
                  <c:v>2.3652495783132553E-11</c:v>
                </c:pt>
                <c:pt idx="16">
                  <c:v>5.6734109090909323E-10</c:v>
                </c:pt>
                <c:pt idx="17">
                  <c:v>1.6141471515151537E-9</c:v>
                </c:pt>
                <c:pt idx="18">
                  <c:v>3.6844939393939443E-9</c:v>
                </c:pt>
                <c:pt idx="19">
                  <c:v>5.7876490909090949E-9</c:v>
                </c:pt>
                <c:pt idx="20">
                  <c:v>7.3874066666666711E-9</c:v>
                </c:pt>
                <c:pt idx="21">
                  <c:v>8.8368466666666702E-9</c:v>
                </c:pt>
                <c:pt idx="22">
                  <c:v>1.0168180000000002E-8</c:v>
                </c:pt>
                <c:pt idx="23">
                  <c:v>1.3718042168674703E-8</c:v>
                </c:pt>
                <c:pt idx="24">
                  <c:v>1.686969696969697E-8</c:v>
                </c:pt>
                <c:pt idx="25">
                  <c:v>1.8168484848484851E-8</c:v>
                </c:pt>
                <c:pt idx="26">
                  <c:v>1.7813454545454547E-8</c:v>
                </c:pt>
                <c:pt idx="27">
                  <c:v>1.6355878787878789E-8</c:v>
                </c:pt>
                <c:pt idx="28">
                  <c:v>1.3967878787878787E-8</c:v>
                </c:pt>
                <c:pt idx="29">
                  <c:v>1.2826181818181817E-8</c:v>
                </c:pt>
                <c:pt idx="30">
                  <c:v>1.4706787878787877E-8</c:v>
                </c:pt>
                <c:pt idx="31">
                  <c:v>1.6280873493975901E-8</c:v>
                </c:pt>
                <c:pt idx="32">
                  <c:v>1.7689909638554213E-8</c:v>
                </c:pt>
                <c:pt idx="33">
                  <c:v>1.8416199999999999E-8</c:v>
                </c:pt>
                <c:pt idx="34">
                  <c:v>1.8968066666666667E-8</c:v>
                </c:pt>
                <c:pt idx="35">
                  <c:v>1.9194733333333334E-8</c:v>
                </c:pt>
                <c:pt idx="36">
                  <c:v>1.926458181818182E-8</c:v>
                </c:pt>
                <c:pt idx="37">
                  <c:v>1.9265597579425112E-8</c:v>
                </c:pt>
                <c:pt idx="38">
                  <c:v>1.930553706505295E-8</c:v>
                </c:pt>
                <c:pt idx="39">
                  <c:v>1.9345476550680787E-8</c:v>
                </c:pt>
                <c:pt idx="40">
                  <c:v>1.9385416036308625E-8</c:v>
                </c:pt>
                <c:pt idx="41">
                  <c:v>1.9425355521936462E-8</c:v>
                </c:pt>
                <c:pt idx="42">
                  <c:v>1.9465295007564296E-8</c:v>
                </c:pt>
                <c:pt idx="43">
                  <c:v>1.9505234493192133E-8</c:v>
                </c:pt>
                <c:pt idx="44">
                  <c:v>1.9223812405446296E-8</c:v>
                </c:pt>
                <c:pt idx="45">
                  <c:v>1.851639939485628E-8</c:v>
                </c:pt>
                <c:pt idx="46">
                  <c:v>1.7808986384266264E-8</c:v>
                </c:pt>
                <c:pt idx="47">
                  <c:v>1.7101573373676247E-8</c:v>
                </c:pt>
                <c:pt idx="48">
                  <c:v>1.6394160363086231E-8</c:v>
                </c:pt>
                <c:pt idx="49">
                  <c:v>1.5686747352496217E-8</c:v>
                </c:pt>
                <c:pt idx="50">
                  <c:v>1.4979334341906198E-8</c:v>
                </c:pt>
                <c:pt idx="51">
                  <c:v>1.5298527272727276E-8</c:v>
                </c:pt>
                <c:pt idx="52">
                  <c:v>1.584307272727273E-8</c:v>
                </c:pt>
                <c:pt idx="53">
                  <c:v>1.6387618181818185E-8</c:v>
                </c:pt>
                <c:pt idx="54">
                  <c:v>1.6932163636363639E-8</c:v>
                </c:pt>
                <c:pt idx="55">
                  <c:v>1.7476709090909093E-8</c:v>
                </c:pt>
                <c:pt idx="56">
                  <c:v>1.8021254545454547E-8</c:v>
                </c:pt>
                <c:pt idx="57">
                  <c:v>1.9184590361445798E-8</c:v>
                </c:pt>
                <c:pt idx="58">
                  <c:v>2.2541819277108446E-8</c:v>
                </c:pt>
                <c:pt idx="59">
                  <c:v>2.5591751515151521E-8</c:v>
                </c:pt>
                <c:pt idx="60">
                  <c:v>2.8400236363636368E-8</c:v>
                </c:pt>
                <c:pt idx="61">
                  <c:v>2.3413054545454533E-8</c:v>
                </c:pt>
                <c:pt idx="62">
                  <c:v>1.9415151515151516E-8</c:v>
                </c:pt>
                <c:pt idx="63">
                  <c:v>2.0427272727272728E-8</c:v>
                </c:pt>
                <c:pt idx="64">
                  <c:v>2.1302236363636366E-8</c:v>
                </c:pt>
                <c:pt idx="65">
                  <c:v>2.2089509090909092E-8</c:v>
                </c:pt>
                <c:pt idx="66">
                  <c:v>2.2701626506024097E-8</c:v>
                </c:pt>
                <c:pt idx="67">
                  <c:v>2.3236818181818183E-8</c:v>
                </c:pt>
                <c:pt idx="68">
                  <c:v>2.3609545454545456E-8</c:v>
                </c:pt>
                <c:pt idx="69">
                  <c:v>2.3866454545454545E-8</c:v>
                </c:pt>
                <c:pt idx="70">
                  <c:v>2.4061E-8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1E4F-48F0-98BD-B294EEA8CE8B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3.2555735757575792E-9</c:v>
                </c:pt>
                <c:pt idx="1">
                  <c:v>6.4679496969697017E-9</c:v>
                </c:pt>
                <c:pt idx="2">
                  <c:v>1.0333343636363642E-8</c:v>
                </c:pt>
                <c:pt idx="3">
                  <c:v>1.3194036363636367E-8</c:v>
                </c:pt>
                <c:pt idx="4">
                  <c:v>1.5618608169440246E-8</c:v>
                </c:pt>
                <c:pt idx="5">
                  <c:v>1.7301210287443269E-8</c:v>
                </c:pt>
                <c:pt idx="6">
                  <c:v>1.8983812405446296E-8</c:v>
                </c:pt>
                <c:pt idx="7">
                  <c:v>2.0666414523449319E-8</c:v>
                </c:pt>
                <c:pt idx="8">
                  <c:v>2.2349016641452346E-8</c:v>
                </c:pt>
                <c:pt idx="9">
                  <c:v>2.4031618759455369E-8</c:v>
                </c:pt>
                <c:pt idx="10">
                  <c:v>2.5714220877458396E-8</c:v>
                </c:pt>
                <c:pt idx="11">
                  <c:v>2.567938787878788E-8</c:v>
                </c:pt>
                <c:pt idx="12">
                  <c:v>2.3707872727272731E-8</c:v>
                </c:pt>
                <c:pt idx="13">
                  <c:v>1.9535278787878792E-8</c:v>
                </c:pt>
                <c:pt idx="14">
                  <c:v>1.4790082530120485E-8</c:v>
                </c:pt>
                <c:pt idx="15">
                  <c:v>9.6082150602409582E-9</c:v>
                </c:pt>
                <c:pt idx="16">
                  <c:v>5.0340949090908996E-9</c:v>
                </c:pt>
                <c:pt idx="17">
                  <c:v>1.0438888484848395E-9</c:v>
                </c:pt>
                <c:pt idx="18">
                  <c:v>2.3246483987878717E-10</c:v>
                </c:pt>
                <c:pt idx="19">
                  <c:v>2.1471726774181785E-13</c:v>
                </c:pt>
                <c:pt idx="20">
                  <c:v>6.5609018893332971E-14</c:v>
                </c:pt>
                <c:pt idx="21">
                  <c:v>9.1784613702739211E-19</c:v>
                </c:pt>
                <c:pt idx="22">
                  <c:v>7.5785667433452768E-20</c:v>
                </c:pt>
                <c:pt idx="23">
                  <c:v>1.0173344210858421E-25</c:v>
                </c:pt>
                <c:pt idx="24">
                  <c:v>1.2960606060606063E-32</c:v>
                </c:pt>
                <c:pt idx="25">
                  <c:v>3.7030303030303034E-33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1E4F-48F0-98BD-B294EEA8CE8B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1E4F-48F0-98BD-B294EEA8CE8B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(DGeSe2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0.10389327878787878</c:v>
                </c:pt>
                <c:pt idx="1">
                  <c:v>9.3476199999999982E-2</c:v>
                </c:pt>
                <c:pt idx="2">
                  <c:v>7.9316199999999989E-2</c:v>
                </c:pt>
                <c:pt idx="3">
                  <c:v>6.3278109090909071E-2</c:v>
                </c:pt>
                <c:pt idx="4">
                  <c:v>4.7338432677760965E-2</c:v>
                </c:pt>
                <c:pt idx="5">
                  <c:v>4.0518841149773069E-2</c:v>
                </c:pt>
                <c:pt idx="6">
                  <c:v>3.3699249621785173E-2</c:v>
                </c:pt>
                <c:pt idx="7">
                  <c:v>2.6879658093797276E-2</c:v>
                </c:pt>
                <c:pt idx="8">
                  <c:v>2.006006656580938E-2</c:v>
                </c:pt>
                <c:pt idx="9">
                  <c:v>1.3240475037821484E-2</c:v>
                </c:pt>
                <c:pt idx="10">
                  <c:v>6.4208835098335873E-3</c:v>
                </c:pt>
                <c:pt idx="11">
                  <c:v>2.4000496969696977E-3</c:v>
                </c:pt>
                <c:pt idx="12">
                  <c:v>1.5352618181818192E-3</c:v>
                </c:pt>
                <c:pt idx="13">
                  <c:v>1.0426595151515157E-3</c:v>
                </c:pt>
                <c:pt idx="14">
                  <c:v>6.671675903614459E-4</c:v>
                </c:pt>
                <c:pt idx="15">
                  <c:v>4.645651807228913E-4</c:v>
                </c:pt>
                <c:pt idx="16">
                  <c:v>3.1076018181818159E-4</c:v>
                </c:pt>
                <c:pt idx="17">
                  <c:v>2.0383896969696945E-4</c:v>
                </c:pt>
                <c:pt idx="18">
                  <c:v>1.3877838787878773E-4</c:v>
                </c:pt>
                <c:pt idx="19">
                  <c:v>8.6257054545454468E-5</c:v>
                </c:pt>
                <c:pt idx="20">
                  <c:v>5.5271599999999927E-5</c:v>
                </c:pt>
                <c:pt idx="21">
                  <c:v>3.3232909090909054E-5</c:v>
                </c:pt>
                <c:pt idx="22">
                  <c:v>1.8223818181818145E-5</c:v>
                </c:pt>
                <c:pt idx="23">
                  <c:v>1.1076025903614452E-5</c:v>
                </c:pt>
                <c:pt idx="24">
                  <c:v>5.6845272727272729E-6</c:v>
                </c:pt>
                <c:pt idx="25">
                  <c:v>3.2294363636363638E-6</c:v>
                </c:pt>
                <c:pt idx="26">
                  <c:v>1.7186363636363636E-6</c:v>
                </c:pt>
                <c:pt idx="27">
                  <c:v>8.3736363636363636E-7</c:v>
                </c:pt>
                <c:pt idx="28">
                  <c:v>4.9969242424242433E-7</c:v>
                </c:pt>
                <c:pt idx="29">
                  <c:v>2.5067727272727273E-7</c:v>
                </c:pt>
                <c:pt idx="30">
                  <c:v>1.4176818181818184E-7</c:v>
                </c:pt>
                <c:pt idx="31">
                  <c:v>7.8348554216867519E-8</c:v>
                </c:pt>
                <c:pt idx="32">
                  <c:v>3.9423253012048289E-8</c:v>
                </c:pt>
                <c:pt idx="33">
                  <c:v>2.4707800000000034E-8</c:v>
                </c:pt>
                <c:pt idx="34">
                  <c:v>1.3283847272727287E-8</c:v>
                </c:pt>
                <c:pt idx="35">
                  <c:v>7.7745745454545592E-9</c:v>
                </c:pt>
                <c:pt idx="36">
                  <c:v>4.5754218181818237E-9</c:v>
                </c:pt>
                <c:pt idx="37">
                  <c:v>2.4860376520423605E-9</c:v>
                </c:pt>
                <c:pt idx="38">
                  <c:v>2.1219789531013622E-9</c:v>
                </c:pt>
                <c:pt idx="39">
                  <c:v>1.7579202541603642E-9</c:v>
                </c:pt>
                <c:pt idx="40">
                  <c:v>1.3938615552193656E-9</c:v>
                </c:pt>
                <c:pt idx="41">
                  <c:v>1.0298028562783674E-9</c:v>
                </c:pt>
                <c:pt idx="42">
                  <c:v>6.6574415733736903E-10</c:v>
                </c:pt>
                <c:pt idx="43">
                  <c:v>3.0168545839637065E-10</c:v>
                </c:pt>
                <c:pt idx="44">
                  <c:v>8.8383159152798849E-11</c:v>
                </c:pt>
                <c:pt idx="45">
                  <c:v>7.4920738577912292E-11</c:v>
                </c:pt>
                <c:pt idx="46">
                  <c:v>6.1458318003025735E-11</c:v>
                </c:pt>
                <c:pt idx="47">
                  <c:v>4.7995897428139184E-11</c:v>
                </c:pt>
                <c:pt idx="48">
                  <c:v>3.4533476853252621E-11</c:v>
                </c:pt>
                <c:pt idx="49">
                  <c:v>2.1071056278366077E-11</c:v>
                </c:pt>
                <c:pt idx="50">
                  <c:v>7.60863570347952E-12</c:v>
                </c:pt>
                <c:pt idx="51">
                  <c:v>4.591056545454542E-12</c:v>
                </c:pt>
                <c:pt idx="52">
                  <c:v>3.8662474545454517E-12</c:v>
                </c:pt>
                <c:pt idx="53">
                  <c:v>3.1414383636363602E-12</c:v>
                </c:pt>
                <c:pt idx="54">
                  <c:v>2.4166292727272695E-12</c:v>
                </c:pt>
                <c:pt idx="55">
                  <c:v>1.6918201818181784E-12</c:v>
                </c:pt>
                <c:pt idx="56">
                  <c:v>9.6701109090908733E-13</c:v>
                </c:pt>
                <c:pt idx="57">
                  <c:v>3.774401204819272E-13</c:v>
                </c:pt>
                <c:pt idx="58">
                  <c:v>2.6734975903614426E-13</c:v>
                </c:pt>
                <c:pt idx="59">
                  <c:v>1.854593333333332E-13</c:v>
                </c:pt>
                <c:pt idx="60">
                  <c:v>1.2572599999999987E-13</c:v>
                </c:pt>
                <c:pt idx="61">
                  <c:v>9.0792096969696904E-14</c:v>
                </c:pt>
                <c:pt idx="62">
                  <c:v>6.2127999999999965E-14</c:v>
                </c:pt>
                <c:pt idx="63">
                  <c:v>4.4327999999999961E-14</c:v>
                </c:pt>
                <c:pt idx="64">
                  <c:v>3.1382121212121193E-14</c:v>
                </c:pt>
                <c:pt idx="65">
                  <c:v>2.153969696969695E-14</c:v>
                </c:pt>
                <c:pt idx="66">
                  <c:v>1.5904168674698789E-14</c:v>
                </c:pt>
                <c:pt idx="67">
                  <c:v>1.1152854545454546E-14</c:v>
                </c:pt>
                <c:pt idx="68">
                  <c:v>8.0557030303030312E-15</c:v>
                </c:pt>
                <c:pt idx="69">
                  <c:v>5.8255333333333333E-15</c:v>
                </c:pt>
                <c:pt idx="70">
                  <c:v>4.0621999999999996E-15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1E4F-48F0-98BD-B294EEA8CE8B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(DGeSe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0.1361048484848485</c:v>
                </c:pt>
                <c:pt idx="1">
                  <c:v>0.14651987878787881</c:v>
                </c:pt>
                <c:pt idx="2">
                  <c:v>0.16067745454545457</c:v>
                </c:pt>
                <c:pt idx="3">
                  <c:v>0.17670648484848486</c:v>
                </c:pt>
                <c:pt idx="4">
                  <c:v>0.19260582450832076</c:v>
                </c:pt>
                <c:pt idx="5">
                  <c:v>0.19905363086232983</c:v>
                </c:pt>
                <c:pt idx="6">
                  <c:v>0.2055014372163389</c:v>
                </c:pt>
                <c:pt idx="7">
                  <c:v>0.21194924357034797</c:v>
                </c:pt>
                <c:pt idx="8">
                  <c:v>0.21839704992435705</c:v>
                </c:pt>
                <c:pt idx="9">
                  <c:v>0.22484485627836612</c:v>
                </c:pt>
                <c:pt idx="10">
                  <c:v>0.23129266263237519</c:v>
                </c:pt>
                <c:pt idx="11">
                  <c:v>0.23395230303030304</c:v>
                </c:pt>
                <c:pt idx="12">
                  <c:v>0.23234018181818183</c:v>
                </c:pt>
                <c:pt idx="13">
                  <c:v>0.22791024242424243</c:v>
                </c:pt>
                <c:pt idx="14">
                  <c:v>0.22200873493975903</c:v>
                </c:pt>
                <c:pt idx="15">
                  <c:v>0.21194246987951806</c:v>
                </c:pt>
                <c:pt idx="16">
                  <c:v>0.19868618181818179</c:v>
                </c:pt>
                <c:pt idx="17">
                  <c:v>0.18236496969696964</c:v>
                </c:pt>
                <c:pt idx="18">
                  <c:v>0.16131636363636359</c:v>
                </c:pt>
                <c:pt idx="19">
                  <c:v>0.13901199999999997</c:v>
                </c:pt>
                <c:pt idx="20">
                  <c:v>0.11487866666666663</c:v>
                </c:pt>
                <c:pt idx="21">
                  <c:v>9.2028242424242374E-2</c:v>
                </c:pt>
                <c:pt idx="22">
                  <c:v>7.0185818181818127E-2</c:v>
                </c:pt>
                <c:pt idx="23">
                  <c:v>5.3410024096385525E-2</c:v>
                </c:pt>
                <c:pt idx="24">
                  <c:v>3.855460606060606E-2</c:v>
                </c:pt>
                <c:pt idx="25">
                  <c:v>2.7957030303030303E-2</c:v>
                </c:pt>
                <c:pt idx="26">
                  <c:v>1.9962363636363636E-2</c:v>
                </c:pt>
                <c:pt idx="27">
                  <c:v>1.3702969696969698E-2</c:v>
                </c:pt>
                <c:pt idx="28">
                  <c:v>1.003160606060606E-2</c:v>
                </c:pt>
                <c:pt idx="29">
                  <c:v>6.9664363636363635E-3</c:v>
                </c:pt>
                <c:pt idx="30">
                  <c:v>4.9978909090909098E-3</c:v>
                </c:pt>
                <c:pt idx="31">
                  <c:v>3.5984030120481936E-3</c:v>
                </c:pt>
                <c:pt idx="32">
                  <c:v>2.5053307228915687E-3</c:v>
                </c:pt>
                <c:pt idx="33">
                  <c:v>1.8790400000000015E-3</c:v>
                </c:pt>
                <c:pt idx="34">
                  <c:v>1.347492121212122E-3</c:v>
                </c:pt>
                <c:pt idx="35">
                  <c:v>9.9070424242424324E-4</c:v>
                </c:pt>
                <c:pt idx="36">
                  <c:v>7.3638763636363683E-4</c:v>
                </c:pt>
                <c:pt idx="37">
                  <c:v>5.337176399394858E-4</c:v>
                </c:pt>
                <c:pt idx="38">
                  <c:v>4.6565863842662654E-4</c:v>
                </c:pt>
                <c:pt idx="39">
                  <c:v>3.9759963691376722E-4</c:v>
                </c:pt>
                <c:pt idx="40">
                  <c:v>3.2954063540090791E-4</c:v>
                </c:pt>
                <c:pt idx="41">
                  <c:v>2.6148163388804864E-4</c:v>
                </c:pt>
                <c:pt idx="42">
                  <c:v>1.9342263237518938E-4</c:v>
                </c:pt>
                <c:pt idx="43">
                  <c:v>1.2536363086233007E-4</c:v>
                </c:pt>
                <c:pt idx="44">
                  <c:v>8.2073019667170993E-5</c:v>
                </c:pt>
                <c:pt idx="45">
                  <c:v>7.1614925869894136E-5</c:v>
                </c:pt>
                <c:pt idx="46">
                  <c:v>6.1156832072617264E-5</c:v>
                </c:pt>
                <c:pt idx="47">
                  <c:v>5.0698738275340393E-5</c:v>
                </c:pt>
                <c:pt idx="48">
                  <c:v>4.0240644478063521E-5</c:v>
                </c:pt>
                <c:pt idx="49">
                  <c:v>2.9782550680786656E-5</c:v>
                </c:pt>
                <c:pt idx="50">
                  <c:v>1.9324456883509792E-5</c:v>
                </c:pt>
                <c:pt idx="51">
                  <c:v>1.5805963333333326E-5</c:v>
                </c:pt>
                <c:pt idx="52">
                  <c:v>1.3810796666666659E-5</c:v>
                </c:pt>
                <c:pt idx="53">
                  <c:v>1.1815629999999991E-5</c:v>
                </c:pt>
                <c:pt idx="54">
                  <c:v>9.8204633333333237E-6</c:v>
                </c:pt>
                <c:pt idx="55">
                  <c:v>7.825296666666658E-6</c:v>
                </c:pt>
                <c:pt idx="56">
                  <c:v>5.8301299999999922E-6</c:v>
                </c:pt>
                <c:pt idx="57">
                  <c:v>4.1138566265060206E-6</c:v>
                </c:pt>
                <c:pt idx="58">
                  <c:v>3.3863867469879499E-6</c:v>
                </c:pt>
                <c:pt idx="59">
                  <c:v>2.7763218181818171E-6</c:v>
                </c:pt>
                <c:pt idx="60">
                  <c:v>2.2585036363636352E-6</c:v>
                </c:pt>
                <c:pt idx="61">
                  <c:v>1.8769648484848475E-6</c:v>
                </c:pt>
                <c:pt idx="62">
                  <c:v>1.5362436363636358E-6</c:v>
                </c:pt>
                <c:pt idx="63">
                  <c:v>1.273334545454545E-6</c:v>
                </c:pt>
                <c:pt idx="64">
                  <c:v>1.0556652727272724E-6</c:v>
                </c:pt>
                <c:pt idx="65">
                  <c:v>8.6691981818181775E-7</c:v>
                </c:pt>
                <c:pt idx="66">
                  <c:v>7.2934783132530101E-7</c:v>
                </c:pt>
                <c:pt idx="67">
                  <c:v>6.0485818181818178E-7</c:v>
                </c:pt>
                <c:pt idx="68">
                  <c:v>5.0591878787878786E-7</c:v>
                </c:pt>
                <c:pt idx="69">
                  <c:v>4.2430878787878785E-7</c:v>
                </c:pt>
                <c:pt idx="70">
                  <c:v>3.5203000000000001E-7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1E4F-48F0-98BD-B294EEA8CE8B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(DGa2Sej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3.9995751515151515E-2</c:v>
                </c:pt>
                <c:pt idx="1">
                  <c:v>3.9993848484848486E-2</c:v>
                </c:pt>
                <c:pt idx="2">
                  <c:v>3.9990818181818183E-2</c:v>
                </c:pt>
                <c:pt idx="3">
                  <c:v>3.998469090909091E-2</c:v>
                </c:pt>
                <c:pt idx="4">
                  <c:v>3.9973231467473523E-2</c:v>
                </c:pt>
                <c:pt idx="5">
                  <c:v>3.9913624810892584E-2</c:v>
                </c:pt>
                <c:pt idx="6">
                  <c:v>3.9854018154311652E-2</c:v>
                </c:pt>
                <c:pt idx="7">
                  <c:v>3.9794411497730713E-2</c:v>
                </c:pt>
                <c:pt idx="8">
                  <c:v>3.9734804841149773E-2</c:v>
                </c:pt>
                <c:pt idx="9">
                  <c:v>3.9675198184568834E-2</c:v>
                </c:pt>
                <c:pt idx="10">
                  <c:v>3.9615591527987895E-2</c:v>
                </c:pt>
                <c:pt idx="11">
                  <c:v>3.9480884848484853E-2</c:v>
                </c:pt>
                <c:pt idx="12">
                  <c:v>3.926149090909091E-2</c:v>
                </c:pt>
                <c:pt idx="13">
                  <c:v>3.8919345454545458E-2</c:v>
                </c:pt>
                <c:pt idx="14">
                  <c:v>3.8513253012048193E-2</c:v>
                </c:pt>
                <c:pt idx="15">
                  <c:v>3.7926506024096383E-2</c:v>
                </c:pt>
                <c:pt idx="16">
                  <c:v>3.7175363636363631E-2</c:v>
                </c:pt>
                <c:pt idx="17">
                  <c:v>3.6266272727272723E-2</c:v>
                </c:pt>
                <c:pt idx="18">
                  <c:v>3.4971484848484842E-2</c:v>
                </c:pt>
                <c:pt idx="19">
                  <c:v>3.3489818181818176E-2</c:v>
                </c:pt>
                <c:pt idx="20">
                  <c:v>3.1541333333333331E-2</c:v>
                </c:pt>
                <c:pt idx="21">
                  <c:v>2.9217139393939388E-2</c:v>
                </c:pt>
                <c:pt idx="22">
                  <c:v>2.6597745454545449E-2</c:v>
                </c:pt>
                <c:pt idx="23">
                  <c:v>2.346809036144578E-2</c:v>
                </c:pt>
                <c:pt idx="24">
                  <c:v>2.0223000000000001E-2</c:v>
                </c:pt>
                <c:pt idx="25">
                  <c:v>1.6782999999999999E-2</c:v>
                </c:pt>
                <c:pt idx="26">
                  <c:v>1.3509545454545455E-2</c:v>
                </c:pt>
                <c:pt idx="27">
                  <c:v>1.0347121212121212E-2</c:v>
                </c:pt>
                <c:pt idx="28">
                  <c:v>7.8636878787878787E-3</c:v>
                </c:pt>
                <c:pt idx="29">
                  <c:v>5.6642818181818185E-3</c:v>
                </c:pt>
                <c:pt idx="30">
                  <c:v>4.0442212121212118E-3</c:v>
                </c:pt>
                <c:pt idx="31">
                  <c:v>2.8594259036144589E-3</c:v>
                </c:pt>
                <c:pt idx="32">
                  <c:v>1.9090042168674718E-3</c:v>
                </c:pt>
                <c:pt idx="33">
                  <c:v>1.3763000000000013E-3</c:v>
                </c:pt>
                <c:pt idx="34">
                  <c:v>9.3088642424242485E-4</c:v>
                </c:pt>
                <c:pt idx="35">
                  <c:v>6.4672884848484917E-4</c:v>
                </c:pt>
                <c:pt idx="36">
                  <c:v>4.5366800000000033E-4</c:v>
                </c:pt>
                <c:pt idx="37">
                  <c:v>3.0595765809379738E-4</c:v>
                </c:pt>
                <c:pt idx="38">
                  <c:v>2.643991104387293E-4</c:v>
                </c:pt>
                <c:pt idx="39">
                  <c:v>2.2284056278366123E-4</c:v>
                </c:pt>
                <c:pt idx="40">
                  <c:v>1.8128201512859315E-4</c:v>
                </c:pt>
                <c:pt idx="41">
                  <c:v>1.397234674735251E-4</c:v>
                </c:pt>
                <c:pt idx="42">
                  <c:v>9.8164919818457028E-5</c:v>
                </c:pt>
                <c:pt idx="43">
                  <c:v>5.660637216338898E-5</c:v>
                </c:pt>
                <c:pt idx="44">
                  <c:v>3.0996986384266278E-5</c:v>
                </c:pt>
                <c:pt idx="45">
                  <c:v>2.6529512859304093E-5</c:v>
                </c:pt>
                <c:pt idx="46">
                  <c:v>2.2062039334341909E-5</c:v>
                </c:pt>
                <c:pt idx="47">
                  <c:v>1.7594565809379727E-5</c:v>
                </c:pt>
                <c:pt idx="48">
                  <c:v>1.3127092284417543E-5</c:v>
                </c:pt>
                <c:pt idx="49">
                  <c:v>8.6596187594553582E-6</c:v>
                </c:pt>
                <c:pt idx="50">
                  <c:v>4.1921452344931735E-6</c:v>
                </c:pt>
                <c:pt idx="51">
                  <c:v>2.9773789121212098E-6</c:v>
                </c:pt>
                <c:pt idx="52">
                  <c:v>2.4766214878787855E-6</c:v>
                </c:pt>
                <c:pt idx="53">
                  <c:v>1.9758640636363612E-6</c:v>
                </c:pt>
                <c:pt idx="54">
                  <c:v>1.4751066393939374E-6</c:v>
                </c:pt>
                <c:pt idx="55">
                  <c:v>9.7434921515151307E-7</c:v>
                </c:pt>
                <c:pt idx="56">
                  <c:v>4.7359179090908878E-7</c:v>
                </c:pt>
                <c:pt idx="57">
                  <c:v>7.514116867469864E-8</c:v>
                </c:pt>
                <c:pt idx="58">
                  <c:v>3.9414662650602312E-8</c:v>
                </c:pt>
                <c:pt idx="59">
                  <c:v>1.7789375757575735E-8</c:v>
                </c:pt>
                <c:pt idx="60">
                  <c:v>7.2436181818181591E-9</c:v>
                </c:pt>
                <c:pt idx="61">
                  <c:v>3.7129678787878722E-9</c:v>
                </c:pt>
                <c:pt idx="62">
                  <c:v>1.4240292121212105E-9</c:v>
                </c:pt>
                <c:pt idx="63">
                  <c:v>6.9452618181818013E-10</c:v>
                </c:pt>
                <c:pt idx="64">
                  <c:v>2.9726612121212078E-10</c:v>
                </c:pt>
                <c:pt idx="65">
                  <c:v>1.1242369696969652E-10</c:v>
                </c:pt>
                <c:pt idx="66">
                  <c:v>6.0129759036144536E-11</c:v>
                </c:pt>
                <c:pt idx="67">
                  <c:v>2.373932727272727E-11</c:v>
                </c:pt>
                <c:pt idx="68">
                  <c:v>1.157041818181818E-11</c:v>
                </c:pt>
                <c:pt idx="69">
                  <c:v>5.2199939393939392E-12</c:v>
                </c:pt>
                <c:pt idx="70">
                  <c:v>2.0025999999999996E-12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1E4F-48F0-98BD-B294EEA8CE8B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(DGaSe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8.144792727272731E-6</c:v>
                </c:pt>
                <c:pt idx="1">
                  <c:v>1.2367880000000008E-5</c:v>
                </c:pt>
                <c:pt idx="2">
                  <c:v>1.8723880000000007E-5</c:v>
                </c:pt>
                <c:pt idx="3">
                  <c:v>3.0952884848484866E-5</c:v>
                </c:pt>
                <c:pt idx="4">
                  <c:v>5.3736378214826152E-5</c:v>
                </c:pt>
                <c:pt idx="5">
                  <c:v>1.7291610590015134E-4</c:v>
                </c:pt>
                <c:pt idx="6">
                  <c:v>2.9209583358547661E-4</c:v>
                </c:pt>
                <c:pt idx="7">
                  <c:v>4.1127556127080182E-4</c:v>
                </c:pt>
                <c:pt idx="8">
                  <c:v>5.3045528895612703E-4</c:v>
                </c:pt>
                <c:pt idx="9">
                  <c:v>6.4963501664145218E-4</c:v>
                </c:pt>
                <c:pt idx="10">
                  <c:v>7.6881474432677745E-4</c:v>
                </c:pt>
                <c:pt idx="11">
                  <c:v>1.038130545454545E-3</c:v>
                </c:pt>
                <c:pt idx="12">
                  <c:v>1.4767487272727268E-3</c:v>
                </c:pt>
                <c:pt idx="13">
                  <c:v>2.1608599999999993E-3</c:v>
                </c:pt>
                <c:pt idx="14">
                  <c:v>2.9729554216867461E-3</c:v>
                </c:pt>
                <c:pt idx="15">
                  <c:v>4.1468108433734951E-3</c:v>
                </c:pt>
                <c:pt idx="16">
                  <c:v>5.6491800000000036E-3</c:v>
                </c:pt>
                <c:pt idx="17">
                  <c:v>7.4671800000000038E-3</c:v>
                </c:pt>
                <c:pt idx="18">
                  <c:v>1.0056886666666673E-2</c:v>
                </c:pt>
                <c:pt idx="19">
                  <c:v>1.3020363636363644E-2</c:v>
                </c:pt>
                <c:pt idx="20">
                  <c:v>1.691733333333334E-2</c:v>
                </c:pt>
                <c:pt idx="21">
                  <c:v>2.1566060606060616E-2</c:v>
                </c:pt>
                <c:pt idx="22">
                  <c:v>2.6805454545454556E-2</c:v>
                </c:pt>
                <c:pt idx="23">
                  <c:v>3.3064271084337356E-2</c:v>
                </c:pt>
                <c:pt idx="24">
                  <c:v>3.9553999999999999E-2</c:v>
                </c:pt>
                <c:pt idx="25">
                  <c:v>4.6434000000000003E-2</c:v>
                </c:pt>
                <c:pt idx="26">
                  <c:v>5.2980545454545454E-2</c:v>
                </c:pt>
                <c:pt idx="27">
                  <c:v>5.930478787878788E-2</c:v>
                </c:pt>
                <c:pt idx="28">
                  <c:v>6.4271969696969689E-2</c:v>
                </c:pt>
                <c:pt idx="29">
                  <c:v>6.8670999999999996E-2</c:v>
                </c:pt>
                <c:pt idx="30">
                  <c:v>7.1911000000000003E-2</c:v>
                </c:pt>
                <c:pt idx="31">
                  <c:v>7.4279999999999999E-2</c:v>
                </c:pt>
                <c:pt idx="32">
                  <c:v>7.6179999999999998E-2</c:v>
                </c:pt>
                <c:pt idx="33">
                  <c:v>7.7243599999999996E-2</c:v>
                </c:pt>
                <c:pt idx="34">
                  <c:v>7.8131636363636361E-2</c:v>
                </c:pt>
                <c:pt idx="35">
                  <c:v>7.8695272727272725E-2</c:v>
                </c:pt>
                <c:pt idx="36">
                  <c:v>7.9071981818181813E-2</c:v>
                </c:pt>
                <c:pt idx="37">
                  <c:v>7.9351360060514381E-2</c:v>
                </c:pt>
                <c:pt idx="38">
                  <c:v>7.9310361573373678E-2</c:v>
                </c:pt>
                <c:pt idx="39">
                  <c:v>7.9269363086232988E-2</c:v>
                </c:pt>
                <c:pt idx="40">
                  <c:v>7.9228364599092285E-2</c:v>
                </c:pt>
                <c:pt idx="41">
                  <c:v>7.9187366111951596E-2</c:v>
                </c:pt>
                <c:pt idx="42">
                  <c:v>7.9146367624810893E-2</c:v>
                </c:pt>
                <c:pt idx="43">
                  <c:v>7.9105369137670203E-2</c:v>
                </c:pt>
                <c:pt idx="44">
                  <c:v>7.8333240544629354E-2</c:v>
                </c:pt>
                <c:pt idx="45">
                  <c:v>7.6591939485627841E-2</c:v>
                </c:pt>
                <c:pt idx="46">
                  <c:v>7.4850638426626329E-2</c:v>
                </c:pt>
                <c:pt idx="47">
                  <c:v>7.3109337367624802E-2</c:v>
                </c:pt>
                <c:pt idx="48">
                  <c:v>7.1368036308623289E-2</c:v>
                </c:pt>
                <c:pt idx="49">
                  <c:v>6.9626735249621777E-2</c:v>
                </c:pt>
                <c:pt idx="50">
                  <c:v>6.7885434190620264E-2</c:v>
                </c:pt>
                <c:pt idx="51">
                  <c:v>6.2340275757575725E-2</c:v>
                </c:pt>
                <c:pt idx="52">
                  <c:v>5.5960124242424206E-2</c:v>
                </c:pt>
                <c:pt idx="53">
                  <c:v>4.9579972727272693E-2</c:v>
                </c:pt>
                <c:pt idx="54">
                  <c:v>4.3199821212121181E-2</c:v>
                </c:pt>
                <c:pt idx="55">
                  <c:v>3.6819669696969662E-2</c:v>
                </c:pt>
                <c:pt idx="56">
                  <c:v>3.043951818181815E-2</c:v>
                </c:pt>
                <c:pt idx="57">
                  <c:v>2.4302831325301182E-2</c:v>
                </c:pt>
                <c:pt idx="58">
                  <c:v>1.9029337349397577E-2</c:v>
                </c:pt>
                <c:pt idx="59">
                  <c:v>1.4608151515151508E-2</c:v>
                </c:pt>
                <c:pt idx="60">
                  <c:v>1.0856636363636357E-2</c:v>
                </c:pt>
                <c:pt idx="61">
                  <c:v>8.2869630303030253E-3</c:v>
                </c:pt>
                <c:pt idx="62">
                  <c:v>6.0737218181818146E-3</c:v>
                </c:pt>
                <c:pt idx="63">
                  <c:v>4.5422672727272687E-3</c:v>
                </c:pt>
                <c:pt idx="64">
                  <c:v>3.3751121212121189E-3</c:v>
                </c:pt>
                <c:pt idx="65">
                  <c:v>2.4408696969696947E-3</c:v>
                </c:pt>
                <c:pt idx="66">
                  <c:v>1.8644542168674695E-3</c:v>
                </c:pt>
                <c:pt idx="67">
                  <c:v>1.3689000000000002E-3</c:v>
                </c:pt>
                <c:pt idx="68">
                  <c:v>1.0272333333333334E-3</c:v>
                </c:pt>
                <c:pt idx="69">
                  <c:v>7.7267848484848488E-4</c:v>
                </c:pt>
                <c:pt idx="70">
                  <c:v>5.6503E-4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1E4F-48F0-98BD-B294EEA8CE8B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(DGe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1.8518487272727281E-6</c:v>
                </c:pt>
                <c:pt idx="1">
                  <c:v>3.4363939393939423E-6</c:v>
                </c:pt>
                <c:pt idx="2">
                  <c:v>6.2242727272727299E-6</c:v>
                </c:pt>
                <c:pt idx="3">
                  <c:v>1.4302660606060617E-5</c:v>
                </c:pt>
                <c:pt idx="4">
                  <c:v>5.3347586989410396E-5</c:v>
                </c:pt>
                <c:pt idx="5">
                  <c:v>4.2600492435703504E-4</c:v>
                </c:pt>
                <c:pt idx="6">
                  <c:v>7.9866226172465974E-4</c:v>
                </c:pt>
                <c:pt idx="7">
                  <c:v>1.1713195990922846E-3</c:v>
                </c:pt>
                <c:pt idx="8">
                  <c:v>1.543976936459909E-3</c:v>
                </c:pt>
                <c:pt idx="9">
                  <c:v>1.9166342738275337E-3</c:v>
                </c:pt>
                <c:pt idx="10">
                  <c:v>2.2892916111951584E-3</c:v>
                </c:pt>
                <c:pt idx="11">
                  <c:v>3.6487824242424213E-3</c:v>
                </c:pt>
                <c:pt idx="12">
                  <c:v>6.1210854545454517E-3</c:v>
                </c:pt>
                <c:pt idx="13">
                  <c:v>1.1046729090909084E-2</c:v>
                </c:pt>
                <c:pt idx="14">
                  <c:v>1.732736746987951E-2</c:v>
                </c:pt>
                <c:pt idx="15">
                  <c:v>2.7594234939759051E-2</c:v>
                </c:pt>
                <c:pt idx="16">
                  <c:v>4.1002290909090952E-2</c:v>
                </c:pt>
                <c:pt idx="17">
                  <c:v>5.7428351515151556E-2</c:v>
                </c:pt>
                <c:pt idx="18">
                  <c:v>7.8544800000000053E-2</c:v>
                </c:pt>
                <c:pt idx="19">
                  <c:v>0.10090436363636369</c:v>
                </c:pt>
                <c:pt idx="20">
                  <c:v>0.12506800000000004</c:v>
                </c:pt>
                <c:pt idx="21">
                  <c:v>0.14793854545454549</c:v>
                </c:pt>
                <c:pt idx="22">
                  <c:v>0.16979309090909095</c:v>
                </c:pt>
                <c:pt idx="23">
                  <c:v>0.18657765060240966</c:v>
                </c:pt>
                <c:pt idx="24">
                  <c:v>0.20144000000000001</c:v>
                </c:pt>
                <c:pt idx="25">
                  <c:v>0.21204000000000001</c:v>
                </c:pt>
                <c:pt idx="26">
                  <c:v>0.22003636363636364</c:v>
                </c:pt>
                <c:pt idx="27">
                  <c:v>0.22629696969696969</c:v>
                </c:pt>
                <c:pt idx="28">
                  <c:v>0.22996666666666668</c:v>
                </c:pt>
                <c:pt idx="29">
                  <c:v>0.23303090909090909</c:v>
                </c:pt>
                <c:pt idx="30">
                  <c:v>0.23500060606060608</c:v>
                </c:pt>
                <c:pt idx="31">
                  <c:v>0.23640265060240964</c:v>
                </c:pt>
                <c:pt idx="32">
                  <c:v>0.23749903614457832</c:v>
                </c:pt>
                <c:pt idx="33">
                  <c:v>0.238122</c:v>
                </c:pt>
                <c:pt idx="34">
                  <c:v>0.23865157575757576</c:v>
                </c:pt>
                <c:pt idx="35">
                  <c:v>0.23900915151515151</c:v>
                </c:pt>
                <c:pt idx="36">
                  <c:v>0.23926218181818182</c:v>
                </c:pt>
                <c:pt idx="37">
                  <c:v>0.23946272314674735</c:v>
                </c:pt>
                <c:pt idx="38">
                  <c:v>0.23953080181543118</c:v>
                </c:pt>
                <c:pt idx="39">
                  <c:v>0.23959888048411498</c:v>
                </c:pt>
                <c:pt idx="40">
                  <c:v>0.23966695915279879</c:v>
                </c:pt>
                <c:pt idx="41">
                  <c:v>0.23973503782148262</c:v>
                </c:pt>
                <c:pt idx="42">
                  <c:v>0.23980311649016642</c:v>
                </c:pt>
                <c:pt idx="43">
                  <c:v>0.23987119515885025</c:v>
                </c:pt>
                <c:pt idx="44">
                  <c:v>0.2399145537065053</c:v>
                </c:pt>
                <c:pt idx="45">
                  <c:v>0.2399251437216339</c:v>
                </c:pt>
                <c:pt idx="46">
                  <c:v>0.2399357337367625</c:v>
                </c:pt>
                <c:pt idx="47">
                  <c:v>0.23994632375189107</c:v>
                </c:pt>
                <c:pt idx="48">
                  <c:v>0.23995691376701966</c:v>
                </c:pt>
                <c:pt idx="49">
                  <c:v>0.23996750378214826</c:v>
                </c:pt>
                <c:pt idx="50">
                  <c:v>0.23997809379727686</c:v>
                </c:pt>
                <c:pt idx="51">
                  <c:v>0.23998248484848483</c:v>
                </c:pt>
                <c:pt idx="52">
                  <c:v>0.23998551515151514</c:v>
                </c:pt>
                <c:pt idx="53">
                  <c:v>0.23998854545454545</c:v>
                </c:pt>
                <c:pt idx="54">
                  <c:v>0.23999157575757576</c:v>
                </c:pt>
                <c:pt idx="55">
                  <c:v>0.23999460606060605</c:v>
                </c:pt>
                <c:pt idx="56">
                  <c:v>0.23999763636363636</c:v>
                </c:pt>
                <c:pt idx="57">
                  <c:v>0.24</c:v>
                </c:pt>
                <c:pt idx="58">
                  <c:v>0.24</c:v>
                </c:pt>
                <c:pt idx="59">
                  <c:v>0.24</c:v>
                </c:pt>
                <c:pt idx="60">
                  <c:v>0.24</c:v>
                </c:pt>
                <c:pt idx="61">
                  <c:v>0.24</c:v>
                </c:pt>
                <c:pt idx="62">
                  <c:v>0.24</c:v>
                </c:pt>
                <c:pt idx="63">
                  <c:v>0.24</c:v>
                </c:pt>
                <c:pt idx="64">
                  <c:v>0.24</c:v>
                </c:pt>
                <c:pt idx="65">
                  <c:v>0.24</c:v>
                </c:pt>
                <c:pt idx="66">
                  <c:v>0.24</c:v>
                </c:pt>
                <c:pt idx="67">
                  <c:v>0.24</c:v>
                </c:pt>
                <c:pt idx="68">
                  <c:v>0.24</c:v>
                </c:pt>
                <c:pt idx="69">
                  <c:v>0.24</c:v>
                </c:pt>
                <c:pt idx="70">
                  <c:v>0.24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1E4F-48F0-98BD-B294EEA8CE8B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(DGa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3.9289779393939436E-25</c:v>
                </c:pt>
                <c:pt idx="1">
                  <c:v>4.9760621212121333E-24</c:v>
                </c:pt>
                <c:pt idx="2">
                  <c:v>1.6445304545454558E-23</c:v>
                </c:pt>
                <c:pt idx="3">
                  <c:v>2.8815899393939435E-22</c:v>
                </c:pt>
                <c:pt idx="4">
                  <c:v>2.2815268208321047E-18</c:v>
                </c:pt>
                <c:pt idx="5">
                  <c:v>3.0792778456233002E-17</c:v>
                </c:pt>
                <c:pt idx="6">
                  <c:v>5.9304030091633909E-17</c:v>
                </c:pt>
                <c:pt idx="7">
                  <c:v>8.7815281727034804E-17</c:v>
                </c:pt>
                <c:pt idx="8">
                  <c:v>1.1632653336243571E-16</c:v>
                </c:pt>
                <c:pt idx="9">
                  <c:v>1.4483778499783661E-16</c:v>
                </c:pt>
                <c:pt idx="10">
                  <c:v>1.733490366332375E-16</c:v>
                </c:pt>
                <c:pt idx="11">
                  <c:v>9.0170351515151355E-16</c:v>
                </c:pt>
                <c:pt idx="12">
                  <c:v>2.4192429090909073E-15</c:v>
                </c:pt>
                <c:pt idx="13">
                  <c:v>1.6883667878787857E-14</c:v>
                </c:pt>
                <c:pt idx="14">
                  <c:v>5.84461566265059E-14</c:v>
                </c:pt>
                <c:pt idx="15">
                  <c:v>2.1843531325301226E-13</c:v>
                </c:pt>
                <c:pt idx="16">
                  <c:v>9.3629890909091196E-13</c:v>
                </c:pt>
                <c:pt idx="17">
                  <c:v>2.1901595151515179E-12</c:v>
                </c:pt>
                <c:pt idx="18">
                  <c:v>9.6857593939394146E-12</c:v>
                </c:pt>
                <c:pt idx="19">
                  <c:v>2.7304545454545575E-11</c:v>
                </c:pt>
                <c:pt idx="20">
                  <c:v>7.9183333333333453E-11</c:v>
                </c:pt>
                <c:pt idx="21">
                  <c:v>2.6220393939394003E-10</c:v>
                </c:pt>
                <c:pt idx="22">
                  <c:v>5.4826454545454599E-10</c:v>
                </c:pt>
                <c:pt idx="23">
                  <c:v>1.8529382530120499E-9</c:v>
                </c:pt>
                <c:pt idx="24">
                  <c:v>4.4518484848484852E-9</c:v>
                </c:pt>
                <c:pt idx="25">
                  <c:v>1.0631242424242426E-8</c:v>
                </c:pt>
                <c:pt idx="26">
                  <c:v>2.7327363636363635E-8</c:v>
                </c:pt>
                <c:pt idx="27">
                  <c:v>5.1034636363636363E-8</c:v>
                </c:pt>
                <c:pt idx="28">
                  <c:v>1.2862878787878787E-7</c:v>
                </c:pt>
                <c:pt idx="29">
                  <c:v>2.5882272727272727E-7</c:v>
                </c:pt>
                <c:pt idx="30">
                  <c:v>5.0513181818181822E-7</c:v>
                </c:pt>
                <c:pt idx="31">
                  <c:v>1.0418996385542163E-6</c:v>
                </c:pt>
                <c:pt idx="32">
                  <c:v>1.7350683132530105E-6</c:v>
                </c:pt>
                <c:pt idx="33">
                  <c:v>3.582199999999996E-6</c:v>
                </c:pt>
                <c:pt idx="34">
                  <c:v>6.4125636363636262E-6</c:v>
                </c:pt>
                <c:pt idx="35">
                  <c:v>1.1128927272727263E-5</c:v>
                </c:pt>
                <c:pt idx="36">
                  <c:v>2.0503418181818157E-5</c:v>
                </c:pt>
                <c:pt idx="37">
                  <c:v>3.6477252647503501E-5</c:v>
                </c:pt>
                <c:pt idx="38">
                  <c:v>1.6060856883509799E-4</c:v>
                </c:pt>
                <c:pt idx="39">
                  <c:v>2.8473988502269245E-4</c:v>
                </c:pt>
                <c:pt idx="40">
                  <c:v>4.0887120121028698E-4</c:v>
                </c:pt>
                <c:pt idx="41">
                  <c:v>5.3300251739788157E-4</c:v>
                </c:pt>
                <c:pt idx="42">
                  <c:v>6.5713383358547599E-4</c:v>
                </c:pt>
                <c:pt idx="43">
                  <c:v>7.8126514977307053E-4</c:v>
                </c:pt>
                <c:pt idx="44">
                  <c:v>1.6046813313161808E-3</c:v>
                </c:pt>
                <c:pt idx="45">
                  <c:v>3.3550565204235961E-3</c:v>
                </c:pt>
                <c:pt idx="46">
                  <c:v>5.1054317095310126E-3</c:v>
                </c:pt>
                <c:pt idx="47">
                  <c:v>6.8558068986384274E-3</c:v>
                </c:pt>
                <c:pt idx="48">
                  <c:v>8.6061820877458423E-3</c:v>
                </c:pt>
                <c:pt idx="49">
                  <c:v>1.035655727685326E-2</c:v>
                </c:pt>
                <c:pt idx="50">
                  <c:v>1.2106932465960675E-2</c:v>
                </c:pt>
                <c:pt idx="51">
                  <c:v>1.7654345454545486E-2</c:v>
                </c:pt>
                <c:pt idx="52">
                  <c:v>2.4035254545454576E-2</c:v>
                </c:pt>
                <c:pt idx="53">
                  <c:v>3.0416163636363666E-2</c:v>
                </c:pt>
                <c:pt idx="54">
                  <c:v>3.6797072727272756E-2</c:v>
                </c:pt>
                <c:pt idx="55">
                  <c:v>4.3177981818181846E-2</c:v>
                </c:pt>
                <c:pt idx="56">
                  <c:v>4.9558890909090943E-2</c:v>
                </c:pt>
                <c:pt idx="57">
                  <c:v>5.5696301204819304E-2</c:v>
                </c:pt>
                <c:pt idx="58">
                  <c:v>6.0970397590361464E-2</c:v>
                </c:pt>
                <c:pt idx="59">
                  <c:v>6.5391848484848497E-2</c:v>
                </c:pt>
                <c:pt idx="60">
                  <c:v>6.9143363636363642E-2</c:v>
                </c:pt>
                <c:pt idx="61">
                  <c:v>7.1712981818181823E-2</c:v>
                </c:pt>
                <c:pt idx="62">
                  <c:v>7.3926193939393939E-2</c:v>
                </c:pt>
                <c:pt idx="63">
                  <c:v>7.5457709090909098E-2</c:v>
                </c:pt>
                <c:pt idx="64">
                  <c:v>7.6624703030303026E-2</c:v>
                </c:pt>
                <c:pt idx="65">
                  <c:v>7.755864242424243E-2</c:v>
                </c:pt>
                <c:pt idx="66">
                  <c:v>7.8135566265060241E-2</c:v>
                </c:pt>
                <c:pt idx="67">
                  <c:v>7.8631363636363638E-2</c:v>
                </c:pt>
                <c:pt idx="68">
                  <c:v>7.8972575757575755E-2</c:v>
                </c:pt>
                <c:pt idx="69">
                  <c:v>7.9227121212121207E-2</c:v>
                </c:pt>
                <c:pt idx="70">
                  <c:v>7.9435000000000006E-2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1E4F-48F0-98BD-B294EEA8CE8B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(1)Se[A]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3.8229806060606086E-9</c:v>
                </c:pt>
                <c:pt idx="1">
                  <c:v>5.9545309090909122E-9</c:v>
                </c:pt>
                <c:pt idx="2">
                  <c:v>8.6343490909090934E-9</c:v>
                </c:pt>
                <c:pt idx="3">
                  <c:v>1.1178962424242427E-8</c:v>
                </c:pt>
                <c:pt idx="4">
                  <c:v>1.3465757942511346E-8</c:v>
                </c:pt>
                <c:pt idx="5">
                  <c:v>1.3362732223903178E-8</c:v>
                </c:pt>
                <c:pt idx="6">
                  <c:v>1.3259706505295008E-8</c:v>
                </c:pt>
                <c:pt idx="7">
                  <c:v>1.3156680786686838E-8</c:v>
                </c:pt>
                <c:pt idx="8">
                  <c:v>1.305365506807867E-8</c:v>
                </c:pt>
                <c:pt idx="9">
                  <c:v>1.29506293494705E-8</c:v>
                </c:pt>
                <c:pt idx="10">
                  <c:v>1.284760363086233E-8</c:v>
                </c:pt>
                <c:pt idx="11">
                  <c:v>1.2424690909090911E-8</c:v>
                </c:pt>
                <c:pt idx="12">
                  <c:v>1.1641054545454546E-8</c:v>
                </c:pt>
                <c:pt idx="13">
                  <c:v>1.1066145454545456E-8</c:v>
                </c:pt>
                <c:pt idx="14">
                  <c:v>1.0590849397590362E-8</c:v>
                </c:pt>
                <c:pt idx="15">
                  <c:v>1.0378198795180723E-8</c:v>
                </c:pt>
                <c:pt idx="16">
                  <c:v>1.0301818181818182E-8</c:v>
                </c:pt>
                <c:pt idx="17">
                  <c:v>1.0356363636363636E-8</c:v>
                </c:pt>
                <c:pt idx="18">
                  <c:v>1.0510460606060606E-8</c:v>
                </c:pt>
                <c:pt idx="19">
                  <c:v>1.0663072727272728E-8</c:v>
                </c:pt>
                <c:pt idx="20">
                  <c:v>1.0749133333333333E-8</c:v>
                </c:pt>
                <c:pt idx="21">
                  <c:v>1.0703169696969696E-8</c:v>
                </c:pt>
                <c:pt idx="22">
                  <c:v>1.0553472727272728E-8</c:v>
                </c:pt>
                <c:pt idx="23">
                  <c:v>1.017737048192771E-8</c:v>
                </c:pt>
                <c:pt idx="24">
                  <c:v>9.7371818181818185E-9</c:v>
                </c:pt>
                <c:pt idx="25">
                  <c:v>9.1719090909090917E-9</c:v>
                </c:pt>
                <c:pt idx="26">
                  <c:v>8.5685272727272732E-9</c:v>
                </c:pt>
                <c:pt idx="27">
                  <c:v>7.9397393939393932E-9</c:v>
                </c:pt>
                <c:pt idx="28">
                  <c:v>7.3161909090909089E-9</c:v>
                </c:pt>
                <c:pt idx="29">
                  <c:v>6.7060999999999994E-9</c:v>
                </c:pt>
                <c:pt idx="30">
                  <c:v>6.1267666666666662E-9</c:v>
                </c:pt>
                <c:pt idx="31">
                  <c:v>5.5895240963855429E-9</c:v>
                </c:pt>
                <c:pt idx="32">
                  <c:v>5.0749457831325317E-9</c:v>
                </c:pt>
                <c:pt idx="33">
                  <c:v>4.622800000000001E-9</c:v>
                </c:pt>
                <c:pt idx="34">
                  <c:v>4.1927357575757585E-9</c:v>
                </c:pt>
                <c:pt idx="35">
                  <c:v>3.8043115151515158E-9</c:v>
                </c:pt>
                <c:pt idx="36">
                  <c:v>3.4550290909090919E-9</c:v>
                </c:pt>
                <c:pt idx="37">
                  <c:v>3.1276493192133139E-9</c:v>
                </c:pt>
                <c:pt idx="38">
                  <c:v>2.903882299546143E-9</c:v>
                </c:pt>
                <c:pt idx="39">
                  <c:v>2.680115279878972E-9</c:v>
                </c:pt>
                <c:pt idx="40">
                  <c:v>2.456348260211801E-9</c:v>
                </c:pt>
                <c:pt idx="41">
                  <c:v>2.2325812405446301E-9</c:v>
                </c:pt>
                <c:pt idx="42">
                  <c:v>2.0088142208774591E-9</c:v>
                </c:pt>
                <c:pt idx="43">
                  <c:v>1.7850472012102884E-9</c:v>
                </c:pt>
                <c:pt idx="44">
                  <c:v>1.6088703177004543E-9</c:v>
                </c:pt>
                <c:pt idx="45">
                  <c:v>1.495778033282905E-9</c:v>
                </c:pt>
                <c:pt idx="46">
                  <c:v>1.3826857488653557E-9</c:v>
                </c:pt>
                <c:pt idx="47">
                  <c:v>1.2695934644478063E-9</c:v>
                </c:pt>
                <c:pt idx="48">
                  <c:v>1.156501180030257E-9</c:v>
                </c:pt>
                <c:pt idx="49">
                  <c:v>1.0434088956127077E-9</c:v>
                </c:pt>
                <c:pt idx="50">
                  <c:v>9.3031661119515847E-10</c:v>
                </c:pt>
                <c:pt idx="51">
                  <c:v>8.6426487878787858E-10</c:v>
                </c:pt>
                <c:pt idx="52">
                  <c:v>8.0853912121212099E-10</c:v>
                </c:pt>
                <c:pt idx="53">
                  <c:v>7.528133636363634E-10</c:v>
                </c:pt>
                <c:pt idx="54">
                  <c:v>6.9708760606060581E-10</c:v>
                </c:pt>
                <c:pt idx="55">
                  <c:v>6.4136184848484822E-10</c:v>
                </c:pt>
                <c:pt idx="56">
                  <c:v>5.8563609090909063E-10</c:v>
                </c:pt>
                <c:pt idx="57">
                  <c:v>5.3324012048192755E-10</c:v>
                </c:pt>
                <c:pt idx="58">
                  <c:v>4.9264975903614445E-10</c:v>
                </c:pt>
                <c:pt idx="59">
                  <c:v>4.5405642424242413E-10</c:v>
                </c:pt>
                <c:pt idx="60">
                  <c:v>4.1703218181818171E-10</c:v>
                </c:pt>
                <c:pt idx="61">
                  <c:v>3.8356521212121205E-10</c:v>
                </c:pt>
                <c:pt idx="62">
                  <c:v>3.514616969696969E-10</c:v>
                </c:pt>
                <c:pt idx="63">
                  <c:v>3.2223745454545448E-10</c:v>
                </c:pt>
                <c:pt idx="64">
                  <c:v>2.9527206060606053E-10</c:v>
                </c:pt>
                <c:pt idx="65">
                  <c:v>2.6975084848484845E-10</c:v>
                </c:pt>
                <c:pt idx="66">
                  <c:v>2.4759843373493976E-10</c:v>
                </c:pt>
                <c:pt idx="67">
                  <c:v>2.2644636363636365E-10</c:v>
                </c:pt>
                <c:pt idx="68">
                  <c:v>2.0730090909090909E-10</c:v>
                </c:pt>
                <c:pt idx="69">
                  <c:v>1.8986121212121213E-10</c:v>
                </c:pt>
                <c:pt idx="70">
                  <c:v>1.7333999999999999E-10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1E4F-48F0-98BD-B294EEA8CE8B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1.6113195151515158E-2</c:v>
                </c:pt>
                <c:pt idx="1">
                  <c:v>2.6533103030303047E-2</c:v>
                </c:pt>
                <c:pt idx="2">
                  <c:v>4.0699163636363653E-2</c:v>
                </c:pt>
                <c:pt idx="3">
                  <c:v>5.6751721212121235E-2</c:v>
                </c:pt>
                <c:pt idx="4">
                  <c:v>7.2742187594553712E-2</c:v>
                </c:pt>
                <c:pt idx="5">
                  <c:v>7.9994532526475051E-2</c:v>
                </c:pt>
                <c:pt idx="6">
                  <c:v>8.7246877458396377E-2</c:v>
                </c:pt>
                <c:pt idx="7">
                  <c:v>9.4499222390317703E-2</c:v>
                </c:pt>
                <c:pt idx="8">
                  <c:v>0.10175156732223903</c:v>
                </c:pt>
                <c:pt idx="9">
                  <c:v>0.10900391225416037</c:v>
                </c:pt>
                <c:pt idx="10">
                  <c:v>0.11625625718608168</c:v>
                </c:pt>
                <c:pt idx="11">
                  <c:v>0.12176921212121211</c:v>
                </c:pt>
                <c:pt idx="12">
                  <c:v>0.12532072727272725</c:v>
                </c:pt>
                <c:pt idx="13">
                  <c:v>0.13108375757575758</c:v>
                </c:pt>
                <c:pt idx="14">
                  <c:v>0.13814921686746987</c:v>
                </c:pt>
                <c:pt idx="15">
                  <c:v>0.14920343373493977</c:v>
                </c:pt>
                <c:pt idx="16">
                  <c:v>0.16351563636363642</c:v>
                </c:pt>
                <c:pt idx="17">
                  <c:v>0.18095806060606065</c:v>
                </c:pt>
                <c:pt idx="18">
                  <c:v>0.203435393939394</c:v>
                </c:pt>
                <c:pt idx="19">
                  <c:v>0.2273292727272728</c:v>
                </c:pt>
                <c:pt idx="20">
                  <c:v>0.25346866666666673</c:v>
                </c:pt>
                <c:pt idx="21">
                  <c:v>0.27868490909090915</c:v>
                </c:pt>
                <c:pt idx="22">
                  <c:v>0.30317581818181821</c:v>
                </c:pt>
                <c:pt idx="23">
                  <c:v>0.32309759036144581</c:v>
                </c:pt>
                <c:pt idx="24">
                  <c:v>0.34121060606060605</c:v>
                </c:pt>
                <c:pt idx="25">
                  <c:v>0.35525303030303035</c:v>
                </c:pt>
                <c:pt idx="26">
                  <c:v>0.36652454545454544</c:v>
                </c:pt>
                <c:pt idx="27">
                  <c:v>0.37594878787878788</c:v>
                </c:pt>
                <c:pt idx="28">
                  <c:v>0.38210272727272726</c:v>
                </c:pt>
                <c:pt idx="29">
                  <c:v>0.38736636363636368</c:v>
                </c:pt>
                <c:pt idx="30">
                  <c:v>0.39095424242424243</c:v>
                </c:pt>
                <c:pt idx="31">
                  <c:v>0.39354132530120484</c:v>
                </c:pt>
                <c:pt idx="32">
                  <c:v>0.39558951807228915</c:v>
                </c:pt>
                <c:pt idx="33">
                  <c:v>0.39674999999999999</c:v>
                </c:pt>
                <c:pt idx="34">
                  <c:v>0.39772842424242422</c:v>
                </c:pt>
                <c:pt idx="35">
                  <c:v>0.39837084848484844</c:v>
                </c:pt>
                <c:pt idx="36">
                  <c:v>0.3988292727272727</c:v>
                </c:pt>
                <c:pt idx="37">
                  <c:v>0.39919931921331314</c:v>
                </c:pt>
                <c:pt idx="38">
                  <c:v>0.39943229954614218</c:v>
                </c:pt>
                <c:pt idx="39">
                  <c:v>0.39966527987897121</c:v>
                </c:pt>
                <c:pt idx="40">
                  <c:v>0.3998982602118003</c:v>
                </c:pt>
                <c:pt idx="41">
                  <c:v>0.40013124054462934</c:v>
                </c:pt>
                <c:pt idx="42">
                  <c:v>0.40036422087745838</c:v>
                </c:pt>
                <c:pt idx="43">
                  <c:v>0.40059720121028741</c:v>
                </c:pt>
                <c:pt idx="44">
                  <c:v>0.40148916792738271</c:v>
                </c:pt>
                <c:pt idx="45">
                  <c:v>0.40325467473524962</c:v>
                </c:pt>
                <c:pt idx="46">
                  <c:v>0.40502018154311648</c:v>
                </c:pt>
                <c:pt idx="47">
                  <c:v>0.40678568835098333</c:v>
                </c:pt>
                <c:pt idx="48">
                  <c:v>0.40855119515885019</c:v>
                </c:pt>
                <c:pt idx="49">
                  <c:v>0.4103167019667171</c:v>
                </c:pt>
                <c:pt idx="50">
                  <c:v>0.41208220877458396</c:v>
                </c:pt>
                <c:pt idx="51">
                  <c:v>0.41763433333333333</c:v>
                </c:pt>
                <c:pt idx="52">
                  <c:v>0.42401766666666668</c:v>
                </c:pt>
                <c:pt idx="53">
                  <c:v>0.43040100000000003</c:v>
                </c:pt>
                <c:pt idx="54">
                  <c:v>0.43678433333333333</c:v>
                </c:pt>
                <c:pt idx="55">
                  <c:v>0.44316766666666668</c:v>
                </c:pt>
                <c:pt idx="56">
                  <c:v>0.44955100000000003</c:v>
                </c:pt>
                <c:pt idx="57">
                  <c:v>0.45569096385542168</c:v>
                </c:pt>
                <c:pt idx="58">
                  <c:v>0.46096807228915665</c:v>
                </c:pt>
                <c:pt idx="59">
                  <c:v>0.46539084848484846</c:v>
                </c:pt>
                <c:pt idx="60">
                  <c:v>0.46914236363636364</c:v>
                </c:pt>
                <c:pt idx="61">
                  <c:v>0.47171363636363639</c:v>
                </c:pt>
                <c:pt idx="62">
                  <c:v>0.47392709090909091</c:v>
                </c:pt>
                <c:pt idx="63">
                  <c:v>0.47545436363636362</c:v>
                </c:pt>
                <c:pt idx="64">
                  <c:v>0.47662303030303027</c:v>
                </c:pt>
                <c:pt idx="65">
                  <c:v>0.47756242424242429</c:v>
                </c:pt>
                <c:pt idx="66">
                  <c:v>0.47813783132530124</c:v>
                </c:pt>
                <c:pt idx="67">
                  <c:v>0.47863181818181821</c:v>
                </c:pt>
                <c:pt idx="68">
                  <c:v>0.47897121212121213</c:v>
                </c:pt>
                <c:pt idx="69">
                  <c:v>0.47922393939393942</c:v>
                </c:pt>
                <c:pt idx="70">
                  <c:v>0.47943000000000002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1E4F-48F0-98BD-B294EEA8CE8B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1.3421683636363642E-8</c:v>
                </c:pt>
                <c:pt idx="1">
                  <c:v>1.9719218181818192E-8</c:v>
                </c:pt>
                <c:pt idx="2">
                  <c:v>2.7035581818181827E-8</c:v>
                </c:pt>
                <c:pt idx="3">
                  <c:v>3.3029096969696978E-8</c:v>
                </c:pt>
                <c:pt idx="4">
                  <c:v>3.7957338880484114E-8</c:v>
                </c:pt>
                <c:pt idx="5">
                  <c:v>3.6261574886535554E-8</c:v>
                </c:pt>
                <c:pt idx="6">
                  <c:v>3.4565810892586994E-8</c:v>
                </c:pt>
                <c:pt idx="7">
                  <c:v>3.2870046898638427E-8</c:v>
                </c:pt>
                <c:pt idx="8">
                  <c:v>3.1174282904689867E-8</c:v>
                </c:pt>
                <c:pt idx="9">
                  <c:v>2.9478518910741304E-8</c:v>
                </c:pt>
                <c:pt idx="10">
                  <c:v>2.778275491679274E-8</c:v>
                </c:pt>
                <c:pt idx="11">
                  <c:v>2.5709000000000002E-8</c:v>
                </c:pt>
                <c:pt idx="12">
                  <c:v>2.3209000000000003E-8</c:v>
                </c:pt>
                <c:pt idx="13">
                  <c:v>2.1335181818181821E-8</c:v>
                </c:pt>
                <c:pt idx="14">
                  <c:v>1.9727277108433734E-8</c:v>
                </c:pt>
                <c:pt idx="15">
                  <c:v>1.8746554216867469E-8</c:v>
                </c:pt>
                <c:pt idx="16">
                  <c:v>1.8048090909090908E-8</c:v>
                </c:pt>
                <c:pt idx="17">
                  <c:v>1.7620818181818181E-8</c:v>
                </c:pt>
                <c:pt idx="18">
                  <c:v>1.7398381818181818E-8</c:v>
                </c:pt>
                <c:pt idx="19">
                  <c:v>1.7269363636363638E-8</c:v>
                </c:pt>
                <c:pt idx="20">
                  <c:v>1.7366333333333334E-8</c:v>
                </c:pt>
                <c:pt idx="21">
                  <c:v>1.7322793939393938E-8</c:v>
                </c:pt>
                <c:pt idx="22">
                  <c:v>1.7168854545454545E-8</c:v>
                </c:pt>
                <c:pt idx="23">
                  <c:v>1.6643536144578314E-8</c:v>
                </c:pt>
                <c:pt idx="24">
                  <c:v>1.6010636363636366E-8</c:v>
                </c:pt>
                <c:pt idx="25">
                  <c:v>1.5165181818181819E-8</c:v>
                </c:pt>
                <c:pt idx="26">
                  <c:v>1.4247363636363636E-8</c:v>
                </c:pt>
                <c:pt idx="27">
                  <c:v>1.3281303030303031E-8</c:v>
                </c:pt>
                <c:pt idx="28">
                  <c:v>1.2307181818181818E-8</c:v>
                </c:pt>
                <c:pt idx="29">
                  <c:v>1.1349363636363637E-8</c:v>
                </c:pt>
                <c:pt idx="30">
                  <c:v>1.0430575757575757E-8</c:v>
                </c:pt>
                <c:pt idx="31">
                  <c:v>9.5722018072289161E-9</c:v>
                </c:pt>
                <c:pt idx="32">
                  <c:v>8.7463584337349428E-9</c:v>
                </c:pt>
                <c:pt idx="33">
                  <c:v>8.0127000000000023E-9</c:v>
                </c:pt>
                <c:pt idx="34">
                  <c:v>7.3125303030303041E-9</c:v>
                </c:pt>
                <c:pt idx="35">
                  <c:v>6.675560606060607E-9</c:v>
                </c:pt>
                <c:pt idx="36">
                  <c:v>6.0989763636363648E-9</c:v>
                </c:pt>
                <c:pt idx="37">
                  <c:v>5.5563278366111956E-9</c:v>
                </c:pt>
                <c:pt idx="38">
                  <c:v>5.1770237518910746E-9</c:v>
                </c:pt>
                <c:pt idx="39">
                  <c:v>4.7977196671709536E-9</c:v>
                </c:pt>
                <c:pt idx="40">
                  <c:v>4.4184155824508326E-9</c:v>
                </c:pt>
                <c:pt idx="41">
                  <c:v>4.0391114977307125E-9</c:v>
                </c:pt>
                <c:pt idx="42">
                  <c:v>3.6598074130105915E-9</c:v>
                </c:pt>
                <c:pt idx="43">
                  <c:v>3.2805033282904705E-9</c:v>
                </c:pt>
                <c:pt idx="44">
                  <c:v>2.9787488653555227E-9</c:v>
                </c:pt>
                <c:pt idx="45">
                  <c:v>2.779792738275341E-9</c:v>
                </c:pt>
                <c:pt idx="46">
                  <c:v>2.5808366111951589E-9</c:v>
                </c:pt>
                <c:pt idx="47">
                  <c:v>2.3818804841149772E-9</c:v>
                </c:pt>
                <c:pt idx="48">
                  <c:v>2.1829243570347955E-9</c:v>
                </c:pt>
                <c:pt idx="49">
                  <c:v>1.9839682299546133E-9</c:v>
                </c:pt>
                <c:pt idx="50">
                  <c:v>1.7850121028744318E-9</c:v>
                </c:pt>
                <c:pt idx="51">
                  <c:v>1.666355151515151E-9</c:v>
                </c:pt>
                <c:pt idx="52">
                  <c:v>1.5653248484848479E-9</c:v>
                </c:pt>
                <c:pt idx="53">
                  <c:v>1.4642945454545448E-9</c:v>
                </c:pt>
                <c:pt idx="54">
                  <c:v>1.363264242424242E-9</c:v>
                </c:pt>
                <c:pt idx="55">
                  <c:v>1.2622339393939389E-9</c:v>
                </c:pt>
                <c:pt idx="56">
                  <c:v>1.1612036363636358E-9</c:v>
                </c:pt>
                <c:pt idx="57">
                  <c:v>1.0657436144578308E-9</c:v>
                </c:pt>
                <c:pt idx="58">
                  <c:v>9.9003277108433708E-10</c:v>
                </c:pt>
                <c:pt idx="59">
                  <c:v>9.1756412121212104E-10</c:v>
                </c:pt>
                <c:pt idx="60">
                  <c:v>8.4764290909090898E-10</c:v>
                </c:pt>
                <c:pt idx="61">
                  <c:v>7.837663030303029E-10</c:v>
                </c:pt>
                <c:pt idx="62">
                  <c:v>7.2226812121212113E-10</c:v>
                </c:pt>
                <c:pt idx="63">
                  <c:v>6.6583781818181809E-10</c:v>
                </c:pt>
                <c:pt idx="64">
                  <c:v>6.1345939393939384E-10</c:v>
                </c:pt>
                <c:pt idx="65">
                  <c:v>5.6367151515151499E-10</c:v>
                </c:pt>
                <c:pt idx="66">
                  <c:v>5.2005301204819272E-10</c:v>
                </c:pt>
                <c:pt idx="67">
                  <c:v>4.7828000000000003E-10</c:v>
                </c:pt>
                <c:pt idx="68">
                  <c:v>4.4021333333333332E-10</c:v>
                </c:pt>
                <c:pt idx="69">
                  <c:v>4.0534151515151513E-10</c:v>
                </c:pt>
                <c:pt idx="70">
                  <c:v>3.7218999999999998E-10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1E4F-48F0-98BD-B294EEA8CE8B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(2)Ga[l]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1.739711043872904E-29</c:v>
                </c:pt>
                <c:pt idx="45">
                  <c:v>5.7855506807866774E-29</c:v>
                </c:pt>
                <c:pt idx="46">
                  <c:v>9.8313903177004503E-29</c:v>
                </c:pt>
                <c:pt idx="47">
                  <c:v>1.3877229954614222E-28</c:v>
                </c:pt>
                <c:pt idx="48">
                  <c:v>1.7923069591527995E-28</c:v>
                </c:pt>
                <c:pt idx="49">
                  <c:v>2.196890922844177E-28</c:v>
                </c:pt>
                <c:pt idx="50">
                  <c:v>2.6014748865355543E-28</c:v>
                </c:pt>
                <c:pt idx="51">
                  <c:v>3.1393575757578274E-15</c:v>
                </c:pt>
                <c:pt idx="52">
                  <c:v>6.9678424242426355E-15</c:v>
                </c:pt>
                <c:pt idx="53">
                  <c:v>1.0796327272727445E-14</c:v>
                </c:pt>
                <c:pt idx="54">
                  <c:v>1.4624812121212252E-14</c:v>
                </c:pt>
                <c:pt idx="55">
                  <c:v>1.8453296969697059E-14</c:v>
                </c:pt>
                <c:pt idx="56">
                  <c:v>2.2281781818181867E-14</c:v>
                </c:pt>
                <c:pt idx="57">
                  <c:v>2.4544453012048614E-13</c:v>
                </c:pt>
                <c:pt idx="58">
                  <c:v>1.2462469397590391E-12</c:v>
                </c:pt>
                <c:pt idx="59">
                  <c:v>1.1443293333333371E-11</c:v>
                </c:pt>
                <c:pt idx="60">
                  <c:v>2.8865960000000039E-11</c:v>
                </c:pt>
                <c:pt idx="61">
                  <c:v>8.0779612121212242E-11</c:v>
                </c:pt>
                <c:pt idx="62">
                  <c:v>1.9348945454545518E-10</c:v>
                </c:pt>
                <c:pt idx="63">
                  <c:v>4.6952581818181878E-10</c:v>
                </c:pt>
                <c:pt idx="64">
                  <c:v>1.0956504242424264E-9</c:v>
                </c:pt>
                <c:pt idx="65">
                  <c:v>1.9456019393939417E-9</c:v>
                </c:pt>
                <c:pt idx="66">
                  <c:v>4.0711277108433757E-9</c:v>
                </c:pt>
                <c:pt idx="67">
                  <c:v>7.1356181818181823E-9</c:v>
                </c:pt>
                <c:pt idx="68">
                  <c:v>1.2267012121212121E-8</c:v>
                </c:pt>
                <c:pt idx="69">
                  <c:v>2.147418181818182E-8</c:v>
                </c:pt>
                <c:pt idx="70">
                  <c:v>3.2876000000000003E-8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1E4F-48F0-98BD-B294EEA8CE8B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>
                  <c:v>-18.618363636363636</c:v>
                </c:pt>
                <c:pt idx="3">
                  <c:v>-18.624424242424244</c:v>
                </c:pt>
                <c:pt idx="4">
                  <c:v>-18.631089258698939</c:v>
                </c:pt>
                <c:pt idx="5">
                  <c:v>-18.644704992435702</c:v>
                </c:pt>
                <c:pt idx="6">
                  <c:v>-18.658320726172466</c:v>
                </c:pt>
                <c:pt idx="7">
                  <c:v>-18.671936459909226</c:v>
                </c:pt>
                <c:pt idx="8">
                  <c:v>-18.685552193645989</c:v>
                </c:pt>
                <c:pt idx="9">
                  <c:v>-18.699167927382753</c:v>
                </c:pt>
                <c:pt idx="10">
                  <c:v>-18.712783661119516</c:v>
                </c:pt>
                <c:pt idx="11">
                  <c:v>-18.728545454545454</c:v>
                </c:pt>
                <c:pt idx="12">
                  <c:v>-18.746727272727274</c:v>
                </c:pt>
                <c:pt idx="13">
                  <c:v>-18.764909090909093</c:v>
                </c:pt>
                <c:pt idx="14">
                  <c:v>-18.783072289156628</c:v>
                </c:pt>
                <c:pt idx="15">
                  <c:v>-18.801144578313252</c:v>
                </c:pt>
                <c:pt idx="16">
                  <c:v>-18.819272727272725</c:v>
                </c:pt>
                <c:pt idx="17">
                  <c:v>-18.837454545454545</c:v>
                </c:pt>
                <c:pt idx="18">
                  <c:v>-18.855636363636364</c:v>
                </c:pt>
                <c:pt idx="19">
                  <c:v>-18.873818181818184</c:v>
                </c:pt>
                <c:pt idx="20">
                  <c:v>-18.891999999999999</c:v>
                </c:pt>
                <c:pt idx="21">
                  <c:v>-18.913575757575757</c:v>
                </c:pt>
                <c:pt idx="22">
                  <c:v>-18.937818181818184</c:v>
                </c:pt>
                <c:pt idx="23">
                  <c:v>-18.95644578313253</c:v>
                </c:pt>
                <c:pt idx="24">
                  <c:v>-18.976060606060607</c:v>
                </c:pt>
                <c:pt idx="25">
                  <c:v>-19.00030303030303</c:v>
                </c:pt>
                <c:pt idx="26">
                  <c:v>-19.020909090909093</c:v>
                </c:pt>
                <c:pt idx="27">
                  <c:v>-19.039090909090909</c:v>
                </c:pt>
                <c:pt idx="28">
                  <c:v>-19.057272727272728</c:v>
                </c:pt>
                <c:pt idx="29">
                  <c:v>-19.077272727272728</c:v>
                </c:pt>
                <c:pt idx="30">
                  <c:v>-19.101515151515152</c:v>
                </c:pt>
                <c:pt idx="31">
                  <c:v>-19.121746987951806</c:v>
                </c:pt>
                <c:pt idx="32">
                  <c:v>-19.139819277108433</c:v>
                </c:pt>
                <c:pt idx="33">
                  <c:v>-19.164000000000001</c:v>
                </c:pt>
                <c:pt idx="34">
                  <c:v>-19.186181818181819</c:v>
                </c:pt>
                <c:pt idx="35">
                  <c:v>-19.204363636363638</c:v>
                </c:pt>
                <c:pt idx="36">
                  <c:v>-19.226727272727274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-19.388456883509832</c:v>
                </c:pt>
                <c:pt idx="45">
                  <c:v>-19.408124054462935</c:v>
                </c:pt>
                <c:pt idx="46">
                  <c:v>-19.427791225416037</c:v>
                </c:pt>
                <c:pt idx="47">
                  <c:v>-19.447458396369139</c:v>
                </c:pt>
                <c:pt idx="48">
                  <c:v>-19.467125567322238</c:v>
                </c:pt>
                <c:pt idx="49">
                  <c:v>-19.486792738275341</c:v>
                </c:pt>
                <c:pt idx="50">
                  <c:v>-19.506459909228443</c:v>
                </c:pt>
                <c:pt idx="51">
                  <c:v>-19.526151515151518</c:v>
                </c:pt>
                <c:pt idx="52">
                  <c:v>-19.545848484848488</c:v>
                </c:pt>
                <c:pt idx="53">
                  <c:v>-19.565545454545457</c:v>
                </c:pt>
                <c:pt idx="54">
                  <c:v>-19.585242424242427</c:v>
                </c:pt>
                <c:pt idx="55">
                  <c:v>-19.604939393939397</c:v>
                </c:pt>
                <c:pt idx="56">
                  <c:v>-19.624636363636366</c:v>
                </c:pt>
                <c:pt idx="57">
                  <c:v>-19.643975903614457</c:v>
                </c:pt>
                <c:pt idx="58">
                  <c:v>-19.662048192771085</c:v>
                </c:pt>
                <c:pt idx="59">
                  <c:v>-19.680181818181818</c:v>
                </c:pt>
                <c:pt idx="60">
                  <c:v>-19.698363636363634</c:v>
                </c:pt>
                <c:pt idx="61">
                  <c:v>-19.716545454545454</c:v>
                </c:pt>
                <c:pt idx="62">
                  <c:v>-19.734727272727273</c:v>
                </c:pt>
                <c:pt idx="63">
                  <c:v>-19.752909090909093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1E4F-48F0-98BD-B294EEA8CE8B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H (Ga)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-60.735090909090907</c:v>
                </c:pt>
                <c:pt idx="1">
                  <c:v>-58.673878787878785</c:v>
                </c:pt>
                <c:pt idx="2">
                  <c:v>-56.631454545454545</c:v>
                </c:pt>
                <c:pt idx="3">
                  <c:v>-54.589030303030299</c:v>
                </c:pt>
                <c:pt idx="4">
                  <c:v>-52.560166414523451</c:v>
                </c:pt>
                <c:pt idx="5">
                  <c:v>-50.687246596066565</c:v>
                </c:pt>
                <c:pt idx="6">
                  <c:v>-48.814326777609679</c:v>
                </c:pt>
                <c:pt idx="7">
                  <c:v>-46.9414069591528</c:v>
                </c:pt>
                <c:pt idx="8">
                  <c:v>-45.068487140695915</c:v>
                </c:pt>
                <c:pt idx="9">
                  <c:v>-43.195567322239029</c:v>
                </c:pt>
                <c:pt idx="10">
                  <c:v>-41.32264750378215</c:v>
                </c:pt>
                <c:pt idx="11">
                  <c:v>-39.589393939393936</c:v>
                </c:pt>
                <c:pt idx="12">
                  <c:v>-38.013636363636365</c:v>
                </c:pt>
                <c:pt idx="13">
                  <c:v>-36.542242424242424</c:v>
                </c:pt>
                <c:pt idx="14">
                  <c:v>-35.117771084337356</c:v>
                </c:pt>
                <c:pt idx="15">
                  <c:v>-33.810542168674701</c:v>
                </c:pt>
                <c:pt idx="16">
                  <c:v>-32.561090909090908</c:v>
                </c:pt>
                <c:pt idx="17">
                  <c:v>-31.367151515151512</c:v>
                </c:pt>
                <c:pt idx="18">
                  <c:v>-30.256606060606057</c:v>
                </c:pt>
                <c:pt idx="19">
                  <c:v>-29.173636363636362</c:v>
                </c:pt>
                <c:pt idx="20">
                  <c:v>-28.143333333333331</c:v>
                </c:pt>
                <c:pt idx="21">
                  <c:v>-27.143575757575757</c:v>
                </c:pt>
                <c:pt idx="22">
                  <c:v>-26.167818181818177</c:v>
                </c:pt>
                <c:pt idx="23">
                  <c:v>-25.252228915662648</c:v>
                </c:pt>
                <c:pt idx="24">
                  <c:v>-24.354848484848485</c:v>
                </c:pt>
                <c:pt idx="25">
                  <c:v>-23.494242424242422</c:v>
                </c:pt>
                <c:pt idx="26">
                  <c:v>-22.673636363636362</c:v>
                </c:pt>
                <c:pt idx="27">
                  <c:v>-21.879696969696969</c:v>
                </c:pt>
                <c:pt idx="28">
                  <c:v>-21.149090909090908</c:v>
                </c:pt>
                <c:pt idx="29">
                  <c:v>-20.438181818181818</c:v>
                </c:pt>
                <c:pt idx="30">
                  <c:v>-19.765454545454546</c:v>
                </c:pt>
                <c:pt idx="31">
                  <c:v>-19.126686746987954</c:v>
                </c:pt>
                <c:pt idx="32">
                  <c:v>-18.506204819277109</c:v>
                </c:pt>
                <c:pt idx="33">
                  <c:v>-17.918000000000003</c:v>
                </c:pt>
                <c:pt idx="34">
                  <c:v>-17.342484848484851</c:v>
                </c:pt>
                <c:pt idx="35">
                  <c:v>-16.7909696969697</c:v>
                </c:pt>
                <c:pt idx="36">
                  <c:v>-16.252000000000002</c:v>
                </c:pt>
                <c:pt idx="37">
                  <c:v>-15.721119515885023</c:v>
                </c:pt>
                <c:pt idx="38">
                  <c:v>-15.249107413010591</c:v>
                </c:pt>
                <c:pt idx="39">
                  <c:v>-14.77709531013616</c:v>
                </c:pt>
                <c:pt idx="40">
                  <c:v>-14.305083207261726</c:v>
                </c:pt>
                <c:pt idx="41">
                  <c:v>-13.833071104387294</c:v>
                </c:pt>
                <c:pt idx="42">
                  <c:v>-13.36105900151286</c:v>
                </c:pt>
                <c:pt idx="43">
                  <c:v>-12.889046898638428</c:v>
                </c:pt>
                <c:pt idx="44">
                  <c:v>-12.457367624810892</c:v>
                </c:pt>
                <c:pt idx="45">
                  <c:v>-12.079152798789712</c:v>
                </c:pt>
                <c:pt idx="46">
                  <c:v>-11.700937972768532</c:v>
                </c:pt>
                <c:pt idx="47">
                  <c:v>-11.322723146747352</c:v>
                </c:pt>
                <c:pt idx="48">
                  <c:v>-10.944508320726172</c:v>
                </c:pt>
                <c:pt idx="49">
                  <c:v>-10.56629349470499</c:v>
                </c:pt>
                <c:pt idx="50">
                  <c:v>-10.18807866868381</c:v>
                </c:pt>
                <c:pt idx="51">
                  <c:v>-9.9633303030303022</c:v>
                </c:pt>
                <c:pt idx="52">
                  <c:v>-9.7722696969696958</c:v>
                </c:pt>
                <c:pt idx="53">
                  <c:v>-9.5812090909090895</c:v>
                </c:pt>
                <c:pt idx="54">
                  <c:v>-9.3901484848484831</c:v>
                </c:pt>
                <c:pt idx="55">
                  <c:v>-9.1990878787878785</c:v>
                </c:pt>
                <c:pt idx="56">
                  <c:v>-9.0080272727272721</c:v>
                </c:pt>
                <c:pt idx="57">
                  <c:v>-8.8458795180722891</c:v>
                </c:pt>
                <c:pt idx="58">
                  <c:v>-8.7862409638554215</c:v>
                </c:pt>
                <c:pt idx="59">
                  <c:v>-8.7443878787878795</c:v>
                </c:pt>
                <c:pt idx="60">
                  <c:v>-8.7165090909090921</c:v>
                </c:pt>
                <c:pt idx="61">
                  <c:v>-8.7068303030303031</c:v>
                </c:pt>
                <c:pt idx="62">
                  <c:v>-8.7021030303030305</c:v>
                </c:pt>
                <c:pt idx="63">
                  <c:v>-8.7063454545454544</c:v>
                </c:pt>
                <c:pt idx="64">
                  <c:v>-8.7153939393939392</c:v>
                </c:pt>
                <c:pt idx="65">
                  <c:v>-8.727515151515151</c:v>
                </c:pt>
                <c:pt idx="66">
                  <c:v>-8.7430361445783138</c:v>
                </c:pt>
                <c:pt idx="67">
                  <c:v>-8.7596363636363641</c:v>
                </c:pt>
                <c:pt idx="68">
                  <c:v>-8.7784242424242418</c:v>
                </c:pt>
                <c:pt idx="69">
                  <c:v>-8.798</c:v>
                </c:pt>
                <c:pt idx="70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1E4F-48F0-98BD-B294EEA8CE8B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-15.805636363636363</c:v>
                </c:pt>
                <c:pt idx="1">
                  <c:v>-15.261999999999999</c:v>
                </c:pt>
                <c:pt idx="2">
                  <c:v>-14.661999999999999</c:v>
                </c:pt>
                <c:pt idx="3">
                  <c:v>-14.004484848484848</c:v>
                </c:pt>
                <c:pt idx="4">
                  <c:v>-13.326287443267777</c:v>
                </c:pt>
                <c:pt idx="5">
                  <c:v>-12.654880484114978</c:v>
                </c:pt>
                <c:pt idx="6">
                  <c:v>-11.983473524962179</c:v>
                </c:pt>
                <c:pt idx="7">
                  <c:v>-11.31206656580938</c:v>
                </c:pt>
                <c:pt idx="8">
                  <c:v>-10.64065960665658</c:v>
                </c:pt>
                <c:pt idx="9">
                  <c:v>-9.969252647503783</c:v>
                </c:pt>
                <c:pt idx="10">
                  <c:v>-9.2978456883509839</c:v>
                </c:pt>
                <c:pt idx="11">
                  <c:v>-8.67908484848485</c:v>
                </c:pt>
                <c:pt idx="12">
                  <c:v>-8.1196909090909095</c:v>
                </c:pt>
                <c:pt idx="13">
                  <c:v>-7.619436363636364</c:v>
                </c:pt>
                <c:pt idx="14">
                  <c:v>-7.1476144578313257</c:v>
                </c:pt>
                <c:pt idx="15">
                  <c:v>-6.7512289156626508</c:v>
                </c:pt>
                <c:pt idx="16">
                  <c:v>-6.4021454545454546</c:v>
                </c:pt>
                <c:pt idx="17">
                  <c:v>-6.09850909090909</c:v>
                </c:pt>
                <c:pt idx="18">
                  <c:v>-5.8730545454545453</c:v>
                </c:pt>
                <c:pt idx="19">
                  <c:v>-5.6767454545454541</c:v>
                </c:pt>
                <c:pt idx="20">
                  <c:v>-5.5421999999999993</c:v>
                </c:pt>
                <c:pt idx="21">
                  <c:v>-5.4426121212121208</c:v>
                </c:pt>
                <c:pt idx="22">
                  <c:v>-5.3704909090909085</c:v>
                </c:pt>
                <c:pt idx="23">
                  <c:v>-5.3393313253012051</c:v>
                </c:pt>
                <c:pt idx="24">
                  <c:v>-5.319</c:v>
                </c:pt>
                <c:pt idx="25">
                  <c:v>-5.319</c:v>
                </c:pt>
                <c:pt idx="26">
                  <c:v>-5.3280909090909088</c:v>
                </c:pt>
                <c:pt idx="27">
                  <c:v>-5.3432424242424243</c:v>
                </c:pt>
                <c:pt idx="28">
                  <c:v>-5.3641515151515149</c:v>
                </c:pt>
                <c:pt idx="29">
                  <c:v>-5.3860909090909086</c:v>
                </c:pt>
                <c:pt idx="30">
                  <c:v>-5.4097272727272729</c:v>
                </c:pt>
                <c:pt idx="31">
                  <c:v>-5.4340542168674695</c:v>
                </c:pt>
                <c:pt idx="32">
                  <c:v>-5.4587530120481924</c:v>
                </c:pt>
                <c:pt idx="33">
                  <c:v>-5.4829999999999997</c:v>
                </c:pt>
                <c:pt idx="34">
                  <c:v>-5.5074484848484841</c:v>
                </c:pt>
                <c:pt idx="35">
                  <c:v>-5.5322969696969695</c:v>
                </c:pt>
                <c:pt idx="36">
                  <c:v>-5.5567272727272723</c:v>
                </c:pt>
                <c:pt idx="37">
                  <c:v>-5.5809863842662635</c:v>
                </c:pt>
                <c:pt idx="38">
                  <c:v>-5.6056459909228442</c:v>
                </c:pt>
                <c:pt idx="39">
                  <c:v>-5.6303055975794249</c:v>
                </c:pt>
                <c:pt idx="40">
                  <c:v>-5.6549652042360066</c:v>
                </c:pt>
                <c:pt idx="41">
                  <c:v>-5.6796248108925873</c:v>
                </c:pt>
                <c:pt idx="42">
                  <c:v>-5.704284417549168</c:v>
                </c:pt>
                <c:pt idx="43">
                  <c:v>-5.7289440242057488</c:v>
                </c:pt>
                <c:pt idx="44">
                  <c:v>-5.7543192133131624</c:v>
                </c:pt>
                <c:pt idx="45">
                  <c:v>-5.7806429652042359</c:v>
                </c:pt>
                <c:pt idx="46">
                  <c:v>-5.8069667170953103</c:v>
                </c:pt>
                <c:pt idx="47">
                  <c:v>-5.8332904689863847</c:v>
                </c:pt>
                <c:pt idx="48">
                  <c:v>-5.8596142208774582</c:v>
                </c:pt>
                <c:pt idx="49">
                  <c:v>-5.8859379727685326</c:v>
                </c:pt>
                <c:pt idx="50">
                  <c:v>-5.912261724659607</c:v>
                </c:pt>
                <c:pt idx="51">
                  <c:v>-5.942966666666667</c:v>
                </c:pt>
                <c:pt idx="52">
                  <c:v>-5.9746333333333332</c:v>
                </c:pt>
                <c:pt idx="53">
                  <c:v>-6.0063000000000004</c:v>
                </c:pt>
                <c:pt idx="54">
                  <c:v>-6.0379666666666667</c:v>
                </c:pt>
                <c:pt idx="55">
                  <c:v>-6.0696333333333339</c:v>
                </c:pt>
                <c:pt idx="56">
                  <c:v>-6.1013000000000002</c:v>
                </c:pt>
                <c:pt idx="57">
                  <c:v>-6.132493975903615</c:v>
                </c:pt>
                <c:pt idx="58">
                  <c:v>-6.1620120481927714</c:v>
                </c:pt>
                <c:pt idx="59">
                  <c:v>-6.190612121212121</c:v>
                </c:pt>
                <c:pt idx="60">
                  <c:v>-6.2184909090909093</c:v>
                </c:pt>
                <c:pt idx="61">
                  <c:v>-6.2441636363636368</c:v>
                </c:pt>
                <c:pt idx="62">
                  <c:v>-6.2693030303030302</c:v>
                </c:pt>
                <c:pt idx="63">
                  <c:v>-6.2935454545454546</c:v>
                </c:pt>
                <c:pt idx="64">
                  <c:v>-6.3174181818181818</c:v>
                </c:pt>
                <c:pt idx="65">
                  <c:v>-6.3410545454545453</c:v>
                </c:pt>
                <c:pt idx="66">
                  <c:v>-6.363397590361445</c:v>
                </c:pt>
                <c:pt idx="67">
                  <c:v>-6.385727272727272</c:v>
                </c:pt>
                <c:pt idx="68">
                  <c:v>-6.4081515151515154</c:v>
                </c:pt>
                <c:pt idx="69">
                  <c:v>-6.4301818181818184</c:v>
                </c:pt>
                <c:pt idx="70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1E4F-48F0-98BD-B294EEA8CE8B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  <c:pt idx="0">
                  <c:v>H (Se)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  <c:pt idx="0">
                  <c:v>-22.065575757575758</c:v>
                </c:pt>
                <c:pt idx="1">
                  <c:v>-21.674060606060607</c:v>
                </c:pt>
                <c:pt idx="2">
                  <c:v>-21.395272727272726</c:v>
                </c:pt>
                <c:pt idx="3">
                  <c:v>-21.244787878787879</c:v>
                </c:pt>
                <c:pt idx="4">
                  <c:v>-21.157019667170953</c:v>
                </c:pt>
                <c:pt idx="5">
                  <c:v>-21.244765506807866</c:v>
                </c:pt>
                <c:pt idx="6">
                  <c:v>-21.332511346444779</c:v>
                </c:pt>
                <c:pt idx="7">
                  <c:v>-21.420257186081695</c:v>
                </c:pt>
                <c:pt idx="8">
                  <c:v>-21.508003025718608</c:v>
                </c:pt>
                <c:pt idx="9">
                  <c:v>-21.595748865355521</c:v>
                </c:pt>
                <c:pt idx="10">
                  <c:v>-21.683494704992437</c:v>
                </c:pt>
                <c:pt idx="11">
                  <c:v>-21.792666666666666</c:v>
                </c:pt>
                <c:pt idx="12">
                  <c:v>-21.925999999999998</c:v>
                </c:pt>
                <c:pt idx="13">
                  <c:v>-22.049393939393937</c:v>
                </c:pt>
                <c:pt idx="14">
                  <c:v>-22.167409638554215</c:v>
                </c:pt>
                <c:pt idx="15">
                  <c:v>-22.269819277108432</c:v>
                </c:pt>
                <c:pt idx="16">
                  <c:v>-22.363272727272729</c:v>
                </c:pt>
                <c:pt idx="17">
                  <c:v>-22.448121212121212</c:v>
                </c:pt>
                <c:pt idx="18">
                  <c:v>-22.532969696969698</c:v>
                </c:pt>
                <c:pt idx="19">
                  <c:v>-22.620363636363638</c:v>
                </c:pt>
                <c:pt idx="20">
                  <c:v>-22.717333333333336</c:v>
                </c:pt>
                <c:pt idx="21">
                  <c:v>-22.82448484848485</c:v>
                </c:pt>
                <c:pt idx="22">
                  <c:v>-22.939636363636364</c:v>
                </c:pt>
                <c:pt idx="23">
                  <c:v>-23.059638554216868</c:v>
                </c:pt>
                <c:pt idx="24">
                  <c:v>-23.183333333333334</c:v>
                </c:pt>
                <c:pt idx="25">
                  <c:v>-23.316666666666666</c:v>
                </c:pt>
                <c:pt idx="26">
                  <c:v>-23.453636363636363</c:v>
                </c:pt>
                <c:pt idx="27">
                  <c:v>-23.593030303030304</c:v>
                </c:pt>
                <c:pt idx="28">
                  <c:v>-23.738181818181818</c:v>
                </c:pt>
                <c:pt idx="29">
                  <c:v>-23.881818181818183</c:v>
                </c:pt>
                <c:pt idx="30">
                  <c:v>-24.02121212121212</c:v>
                </c:pt>
                <c:pt idx="31">
                  <c:v>-24.163975903614457</c:v>
                </c:pt>
                <c:pt idx="32">
                  <c:v>-24.308554216867467</c:v>
                </c:pt>
                <c:pt idx="33">
                  <c:v>-24.448</c:v>
                </c:pt>
                <c:pt idx="34">
                  <c:v>-24.587393939393937</c:v>
                </c:pt>
                <c:pt idx="35">
                  <c:v>-24.726787878787878</c:v>
                </c:pt>
                <c:pt idx="36">
                  <c:v>-24.866181818181818</c:v>
                </c:pt>
                <c:pt idx="37">
                  <c:v>-25.005446293494703</c:v>
                </c:pt>
                <c:pt idx="38">
                  <c:v>-25.141603630862328</c:v>
                </c:pt>
                <c:pt idx="39">
                  <c:v>-25.277760968229956</c:v>
                </c:pt>
                <c:pt idx="40">
                  <c:v>-25.41391830559758</c:v>
                </c:pt>
                <c:pt idx="41">
                  <c:v>-25.550075642965204</c:v>
                </c:pt>
                <c:pt idx="42">
                  <c:v>-25.686232980332829</c:v>
                </c:pt>
                <c:pt idx="43">
                  <c:v>-25.822390317700453</c:v>
                </c:pt>
                <c:pt idx="44">
                  <c:v>-25.955295007564295</c:v>
                </c:pt>
                <c:pt idx="45">
                  <c:v>-26.083888048411495</c:v>
                </c:pt>
                <c:pt idx="46">
                  <c:v>-26.212481089258699</c:v>
                </c:pt>
                <c:pt idx="47">
                  <c:v>-26.341074130105898</c:v>
                </c:pt>
                <c:pt idx="48">
                  <c:v>-26.469667170953102</c:v>
                </c:pt>
                <c:pt idx="49">
                  <c:v>-26.598260211800302</c:v>
                </c:pt>
                <c:pt idx="50">
                  <c:v>-26.726853252647505</c:v>
                </c:pt>
                <c:pt idx="51">
                  <c:v>-26.849393939393941</c:v>
                </c:pt>
                <c:pt idx="52">
                  <c:v>-26.970606060606062</c:v>
                </c:pt>
                <c:pt idx="53">
                  <c:v>-27.091818181818184</c:v>
                </c:pt>
                <c:pt idx="54">
                  <c:v>-27.213030303030305</c:v>
                </c:pt>
                <c:pt idx="55">
                  <c:v>-27.334242424242426</c:v>
                </c:pt>
                <c:pt idx="56">
                  <c:v>-27.455454545454547</c:v>
                </c:pt>
                <c:pt idx="57">
                  <c:v>-27.576506024096386</c:v>
                </c:pt>
                <c:pt idx="58">
                  <c:v>-27.69698795180723</c:v>
                </c:pt>
                <c:pt idx="59">
                  <c:v>-27.817878787878787</c:v>
                </c:pt>
                <c:pt idx="60">
                  <c:v>-27.939090909090908</c:v>
                </c:pt>
                <c:pt idx="61">
                  <c:v>-28.060303030303029</c:v>
                </c:pt>
                <c:pt idx="62">
                  <c:v>-28.18151515151515</c:v>
                </c:pt>
                <c:pt idx="63">
                  <c:v>-28.302727272727275</c:v>
                </c:pt>
                <c:pt idx="64">
                  <c:v>-28.420242424242424</c:v>
                </c:pt>
                <c:pt idx="65">
                  <c:v>-28.535393939393938</c:v>
                </c:pt>
                <c:pt idx="66">
                  <c:v>-28.655662650602409</c:v>
                </c:pt>
                <c:pt idx="67">
                  <c:v>-28.776363636363634</c:v>
                </c:pt>
                <c:pt idx="68">
                  <c:v>-28.897575757575758</c:v>
                </c:pt>
                <c:pt idx="69">
                  <c:v>-29.014848484848486</c:v>
                </c:pt>
                <c:pt idx="70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1E4F-48F0-98BD-B294EEA8CE8B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1E4F-48F0-98BD-B294EEA8CE8B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1E4F-48F0-98BD-B294EEA8CE8B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1E4F-48F0-98BD-B294EEA8CE8B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1E4F-48F0-98BD-B294EEA8CE8B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1E4F-48F0-98BD-B294EEA8CE8B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1E4F-48F0-98BD-B294EEA8CE8B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1E4F-48F0-98BD-B294EEA8CE8B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1E4F-48F0-98BD-B294EEA8CE8B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1E4F-48F0-98BD-B294EEA8CE8B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1E4F-48F0-98BD-B294EEA8CE8B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1E4F-48F0-98BD-B294EEA8CE8B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  <c:pt idx="0">
                  <c:v>End2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1E4F-48F0-98BD-B294EEA8C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223926127373632"/>
          <c:y val="1.366381842399151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4.0122484763636409E-11</c:v>
                </c:pt>
                <c:pt idx="1">
                  <c:v>4.4496089090909203E-10</c:v>
                </c:pt>
                <c:pt idx="2">
                  <c:v>1.4468027090909102E-9</c:v>
                </c:pt>
                <c:pt idx="3">
                  <c:v>1.5836322181818206E-7</c:v>
                </c:pt>
                <c:pt idx="4">
                  <c:v>5.8185203482425066E-3</c:v>
                </c:pt>
                <c:pt idx="5">
                  <c:v>7.8545577451272802E-2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  <c:pt idx="21">
                  <c:v>0.20145454545454577</c:v>
                </c:pt>
                <c:pt idx="22">
                  <c:v>0.34690909090909122</c:v>
                </c:pt>
                <c:pt idx="23">
                  <c:v>0.36</c:v>
                </c:pt>
                <c:pt idx="24">
                  <c:v>0.36</c:v>
                </c:pt>
                <c:pt idx="25">
                  <c:v>0.36</c:v>
                </c:pt>
                <c:pt idx="26">
                  <c:v>0.36</c:v>
                </c:pt>
                <c:pt idx="27">
                  <c:v>0.36</c:v>
                </c:pt>
                <c:pt idx="28">
                  <c:v>0.36</c:v>
                </c:pt>
                <c:pt idx="29">
                  <c:v>0.36727272727272725</c:v>
                </c:pt>
                <c:pt idx="30">
                  <c:v>0.39151515151515154</c:v>
                </c:pt>
                <c:pt idx="31">
                  <c:v>0.4</c:v>
                </c:pt>
                <c:pt idx="32">
                  <c:v>0.4</c:v>
                </c:pt>
                <c:pt idx="33">
                  <c:v>0.4</c:v>
                </c:pt>
                <c:pt idx="34">
                  <c:v>0.4</c:v>
                </c:pt>
                <c:pt idx="35">
                  <c:v>0.4</c:v>
                </c:pt>
                <c:pt idx="36">
                  <c:v>0.4</c:v>
                </c:pt>
                <c:pt idx="37">
                  <c:v>0.4</c:v>
                </c:pt>
                <c:pt idx="38">
                  <c:v>0.4</c:v>
                </c:pt>
                <c:pt idx="39">
                  <c:v>0.4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  <c:pt idx="46">
                  <c:v>0.4</c:v>
                </c:pt>
                <c:pt idx="47">
                  <c:v>0.4</c:v>
                </c:pt>
                <c:pt idx="48">
                  <c:v>0.4</c:v>
                </c:pt>
                <c:pt idx="49">
                  <c:v>0.4</c:v>
                </c:pt>
                <c:pt idx="50">
                  <c:v>0.4</c:v>
                </c:pt>
                <c:pt idx="51">
                  <c:v>0.43881333333333356</c:v>
                </c:pt>
                <c:pt idx="52">
                  <c:v>0.4782957575757576</c:v>
                </c:pt>
                <c:pt idx="53">
                  <c:v>0.47944727272727272</c:v>
                </c:pt>
                <c:pt idx="54">
                  <c:v>0.48</c:v>
                </c:pt>
                <c:pt idx="55">
                  <c:v>0.48</c:v>
                </c:pt>
                <c:pt idx="56">
                  <c:v>0.48</c:v>
                </c:pt>
                <c:pt idx="57">
                  <c:v>0.48</c:v>
                </c:pt>
                <c:pt idx="58">
                  <c:v>0.48</c:v>
                </c:pt>
                <c:pt idx="59">
                  <c:v>0.48</c:v>
                </c:pt>
                <c:pt idx="60">
                  <c:v>0.48</c:v>
                </c:pt>
                <c:pt idx="61">
                  <c:v>0.48</c:v>
                </c:pt>
                <c:pt idx="62">
                  <c:v>0.48</c:v>
                </c:pt>
                <c:pt idx="63">
                  <c:v>0.48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681-49BA-8609-3902CD5A10D8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9.4775333333333184E-34</c:v>
                </c:pt>
                <c:pt idx="9">
                  <c:v>3.7209473377436009E-27</c:v>
                </c:pt>
                <c:pt idx="10">
                  <c:v>3.4728824894773901E-26</c:v>
                </c:pt>
                <c:pt idx="11">
                  <c:v>1.9889319213313171E-11</c:v>
                </c:pt>
                <c:pt idx="12">
                  <c:v>6.2207019667170965E-11</c:v>
                </c:pt>
                <c:pt idx="13">
                  <c:v>1.0452472012102877E-10</c:v>
                </c:pt>
                <c:pt idx="14">
                  <c:v>1.4684242057488658E-10</c:v>
                </c:pt>
                <c:pt idx="15">
                  <c:v>1.8916012102874438E-10</c:v>
                </c:pt>
                <c:pt idx="16">
                  <c:v>2.3147782148260218E-10</c:v>
                </c:pt>
                <c:pt idx="17">
                  <c:v>2.7379552193645998E-10</c:v>
                </c:pt>
                <c:pt idx="18">
                  <c:v>8.7112896969697131E-10</c:v>
                </c:pt>
                <c:pt idx="19">
                  <c:v>5.1064036363636761E-9</c:v>
                </c:pt>
                <c:pt idx="20">
                  <c:v>2.2687373333333375E-8</c:v>
                </c:pt>
                <c:pt idx="21">
                  <c:v>8.145456555216396E-2</c:v>
                </c:pt>
                <c:pt idx="22">
                  <c:v>0.22690909256852759</c:v>
                </c:pt>
                <c:pt idx="23">
                  <c:v>0.24</c:v>
                </c:pt>
                <c:pt idx="24">
                  <c:v>0.24</c:v>
                </c:pt>
                <c:pt idx="25">
                  <c:v>0.24</c:v>
                </c:pt>
                <c:pt idx="26">
                  <c:v>0.24</c:v>
                </c:pt>
                <c:pt idx="27">
                  <c:v>0.24</c:v>
                </c:pt>
                <c:pt idx="28">
                  <c:v>0.24</c:v>
                </c:pt>
                <c:pt idx="29">
                  <c:v>0.24</c:v>
                </c:pt>
                <c:pt idx="30">
                  <c:v>0.24</c:v>
                </c:pt>
                <c:pt idx="31">
                  <c:v>0.24</c:v>
                </c:pt>
                <c:pt idx="32">
                  <c:v>0.24</c:v>
                </c:pt>
                <c:pt idx="33">
                  <c:v>0.24</c:v>
                </c:pt>
                <c:pt idx="34">
                  <c:v>0.24</c:v>
                </c:pt>
                <c:pt idx="35">
                  <c:v>0.24</c:v>
                </c:pt>
                <c:pt idx="36">
                  <c:v>0.24</c:v>
                </c:pt>
                <c:pt idx="37">
                  <c:v>0.24</c:v>
                </c:pt>
                <c:pt idx="38">
                  <c:v>0.24</c:v>
                </c:pt>
                <c:pt idx="39">
                  <c:v>0.24</c:v>
                </c:pt>
                <c:pt idx="40">
                  <c:v>0.24</c:v>
                </c:pt>
                <c:pt idx="41">
                  <c:v>0.24</c:v>
                </c:pt>
                <c:pt idx="42">
                  <c:v>0.24</c:v>
                </c:pt>
                <c:pt idx="43">
                  <c:v>0.24</c:v>
                </c:pt>
                <c:pt idx="44">
                  <c:v>0.24</c:v>
                </c:pt>
                <c:pt idx="45">
                  <c:v>0.24</c:v>
                </c:pt>
                <c:pt idx="46">
                  <c:v>0.24</c:v>
                </c:pt>
                <c:pt idx="47">
                  <c:v>0.24</c:v>
                </c:pt>
                <c:pt idx="48">
                  <c:v>0.24</c:v>
                </c:pt>
                <c:pt idx="49">
                  <c:v>0.24</c:v>
                </c:pt>
                <c:pt idx="50">
                  <c:v>0.24</c:v>
                </c:pt>
                <c:pt idx="51">
                  <c:v>0.23194909090909085</c:v>
                </c:pt>
                <c:pt idx="52">
                  <c:v>0.22352078787878787</c:v>
                </c:pt>
                <c:pt idx="53">
                  <c:v>0.22187836363636362</c:v>
                </c:pt>
                <c:pt idx="54">
                  <c:v>0.22027060606060606</c:v>
                </c:pt>
                <c:pt idx="55">
                  <c:v>0.21869484848484846</c:v>
                </c:pt>
                <c:pt idx="56">
                  <c:v>0.21694509090909089</c:v>
                </c:pt>
                <c:pt idx="57">
                  <c:v>0.21502680786686837</c:v>
                </c:pt>
                <c:pt idx="58">
                  <c:v>0.21260320726172466</c:v>
                </c:pt>
                <c:pt idx="59">
                  <c:v>0.21017960665658092</c:v>
                </c:pt>
                <c:pt idx="60">
                  <c:v>0.20775600605143721</c:v>
                </c:pt>
                <c:pt idx="61">
                  <c:v>0.2053324054462935</c:v>
                </c:pt>
                <c:pt idx="62">
                  <c:v>0.20290880484114976</c:v>
                </c:pt>
                <c:pt idx="63">
                  <c:v>0.20048520423600605</c:v>
                </c:pt>
                <c:pt idx="64">
                  <c:v>0.19751036363636362</c:v>
                </c:pt>
                <c:pt idx="65">
                  <c:v>0.19418309090909089</c:v>
                </c:pt>
                <c:pt idx="66">
                  <c:v>0.19040084337349397</c:v>
                </c:pt>
                <c:pt idx="67">
                  <c:v>0.18640909090909091</c:v>
                </c:pt>
                <c:pt idx="68">
                  <c:v>0.18197272727272726</c:v>
                </c:pt>
                <c:pt idx="69">
                  <c:v>0.17705181818181817</c:v>
                </c:pt>
                <c:pt idx="70">
                  <c:v>0.17186999999999999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C681-49BA-8609-3902CD5A10D8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C681-49BA-8609-3902CD5A10D8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0.04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3.2727300083636363E-2</c:v>
                </c:pt>
                <c:pt idx="30">
                  <c:v>8.4849670290909132E-3</c:v>
                </c:pt>
                <c:pt idx="31">
                  <c:v>9.2012587349397678E-8</c:v>
                </c:pt>
                <c:pt idx="32">
                  <c:v>2.0934909638556205E-9</c:v>
                </c:pt>
                <c:pt idx="33">
                  <c:v>6.0522000000000135E-10</c:v>
                </c:pt>
                <c:pt idx="34">
                  <c:v>1.7152876363636392E-10</c:v>
                </c:pt>
                <c:pt idx="35">
                  <c:v>5.1025127272727563E-11</c:v>
                </c:pt>
                <c:pt idx="36">
                  <c:v>9.3014254545454674E-12</c:v>
                </c:pt>
                <c:pt idx="37">
                  <c:v>3.2052853252647528E-12</c:v>
                </c:pt>
                <c:pt idx="38">
                  <c:v>2.7174184568835376E-12</c:v>
                </c:pt>
                <c:pt idx="39">
                  <c:v>2.2295515885023228E-12</c:v>
                </c:pt>
                <c:pt idx="40">
                  <c:v>1.741684720121108E-12</c:v>
                </c:pt>
                <c:pt idx="41">
                  <c:v>1.2538178517398928E-12</c:v>
                </c:pt>
                <c:pt idx="42">
                  <c:v>7.65950983358678E-13</c:v>
                </c:pt>
                <c:pt idx="43">
                  <c:v>2.780841149774632E-13</c:v>
                </c:pt>
                <c:pt idx="44">
                  <c:v>1.2466971230242472E-25</c:v>
                </c:pt>
                <c:pt idx="45">
                  <c:v>2.2482996726667122E-26</c:v>
                </c:pt>
                <c:pt idx="46">
                  <c:v>1.011994545454551E-30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C681-49BA-8609-3902CD5A10D8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3.4433888048409526E-29</c:v>
                </c:pt>
                <c:pt idx="38">
                  <c:v>8.9528108925869658E-28</c:v>
                </c:pt>
                <c:pt idx="39">
                  <c:v>1.7561282904689835E-27</c:v>
                </c:pt>
                <c:pt idx="40">
                  <c:v>2.6169754916792708E-27</c:v>
                </c:pt>
                <c:pt idx="41">
                  <c:v>3.4778226928895578E-27</c:v>
                </c:pt>
                <c:pt idx="42">
                  <c:v>4.3386698940998448E-27</c:v>
                </c:pt>
                <c:pt idx="43">
                  <c:v>5.1995170953101317E-27</c:v>
                </c:pt>
                <c:pt idx="44">
                  <c:v>8.3405517818180944E-25</c:v>
                </c:pt>
                <c:pt idx="45">
                  <c:v>2.7604853599999911E-24</c:v>
                </c:pt>
                <c:pt idx="46">
                  <c:v>2.7552517636363479E-22</c:v>
                </c:pt>
                <c:pt idx="47">
                  <c:v>1.5058913939393614E-21</c:v>
                </c:pt>
                <c:pt idx="48">
                  <c:v>8.6335944242423924E-21</c:v>
                </c:pt>
                <c:pt idx="49">
                  <c:v>1.64338072289156E-19</c:v>
                </c:pt>
                <c:pt idx="50">
                  <c:v>4.8100072289156739E-19</c:v>
                </c:pt>
                <c:pt idx="51">
                  <c:v>3.0472341818181691E-19</c:v>
                </c:pt>
                <c:pt idx="52">
                  <c:v>2.0336121218275148E-10</c:v>
                </c:pt>
                <c:pt idx="53">
                  <c:v>1.3996036363835989E-9</c:v>
                </c:pt>
                <c:pt idx="54">
                  <c:v>1.0271487272727344E-8</c:v>
                </c:pt>
                <c:pt idx="55">
                  <c:v>2.6228578181818253E-8</c:v>
                </c:pt>
                <c:pt idx="56">
                  <c:v>3.5589381818181855E-8</c:v>
                </c:pt>
                <c:pt idx="57">
                  <c:v>4.2250305597579427E-8</c:v>
                </c:pt>
                <c:pt idx="58">
                  <c:v>4.2833512859304087E-8</c:v>
                </c:pt>
                <c:pt idx="59">
                  <c:v>4.3416720121028747E-8</c:v>
                </c:pt>
                <c:pt idx="60">
                  <c:v>4.3999927382753407E-8</c:v>
                </c:pt>
                <c:pt idx="61">
                  <c:v>4.4583134644478067E-8</c:v>
                </c:pt>
                <c:pt idx="62">
                  <c:v>4.5166341906202727E-8</c:v>
                </c:pt>
                <c:pt idx="63">
                  <c:v>4.5749549167927387E-8</c:v>
                </c:pt>
                <c:pt idx="64">
                  <c:v>4.4567345454545453E-8</c:v>
                </c:pt>
                <c:pt idx="65">
                  <c:v>4.2256436363636358E-8</c:v>
                </c:pt>
                <c:pt idx="66">
                  <c:v>2.6851999999999985E-8</c:v>
                </c:pt>
                <c:pt idx="67">
                  <c:v>1.3646309090909091E-8</c:v>
                </c:pt>
                <c:pt idx="68">
                  <c:v>6.8440060606060596E-9</c:v>
                </c:pt>
                <c:pt idx="69">
                  <c:v>2.9135448484848485E-9</c:v>
                </c:pt>
                <c:pt idx="70">
                  <c:v>5.2946000000000036E-10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C681-49BA-8609-3902CD5A10D8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0.11418181839080718</c:v>
                </c:pt>
                <c:pt idx="5">
                  <c:v>4.145454827589809E-2</c:v>
                </c:pt>
                <c:pt idx="6">
                  <c:v>3.2263518674698782E-9</c:v>
                </c:pt>
                <c:pt idx="7">
                  <c:v>7.0530969879518313E-10</c:v>
                </c:pt>
                <c:pt idx="8">
                  <c:v>6.9458380000000084E-11</c:v>
                </c:pt>
                <c:pt idx="9">
                  <c:v>5.0540360727272767E-12</c:v>
                </c:pt>
                <c:pt idx="10">
                  <c:v>1.7951700121212162E-12</c:v>
                </c:pt>
                <c:pt idx="11">
                  <c:v>6.3137963801403633E-14</c:v>
                </c:pt>
                <c:pt idx="12">
                  <c:v>5.2854908059709232E-14</c:v>
                </c:pt>
                <c:pt idx="13">
                  <c:v>4.2571852318014825E-14</c:v>
                </c:pt>
                <c:pt idx="14">
                  <c:v>3.2288796576320418E-14</c:v>
                </c:pt>
                <c:pt idx="15">
                  <c:v>2.200574083462601E-14</c:v>
                </c:pt>
                <c:pt idx="16">
                  <c:v>1.1722685092931603E-14</c:v>
                </c:pt>
                <c:pt idx="17">
                  <c:v>1.4396293512372023E-15</c:v>
                </c:pt>
                <c:pt idx="18">
                  <c:v>7.4087636363640254E-22</c:v>
                </c:pt>
                <c:pt idx="19">
                  <c:v>6.8757818181818073E-35</c:v>
                </c:pt>
                <c:pt idx="20">
                  <c:v>2.1009333333333221E-35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C681-49BA-8609-3902CD5A10D8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*GaSe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1.4189933333333312E-30</c:v>
                </c:pt>
                <c:pt idx="9">
                  <c:v>6.7565728649090263E-26</c:v>
                </c:pt>
                <c:pt idx="10">
                  <c:v>6.3058812822484776E-25</c:v>
                </c:pt>
                <c:pt idx="11">
                  <c:v>4.3909092293046825E-15</c:v>
                </c:pt>
                <c:pt idx="12">
                  <c:v>1.3733269289678517E-14</c:v>
                </c:pt>
                <c:pt idx="13">
                  <c:v>2.3075629350052353E-14</c:v>
                </c:pt>
                <c:pt idx="14">
                  <c:v>3.2417989410426183E-14</c:v>
                </c:pt>
                <c:pt idx="15">
                  <c:v>4.1760349470800024E-14</c:v>
                </c:pt>
                <c:pt idx="16">
                  <c:v>5.1102709531173858E-14</c:v>
                </c:pt>
                <c:pt idx="17">
                  <c:v>6.0445069591547691E-14</c:v>
                </c:pt>
                <c:pt idx="18">
                  <c:v>2.959639235151507E-14</c:v>
                </c:pt>
                <c:pt idx="19">
                  <c:v>4.9905163636572299E-17</c:v>
                </c:pt>
                <c:pt idx="20">
                  <c:v>1.5248800001202663E-17</c:v>
                </c:pt>
                <c:pt idx="21">
                  <c:v>1.0834599999999976E-27</c:v>
                </c:pt>
                <c:pt idx="22">
                  <c:v>8.9459999999997778E-29</c:v>
                </c:pt>
                <c:pt idx="23">
                  <c:v>2.1785180722891592E-18</c:v>
                </c:pt>
                <c:pt idx="24">
                  <c:v>6.5104548826424235E-11</c:v>
                </c:pt>
                <c:pt idx="25">
                  <c:v>3.2552272823612119E-10</c:v>
                </c:pt>
                <c:pt idx="26">
                  <c:v>5.4156209090909096E-9</c:v>
                </c:pt>
                <c:pt idx="27">
                  <c:v>1.3725505757575759E-8</c:v>
                </c:pt>
                <c:pt idx="28">
                  <c:v>9.1896484848484868E-8</c:v>
                </c:pt>
                <c:pt idx="29">
                  <c:v>1.4545576609999999E-2</c:v>
                </c:pt>
                <c:pt idx="30">
                  <c:v>6.3030334676666674E-2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  <c:pt idx="36">
                  <c:v>0.08</c:v>
                </c:pt>
                <c:pt idx="37">
                  <c:v>0.08</c:v>
                </c:pt>
                <c:pt idx="38">
                  <c:v>0.08</c:v>
                </c:pt>
                <c:pt idx="39">
                  <c:v>0.08</c:v>
                </c:pt>
                <c:pt idx="40">
                  <c:v>0.08</c:v>
                </c:pt>
                <c:pt idx="41">
                  <c:v>0.08</c:v>
                </c:pt>
                <c:pt idx="42">
                  <c:v>0.08</c:v>
                </c:pt>
                <c:pt idx="43">
                  <c:v>0.08</c:v>
                </c:pt>
                <c:pt idx="44">
                  <c:v>0.08</c:v>
                </c:pt>
                <c:pt idx="45">
                  <c:v>0.08</c:v>
                </c:pt>
                <c:pt idx="46">
                  <c:v>0.08</c:v>
                </c:pt>
                <c:pt idx="47">
                  <c:v>0.08</c:v>
                </c:pt>
                <c:pt idx="48">
                  <c:v>0.08</c:v>
                </c:pt>
                <c:pt idx="49">
                  <c:v>0.08</c:v>
                </c:pt>
                <c:pt idx="50">
                  <c:v>0.08</c:v>
                </c:pt>
                <c:pt idx="51">
                  <c:v>4.1186368484848267E-2</c:v>
                </c:pt>
                <c:pt idx="52">
                  <c:v>1.7037053191939343E-3</c:v>
                </c:pt>
                <c:pt idx="53">
                  <c:v>5.5256013798181294E-4</c:v>
                </c:pt>
                <c:pt idx="54">
                  <c:v>7.3314821818181544E-9</c:v>
                </c:pt>
                <c:pt idx="55">
                  <c:v>1.3324094545454276E-9</c:v>
                </c:pt>
                <c:pt idx="56">
                  <c:v>2.6120366918181658E-10</c:v>
                </c:pt>
                <c:pt idx="57">
                  <c:v>1.406090015128592E-14</c:v>
                </c:pt>
                <c:pt idx="58">
                  <c:v>1.1860446293494696E-14</c:v>
                </c:pt>
                <c:pt idx="59">
                  <c:v>9.6599924357034704E-15</c:v>
                </c:pt>
                <c:pt idx="60">
                  <c:v>7.4595385779122465E-15</c:v>
                </c:pt>
                <c:pt idx="61">
                  <c:v>5.2590847201210225E-15</c:v>
                </c:pt>
                <c:pt idx="62">
                  <c:v>3.058630862329797E-15</c:v>
                </c:pt>
                <c:pt idx="63">
                  <c:v>8.5817700453857299E-16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681-49BA-8609-3902CD5A10D8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*Ge[l]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9.8429803328290279E-33</c:v>
                </c:pt>
                <c:pt idx="12">
                  <c:v>3.078549167927382E-32</c:v>
                </c:pt>
                <c:pt idx="13">
                  <c:v>5.1728003025718609E-32</c:v>
                </c:pt>
                <c:pt idx="14">
                  <c:v>7.2670514372163404E-32</c:v>
                </c:pt>
                <c:pt idx="15">
                  <c:v>9.3613025718608199E-32</c:v>
                </c:pt>
                <c:pt idx="16">
                  <c:v>1.1455553706505298E-31</c:v>
                </c:pt>
                <c:pt idx="17">
                  <c:v>1.3549804841149778E-31</c:v>
                </c:pt>
                <c:pt idx="18">
                  <c:v>6.6278606060605875E-32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3.9242424242424246E-35</c:v>
                </c:pt>
                <c:pt idx="25">
                  <c:v>1.9621212121212122E-34</c:v>
                </c:pt>
                <c:pt idx="26">
                  <c:v>1.6481818181818182E-34</c:v>
                </c:pt>
                <c:pt idx="27">
                  <c:v>7.8484848484848385E-36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1.7481599999999957E-22</c:v>
                </c:pt>
                <c:pt idx="34">
                  <c:v>1.8245661625212001E-17</c:v>
                </c:pt>
                <c:pt idx="35">
                  <c:v>7.1908515346424115E-17</c:v>
                </c:pt>
                <c:pt idx="36">
                  <c:v>1.4228351650909046E-13</c:v>
                </c:pt>
                <c:pt idx="37">
                  <c:v>3.4509718608169414E-13</c:v>
                </c:pt>
                <c:pt idx="38">
                  <c:v>4.6952683812405417E-13</c:v>
                </c:pt>
                <c:pt idx="39">
                  <c:v>5.939564901664141E-13</c:v>
                </c:pt>
                <c:pt idx="40">
                  <c:v>7.1838614220877423E-13</c:v>
                </c:pt>
                <c:pt idx="41">
                  <c:v>8.4281579425113416E-13</c:v>
                </c:pt>
                <c:pt idx="42">
                  <c:v>9.6724544629349429E-13</c:v>
                </c:pt>
                <c:pt idx="43">
                  <c:v>1.0916750983358542E-12</c:v>
                </c:pt>
                <c:pt idx="44">
                  <c:v>1.0477066060606072E-12</c:v>
                </c:pt>
                <c:pt idx="45">
                  <c:v>7.8051266666666788E-13</c:v>
                </c:pt>
                <c:pt idx="46">
                  <c:v>4.0931352727272913E-13</c:v>
                </c:pt>
                <c:pt idx="47">
                  <c:v>5.6056281254545627E-14</c:v>
                </c:pt>
                <c:pt idx="48">
                  <c:v>1.9189213981818354E-14</c:v>
                </c:pt>
                <c:pt idx="49">
                  <c:v>1.303615663559395E-17</c:v>
                </c:pt>
                <c:pt idx="50">
                  <c:v>1.9885662930812397E-18</c:v>
                </c:pt>
                <c:pt idx="51">
                  <c:v>1.5809739393939309E-26</c:v>
                </c:pt>
                <c:pt idx="52">
                  <c:v>8.2071878787880986E-18</c:v>
                </c:pt>
                <c:pt idx="53">
                  <c:v>5.648476363636386E-17</c:v>
                </c:pt>
                <c:pt idx="54">
                  <c:v>6.3944296977903582E-11</c:v>
                </c:pt>
                <c:pt idx="55">
                  <c:v>1.869139456700248E-10</c:v>
                </c:pt>
                <c:pt idx="56">
                  <c:v>2.1600800000000007E-10</c:v>
                </c:pt>
                <c:pt idx="57">
                  <c:v>2.3325167927382764E-10</c:v>
                </c:pt>
                <c:pt idx="58">
                  <c:v>2.5821385779122553E-10</c:v>
                </c:pt>
                <c:pt idx="59">
                  <c:v>2.8317603630862337E-10</c:v>
                </c:pt>
                <c:pt idx="60">
                  <c:v>3.0813821482602127E-10</c:v>
                </c:pt>
                <c:pt idx="61">
                  <c:v>3.3310039334341916E-10</c:v>
                </c:pt>
                <c:pt idx="62">
                  <c:v>3.58062571860817E-10</c:v>
                </c:pt>
                <c:pt idx="63">
                  <c:v>3.8302475037821489E-10</c:v>
                </c:pt>
                <c:pt idx="64">
                  <c:v>8.6576509090909274E-10</c:v>
                </c:pt>
                <c:pt idx="65">
                  <c:v>1.6411832727272747E-9</c:v>
                </c:pt>
                <c:pt idx="66">
                  <c:v>2.2457132530120486E-9</c:v>
                </c:pt>
                <c:pt idx="67">
                  <c:v>3.036172727272727E-9</c:v>
                </c:pt>
                <c:pt idx="68">
                  <c:v>4.2770818181818183E-9</c:v>
                </c:pt>
                <c:pt idx="69">
                  <c:v>4.5253424242424245E-9</c:v>
                </c:pt>
                <c:pt idx="70">
                  <c:v>4.2391000000000004E-9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C681-49BA-8609-3902CD5A10D8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0.12581818181818188</c:v>
                </c:pt>
                <c:pt idx="5">
                  <c:v>0.19854545454545464</c:v>
                </c:pt>
                <c:pt idx="6">
                  <c:v>0.24</c:v>
                </c:pt>
                <c:pt idx="7">
                  <c:v>0.24</c:v>
                </c:pt>
                <c:pt idx="8">
                  <c:v>0.24</c:v>
                </c:pt>
                <c:pt idx="9">
                  <c:v>0.24</c:v>
                </c:pt>
                <c:pt idx="10">
                  <c:v>0.24</c:v>
                </c:pt>
                <c:pt idx="11">
                  <c:v>0.24</c:v>
                </c:pt>
                <c:pt idx="12">
                  <c:v>0.24</c:v>
                </c:pt>
                <c:pt idx="13">
                  <c:v>0.24</c:v>
                </c:pt>
                <c:pt idx="14">
                  <c:v>0.24</c:v>
                </c:pt>
                <c:pt idx="15">
                  <c:v>0.24</c:v>
                </c:pt>
                <c:pt idx="16">
                  <c:v>0.24</c:v>
                </c:pt>
                <c:pt idx="17">
                  <c:v>0.24</c:v>
                </c:pt>
                <c:pt idx="18">
                  <c:v>0.24</c:v>
                </c:pt>
                <c:pt idx="19">
                  <c:v>0.24</c:v>
                </c:pt>
                <c:pt idx="20">
                  <c:v>0.24</c:v>
                </c:pt>
                <c:pt idx="21">
                  <c:v>0.15854551267006028</c:v>
                </c:pt>
                <c:pt idx="22">
                  <c:v>1.3091071009454225E-2</c:v>
                </c:pt>
                <c:pt idx="23">
                  <c:v>7.8679505421686649E-8</c:v>
                </c:pt>
                <c:pt idx="24">
                  <c:v>2.0281442424242425E-9</c:v>
                </c:pt>
                <c:pt idx="25">
                  <c:v>6.3312121212121203E-10</c:v>
                </c:pt>
                <c:pt idx="26">
                  <c:v>4.7798545472282182E-11</c:v>
                </c:pt>
                <c:pt idx="27">
                  <c:v>2.2761212594191502E-12</c:v>
                </c:pt>
                <c:pt idx="28">
                  <c:v>2.0692848484848481E-20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9.8105999999999776E-27</c:v>
                </c:pt>
                <c:pt idx="34">
                  <c:v>1.0627163521212051E-23</c:v>
                </c:pt>
                <c:pt idx="35">
                  <c:v>4.1835435642424169E-23</c:v>
                </c:pt>
                <c:pt idx="36">
                  <c:v>5.2605876363636189E-21</c:v>
                </c:pt>
                <c:pt idx="37">
                  <c:v>1.2432308623298038E-20</c:v>
                </c:pt>
                <c:pt idx="38">
                  <c:v>1.0540024205748888E-20</c:v>
                </c:pt>
                <c:pt idx="39">
                  <c:v>8.647739788199739E-21</c:v>
                </c:pt>
                <c:pt idx="40">
                  <c:v>6.7554553706505879E-21</c:v>
                </c:pt>
                <c:pt idx="41">
                  <c:v>4.8631709531014383E-21</c:v>
                </c:pt>
                <c:pt idx="42">
                  <c:v>2.970886535552288E-21</c:v>
                </c:pt>
                <c:pt idx="43">
                  <c:v>1.0786021180031377E-21</c:v>
                </c:pt>
                <c:pt idx="44">
                  <c:v>8.3181818181818497E-35</c:v>
                </c:pt>
                <c:pt idx="45">
                  <c:v>1.5000000000000312E-35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C681-49BA-8609-3902CD5A10D8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Ga2Se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4.7752284417549078E-33</c:v>
                </c:pt>
                <c:pt idx="12">
                  <c:v>1.4935288956127075E-32</c:v>
                </c:pt>
                <c:pt idx="13">
                  <c:v>2.5095349470499246E-32</c:v>
                </c:pt>
                <c:pt idx="14">
                  <c:v>3.5255409984871412E-32</c:v>
                </c:pt>
                <c:pt idx="15">
                  <c:v>4.5415470499243583E-32</c:v>
                </c:pt>
                <c:pt idx="16">
                  <c:v>5.5575531013615749E-32</c:v>
                </c:pt>
                <c:pt idx="17">
                  <c:v>6.573559152798792E-32</c:v>
                </c:pt>
                <c:pt idx="18">
                  <c:v>4.1267968606060713E-30</c:v>
                </c:pt>
                <c:pt idx="19">
                  <c:v>9.4366327272728209E-29</c:v>
                </c:pt>
                <c:pt idx="20">
                  <c:v>5.0632026666666759E-28</c:v>
                </c:pt>
                <c:pt idx="21">
                  <c:v>1.6155261939394003E-26</c:v>
                </c:pt>
                <c:pt idx="22">
                  <c:v>4.3776122545454608E-26</c:v>
                </c:pt>
                <c:pt idx="23">
                  <c:v>1.3641382530120496E-24</c:v>
                </c:pt>
                <c:pt idx="24">
                  <c:v>1.7886618181818183E-23</c:v>
                </c:pt>
                <c:pt idx="25">
                  <c:v>7.9631890909090907E-23</c:v>
                </c:pt>
                <c:pt idx="26">
                  <c:v>1.3894463636363638E-21</c:v>
                </c:pt>
                <c:pt idx="27">
                  <c:v>3.5313069696969699E-21</c:v>
                </c:pt>
                <c:pt idx="28">
                  <c:v>6.236659393939394E-20</c:v>
                </c:pt>
                <c:pt idx="29">
                  <c:v>4.7974181818181818E-19</c:v>
                </c:pt>
                <c:pt idx="30">
                  <c:v>1.7267478787878789E-18</c:v>
                </c:pt>
                <c:pt idx="31">
                  <c:v>1.0295169879518059E-17</c:v>
                </c:pt>
                <c:pt idx="32">
                  <c:v>2.2805892771084307E-17</c:v>
                </c:pt>
                <c:pt idx="33">
                  <c:v>1.3901239999999973E-16</c:v>
                </c:pt>
                <c:pt idx="34">
                  <c:v>5.4968242424242201E-16</c:v>
                </c:pt>
                <c:pt idx="35">
                  <c:v>1.5299248484848462E-15</c:v>
                </c:pt>
                <c:pt idx="36">
                  <c:v>6.948247272727256E-15</c:v>
                </c:pt>
                <c:pt idx="37">
                  <c:v>1.3806361270801109E-13</c:v>
                </c:pt>
                <c:pt idx="38">
                  <c:v>3.2380539304084641E-12</c:v>
                </c:pt>
                <c:pt idx="39">
                  <c:v>6.3380442481089176E-12</c:v>
                </c:pt>
                <c:pt idx="40">
                  <c:v>9.4380345658093712E-12</c:v>
                </c:pt>
                <c:pt idx="41">
                  <c:v>1.2538024883509825E-11</c:v>
                </c:pt>
                <c:pt idx="42">
                  <c:v>1.5638015201210277E-11</c:v>
                </c:pt>
                <c:pt idx="43">
                  <c:v>1.8738005518910729E-11</c:v>
                </c:pt>
                <c:pt idx="44">
                  <c:v>4.2522303030302796E-11</c:v>
                </c:pt>
                <c:pt idx="45">
                  <c:v>9.3725333333333104E-11</c:v>
                </c:pt>
                <c:pt idx="46">
                  <c:v>2.933670909090898E-10</c:v>
                </c:pt>
                <c:pt idx="47">
                  <c:v>6.4269187878787391E-10</c:v>
                </c:pt>
                <c:pt idx="48">
                  <c:v>1.7135524848484799E-9</c:v>
                </c:pt>
                <c:pt idx="49">
                  <c:v>4.4081349397590272E-9</c:v>
                </c:pt>
                <c:pt idx="50">
                  <c:v>8.8617493975903763E-9</c:v>
                </c:pt>
                <c:pt idx="51">
                  <c:v>2.3639480000000078E-8</c:v>
                </c:pt>
                <c:pt idx="52">
                  <c:v>3.7759624242424239E-8</c:v>
                </c:pt>
                <c:pt idx="53">
                  <c:v>3.7604472727272728E-8</c:v>
                </c:pt>
                <c:pt idx="54">
                  <c:v>3.7317272727272722E-8</c:v>
                </c:pt>
                <c:pt idx="55">
                  <c:v>3.6908181818181817E-8</c:v>
                </c:pt>
                <c:pt idx="56">
                  <c:v>3.6274472727272722E-8</c:v>
                </c:pt>
                <c:pt idx="57">
                  <c:v>3.5496290468986376E-8</c:v>
                </c:pt>
                <c:pt idx="58">
                  <c:v>3.4324883509833575E-8</c:v>
                </c:pt>
                <c:pt idx="59">
                  <c:v>3.3153476550680781E-8</c:v>
                </c:pt>
                <c:pt idx="60">
                  <c:v>3.198206959152798E-8</c:v>
                </c:pt>
                <c:pt idx="61">
                  <c:v>3.0810662632375186E-8</c:v>
                </c:pt>
                <c:pt idx="62">
                  <c:v>2.9639255673222385E-8</c:v>
                </c:pt>
                <c:pt idx="63">
                  <c:v>2.8467848714069588E-8</c:v>
                </c:pt>
                <c:pt idx="64">
                  <c:v>2.709193333333333E-8</c:v>
                </c:pt>
                <c:pt idx="65">
                  <c:v>2.5585266666666661E-8</c:v>
                </c:pt>
                <c:pt idx="66">
                  <c:v>2.4030638554216866E-8</c:v>
                </c:pt>
                <c:pt idx="67">
                  <c:v>2.2464454545454547E-8</c:v>
                </c:pt>
                <c:pt idx="68">
                  <c:v>2.0875969696969696E-8</c:v>
                </c:pt>
                <c:pt idx="69">
                  <c:v>1.9294575757575758E-8</c:v>
                </c:pt>
                <c:pt idx="70">
                  <c:v>1.7716999999999999E-8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C681-49BA-8609-3902CD5A10D8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C681-49BA-8609-3902CD5A10D8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3.0726733333333287E-34</c:v>
                </c:pt>
                <c:pt idx="9">
                  <c:v>5.8647963509090362E-31</c:v>
                </c:pt>
                <c:pt idx="10">
                  <c:v>5.4683230108484795E-30</c:v>
                </c:pt>
                <c:pt idx="11">
                  <c:v>5.8107217087170821E-22</c:v>
                </c:pt>
                <c:pt idx="12">
                  <c:v>1.817395921544069E-21</c:v>
                </c:pt>
                <c:pt idx="13">
                  <c:v>3.0537196722164296E-21</c:v>
                </c:pt>
                <c:pt idx="14">
                  <c:v>4.2900434228887903E-21</c:v>
                </c:pt>
                <c:pt idx="15">
                  <c:v>5.5263671735611517E-21</c:v>
                </c:pt>
                <c:pt idx="16">
                  <c:v>6.7626909242335124E-21</c:v>
                </c:pt>
                <c:pt idx="17">
                  <c:v>7.999014674905873E-21</c:v>
                </c:pt>
                <c:pt idx="18">
                  <c:v>3.9157727284848382E-21</c:v>
                </c:pt>
                <c:pt idx="19">
                  <c:v>5.1409745454548644E-24</c:v>
                </c:pt>
                <c:pt idx="20">
                  <c:v>1.5708533333352117E-24</c:v>
                </c:pt>
                <c:pt idx="21">
                  <c:v>1.6992109090909056E-36</c:v>
                </c:pt>
                <c:pt idx="22">
                  <c:v>1.4030181818181455E-37</c:v>
                </c:pt>
                <c:pt idx="23">
                  <c:v>0</c:v>
                </c:pt>
                <c:pt idx="24">
                  <c:v>4.9569696969696967E-29</c:v>
                </c:pt>
                <c:pt idx="25">
                  <c:v>2.4784848484848483E-28</c:v>
                </c:pt>
                <c:pt idx="26">
                  <c:v>2.0819272903956365E-28</c:v>
                </c:pt>
                <c:pt idx="27">
                  <c:v>9.9139441055030448E-30</c:v>
                </c:pt>
                <c:pt idx="28">
                  <c:v>2.0613090909090906E-36</c:v>
                </c:pt>
                <c:pt idx="29">
                  <c:v>0</c:v>
                </c:pt>
                <c:pt idx="30">
                  <c:v>0</c:v>
                </c:pt>
                <c:pt idx="31">
                  <c:v>2.0264728915662624E-36</c:v>
                </c:pt>
                <c:pt idx="32">
                  <c:v>5.1441234939758971E-36</c:v>
                </c:pt>
                <c:pt idx="33">
                  <c:v>6.9486000000000036E-22</c:v>
                </c:pt>
                <c:pt idx="34">
                  <c:v>4.560625279454515E-17</c:v>
                </c:pt>
                <c:pt idx="35">
                  <c:v>1.7973888424909059E-16</c:v>
                </c:pt>
                <c:pt idx="36">
                  <c:v>3.3358694981818071E-13</c:v>
                </c:pt>
                <c:pt idx="37">
                  <c:v>1.0592069591527839E-12</c:v>
                </c:pt>
                <c:pt idx="38">
                  <c:v>7.6043809379727524E-12</c:v>
                </c:pt>
                <c:pt idx="39">
                  <c:v>1.414955491679272E-11</c:v>
                </c:pt>
                <c:pt idx="40">
                  <c:v>2.069472889561269E-11</c:v>
                </c:pt>
                <c:pt idx="41">
                  <c:v>2.7239902874432658E-11</c:v>
                </c:pt>
                <c:pt idx="42">
                  <c:v>3.3785076853252623E-11</c:v>
                </c:pt>
                <c:pt idx="43">
                  <c:v>4.0330250832072591E-11</c:v>
                </c:pt>
                <c:pt idx="44">
                  <c:v>8.1494193939393535E-11</c:v>
                </c:pt>
                <c:pt idx="45">
                  <c:v>1.6854813333333293E-10</c:v>
                </c:pt>
                <c:pt idx="46">
                  <c:v>4.2458363636363501E-10</c:v>
                </c:pt>
                <c:pt idx="47">
                  <c:v>7.3908242424242254E-10</c:v>
                </c:pt>
                <c:pt idx="48">
                  <c:v>1.1258703030303014E-9</c:v>
                </c:pt>
                <c:pt idx="49">
                  <c:v>7.4568313253011812E-9</c:v>
                </c:pt>
                <c:pt idx="50">
                  <c:v>2.0227313253012093E-8</c:v>
                </c:pt>
                <c:pt idx="51">
                  <c:v>3.8813841634291128E-2</c:v>
                </c:pt>
                <c:pt idx="52">
                  <c:v>7.829665454545455E-2</c:v>
                </c:pt>
                <c:pt idx="53">
                  <c:v>7.9447563636363641E-2</c:v>
                </c:pt>
                <c:pt idx="54">
                  <c:v>0.08</c:v>
                </c:pt>
                <c:pt idx="55">
                  <c:v>0.08</c:v>
                </c:pt>
                <c:pt idx="56">
                  <c:v>0.08</c:v>
                </c:pt>
                <c:pt idx="57">
                  <c:v>0.08</c:v>
                </c:pt>
                <c:pt idx="58">
                  <c:v>0.08</c:v>
                </c:pt>
                <c:pt idx="59">
                  <c:v>0.08</c:v>
                </c:pt>
                <c:pt idx="60">
                  <c:v>0.08</c:v>
                </c:pt>
                <c:pt idx="61">
                  <c:v>0.08</c:v>
                </c:pt>
                <c:pt idx="62">
                  <c:v>0.08</c:v>
                </c:pt>
                <c:pt idx="63">
                  <c:v>0.08</c:v>
                </c:pt>
                <c:pt idx="64">
                  <c:v>0.08</c:v>
                </c:pt>
                <c:pt idx="65">
                  <c:v>0.08</c:v>
                </c:pt>
                <c:pt idx="66">
                  <c:v>0.08</c:v>
                </c:pt>
                <c:pt idx="67">
                  <c:v>0.08</c:v>
                </c:pt>
                <c:pt idx="68">
                  <c:v>0.08</c:v>
                </c:pt>
                <c:pt idx="69">
                  <c:v>0.08</c:v>
                </c:pt>
                <c:pt idx="70">
                  <c:v>0.08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C681-49BA-8609-3902CD5A10D8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5.0933624242424188E-27</c:v>
                </c:pt>
                <c:pt idx="1">
                  <c:v>1.4913648484848473E-27</c:v>
                </c:pt>
                <c:pt idx="2">
                  <c:v>3.1706181818181696E-28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1.2169259036144594E-26</c:v>
                </c:pt>
                <c:pt idx="7">
                  <c:v>4.0469861445783111E-26</c:v>
                </c:pt>
                <c:pt idx="8">
                  <c:v>2.4067869172213292E-19</c:v>
                </c:pt>
                <c:pt idx="9">
                  <c:v>3.0690595272726992E-17</c:v>
                </c:pt>
                <c:pt idx="10">
                  <c:v>2.8214772254545429E-16</c:v>
                </c:pt>
                <c:pt idx="11">
                  <c:v>3.0954176518608111E-12</c:v>
                </c:pt>
                <c:pt idx="12">
                  <c:v>9.6805287834795737E-12</c:v>
                </c:pt>
                <c:pt idx="13">
                  <c:v>1.6265639915098336E-11</c:v>
                </c:pt>
                <c:pt idx="14">
                  <c:v>2.2850751046717101E-11</c:v>
                </c:pt>
                <c:pt idx="15">
                  <c:v>2.9435862178335862E-11</c:v>
                </c:pt>
                <c:pt idx="16">
                  <c:v>3.6020973309954626E-11</c:v>
                </c:pt>
                <c:pt idx="17">
                  <c:v>4.260608444157339E-11</c:v>
                </c:pt>
                <c:pt idx="18">
                  <c:v>2.0843000162424183E-11</c:v>
                </c:pt>
                <c:pt idx="19">
                  <c:v>3.8869527272727604E-15</c:v>
                </c:pt>
                <c:pt idx="20">
                  <c:v>1.1876800000002197E-15</c:v>
                </c:pt>
                <c:pt idx="21">
                  <c:v>2.0375733333333293E-28</c:v>
                </c:pt>
                <c:pt idx="22">
                  <c:v>1.6823999999999587E-29</c:v>
                </c:pt>
                <c:pt idx="23">
                  <c:v>3.2704084337349434E-31</c:v>
                </c:pt>
                <c:pt idx="24">
                  <c:v>8.4765156577042423E-24</c:v>
                </c:pt>
                <c:pt idx="25">
                  <c:v>4.2382575902201214E-23</c:v>
                </c:pt>
                <c:pt idx="26">
                  <c:v>3.5601363672702913E-23</c:v>
                </c:pt>
                <c:pt idx="27">
                  <c:v>1.6953031272077559E-24</c:v>
                </c:pt>
                <c:pt idx="28">
                  <c:v>4.2395818181818187E-32</c:v>
                </c:pt>
                <c:pt idx="29">
                  <c:v>0</c:v>
                </c:pt>
                <c:pt idx="30">
                  <c:v>0</c:v>
                </c:pt>
                <c:pt idx="31">
                  <c:v>1.9438132530120455E-34</c:v>
                </c:pt>
                <c:pt idx="32">
                  <c:v>4.934295180722885E-34</c:v>
                </c:pt>
                <c:pt idx="33">
                  <c:v>1.5739800000000163E-20</c:v>
                </c:pt>
                <c:pt idx="34">
                  <c:v>2.5866810013939223E-16</c:v>
                </c:pt>
                <c:pt idx="35">
                  <c:v>1.0193794740787861E-15</c:v>
                </c:pt>
                <c:pt idx="36">
                  <c:v>5.0075029818181656E-13</c:v>
                </c:pt>
                <c:pt idx="37">
                  <c:v>1.1916027534039337E-12</c:v>
                </c:pt>
                <c:pt idx="38">
                  <c:v>1.0891715885022697E-12</c:v>
                </c:pt>
                <c:pt idx="39">
                  <c:v>9.8674042360060542E-13</c:v>
                </c:pt>
                <c:pt idx="40">
                  <c:v>8.8430925869894138E-13</c:v>
                </c:pt>
                <c:pt idx="41">
                  <c:v>7.8187809379727724E-13</c:v>
                </c:pt>
                <c:pt idx="42">
                  <c:v>6.7944692889561309E-13</c:v>
                </c:pt>
                <c:pt idx="43">
                  <c:v>5.7701576399394905E-13</c:v>
                </c:pt>
                <c:pt idx="44">
                  <c:v>5.7356054545454484E-13</c:v>
                </c:pt>
                <c:pt idx="45">
                  <c:v>7.0130599999999948E-13</c:v>
                </c:pt>
                <c:pt idx="46">
                  <c:v>8.1780999999999942E-13</c:v>
                </c:pt>
                <c:pt idx="47">
                  <c:v>8.9348509090909166E-13</c:v>
                </c:pt>
                <c:pt idx="48">
                  <c:v>7.1713963636363711E-13</c:v>
                </c:pt>
                <c:pt idx="49">
                  <c:v>1.5676742168674661E-12</c:v>
                </c:pt>
                <c:pt idx="50">
                  <c:v>3.5306621686747056E-12</c:v>
                </c:pt>
                <c:pt idx="51">
                  <c:v>2.562477105284863E-6</c:v>
                </c:pt>
                <c:pt idx="52">
                  <c:v>5.0395593939393904E-6</c:v>
                </c:pt>
                <c:pt idx="53">
                  <c:v>4.3534381818181788E-6</c:v>
                </c:pt>
                <c:pt idx="54">
                  <c:v>3.730536363636361E-6</c:v>
                </c:pt>
                <c:pt idx="55">
                  <c:v>3.1659909090909063E-6</c:v>
                </c:pt>
                <c:pt idx="56">
                  <c:v>2.7262509090909071E-6</c:v>
                </c:pt>
                <c:pt idx="57">
                  <c:v>2.3494559152798783E-6</c:v>
                </c:pt>
                <c:pt idx="58">
                  <c:v>2.1297100756429644E-6</c:v>
                </c:pt>
                <c:pt idx="59">
                  <c:v>1.9099642360060506E-6</c:v>
                </c:pt>
                <c:pt idx="60">
                  <c:v>1.6902183963691369E-6</c:v>
                </c:pt>
                <c:pt idx="61">
                  <c:v>1.4704725567322233E-6</c:v>
                </c:pt>
                <c:pt idx="62">
                  <c:v>1.2507267170953094E-6</c:v>
                </c:pt>
                <c:pt idx="63">
                  <c:v>1.0309808774583957E-6</c:v>
                </c:pt>
                <c:pt idx="64">
                  <c:v>8.7883806060606028E-7</c:v>
                </c:pt>
                <c:pt idx="65">
                  <c:v>7.6991684848484817E-7</c:v>
                </c:pt>
                <c:pt idx="66">
                  <c:v>6.8465397590361432E-7</c:v>
                </c:pt>
                <c:pt idx="67">
                  <c:v>6.0574909090909088E-7</c:v>
                </c:pt>
                <c:pt idx="68">
                  <c:v>5.3937939393939392E-7</c:v>
                </c:pt>
                <c:pt idx="69">
                  <c:v>4.8222000000000004E-7</c:v>
                </c:pt>
                <c:pt idx="70">
                  <c:v>4.3001999999999998E-7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C681-49BA-8609-3902CD5A10D8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2.40997515151515E-34</c:v>
                </c:pt>
                <c:pt idx="1">
                  <c:v>1.3060987878787867E-34</c:v>
                </c:pt>
                <c:pt idx="2">
                  <c:v>2.7767454545454423E-35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9.1994096385542283E-32</c:v>
                </c:pt>
                <c:pt idx="7">
                  <c:v>3.0593385542168653E-31</c:v>
                </c:pt>
                <c:pt idx="8">
                  <c:v>7.1843335227413237E-24</c:v>
                </c:pt>
                <c:pt idx="9">
                  <c:v>3.2474389999999696E-21</c:v>
                </c:pt>
                <c:pt idx="10">
                  <c:v>3.0181138999999976E-20</c:v>
                </c:pt>
                <c:pt idx="11">
                  <c:v>2.5326001960641405E-14</c:v>
                </c:pt>
                <c:pt idx="12">
                  <c:v>7.9211017927963675E-14</c:v>
                </c:pt>
                <c:pt idx="13">
                  <c:v>1.3309603389528592E-13</c:v>
                </c:pt>
                <c:pt idx="14">
                  <c:v>1.869810498626082E-13</c:v>
                </c:pt>
                <c:pt idx="15">
                  <c:v>2.4086606582993048E-13</c:v>
                </c:pt>
                <c:pt idx="16">
                  <c:v>2.9475108179725273E-13</c:v>
                </c:pt>
                <c:pt idx="17">
                  <c:v>3.4863609776457503E-13</c:v>
                </c:pt>
                <c:pt idx="18">
                  <c:v>1.7058277193939347E-13</c:v>
                </c:pt>
                <c:pt idx="19">
                  <c:v>8.054836363636547E-17</c:v>
                </c:pt>
                <c:pt idx="20">
                  <c:v>2.4612000000011159E-17</c:v>
                </c:pt>
                <c:pt idx="21">
                  <c:v>1.0168048484848464E-29</c:v>
                </c:pt>
                <c:pt idx="22">
                  <c:v>8.3956363636361568E-31</c:v>
                </c:pt>
                <c:pt idx="23">
                  <c:v>8.283192771084347E-32</c:v>
                </c:pt>
                <c:pt idx="24">
                  <c:v>4.55909103729697E-24</c:v>
                </c:pt>
                <c:pt idx="25">
                  <c:v>2.279545458208485E-23</c:v>
                </c:pt>
                <c:pt idx="26">
                  <c:v>1.9148181858258182E-23</c:v>
                </c:pt>
                <c:pt idx="27">
                  <c:v>9.1181828868848721E-25</c:v>
                </c:pt>
                <c:pt idx="28">
                  <c:v>4.6755757575757586E-32</c:v>
                </c:pt>
                <c:pt idx="29">
                  <c:v>0</c:v>
                </c:pt>
                <c:pt idx="30">
                  <c:v>0</c:v>
                </c:pt>
                <c:pt idx="31">
                  <c:v>1.5383072289156606E-33</c:v>
                </c:pt>
                <c:pt idx="32">
                  <c:v>3.9049337349397536E-33</c:v>
                </c:pt>
                <c:pt idx="33">
                  <c:v>2.2770600000000107E-19</c:v>
                </c:pt>
                <c:pt idx="34">
                  <c:v>6.6816103988484406E-15</c:v>
                </c:pt>
                <c:pt idx="35">
                  <c:v>2.6332289483696925E-14</c:v>
                </c:pt>
                <c:pt idx="36">
                  <c:v>2.2579773963636287E-11</c:v>
                </c:pt>
                <c:pt idx="37">
                  <c:v>5.4712481089258651E-11</c:v>
                </c:pt>
                <c:pt idx="38">
                  <c:v>7.3774508320726124E-11</c:v>
                </c:pt>
                <c:pt idx="39">
                  <c:v>9.2836535552193591E-11</c:v>
                </c:pt>
                <c:pt idx="40">
                  <c:v>1.1189856278366106E-10</c:v>
                </c:pt>
                <c:pt idx="41">
                  <c:v>1.3096059001512851E-10</c:v>
                </c:pt>
                <c:pt idx="42">
                  <c:v>1.50022617246596E-10</c:v>
                </c:pt>
                <c:pt idx="43">
                  <c:v>1.6908464447806347E-10</c:v>
                </c:pt>
                <c:pt idx="44">
                  <c:v>2.3839090909090851E-10</c:v>
                </c:pt>
                <c:pt idx="45">
                  <c:v>3.7429999999999942E-10</c:v>
                </c:pt>
                <c:pt idx="46">
                  <c:v>5.9094618181818068E-10</c:v>
                </c:pt>
                <c:pt idx="47">
                  <c:v>8.0298321212121202E-10</c:v>
                </c:pt>
                <c:pt idx="48">
                  <c:v>8.317771515151514E-10</c:v>
                </c:pt>
                <c:pt idx="49">
                  <c:v>2.9317572289156548E-9</c:v>
                </c:pt>
                <c:pt idx="50">
                  <c:v>7.2755222891566424E-9</c:v>
                </c:pt>
                <c:pt idx="51">
                  <c:v>8.0464404167527731E-3</c:v>
                </c:pt>
                <c:pt idx="52">
                  <c:v>1.6471036363636372E-2</c:v>
                </c:pt>
                <c:pt idx="53">
                  <c:v>1.8118309090909099E-2</c:v>
                </c:pt>
                <c:pt idx="54">
                  <c:v>1.9728709090909097E-2</c:v>
                </c:pt>
                <c:pt idx="55">
                  <c:v>2.1305072727272736E-2</c:v>
                </c:pt>
                <c:pt idx="56">
                  <c:v>2.3051218181818191E-2</c:v>
                </c:pt>
                <c:pt idx="57">
                  <c:v>2.4966391830559768E-2</c:v>
                </c:pt>
                <c:pt idx="58">
                  <c:v>2.7390900151285941E-2</c:v>
                </c:pt>
                <c:pt idx="59">
                  <c:v>2.9815408472012112E-2</c:v>
                </c:pt>
                <c:pt idx="60">
                  <c:v>3.2239916792738285E-2</c:v>
                </c:pt>
                <c:pt idx="61">
                  <c:v>3.4664425113464459E-2</c:v>
                </c:pt>
                <c:pt idx="62">
                  <c:v>3.7088933434190632E-2</c:v>
                </c:pt>
                <c:pt idx="63">
                  <c:v>3.9513441754916799E-2</c:v>
                </c:pt>
                <c:pt idx="64">
                  <c:v>4.2487527272727282E-2</c:v>
                </c:pt>
                <c:pt idx="65">
                  <c:v>4.5812981818181824E-2</c:v>
                </c:pt>
                <c:pt idx="66">
                  <c:v>4.9596891566265067E-2</c:v>
                </c:pt>
                <c:pt idx="67">
                  <c:v>5.3589181818181821E-2</c:v>
                </c:pt>
                <c:pt idx="68">
                  <c:v>5.8023121212121213E-2</c:v>
                </c:pt>
                <c:pt idx="69">
                  <c:v>6.2943575757575768E-2</c:v>
                </c:pt>
                <c:pt idx="70">
                  <c:v>6.8126000000000006E-2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C681-49BA-8609-3902CD5A10D8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>
                  <c:v>-18.618363636363636</c:v>
                </c:pt>
                <c:pt idx="3">
                  <c:v>-18.624424242424244</c:v>
                </c:pt>
                <c:pt idx="4">
                  <c:v>-18.630969696969697</c:v>
                </c:pt>
                <c:pt idx="5">
                  <c:v>-18.643090909090908</c:v>
                </c:pt>
                <c:pt idx="6">
                  <c:v>-18.655180722891565</c:v>
                </c:pt>
                <c:pt idx="7">
                  <c:v>-18.667228915662651</c:v>
                </c:pt>
                <c:pt idx="8">
                  <c:v>-18.679333333333336</c:v>
                </c:pt>
                <c:pt idx="9">
                  <c:v>-18.692181818181819</c:v>
                </c:pt>
                <c:pt idx="10">
                  <c:v>-18.710363636363635</c:v>
                </c:pt>
                <c:pt idx="11">
                  <c:v>-18.728532526475036</c:v>
                </c:pt>
                <c:pt idx="12">
                  <c:v>-18.746686838124052</c:v>
                </c:pt>
                <c:pt idx="13">
                  <c:v>-18.764841149773069</c:v>
                </c:pt>
                <c:pt idx="14">
                  <c:v>-18.782995461422086</c:v>
                </c:pt>
                <c:pt idx="15">
                  <c:v>-18.801149773071103</c:v>
                </c:pt>
                <c:pt idx="16">
                  <c:v>-18.81930408472012</c:v>
                </c:pt>
                <c:pt idx="17">
                  <c:v>-18.837458396369136</c:v>
                </c:pt>
                <c:pt idx="18">
                  <c:v>-18.855636363636364</c:v>
                </c:pt>
                <c:pt idx="19">
                  <c:v>-18.873818181818184</c:v>
                </c:pt>
                <c:pt idx="20">
                  <c:v>-18.891999999999999</c:v>
                </c:pt>
                <c:pt idx="21">
                  <c:v>-18.913575757575757</c:v>
                </c:pt>
                <c:pt idx="22">
                  <c:v>-18.937818181818184</c:v>
                </c:pt>
                <c:pt idx="23">
                  <c:v>-18.95644578313253</c:v>
                </c:pt>
                <c:pt idx="24">
                  <c:v>-18.976060606060607</c:v>
                </c:pt>
                <c:pt idx="25">
                  <c:v>-19.00030303030303</c:v>
                </c:pt>
                <c:pt idx="26">
                  <c:v>-19.020909090909093</c:v>
                </c:pt>
                <c:pt idx="27">
                  <c:v>-19.039090909090909</c:v>
                </c:pt>
                <c:pt idx="28">
                  <c:v>-19.057272727272728</c:v>
                </c:pt>
                <c:pt idx="29">
                  <c:v>-19.077272727272728</c:v>
                </c:pt>
                <c:pt idx="30">
                  <c:v>-19.101515151515152</c:v>
                </c:pt>
                <c:pt idx="31">
                  <c:v>-19.121746987951806</c:v>
                </c:pt>
                <c:pt idx="32">
                  <c:v>-19.139819277108433</c:v>
                </c:pt>
                <c:pt idx="33">
                  <c:v>-19.164000000000001</c:v>
                </c:pt>
                <c:pt idx="34">
                  <c:v>-19.186181818181819</c:v>
                </c:pt>
                <c:pt idx="35">
                  <c:v>-19.204363636363638</c:v>
                </c:pt>
                <c:pt idx="36">
                  <c:v>-19.226727272727274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C681-49BA-8609-3902CD5A10D8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-60.144848484848481</c:v>
                </c:pt>
                <c:pt idx="1">
                  <c:v>-58.339757575757574</c:v>
                </c:pt>
                <c:pt idx="2">
                  <c:v>-56.654909090909094</c:v>
                </c:pt>
                <c:pt idx="3">
                  <c:v>-55.098363636363636</c:v>
                </c:pt>
                <c:pt idx="4">
                  <c:v>-53.546121212121207</c:v>
                </c:pt>
                <c:pt idx="5">
                  <c:v>-51.49763636363636</c:v>
                </c:pt>
                <c:pt idx="6">
                  <c:v>-49.457048192771083</c:v>
                </c:pt>
                <c:pt idx="7">
                  <c:v>-47.426927710843373</c:v>
                </c:pt>
                <c:pt idx="8">
                  <c:v>-45.513333333333335</c:v>
                </c:pt>
                <c:pt idx="9">
                  <c:v>-43.650545454545458</c:v>
                </c:pt>
                <c:pt idx="10">
                  <c:v>-41.905090909090909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-17.45843373493976</c:v>
                </c:pt>
                <c:pt idx="32">
                  <c:v>-16.856024096385546</c:v>
                </c:pt>
                <c:pt idx="33">
                  <c:v>-16.28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-8.0158121212121198</c:v>
                </c:pt>
                <c:pt idx="52">
                  <c:v>-7.7234484848484852</c:v>
                </c:pt>
                <c:pt idx="53">
                  <c:v>-7.7731454545454541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-8.5329090909090901</c:v>
                </c:pt>
                <c:pt idx="68">
                  <c:v>-8.5959393939393944</c:v>
                </c:pt>
                <c:pt idx="69">
                  <c:v>-8.6605454545454545</c:v>
                </c:pt>
                <c:pt idx="70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C681-49BA-8609-3902CD5A10D8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-15.300424242424242</c:v>
                </c:pt>
                <c:pt idx="1">
                  <c:v>-14.974848484848485</c:v>
                </c:pt>
                <c:pt idx="2">
                  <c:v>-14.671818181818182</c:v>
                </c:pt>
                <c:pt idx="3">
                  <c:v>-14.399757575757576</c:v>
                </c:pt>
                <c:pt idx="4">
                  <c:v>-14.105212121212121</c:v>
                </c:pt>
                <c:pt idx="5">
                  <c:v>-13.420363636363636</c:v>
                </c:pt>
                <c:pt idx="6">
                  <c:v>-12.711385542168674</c:v>
                </c:pt>
                <c:pt idx="7">
                  <c:v>-11.970421686746988</c:v>
                </c:pt>
                <c:pt idx="8">
                  <c:v>-11.272666666666668</c:v>
                </c:pt>
                <c:pt idx="9">
                  <c:v>-10.593127272727273</c:v>
                </c:pt>
                <c:pt idx="10">
                  <c:v>-9.9525212121212121</c:v>
                </c:pt>
                <c:pt idx="11">
                  <c:v>-9.3588018154311658</c:v>
                </c:pt>
                <c:pt idx="12">
                  <c:v>-8.8179546142208771</c:v>
                </c:pt>
                <c:pt idx="13">
                  <c:v>-8.2771074130105902</c:v>
                </c:pt>
                <c:pt idx="14">
                  <c:v>-7.7362602118003023</c:v>
                </c:pt>
                <c:pt idx="15">
                  <c:v>-7.1954130105900145</c:v>
                </c:pt>
                <c:pt idx="16">
                  <c:v>-6.6545658093797275</c:v>
                </c:pt>
                <c:pt idx="17">
                  <c:v>-6.1137186081694388</c:v>
                </c:pt>
                <c:pt idx="18">
                  <c:v>-5.6392727272727265</c:v>
                </c:pt>
                <c:pt idx="19">
                  <c:v>-5.1809818181818166</c:v>
                </c:pt>
                <c:pt idx="20">
                  <c:v>-4.742799999999999</c:v>
                </c:pt>
                <c:pt idx="21">
                  <c:v>-4.4023636363636358</c:v>
                </c:pt>
                <c:pt idx="22">
                  <c:v>-4.1387272727272721</c:v>
                </c:pt>
                <c:pt idx="23">
                  <c:v>-4.1369277108433735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-4.3330542168674695</c:v>
                </c:pt>
                <c:pt idx="32">
                  <c:v>-4.3577530120481924</c:v>
                </c:pt>
                <c:pt idx="33">
                  <c:v>-4.3826000000000001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-5.1835454545454542</c:v>
                </c:pt>
                <c:pt idx="68">
                  <c:v>-5.2053636363636366</c:v>
                </c:pt>
                <c:pt idx="69">
                  <c:v>-5.2271818181818182</c:v>
                </c:pt>
                <c:pt idx="70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C681-49BA-8609-3902CD5A10D8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  <c:pt idx="0">
                  <c:v>-21.792000000000002</c:v>
                </c:pt>
                <c:pt idx="1">
                  <c:v>-21.217333333333332</c:v>
                </c:pt>
                <c:pt idx="2">
                  <c:v>-20.683999999999997</c:v>
                </c:pt>
                <c:pt idx="3">
                  <c:v>-20.194909090909089</c:v>
                </c:pt>
                <c:pt idx="4">
                  <c:v>-19.761939393939397</c:v>
                </c:pt>
                <c:pt idx="5">
                  <c:v>-19.78618181818182</c:v>
                </c:pt>
                <c:pt idx="6">
                  <c:v>-19.862168674698797</c:v>
                </c:pt>
                <c:pt idx="7">
                  <c:v>-20.006746987951807</c:v>
                </c:pt>
                <c:pt idx="8">
                  <c:v>-20.152000000000001</c:v>
                </c:pt>
                <c:pt idx="9">
                  <c:v>-20.298181818181821</c:v>
                </c:pt>
                <c:pt idx="10">
                  <c:v>-20.449696969696969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-23.573975903614457</c:v>
                </c:pt>
                <c:pt idx="32">
                  <c:v>-23.718554216867467</c:v>
                </c:pt>
                <c:pt idx="33">
                  <c:v>-23.858000000000001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C681-49BA-8609-3902CD5A10D8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C681-49BA-8609-3902CD5A10D8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C681-49BA-8609-3902CD5A10D8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C681-49BA-8609-3902CD5A10D8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C681-49BA-8609-3902CD5A10D8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C681-49BA-8609-3902CD5A10D8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C681-49BA-8609-3902CD5A10D8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C681-49BA-8609-3902CD5A10D8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C681-49BA-8609-3902CD5A10D8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C681-49BA-8609-3902CD5A10D8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C681-49BA-8609-3902CD5A10D8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C681-49BA-8609-3902CD5A10D8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C681-49BA-8609-3902CD5A10D8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  <c:pt idx="0">
                  <c:v>end1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C681-49BA-8609-3902CD5A10D8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C681-49BA-8609-3902CD5A10D8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C681-49BA-8609-3902CD5A10D8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1.6735315156149013E-23</c:v>
                </c:pt>
                <c:pt idx="1">
                  <c:v>3.0091301472727363E-20</c:v>
                </c:pt>
                <c:pt idx="2">
                  <c:v>1.0920838692727282E-19</c:v>
                </c:pt>
                <c:pt idx="3">
                  <c:v>2.2640414545454577E-18</c:v>
                </c:pt>
                <c:pt idx="4">
                  <c:v>1.2732251739788308E-17</c:v>
                </c:pt>
                <c:pt idx="5">
                  <c:v>1.0997539848714078E-16</c:v>
                </c:pt>
                <c:pt idx="6">
                  <c:v>2.0721854523449323E-16</c:v>
                </c:pt>
                <c:pt idx="7">
                  <c:v>3.044616919818457E-16</c:v>
                </c:pt>
                <c:pt idx="8">
                  <c:v>4.0170483872919815E-16</c:v>
                </c:pt>
                <c:pt idx="9">
                  <c:v>4.989479854765506E-16</c:v>
                </c:pt>
                <c:pt idx="10">
                  <c:v>5.9619113222390305E-16</c:v>
                </c:pt>
                <c:pt idx="11">
                  <c:v>2.0334523636363604E-15</c:v>
                </c:pt>
                <c:pt idx="12">
                  <c:v>4.9817978181818147E-15</c:v>
                </c:pt>
                <c:pt idx="13">
                  <c:v>1.0748446969696955E-13</c:v>
                </c:pt>
                <c:pt idx="14">
                  <c:v>3.6167728915662492E-12</c:v>
                </c:pt>
                <c:pt idx="15">
                  <c:v>2.3652495783132553E-11</c:v>
                </c:pt>
                <c:pt idx="16">
                  <c:v>5.6734109090909323E-10</c:v>
                </c:pt>
                <c:pt idx="17">
                  <c:v>1.6141471515151537E-9</c:v>
                </c:pt>
                <c:pt idx="18">
                  <c:v>3.6844939393939443E-9</c:v>
                </c:pt>
                <c:pt idx="19">
                  <c:v>5.7876490909090949E-9</c:v>
                </c:pt>
                <c:pt idx="20">
                  <c:v>7.3874066666666711E-9</c:v>
                </c:pt>
                <c:pt idx="21">
                  <c:v>8.8368466666666702E-9</c:v>
                </c:pt>
                <c:pt idx="22">
                  <c:v>1.0168180000000002E-8</c:v>
                </c:pt>
                <c:pt idx="23">
                  <c:v>1.3718042168674703E-8</c:v>
                </c:pt>
                <c:pt idx="24">
                  <c:v>1.686969696969697E-8</c:v>
                </c:pt>
                <c:pt idx="25">
                  <c:v>1.8168484848484851E-8</c:v>
                </c:pt>
                <c:pt idx="26">
                  <c:v>1.7813454545454547E-8</c:v>
                </c:pt>
                <c:pt idx="27">
                  <c:v>1.6355878787878789E-8</c:v>
                </c:pt>
                <c:pt idx="28">
                  <c:v>1.3967878787878787E-8</c:v>
                </c:pt>
                <c:pt idx="29">
                  <c:v>1.2826181818181817E-8</c:v>
                </c:pt>
                <c:pt idx="30">
                  <c:v>1.4706787878787877E-8</c:v>
                </c:pt>
                <c:pt idx="31">
                  <c:v>1.6280873493975901E-8</c:v>
                </c:pt>
                <c:pt idx="32">
                  <c:v>1.7689909638554213E-8</c:v>
                </c:pt>
                <c:pt idx="33">
                  <c:v>1.8416199999999999E-8</c:v>
                </c:pt>
                <c:pt idx="34">
                  <c:v>1.8968066666666667E-8</c:v>
                </c:pt>
                <c:pt idx="35">
                  <c:v>1.9194733333333334E-8</c:v>
                </c:pt>
                <c:pt idx="36">
                  <c:v>1.926458181818182E-8</c:v>
                </c:pt>
                <c:pt idx="37">
                  <c:v>1.9265597579425112E-8</c:v>
                </c:pt>
                <c:pt idx="38">
                  <c:v>1.930553706505295E-8</c:v>
                </c:pt>
                <c:pt idx="39">
                  <c:v>1.9345476550680787E-8</c:v>
                </c:pt>
                <c:pt idx="40">
                  <c:v>1.9385416036308625E-8</c:v>
                </c:pt>
                <c:pt idx="41">
                  <c:v>1.9425355521936462E-8</c:v>
                </c:pt>
                <c:pt idx="42">
                  <c:v>1.9465295007564296E-8</c:v>
                </c:pt>
                <c:pt idx="43">
                  <c:v>1.9505234493192133E-8</c:v>
                </c:pt>
                <c:pt idx="44">
                  <c:v>1.9223812405446296E-8</c:v>
                </c:pt>
                <c:pt idx="45">
                  <c:v>1.851639939485628E-8</c:v>
                </c:pt>
                <c:pt idx="46">
                  <c:v>1.7808986384266264E-8</c:v>
                </c:pt>
                <c:pt idx="47">
                  <c:v>1.7101573373676247E-8</c:v>
                </c:pt>
                <c:pt idx="48">
                  <c:v>1.6394160363086231E-8</c:v>
                </c:pt>
                <c:pt idx="49">
                  <c:v>1.5686747352496217E-8</c:v>
                </c:pt>
                <c:pt idx="50">
                  <c:v>1.4979334341906198E-8</c:v>
                </c:pt>
                <c:pt idx="51">
                  <c:v>1.5298527272727276E-8</c:v>
                </c:pt>
                <c:pt idx="52">
                  <c:v>1.584307272727273E-8</c:v>
                </c:pt>
                <c:pt idx="53">
                  <c:v>1.6387618181818185E-8</c:v>
                </c:pt>
                <c:pt idx="54">
                  <c:v>1.6932163636363639E-8</c:v>
                </c:pt>
                <c:pt idx="55">
                  <c:v>1.7476709090909093E-8</c:v>
                </c:pt>
                <c:pt idx="56">
                  <c:v>1.8021254545454547E-8</c:v>
                </c:pt>
                <c:pt idx="57">
                  <c:v>1.9184590361445798E-8</c:v>
                </c:pt>
                <c:pt idx="58">
                  <c:v>2.2541819277108446E-8</c:v>
                </c:pt>
                <c:pt idx="59">
                  <c:v>2.5591751515151521E-8</c:v>
                </c:pt>
                <c:pt idx="60">
                  <c:v>2.8400236363636368E-8</c:v>
                </c:pt>
                <c:pt idx="61">
                  <c:v>2.3413054545454533E-8</c:v>
                </c:pt>
                <c:pt idx="62">
                  <c:v>1.9415151515151516E-8</c:v>
                </c:pt>
                <c:pt idx="63">
                  <c:v>2.0427272727272728E-8</c:v>
                </c:pt>
                <c:pt idx="64">
                  <c:v>2.1302236363636366E-8</c:v>
                </c:pt>
                <c:pt idx="65">
                  <c:v>2.2089509090909092E-8</c:v>
                </c:pt>
                <c:pt idx="66">
                  <c:v>2.2701626506024097E-8</c:v>
                </c:pt>
                <c:pt idx="67">
                  <c:v>2.3236818181818183E-8</c:v>
                </c:pt>
                <c:pt idx="68">
                  <c:v>2.3609545454545456E-8</c:v>
                </c:pt>
                <c:pt idx="69">
                  <c:v>2.3866454545454545E-8</c:v>
                </c:pt>
                <c:pt idx="70">
                  <c:v>2.4061E-8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C681-49BA-8609-3902CD5A10D8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3.2555735757575792E-9</c:v>
                </c:pt>
                <c:pt idx="1">
                  <c:v>6.4679496969697017E-9</c:v>
                </c:pt>
                <c:pt idx="2">
                  <c:v>1.0333343636363642E-8</c:v>
                </c:pt>
                <c:pt idx="3">
                  <c:v>1.3194036363636367E-8</c:v>
                </c:pt>
                <c:pt idx="4">
                  <c:v>1.5618608169440246E-8</c:v>
                </c:pt>
                <c:pt idx="5">
                  <c:v>1.7301210287443269E-8</c:v>
                </c:pt>
                <c:pt idx="6">
                  <c:v>1.8983812405446296E-8</c:v>
                </c:pt>
                <c:pt idx="7">
                  <c:v>2.0666414523449319E-8</c:v>
                </c:pt>
                <c:pt idx="8">
                  <c:v>2.2349016641452346E-8</c:v>
                </c:pt>
                <c:pt idx="9">
                  <c:v>2.4031618759455369E-8</c:v>
                </c:pt>
                <c:pt idx="10">
                  <c:v>2.5714220877458396E-8</c:v>
                </c:pt>
                <c:pt idx="11">
                  <c:v>2.567938787878788E-8</c:v>
                </c:pt>
                <c:pt idx="12">
                  <c:v>2.3707872727272731E-8</c:v>
                </c:pt>
                <c:pt idx="13">
                  <c:v>1.9535278787878792E-8</c:v>
                </c:pt>
                <c:pt idx="14">
                  <c:v>1.4790082530120485E-8</c:v>
                </c:pt>
                <c:pt idx="15">
                  <c:v>9.6082150602409582E-9</c:v>
                </c:pt>
                <c:pt idx="16">
                  <c:v>5.0340949090908996E-9</c:v>
                </c:pt>
                <c:pt idx="17">
                  <c:v>1.0438888484848395E-9</c:v>
                </c:pt>
                <c:pt idx="18">
                  <c:v>2.3246483987878717E-10</c:v>
                </c:pt>
                <c:pt idx="19">
                  <c:v>2.1471726774181785E-13</c:v>
                </c:pt>
                <c:pt idx="20">
                  <c:v>6.5609018893332971E-14</c:v>
                </c:pt>
                <c:pt idx="21">
                  <c:v>9.1784613702739211E-19</c:v>
                </c:pt>
                <c:pt idx="22">
                  <c:v>7.5785667433452768E-20</c:v>
                </c:pt>
                <c:pt idx="23">
                  <c:v>1.0173344210858421E-25</c:v>
                </c:pt>
                <c:pt idx="24">
                  <c:v>1.2960606060606063E-32</c:v>
                </c:pt>
                <c:pt idx="25">
                  <c:v>3.7030303030303034E-33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C681-49BA-8609-3902CD5A10D8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C681-49BA-8609-3902CD5A10D8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(DGeSe2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0.10389327878787878</c:v>
                </c:pt>
                <c:pt idx="1">
                  <c:v>9.3476199999999982E-2</c:v>
                </c:pt>
                <c:pt idx="2">
                  <c:v>7.9316199999999989E-2</c:v>
                </c:pt>
                <c:pt idx="3">
                  <c:v>6.3278109090909071E-2</c:v>
                </c:pt>
                <c:pt idx="4">
                  <c:v>4.7338432677760965E-2</c:v>
                </c:pt>
                <c:pt idx="5">
                  <c:v>4.0518841149773069E-2</c:v>
                </c:pt>
                <c:pt idx="6">
                  <c:v>3.3699249621785173E-2</c:v>
                </c:pt>
                <c:pt idx="7">
                  <c:v>2.6879658093797276E-2</c:v>
                </c:pt>
                <c:pt idx="8">
                  <c:v>2.006006656580938E-2</c:v>
                </c:pt>
                <c:pt idx="9">
                  <c:v>1.3240475037821484E-2</c:v>
                </c:pt>
                <c:pt idx="10">
                  <c:v>6.4208835098335873E-3</c:v>
                </c:pt>
                <c:pt idx="11">
                  <c:v>2.4000496969696977E-3</c:v>
                </c:pt>
                <c:pt idx="12">
                  <c:v>1.5352618181818192E-3</c:v>
                </c:pt>
                <c:pt idx="13">
                  <c:v>1.0426595151515157E-3</c:v>
                </c:pt>
                <c:pt idx="14">
                  <c:v>6.671675903614459E-4</c:v>
                </c:pt>
                <c:pt idx="15">
                  <c:v>4.645651807228913E-4</c:v>
                </c:pt>
                <c:pt idx="16">
                  <c:v>3.1076018181818159E-4</c:v>
                </c:pt>
                <c:pt idx="17">
                  <c:v>2.0383896969696945E-4</c:v>
                </c:pt>
                <c:pt idx="18">
                  <c:v>1.3877838787878773E-4</c:v>
                </c:pt>
                <c:pt idx="19">
                  <c:v>8.6257054545454468E-5</c:v>
                </c:pt>
                <c:pt idx="20">
                  <c:v>5.5271599999999927E-5</c:v>
                </c:pt>
                <c:pt idx="21">
                  <c:v>3.3232909090909054E-5</c:v>
                </c:pt>
                <c:pt idx="22">
                  <c:v>1.8223818181818145E-5</c:v>
                </c:pt>
                <c:pt idx="23">
                  <c:v>1.1076025903614452E-5</c:v>
                </c:pt>
                <c:pt idx="24">
                  <c:v>5.6845272727272729E-6</c:v>
                </c:pt>
                <c:pt idx="25">
                  <c:v>3.2294363636363638E-6</c:v>
                </c:pt>
                <c:pt idx="26">
                  <c:v>1.7186363636363636E-6</c:v>
                </c:pt>
                <c:pt idx="27">
                  <c:v>8.3736363636363636E-7</c:v>
                </c:pt>
                <c:pt idx="28">
                  <c:v>4.9969242424242433E-7</c:v>
                </c:pt>
                <c:pt idx="29">
                  <c:v>2.5067727272727273E-7</c:v>
                </c:pt>
                <c:pt idx="30">
                  <c:v>1.4176818181818184E-7</c:v>
                </c:pt>
                <c:pt idx="31">
                  <c:v>7.8348554216867519E-8</c:v>
                </c:pt>
                <c:pt idx="32">
                  <c:v>3.9423253012048289E-8</c:v>
                </c:pt>
                <c:pt idx="33">
                  <c:v>2.4707800000000034E-8</c:v>
                </c:pt>
                <c:pt idx="34">
                  <c:v>1.3283847272727287E-8</c:v>
                </c:pt>
                <c:pt idx="35">
                  <c:v>7.7745745454545592E-9</c:v>
                </c:pt>
                <c:pt idx="36">
                  <c:v>4.5754218181818237E-9</c:v>
                </c:pt>
                <c:pt idx="37">
                  <c:v>2.4860376520423605E-9</c:v>
                </c:pt>
                <c:pt idx="38">
                  <c:v>2.1219789531013622E-9</c:v>
                </c:pt>
                <c:pt idx="39">
                  <c:v>1.7579202541603642E-9</c:v>
                </c:pt>
                <c:pt idx="40">
                  <c:v>1.3938615552193656E-9</c:v>
                </c:pt>
                <c:pt idx="41">
                  <c:v>1.0298028562783674E-9</c:v>
                </c:pt>
                <c:pt idx="42">
                  <c:v>6.6574415733736903E-10</c:v>
                </c:pt>
                <c:pt idx="43">
                  <c:v>3.0168545839637065E-10</c:v>
                </c:pt>
                <c:pt idx="44">
                  <c:v>8.8383159152798849E-11</c:v>
                </c:pt>
                <c:pt idx="45">
                  <c:v>7.4920738577912292E-11</c:v>
                </c:pt>
                <c:pt idx="46">
                  <c:v>6.1458318003025735E-11</c:v>
                </c:pt>
                <c:pt idx="47">
                  <c:v>4.7995897428139184E-11</c:v>
                </c:pt>
                <c:pt idx="48">
                  <c:v>3.4533476853252621E-11</c:v>
                </c:pt>
                <c:pt idx="49">
                  <c:v>2.1071056278366077E-11</c:v>
                </c:pt>
                <c:pt idx="50">
                  <c:v>7.60863570347952E-12</c:v>
                </c:pt>
                <c:pt idx="51">
                  <c:v>4.591056545454542E-12</c:v>
                </c:pt>
                <c:pt idx="52">
                  <c:v>3.8662474545454517E-12</c:v>
                </c:pt>
                <c:pt idx="53">
                  <c:v>3.1414383636363602E-12</c:v>
                </c:pt>
                <c:pt idx="54">
                  <c:v>2.4166292727272695E-12</c:v>
                </c:pt>
                <c:pt idx="55">
                  <c:v>1.6918201818181784E-12</c:v>
                </c:pt>
                <c:pt idx="56">
                  <c:v>9.6701109090908733E-13</c:v>
                </c:pt>
                <c:pt idx="57">
                  <c:v>3.774401204819272E-13</c:v>
                </c:pt>
                <c:pt idx="58">
                  <c:v>2.6734975903614426E-13</c:v>
                </c:pt>
                <c:pt idx="59">
                  <c:v>1.854593333333332E-13</c:v>
                </c:pt>
                <c:pt idx="60">
                  <c:v>1.2572599999999987E-13</c:v>
                </c:pt>
                <c:pt idx="61">
                  <c:v>9.0792096969696904E-14</c:v>
                </c:pt>
                <c:pt idx="62">
                  <c:v>6.2127999999999965E-14</c:v>
                </c:pt>
                <c:pt idx="63">
                  <c:v>4.4327999999999961E-14</c:v>
                </c:pt>
                <c:pt idx="64">
                  <c:v>3.1382121212121193E-14</c:v>
                </c:pt>
                <c:pt idx="65">
                  <c:v>2.153969696969695E-14</c:v>
                </c:pt>
                <c:pt idx="66">
                  <c:v>1.5904168674698789E-14</c:v>
                </c:pt>
                <c:pt idx="67">
                  <c:v>1.1152854545454546E-14</c:v>
                </c:pt>
                <c:pt idx="68">
                  <c:v>8.0557030303030312E-15</c:v>
                </c:pt>
                <c:pt idx="69">
                  <c:v>5.8255333333333333E-15</c:v>
                </c:pt>
                <c:pt idx="70">
                  <c:v>4.0621999999999996E-15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C681-49BA-8609-3902CD5A10D8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(DGeSe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0.1361048484848485</c:v>
                </c:pt>
                <c:pt idx="1">
                  <c:v>0.14651987878787881</c:v>
                </c:pt>
                <c:pt idx="2">
                  <c:v>0.16067745454545457</c:v>
                </c:pt>
                <c:pt idx="3">
                  <c:v>0.17670648484848486</c:v>
                </c:pt>
                <c:pt idx="4">
                  <c:v>0.19260582450832076</c:v>
                </c:pt>
                <c:pt idx="5">
                  <c:v>0.19905363086232983</c:v>
                </c:pt>
                <c:pt idx="6">
                  <c:v>0.2055014372163389</c:v>
                </c:pt>
                <c:pt idx="7">
                  <c:v>0.21194924357034797</c:v>
                </c:pt>
                <c:pt idx="8">
                  <c:v>0.21839704992435705</c:v>
                </c:pt>
                <c:pt idx="9">
                  <c:v>0.22484485627836612</c:v>
                </c:pt>
                <c:pt idx="10">
                  <c:v>0.23129266263237519</c:v>
                </c:pt>
                <c:pt idx="11">
                  <c:v>0.23395230303030304</c:v>
                </c:pt>
                <c:pt idx="12">
                  <c:v>0.23234018181818183</c:v>
                </c:pt>
                <c:pt idx="13">
                  <c:v>0.22791024242424243</c:v>
                </c:pt>
                <c:pt idx="14">
                  <c:v>0.22200873493975903</c:v>
                </c:pt>
                <c:pt idx="15">
                  <c:v>0.21194246987951806</c:v>
                </c:pt>
                <c:pt idx="16">
                  <c:v>0.19868618181818179</c:v>
                </c:pt>
                <c:pt idx="17">
                  <c:v>0.18236496969696964</c:v>
                </c:pt>
                <c:pt idx="18">
                  <c:v>0.16131636363636359</c:v>
                </c:pt>
                <c:pt idx="19">
                  <c:v>0.13901199999999997</c:v>
                </c:pt>
                <c:pt idx="20">
                  <c:v>0.11487866666666663</c:v>
                </c:pt>
                <c:pt idx="21">
                  <c:v>9.2028242424242374E-2</c:v>
                </c:pt>
                <c:pt idx="22">
                  <c:v>7.0185818181818127E-2</c:v>
                </c:pt>
                <c:pt idx="23">
                  <c:v>5.3410024096385525E-2</c:v>
                </c:pt>
                <c:pt idx="24">
                  <c:v>3.855460606060606E-2</c:v>
                </c:pt>
                <c:pt idx="25">
                  <c:v>2.7957030303030303E-2</c:v>
                </c:pt>
                <c:pt idx="26">
                  <c:v>1.9962363636363636E-2</c:v>
                </c:pt>
                <c:pt idx="27">
                  <c:v>1.3702969696969698E-2</c:v>
                </c:pt>
                <c:pt idx="28">
                  <c:v>1.003160606060606E-2</c:v>
                </c:pt>
                <c:pt idx="29">
                  <c:v>6.9664363636363635E-3</c:v>
                </c:pt>
                <c:pt idx="30">
                  <c:v>4.9978909090909098E-3</c:v>
                </c:pt>
                <c:pt idx="31">
                  <c:v>3.5984030120481936E-3</c:v>
                </c:pt>
                <c:pt idx="32">
                  <c:v>2.5053307228915687E-3</c:v>
                </c:pt>
                <c:pt idx="33">
                  <c:v>1.8790400000000015E-3</c:v>
                </c:pt>
                <c:pt idx="34">
                  <c:v>1.347492121212122E-3</c:v>
                </c:pt>
                <c:pt idx="35">
                  <c:v>9.9070424242424324E-4</c:v>
                </c:pt>
                <c:pt idx="36">
                  <c:v>7.3638763636363683E-4</c:v>
                </c:pt>
                <c:pt idx="37">
                  <c:v>5.337176399394858E-4</c:v>
                </c:pt>
                <c:pt idx="38">
                  <c:v>4.6565863842662654E-4</c:v>
                </c:pt>
                <c:pt idx="39">
                  <c:v>3.9759963691376722E-4</c:v>
                </c:pt>
                <c:pt idx="40">
                  <c:v>3.2954063540090791E-4</c:v>
                </c:pt>
                <c:pt idx="41">
                  <c:v>2.6148163388804864E-4</c:v>
                </c:pt>
                <c:pt idx="42">
                  <c:v>1.9342263237518938E-4</c:v>
                </c:pt>
                <c:pt idx="43">
                  <c:v>1.2536363086233007E-4</c:v>
                </c:pt>
                <c:pt idx="44">
                  <c:v>8.2073019667170993E-5</c:v>
                </c:pt>
                <c:pt idx="45">
                  <c:v>7.1614925869894136E-5</c:v>
                </c:pt>
                <c:pt idx="46">
                  <c:v>6.1156832072617264E-5</c:v>
                </c:pt>
                <c:pt idx="47">
                  <c:v>5.0698738275340393E-5</c:v>
                </c:pt>
                <c:pt idx="48">
                  <c:v>4.0240644478063521E-5</c:v>
                </c:pt>
                <c:pt idx="49">
                  <c:v>2.9782550680786656E-5</c:v>
                </c:pt>
                <c:pt idx="50">
                  <c:v>1.9324456883509792E-5</c:v>
                </c:pt>
                <c:pt idx="51">
                  <c:v>1.5805963333333326E-5</c:v>
                </c:pt>
                <c:pt idx="52">
                  <c:v>1.3810796666666659E-5</c:v>
                </c:pt>
                <c:pt idx="53">
                  <c:v>1.1815629999999991E-5</c:v>
                </c:pt>
                <c:pt idx="54">
                  <c:v>9.8204633333333237E-6</c:v>
                </c:pt>
                <c:pt idx="55">
                  <c:v>7.825296666666658E-6</c:v>
                </c:pt>
                <c:pt idx="56">
                  <c:v>5.8301299999999922E-6</c:v>
                </c:pt>
                <c:pt idx="57">
                  <c:v>4.1138566265060206E-6</c:v>
                </c:pt>
                <c:pt idx="58">
                  <c:v>3.3863867469879499E-6</c:v>
                </c:pt>
                <c:pt idx="59">
                  <c:v>2.7763218181818171E-6</c:v>
                </c:pt>
                <c:pt idx="60">
                  <c:v>2.2585036363636352E-6</c:v>
                </c:pt>
                <c:pt idx="61">
                  <c:v>1.8769648484848475E-6</c:v>
                </c:pt>
                <c:pt idx="62">
                  <c:v>1.5362436363636358E-6</c:v>
                </c:pt>
                <c:pt idx="63">
                  <c:v>1.273334545454545E-6</c:v>
                </c:pt>
                <c:pt idx="64">
                  <c:v>1.0556652727272724E-6</c:v>
                </c:pt>
                <c:pt idx="65">
                  <c:v>8.6691981818181775E-7</c:v>
                </c:pt>
                <c:pt idx="66">
                  <c:v>7.2934783132530101E-7</c:v>
                </c:pt>
                <c:pt idx="67">
                  <c:v>6.0485818181818178E-7</c:v>
                </c:pt>
                <c:pt idx="68">
                  <c:v>5.0591878787878786E-7</c:v>
                </c:pt>
                <c:pt idx="69">
                  <c:v>4.2430878787878785E-7</c:v>
                </c:pt>
                <c:pt idx="70">
                  <c:v>3.5203000000000001E-7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C681-49BA-8609-3902CD5A10D8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(DGa2Sej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3.9995751515151515E-2</c:v>
                </c:pt>
                <c:pt idx="1">
                  <c:v>3.9993848484848486E-2</c:v>
                </c:pt>
                <c:pt idx="2">
                  <c:v>3.9990818181818183E-2</c:v>
                </c:pt>
                <c:pt idx="3">
                  <c:v>3.998469090909091E-2</c:v>
                </c:pt>
                <c:pt idx="4">
                  <c:v>3.9973231467473523E-2</c:v>
                </c:pt>
                <c:pt idx="5">
                  <c:v>3.9913624810892584E-2</c:v>
                </c:pt>
                <c:pt idx="6">
                  <c:v>3.9854018154311652E-2</c:v>
                </c:pt>
                <c:pt idx="7">
                  <c:v>3.9794411497730713E-2</c:v>
                </c:pt>
                <c:pt idx="8">
                  <c:v>3.9734804841149773E-2</c:v>
                </c:pt>
                <c:pt idx="9">
                  <c:v>3.9675198184568834E-2</c:v>
                </c:pt>
                <c:pt idx="10">
                  <c:v>3.9615591527987895E-2</c:v>
                </c:pt>
                <c:pt idx="11">
                  <c:v>3.9480884848484853E-2</c:v>
                </c:pt>
                <c:pt idx="12">
                  <c:v>3.926149090909091E-2</c:v>
                </c:pt>
                <c:pt idx="13">
                  <c:v>3.8919345454545458E-2</c:v>
                </c:pt>
                <c:pt idx="14">
                  <c:v>3.8513253012048193E-2</c:v>
                </c:pt>
                <c:pt idx="15">
                  <c:v>3.7926506024096383E-2</c:v>
                </c:pt>
                <c:pt idx="16">
                  <c:v>3.7175363636363631E-2</c:v>
                </c:pt>
                <c:pt idx="17">
                  <c:v>3.6266272727272723E-2</c:v>
                </c:pt>
                <c:pt idx="18">
                  <c:v>3.4971484848484842E-2</c:v>
                </c:pt>
                <c:pt idx="19">
                  <c:v>3.3489818181818176E-2</c:v>
                </c:pt>
                <c:pt idx="20">
                  <c:v>3.1541333333333331E-2</c:v>
                </c:pt>
                <c:pt idx="21">
                  <c:v>2.9217139393939388E-2</c:v>
                </c:pt>
                <c:pt idx="22">
                  <c:v>2.6597745454545449E-2</c:v>
                </c:pt>
                <c:pt idx="23">
                  <c:v>2.346809036144578E-2</c:v>
                </c:pt>
                <c:pt idx="24">
                  <c:v>2.0223000000000001E-2</c:v>
                </c:pt>
                <c:pt idx="25">
                  <c:v>1.6782999999999999E-2</c:v>
                </c:pt>
                <c:pt idx="26">
                  <c:v>1.3509545454545455E-2</c:v>
                </c:pt>
                <c:pt idx="27">
                  <c:v>1.0347121212121212E-2</c:v>
                </c:pt>
                <c:pt idx="28">
                  <c:v>7.8636878787878787E-3</c:v>
                </c:pt>
                <c:pt idx="29">
                  <c:v>5.6642818181818185E-3</c:v>
                </c:pt>
                <c:pt idx="30">
                  <c:v>4.0442212121212118E-3</c:v>
                </c:pt>
                <c:pt idx="31">
                  <c:v>2.8594259036144589E-3</c:v>
                </c:pt>
                <c:pt idx="32">
                  <c:v>1.9090042168674718E-3</c:v>
                </c:pt>
                <c:pt idx="33">
                  <c:v>1.3763000000000013E-3</c:v>
                </c:pt>
                <c:pt idx="34">
                  <c:v>9.3088642424242485E-4</c:v>
                </c:pt>
                <c:pt idx="35">
                  <c:v>6.4672884848484917E-4</c:v>
                </c:pt>
                <c:pt idx="36">
                  <c:v>4.5366800000000033E-4</c:v>
                </c:pt>
                <c:pt idx="37">
                  <c:v>3.0595765809379738E-4</c:v>
                </c:pt>
                <c:pt idx="38">
                  <c:v>2.643991104387293E-4</c:v>
                </c:pt>
                <c:pt idx="39">
                  <c:v>2.2284056278366123E-4</c:v>
                </c:pt>
                <c:pt idx="40">
                  <c:v>1.8128201512859315E-4</c:v>
                </c:pt>
                <c:pt idx="41">
                  <c:v>1.397234674735251E-4</c:v>
                </c:pt>
                <c:pt idx="42">
                  <c:v>9.8164919818457028E-5</c:v>
                </c:pt>
                <c:pt idx="43">
                  <c:v>5.660637216338898E-5</c:v>
                </c:pt>
                <c:pt idx="44">
                  <c:v>3.0996986384266278E-5</c:v>
                </c:pt>
                <c:pt idx="45">
                  <c:v>2.6529512859304093E-5</c:v>
                </c:pt>
                <c:pt idx="46">
                  <c:v>2.2062039334341909E-5</c:v>
                </c:pt>
                <c:pt idx="47">
                  <c:v>1.7594565809379727E-5</c:v>
                </c:pt>
                <c:pt idx="48">
                  <c:v>1.3127092284417543E-5</c:v>
                </c:pt>
                <c:pt idx="49">
                  <c:v>8.6596187594553582E-6</c:v>
                </c:pt>
                <c:pt idx="50">
                  <c:v>4.1921452344931735E-6</c:v>
                </c:pt>
                <c:pt idx="51">
                  <c:v>2.9773789121212098E-6</c:v>
                </c:pt>
                <c:pt idx="52">
                  <c:v>2.4766214878787855E-6</c:v>
                </c:pt>
                <c:pt idx="53">
                  <c:v>1.9758640636363612E-6</c:v>
                </c:pt>
                <c:pt idx="54">
                  <c:v>1.4751066393939374E-6</c:v>
                </c:pt>
                <c:pt idx="55">
                  <c:v>9.7434921515151307E-7</c:v>
                </c:pt>
                <c:pt idx="56">
                  <c:v>4.7359179090908878E-7</c:v>
                </c:pt>
                <c:pt idx="57">
                  <c:v>7.514116867469864E-8</c:v>
                </c:pt>
                <c:pt idx="58">
                  <c:v>3.9414662650602312E-8</c:v>
                </c:pt>
                <c:pt idx="59">
                  <c:v>1.7789375757575735E-8</c:v>
                </c:pt>
                <c:pt idx="60">
                  <c:v>7.2436181818181591E-9</c:v>
                </c:pt>
                <c:pt idx="61">
                  <c:v>3.7129678787878722E-9</c:v>
                </c:pt>
                <c:pt idx="62">
                  <c:v>1.4240292121212105E-9</c:v>
                </c:pt>
                <c:pt idx="63">
                  <c:v>6.9452618181818013E-10</c:v>
                </c:pt>
                <c:pt idx="64">
                  <c:v>2.9726612121212078E-10</c:v>
                </c:pt>
                <c:pt idx="65">
                  <c:v>1.1242369696969652E-10</c:v>
                </c:pt>
                <c:pt idx="66">
                  <c:v>6.0129759036144536E-11</c:v>
                </c:pt>
                <c:pt idx="67">
                  <c:v>2.373932727272727E-11</c:v>
                </c:pt>
                <c:pt idx="68">
                  <c:v>1.157041818181818E-11</c:v>
                </c:pt>
                <c:pt idx="69">
                  <c:v>5.2199939393939392E-12</c:v>
                </c:pt>
                <c:pt idx="70">
                  <c:v>2.0025999999999996E-12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C681-49BA-8609-3902CD5A10D8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(DGaSe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8.144792727272731E-6</c:v>
                </c:pt>
                <c:pt idx="1">
                  <c:v>1.2367880000000008E-5</c:v>
                </c:pt>
                <c:pt idx="2">
                  <c:v>1.8723880000000007E-5</c:v>
                </c:pt>
                <c:pt idx="3">
                  <c:v>3.0952884848484866E-5</c:v>
                </c:pt>
                <c:pt idx="4">
                  <c:v>5.3736378214826152E-5</c:v>
                </c:pt>
                <c:pt idx="5">
                  <c:v>1.7291610590015134E-4</c:v>
                </c:pt>
                <c:pt idx="6">
                  <c:v>2.9209583358547661E-4</c:v>
                </c:pt>
                <c:pt idx="7">
                  <c:v>4.1127556127080182E-4</c:v>
                </c:pt>
                <c:pt idx="8">
                  <c:v>5.3045528895612703E-4</c:v>
                </c:pt>
                <c:pt idx="9">
                  <c:v>6.4963501664145218E-4</c:v>
                </c:pt>
                <c:pt idx="10">
                  <c:v>7.6881474432677745E-4</c:v>
                </c:pt>
                <c:pt idx="11">
                  <c:v>1.038130545454545E-3</c:v>
                </c:pt>
                <c:pt idx="12">
                  <c:v>1.4767487272727268E-3</c:v>
                </c:pt>
                <c:pt idx="13">
                  <c:v>2.1608599999999993E-3</c:v>
                </c:pt>
                <c:pt idx="14">
                  <c:v>2.9729554216867461E-3</c:v>
                </c:pt>
                <c:pt idx="15">
                  <c:v>4.1468108433734951E-3</c:v>
                </c:pt>
                <c:pt idx="16">
                  <c:v>5.6491800000000036E-3</c:v>
                </c:pt>
                <c:pt idx="17">
                  <c:v>7.4671800000000038E-3</c:v>
                </c:pt>
                <c:pt idx="18">
                  <c:v>1.0056886666666673E-2</c:v>
                </c:pt>
                <c:pt idx="19">
                  <c:v>1.3020363636363644E-2</c:v>
                </c:pt>
                <c:pt idx="20">
                  <c:v>1.691733333333334E-2</c:v>
                </c:pt>
                <c:pt idx="21">
                  <c:v>2.1566060606060616E-2</c:v>
                </c:pt>
                <c:pt idx="22">
                  <c:v>2.6805454545454556E-2</c:v>
                </c:pt>
                <c:pt idx="23">
                  <c:v>3.3064271084337356E-2</c:v>
                </c:pt>
                <c:pt idx="24">
                  <c:v>3.9553999999999999E-2</c:v>
                </c:pt>
                <c:pt idx="25">
                  <c:v>4.6434000000000003E-2</c:v>
                </c:pt>
                <c:pt idx="26">
                  <c:v>5.2980545454545454E-2</c:v>
                </c:pt>
                <c:pt idx="27">
                  <c:v>5.930478787878788E-2</c:v>
                </c:pt>
                <c:pt idx="28">
                  <c:v>6.4271969696969689E-2</c:v>
                </c:pt>
                <c:pt idx="29">
                  <c:v>6.8670999999999996E-2</c:v>
                </c:pt>
                <c:pt idx="30">
                  <c:v>7.1911000000000003E-2</c:v>
                </c:pt>
                <c:pt idx="31">
                  <c:v>7.4279999999999999E-2</c:v>
                </c:pt>
                <c:pt idx="32">
                  <c:v>7.6179999999999998E-2</c:v>
                </c:pt>
                <c:pt idx="33">
                  <c:v>7.7243599999999996E-2</c:v>
                </c:pt>
                <c:pt idx="34">
                  <c:v>7.8131636363636361E-2</c:v>
                </c:pt>
                <c:pt idx="35">
                  <c:v>7.8695272727272725E-2</c:v>
                </c:pt>
                <c:pt idx="36">
                  <c:v>7.9071981818181813E-2</c:v>
                </c:pt>
                <c:pt idx="37">
                  <c:v>7.9351360060514381E-2</c:v>
                </c:pt>
                <c:pt idx="38">
                  <c:v>7.9310361573373678E-2</c:v>
                </c:pt>
                <c:pt idx="39">
                  <c:v>7.9269363086232988E-2</c:v>
                </c:pt>
                <c:pt idx="40">
                  <c:v>7.9228364599092285E-2</c:v>
                </c:pt>
                <c:pt idx="41">
                  <c:v>7.9187366111951596E-2</c:v>
                </c:pt>
                <c:pt idx="42">
                  <c:v>7.9146367624810893E-2</c:v>
                </c:pt>
                <c:pt idx="43">
                  <c:v>7.9105369137670203E-2</c:v>
                </c:pt>
                <c:pt idx="44">
                  <c:v>7.8333240544629354E-2</c:v>
                </c:pt>
                <c:pt idx="45">
                  <c:v>7.6591939485627841E-2</c:v>
                </c:pt>
                <c:pt idx="46">
                  <c:v>7.4850638426626329E-2</c:v>
                </c:pt>
                <c:pt idx="47">
                  <c:v>7.3109337367624802E-2</c:v>
                </c:pt>
                <c:pt idx="48">
                  <c:v>7.1368036308623289E-2</c:v>
                </c:pt>
                <c:pt idx="49">
                  <c:v>6.9626735249621777E-2</c:v>
                </c:pt>
                <c:pt idx="50">
                  <c:v>6.7885434190620264E-2</c:v>
                </c:pt>
                <c:pt idx="51">
                  <c:v>6.2340275757575725E-2</c:v>
                </c:pt>
                <c:pt idx="52">
                  <c:v>5.5960124242424206E-2</c:v>
                </c:pt>
                <c:pt idx="53">
                  <c:v>4.9579972727272693E-2</c:v>
                </c:pt>
                <c:pt idx="54">
                  <c:v>4.3199821212121181E-2</c:v>
                </c:pt>
                <c:pt idx="55">
                  <c:v>3.6819669696969662E-2</c:v>
                </c:pt>
                <c:pt idx="56">
                  <c:v>3.043951818181815E-2</c:v>
                </c:pt>
                <c:pt idx="57">
                  <c:v>2.4302831325301182E-2</c:v>
                </c:pt>
                <c:pt idx="58">
                  <c:v>1.9029337349397577E-2</c:v>
                </c:pt>
                <c:pt idx="59">
                  <c:v>1.4608151515151508E-2</c:v>
                </c:pt>
                <c:pt idx="60">
                  <c:v>1.0856636363636357E-2</c:v>
                </c:pt>
                <c:pt idx="61">
                  <c:v>8.2869630303030253E-3</c:v>
                </c:pt>
                <c:pt idx="62">
                  <c:v>6.0737218181818146E-3</c:v>
                </c:pt>
                <c:pt idx="63">
                  <c:v>4.5422672727272687E-3</c:v>
                </c:pt>
                <c:pt idx="64">
                  <c:v>3.3751121212121189E-3</c:v>
                </c:pt>
                <c:pt idx="65">
                  <c:v>2.4408696969696947E-3</c:v>
                </c:pt>
                <c:pt idx="66">
                  <c:v>1.8644542168674695E-3</c:v>
                </c:pt>
                <c:pt idx="67">
                  <c:v>1.3689000000000002E-3</c:v>
                </c:pt>
                <c:pt idx="68">
                  <c:v>1.0272333333333334E-3</c:v>
                </c:pt>
                <c:pt idx="69">
                  <c:v>7.7267848484848488E-4</c:v>
                </c:pt>
                <c:pt idx="70">
                  <c:v>5.6503E-4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C681-49BA-8609-3902CD5A10D8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(DGe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1.8518487272727281E-6</c:v>
                </c:pt>
                <c:pt idx="1">
                  <c:v>3.4363939393939423E-6</c:v>
                </c:pt>
                <c:pt idx="2">
                  <c:v>6.2242727272727299E-6</c:v>
                </c:pt>
                <c:pt idx="3">
                  <c:v>1.4302660606060617E-5</c:v>
                </c:pt>
                <c:pt idx="4">
                  <c:v>5.3347586989410396E-5</c:v>
                </c:pt>
                <c:pt idx="5">
                  <c:v>4.2600492435703504E-4</c:v>
                </c:pt>
                <c:pt idx="6">
                  <c:v>7.9866226172465974E-4</c:v>
                </c:pt>
                <c:pt idx="7">
                  <c:v>1.1713195990922846E-3</c:v>
                </c:pt>
                <c:pt idx="8">
                  <c:v>1.543976936459909E-3</c:v>
                </c:pt>
                <c:pt idx="9">
                  <c:v>1.9166342738275337E-3</c:v>
                </c:pt>
                <c:pt idx="10">
                  <c:v>2.2892916111951584E-3</c:v>
                </c:pt>
                <c:pt idx="11">
                  <c:v>3.6487824242424213E-3</c:v>
                </c:pt>
                <c:pt idx="12">
                  <c:v>6.1210854545454517E-3</c:v>
                </c:pt>
                <c:pt idx="13">
                  <c:v>1.1046729090909084E-2</c:v>
                </c:pt>
                <c:pt idx="14">
                  <c:v>1.732736746987951E-2</c:v>
                </c:pt>
                <c:pt idx="15">
                  <c:v>2.7594234939759051E-2</c:v>
                </c:pt>
                <c:pt idx="16">
                  <c:v>4.1002290909090952E-2</c:v>
                </c:pt>
                <c:pt idx="17">
                  <c:v>5.7428351515151556E-2</c:v>
                </c:pt>
                <c:pt idx="18">
                  <c:v>7.8544800000000053E-2</c:v>
                </c:pt>
                <c:pt idx="19">
                  <c:v>0.10090436363636369</c:v>
                </c:pt>
                <c:pt idx="20">
                  <c:v>0.12506800000000004</c:v>
                </c:pt>
                <c:pt idx="21">
                  <c:v>0.14793854545454549</c:v>
                </c:pt>
                <c:pt idx="22">
                  <c:v>0.16979309090909095</c:v>
                </c:pt>
                <c:pt idx="23">
                  <c:v>0.18657765060240966</c:v>
                </c:pt>
                <c:pt idx="24">
                  <c:v>0.20144000000000001</c:v>
                </c:pt>
                <c:pt idx="25">
                  <c:v>0.21204000000000001</c:v>
                </c:pt>
                <c:pt idx="26">
                  <c:v>0.22003636363636364</c:v>
                </c:pt>
                <c:pt idx="27">
                  <c:v>0.22629696969696969</c:v>
                </c:pt>
                <c:pt idx="28">
                  <c:v>0.22996666666666668</c:v>
                </c:pt>
                <c:pt idx="29">
                  <c:v>0.23303090909090909</c:v>
                </c:pt>
                <c:pt idx="30">
                  <c:v>0.23500060606060608</c:v>
                </c:pt>
                <c:pt idx="31">
                  <c:v>0.23640265060240964</c:v>
                </c:pt>
                <c:pt idx="32">
                  <c:v>0.23749903614457832</c:v>
                </c:pt>
                <c:pt idx="33">
                  <c:v>0.238122</c:v>
                </c:pt>
                <c:pt idx="34">
                  <c:v>0.23865157575757576</c:v>
                </c:pt>
                <c:pt idx="35">
                  <c:v>0.23900915151515151</c:v>
                </c:pt>
                <c:pt idx="36">
                  <c:v>0.23926218181818182</c:v>
                </c:pt>
                <c:pt idx="37">
                  <c:v>0.23946272314674735</c:v>
                </c:pt>
                <c:pt idx="38">
                  <c:v>0.23953080181543118</c:v>
                </c:pt>
                <c:pt idx="39">
                  <c:v>0.23959888048411498</c:v>
                </c:pt>
                <c:pt idx="40">
                  <c:v>0.23966695915279879</c:v>
                </c:pt>
                <c:pt idx="41">
                  <c:v>0.23973503782148262</c:v>
                </c:pt>
                <c:pt idx="42">
                  <c:v>0.23980311649016642</c:v>
                </c:pt>
                <c:pt idx="43">
                  <c:v>0.23987119515885025</c:v>
                </c:pt>
                <c:pt idx="44">
                  <c:v>0.2399145537065053</c:v>
                </c:pt>
                <c:pt idx="45">
                  <c:v>0.2399251437216339</c:v>
                </c:pt>
                <c:pt idx="46">
                  <c:v>0.2399357337367625</c:v>
                </c:pt>
                <c:pt idx="47">
                  <c:v>0.23994632375189107</c:v>
                </c:pt>
                <c:pt idx="48">
                  <c:v>0.23995691376701966</c:v>
                </c:pt>
                <c:pt idx="49">
                  <c:v>0.23996750378214826</c:v>
                </c:pt>
                <c:pt idx="50">
                  <c:v>0.23997809379727686</c:v>
                </c:pt>
                <c:pt idx="51">
                  <c:v>0.23998248484848483</c:v>
                </c:pt>
                <c:pt idx="52">
                  <c:v>0.23998551515151514</c:v>
                </c:pt>
                <c:pt idx="53">
                  <c:v>0.23998854545454545</c:v>
                </c:pt>
                <c:pt idx="54">
                  <c:v>0.23999157575757576</c:v>
                </c:pt>
                <c:pt idx="55">
                  <c:v>0.23999460606060605</c:v>
                </c:pt>
                <c:pt idx="56">
                  <c:v>0.23999763636363636</c:v>
                </c:pt>
                <c:pt idx="57">
                  <c:v>0.24</c:v>
                </c:pt>
                <c:pt idx="58">
                  <c:v>0.24</c:v>
                </c:pt>
                <c:pt idx="59">
                  <c:v>0.24</c:v>
                </c:pt>
                <c:pt idx="60">
                  <c:v>0.24</c:v>
                </c:pt>
                <c:pt idx="61">
                  <c:v>0.24</c:v>
                </c:pt>
                <c:pt idx="62">
                  <c:v>0.24</c:v>
                </c:pt>
                <c:pt idx="63">
                  <c:v>0.24</c:v>
                </c:pt>
                <c:pt idx="64">
                  <c:v>0.24</c:v>
                </c:pt>
                <c:pt idx="65">
                  <c:v>0.24</c:v>
                </c:pt>
                <c:pt idx="66">
                  <c:v>0.24</c:v>
                </c:pt>
                <c:pt idx="67">
                  <c:v>0.24</c:v>
                </c:pt>
                <c:pt idx="68">
                  <c:v>0.24</c:v>
                </c:pt>
                <c:pt idx="69">
                  <c:v>0.24</c:v>
                </c:pt>
                <c:pt idx="70">
                  <c:v>0.24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C681-49BA-8609-3902CD5A10D8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(DGa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3.9289779393939436E-25</c:v>
                </c:pt>
                <c:pt idx="1">
                  <c:v>4.9760621212121333E-24</c:v>
                </c:pt>
                <c:pt idx="2">
                  <c:v>1.6445304545454558E-23</c:v>
                </c:pt>
                <c:pt idx="3">
                  <c:v>2.8815899393939435E-22</c:v>
                </c:pt>
                <c:pt idx="4">
                  <c:v>2.2815268208321047E-18</c:v>
                </c:pt>
                <c:pt idx="5">
                  <c:v>3.0792778456233002E-17</c:v>
                </c:pt>
                <c:pt idx="6">
                  <c:v>5.9304030091633909E-17</c:v>
                </c:pt>
                <c:pt idx="7">
                  <c:v>8.7815281727034804E-17</c:v>
                </c:pt>
                <c:pt idx="8">
                  <c:v>1.1632653336243571E-16</c:v>
                </c:pt>
                <c:pt idx="9">
                  <c:v>1.4483778499783661E-16</c:v>
                </c:pt>
                <c:pt idx="10">
                  <c:v>1.733490366332375E-16</c:v>
                </c:pt>
                <c:pt idx="11">
                  <c:v>9.0170351515151355E-16</c:v>
                </c:pt>
                <c:pt idx="12">
                  <c:v>2.4192429090909073E-15</c:v>
                </c:pt>
                <c:pt idx="13">
                  <c:v>1.6883667878787857E-14</c:v>
                </c:pt>
                <c:pt idx="14">
                  <c:v>5.84461566265059E-14</c:v>
                </c:pt>
                <c:pt idx="15">
                  <c:v>2.1843531325301226E-13</c:v>
                </c:pt>
                <c:pt idx="16">
                  <c:v>9.3629890909091196E-13</c:v>
                </c:pt>
                <c:pt idx="17">
                  <c:v>2.1901595151515179E-12</c:v>
                </c:pt>
                <c:pt idx="18">
                  <c:v>9.6857593939394146E-12</c:v>
                </c:pt>
                <c:pt idx="19">
                  <c:v>2.7304545454545575E-11</c:v>
                </c:pt>
                <c:pt idx="20">
                  <c:v>7.9183333333333453E-11</c:v>
                </c:pt>
                <c:pt idx="21">
                  <c:v>2.6220393939394003E-10</c:v>
                </c:pt>
                <c:pt idx="22">
                  <c:v>5.4826454545454599E-10</c:v>
                </c:pt>
                <c:pt idx="23">
                  <c:v>1.8529382530120499E-9</c:v>
                </c:pt>
                <c:pt idx="24">
                  <c:v>4.4518484848484852E-9</c:v>
                </c:pt>
                <c:pt idx="25">
                  <c:v>1.0631242424242426E-8</c:v>
                </c:pt>
                <c:pt idx="26">
                  <c:v>2.7327363636363635E-8</c:v>
                </c:pt>
                <c:pt idx="27">
                  <c:v>5.1034636363636363E-8</c:v>
                </c:pt>
                <c:pt idx="28">
                  <c:v>1.2862878787878787E-7</c:v>
                </c:pt>
                <c:pt idx="29">
                  <c:v>2.5882272727272727E-7</c:v>
                </c:pt>
                <c:pt idx="30">
                  <c:v>5.0513181818181822E-7</c:v>
                </c:pt>
                <c:pt idx="31">
                  <c:v>1.0418996385542163E-6</c:v>
                </c:pt>
                <c:pt idx="32">
                  <c:v>1.7350683132530105E-6</c:v>
                </c:pt>
                <c:pt idx="33">
                  <c:v>3.582199999999996E-6</c:v>
                </c:pt>
                <c:pt idx="34">
                  <c:v>6.4125636363636262E-6</c:v>
                </c:pt>
                <c:pt idx="35">
                  <c:v>1.1128927272727263E-5</c:v>
                </c:pt>
                <c:pt idx="36">
                  <c:v>2.0503418181818157E-5</c:v>
                </c:pt>
                <c:pt idx="37">
                  <c:v>3.6477252647503501E-5</c:v>
                </c:pt>
                <c:pt idx="38">
                  <c:v>1.6060856883509799E-4</c:v>
                </c:pt>
                <c:pt idx="39">
                  <c:v>2.8473988502269245E-4</c:v>
                </c:pt>
                <c:pt idx="40">
                  <c:v>4.0887120121028698E-4</c:v>
                </c:pt>
                <c:pt idx="41">
                  <c:v>5.3300251739788157E-4</c:v>
                </c:pt>
                <c:pt idx="42">
                  <c:v>6.5713383358547599E-4</c:v>
                </c:pt>
                <c:pt idx="43">
                  <c:v>7.8126514977307053E-4</c:v>
                </c:pt>
                <c:pt idx="44">
                  <c:v>1.6046813313161808E-3</c:v>
                </c:pt>
                <c:pt idx="45">
                  <c:v>3.3550565204235961E-3</c:v>
                </c:pt>
                <c:pt idx="46">
                  <c:v>5.1054317095310126E-3</c:v>
                </c:pt>
                <c:pt idx="47">
                  <c:v>6.8558068986384274E-3</c:v>
                </c:pt>
                <c:pt idx="48">
                  <c:v>8.6061820877458423E-3</c:v>
                </c:pt>
                <c:pt idx="49">
                  <c:v>1.035655727685326E-2</c:v>
                </c:pt>
                <c:pt idx="50">
                  <c:v>1.2106932465960675E-2</c:v>
                </c:pt>
                <c:pt idx="51">
                  <c:v>1.7654345454545486E-2</c:v>
                </c:pt>
                <c:pt idx="52">
                  <c:v>2.4035254545454576E-2</c:v>
                </c:pt>
                <c:pt idx="53">
                  <c:v>3.0416163636363666E-2</c:v>
                </c:pt>
                <c:pt idx="54">
                  <c:v>3.6797072727272756E-2</c:v>
                </c:pt>
                <c:pt idx="55">
                  <c:v>4.3177981818181846E-2</c:v>
                </c:pt>
                <c:pt idx="56">
                  <c:v>4.9558890909090943E-2</c:v>
                </c:pt>
                <c:pt idx="57">
                  <c:v>5.5696301204819304E-2</c:v>
                </c:pt>
                <c:pt idx="58">
                  <c:v>6.0970397590361464E-2</c:v>
                </c:pt>
                <c:pt idx="59">
                  <c:v>6.5391848484848497E-2</c:v>
                </c:pt>
                <c:pt idx="60">
                  <c:v>6.9143363636363642E-2</c:v>
                </c:pt>
                <c:pt idx="61">
                  <c:v>7.1712981818181823E-2</c:v>
                </c:pt>
                <c:pt idx="62">
                  <c:v>7.3926193939393939E-2</c:v>
                </c:pt>
                <c:pt idx="63">
                  <c:v>7.5457709090909098E-2</c:v>
                </c:pt>
                <c:pt idx="64">
                  <c:v>7.6624703030303026E-2</c:v>
                </c:pt>
                <c:pt idx="65">
                  <c:v>7.755864242424243E-2</c:v>
                </c:pt>
                <c:pt idx="66">
                  <c:v>7.8135566265060241E-2</c:v>
                </c:pt>
                <c:pt idx="67">
                  <c:v>7.8631363636363638E-2</c:v>
                </c:pt>
                <c:pt idx="68">
                  <c:v>7.8972575757575755E-2</c:v>
                </c:pt>
                <c:pt idx="69">
                  <c:v>7.9227121212121207E-2</c:v>
                </c:pt>
                <c:pt idx="70">
                  <c:v>7.9435000000000006E-2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C681-49BA-8609-3902CD5A10D8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(1)Se[A]</c:v>
                </c:pt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3.8229806060606086E-9</c:v>
                </c:pt>
                <c:pt idx="1">
                  <c:v>5.9545309090909122E-9</c:v>
                </c:pt>
                <c:pt idx="2">
                  <c:v>8.6343490909090934E-9</c:v>
                </c:pt>
                <c:pt idx="3">
                  <c:v>1.1178962424242427E-8</c:v>
                </c:pt>
                <c:pt idx="4">
                  <c:v>1.3465757942511346E-8</c:v>
                </c:pt>
                <c:pt idx="5">
                  <c:v>1.3362732223903178E-8</c:v>
                </c:pt>
                <c:pt idx="6">
                  <c:v>1.3259706505295008E-8</c:v>
                </c:pt>
                <c:pt idx="7">
                  <c:v>1.3156680786686838E-8</c:v>
                </c:pt>
                <c:pt idx="8">
                  <c:v>1.305365506807867E-8</c:v>
                </c:pt>
                <c:pt idx="9">
                  <c:v>1.29506293494705E-8</c:v>
                </c:pt>
                <c:pt idx="10">
                  <c:v>1.284760363086233E-8</c:v>
                </c:pt>
                <c:pt idx="11">
                  <c:v>1.2424690909090911E-8</c:v>
                </c:pt>
                <c:pt idx="12">
                  <c:v>1.1641054545454546E-8</c:v>
                </c:pt>
                <c:pt idx="13">
                  <c:v>1.1066145454545456E-8</c:v>
                </c:pt>
                <c:pt idx="14">
                  <c:v>1.0590849397590362E-8</c:v>
                </c:pt>
                <c:pt idx="15">
                  <c:v>1.0378198795180723E-8</c:v>
                </c:pt>
                <c:pt idx="16">
                  <c:v>1.0301818181818182E-8</c:v>
                </c:pt>
                <c:pt idx="17">
                  <c:v>1.0356363636363636E-8</c:v>
                </c:pt>
                <c:pt idx="18">
                  <c:v>1.0510460606060606E-8</c:v>
                </c:pt>
                <c:pt idx="19">
                  <c:v>1.0663072727272728E-8</c:v>
                </c:pt>
                <c:pt idx="20">
                  <c:v>1.0749133333333333E-8</c:v>
                </c:pt>
                <c:pt idx="21">
                  <c:v>1.0703169696969696E-8</c:v>
                </c:pt>
                <c:pt idx="22">
                  <c:v>1.0553472727272728E-8</c:v>
                </c:pt>
                <c:pt idx="23">
                  <c:v>1.017737048192771E-8</c:v>
                </c:pt>
                <c:pt idx="24">
                  <c:v>9.7371818181818185E-9</c:v>
                </c:pt>
                <c:pt idx="25">
                  <c:v>9.1719090909090917E-9</c:v>
                </c:pt>
                <c:pt idx="26">
                  <c:v>8.5685272727272732E-9</c:v>
                </c:pt>
                <c:pt idx="27">
                  <c:v>7.9397393939393932E-9</c:v>
                </c:pt>
                <c:pt idx="28">
                  <c:v>7.3161909090909089E-9</c:v>
                </c:pt>
                <c:pt idx="29">
                  <c:v>6.7060999999999994E-9</c:v>
                </c:pt>
                <c:pt idx="30">
                  <c:v>6.1267666666666662E-9</c:v>
                </c:pt>
                <c:pt idx="31">
                  <c:v>5.5895240963855429E-9</c:v>
                </c:pt>
                <c:pt idx="32">
                  <c:v>5.0749457831325317E-9</c:v>
                </c:pt>
                <c:pt idx="33">
                  <c:v>4.622800000000001E-9</c:v>
                </c:pt>
                <c:pt idx="34">
                  <c:v>4.1927357575757585E-9</c:v>
                </c:pt>
                <c:pt idx="35">
                  <c:v>3.8043115151515158E-9</c:v>
                </c:pt>
                <c:pt idx="36">
                  <c:v>3.4550290909090919E-9</c:v>
                </c:pt>
                <c:pt idx="37">
                  <c:v>3.1276493192133139E-9</c:v>
                </c:pt>
                <c:pt idx="38">
                  <c:v>2.903882299546143E-9</c:v>
                </c:pt>
                <c:pt idx="39">
                  <c:v>2.680115279878972E-9</c:v>
                </c:pt>
                <c:pt idx="40">
                  <c:v>2.456348260211801E-9</c:v>
                </c:pt>
                <c:pt idx="41">
                  <c:v>2.2325812405446301E-9</c:v>
                </c:pt>
                <c:pt idx="42">
                  <c:v>2.0088142208774591E-9</c:v>
                </c:pt>
                <c:pt idx="43">
                  <c:v>1.7850472012102884E-9</c:v>
                </c:pt>
                <c:pt idx="44">
                  <c:v>1.6088703177004543E-9</c:v>
                </c:pt>
                <c:pt idx="45">
                  <c:v>1.495778033282905E-9</c:v>
                </c:pt>
                <c:pt idx="46">
                  <c:v>1.3826857488653557E-9</c:v>
                </c:pt>
                <c:pt idx="47">
                  <c:v>1.2695934644478063E-9</c:v>
                </c:pt>
                <c:pt idx="48">
                  <c:v>1.156501180030257E-9</c:v>
                </c:pt>
                <c:pt idx="49">
                  <c:v>1.0434088956127077E-9</c:v>
                </c:pt>
                <c:pt idx="50">
                  <c:v>9.3031661119515847E-10</c:v>
                </c:pt>
                <c:pt idx="51">
                  <c:v>8.6426487878787858E-10</c:v>
                </c:pt>
                <c:pt idx="52">
                  <c:v>8.0853912121212099E-10</c:v>
                </c:pt>
                <c:pt idx="53">
                  <c:v>7.528133636363634E-10</c:v>
                </c:pt>
                <c:pt idx="54">
                  <c:v>6.9708760606060581E-10</c:v>
                </c:pt>
                <c:pt idx="55">
                  <c:v>6.4136184848484822E-10</c:v>
                </c:pt>
                <c:pt idx="56">
                  <c:v>5.8563609090909063E-10</c:v>
                </c:pt>
                <c:pt idx="57">
                  <c:v>5.3324012048192755E-10</c:v>
                </c:pt>
                <c:pt idx="58">
                  <c:v>4.9264975903614445E-10</c:v>
                </c:pt>
                <c:pt idx="59">
                  <c:v>4.5405642424242413E-10</c:v>
                </c:pt>
                <c:pt idx="60">
                  <c:v>4.1703218181818171E-10</c:v>
                </c:pt>
                <c:pt idx="61">
                  <c:v>3.8356521212121205E-10</c:v>
                </c:pt>
                <c:pt idx="62">
                  <c:v>3.514616969696969E-10</c:v>
                </c:pt>
                <c:pt idx="63">
                  <c:v>3.2223745454545448E-10</c:v>
                </c:pt>
                <c:pt idx="64">
                  <c:v>2.9527206060606053E-10</c:v>
                </c:pt>
                <c:pt idx="65">
                  <c:v>2.6975084848484845E-10</c:v>
                </c:pt>
                <c:pt idx="66">
                  <c:v>2.4759843373493976E-10</c:v>
                </c:pt>
                <c:pt idx="67">
                  <c:v>2.2644636363636365E-10</c:v>
                </c:pt>
                <c:pt idx="68">
                  <c:v>2.0730090909090909E-10</c:v>
                </c:pt>
                <c:pt idx="69">
                  <c:v>1.8986121212121213E-10</c:v>
                </c:pt>
                <c:pt idx="70">
                  <c:v>1.7333999999999999E-10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C681-49BA-8609-3902CD5A10D8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1.6113195151515158E-2</c:v>
                </c:pt>
                <c:pt idx="1">
                  <c:v>2.6533103030303047E-2</c:v>
                </c:pt>
                <c:pt idx="2">
                  <c:v>4.0699163636363653E-2</c:v>
                </c:pt>
                <c:pt idx="3">
                  <c:v>5.6751721212121235E-2</c:v>
                </c:pt>
                <c:pt idx="4">
                  <c:v>7.2742187594553712E-2</c:v>
                </c:pt>
                <c:pt idx="5">
                  <c:v>7.9994532526475051E-2</c:v>
                </c:pt>
                <c:pt idx="6">
                  <c:v>8.7246877458396377E-2</c:v>
                </c:pt>
                <c:pt idx="7">
                  <c:v>9.4499222390317703E-2</c:v>
                </c:pt>
                <c:pt idx="8">
                  <c:v>0.10175156732223903</c:v>
                </c:pt>
                <c:pt idx="9">
                  <c:v>0.10900391225416037</c:v>
                </c:pt>
                <c:pt idx="10">
                  <c:v>0.11625625718608168</c:v>
                </c:pt>
                <c:pt idx="11">
                  <c:v>0.12176921212121211</c:v>
                </c:pt>
                <c:pt idx="12">
                  <c:v>0.12532072727272725</c:v>
                </c:pt>
                <c:pt idx="13">
                  <c:v>0.13108375757575758</c:v>
                </c:pt>
                <c:pt idx="14">
                  <c:v>0.13814921686746987</c:v>
                </c:pt>
                <c:pt idx="15">
                  <c:v>0.14920343373493977</c:v>
                </c:pt>
                <c:pt idx="16">
                  <c:v>0.16351563636363642</c:v>
                </c:pt>
                <c:pt idx="17">
                  <c:v>0.18095806060606065</c:v>
                </c:pt>
                <c:pt idx="18">
                  <c:v>0.203435393939394</c:v>
                </c:pt>
                <c:pt idx="19">
                  <c:v>0.2273292727272728</c:v>
                </c:pt>
                <c:pt idx="20">
                  <c:v>0.25346866666666673</c:v>
                </c:pt>
                <c:pt idx="21">
                  <c:v>0.27868490909090915</c:v>
                </c:pt>
                <c:pt idx="22">
                  <c:v>0.30317581818181821</c:v>
                </c:pt>
                <c:pt idx="23">
                  <c:v>0.32309759036144581</c:v>
                </c:pt>
                <c:pt idx="24">
                  <c:v>0.34121060606060605</c:v>
                </c:pt>
                <c:pt idx="25">
                  <c:v>0.35525303030303035</c:v>
                </c:pt>
                <c:pt idx="26">
                  <c:v>0.36652454545454544</c:v>
                </c:pt>
                <c:pt idx="27">
                  <c:v>0.37594878787878788</c:v>
                </c:pt>
                <c:pt idx="28">
                  <c:v>0.38210272727272726</c:v>
                </c:pt>
                <c:pt idx="29">
                  <c:v>0.38736636363636368</c:v>
                </c:pt>
                <c:pt idx="30">
                  <c:v>0.39095424242424243</c:v>
                </c:pt>
                <c:pt idx="31">
                  <c:v>0.39354132530120484</c:v>
                </c:pt>
                <c:pt idx="32">
                  <c:v>0.39558951807228915</c:v>
                </c:pt>
                <c:pt idx="33">
                  <c:v>0.39674999999999999</c:v>
                </c:pt>
                <c:pt idx="34">
                  <c:v>0.39772842424242422</c:v>
                </c:pt>
                <c:pt idx="35">
                  <c:v>0.39837084848484844</c:v>
                </c:pt>
                <c:pt idx="36">
                  <c:v>0.3988292727272727</c:v>
                </c:pt>
                <c:pt idx="37">
                  <c:v>0.39919931921331314</c:v>
                </c:pt>
                <c:pt idx="38">
                  <c:v>0.39943229954614218</c:v>
                </c:pt>
                <c:pt idx="39">
                  <c:v>0.39966527987897121</c:v>
                </c:pt>
                <c:pt idx="40">
                  <c:v>0.3998982602118003</c:v>
                </c:pt>
                <c:pt idx="41">
                  <c:v>0.40013124054462934</c:v>
                </c:pt>
                <c:pt idx="42">
                  <c:v>0.40036422087745838</c:v>
                </c:pt>
                <c:pt idx="43">
                  <c:v>0.40059720121028741</c:v>
                </c:pt>
                <c:pt idx="44">
                  <c:v>0.40148916792738271</c:v>
                </c:pt>
                <c:pt idx="45">
                  <c:v>0.40325467473524962</c:v>
                </c:pt>
                <c:pt idx="46">
                  <c:v>0.40502018154311648</c:v>
                </c:pt>
                <c:pt idx="47">
                  <c:v>0.40678568835098333</c:v>
                </c:pt>
                <c:pt idx="48">
                  <c:v>0.40855119515885019</c:v>
                </c:pt>
                <c:pt idx="49">
                  <c:v>0.4103167019667171</c:v>
                </c:pt>
                <c:pt idx="50">
                  <c:v>0.41208220877458396</c:v>
                </c:pt>
                <c:pt idx="51">
                  <c:v>0.41763433333333333</c:v>
                </c:pt>
                <c:pt idx="52">
                  <c:v>0.42401766666666668</c:v>
                </c:pt>
                <c:pt idx="53">
                  <c:v>0.43040100000000003</c:v>
                </c:pt>
                <c:pt idx="54">
                  <c:v>0.43678433333333333</c:v>
                </c:pt>
                <c:pt idx="55">
                  <c:v>0.44316766666666668</c:v>
                </c:pt>
                <c:pt idx="56">
                  <c:v>0.44955100000000003</c:v>
                </c:pt>
                <c:pt idx="57">
                  <c:v>0.45569096385542168</c:v>
                </c:pt>
                <c:pt idx="58">
                  <c:v>0.46096807228915665</c:v>
                </c:pt>
                <c:pt idx="59">
                  <c:v>0.46539084848484846</c:v>
                </c:pt>
                <c:pt idx="60">
                  <c:v>0.46914236363636364</c:v>
                </c:pt>
                <c:pt idx="61">
                  <c:v>0.47171363636363639</c:v>
                </c:pt>
                <c:pt idx="62">
                  <c:v>0.47392709090909091</c:v>
                </c:pt>
                <c:pt idx="63">
                  <c:v>0.47545436363636362</c:v>
                </c:pt>
                <c:pt idx="64">
                  <c:v>0.47662303030303027</c:v>
                </c:pt>
                <c:pt idx="65">
                  <c:v>0.47756242424242429</c:v>
                </c:pt>
                <c:pt idx="66">
                  <c:v>0.47813783132530124</c:v>
                </c:pt>
                <c:pt idx="67">
                  <c:v>0.47863181818181821</c:v>
                </c:pt>
                <c:pt idx="68">
                  <c:v>0.47897121212121213</c:v>
                </c:pt>
                <c:pt idx="69">
                  <c:v>0.47922393939393942</c:v>
                </c:pt>
                <c:pt idx="70">
                  <c:v>0.47943000000000002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C681-49BA-8609-3902CD5A10D8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1.3421683636363642E-8</c:v>
                </c:pt>
                <c:pt idx="1">
                  <c:v>1.9719218181818192E-8</c:v>
                </c:pt>
                <c:pt idx="2">
                  <c:v>2.7035581818181827E-8</c:v>
                </c:pt>
                <c:pt idx="3">
                  <c:v>3.3029096969696978E-8</c:v>
                </c:pt>
                <c:pt idx="4">
                  <c:v>3.7957338880484114E-8</c:v>
                </c:pt>
                <c:pt idx="5">
                  <c:v>3.6261574886535554E-8</c:v>
                </c:pt>
                <c:pt idx="6">
                  <c:v>3.4565810892586994E-8</c:v>
                </c:pt>
                <c:pt idx="7">
                  <c:v>3.2870046898638427E-8</c:v>
                </c:pt>
                <c:pt idx="8">
                  <c:v>3.1174282904689867E-8</c:v>
                </c:pt>
                <c:pt idx="9">
                  <c:v>2.9478518910741304E-8</c:v>
                </c:pt>
                <c:pt idx="10">
                  <c:v>2.778275491679274E-8</c:v>
                </c:pt>
                <c:pt idx="11">
                  <c:v>2.5709000000000002E-8</c:v>
                </c:pt>
                <c:pt idx="12">
                  <c:v>2.3209000000000003E-8</c:v>
                </c:pt>
                <c:pt idx="13">
                  <c:v>2.1335181818181821E-8</c:v>
                </c:pt>
                <c:pt idx="14">
                  <c:v>1.9727277108433734E-8</c:v>
                </c:pt>
                <c:pt idx="15">
                  <c:v>1.8746554216867469E-8</c:v>
                </c:pt>
                <c:pt idx="16">
                  <c:v>1.8048090909090908E-8</c:v>
                </c:pt>
                <c:pt idx="17">
                  <c:v>1.7620818181818181E-8</c:v>
                </c:pt>
                <c:pt idx="18">
                  <c:v>1.7398381818181818E-8</c:v>
                </c:pt>
                <c:pt idx="19">
                  <c:v>1.7269363636363638E-8</c:v>
                </c:pt>
                <c:pt idx="20">
                  <c:v>1.7366333333333334E-8</c:v>
                </c:pt>
                <c:pt idx="21">
                  <c:v>1.7322793939393938E-8</c:v>
                </c:pt>
                <c:pt idx="22">
                  <c:v>1.7168854545454545E-8</c:v>
                </c:pt>
                <c:pt idx="23">
                  <c:v>1.6643536144578314E-8</c:v>
                </c:pt>
                <c:pt idx="24">
                  <c:v>1.6010636363636366E-8</c:v>
                </c:pt>
                <c:pt idx="25">
                  <c:v>1.5165181818181819E-8</c:v>
                </c:pt>
                <c:pt idx="26">
                  <c:v>1.4247363636363636E-8</c:v>
                </c:pt>
                <c:pt idx="27">
                  <c:v>1.3281303030303031E-8</c:v>
                </c:pt>
                <c:pt idx="28">
                  <c:v>1.2307181818181818E-8</c:v>
                </c:pt>
                <c:pt idx="29">
                  <c:v>1.1349363636363637E-8</c:v>
                </c:pt>
                <c:pt idx="30">
                  <c:v>1.0430575757575757E-8</c:v>
                </c:pt>
                <c:pt idx="31">
                  <c:v>9.5722018072289161E-9</c:v>
                </c:pt>
                <c:pt idx="32">
                  <c:v>8.7463584337349428E-9</c:v>
                </c:pt>
                <c:pt idx="33">
                  <c:v>8.0127000000000023E-9</c:v>
                </c:pt>
                <c:pt idx="34">
                  <c:v>7.3125303030303041E-9</c:v>
                </c:pt>
                <c:pt idx="35">
                  <c:v>6.675560606060607E-9</c:v>
                </c:pt>
                <c:pt idx="36">
                  <c:v>6.0989763636363648E-9</c:v>
                </c:pt>
                <c:pt idx="37">
                  <c:v>5.5563278366111956E-9</c:v>
                </c:pt>
                <c:pt idx="38">
                  <c:v>5.1770237518910746E-9</c:v>
                </c:pt>
                <c:pt idx="39">
                  <c:v>4.7977196671709536E-9</c:v>
                </c:pt>
                <c:pt idx="40">
                  <c:v>4.4184155824508326E-9</c:v>
                </c:pt>
                <c:pt idx="41">
                  <c:v>4.0391114977307125E-9</c:v>
                </c:pt>
                <c:pt idx="42">
                  <c:v>3.6598074130105915E-9</c:v>
                </c:pt>
                <c:pt idx="43">
                  <c:v>3.2805033282904705E-9</c:v>
                </c:pt>
                <c:pt idx="44">
                  <c:v>2.9787488653555227E-9</c:v>
                </c:pt>
                <c:pt idx="45">
                  <c:v>2.779792738275341E-9</c:v>
                </c:pt>
                <c:pt idx="46">
                  <c:v>2.5808366111951589E-9</c:v>
                </c:pt>
                <c:pt idx="47">
                  <c:v>2.3818804841149772E-9</c:v>
                </c:pt>
                <c:pt idx="48">
                  <c:v>2.1829243570347955E-9</c:v>
                </c:pt>
                <c:pt idx="49">
                  <c:v>1.9839682299546133E-9</c:v>
                </c:pt>
                <c:pt idx="50">
                  <c:v>1.7850121028744318E-9</c:v>
                </c:pt>
                <c:pt idx="51">
                  <c:v>1.666355151515151E-9</c:v>
                </c:pt>
                <c:pt idx="52">
                  <c:v>1.5653248484848479E-9</c:v>
                </c:pt>
                <c:pt idx="53">
                  <c:v>1.4642945454545448E-9</c:v>
                </c:pt>
                <c:pt idx="54">
                  <c:v>1.363264242424242E-9</c:v>
                </c:pt>
                <c:pt idx="55">
                  <c:v>1.2622339393939389E-9</c:v>
                </c:pt>
                <c:pt idx="56">
                  <c:v>1.1612036363636358E-9</c:v>
                </c:pt>
                <c:pt idx="57">
                  <c:v>1.0657436144578308E-9</c:v>
                </c:pt>
                <c:pt idx="58">
                  <c:v>9.9003277108433708E-10</c:v>
                </c:pt>
                <c:pt idx="59">
                  <c:v>9.1756412121212104E-10</c:v>
                </c:pt>
                <c:pt idx="60">
                  <c:v>8.4764290909090898E-10</c:v>
                </c:pt>
                <c:pt idx="61">
                  <c:v>7.837663030303029E-10</c:v>
                </c:pt>
                <c:pt idx="62">
                  <c:v>7.2226812121212113E-10</c:v>
                </c:pt>
                <c:pt idx="63">
                  <c:v>6.6583781818181809E-10</c:v>
                </c:pt>
                <c:pt idx="64">
                  <c:v>6.1345939393939384E-10</c:v>
                </c:pt>
                <c:pt idx="65">
                  <c:v>5.6367151515151499E-10</c:v>
                </c:pt>
                <c:pt idx="66">
                  <c:v>5.2005301204819272E-10</c:v>
                </c:pt>
                <c:pt idx="67">
                  <c:v>4.7828000000000003E-10</c:v>
                </c:pt>
                <c:pt idx="68">
                  <c:v>4.4021333333333332E-10</c:v>
                </c:pt>
                <c:pt idx="69">
                  <c:v>4.0534151515151513E-10</c:v>
                </c:pt>
                <c:pt idx="70">
                  <c:v>3.7218999999999998E-10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C681-49BA-8609-3902CD5A10D8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(2)Ga[l]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1.739711043872904E-29</c:v>
                </c:pt>
                <c:pt idx="45">
                  <c:v>5.7855506807866774E-29</c:v>
                </c:pt>
                <c:pt idx="46">
                  <c:v>9.8313903177004503E-29</c:v>
                </c:pt>
                <c:pt idx="47">
                  <c:v>1.3877229954614222E-28</c:v>
                </c:pt>
                <c:pt idx="48">
                  <c:v>1.7923069591527995E-28</c:v>
                </c:pt>
                <c:pt idx="49">
                  <c:v>2.196890922844177E-28</c:v>
                </c:pt>
                <c:pt idx="50">
                  <c:v>2.6014748865355543E-28</c:v>
                </c:pt>
                <c:pt idx="51">
                  <c:v>3.1393575757578274E-15</c:v>
                </c:pt>
                <c:pt idx="52">
                  <c:v>6.9678424242426355E-15</c:v>
                </c:pt>
                <c:pt idx="53">
                  <c:v>1.0796327272727445E-14</c:v>
                </c:pt>
                <c:pt idx="54">
                  <c:v>1.4624812121212252E-14</c:v>
                </c:pt>
                <c:pt idx="55">
                  <c:v>1.8453296969697059E-14</c:v>
                </c:pt>
                <c:pt idx="56">
                  <c:v>2.2281781818181867E-14</c:v>
                </c:pt>
                <c:pt idx="57">
                  <c:v>2.4544453012048614E-13</c:v>
                </c:pt>
                <c:pt idx="58">
                  <c:v>1.2462469397590391E-12</c:v>
                </c:pt>
                <c:pt idx="59">
                  <c:v>1.1443293333333371E-11</c:v>
                </c:pt>
                <c:pt idx="60">
                  <c:v>2.8865960000000039E-11</c:v>
                </c:pt>
                <c:pt idx="61">
                  <c:v>8.0779612121212242E-11</c:v>
                </c:pt>
                <c:pt idx="62">
                  <c:v>1.9348945454545518E-10</c:v>
                </c:pt>
                <c:pt idx="63">
                  <c:v>4.6952581818181878E-10</c:v>
                </c:pt>
                <c:pt idx="64">
                  <c:v>1.0956504242424264E-9</c:v>
                </c:pt>
                <c:pt idx="65">
                  <c:v>1.9456019393939417E-9</c:v>
                </c:pt>
                <c:pt idx="66">
                  <c:v>4.0711277108433757E-9</c:v>
                </c:pt>
                <c:pt idx="67">
                  <c:v>7.1356181818181823E-9</c:v>
                </c:pt>
                <c:pt idx="68">
                  <c:v>1.2267012121212121E-8</c:v>
                </c:pt>
                <c:pt idx="69">
                  <c:v>2.147418181818182E-8</c:v>
                </c:pt>
                <c:pt idx="70">
                  <c:v>3.2876000000000003E-8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C681-49BA-8609-3902CD5A10D8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>
                  <c:v>-18.618363636363636</c:v>
                </c:pt>
                <c:pt idx="3">
                  <c:v>-18.624424242424244</c:v>
                </c:pt>
                <c:pt idx="4">
                  <c:v>-18.631089258698939</c:v>
                </c:pt>
                <c:pt idx="5">
                  <c:v>-18.644704992435702</c:v>
                </c:pt>
                <c:pt idx="6">
                  <c:v>-18.658320726172466</c:v>
                </c:pt>
                <c:pt idx="7">
                  <c:v>-18.671936459909226</c:v>
                </c:pt>
                <c:pt idx="8">
                  <c:v>-18.685552193645989</c:v>
                </c:pt>
                <c:pt idx="9">
                  <c:v>-18.699167927382753</c:v>
                </c:pt>
                <c:pt idx="10">
                  <c:v>-18.712783661119516</c:v>
                </c:pt>
                <c:pt idx="11">
                  <c:v>-18.728545454545454</c:v>
                </c:pt>
                <c:pt idx="12">
                  <c:v>-18.746727272727274</c:v>
                </c:pt>
                <c:pt idx="13">
                  <c:v>-18.764909090909093</c:v>
                </c:pt>
                <c:pt idx="14">
                  <c:v>-18.783072289156628</c:v>
                </c:pt>
                <c:pt idx="15">
                  <c:v>-18.801144578313252</c:v>
                </c:pt>
                <c:pt idx="16">
                  <c:v>-18.819272727272725</c:v>
                </c:pt>
                <c:pt idx="17">
                  <c:v>-18.837454545454545</c:v>
                </c:pt>
                <c:pt idx="18">
                  <c:v>-18.855636363636364</c:v>
                </c:pt>
                <c:pt idx="19">
                  <c:v>-18.873818181818184</c:v>
                </c:pt>
                <c:pt idx="20">
                  <c:v>-18.891999999999999</c:v>
                </c:pt>
                <c:pt idx="21">
                  <c:v>-18.913575757575757</c:v>
                </c:pt>
                <c:pt idx="22">
                  <c:v>-18.937818181818184</c:v>
                </c:pt>
                <c:pt idx="23">
                  <c:v>-18.95644578313253</c:v>
                </c:pt>
                <c:pt idx="24">
                  <c:v>-18.976060606060607</c:v>
                </c:pt>
                <c:pt idx="25">
                  <c:v>-19.00030303030303</c:v>
                </c:pt>
                <c:pt idx="26">
                  <c:v>-19.020909090909093</c:v>
                </c:pt>
                <c:pt idx="27">
                  <c:v>-19.039090909090909</c:v>
                </c:pt>
                <c:pt idx="28">
                  <c:v>-19.057272727272728</c:v>
                </c:pt>
                <c:pt idx="29">
                  <c:v>-19.077272727272728</c:v>
                </c:pt>
                <c:pt idx="30">
                  <c:v>-19.101515151515152</c:v>
                </c:pt>
                <c:pt idx="31">
                  <c:v>-19.121746987951806</c:v>
                </c:pt>
                <c:pt idx="32">
                  <c:v>-19.139819277108433</c:v>
                </c:pt>
                <c:pt idx="33">
                  <c:v>-19.164000000000001</c:v>
                </c:pt>
                <c:pt idx="34">
                  <c:v>-19.186181818181819</c:v>
                </c:pt>
                <c:pt idx="35">
                  <c:v>-19.204363636363638</c:v>
                </c:pt>
                <c:pt idx="36">
                  <c:v>-19.226727272727274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-19.388456883509832</c:v>
                </c:pt>
                <c:pt idx="45">
                  <c:v>-19.408124054462935</c:v>
                </c:pt>
                <c:pt idx="46">
                  <c:v>-19.427791225416037</c:v>
                </c:pt>
                <c:pt idx="47">
                  <c:v>-19.447458396369139</c:v>
                </c:pt>
                <c:pt idx="48">
                  <c:v>-19.467125567322238</c:v>
                </c:pt>
                <c:pt idx="49">
                  <c:v>-19.486792738275341</c:v>
                </c:pt>
                <c:pt idx="50">
                  <c:v>-19.506459909228443</c:v>
                </c:pt>
                <c:pt idx="51">
                  <c:v>-19.526151515151518</c:v>
                </c:pt>
                <c:pt idx="52">
                  <c:v>-19.545848484848488</c:v>
                </c:pt>
                <c:pt idx="53">
                  <c:v>-19.565545454545457</c:v>
                </c:pt>
                <c:pt idx="54">
                  <c:v>-19.585242424242427</c:v>
                </c:pt>
                <c:pt idx="55">
                  <c:v>-19.604939393939397</c:v>
                </c:pt>
                <c:pt idx="56">
                  <c:v>-19.624636363636366</c:v>
                </c:pt>
                <c:pt idx="57">
                  <c:v>-19.643975903614457</c:v>
                </c:pt>
                <c:pt idx="58">
                  <c:v>-19.662048192771085</c:v>
                </c:pt>
                <c:pt idx="59">
                  <c:v>-19.680181818181818</c:v>
                </c:pt>
                <c:pt idx="60">
                  <c:v>-19.698363636363634</c:v>
                </c:pt>
                <c:pt idx="61">
                  <c:v>-19.716545454545454</c:v>
                </c:pt>
                <c:pt idx="62">
                  <c:v>-19.734727272727273</c:v>
                </c:pt>
                <c:pt idx="63">
                  <c:v>-19.752909090909093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C681-49BA-8609-3902CD5A10D8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H (Ga)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-60.735090909090907</c:v>
                </c:pt>
                <c:pt idx="1">
                  <c:v>-58.673878787878785</c:v>
                </c:pt>
                <c:pt idx="2">
                  <c:v>-56.631454545454545</c:v>
                </c:pt>
                <c:pt idx="3">
                  <c:v>-54.589030303030299</c:v>
                </c:pt>
                <c:pt idx="4">
                  <c:v>-52.560166414523451</c:v>
                </c:pt>
                <c:pt idx="5">
                  <c:v>-50.687246596066565</c:v>
                </c:pt>
                <c:pt idx="6">
                  <c:v>-48.814326777609679</c:v>
                </c:pt>
                <c:pt idx="7">
                  <c:v>-46.9414069591528</c:v>
                </c:pt>
                <c:pt idx="8">
                  <c:v>-45.068487140695915</c:v>
                </c:pt>
                <c:pt idx="9">
                  <c:v>-43.195567322239029</c:v>
                </c:pt>
                <c:pt idx="10">
                  <c:v>-41.32264750378215</c:v>
                </c:pt>
                <c:pt idx="11">
                  <c:v>-39.589393939393936</c:v>
                </c:pt>
                <c:pt idx="12">
                  <c:v>-38.013636363636365</c:v>
                </c:pt>
                <c:pt idx="13">
                  <c:v>-36.542242424242424</c:v>
                </c:pt>
                <c:pt idx="14">
                  <c:v>-35.117771084337356</c:v>
                </c:pt>
                <c:pt idx="15">
                  <c:v>-33.810542168674701</c:v>
                </c:pt>
                <c:pt idx="16">
                  <c:v>-32.561090909090908</c:v>
                </c:pt>
                <c:pt idx="17">
                  <c:v>-31.367151515151512</c:v>
                </c:pt>
                <c:pt idx="18">
                  <c:v>-30.256606060606057</c:v>
                </c:pt>
                <c:pt idx="19">
                  <c:v>-29.173636363636362</c:v>
                </c:pt>
                <c:pt idx="20">
                  <c:v>-28.143333333333331</c:v>
                </c:pt>
                <c:pt idx="21">
                  <c:v>-27.143575757575757</c:v>
                </c:pt>
                <c:pt idx="22">
                  <c:v>-26.167818181818177</c:v>
                </c:pt>
                <c:pt idx="23">
                  <c:v>-25.252228915662648</c:v>
                </c:pt>
                <c:pt idx="24">
                  <c:v>-24.354848484848485</c:v>
                </c:pt>
                <c:pt idx="25">
                  <c:v>-23.494242424242422</c:v>
                </c:pt>
                <c:pt idx="26">
                  <c:v>-22.673636363636362</c:v>
                </c:pt>
                <c:pt idx="27">
                  <c:v>-21.879696969696969</c:v>
                </c:pt>
                <c:pt idx="28">
                  <c:v>-21.149090909090908</c:v>
                </c:pt>
                <c:pt idx="29">
                  <c:v>-20.438181818181818</c:v>
                </c:pt>
                <c:pt idx="30">
                  <c:v>-19.765454545454546</c:v>
                </c:pt>
                <c:pt idx="31">
                  <c:v>-19.126686746987954</c:v>
                </c:pt>
                <c:pt idx="32">
                  <c:v>-18.506204819277109</c:v>
                </c:pt>
                <c:pt idx="33">
                  <c:v>-17.918000000000003</c:v>
                </c:pt>
                <c:pt idx="34">
                  <c:v>-17.342484848484851</c:v>
                </c:pt>
                <c:pt idx="35">
                  <c:v>-16.7909696969697</c:v>
                </c:pt>
                <c:pt idx="36">
                  <c:v>-16.252000000000002</c:v>
                </c:pt>
                <c:pt idx="37">
                  <c:v>-15.721119515885023</c:v>
                </c:pt>
                <c:pt idx="38">
                  <c:v>-15.249107413010591</c:v>
                </c:pt>
                <c:pt idx="39">
                  <c:v>-14.77709531013616</c:v>
                </c:pt>
                <c:pt idx="40">
                  <c:v>-14.305083207261726</c:v>
                </c:pt>
                <c:pt idx="41">
                  <c:v>-13.833071104387294</c:v>
                </c:pt>
                <c:pt idx="42">
                  <c:v>-13.36105900151286</c:v>
                </c:pt>
                <c:pt idx="43">
                  <c:v>-12.889046898638428</c:v>
                </c:pt>
                <c:pt idx="44">
                  <c:v>-12.457367624810892</c:v>
                </c:pt>
                <c:pt idx="45">
                  <c:v>-12.079152798789712</c:v>
                </c:pt>
                <c:pt idx="46">
                  <c:v>-11.700937972768532</c:v>
                </c:pt>
                <c:pt idx="47">
                  <c:v>-11.322723146747352</c:v>
                </c:pt>
                <c:pt idx="48">
                  <c:v>-10.944508320726172</c:v>
                </c:pt>
                <c:pt idx="49">
                  <c:v>-10.56629349470499</c:v>
                </c:pt>
                <c:pt idx="50">
                  <c:v>-10.18807866868381</c:v>
                </c:pt>
                <c:pt idx="51">
                  <c:v>-9.9633303030303022</c:v>
                </c:pt>
                <c:pt idx="52">
                  <c:v>-9.7722696969696958</c:v>
                </c:pt>
                <c:pt idx="53">
                  <c:v>-9.5812090909090895</c:v>
                </c:pt>
                <c:pt idx="54">
                  <c:v>-9.3901484848484831</c:v>
                </c:pt>
                <c:pt idx="55">
                  <c:v>-9.1990878787878785</c:v>
                </c:pt>
                <c:pt idx="56">
                  <c:v>-9.0080272727272721</c:v>
                </c:pt>
                <c:pt idx="57">
                  <c:v>-8.8458795180722891</c:v>
                </c:pt>
                <c:pt idx="58">
                  <c:v>-8.7862409638554215</c:v>
                </c:pt>
                <c:pt idx="59">
                  <c:v>-8.7443878787878795</c:v>
                </c:pt>
                <c:pt idx="60">
                  <c:v>-8.7165090909090921</c:v>
                </c:pt>
                <c:pt idx="61">
                  <c:v>-8.7068303030303031</c:v>
                </c:pt>
                <c:pt idx="62">
                  <c:v>-8.7021030303030305</c:v>
                </c:pt>
                <c:pt idx="63">
                  <c:v>-8.7063454545454544</c:v>
                </c:pt>
                <c:pt idx="64">
                  <c:v>-8.7153939393939392</c:v>
                </c:pt>
                <c:pt idx="65">
                  <c:v>-8.727515151515151</c:v>
                </c:pt>
                <c:pt idx="66">
                  <c:v>-8.7430361445783138</c:v>
                </c:pt>
                <c:pt idx="67">
                  <c:v>-8.7596363636363641</c:v>
                </c:pt>
                <c:pt idx="68">
                  <c:v>-8.7784242424242418</c:v>
                </c:pt>
                <c:pt idx="69">
                  <c:v>-8.798</c:v>
                </c:pt>
                <c:pt idx="70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C681-49BA-8609-3902CD5A10D8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-15.805636363636363</c:v>
                </c:pt>
                <c:pt idx="1">
                  <c:v>-15.261999999999999</c:v>
                </c:pt>
                <c:pt idx="2">
                  <c:v>-14.661999999999999</c:v>
                </c:pt>
                <c:pt idx="3">
                  <c:v>-14.004484848484848</c:v>
                </c:pt>
                <c:pt idx="4">
                  <c:v>-13.326287443267777</c:v>
                </c:pt>
                <c:pt idx="5">
                  <c:v>-12.654880484114978</c:v>
                </c:pt>
                <c:pt idx="6">
                  <c:v>-11.983473524962179</c:v>
                </c:pt>
                <c:pt idx="7">
                  <c:v>-11.31206656580938</c:v>
                </c:pt>
                <c:pt idx="8">
                  <c:v>-10.64065960665658</c:v>
                </c:pt>
                <c:pt idx="9">
                  <c:v>-9.969252647503783</c:v>
                </c:pt>
                <c:pt idx="10">
                  <c:v>-9.2978456883509839</c:v>
                </c:pt>
                <c:pt idx="11">
                  <c:v>-8.67908484848485</c:v>
                </c:pt>
                <c:pt idx="12">
                  <c:v>-8.1196909090909095</c:v>
                </c:pt>
                <c:pt idx="13">
                  <c:v>-7.619436363636364</c:v>
                </c:pt>
                <c:pt idx="14">
                  <c:v>-7.1476144578313257</c:v>
                </c:pt>
                <c:pt idx="15">
                  <c:v>-6.7512289156626508</c:v>
                </c:pt>
                <c:pt idx="16">
                  <c:v>-6.4021454545454546</c:v>
                </c:pt>
                <c:pt idx="17">
                  <c:v>-6.09850909090909</c:v>
                </c:pt>
                <c:pt idx="18">
                  <c:v>-5.8730545454545453</c:v>
                </c:pt>
                <c:pt idx="19">
                  <c:v>-5.6767454545454541</c:v>
                </c:pt>
                <c:pt idx="20">
                  <c:v>-5.5421999999999993</c:v>
                </c:pt>
                <c:pt idx="21">
                  <c:v>-5.4426121212121208</c:v>
                </c:pt>
                <c:pt idx="22">
                  <c:v>-5.3704909090909085</c:v>
                </c:pt>
                <c:pt idx="23">
                  <c:v>-5.3393313253012051</c:v>
                </c:pt>
                <c:pt idx="24">
                  <c:v>-5.319</c:v>
                </c:pt>
                <c:pt idx="25">
                  <c:v>-5.319</c:v>
                </c:pt>
                <c:pt idx="26">
                  <c:v>-5.3280909090909088</c:v>
                </c:pt>
                <c:pt idx="27">
                  <c:v>-5.3432424242424243</c:v>
                </c:pt>
                <c:pt idx="28">
                  <c:v>-5.3641515151515149</c:v>
                </c:pt>
                <c:pt idx="29">
                  <c:v>-5.3860909090909086</c:v>
                </c:pt>
                <c:pt idx="30">
                  <c:v>-5.4097272727272729</c:v>
                </c:pt>
                <c:pt idx="31">
                  <c:v>-5.4340542168674695</c:v>
                </c:pt>
                <c:pt idx="32">
                  <c:v>-5.4587530120481924</c:v>
                </c:pt>
                <c:pt idx="33">
                  <c:v>-5.4829999999999997</c:v>
                </c:pt>
                <c:pt idx="34">
                  <c:v>-5.5074484848484841</c:v>
                </c:pt>
                <c:pt idx="35">
                  <c:v>-5.5322969696969695</c:v>
                </c:pt>
                <c:pt idx="36">
                  <c:v>-5.5567272727272723</c:v>
                </c:pt>
                <c:pt idx="37">
                  <c:v>-5.5809863842662635</c:v>
                </c:pt>
                <c:pt idx="38">
                  <c:v>-5.6056459909228442</c:v>
                </c:pt>
                <c:pt idx="39">
                  <c:v>-5.6303055975794249</c:v>
                </c:pt>
                <c:pt idx="40">
                  <c:v>-5.6549652042360066</c:v>
                </c:pt>
                <c:pt idx="41">
                  <c:v>-5.6796248108925873</c:v>
                </c:pt>
                <c:pt idx="42">
                  <c:v>-5.704284417549168</c:v>
                </c:pt>
                <c:pt idx="43">
                  <c:v>-5.7289440242057488</c:v>
                </c:pt>
                <c:pt idx="44">
                  <c:v>-5.7543192133131624</c:v>
                </c:pt>
                <c:pt idx="45">
                  <c:v>-5.7806429652042359</c:v>
                </c:pt>
                <c:pt idx="46">
                  <c:v>-5.8069667170953103</c:v>
                </c:pt>
                <c:pt idx="47">
                  <c:v>-5.8332904689863847</c:v>
                </c:pt>
                <c:pt idx="48">
                  <c:v>-5.8596142208774582</c:v>
                </c:pt>
                <c:pt idx="49">
                  <c:v>-5.8859379727685326</c:v>
                </c:pt>
                <c:pt idx="50">
                  <c:v>-5.912261724659607</c:v>
                </c:pt>
                <c:pt idx="51">
                  <c:v>-5.942966666666667</c:v>
                </c:pt>
                <c:pt idx="52">
                  <c:v>-5.9746333333333332</c:v>
                </c:pt>
                <c:pt idx="53">
                  <c:v>-6.0063000000000004</c:v>
                </c:pt>
                <c:pt idx="54">
                  <c:v>-6.0379666666666667</c:v>
                </c:pt>
                <c:pt idx="55">
                  <c:v>-6.0696333333333339</c:v>
                </c:pt>
                <c:pt idx="56">
                  <c:v>-6.1013000000000002</c:v>
                </c:pt>
                <c:pt idx="57">
                  <c:v>-6.132493975903615</c:v>
                </c:pt>
                <c:pt idx="58">
                  <c:v>-6.1620120481927714</c:v>
                </c:pt>
                <c:pt idx="59">
                  <c:v>-6.190612121212121</c:v>
                </c:pt>
                <c:pt idx="60">
                  <c:v>-6.2184909090909093</c:v>
                </c:pt>
                <c:pt idx="61">
                  <c:v>-6.2441636363636368</c:v>
                </c:pt>
                <c:pt idx="62">
                  <c:v>-6.2693030303030302</c:v>
                </c:pt>
                <c:pt idx="63">
                  <c:v>-6.2935454545454546</c:v>
                </c:pt>
                <c:pt idx="64">
                  <c:v>-6.3174181818181818</c:v>
                </c:pt>
                <c:pt idx="65">
                  <c:v>-6.3410545454545453</c:v>
                </c:pt>
                <c:pt idx="66">
                  <c:v>-6.363397590361445</c:v>
                </c:pt>
                <c:pt idx="67">
                  <c:v>-6.385727272727272</c:v>
                </c:pt>
                <c:pt idx="68">
                  <c:v>-6.4081515151515154</c:v>
                </c:pt>
                <c:pt idx="69">
                  <c:v>-6.4301818181818184</c:v>
                </c:pt>
                <c:pt idx="70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C681-49BA-8609-3902CD5A10D8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  <c:pt idx="0">
                  <c:v>H (Se)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  <c:pt idx="0">
                  <c:v>-22.065575757575758</c:v>
                </c:pt>
                <c:pt idx="1">
                  <c:v>-21.674060606060607</c:v>
                </c:pt>
                <c:pt idx="2">
                  <c:v>-21.395272727272726</c:v>
                </c:pt>
                <c:pt idx="3">
                  <c:v>-21.244787878787879</c:v>
                </c:pt>
                <c:pt idx="4">
                  <c:v>-21.157019667170953</c:v>
                </c:pt>
                <c:pt idx="5">
                  <c:v>-21.244765506807866</c:v>
                </c:pt>
                <c:pt idx="6">
                  <c:v>-21.332511346444779</c:v>
                </c:pt>
                <c:pt idx="7">
                  <c:v>-21.420257186081695</c:v>
                </c:pt>
                <c:pt idx="8">
                  <c:v>-21.508003025718608</c:v>
                </c:pt>
                <c:pt idx="9">
                  <c:v>-21.595748865355521</c:v>
                </c:pt>
                <c:pt idx="10">
                  <c:v>-21.683494704992437</c:v>
                </c:pt>
                <c:pt idx="11">
                  <c:v>-21.792666666666666</c:v>
                </c:pt>
                <c:pt idx="12">
                  <c:v>-21.925999999999998</c:v>
                </c:pt>
                <c:pt idx="13">
                  <c:v>-22.049393939393937</c:v>
                </c:pt>
                <c:pt idx="14">
                  <c:v>-22.167409638554215</c:v>
                </c:pt>
                <c:pt idx="15">
                  <c:v>-22.269819277108432</c:v>
                </c:pt>
                <c:pt idx="16">
                  <c:v>-22.363272727272729</c:v>
                </c:pt>
                <c:pt idx="17">
                  <c:v>-22.448121212121212</c:v>
                </c:pt>
                <c:pt idx="18">
                  <c:v>-22.532969696969698</c:v>
                </c:pt>
                <c:pt idx="19">
                  <c:v>-22.620363636363638</c:v>
                </c:pt>
                <c:pt idx="20">
                  <c:v>-22.717333333333336</c:v>
                </c:pt>
                <c:pt idx="21">
                  <c:v>-22.82448484848485</c:v>
                </c:pt>
                <c:pt idx="22">
                  <c:v>-22.939636363636364</c:v>
                </c:pt>
                <c:pt idx="23">
                  <c:v>-23.059638554216868</c:v>
                </c:pt>
                <c:pt idx="24">
                  <c:v>-23.183333333333334</c:v>
                </c:pt>
                <c:pt idx="25">
                  <c:v>-23.316666666666666</c:v>
                </c:pt>
                <c:pt idx="26">
                  <c:v>-23.453636363636363</c:v>
                </c:pt>
                <c:pt idx="27">
                  <c:v>-23.593030303030304</c:v>
                </c:pt>
                <c:pt idx="28">
                  <c:v>-23.738181818181818</c:v>
                </c:pt>
                <c:pt idx="29">
                  <c:v>-23.881818181818183</c:v>
                </c:pt>
                <c:pt idx="30">
                  <c:v>-24.02121212121212</c:v>
                </c:pt>
                <c:pt idx="31">
                  <c:v>-24.163975903614457</c:v>
                </c:pt>
                <c:pt idx="32">
                  <c:v>-24.308554216867467</c:v>
                </c:pt>
                <c:pt idx="33">
                  <c:v>-24.448</c:v>
                </c:pt>
                <c:pt idx="34">
                  <c:v>-24.587393939393937</c:v>
                </c:pt>
                <c:pt idx="35">
                  <c:v>-24.726787878787878</c:v>
                </c:pt>
                <c:pt idx="36">
                  <c:v>-24.866181818181818</c:v>
                </c:pt>
                <c:pt idx="37">
                  <c:v>-25.005446293494703</c:v>
                </c:pt>
                <c:pt idx="38">
                  <c:v>-25.141603630862328</c:v>
                </c:pt>
                <c:pt idx="39">
                  <c:v>-25.277760968229956</c:v>
                </c:pt>
                <c:pt idx="40">
                  <c:v>-25.41391830559758</c:v>
                </c:pt>
                <c:pt idx="41">
                  <c:v>-25.550075642965204</c:v>
                </c:pt>
                <c:pt idx="42">
                  <c:v>-25.686232980332829</c:v>
                </c:pt>
                <c:pt idx="43">
                  <c:v>-25.822390317700453</c:v>
                </c:pt>
                <c:pt idx="44">
                  <c:v>-25.955295007564295</c:v>
                </c:pt>
                <c:pt idx="45">
                  <c:v>-26.083888048411495</c:v>
                </c:pt>
                <c:pt idx="46">
                  <c:v>-26.212481089258699</c:v>
                </c:pt>
                <c:pt idx="47">
                  <c:v>-26.341074130105898</c:v>
                </c:pt>
                <c:pt idx="48">
                  <c:v>-26.469667170953102</c:v>
                </c:pt>
                <c:pt idx="49">
                  <c:v>-26.598260211800302</c:v>
                </c:pt>
                <c:pt idx="50">
                  <c:v>-26.726853252647505</c:v>
                </c:pt>
                <c:pt idx="51">
                  <c:v>-26.849393939393941</c:v>
                </c:pt>
                <c:pt idx="52">
                  <c:v>-26.970606060606062</c:v>
                </c:pt>
                <c:pt idx="53">
                  <c:v>-27.091818181818184</c:v>
                </c:pt>
                <c:pt idx="54">
                  <c:v>-27.213030303030305</c:v>
                </c:pt>
                <c:pt idx="55">
                  <c:v>-27.334242424242426</c:v>
                </c:pt>
                <c:pt idx="56">
                  <c:v>-27.455454545454547</c:v>
                </c:pt>
                <c:pt idx="57">
                  <c:v>-27.576506024096386</c:v>
                </c:pt>
                <c:pt idx="58">
                  <c:v>-27.69698795180723</c:v>
                </c:pt>
                <c:pt idx="59">
                  <c:v>-27.817878787878787</c:v>
                </c:pt>
                <c:pt idx="60">
                  <c:v>-27.939090909090908</c:v>
                </c:pt>
                <c:pt idx="61">
                  <c:v>-28.060303030303029</c:v>
                </c:pt>
                <c:pt idx="62">
                  <c:v>-28.18151515151515</c:v>
                </c:pt>
                <c:pt idx="63">
                  <c:v>-28.302727272727275</c:v>
                </c:pt>
                <c:pt idx="64">
                  <c:v>-28.420242424242424</c:v>
                </c:pt>
                <c:pt idx="65">
                  <c:v>-28.535393939393938</c:v>
                </c:pt>
                <c:pt idx="66">
                  <c:v>-28.655662650602409</c:v>
                </c:pt>
                <c:pt idx="67">
                  <c:v>-28.776363636363634</c:v>
                </c:pt>
                <c:pt idx="68">
                  <c:v>-28.897575757575758</c:v>
                </c:pt>
                <c:pt idx="69">
                  <c:v>-29.014848484848486</c:v>
                </c:pt>
                <c:pt idx="70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C681-49BA-8609-3902CD5A10D8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C681-49BA-8609-3902CD5A10D8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C681-49BA-8609-3902CD5A10D8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C681-49BA-8609-3902CD5A10D8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C681-49BA-8609-3902CD5A10D8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C681-49BA-8609-3902CD5A10D8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C681-49BA-8609-3902CD5A10D8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C681-49BA-8609-3902CD5A10D8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C681-49BA-8609-3902CD5A10D8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C681-49BA-8609-3902CD5A10D8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C681-49BA-8609-3902CD5A10D8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C681-49BA-8609-3902CD5A10D8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  <c:pt idx="0">
                  <c:v>End2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C681-49BA-8609-3902CD5A1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241247080956879"/>
          <c:y val="1.366175695035161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4.0122484763636409E-11</c:v>
                </c:pt>
                <c:pt idx="1">
                  <c:v>4.4496089090909203E-10</c:v>
                </c:pt>
                <c:pt idx="2">
                  <c:v>1.4468027090909102E-9</c:v>
                </c:pt>
                <c:pt idx="3">
                  <c:v>1.5836322181818206E-7</c:v>
                </c:pt>
                <c:pt idx="4">
                  <c:v>5.8185203482425066E-3</c:v>
                </c:pt>
                <c:pt idx="5">
                  <c:v>7.8545577451272802E-2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  <c:pt idx="21">
                  <c:v>0.20145454545454577</c:v>
                </c:pt>
                <c:pt idx="22">
                  <c:v>0.34690909090909122</c:v>
                </c:pt>
                <c:pt idx="23">
                  <c:v>0.36</c:v>
                </c:pt>
                <c:pt idx="24">
                  <c:v>0.36</c:v>
                </c:pt>
                <c:pt idx="25">
                  <c:v>0.36</c:v>
                </c:pt>
                <c:pt idx="26">
                  <c:v>0.36</c:v>
                </c:pt>
                <c:pt idx="27">
                  <c:v>0.36</c:v>
                </c:pt>
                <c:pt idx="28">
                  <c:v>0.36</c:v>
                </c:pt>
                <c:pt idx="29">
                  <c:v>0.36727272727272725</c:v>
                </c:pt>
                <c:pt idx="30">
                  <c:v>0.39151515151515154</c:v>
                </c:pt>
                <c:pt idx="31">
                  <c:v>0.4</c:v>
                </c:pt>
                <c:pt idx="32">
                  <c:v>0.4</c:v>
                </c:pt>
                <c:pt idx="33">
                  <c:v>0.4</c:v>
                </c:pt>
                <c:pt idx="34">
                  <c:v>0.4</c:v>
                </c:pt>
                <c:pt idx="35">
                  <c:v>0.4</c:v>
                </c:pt>
                <c:pt idx="36">
                  <c:v>0.4</c:v>
                </c:pt>
                <c:pt idx="37">
                  <c:v>0.4</c:v>
                </c:pt>
                <c:pt idx="38">
                  <c:v>0.4</c:v>
                </c:pt>
                <c:pt idx="39">
                  <c:v>0.4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  <c:pt idx="46">
                  <c:v>0.4</c:v>
                </c:pt>
                <c:pt idx="47">
                  <c:v>0.4</c:v>
                </c:pt>
                <c:pt idx="48">
                  <c:v>0.4</c:v>
                </c:pt>
                <c:pt idx="49">
                  <c:v>0.4</c:v>
                </c:pt>
                <c:pt idx="50">
                  <c:v>0.4</c:v>
                </c:pt>
                <c:pt idx="51">
                  <c:v>0.43881333333333356</c:v>
                </c:pt>
                <c:pt idx="52">
                  <c:v>0.4782957575757576</c:v>
                </c:pt>
                <c:pt idx="53">
                  <c:v>0.47944727272727272</c:v>
                </c:pt>
                <c:pt idx="54">
                  <c:v>0.48</c:v>
                </c:pt>
                <c:pt idx="55">
                  <c:v>0.48</c:v>
                </c:pt>
                <c:pt idx="56">
                  <c:v>0.48</c:v>
                </c:pt>
                <c:pt idx="57">
                  <c:v>0.48</c:v>
                </c:pt>
                <c:pt idx="58">
                  <c:v>0.48</c:v>
                </c:pt>
                <c:pt idx="59">
                  <c:v>0.48</c:v>
                </c:pt>
                <c:pt idx="60">
                  <c:v>0.48</c:v>
                </c:pt>
                <c:pt idx="61">
                  <c:v>0.48</c:v>
                </c:pt>
                <c:pt idx="62">
                  <c:v>0.48</c:v>
                </c:pt>
                <c:pt idx="63">
                  <c:v>0.48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8AF5-4EFF-A8A5-8EF44D2D1F2E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9.4775333333333184E-34</c:v>
                </c:pt>
                <c:pt idx="9">
                  <c:v>3.7209473377436009E-27</c:v>
                </c:pt>
                <c:pt idx="10">
                  <c:v>3.4728824894773901E-26</c:v>
                </c:pt>
                <c:pt idx="11">
                  <c:v>1.9889319213313171E-11</c:v>
                </c:pt>
                <c:pt idx="12">
                  <c:v>6.2207019667170965E-11</c:v>
                </c:pt>
                <c:pt idx="13">
                  <c:v>1.0452472012102877E-10</c:v>
                </c:pt>
                <c:pt idx="14">
                  <c:v>1.4684242057488658E-10</c:v>
                </c:pt>
                <c:pt idx="15">
                  <c:v>1.8916012102874438E-10</c:v>
                </c:pt>
                <c:pt idx="16">
                  <c:v>2.3147782148260218E-10</c:v>
                </c:pt>
                <c:pt idx="17">
                  <c:v>2.7379552193645998E-10</c:v>
                </c:pt>
                <c:pt idx="18">
                  <c:v>8.7112896969697131E-10</c:v>
                </c:pt>
                <c:pt idx="19">
                  <c:v>5.1064036363636761E-9</c:v>
                </c:pt>
                <c:pt idx="20">
                  <c:v>2.2687373333333375E-8</c:v>
                </c:pt>
                <c:pt idx="21">
                  <c:v>8.145456555216396E-2</c:v>
                </c:pt>
                <c:pt idx="22">
                  <c:v>0.22690909256852759</c:v>
                </c:pt>
                <c:pt idx="23">
                  <c:v>0.24</c:v>
                </c:pt>
                <c:pt idx="24">
                  <c:v>0.24</c:v>
                </c:pt>
                <c:pt idx="25">
                  <c:v>0.24</c:v>
                </c:pt>
                <c:pt idx="26">
                  <c:v>0.24</c:v>
                </c:pt>
                <c:pt idx="27">
                  <c:v>0.24</c:v>
                </c:pt>
                <c:pt idx="28">
                  <c:v>0.24</c:v>
                </c:pt>
                <c:pt idx="29">
                  <c:v>0.24</c:v>
                </c:pt>
                <c:pt idx="30">
                  <c:v>0.24</c:v>
                </c:pt>
                <c:pt idx="31">
                  <c:v>0.24</c:v>
                </c:pt>
                <c:pt idx="32">
                  <c:v>0.24</c:v>
                </c:pt>
                <c:pt idx="33">
                  <c:v>0.24</c:v>
                </c:pt>
                <c:pt idx="34">
                  <c:v>0.24</c:v>
                </c:pt>
                <c:pt idx="35">
                  <c:v>0.24</c:v>
                </c:pt>
                <c:pt idx="36">
                  <c:v>0.24</c:v>
                </c:pt>
                <c:pt idx="37">
                  <c:v>0.24</c:v>
                </c:pt>
                <c:pt idx="38">
                  <c:v>0.24</c:v>
                </c:pt>
                <c:pt idx="39">
                  <c:v>0.24</c:v>
                </c:pt>
                <c:pt idx="40">
                  <c:v>0.24</c:v>
                </c:pt>
                <c:pt idx="41">
                  <c:v>0.24</c:v>
                </c:pt>
                <c:pt idx="42">
                  <c:v>0.24</c:v>
                </c:pt>
                <c:pt idx="43">
                  <c:v>0.24</c:v>
                </c:pt>
                <c:pt idx="44">
                  <c:v>0.24</c:v>
                </c:pt>
                <c:pt idx="45">
                  <c:v>0.24</c:v>
                </c:pt>
                <c:pt idx="46">
                  <c:v>0.24</c:v>
                </c:pt>
                <c:pt idx="47">
                  <c:v>0.24</c:v>
                </c:pt>
                <c:pt idx="48">
                  <c:v>0.24</c:v>
                </c:pt>
                <c:pt idx="49">
                  <c:v>0.24</c:v>
                </c:pt>
                <c:pt idx="50">
                  <c:v>0.24</c:v>
                </c:pt>
                <c:pt idx="51">
                  <c:v>0.23194909090909085</c:v>
                </c:pt>
                <c:pt idx="52">
                  <c:v>0.22352078787878787</c:v>
                </c:pt>
                <c:pt idx="53">
                  <c:v>0.22187836363636362</c:v>
                </c:pt>
                <c:pt idx="54">
                  <c:v>0.22027060606060606</c:v>
                </c:pt>
                <c:pt idx="55">
                  <c:v>0.21869484848484846</c:v>
                </c:pt>
                <c:pt idx="56">
                  <c:v>0.21694509090909089</c:v>
                </c:pt>
                <c:pt idx="57">
                  <c:v>0.21502680786686837</c:v>
                </c:pt>
                <c:pt idx="58">
                  <c:v>0.21260320726172466</c:v>
                </c:pt>
                <c:pt idx="59">
                  <c:v>0.21017960665658092</c:v>
                </c:pt>
                <c:pt idx="60">
                  <c:v>0.20775600605143721</c:v>
                </c:pt>
                <c:pt idx="61">
                  <c:v>0.2053324054462935</c:v>
                </c:pt>
                <c:pt idx="62">
                  <c:v>0.20290880484114976</c:v>
                </c:pt>
                <c:pt idx="63">
                  <c:v>0.20048520423600605</c:v>
                </c:pt>
                <c:pt idx="64">
                  <c:v>0.19751036363636362</c:v>
                </c:pt>
                <c:pt idx="65">
                  <c:v>0.19418309090909089</c:v>
                </c:pt>
                <c:pt idx="66">
                  <c:v>0.19040084337349397</c:v>
                </c:pt>
                <c:pt idx="67">
                  <c:v>0.18640909090909091</c:v>
                </c:pt>
                <c:pt idx="68">
                  <c:v>0.18197272727272726</c:v>
                </c:pt>
                <c:pt idx="69">
                  <c:v>0.17705181818181817</c:v>
                </c:pt>
                <c:pt idx="70">
                  <c:v>0.17186999999999999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8AF5-4EFF-A8A5-8EF44D2D1F2E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2-8AF5-4EFF-A8A5-8EF44D2D1F2E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0.04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3.2727300083636363E-2</c:v>
                </c:pt>
                <c:pt idx="30">
                  <c:v>8.4849670290909132E-3</c:v>
                </c:pt>
                <c:pt idx="31">
                  <c:v>9.2012587349397678E-8</c:v>
                </c:pt>
                <c:pt idx="32">
                  <c:v>2.0934909638556205E-9</c:v>
                </c:pt>
                <c:pt idx="33">
                  <c:v>6.0522000000000135E-10</c:v>
                </c:pt>
                <c:pt idx="34">
                  <c:v>1.7152876363636392E-10</c:v>
                </c:pt>
                <c:pt idx="35">
                  <c:v>5.1025127272727563E-11</c:v>
                </c:pt>
                <c:pt idx="36">
                  <c:v>9.3014254545454674E-12</c:v>
                </c:pt>
                <c:pt idx="37">
                  <c:v>3.2052853252647528E-12</c:v>
                </c:pt>
                <c:pt idx="38">
                  <c:v>2.7174184568835376E-12</c:v>
                </c:pt>
                <c:pt idx="39">
                  <c:v>2.2295515885023228E-12</c:v>
                </c:pt>
                <c:pt idx="40">
                  <c:v>1.741684720121108E-12</c:v>
                </c:pt>
                <c:pt idx="41">
                  <c:v>1.2538178517398928E-12</c:v>
                </c:pt>
                <c:pt idx="42">
                  <c:v>7.65950983358678E-13</c:v>
                </c:pt>
                <c:pt idx="43">
                  <c:v>2.780841149774632E-13</c:v>
                </c:pt>
                <c:pt idx="44">
                  <c:v>1.2466971230242472E-25</c:v>
                </c:pt>
                <c:pt idx="45">
                  <c:v>2.2482996726667122E-26</c:v>
                </c:pt>
                <c:pt idx="46">
                  <c:v>1.011994545454551E-30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AF5-4EFF-A8A5-8EF44D2D1F2E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3.4433888048409526E-29</c:v>
                </c:pt>
                <c:pt idx="38">
                  <c:v>8.9528108925869658E-28</c:v>
                </c:pt>
                <c:pt idx="39">
                  <c:v>1.7561282904689835E-27</c:v>
                </c:pt>
                <c:pt idx="40">
                  <c:v>2.6169754916792708E-27</c:v>
                </c:pt>
                <c:pt idx="41">
                  <c:v>3.4778226928895578E-27</c:v>
                </c:pt>
                <c:pt idx="42">
                  <c:v>4.3386698940998448E-27</c:v>
                </c:pt>
                <c:pt idx="43">
                  <c:v>5.1995170953101317E-27</c:v>
                </c:pt>
                <c:pt idx="44">
                  <c:v>8.3405517818180944E-25</c:v>
                </c:pt>
                <c:pt idx="45">
                  <c:v>2.7604853599999911E-24</c:v>
                </c:pt>
                <c:pt idx="46">
                  <c:v>2.7552517636363479E-22</c:v>
                </c:pt>
                <c:pt idx="47">
                  <c:v>1.5058913939393614E-21</c:v>
                </c:pt>
                <c:pt idx="48">
                  <c:v>8.6335944242423924E-21</c:v>
                </c:pt>
                <c:pt idx="49">
                  <c:v>1.64338072289156E-19</c:v>
                </c:pt>
                <c:pt idx="50">
                  <c:v>4.8100072289156739E-19</c:v>
                </c:pt>
                <c:pt idx="51">
                  <c:v>3.0472341818181691E-19</c:v>
                </c:pt>
                <c:pt idx="52">
                  <c:v>2.0336121218275148E-10</c:v>
                </c:pt>
                <c:pt idx="53">
                  <c:v>1.3996036363835989E-9</c:v>
                </c:pt>
                <c:pt idx="54">
                  <c:v>1.0271487272727344E-8</c:v>
                </c:pt>
                <c:pt idx="55">
                  <c:v>2.6228578181818253E-8</c:v>
                </c:pt>
                <c:pt idx="56">
                  <c:v>3.5589381818181855E-8</c:v>
                </c:pt>
                <c:pt idx="57">
                  <c:v>4.2250305597579427E-8</c:v>
                </c:pt>
                <c:pt idx="58">
                  <c:v>4.2833512859304087E-8</c:v>
                </c:pt>
                <c:pt idx="59">
                  <c:v>4.3416720121028747E-8</c:v>
                </c:pt>
                <c:pt idx="60">
                  <c:v>4.3999927382753407E-8</c:v>
                </c:pt>
                <c:pt idx="61">
                  <c:v>4.4583134644478067E-8</c:v>
                </c:pt>
                <c:pt idx="62">
                  <c:v>4.5166341906202727E-8</c:v>
                </c:pt>
                <c:pt idx="63">
                  <c:v>4.5749549167927387E-8</c:v>
                </c:pt>
                <c:pt idx="64">
                  <c:v>4.4567345454545453E-8</c:v>
                </c:pt>
                <c:pt idx="65">
                  <c:v>4.2256436363636358E-8</c:v>
                </c:pt>
                <c:pt idx="66">
                  <c:v>2.6851999999999985E-8</c:v>
                </c:pt>
                <c:pt idx="67">
                  <c:v>1.3646309090909091E-8</c:v>
                </c:pt>
                <c:pt idx="68">
                  <c:v>6.8440060606060596E-9</c:v>
                </c:pt>
                <c:pt idx="69">
                  <c:v>2.9135448484848485E-9</c:v>
                </c:pt>
                <c:pt idx="70">
                  <c:v>5.2946000000000036E-10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8AF5-4EFF-A8A5-8EF44D2D1F2E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0.11418181839080718</c:v>
                </c:pt>
                <c:pt idx="5">
                  <c:v>4.145454827589809E-2</c:v>
                </c:pt>
                <c:pt idx="6">
                  <c:v>3.2263518674698782E-9</c:v>
                </c:pt>
                <c:pt idx="7">
                  <c:v>7.0530969879518313E-10</c:v>
                </c:pt>
                <c:pt idx="8">
                  <c:v>6.9458380000000084E-11</c:v>
                </c:pt>
                <c:pt idx="9">
                  <c:v>5.0540360727272767E-12</c:v>
                </c:pt>
                <c:pt idx="10">
                  <c:v>1.7951700121212162E-12</c:v>
                </c:pt>
                <c:pt idx="11">
                  <c:v>6.3137963801403633E-14</c:v>
                </c:pt>
                <c:pt idx="12">
                  <c:v>5.2854908059709232E-14</c:v>
                </c:pt>
                <c:pt idx="13">
                  <c:v>4.2571852318014825E-14</c:v>
                </c:pt>
                <c:pt idx="14">
                  <c:v>3.2288796576320418E-14</c:v>
                </c:pt>
                <c:pt idx="15">
                  <c:v>2.200574083462601E-14</c:v>
                </c:pt>
                <c:pt idx="16">
                  <c:v>1.1722685092931603E-14</c:v>
                </c:pt>
                <c:pt idx="17">
                  <c:v>1.4396293512372023E-15</c:v>
                </c:pt>
                <c:pt idx="18">
                  <c:v>7.4087636363640254E-22</c:v>
                </c:pt>
                <c:pt idx="19">
                  <c:v>6.8757818181818073E-35</c:v>
                </c:pt>
                <c:pt idx="20">
                  <c:v>2.1009333333333221E-35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8AF5-4EFF-A8A5-8EF44D2D1F2E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1.4189933333333312E-30</c:v>
                </c:pt>
                <c:pt idx="9">
                  <c:v>6.7565728649090263E-26</c:v>
                </c:pt>
                <c:pt idx="10">
                  <c:v>6.3058812822484776E-25</c:v>
                </c:pt>
                <c:pt idx="11">
                  <c:v>4.3909092293046825E-15</c:v>
                </c:pt>
                <c:pt idx="12">
                  <c:v>1.3733269289678517E-14</c:v>
                </c:pt>
                <c:pt idx="13">
                  <c:v>2.3075629350052353E-14</c:v>
                </c:pt>
                <c:pt idx="14">
                  <c:v>3.2417989410426183E-14</c:v>
                </c:pt>
                <c:pt idx="15">
                  <c:v>4.1760349470800024E-14</c:v>
                </c:pt>
                <c:pt idx="16">
                  <c:v>5.1102709531173858E-14</c:v>
                </c:pt>
                <c:pt idx="17">
                  <c:v>6.0445069591547691E-14</c:v>
                </c:pt>
                <c:pt idx="18">
                  <c:v>2.959639235151507E-14</c:v>
                </c:pt>
                <c:pt idx="19">
                  <c:v>4.9905163636572299E-17</c:v>
                </c:pt>
                <c:pt idx="20">
                  <c:v>1.5248800001202663E-17</c:v>
                </c:pt>
                <c:pt idx="21">
                  <c:v>1.0834599999999976E-27</c:v>
                </c:pt>
                <c:pt idx="22">
                  <c:v>8.9459999999997778E-29</c:v>
                </c:pt>
                <c:pt idx="23">
                  <c:v>2.1785180722891592E-18</c:v>
                </c:pt>
                <c:pt idx="24">
                  <c:v>6.5104548826424235E-11</c:v>
                </c:pt>
                <c:pt idx="25">
                  <c:v>3.2552272823612119E-10</c:v>
                </c:pt>
                <c:pt idx="26">
                  <c:v>5.4156209090909096E-9</c:v>
                </c:pt>
                <c:pt idx="27">
                  <c:v>1.3725505757575759E-8</c:v>
                </c:pt>
                <c:pt idx="28">
                  <c:v>9.1896484848484868E-8</c:v>
                </c:pt>
                <c:pt idx="29">
                  <c:v>1.4545576609999999E-2</c:v>
                </c:pt>
                <c:pt idx="30">
                  <c:v>6.3030334676666674E-2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  <c:pt idx="36">
                  <c:v>0.08</c:v>
                </c:pt>
                <c:pt idx="37">
                  <c:v>0.08</c:v>
                </c:pt>
                <c:pt idx="38">
                  <c:v>0.08</c:v>
                </c:pt>
                <c:pt idx="39">
                  <c:v>0.08</c:v>
                </c:pt>
                <c:pt idx="40">
                  <c:v>0.08</c:v>
                </c:pt>
                <c:pt idx="41">
                  <c:v>0.08</c:v>
                </c:pt>
                <c:pt idx="42">
                  <c:v>0.08</c:v>
                </c:pt>
                <c:pt idx="43">
                  <c:v>0.08</c:v>
                </c:pt>
                <c:pt idx="44">
                  <c:v>0.08</c:v>
                </c:pt>
                <c:pt idx="45">
                  <c:v>0.08</c:v>
                </c:pt>
                <c:pt idx="46">
                  <c:v>0.08</c:v>
                </c:pt>
                <c:pt idx="47">
                  <c:v>0.08</c:v>
                </c:pt>
                <c:pt idx="48">
                  <c:v>0.08</c:v>
                </c:pt>
                <c:pt idx="49">
                  <c:v>0.08</c:v>
                </c:pt>
                <c:pt idx="50">
                  <c:v>0.08</c:v>
                </c:pt>
                <c:pt idx="51">
                  <c:v>4.1186368484848267E-2</c:v>
                </c:pt>
                <c:pt idx="52">
                  <c:v>1.7037053191939343E-3</c:v>
                </c:pt>
                <c:pt idx="53">
                  <c:v>5.5256013798181294E-4</c:v>
                </c:pt>
                <c:pt idx="54">
                  <c:v>7.3314821818181544E-9</c:v>
                </c:pt>
                <c:pt idx="55">
                  <c:v>1.3324094545454276E-9</c:v>
                </c:pt>
                <c:pt idx="56">
                  <c:v>2.6120366918181658E-10</c:v>
                </c:pt>
                <c:pt idx="57">
                  <c:v>1.406090015128592E-14</c:v>
                </c:pt>
                <c:pt idx="58">
                  <c:v>1.1860446293494696E-14</c:v>
                </c:pt>
                <c:pt idx="59">
                  <c:v>9.6599924357034704E-15</c:v>
                </c:pt>
                <c:pt idx="60">
                  <c:v>7.4595385779122465E-15</c:v>
                </c:pt>
                <c:pt idx="61">
                  <c:v>5.2590847201210225E-15</c:v>
                </c:pt>
                <c:pt idx="62">
                  <c:v>3.058630862329797E-15</c:v>
                </c:pt>
                <c:pt idx="63">
                  <c:v>8.5817700453857299E-16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8AF5-4EFF-A8A5-8EF44D2D1F2E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*Ge[l]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9.8429803328290279E-33</c:v>
                </c:pt>
                <c:pt idx="12">
                  <c:v>3.078549167927382E-32</c:v>
                </c:pt>
                <c:pt idx="13">
                  <c:v>5.1728003025718609E-32</c:v>
                </c:pt>
                <c:pt idx="14">
                  <c:v>7.2670514372163404E-32</c:v>
                </c:pt>
                <c:pt idx="15">
                  <c:v>9.3613025718608199E-32</c:v>
                </c:pt>
                <c:pt idx="16">
                  <c:v>1.1455553706505298E-31</c:v>
                </c:pt>
                <c:pt idx="17">
                  <c:v>1.3549804841149778E-31</c:v>
                </c:pt>
                <c:pt idx="18">
                  <c:v>6.6278606060605875E-32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3.9242424242424246E-35</c:v>
                </c:pt>
                <c:pt idx="25">
                  <c:v>1.9621212121212122E-34</c:v>
                </c:pt>
                <c:pt idx="26">
                  <c:v>1.6481818181818182E-34</c:v>
                </c:pt>
                <c:pt idx="27">
                  <c:v>7.8484848484848385E-36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1.7481599999999957E-22</c:v>
                </c:pt>
                <c:pt idx="34">
                  <c:v>1.8245661625212001E-17</c:v>
                </c:pt>
                <c:pt idx="35">
                  <c:v>7.1908515346424115E-17</c:v>
                </c:pt>
                <c:pt idx="36">
                  <c:v>1.4228351650909046E-13</c:v>
                </c:pt>
                <c:pt idx="37">
                  <c:v>3.4509718608169414E-13</c:v>
                </c:pt>
                <c:pt idx="38">
                  <c:v>4.6952683812405417E-13</c:v>
                </c:pt>
                <c:pt idx="39">
                  <c:v>5.939564901664141E-13</c:v>
                </c:pt>
                <c:pt idx="40">
                  <c:v>7.1838614220877423E-13</c:v>
                </c:pt>
                <c:pt idx="41">
                  <c:v>8.4281579425113416E-13</c:v>
                </c:pt>
                <c:pt idx="42">
                  <c:v>9.6724544629349429E-13</c:v>
                </c:pt>
                <c:pt idx="43">
                  <c:v>1.0916750983358542E-12</c:v>
                </c:pt>
                <c:pt idx="44">
                  <c:v>1.0477066060606072E-12</c:v>
                </c:pt>
                <c:pt idx="45">
                  <c:v>7.8051266666666788E-13</c:v>
                </c:pt>
                <c:pt idx="46">
                  <c:v>4.0931352727272913E-13</c:v>
                </c:pt>
                <c:pt idx="47">
                  <c:v>5.6056281254545627E-14</c:v>
                </c:pt>
                <c:pt idx="48">
                  <c:v>1.9189213981818354E-14</c:v>
                </c:pt>
                <c:pt idx="49">
                  <c:v>1.303615663559395E-17</c:v>
                </c:pt>
                <c:pt idx="50">
                  <c:v>1.9885662930812397E-18</c:v>
                </c:pt>
                <c:pt idx="51">
                  <c:v>1.5809739393939309E-26</c:v>
                </c:pt>
                <c:pt idx="52">
                  <c:v>8.2071878787880986E-18</c:v>
                </c:pt>
                <c:pt idx="53">
                  <c:v>5.648476363636386E-17</c:v>
                </c:pt>
                <c:pt idx="54">
                  <c:v>6.3944296977903582E-11</c:v>
                </c:pt>
                <c:pt idx="55">
                  <c:v>1.869139456700248E-10</c:v>
                </c:pt>
                <c:pt idx="56">
                  <c:v>2.1600800000000007E-10</c:v>
                </c:pt>
                <c:pt idx="57">
                  <c:v>2.3325167927382764E-10</c:v>
                </c:pt>
                <c:pt idx="58">
                  <c:v>2.5821385779122553E-10</c:v>
                </c:pt>
                <c:pt idx="59">
                  <c:v>2.8317603630862337E-10</c:v>
                </c:pt>
                <c:pt idx="60">
                  <c:v>3.0813821482602127E-10</c:v>
                </c:pt>
                <c:pt idx="61">
                  <c:v>3.3310039334341916E-10</c:v>
                </c:pt>
                <c:pt idx="62">
                  <c:v>3.58062571860817E-10</c:v>
                </c:pt>
                <c:pt idx="63">
                  <c:v>3.8302475037821489E-10</c:v>
                </c:pt>
                <c:pt idx="64">
                  <c:v>8.6576509090909274E-10</c:v>
                </c:pt>
                <c:pt idx="65">
                  <c:v>1.6411832727272747E-9</c:v>
                </c:pt>
                <c:pt idx="66">
                  <c:v>2.2457132530120486E-9</c:v>
                </c:pt>
                <c:pt idx="67">
                  <c:v>3.036172727272727E-9</c:v>
                </c:pt>
                <c:pt idx="68">
                  <c:v>4.2770818181818183E-9</c:v>
                </c:pt>
                <c:pt idx="69">
                  <c:v>4.5253424242424245E-9</c:v>
                </c:pt>
                <c:pt idx="70">
                  <c:v>4.2391000000000004E-9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8AF5-4EFF-A8A5-8EF44D2D1F2E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0.12581818181818188</c:v>
                </c:pt>
                <c:pt idx="5">
                  <c:v>0.19854545454545464</c:v>
                </c:pt>
                <c:pt idx="6">
                  <c:v>0.24</c:v>
                </c:pt>
                <c:pt idx="7">
                  <c:v>0.24</c:v>
                </c:pt>
                <c:pt idx="8">
                  <c:v>0.24</c:v>
                </c:pt>
                <c:pt idx="9">
                  <c:v>0.24</c:v>
                </c:pt>
                <c:pt idx="10">
                  <c:v>0.24</c:v>
                </c:pt>
                <c:pt idx="11">
                  <c:v>0.24</c:v>
                </c:pt>
                <c:pt idx="12">
                  <c:v>0.24</c:v>
                </c:pt>
                <c:pt idx="13">
                  <c:v>0.24</c:v>
                </c:pt>
                <c:pt idx="14">
                  <c:v>0.24</c:v>
                </c:pt>
                <c:pt idx="15">
                  <c:v>0.24</c:v>
                </c:pt>
                <c:pt idx="16">
                  <c:v>0.24</c:v>
                </c:pt>
                <c:pt idx="17">
                  <c:v>0.24</c:v>
                </c:pt>
                <c:pt idx="18">
                  <c:v>0.24</c:v>
                </c:pt>
                <c:pt idx="19">
                  <c:v>0.24</c:v>
                </c:pt>
                <c:pt idx="20">
                  <c:v>0.24</c:v>
                </c:pt>
                <c:pt idx="21">
                  <c:v>0.15854551267006028</c:v>
                </c:pt>
                <c:pt idx="22">
                  <c:v>1.3091071009454225E-2</c:v>
                </c:pt>
                <c:pt idx="23">
                  <c:v>7.8679505421686649E-8</c:v>
                </c:pt>
                <c:pt idx="24">
                  <c:v>2.0281442424242425E-9</c:v>
                </c:pt>
                <c:pt idx="25">
                  <c:v>6.3312121212121203E-10</c:v>
                </c:pt>
                <c:pt idx="26">
                  <c:v>4.7798545472282182E-11</c:v>
                </c:pt>
                <c:pt idx="27">
                  <c:v>2.2761212594191502E-12</c:v>
                </c:pt>
                <c:pt idx="28">
                  <c:v>2.0692848484848481E-20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9.8105999999999776E-27</c:v>
                </c:pt>
                <c:pt idx="34">
                  <c:v>1.0627163521212051E-23</c:v>
                </c:pt>
                <c:pt idx="35">
                  <c:v>4.1835435642424169E-23</c:v>
                </c:pt>
                <c:pt idx="36">
                  <c:v>5.2605876363636189E-21</c:v>
                </c:pt>
                <c:pt idx="37">
                  <c:v>1.2432308623298038E-20</c:v>
                </c:pt>
                <c:pt idx="38">
                  <c:v>1.0540024205748888E-20</c:v>
                </c:pt>
                <c:pt idx="39">
                  <c:v>8.647739788199739E-21</c:v>
                </c:pt>
                <c:pt idx="40">
                  <c:v>6.7554553706505879E-21</c:v>
                </c:pt>
                <c:pt idx="41">
                  <c:v>4.8631709531014383E-21</c:v>
                </c:pt>
                <c:pt idx="42">
                  <c:v>2.970886535552288E-21</c:v>
                </c:pt>
                <c:pt idx="43">
                  <c:v>1.0786021180031377E-21</c:v>
                </c:pt>
                <c:pt idx="44">
                  <c:v>8.3181818181818497E-35</c:v>
                </c:pt>
                <c:pt idx="45">
                  <c:v>1.5000000000000312E-35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8AF5-4EFF-A8A5-8EF44D2D1F2E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4.7752284417549078E-33</c:v>
                </c:pt>
                <c:pt idx="12">
                  <c:v>1.4935288956127075E-32</c:v>
                </c:pt>
                <c:pt idx="13">
                  <c:v>2.5095349470499246E-32</c:v>
                </c:pt>
                <c:pt idx="14">
                  <c:v>3.5255409984871412E-32</c:v>
                </c:pt>
                <c:pt idx="15">
                  <c:v>4.5415470499243583E-32</c:v>
                </c:pt>
                <c:pt idx="16">
                  <c:v>5.5575531013615749E-32</c:v>
                </c:pt>
                <c:pt idx="17">
                  <c:v>6.573559152798792E-32</c:v>
                </c:pt>
                <c:pt idx="18">
                  <c:v>4.1267968606060713E-30</c:v>
                </c:pt>
                <c:pt idx="19">
                  <c:v>9.4366327272728209E-29</c:v>
                </c:pt>
                <c:pt idx="20">
                  <c:v>5.0632026666666759E-28</c:v>
                </c:pt>
                <c:pt idx="21">
                  <c:v>1.6155261939394003E-26</c:v>
                </c:pt>
                <c:pt idx="22">
                  <c:v>4.3776122545454608E-26</c:v>
                </c:pt>
                <c:pt idx="23">
                  <c:v>1.3641382530120496E-24</c:v>
                </c:pt>
                <c:pt idx="24">
                  <c:v>1.7886618181818183E-23</c:v>
                </c:pt>
                <c:pt idx="25">
                  <c:v>7.9631890909090907E-23</c:v>
                </c:pt>
                <c:pt idx="26">
                  <c:v>1.3894463636363638E-21</c:v>
                </c:pt>
                <c:pt idx="27">
                  <c:v>3.5313069696969699E-21</c:v>
                </c:pt>
                <c:pt idx="28">
                  <c:v>6.236659393939394E-20</c:v>
                </c:pt>
                <c:pt idx="29">
                  <c:v>4.7974181818181818E-19</c:v>
                </c:pt>
                <c:pt idx="30">
                  <c:v>1.7267478787878789E-18</c:v>
                </c:pt>
                <c:pt idx="31">
                  <c:v>1.0295169879518059E-17</c:v>
                </c:pt>
                <c:pt idx="32">
                  <c:v>2.2805892771084307E-17</c:v>
                </c:pt>
                <c:pt idx="33">
                  <c:v>1.3901239999999973E-16</c:v>
                </c:pt>
                <c:pt idx="34">
                  <c:v>5.4968242424242201E-16</c:v>
                </c:pt>
                <c:pt idx="35">
                  <c:v>1.5299248484848462E-15</c:v>
                </c:pt>
                <c:pt idx="36">
                  <c:v>6.948247272727256E-15</c:v>
                </c:pt>
                <c:pt idx="37">
                  <c:v>1.3806361270801109E-13</c:v>
                </c:pt>
                <c:pt idx="38">
                  <c:v>3.2380539304084641E-12</c:v>
                </c:pt>
                <c:pt idx="39">
                  <c:v>6.3380442481089176E-12</c:v>
                </c:pt>
                <c:pt idx="40">
                  <c:v>9.4380345658093712E-12</c:v>
                </c:pt>
                <c:pt idx="41">
                  <c:v>1.2538024883509825E-11</c:v>
                </c:pt>
                <c:pt idx="42">
                  <c:v>1.5638015201210277E-11</c:v>
                </c:pt>
                <c:pt idx="43">
                  <c:v>1.8738005518910729E-11</c:v>
                </c:pt>
                <c:pt idx="44">
                  <c:v>4.2522303030302796E-11</c:v>
                </c:pt>
                <c:pt idx="45">
                  <c:v>9.3725333333333104E-11</c:v>
                </c:pt>
                <c:pt idx="46">
                  <c:v>2.933670909090898E-10</c:v>
                </c:pt>
                <c:pt idx="47">
                  <c:v>6.4269187878787391E-10</c:v>
                </c:pt>
                <c:pt idx="48">
                  <c:v>1.7135524848484799E-9</c:v>
                </c:pt>
                <c:pt idx="49">
                  <c:v>4.4081349397590272E-9</c:v>
                </c:pt>
                <c:pt idx="50">
                  <c:v>8.8617493975903763E-9</c:v>
                </c:pt>
                <c:pt idx="51">
                  <c:v>2.3639480000000078E-8</c:v>
                </c:pt>
                <c:pt idx="52">
                  <c:v>3.7759624242424239E-8</c:v>
                </c:pt>
                <c:pt idx="53">
                  <c:v>3.7604472727272728E-8</c:v>
                </c:pt>
                <c:pt idx="54">
                  <c:v>3.7317272727272722E-8</c:v>
                </c:pt>
                <c:pt idx="55">
                  <c:v>3.6908181818181817E-8</c:v>
                </c:pt>
                <c:pt idx="56">
                  <c:v>3.6274472727272722E-8</c:v>
                </c:pt>
                <c:pt idx="57">
                  <c:v>3.5496290468986376E-8</c:v>
                </c:pt>
                <c:pt idx="58">
                  <c:v>3.4324883509833575E-8</c:v>
                </c:pt>
                <c:pt idx="59">
                  <c:v>3.3153476550680781E-8</c:v>
                </c:pt>
                <c:pt idx="60">
                  <c:v>3.198206959152798E-8</c:v>
                </c:pt>
                <c:pt idx="61">
                  <c:v>3.0810662632375186E-8</c:v>
                </c:pt>
                <c:pt idx="62">
                  <c:v>2.9639255673222385E-8</c:v>
                </c:pt>
                <c:pt idx="63">
                  <c:v>2.8467848714069588E-8</c:v>
                </c:pt>
                <c:pt idx="64">
                  <c:v>2.709193333333333E-8</c:v>
                </c:pt>
                <c:pt idx="65">
                  <c:v>2.5585266666666661E-8</c:v>
                </c:pt>
                <c:pt idx="66">
                  <c:v>2.4030638554216866E-8</c:v>
                </c:pt>
                <c:pt idx="67">
                  <c:v>2.2464454545454547E-8</c:v>
                </c:pt>
                <c:pt idx="68">
                  <c:v>2.0875969696969696E-8</c:v>
                </c:pt>
                <c:pt idx="69">
                  <c:v>1.9294575757575758E-8</c:v>
                </c:pt>
                <c:pt idx="70">
                  <c:v>1.7716999999999999E-8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8AF5-4EFF-A8A5-8EF44D2D1F2E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8AF5-4EFF-A8A5-8EF44D2D1F2E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3.0726733333333287E-34</c:v>
                </c:pt>
                <c:pt idx="9">
                  <c:v>5.8647963509090362E-31</c:v>
                </c:pt>
                <c:pt idx="10">
                  <c:v>5.4683230108484795E-30</c:v>
                </c:pt>
                <c:pt idx="11">
                  <c:v>5.8107217087170821E-22</c:v>
                </c:pt>
                <c:pt idx="12">
                  <c:v>1.817395921544069E-21</c:v>
                </c:pt>
                <c:pt idx="13">
                  <c:v>3.0537196722164296E-21</c:v>
                </c:pt>
                <c:pt idx="14">
                  <c:v>4.2900434228887903E-21</c:v>
                </c:pt>
                <c:pt idx="15">
                  <c:v>5.5263671735611517E-21</c:v>
                </c:pt>
                <c:pt idx="16">
                  <c:v>6.7626909242335124E-21</c:v>
                </c:pt>
                <c:pt idx="17">
                  <c:v>7.999014674905873E-21</c:v>
                </c:pt>
                <c:pt idx="18">
                  <c:v>3.9157727284848382E-21</c:v>
                </c:pt>
                <c:pt idx="19">
                  <c:v>5.1409745454548644E-24</c:v>
                </c:pt>
                <c:pt idx="20">
                  <c:v>1.5708533333352117E-24</c:v>
                </c:pt>
                <c:pt idx="21">
                  <c:v>1.6992109090909056E-36</c:v>
                </c:pt>
                <c:pt idx="22">
                  <c:v>1.4030181818181455E-37</c:v>
                </c:pt>
                <c:pt idx="23">
                  <c:v>0</c:v>
                </c:pt>
                <c:pt idx="24">
                  <c:v>4.9569696969696967E-29</c:v>
                </c:pt>
                <c:pt idx="25">
                  <c:v>2.4784848484848483E-28</c:v>
                </c:pt>
                <c:pt idx="26">
                  <c:v>2.0819272903956365E-28</c:v>
                </c:pt>
                <c:pt idx="27">
                  <c:v>9.9139441055030448E-30</c:v>
                </c:pt>
                <c:pt idx="28">
                  <c:v>2.0613090909090906E-36</c:v>
                </c:pt>
                <c:pt idx="29">
                  <c:v>0</c:v>
                </c:pt>
                <c:pt idx="30">
                  <c:v>0</c:v>
                </c:pt>
                <c:pt idx="31">
                  <c:v>2.0264728915662624E-36</c:v>
                </c:pt>
                <c:pt idx="32">
                  <c:v>5.1441234939758971E-36</c:v>
                </c:pt>
                <c:pt idx="33">
                  <c:v>6.9486000000000036E-22</c:v>
                </c:pt>
                <c:pt idx="34">
                  <c:v>4.560625279454515E-17</c:v>
                </c:pt>
                <c:pt idx="35">
                  <c:v>1.7973888424909059E-16</c:v>
                </c:pt>
                <c:pt idx="36">
                  <c:v>3.3358694981818071E-13</c:v>
                </c:pt>
                <c:pt idx="37">
                  <c:v>1.0592069591527839E-12</c:v>
                </c:pt>
                <c:pt idx="38">
                  <c:v>7.6043809379727524E-12</c:v>
                </c:pt>
                <c:pt idx="39">
                  <c:v>1.414955491679272E-11</c:v>
                </c:pt>
                <c:pt idx="40">
                  <c:v>2.069472889561269E-11</c:v>
                </c:pt>
                <c:pt idx="41">
                  <c:v>2.7239902874432658E-11</c:v>
                </c:pt>
                <c:pt idx="42">
                  <c:v>3.3785076853252623E-11</c:v>
                </c:pt>
                <c:pt idx="43">
                  <c:v>4.0330250832072591E-11</c:v>
                </c:pt>
                <c:pt idx="44">
                  <c:v>8.1494193939393535E-11</c:v>
                </c:pt>
                <c:pt idx="45">
                  <c:v>1.6854813333333293E-10</c:v>
                </c:pt>
                <c:pt idx="46">
                  <c:v>4.2458363636363501E-10</c:v>
                </c:pt>
                <c:pt idx="47">
                  <c:v>7.3908242424242254E-10</c:v>
                </c:pt>
                <c:pt idx="48">
                  <c:v>1.1258703030303014E-9</c:v>
                </c:pt>
                <c:pt idx="49">
                  <c:v>7.4568313253011812E-9</c:v>
                </c:pt>
                <c:pt idx="50">
                  <c:v>2.0227313253012093E-8</c:v>
                </c:pt>
                <c:pt idx="51">
                  <c:v>3.8813841634291128E-2</c:v>
                </c:pt>
                <c:pt idx="52">
                  <c:v>7.829665454545455E-2</c:v>
                </c:pt>
                <c:pt idx="53">
                  <c:v>7.9447563636363641E-2</c:v>
                </c:pt>
                <c:pt idx="54">
                  <c:v>0.08</c:v>
                </c:pt>
                <c:pt idx="55">
                  <c:v>0.08</c:v>
                </c:pt>
                <c:pt idx="56">
                  <c:v>0.08</c:v>
                </c:pt>
                <c:pt idx="57">
                  <c:v>0.08</c:v>
                </c:pt>
                <c:pt idx="58">
                  <c:v>0.08</c:v>
                </c:pt>
                <c:pt idx="59">
                  <c:v>0.08</c:v>
                </c:pt>
                <c:pt idx="60">
                  <c:v>0.08</c:v>
                </c:pt>
                <c:pt idx="61">
                  <c:v>0.08</c:v>
                </c:pt>
                <c:pt idx="62">
                  <c:v>0.08</c:v>
                </c:pt>
                <c:pt idx="63">
                  <c:v>0.08</c:v>
                </c:pt>
                <c:pt idx="64">
                  <c:v>0.08</c:v>
                </c:pt>
                <c:pt idx="65">
                  <c:v>0.08</c:v>
                </c:pt>
                <c:pt idx="66">
                  <c:v>0.08</c:v>
                </c:pt>
                <c:pt idx="67">
                  <c:v>0.08</c:v>
                </c:pt>
                <c:pt idx="68">
                  <c:v>0.08</c:v>
                </c:pt>
                <c:pt idx="69">
                  <c:v>0.08</c:v>
                </c:pt>
                <c:pt idx="70">
                  <c:v>0.08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8AF5-4EFF-A8A5-8EF44D2D1F2E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5.0933624242424188E-27</c:v>
                </c:pt>
                <c:pt idx="1">
                  <c:v>1.4913648484848473E-27</c:v>
                </c:pt>
                <c:pt idx="2">
                  <c:v>3.1706181818181696E-28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1.2169259036144594E-26</c:v>
                </c:pt>
                <c:pt idx="7">
                  <c:v>4.0469861445783111E-26</c:v>
                </c:pt>
                <c:pt idx="8">
                  <c:v>2.4067869172213292E-19</c:v>
                </c:pt>
                <c:pt idx="9">
                  <c:v>3.0690595272726992E-17</c:v>
                </c:pt>
                <c:pt idx="10">
                  <c:v>2.8214772254545429E-16</c:v>
                </c:pt>
                <c:pt idx="11">
                  <c:v>3.0954176518608111E-12</c:v>
                </c:pt>
                <c:pt idx="12">
                  <c:v>9.6805287834795737E-12</c:v>
                </c:pt>
                <c:pt idx="13">
                  <c:v>1.6265639915098336E-11</c:v>
                </c:pt>
                <c:pt idx="14">
                  <c:v>2.2850751046717101E-11</c:v>
                </c:pt>
                <c:pt idx="15">
                  <c:v>2.9435862178335862E-11</c:v>
                </c:pt>
                <c:pt idx="16">
                  <c:v>3.6020973309954626E-11</c:v>
                </c:pt>
                <c:pt idx="17">
                  <c:v>4.260608444157339E-11</c:v>
                </c:pt>
                <c:pt idx="18">
                  <c:v>2.0843000162424183E-11</c:v>
                </c:pt>
                <c:pt idx="19">
                  <c:v>3.8869527272727604E-15</c:v>
                </c:pt>
                <c:pt idx="20">
                  <c:v>1.1876800000002197E-15</c:v>
                </c:pt>
                <c:pt idx="21">
                  <c:v>2.0375733333333293E-28</c:v>
                </c:pt>
                <c:pt idx="22">
                  <c:v>1.6823999999999587E-29</c:v>
                </c:pt>
                <c:pt idx="23">
                  <c:v>3.2704084337349434E-31</c:v>
                </c:pt>
                <c:pt idx="24">
                  <c:v>8.4765156577042423E-24</c:v>
                </c:pt>
                <c:pt idx="25">
                  <c:v>4.2382575902201214E-23</c:v>
                </c:pt>
                <c:pt idx="26">
                  <c:v>3.5601363672702913E-23</c:v>
                </c:pt>
                <c:pt idx="27">
                  <c:v>1.6953031272077559E-24</c:v>
                </c:pt>
                <c:pt idx="28">
                  <c:v>4.2395818181818187E-32</c:v>
                </c:pt>
                <c:pt idx="29">
                  <c:v>0</c:v>
                </c:pt>
                <c:pt idx="30">
                  <c:v>0</c:v>
                </c:pt>
                <c:pt idx="31">
                  <c:v>1.9438132530120455E-34</c:v>
                </c:pt>
                <c:pt idx="32">
                  <c:v>4.934295180722885E-34</c:v>
                </c:pt>
                <c:pt idx="33">
                  <c:v>1.5739800000000163E-20</c:v>
                </c:pt>
                <c:pt idx="34">
                  <c:v>2.5866810013939223E-16</c:v>
                </c:pt>
                <c:pt idx="35">
                  <c:v>1.0193794740787861E-15</c:v>
                </c:pt>
                <c:pt idx="36">
                  <c:v>5.0075029818181656E-13</c:v>
                </c:pt>
                <c:pt idx="37">
                  <c:v>1.1916027534039337E-12</c:v>
                </c:pt>
                <c:pt idx="38">
                  <c:v>1.0891715885022697E-12</c:v>
                </c:pt>
                <c:pt idx="39">
                  <c:v>9.8674042360060542E-13</c:v>
                </c:pt>
                <c:pt idx="40">
                  <c:v>8.8430925869894138E-13</c:v>
                </c:pt>
                <c:pt idx="41">
                  <c:v>7.8187809379727724E-13</c:v>
                </c:pt>
                <c:pt idx="42">
                  <c:v>6.7944692889561309E-13</c:v>
                </c:pt>
                <c:pt idx="43">
                  <c:v>5.7701576399394905E-13</c:v>
                </c:pt>
                <c:pt idx="44">
                  <c:v>5.7356054545454484E-13</c:v>
                </c:pt>
                <c:pt idx="45">
                  <c:v>7.0130599999999948E-13</c:v>
                </c:pt>
                <c:pt idx="46">
                  <c:v>8.1780999999999942E-13</c:v>
                </c:pt>
                <c:pt idx="47">
                  <c:v>8.9348509090909166E-13</c:v>
                </c:pt>
                <c:pt idx="48">
                  <c:v>7.1713963636363711E-13</c:v>
                </c:pt>
                <c:pt idx="49">
                  <c:v>1.5676742168674661E-12</c:v>
                </c:pt>
                <c:pt idx="50">
                  <c:v>3.5306621686747056E-12</c:v>
                </c:pt>
                <c:pt idx="51">
                  <c:v>2.562477105284863E-6</c:v>
                </c:pt>
                <c:pt idx="52">
                  <c:v>5.0395593939393904E-6</c:v>
                </c:pt>
                <c:pt idx="53">
                  <c:v>4.3534381818181788E-6</c:v>
                </c:pt>
                <c:pt idx="54">
                  <c:v>3.730536363636361E-6</c:v>
                </c:pt>
                <c:pt idx="55">
                  <c:v>3.1659909090909063E-6</c:v>
                </c:pt>
                <c:pt idx="56">
                  <c:v>2.7262509090909071E-6</c:v>
                </c:pt>
                <c:pt idx="57">
                  <c:v>2.3494559152798783E-6</c:v>
                </c:pt>
                <c:pt idx="58">
                  <c:v>2.1297100756429644E-6</c:v>
                </c:pt>
                <c:pt idx="59">
                  <c:v>1.9099642360060506E-6</c:v>
                </c:pt>
                <c:pt idx="60">
                  <c:v>1.6902183963691369E-6</c:v>
                </c:pt>
                <c:pt idx="61">
                  <c:v>1.4704725567322233E-6</c:v>
                </c:pt>
                <c:pt idx="62">
                  <c:v>1.2507267170953094E-6</c:v>
                </c:pt>
                <c:pt idx="63">
                  <c:v>1.0309808774583957E-6</c:v>
                </c:pt>
                <c:pt idx="64">
                  <c:v>8.7883806060606028E-7</c:v>
                </c:pt>
                <c:pt idx="65">
                  <c:v>7.6991684848484817E-7</c:v>
                </c:pt>
                <c:pt idx="66">
                  <c:v>6.8465397590361432E-7</c:v>
                </c:pt>
                <c:pt idx="67">
                  <c:v>6.0574909090909088E-7</c:v>
                </c:pt>
                <c:pt idx="68">
                  <c:v>5.3937939393939392E-7</c:v>
                </c:pt>
                <c:pt idx="69">
                  <c:v>4.8222000000000004E-7</c:v>
                </c:pt>
                <c:pt idx="70">
                  <c:v>4.3001999999999998E-7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8AF5-4EFF-A8A5-8EF44D2D1F2E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2.40997515151515E-34</c:v>
                </c:pt>
                <c:pt idx="1">
                  <c:v>1.3060987878787867E-34</c:v>
                </c:pt>
                <c:pt idx="2">
                  <c:v>2.7767454545454423E-35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9.1994096385542283E-32</c:v>
                </c:pt>
                <c:pt idx="7">
                  <c:v>3.0593385542168653E-31</c:v>
                </c:pt>
                <c:pt idx="8">
                  <c:v>7.1843335227413237E-24</c:v>
                </c:pt>
                <c:pt idx="9">
                  <c:v>3.2474389999999696E-21</c:v>
                </c:pt>
                <c:pt idx="10">
                  <c:v>3.0181138999999976E-20</c:v>
                </c:pt>
                <c:pt idx="11">
                  <c:v>2.5326001960641405E-14</c:v>
                </c:pt>
                <c:pt idx="12">
                  <c:v>7.9211017927963675E-14</c:v>
                </c:pt>
                <c:pt idx="13">
                  <c:v>1.3309603389528592E-13</c:v>
                </c:pt>
                <c:pt idx="14">
                  <c:v>1.869810498626082E-13</c:v>
                </c:pt>
                <c:pt idx="15">
                  <c:v>2.4086606582993048E-13</c:v>
                </c:pt>
                <c:pt idx="16">
                  <c:v>2.9475108179725273E-13</c:v>
                </c:pt>
                <c:pt idx="17">
                  <c:v>3.4863609776457503E-13</c:v>
                </c:pt>
                <c:pt idx="18">
                  <c:v>1.7058277193939347E-13</c:v>
                </c:pt>
                <c:pt idx="19">
                  <c:v>8.054836363636547E-17</c:v>
                </c:pt>
                <c:pt idx="20">
                  <c:v>2.4612000000011159E-17</c:v>
                </c:pt>
                <c:pt idx="21">
                  <c:v>1.0168048484848464E-29</c:v>
                </c:pt>
                <c:pt idx="22">
                  <c:v>8.3956363636361568E-31</c:v>
                </c:pt>
                <c:pt idx="23">
                  <c:v>8.283192771084347E-32</c:v>
                </c:pt>
                <c:pt idx="24">
                  <c:v>4.55909103729697E-24</c:v>
                </c:pt>
                <c:pt idx="25">
                  <c:v>2.279545458208485E-23</c:v>
                </c:pt>
                <c:pt idx="26">
                  <c:v>1.9148181858258182E-23</c:v>
                </c:pt>
                <c:pt idx="27">
                  <c:v>9.1181828868848721E-25</c:v>
                </c:pt>
                <c:pt idx="28">
                  <c:v>4.6755757575757586E-32</c:v>
                </c:pt>
                <c:pt idx="29">
                  <c:v>0</c:v>
                </c:pt>
                <c:pt idx="30">
                  <c:v>0</c:v>
                </c:pt>
                <c:pt idx="31">
                  <c:v>1.5383072289156606E-33</c:v>
                </c:pt>
                <c:pt idx="32">
                  <c:v>3.9049337349397536E-33</c:v>
                </c:pt>
                <c:pt idx="33">
                  <c:v>2.2770600000000107E-19</c:v>
                </c:pt>
                <c:pt idx="34">
                  <c:v>6.6816103988484406E-15</c:v>
                </c:pt>
                <c:pt idx="35">
                  <c:v>2.6332289483696925E-14</c:v>
                </c:pt>
                <c:pt idx="36">
                  <c:v>2.2579773963636287E-11</c:v>
                </c:pt>
                <c:pt idx="37">
                  <c:v>5.4712481089258651E-11</c:v>
                </c:pt>
                <c:pt idx="38">
                  <c:v>7.3774508320726124E-11</c:v>
                </c:pt>
                <c:pt idx="39">
                  <c:v>9.2836535552193591E-11</c:v>
                </c:pt>
                <c:pt idx="40">
                  <c:v>1.1189856278366106E-10</c:v>
                </c:pt>
                <c:pt idx="41">
                  <c:v>1.3096059001512851E-10</c:v>
                </c:pt>
                <c:pt idx="42">
                  <c:v>1.50022617246596E-10</c:v>
                </c:pt>
                <c:pt idx="43">
                  <c:v>1.6908464447806347E-10</c:v>
                </c:pt>
                <c:pt idx="44">
                  <c:v>2.3839090909090851E-10</c:v>
                </c:pt>
                <c:pt idx="45">
                  <c:v>3.7429999999999942E-10</c:v>
                </c:pt>
                <c:pt idx="46">
                  <c:v>5.9094618181818068E-10</c:v>
                </c:pt>
                <c:pt idx="47">
                  <c:v>8.0298321212121202E-10</c:v>
                </c:pt>
                <c:pt idx="48">
                  <c:v>8.317771515151514E-10</c:v>
                </c:pt>
                <c:pt idx="49">
                  <c:v>2.9317572289156548E-9</c:v>
                </c:pt>
                <c:pt idx="50">
                  <c:v>7.2755222891566424E-9</c:v>
                </c:pt>
                <c:pt idx="51">
                  <c:v>8.0464404167527731E-3</c:v>
                </c:pt>
                <c:pt idx="52">
                  <c:v>1.6471036363636372E-2</c:v>
                </c:pt>
                <c:pt idx="53">
                  <c:v>1.8118309090909099E-2</c:v>
                </c:pt>
                <c:pt idx="54">
                  <c:v>1.9728709090909097E-2</c:v>
                </c:pt>
                <c:pt idx="55">
                  <c:v>2.1305072727272736E-2</c:v>
                </c:pt>
                <c:pt idx="56">
                  <c:v>2.3051218181818191E-2</c:v>
                </c:pt>
                <c:pt idx="57">
                  <c:v>2.4966391830559768E-2</c:v>
                </c:pt>
                <c:pt idx="58">
                  <c:v>2.7390900151285941E-2</c:v>
                </c:pt>
                <c:pt idx="59">
                  <c:v>2.9815408472012112E-2</c:v>
                </c:pt>
                <c:pt idx="60">
                  <c:v>3.2239916792738285E-2</c:v>
                </c:pt>
                <c:pt idx="61">
                  <c:v>3.4664425113464459E-2</c:v>
                </c:pt>
                <c:pt idx="62">
                  <c:v>3.7088933434190632E-2</c:v>
                </c:pt>
                <c:pt idx="63">
                  <c:v>3.9513441754916799E-2</c:v>
                </c:pt>
                <c:pt idx="64">
                  <c:v>4.2487527272727282E-2</c:v>
                </c:pt>
                <c:pt idx="65">
                  <c:v>4.5812981818181824E-2</c:v>
                </c:pt>
                <c:pt idx="66">
                  <c:v>4.9596891566265067E-2</c:v>
                </c:pt>
                <c:pt idx="67">
                  <c:v>5.3589181818181821E-2</c:v>
                </c:pt>
                <c:pt idx="68">
                  <c:v>5.8023121212121213E-2</c:v>
                </c:pt>
                <c:pt idx="69">
                  <c:v>6.2943575757575768E-2</c:v>
                </c:pt>
                <c:pt idx="70">
                  <c:v>6.8126000000000006E-2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8AF5-4EFF-A8A5-8EF44D2D1F2E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>
                  <c:v>-18.618363636363636</c:v>
                </c:pt>
                <c:pt idx="3">
                  <c:v>-18.624424242424244</c:v>
                </c:pt>
                <c:pt idx="4">
                  <c:v>-18.630969696969697</c:v>
                </c:pt>
                <c:pt idx="5">
                  <c:v>-18.643090909090908</c:v>
                </c:pt>
                <c:pt idx="6">
                  <c:v>-18.655180722891565</c:v>
                </c:pt>
                <c:pt idx="7">
                  <c:v>-18.667228915662651</c:v>
                </c:pt>
                <c:pt idx="8">
                  <c:v>-18.679333333333336</c:v>
                </c:pt>
                <c:pt idx="9">
                  <c:v>-18.692181818181819</c:v>
                </c:pt>
                <c:pt idx="10">
                  <c:v>-18.710363636363635</c:v>
                </c:pt>
                <c:pt idx="11">
                  <c:v>-18.728532526475036</c:v>
                </c:pt>
                <c:pt idx="12">
                  <c:v>-18.746686838124052</c:v>
                </c:pt>
                <c:pt idx="13">
                  <c:v>-18.764841149773069</c:v>
                </c:pt>
                <c:pt idx="14">
                  <c:v>-18.782995461422086</c:v>
                </c:pt>
                <c:pt idx="15">
                  <c:v>-18.801149773071103</c:v>
                </c:pt>
                <c:pt idx="16">
                  <c:v>-18.81930408472012</c:v>
                </c:pt>
                <c:pt idx="17">
                  <c:v>-18.837458396369136</c:v>
                </c:pt>
                <c:pt idx="18">
                  <c:v>-18.855636363636364</c:v>
                </c:pt>
                <c:pt idx="19">
                  <c:v>-18.873818181818184</c:v>
                </c:pt>
                <c:pt idx="20">
                  <c:v>-18.891999999999999</c:v>
                </c:pt>
                <c:pt idx="21">
                  <c:v>-18.913575757575757</c:v>
                </c:pt>
                <c:pt idx="22">
                  <c:v>-18.937818181818184</c:v>
                </c:pt>
                <c:pt idx="23">
                  <c:v>-18.95644578313253</c:v>
                </c:pt>
                <c:pt idx="24">
                  <c:v>-18.976060606060607</c:v>
                </c:pt>
                <c:pt idx="25">
                  <c:v>-19.00030303030303</c:v>
                </c:pt>
                <c:pt idx="26">
                  <c:v>-19.020909090909093</c:v>
                </c:pt>
                <c:pt idx="27">
                  <c:v>-19.039090909090909</c:v>
                </c:pt>
                <c:pt idx="28">
                  <c:v>-19.057272727272728</c:v>
                </c:pt>
                <c:pt idx="29">
                  <c:v>-19.077272727272728</c:v>
                </c:pt>
                <c:pt idx="30">
                  <c:v>-19.101515151515152</c:v>
                </c:pt>
                <c:pt idx="31">
                  <c:v>-19.121746987951806</c:v>
                </c:pt>
                <c:pt idx="32">
                  <c:v>-19.139819277108433</c:v>
                </c:pt>
                <c:pt idx="33">
                  <c:v>-19.164000000000001</c:v>
                </c:pt>
                <c:pt idx="34">
                  <c:v>-19.186181818181819</c:v>
                </c:pt>
                <c:pt idx="35">
                  <c:v>-19.204363636363638</c:v>
                </c:pt>
                <c:pt idx="36">
                  <c:v>-19.226727272727274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8AF5-4EFF-A8A5-8EF44D2D1F2E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-60.144848484848481</c:v>
                </c:pt>
                <c:pt idx="1">
                  <c:v>-58.339757575757574</c:v>
                </c:pt>
                <c:pt idx="2">
                  <c:v>-56.654909090909094</c:v>
                </c:pt>
                <c:pt idx="3">
                  <c:v>-55.098363636363636</c:v>
                </c:pt>
                <c:pt idx="4">
                  <c:v>-53.546121212121207</c:v>
                </c:pt>
                <c:pt idx="5">
                  <c:v>-51.49763636363636</c:v>
                </c:pt>
                <c:pt idx="6">
                  <c:v>-49.457048192771083</c:v>
                </c:pt>
                <c:pt idx="7">
                  <c:v>-47.426927710843373</c:v>
                </c:pt>
                <c:pt idx="8">
                  <c:v>-45.513333333333335</c:v>
                </c:pt>
                <c:pt idx="9">
                  <c:v>-43.650545454545458</c:v>
                </c:pt>
                <c:pt idx="10">
                  <c:v>-41.905090909090909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-17.45843373493976</c:v>
                </c:pt>
                <c:pt idx="32">
                  <c:v>-16.856024096385546</c:v>
                </c:pt>
                <c:pt idx="33">
                  <c:v>-16.28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-8.0158121212121198</c:v>
                </c:pt>
                <c:pt idx="52">
                  <c:v>-7.7234484848484852</c:v>
                </c:pt>
                <c:pt idx="53">
                  <c:v>-7.7731454545454541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-8.5329090909090901</c:v>
                </c:pt>
                <c:pt idx="68">
                  <c:v>-8.5959393939393944</c:v>
                </c:pt>
                <c:pt idx="69">
                  <c:v>-8.6605454545454545</c:v>
                </c:pt>
                <c:pt idx="70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8AF5-4EFF-A8A5-8EF44D2D1F2E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-15.300424242424242</c:v>
                </c:pt>
                <c:pt idx="1">
                  <c:v>-14.974848484848485</c:v>
                </c:pt>
                <c:pt idx="2">
                  <c:v>-14.671818181818182</c:v>
                </c:pt>
                <c:pt idx="3">
                  <c:v>-14.399757575757576</c:v>
                </c:pt>
                <c:pt idx="4">
                  <c:v>-14.105212121212121</c:v>
                </c:pt>
                <c:pt idx="5">
                  <c:v>-13.420363636363636</c:v>
                </c:pt>
                <c:pt idx="6">
                  <c:v>-12.711385542168674</c:v>
                </c:pt>
                <c:pt idx="7">
                  <c:v>-11.970421686746988</c:v>
                </c:pt>
                <c:pt idx="8">
                  <c:v>-11.272666666666668</c:v>
                </c:pt>
                <c:pt idx="9">
                  <c:v>-10.593127272727273</c:v>
                </c:pt>
                <c:pt idx="10">
                  <c:v>-9.9525212121212121</c:v>
                </c:pt>
                <c:pt idx="11">
                  <c:v>-9.3588018154311658</c:v>
                </c:pt>
                <c:pt idx="12">
                  <c:v>-8.8179546142208771</c:v>
                </c:pt>
                <c:pt idx="13">
                  <c:v>-8.2771074130105902</c:v>
                </c:pt>
                <c:pt idx="14">
                  <c:v>-7.7362602118003023</c:v>
                </c:pt>
                <c:pt idx="15">
                  <c:v>-7.1954130105900145</c:v>
                </c:pt>
                <c:pt idx="16">
                  <c:v>-6.6545658093797275</c:v>
                </c:pt>
                <c:pt idx="17">
                  <c:v>-6.1137186081694388</c:v>
                </c:pt>
                <c:pt idx="18">
                  <c:v>-5.6392727272727265</c:v>
                </c:pt>
                <c:pt idx="19">
                  <c:v>-5.1809818181818166</c:v>
                </c:pt>
                <c:pt idx="20">
                  <c:v>-4.742799999999999</c:v>
                </c:pt>
                <c:pt idx="21">
                  <c:v>-4.4023636363636358</c:v>
                </c:pt>
                <c:pt idx="22">
                  <c:v>-4.1387272727272721</c:v>
                </c:pt>
                <c:pt idx="23">
                  <c:v>-4.1369277108433735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-4.3330542168674695</c:v>
                </c:pt>
                <c:pt idx="32">
                  <c:v>-4.3577530120481924</c:v>
                </c:pt>
                <c:pt idx="33">
                  <c:v>-4.3826000000000001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-5.1835454545454542</c:v>
                </c:pt>
                <c:pt idx="68">
                  <c:v>-5.2053636363636366</c:v>
                </c:pt>
                <c:pt idx="69">
                  <c:v>-5.2271818181818182</c:v>
                </c:pt>
                <c:pt idx="70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8AF5-4EFF-A8A5-8EF44D2D1F2E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  <c:pt idx="0">
                  <c:v>-21.792000000000002</c:v>
                </c:pt>
                <c:pt idx="1">
                  <c:v>-21.217333333333332</c:v>
                </c:pt>
                <c:pt idx="2">
                  <c:v>-20.683999999999997</c:v>
                </c:pt>
                <c:pt idx="3">
                  <c:v>-20.194909090909089</c:v>
                </c:pt>
                <c:pt idx="4">
                  <c:v>-19.761939393939397</c:v>
                </c:pt>
                <c:pt idx="5">
                  <c:v>-19.78618181818182</c:v>
                </c:pt>
                <c:pt idx="6">
                  <c:v>-19.862168674698797</c:v>
                </c:pt>
                <c:pt idx="7">
                  <c:v>-20.006746987951807</c:v>
                </c:pt>
                <c:pt idx="8">
                  <c:v>-20.152000000000001</c:v>
                </c:pt>
                <c:pt idx="9">
                  <c:v>-20.298181818181821</c:v>
                </c:pt>
                <c:pt idx="10">
                  <c:v>-20.449696969696969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-23.573975903614457</c:v>
                </c:pt>
                <c:pt idx="32">
                  <c:v>-23.718554216867467</c:v>
                </c:pt>
                <c:pt idx="33">
                  <c:v>-23.858000000000001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8AF5-4EFF-A8A5-8EF44D2D1F2E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8AF5-4EFF-A8A5-8EF44D2D1F2E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8AF5-4EFF-A8A5-8EF44D2D1F2E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8AF5-4EFF-A8A5-8EF44D2D1F2E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8AF5-4EFF-A8A5-8EF44D2D1F2E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8AF5-4EFF-A8A5-8EF44D2D1F2E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8AF5-4EFF-A8A5-8EF44D2D1F2E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8AF5-4EFF-A8A5-8EF44D2D1F2E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8AF5-4EFF-A8A5-8EF44D2D1F2E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8AF5-4EFF-A8A5-8EF44D2D1F2E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8AF5-4EFF-A8A5-8EF44D2D1F2E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8AF5-4EFF-A8A5-8EF44D2D1F2E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8AF5-4EFF-A8A5-8EF44D2D1F2E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  <c:pt idx="0">
                  <c:v>end1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8AF5-4EFF-A8A5-8EF44D2D1F2E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8AF5-4EFF-A8A5-8EF44D2D1F2E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8AF5-4EFF-A8A5-8EF44D2D1F2E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1.6735315156149013E-23</c:v>
                </c:pt>
                <c:pt idx="1">
                  <c:v>3.0091301472727363E-20</c:v>
                </c:pt>
                <c:pt idx="2">
                  <c:v>1.0920838692727282E-19</c:v>
                </c:pt>
                <c:pt idx="3">
                  <c:v>2.2640414545454577E-18</c:v>
                </c:pt>
                <c:pt idx="4">
                  <c:v>1.2732251739788308E-17</c:v>
                </c:pt>
                <c:pt idx="5">
                  <c:v>1.0997539848714078E-16</c:v>
                </c:pt>
                <c:pt idx="6">
                  <c:v>2.0721854523449323E-16</c:v>
                </c:pt>
                <c:pt idx="7">
                  <c:v>3.044616919818457E-16</c:v>
                </c:pt>
                <c:pt idx="8">
                  <c:v>4.0170483872919815E-16</c:v>
                </c:pt>
                <c:pt idx="9">
                  <c:v>4.989479854765506E-16</c:v>
                </c:pt>
                <c:pt idx="10">
                  <c:v>5.9619113222390305E-16</c:v>
                </c:pt>
                <c:pt idx="11">
                  <c:v>2.0334523636363604E-15</c:v>
                </c:pt>
                <c:pt idx="12">
                  <c:v>4.9817978181818147E-15</c:v>
                </c:pt>
                <c:pt idx="13">
                  <c:v>1.0748446969696955E-13</c:v>
                </c:pt>
                <c:pt idx="14">
                  <c:v>3.6167728915662492E-12</c:v>
                </c:pt>
                <c:pt idx="15">
                  <c:v>2.3652495783132553E-11</c:v>
                </c:pt>
                <c:pt idx="16">
                  <c:v>5.6734109090909323E-10</c:v>
                </c:pt>
                <c:pt idx="17">
                  <c:v>1.6141471515151537E-9</c:v>
                </c:pt>
                <c:pt idx="18">
                  <c:v>3.6844939393939443E-9</c:v>
                </c:pt>
                <c:pt idx="19">
                  <c:v>5.7876490909090949E-9</c:v>
                </c:pt>
                <c:pt idx="20">
                  <c:v>7.3874066666666711E-9</c:v>
                </c:pt>
                <c:pt idx="21">
                  <c:v>8.8368466666666702E-9</c:v>
                </c:pt>
                <c:pt idx="22">
                  <c:v>1.0168180000000002E-8</c:v>
                </c:pt>
                <c:pt idx="23">
                  <c:v>1.3718042168674703E-8</c:v>
                </c:pt>
                <c:pt idx="24">
                  <c:v>1.686969696969697E-8</c:v>
                </c:pt>
                <c:pt idx="25">
                  <c:v>1.8168484848484851E-8</c:v>
                </c:pt>
                <c:pt idx="26">
                  <c:v>1.7813454545454547E-8</c:v>
                </c:pt>
                <c:pt idx="27">
                  <c:v>1.6355878787878789E-8</c:v>
                </c:pt>
                <c:pt idx="28">
                  <c:v>1.3967878787878787E-8</c:v>
                </c:pt>
                <c:pt idx="29">
                  <c:v>1.2826181818181817E-8</c:v>
                </c:pt>
                <c:pt idx="30">
                  <c:v>1.4706787878787877E-8</c:v>
                </c:pt>
                <c:pt idx="31">
                  <c:v>1.6280873493975901E-8</c:v>
                </c:pt>
                <c:pt idx="32">
                  <c:v>1.7689909638554213E-8</c:v>
                </c:pt>
                <c:pt idx="33">
                  <c:v>1.8416199999999999E-8</c:v>
                </c:pt>
                <c:pt idx="34">
                  <c:v>1.8968066666666667E-8</c:v>
                </c:pt>
                <c:pt idx="35">
                  <c:v>1.9194733333333334E-8</c:v>
                </c:pt>
                <c:pt idx="36">
                  <c:v>1.926458181818182E-8</c:v>
                </c:pt>
                <c:pt idx="37">
                  <c:v>1.9265597579425112E-8</c:v>
                </c:pt>
                <c:pt idx="38">
                  <c:v>1.930553706505295E-8</c:v>
                </c:pt>
                <c:pt idx="39">
                  <c:v>1.9345476550680787E-8</c:v>
                </c:pt>
                <c:pt idx="40">
                  <c:v>1.9385416036308625E-8</c:v>
                </c:pt>
                <c:pt idx="41">
                  <c:v>1.9425355521936462E-8</c:v>
                </c:pt>
                <c:pt idx="42">
                  <c:v>1.9465295007564296E-8</c:v>
                </c:pt>
                <c:pt idx="43">
                  <c:v>1.9505234493192133E-8</c:v>
                </c:pt>
                <c:pt idx="44">
                  <c:v>1.9223812405446296E-8</c:v>
                </c:pt>
                <c:pt idx="45">
                  <c:v>1.851639939485628E-8</c:v>
                </c:pt>
                <c:pt idx="46">
                  <c:v>1.7808986384266264E-8</c:v>
                </c:pt>
                <c:pt idx="47">
                  <c:v>1.7101573373676247E-8</c:v>
                </c:pt>
                <c:pt idx="48">
                  <c:v>1.6394160363086231E-8</c:v>
                </c:pt>
                <c:pt idx="49">
                  <c:v>1.5686747352496217E-8</c:v>
                </c:pt>
                <c:pt idx="50">
                  <c:v>1.4979334341906198E-8</c:v>
                </c:pt>
                <c:pt idx="51">
                  <c:v>1.5298527272727276E-8</c:v>
                </c:pt>
                <c:pt idx="52">
                  <c:v>1.584307272727273E-8</c:v>
                </c:pt>
                <c:pt idx="53">
                  <c:v>1.6387618181818185E-8</c:v>
                </c:pt>
                <c:pt idx="54">
                  <c:v>1.6932163636363639E-8</c:v>
                </c:pt>
                <c:pt idx="55">
                  <c:v>1.7476709090909093E-8</c:v>
                </c:pt>
                <c:pt idx="56">
                  <c:v>1.8021254545454547E-8</c:v>
                </c:pt>
                <c:pt idx="57">
                  <c:v>1.9184590361445798E-8</c:v>
                </c:pt>
                <c:pt idx="58">
                  <c:v>2.2541819277108446E-8</c:v>
                </c:pt>
                <c:pt idx="59">
                  <c:v>2.5591751515151521E-8</c:v>
                </c:pt>
                <c:pt idx="60">
                  <c:v>2.8400236363636368E-8</c:v>
                </c:pt>
                <c:pt idx="61">
                  <c:v>2.3413054545454533E-8</c:v>
                </c:pt>
                <c:pt idx="62">
                  <c:v>1.9415151515151516E-8</c:v>
                </c:pt>
                <c:pt idx="63">
                  <c:v>2.0427272727272728E-8</c:v>
                </c:pt>
                <c:pt idx="64">
                  <c:v>2.1302236363636366E-8</c:v>
                </c:pt>
                <c:pt idx="65">
                  <c:v>2.2089509090909092E-8</c:v>
                </c:pt>
                <c:pt idx="66">
                  <c:v>2.2701626506024097E-8</c:v>
                </c:pt>
                <c:pt idx="67">
                  <c:v>2.3236818181818183E-8</c:v>
                </c:pt>
                <c:pt idx="68">
                  <c:v>2.3609545454545456E-8</c:v>
                </c:pt>
                <c:pt idx="69">
                  <c:v>2.3866454545454545E-8</c:v>
                </c:pt>
                <c:pt idx="70">
                  <c:v>2.4061E-8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8AF5-4EFF-A8A5-8EF44D2D1F2E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3.2555735757575792E-9</c:v>
                </c:pt>
                <c:pt idx="1">
                  <c:v>6.4679496969697017E-9</c:v>
                </c:pt>
                <c:pt idx="2">
                  <c:v>1.0333343636363642E-8</c:v>
                </c:pt>
                <c:pt idx="3">
                  <c:v>1.3194036363636367E-8</c:v>
                </c:pt>
                <c:pt idx="4">
                  <c:v>1.5618608169440246E-8</c:v>
                </c:pt>
                <c:pt idx="5">
                  <c:v>1.7301210287443269E-8</c:v>
                </c:pt>
                <c:pt idx="6">
                  <c:v>1.8983812405446296E-8</c:v>
                </c:pt>
                <c:pt idx="7">
                  <c:v>2.0666414523449319E-8</c:v>
                </c:pt>
                <c:pt idx="8">
                  <c:v>2.2349016641452346E-8</c:v>
                </c:pt>
                <c:pt idx="9">
                  <c:v>2.4031618759455369E-8</c:v>
                </c:pt>
                <c:pt idx="10">
                  <c:v>2.5714220877458396E-8</c:v>
                </c:pt>
                <c:pt idx="11">
                  <c:v>2.567938787878788E-8</c:v>
                </c:pt>
                <c:pt idx="12">
                  <c:v>2.3707872727272731E-8</c:v>
                </c:pt>
                <c:pt idx="13">
                  <c:v>1.9535278787878792E-8</c:v>
                </c:pt>
                <c:pt idx="14">
                  <c:v>1.4790082530120485E-8</c:v>
                </c:pt>
                <c:pt idx="15">
                  <c:v>9.6082150602409582E-9</c:v>
                </c:pt>
                <c:pt idx="16">
                  <c:v>5.0340949090908996E-9</c:v>
                </c:pt>
                <c:pt idx="17">
                  <c:v>1.0438888484848395E-9</c:v>
                </c:pt>
                <c:pt idx="18">
                  <c:v>2.3246483987878717E-10</c:v>
                </c:pt>
                <c:pt idx="19">
                  <c:v>2.1471726774181785E-13</c:v>
                </c:pt>
                <c:pt idx="20">
                  <c:v>6.5609018893332971E-14</c:v>
                </c:pt>
                <c:pt idx="21">
                  <c:v>9.1784613702739211E-19</c:v>
                </c:pt>
                <c:pt idx="22">
                  <c:v>7.5785667433452768E-20</c:v>
                </c:pt>
                <c:pt idx="23">
                  <c:v>1.0173344210858421E-25</c:v>
                </c:pt>
                <c:pt idx="24">
                  <c:v>1.2960606060606063E-32</c:v>
                </c:pt>
                <c:pt idx="25">
                  <c:v>3.7030303030303034E-33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8AF5-4EFF-A8A5-8EF44D2D1F2E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8AF5-4EFF-A8A5-8EF44D2D1F2E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(DGeSe2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0.10389327878787878</c:v>
                </c:pt>
                <c:pt idx="1">
                  <c:v>9.3476199999999982E-2</c:v>
                </c:pt>
                <c:pt idx="2">
                  <c:v>7.9316199999999989E-2</c:v>
                </c:pt>
                <c:pt idx="3">
                  <c:v>6.3278109090909071E-2</c:v>
                </c:pt>
                <c:pt idx="4">
                  <c:v>4.7338432677760965E-2</c:v>
                </c:pt>
                <c:pt idx="5">
                  <c:v>4.0518841149773069E-2</c:v>
                </c:pt>
                <c:pt idx="6">
                  <c:v>3.3699249621785173E-2</c:v>
                </c:pt>
                <c:pt idx="7">
                  <c:v>2.6879658093797276E-2</c:v>
                </c:pt>
                <c:pt idx="8">
                  <c:v>2.006006656580938E-2</c:v>
                </c:pt>
                <c:pt idx="9">
                  <c:v>1.3240475037821484E-2</c:v>
                </c:pt>
                <c:pt idx="10">
                  <c:v>6.4208835098335873E-3</c:v>
                </c:pt>
                <c:pt idx="11">
                  <c:v>2.4000496969696977E-3</c:v>
                </c:pt>
                <c:pt idx="12">
                  <c:v>1.5352618181818192E-3</c:v>
                </c:pt>
                <c:pt idx="13">
                  <c:v>1.0426595151515157E-3</c:v>
                </c:pt>
                <c:pt idx="14">
                  <c:v>6.671675903614459E-4</c:v>
                </c:pt>
                <c:pt idx="15">
                  <c:v>4.645651807228913E-4</c:v>
                </c:pt>
                <c:pt idx="16">
                  <c:v>3.1076018181818159E-4</c:v>
                </c:pt>
                <c:pt idx="17">
                  <c:v>2.0383896969696945E-4</c:v>
                </c:pt>
                <c:pt idx="18">
                  <c:v>1.3877838787878773E-4</c:v>
                </c:pt>
                <c:pt idx="19">
                  <c:v>8.6257054545454468E-5</c:v>
                </c:pt>
                <c:pt idx="20">
                  <c:v>5.5271599999999927E-5</c:v>
                </c:pt>
                <c:pt idx="21">
                  <c:v>3.3232909090909054E-5</c:v>
                </c:pt>
                <c:pt idx="22">
                  <c:v>1.8223818181818145E-5</c:v>
                </c:pt>
                <c:pt idx="23">
                  <c:v>1.1076025903614452E-5</c:v>
                </c:pt>
                <c:pt idx="24">
                  <c:v>5.6845272727272729E-6</c:v>
                </c:pt>
                <c:pt idx="25">
                  <c:v>3.2294363636363638E-6</c:v>
                </c:pt>
                <c:pt idx="26">
                  <c:v>1.7186363636363636E-6</c:v>
                </c:pt>
                <c:pt idx="27">
                  <c:v>8.3736363636363636E-7</c:v>
                </c:pt>
                <c:pt idx="28">
                  <c:v>4.9969242424242433E-7</c:v>
                </c:pt>
                <c:pt idx="29">
                  <c:v>2.5067727272727273E-7</c:v>
                </c:pt>
                <c:pt idx="30">
                  <c:v>1.4176818181818184E-7</c:v>
                </c:pt>
                <c:pt idx="31">
                  <c:v>7.8348554216867519E-8</c:v>
                </c:pt>
                <c:pt idx="32">
                  <c:v>3.9423253012048289E-8</c:v>
                </c:pt>
                <c:pt idx="33">
                  <c:v>2.4707800000000034E-8</c:v>
                </c:pt>
                <c:pt idx="34">
                  <c:v>1.3283847272727287E-8</c:v>
                </c:pt>
                <c:pt idx="35">
                  <c:v>7.7745745454545592E-9</c:v>
                </c:pt>
                <c:pt idx="36">
                  <c:v>4.5754218181818237E-9</c:v>
                </c:pt>
                <c:pt idx="37">
                  <c:v>2.4860376520423605E-9</c:v>
                </c:pt>
                <c:pt idx="38">
                  <c:v>2.1219789531013622E-9</c:v>
                </c:pt>
                <c:pt idx="39">
                  <c:v>1.7579202541603642E-9</c:v>
                </c:pt>
                <c:pt idx="40">
                  <c:v>1.3938615552193656E-9</c:v>
                </c:pt>
                <c:pt idx="41">
                  <c:v>1.0298028562783674E-9</c:v>
                </c:pt>
                <c:pt idx="42">
                  <c:v>6.6574415733736903E-10</c:v>
                </c:pt>
                <c:pt idx="43">
                  <c:v>3.0168545839637065E-10</c:v>
                </c:pt>
                <c:pt idx="44">
                  <c:v>8.8383159152798849E-11</c:v>
                </c:pt>
                <c:pt idx="45">
                  <c:v>7.4920738577912292E-11</c:v>
                </c:pt>
                <c:pt idx="46">
                  <c:v>6.1458318003025735E-11</c:v>
                </c:pt>
                <c:pt idx="47">
                  <c:v>4.7995897428139184E-11</c:v>
                </c:pt>
                <c:pt idx="48">
                  <c:v>3.4533476853252621E-11</c:v>
                </c:pt>
                <c:pt idx="49">
                  <c:v>2.1071056278366077E-11</c:v>
                </c:pt>
                <c:pt idx="50">
                  <c:v>7.60863570347952E-12</c:v>
                </c:pt>
                <c:pt idx="51">
                  <c:v>4.591056545454542E-12</c:v>
                </c:pt>
                <c:pt idx="52">
                  <c:v>3.8662474545454517E-12</c:v>
                </c:pt>
                <c:pt idx="53">
                  <c:v>3.1414383636363602E-12</c:v>
                </c:pt>
                <c:pt idx="54">
                  <c:v>2.4166292727272695E-12</c:v>
                </c:pt>
                <c:pt idx="55">
                  <c:v>1.6918201818181784E-12</c:v>
                </c:pt>
                <c:pt idx="56">
                  <c:v>9.6701109090908733E-13</c:v>
                </c:pt>
                <c:pt idx="57">
                  <c:v>3.774401204819272E-13</c:v>
                </c:pt>
                <c:pt idx="58">
                  <c:v>2.6734975903614426E-13</c:v>
                </c:pt>
                <c:pt idx="59">
                  <c:v>1.854593333333332E-13</c:v>
                </c:pt>
                <c:pt idx="60">
                  <c:v>1.2572599999999987E-13</c:v>
                </c:pt>
                <c:pt idx="61">
                  <c:v>9.0792096969696904E-14</c:v>
                </c:pt>
                <c:pt idx="62">
                  <c:v>6.2127999999999965E-14</c:v>
                </c:pt>
                <c:pt idx="63">
                  <c:v>4.4327999999999961E-14</c:v>
                </c:pt>
                <c:pt idx="64">
                  <c:v>3.1382121212121193E-14</c:v>
                </c:pt>
                <c:pt idx="65">
                  <c:v>2.153969696969695E-14</c:v>
                </c:pt>
                <c:pt idx="66">
                  <c:v>1.5904168674698789E-14</c:v>
                </c:pt>
                <c:pt idx="67">
                  <c:v>1.1152854545454546E-14</c:v>
                </c:pt>
                <c:pt idx="68">
                  <c:v>8.0557030303030312E-15</c:v>
                </c:pt>
                <c:pt idx="69">
                  <c:v>5.8255333333333333E-15</c:v>
                </c:pt>
                <c:pt idx="70">
                  <c:v>4.0621999999999996E-15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8AF5-4EFF-A8A5-8EF44D2D1F2E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(DGeSe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0.1361048484848485</c:v>
                </c:pt>
                <c:pt idx="1">
                  <c:v>0.14651987878787881</c:v>
                </c:pt>
                <c:pt idx="2">
                  <c:v>0.16067745454545457</c:v>
                </c:pt>
                <c:pt idx="3">
                  <c:v>0.17670648484848486</c:v>
                </c:pt>
                <c:pt idx="4">
                  <c:v>0.19260582450832076</c:v>
                </c:pt>
                <c:pt idx="5">
                  <c:v>0.19905363086232983</c:v>
                </c:pt>
                <c:pt idx="6">
                  <c:v>0.2055014372163389</c:v>
                </c:pt>
                <c:pt idx="7">
                  <c:v>0.21194924357034797</c:v>
                </c:pt>
                <c:pt idx="8">
                  <c:v>0.21839704992435705</c:v>
                </c:pt>
                <c:pt idx="9">
                  <c:v>0.22484485627836612</c:v>
                </c:pt>
                <c:pt idx="10">
                  <c:v>0.23129266263237519</c:v>
                </c:pt>
                <c:pt idx="11">
                  <c:v>0.23395230303030304</c:v>
                </c:pt>
                <c:pt idx="12">
                  <c:v>0.23234018181818183</c:v>
                </c:pt>
                <c:pt idx="13">
                  <c:v>0.22791024242424243</c:v>
                </c:pt>
                <c:pt idx="14">
                  <c:v>0.22200873493975903</c:v>
                </c:pt>
                <c:pt idx="15">
                  <c:v>0.21194246987951806</c:v>
                </c:pt>
                <c:pt idx="16">
                  <c:v>0.19868618181818179</c:v>
                </c:pt>
                <c:pt idx="17">
                  <c:v>0.18236496969696964</c:v>
                </c:pt>
                <c:pt idx="18">
                  <c:v>0.16131636363636359</c:v>
                </c:pt>
                <c:pt idx="19">
                  <c:v>0.13901199999999997</c:v>
                </c:pt>
                <c:pt idx="20">
                  <c:v>0.11487866666666663</c:v>
                </c:pt>
                <c:pt idx="21">
                  <c:v>9.2028242424242374E-2</c:v>
                </c:pt>
                <c:pt idx="22">
                  <c:v>7.0185818181818127E-2</c:v>
                </c:pt>
                <c:pt idx="23">
                  <c:v>5.3410024096385525E-2</c:v>
                </c:pt>
                <c:pt idx="24">
                  <c:v>3.855460606060606E-2</c:v>
                </c:pt>
                <c:pt idx="25">
                  <c:v>2.7957030303030303E-2</c:v>
                </c:pt>
                <c:pt idx="26">
                  <c:v>1.9962363636363636E-2</c:v>
                </c:pt>
                <c:pt idx="27">
                  <c:v>1.3702969696969698E-2</c:v>
                </c:pt>
                <c:pt idx="28">
                  <c:v>1.003160606060606E-2</c:v>
                </c:pt>
                <c:pt idx="29">
                  <c:v>6.9664363636363635E-3</c:v>
                </c:pt>
                <c:pt idx="30">
                  <c:v>4.9978909090909098E-3</c:v>
                </c:pt>
                <c:pt idx="31">
                  <c:v>3.5984030120481936E-3</c:v>
                </c:pt>
                <c:pt idx="32">
                  <c:v>2.5053307228915687E-3</c:v>
                </c:pt>
                <c:pt idx="33">
                  <c:v>1.8790400000000015E-3</c:v>
                </c:pt>
                <c:pt idx="34">
                  <c:v>1.347492121212122E-3</c:v>
                </c:pt>
                <c:pt idx="35">
                  <c:v>9.9070424242424324E-4</c:v>
                </c:pt>
                <c:pt idx="36">
                  <c:v>7.3638763636363683E-4</c:v>
                </c:pt>
                <c:pt idx="37">
                  <c:v>5.337176399394858E-4</c:v>
                </c:pt>
                <c:pt idx="38">
                  <c:v>4.6565863842662654E-4</c:v>
                </c:pt>
                <c:pt idx="39">
                  <c:v>3.9759963691376722E-4</c:v>
                </c:pt>
                <c:pt idx="40">
                  <c:v>3.2954063540090791E-4</c:v>
                </c:pt>
                <c:pt idx="41">
                  <c:v>2.6148163388804864E-4</c:v>
                </c:pt>
                <c:pt idx="42">
                  <c:v>1.9342263237518938E-4</c:v>
                </c:pt>
                <c:pt idx="43">
                  <c:v>1.2536363086233007E-4</c:v>
                </c:pt>
                <c:pt idx="44">
                  <c:v>8.2073019667170993E-5</c:v>
                </c:pt>
                <c:pt idx="45">
                  <c:v>7.1614925869894136E-5</c:v>
                </c:pt>
                <c:pt idx="46">
                  <c:v>6.1156832072617264E-5</c:v>
                </c:pt>
                <c:pt idx="47">
                  <c:v>5.0698738275340393E-5</c:v>
                </c:pt>
                <c:pt idx="48">
                  <c:v>4.0240644478063521E-5</c:v>
                </c:pt>
                <c:pt idx="49">
                  <c:v>2.9782550680786656E-5</c:v>
                </c:pt>
                <c:pt idx="50">
                  <c:v>1.9324456883509792E-5</c:v>
                </c:pt>
                <c:pt idx="51">
                  <c:v>1.5805963333333326E-5</c:v>
                </c:pt>
                <c:pt idx="52">
                  <c:v>1.3810796666666659E-5</c:v>
                </c:pt>
                <c:pt idx="53">
                  <c:v>1.1815629999999991E-5</c:v>
                </c:pt>
                <c:pt idx="54">
                  <c:v>9.8204633333333237E-6</c:v>
                </c:pt>
                <c:pt idx="55">
                  <c:v>7.825296666666658E-6</c:v>
                </c:pt>
                <c:pt idx="56">
                  <c:v>5.8301299999999922E-6</c:v>
                </c:pt>
                <c:pt idx="57">
                  <c:v>4.1138566265060206E-6</c:v>
                </c:pt>
                <c:pt idx="58">
                  <c:v>3.3863867469879499E-6</c:v>
                </c:pt>
                <c:pt idx="59">
                  <c:v>2.7763218181818171E-6</c:v>
                </c:pt>
                <c:pt idx="60">
                  <c:v>2.2585036363636352E-6</c:v>
                </c:pt>
                <c:pt idx="61">
                  <c:v>1.8769648484848475E-6</c:v>
                </c:pt>
                <c:pt idx="62">
                  <c:v>1.5362436363636358E-6</c:v>
                </c:pt>
                <c:pt idx="63">
                  <c:v>1.273334545454545E-6</c:v>
                </c:pt>
                <c:pt idx="64">
                  <c:v>1.0556652727272724E-6</c:v>
                </c:pt>
                <c:pt idx="65">
                  <c:v>8.6691981818181775E-7</c:v>
                </c:pt>
                <c:pt idx="66">
                  <c:v>7.2934783132530101E-7</c:v>
                </c:pt>
                <c:pt idx="67">
                  <c:v>6.0485818181818178E-7</c:v>
                </c:pt>
                <c:pt idx="68">
                  <c:v>5.0591878787878786E-7</c:v>
                </c:pt>
                <c:pt idx="69">
                  <c:v>4.2430878787878785E-7</c:v>
                </c:pt>
                <c:pt idx="70">
                  <c:v>3.5203000000000001E-7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8AF5-4EFF-A8A5-8EF44D2D1F2E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(DGa2Sej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3.9995751515151515E-2</c:v>
                </c:pt>
                <c:pt idx="1">
                  <c:v>3.9993848484848486E-2</c:v>
                </c:pt>
                <c:pt idx="2">
                  <c:v>3.9990818181818183E-2</c:v>
                </c:pt>
                <c:pt idx="3">
                  <c:v>3.998469090909091E-2</c:v>
                </c:pt>
                <c:pt idx="4">
                  <c:v>3.9973231467473523E-2</c:v>
                </c:pt>
                <c:pt idx="5">
                  <c:v>3.9913624810892584E-2</c:v>
                </c:pt>
                <c:pt idx="6">
                  <c:v>3.9854018154311652E-2</c:v>
                </c:pt>
                <c:pt idx="7">
                  <c:v>3.9794411497730713E-2</c:v>
                </c:pt>
                <c:pt idx="8">
                  <c:v>3.9734804841149773E-2</c:v>
                </c:pt>
                <c:pt idx="9">
                  <c:v>3.9675198184568834E-2</c:v>
                </c:pt>
                <c:pt idx="10">
                  <c:v>3.9615591527987895E-2</c:v>
                </c:pt>
                <c:pt idx="11">
                  <c:v>3.9480884848484853E-2</c:v>
                </c:pt>
                <c:pt idx="12">
                  <c:v>3.926149090909091E-2</c:v>
                </c:pt>
                <c:pt idx="13">
                  <c:v>3.8919345454545458E-2</c:v>
                </c:pt>
                <c:pt idx="14">
                  <c:v>3.8513253012048193E-2</c:v>
                </c:pt>
                <c:pt idx="15">
                  <c:v>3.7926506024096383E-2</c:v>
                </c:pt>
                <c:pt idx="16">
                  <c:v>3.7175363636363631E-2</c:v>
                </c:pt>
                <c:pt idx="17">
                  <c:v>3.6266272727272723E-2</c:v>
                </c:pt>
                <c:pt idx="18">
                  <c:v>3.4971484848484842E-2</c:v>
                </c:pt>
                <c:pt idx="19">
                  <c:v>3.3489818181818176E-2</c:v>
                </c:pt>
                <c:pt idx="20">
                  <c:v>3.1541333333333331E-2</c:v>
                </c:pt>
                <c:pt idx="21">
                  <c:v>2.9217139393939388E-2</c:v>
                </c:pt>
                <c:pt idx="22">
                  <c:v>2.6597745454545449E-2</c:v>
                </c:pt>
                <c:pt idx="23">
                  <c:v>2.346809036144578E-2</c:v>
                </c:pt>
                <c:pt idx="24">
                  <c:v>2.0223000000000001E-2</c:v>
                </c:pt>
                <c:pt idx="25">
                  <c:v>1.6782999999999999E-2</c:v>
                </c:pt>
                <c:pt idx="26">
                  <c:v>1.3509545454545455E-2</c:v>
                </c:pt>
                <c:pt idx="27">
                  <c:v>1.0347121212121212E-2</c:v>
                </c:pt>
                <c:pt idx="28">
                  <c:v>7.8636878787878787E-3</c:v>
                </c:pt>
                <c:pt idx="29">
                  <c:v>5.6642818181818185E-3</c:v>
                </c:pt>
                <c:pt idx="30">
                  <c:v>4.0442212121212118E-3</c:v>
                </c:pt>
                <c:pt idx="31">
                  <c:v>2.8594259036144589E-3</c:v>
                </c:pt>
                <c:pt idx="32">
                  <c:v>1.9090042168674718E-3</c:v>
                </c:pt>
                <c:pt idx="33">
                  <c:v>1.3763000000000013E-3</c:v>
                </c:pt>
                <c:pt idx="34">
                  <c:v>9.3088642424242485E-4</c:v>
                </c:pt>
                <c:pt idx="35">
                  <c:v>6.4672884848484917E-4</c:v>
                </c:pt>
                <c:pt idx="36">
                  <c:v>4.5366800000000033E-4</c:v>
                </c:pt>
                <c:pt idx="37">
                  <c:v>3.0595765809379738E-4</c:v>
                </c:pt>
                <c:pt idx="38">
                  <c:v>2.643991104387293E-4</c:v>
                </c:pt>
                <c:pt idx="39">
                  <c:v>2.2284056278366123E-4</c:v>
                </c:pt>
                <c:pt idx="40">
                  <c:v>1.8128201512859315E-4</c:v>
                </c:pt>
                <c:pt idx="41">
                  <c:v>1.397234674735251E-4</c:v>
                </c:pt>
                <c:pt idx="42">
                  <c:v>9.8164919818457028E-5</c:v>
                </c:pt>
                <c:pt idx="43">
                  <c:v>5.660637216338898E-5</c:v>
                </c:pt>
                <c:pt idx="44">
                  <c:v>3.0996986384266278E-5</c:v>
                </c:pt>
                <c:pt idx="45">
                  <c:v>2.6529512859304093E-5</c:v>
                </c:pt>
                <c:pt idx="46">
                  <c:v>2.2062039334341909E-5</c:v>
                </c:pt>
                <c:pt idx="47">
                  <c:v>1.7594565809379727E-5</c:v>
                </c:pt>
                <c:pt idx="48">
                  <c:v>1.3127092284417543E-5</c:v>
                </c:pt>
                <c:pt idx="49">
                  <c:v>8.6596187594553582E-6</c:v>
                </c:pt>
                <c:pt idx="50">
                  <c:v>4.1921452344931735E-6</c:v>
                </c:pt>
                <c:pt idx="51">
                  <c:v>2.9773789121212098E-6</c:v>
                </c:pt>
                <c:pt idx="52">
                  <c:v>2.4766214878787855E-6</c:v>
                </c:pt>
                <c:pt idx="53">
                  <c:v>1.9758640636363612E-6</c:v>
                </c:pt>
                <c:pt idx="54">
                  <c:v>1.4751066393939374E-6</c:v>
                </c:pt>
                <c:pt idx="55">
                  <c:v>9.7434921515151307E-7</c:v>
                </c:pt>
                <c:pt idx="56">
                  <c:v>4.7359179090908878E-7</c:v>
                </c:pt>
                <c:pt idx="57">
                  <c:v>7.514116867469864E-8</c:v>
                </c:pt>
                <c:pt idx="58">
                  <c:v>3.9414662650602312E-8</c:v>
                </c:pt>
                <c:pt idx="59">
                  <c:v>1.7789375757575735E-8</c:v>
                </c:pt>
                <c:pt idx="60">
                  <c:v>7.2436181818181591E-9</c:v>
                </c:pt>
                <c:pt idx="61">
                  <c:v>3.7129678787878722E-9</c:v>
                </c:pt>
                <c:pt idx="62">
                  <c:v>1.4240292121212105E-9</c:v>
                </c:pt>
                <c:pt idx="63">
                  <c:v>6.9452618181818013E-10</c:v>
                </c:pt>
                <c:pt idx="64">
                  <c:v>2.9726612121212078E-10</c:v>
                </c:pt>
                <c:pt idx="65">
                  <c:v>1.1242369696969652E-10</c:v>
                </c:pt>
                <c:pt idx="66">
                  <c:v>6.0129759036144536E-11</c:v>
                </c:pt>
                <c:pt idx="67">
                  <c:v>2.373932727272727E-11</c:v>
                </c:pt>
                <c:pt idx="68">
                  <c:v>1.157041818181818E-11</c:v>
                </c:pt>
                <c:pt idx="69">
                  <c:v>5.2199939393939392E-12</c:v>
                </c:pt>
                <c:pt idx="70">
                  <c:v>2.0025999999999996E-12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8AF5-4EFF-A8A5-8EF44D2D1F2E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(DGaSe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8.144792727272731E-6</c:v>
                </c:pt>
                <c:pt idx="1">
                  <c:v>1.2367880000000008E-5</c:v>
                </c:pt>
                <c:pt idx="2">
                  <c:v>1.8723880000000007E-5</c:v>
                </c:pt>
                <c:pt idx="3">
                  <c:v>3.0952884848484866E-5</c:v>
                </c:pt>
                <c:pt idx="4">
                  <c:v>5.3736378214826152E-5</c:v>
                </c:pt>
                <c:pt idx="5">
                  <c:v>1.7291610590015134E-4</c:v>
                </c:pt>
                <c:pt idx="6">
                  <c:v>2.9209583358547661E-4</c:v>
                </c:pt>
                <c:pt idx="7">
                  <c:v>4.1127556127080182E-4</c:v>
                </c:pt>
                <c:pt idx="8">
                  <c:v>5.3045528895612703E-4</c:v>
                </c:pt>
                <c:pt idx="9">
                  <c:v>6.4963501664145218E-4</c:v>
                </c:pt>
                <c:pt idx="10">
                  <c:v>7.6881474432677745E-4</c:v>
                </c:pt>
                <c:pt idx="11">
                  <c:v>1.038130545454545E-3</c:v>
                </c:pt>
                <c:pt idx="12">
                  <c:v>1.4767487272727268E-3</c:v>
                </c:pt>
                <c:pt idx="13">
                  <c:v>2.1608599999999993E-3</c:v>
                </c:pt>
                <c:pt idx="14">
                  <c:v>2.9729554216867461E-3</c:v>
                </c:pt>
                <c:pt idx="15">
                  <c:v>4.1468108433734951E-3</c:v>
                </c:pt>
                <c:pt idx="16">
                  <c:v>5.6491800000000036E-3</c:v>
                </c:pt>
                <c:pt idx="17">
                  <c:v>7.4671800000000038E-3</c:v>
                </c:pt>
                <c:pt idx="18">
                  <c:v>1.0056886666666673E-2</c:v>
                </c:pt>
                <c:pt idx="19">
                  <c:v>1.3020363636363644E-2</c:v>
                </c:pt>
                <c:pt idx="20">
                  <c:v>1.691733333333334E-2</c:v>
                </c:pt>
                <c:pt idx="21">
                  <c:v>2.1566060606060616E-2</c:v>
                </c:pt>
                <c:pt idx="22">
                  <c:v>2.6805454545454556E-2</c:v>
                </c:pt>
                <c:pt idx="23">
                  <c:v>3.3064271084337356E-2</c:v>
                </c:pt>
                <c:pt idx="24">
                  <c:v>3.9553999999999999E-2</c:v>
                </c:pt>
                <c:pt idx="25">
                  <c:v>4.6434000000000003E-2</c:v>
                </c:pt>
                <c:pt idx="26">
                  <c:v>5.2980545454545454E-2</c:v>
                </c:pt>
                <c:pt idx="27">
                  <c:v>5.930478787878788E-2</c:v>
                </c:pt>
                <c:pt idx="28">
                  <c:v>6.4271969696969689E-2</c:v>
                </c:pt>
                <c:pt idx="29">
                  <c:v>6.8670999999999996E-2</c:v>
                </c:pt>
                <c:pt idx="30">
                  <c:v>7.1911000000000003E-2</c:v>
                </c:pt>
                <c:pt idx="31">
                  <c:v>7.4279999999999999E-2</c:v>
                </c:pt>
                <c:pt idx="32">
                  <c:v>7.6179999999999998E-2</c:v>
                </c:pt>
                <c:pt idx="33">
                  <c:v>7.7243599999999996E-2</c:v>
                </c:pt>
                <c:pt idx="34">
                  <c:v>7.8131636363636361E-2</c:v>
                </c:pt>
                <c:pt idx="35">
                  <c:v>7.8695272727272725E-2</c:v>
                </c:pt>
                <c:pt idx="36">
                  <c:v>7.9071981818181813E-2</c:v>
                </c:pt>
                <c:pt idx="37">
                  <c:v>7.9351360060514381E-2</c:v>
                </c:pt>
                <c:pt idx="38">
                  <c:v>7.9310361573373678E-2</c:v>
                </c:pt>
                <c:pt idx="39">
                  <c:v>7.9269363086232988E-2</c:v>
                </c:pt>
                <c:pt idx="40">
                  <c:v>7.9228364599092285E-2</c:v>
                </c:pt>
                <c:pt idx="41">
                  <c:v>7.9187366111951596E-2</c:v>
                </c:pt>
                <c:pt idx="42">
                  <c:v>7.9146367624810893E-2</c:v>
                </c:pt>
                <c:pt idx="43">
                  <c:v>7.9105369137670203E-2</c:v>
                </c:pt>
                <c:pt idx="44">
                  <c:v>7.8333240544629354E-2</c:v>
                </c:pt>
                <c:pt idx="45">
                  <c:v>7.6591939485627841E-2</c:v>
                </c:pt>
                <c:pt idx="46">
                  <c:v>7.4850638426626329E-2</c:v>
                </c:pt>
                <c:pt idx="47">
                  <c:v>7.3109337367624802E-2</c:v>
                </c:pt>
                <c:pt idx="48">
                  <c:v>7.1368036308623289E-2</c:v>
                </c:pt>
                <c:pt idx="49">
                  <c:v>6.9626735249621777E-2</c:v>
                </c:pt>
                <c:pt idx="50">
                  <c:v>6.7885434190620264E-2</c:v>
                </c:pt>
                <c:pt idx="51">
                  <c:v>6.2340275757575725E-2</c:v>
                </c:pt>
                <c:pt idx="52">
                  <c:v>5.5960124242424206E-2</c:v>
                </c:pt>
                <c:pt idx="53">
                  <c:v>4.9579972727272693E-2</c:v>
                </c:pt>
                <c:pt idx="54">
                  <c:v>4.3199821212121181E-2</c:v>
                </c:pt>
                <c:pt idx="55">
                  <c:v>3.6819669696969662E-2</c:v>
                </c:pt>
                <c:pt idx="56">
                  <c:v>3.043951818181815E-2</c:v>
                </c:pt>
                <c:pt idx="57">
                  <c:v>2.4302831325301182E-2</c:v>
                </c:pt>
                <c:pt idx="58">
                  <c:v>1.9029337349397577E-2</c:v>
                </c:pt>
                <c:pt idx="59">
                  <c:v>1.4608151515151508E-2</c:v>
                </c:pt>
                <c:pt idx="60">
                  <c:v>1.0856636363636357E-2</c:v>
                </c:pt>
                <c:pt idx="61">
                  <c:v>8.2869630303030253E-3</c:v>
                </c:pt>
                <c:pt idx="62">
                  <c:v>6.0737218181818146E-3</c:v>
                </c:pt>
                <c:pt idx="63">
                  <c:v>4.5422672727272687E-3</c:v>
                </c:pt>
                <c:pt idx="64">
                  <c:v>3.3751121212121189E-3</c:v>
                </c:pt>
                <c:pt idx="65">
                  <c:v>2.4408696969696947E-3</c:v>
                </c:pt>
                <c:pt idx="66">
                  <c:v>1.8644542168674695E-3</c:v>
                </c:pt>
                <c:pt idx="67">
                  <c:v>1.3689000000000002E-3</c:v>
                </c:pt>
                <c:pt idx="68">
                  <c:v>1.0272333333333334E-3</c:v>
                </c:pt>
                <c:pt idx="69">
                  <c:v>7.7267848484848488E-4</c:v>
                </c:pt>
                <c:pt idx="70">
                  <c:v>5.6503E-4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8AF5-4EFF-A8A5-8EF44D2D1F2E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(DGe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1.8518487272727281E-6</c:v>
                </c:pt>
                <c:pt idx="1">
                  <c:v>3.4363939393939423E-6</c:v>
                </c:pt>
                <c:pt idx="2">
                  <c:v>6.2242727272727299E-6</c:v>
                </c:pt>
                <c:pt idx="3">
                  <c:v>1.4302660606060617E-5</c:v>
                </c:pt>
                <c:pt idx="4">
                  <c:v>5.3347586989410396E-5</c:v>
                </c:pt>
                <c:pt idx="5">
                  <c:v>4.2600492435703504E-4</c:v>
                </c:pt>
                <c:pt idx="6">
                  <c:v>7.9866226172465974E-4</c:v>
                </c:pt>
                <c:pt idx="7">
                  <c:v>1.1713195990922846E-3</c:v>
                </c:pt>
                <c:pt idx="8">
                  <c:v>1.543976936459909E-3</c:v>
                </c:pt>
                <c:pt idx="9">
                  <c:v>1.9166342738275337E-3</c:v>
                </c:pt>
                <c:pt idx="10">
                  <c:v>2.2892916111951584E-3</c:v>
                </c:pt>
                <c:pt idx="11">
                  <c:v>3.6487824242424213E-3</c:v>
                </c:pt>
                <c:pt idx="12">
                  <c:v>6.1210854545454517E-3</c:v>
                </c:pt>
                <c:pt idx="13">
                  <c:v>1.1046729090909084E-2</c:v>
                </c:pt>
                <c:pt idx="14">
                  <c:v>1.732736746987951E-2</c:v>
                </c:pt>
                <c:pt idx="15">
                  <c:v>2.7594234939759051E-2</c:v>
                </c:pt>
                <c:pt idx="16">
                  <c:v>4.1002290909090952E-2</c:v>
                </c:pt>
                <c:pt idx="17">
                  <c:v>5.7428351515151556E-2</c:v>
                </c:pt>
                <c:pt idx="18">
                  <c:v>7.8544800000000053E-2</c:v>
                </c:pt>
                <c:pt idx="19">
                  <c:v>0.10090436363636369</c:v>
                </c:pt>
                <c:pt idx="20">
                  <c:v>0.12506800000000004</c:v>
                </c:pt>
                <c:pt idx="21">
                  <c:v>0.14793854545454549</c:v>
                </c:pt>
                <c:pt idx="22">
                  <c:v>0.16979309090909095</c:v>
                </c:pt>
                <c:pt idx="23">
                  <c:v>0.18657765060240966</c:v>
                </c:pt>
                <c:pt idx="24">
                  <c:v>0.20144000000000001</c:v>
                </c:pt>
                <c:pt idx="25">
                  <c:v>0.21204000000000001</c:v>
                </c:pt>
                <c:pt idx="26">
                  <c:v>0.22003636363636364</c:v>
                </c:pt>
                <c:pt idx="27">
                  <c:v>0.22629696969696969</c:v>
                </c:pt>
                <c:pt idx="28">
                  <c:v>0.22996666666666668</c:v>
                </c:pt>
                <c:pt idx="29">
                  <c:v>0.23303090909090909</c:v>
                </c:pt>
                <c:pt idx="30">
                  <c:v>0.23500060606060608</c:v>
                </c:pt>
                <c:pt idx="31">
                  <c:v>0.23640265060240964</c:v>
                </c:pt>
                <c:pt idx="32">
                  <c:v>0.23749903614457832</c:v>
                </c:pt>
                <c:pt idx="33">
                  <c:v>0.238122</c:v>
                </c:pt>
                <c:pt idx="34">
                  <c:v>0.23865157575757576</c:v>
                </c:pt>
                <c:pt idx="35">
                  <c:v>0.23900915151515151</c:v>
                </c:pt>
                <c:pt idx="36">
                  <c:v>0.23926218181818182</c:v>
                </c:pt>
                <c:pt idx="37">
                  <c:v>0.23946272314674735</c:v>
                </c:pt>
                <c:pt idx="38">
                  <c:v>0.23953080181543118</c:v>
                </c:pt>
                <c:pt idx="39">
                  <c:v>0.23959888048411498</c:v>
                </c:pt>
                <c:pt idx="40">
                  <c:v>0.23966695915279879</c:v>
                </c:pt>
                <c:pt idx="41">
                  <c:v>0.23973503782148262</c:v>
                </c:pt>
                <c:pt idx="42">
                  <c:v>0.23980311649016642</c:v>
                </c:pt>
                <c:pt idx="43">
                  <c:v>0.23987119515885025</c:v>
                </c:pt>
                <c:pt idx="44">
                  <c:v>0.2399145537065053</c:v>
                </c:pt>
                <c:pt idx="45">
                  <c:v>0.2399251437216339</c:v>
                </c:pt>
                <c:pt idx="46">
                  <c:v>0.2399357337367625</c:v>
                </c:pt>
                <c:pt idx="47">
                  <c:v>0.23994632375189107</c:v>
                </c:pt>
                <c:pt idx="48">
                  <c:v>0.23995691376701966</c:v>
                </c:pt>
                <c:pt idx="49">
                  <c:v>0.23996750378214826</c:v>
                </c:pt>
                <c:pt idx="50">
                  <c:v>0.23997809379727686</c:v>
                </c:pt>
                <c:pt idx="51">
                  <c:v>0.23998248484848483</c:v>
                </c:pt>
                <c:pt idx="52">
                  <c:v>0.23998551515151514</c:v>
                </c:pt>
                <c:pt idx="53">
                  <c:v>0.23998854545454545</c:v>
                </c:pt>
                <c:pt idx="54">
                  <c:v>0.23999157575757576</c:v>
                </c:pt>
                <c:pt idx="55">
                  <c:v>0.23999460606060605</c:v>
                </c:pt>
                <c:pt idx="56">
                  <c:v>0.23999763636363636</c:v>
                </c:pt>
                <c:pt idx="57">
                  <c:v>0.24</c:v>
                </c:pt>
                <c:pt idx="58">
                  <c:v>0.24</c:v>
                </c:pt>
                <c:pt idx="59">
                  <c:v>0.24</c:v>
                </c:pt>
                <c:pt idx="60">
                  <c:v>0.24</c:v>
                </c:pt>
                <c:pt idx="61">
                  <c:v>0.24</c:v>
                </c:pt>
                <c:pt idx="62">
                  <c:v>0.24</c:v>
                </c:pt>
                <c:pt idx="63">
                  <c:v>0.24</c:v>
                </c:pt>
                <c:pt idx="64">
                  <c:v>0.24</c:v>
                </c:pt>
                <c:pt idx="65">
                  <c:v>0.24</c:v>
                </c:pt>
                <c:pt idx="66">
                  <c:v>0.24</c:v>
                </c:pt>
                <c:pt idx="67">
                  <c:v>0.24</c:v>
                </c:pt>
                <c:pt idx="68">
                  <c:v>0.24</c:v>
                </c:pt>
                <c:pt idx="69">
                  <c:v>0.24</c:v>
                </c:pt>
                <c:pt idx="70">
                  <c:v>0.24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8AF5-4EFF-A8A5-8EF44D2D1F2E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(DGa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3.9289779393939436E-25</c:v>
                </c:pt>
                <c:pt idx="1">
                  <c:v>4.9760621212121333E-24</c:v>
                </c:pt>
                <c:pt idx="2">
                  <c:v>1.6445304545454558E-23</c:v>
                </c:pt>
                <c:pt idx="3">
                  <c:v>2.8815899393939435E-22</c:v>
                </c:pt>
                <c:pt idx="4">
                  <c:v>2.2815268208321047E-18</c:v>
                </c:pt>
                <c:pt idx="5">
                  <c:v>3.0792778456233002E-17</c:v>
                </c:pt>
                <c:pt idx="6">
                  <c:v>5.9304030091633909E-17</c:v>
                </c:pt>
                <c:pt idx="7">
                  <c:v>8.7815281727034804E-17</c:v>
                </c:pt>
                <c:pt idx="8">
                  <c:v>1.1632653336243571E-16</c:v>
                </c:pt>
                <c:pt idx="9">
                  <c:v>1.4483778499783661E-16</c:v>
                </c:pt>
                <c:pt idx="10">
                  <c:v>1.733490366332375E-16</c:v>
                </c:pt>
                <c:pt idx="11">
                  <c:v>9.0170351515151355E-16</c:v>
                </c:pt>
                <c:pt idx="12">
                  <c:v>2.4192429090909073E-15</c:v>
                </c:pt>
                <c:pt idx="13">
                  <c:v>1.6883667878787857E-14</c:v>
                </c:pt>
                <c:pt idx="14">
                  <c:v>5.84461566265059E-14</c:v>
                </c:pt>
                <c:pt idx="15">
                  <c:v>2.1843531325301226E-13</c:v>
                </c:pt>
                <c:pt idx="16">
                  <c:v>9.3629890909091196E-13</c:v>
                </c:pt>
                <c:pt idx="17">
                  <c:v>2.1901595151515179E-12</c:v>
                </c:pt>
                <c:pt idx="18">
                  <c:v>9.6857593939394146E-12</c:v>
                </c:pt>
                <c:pt idx="19">
                  <c:v>2.7304545454545575E-11</c:v>
                </c:pt>
                <c:pt idx="20">
                  <c:v>7.9183333333333453E-11</c:v>
                </c:pt>
                <c:pt idx="21">
                  <c:v>2.6220393939394003E-10</c:v>
                </c:pt>
                <c:pt idx="22">
                  <c:v>5.4826454545454599E-10</c:v>
                </c:pt>
                <c:pt idx="23">
                  <c:v>1.8529382530120499E-9</c:v>
                </c:pt>
                <c:pt idx="24">
                  <c:v>4.4518484848484852E-9</c:v>
                </c:pt>
                <c:pt idx="25">
                  <c:v>1.0631242424242426E-8</c:v>
                </c:pt>
                <c:pt idx="26">
                  <c:v>2.7327363636363635E-8</c:v>
                </c:pt>
                <c:pt idx="27">
                  <c:v>5.1034636363636363E-8</c:v>
                </c:pt>
                <c:pt idx="28">
                  <c:v>1.2862878787878787E-7</c:v>
                </c:pt>
                <c:pt idx="29">
                  <c:v>2.5882272727272727E-7</c:v>
                </c:pt>
                <c:pt idx="30">
                  <c:v>5.0513181818181822E-7</c:v>
                </c:pt>
                <c:pt idx="31">
                  <c:v>1.0418996385542163E-6</c:v>
                </c:pt>
                <c:pt idx="32">
                  <c:v>1.7350683132530105E-6</c:v>
                </c:pt>
                <c:pt idx="33">
                  <c:v>3.582199999999996E-6</c:v>
                </c:pt>
                <c:pt idx="34">
                  <c:v>6.4125636363636262E-6</c:v>
                </c:pt>
                <c:pt idx="35">
                  <c:v>1.1128927272727263E-5</c:v>
                </c:pt>
                <c:pt idx="36">
                  <c:v>2.0503418181818157E-5</c:v>
                </c:pt>
                <c:pt idx="37">
                  <c:v>3.6477252647503501E-5</c:v>
                </c:pt>
                <c:pt idx="38">
                  <c:v>1.6060856883509799E-4</c:v>
                </c:pt>
                <c:pt idx="39">
                  <c:v>2.8473988502269245E-4</c:v>
                </c:pt>
                <c:pt idx="40">
                  <c:v>4.0887120121028698E-4</c:v>
                </c:pt>
                <c:pt idx="41">
                  <c:v>5.3300251739788157E-4</c:v>
                </c:pt>
                <c:pt idx="42">
                  <c:v>6.5713383358547599E-4</c:v>
                </c:pt>
                <c:pt idx="43">
                  <c:v>7.8126514977307053E-4</c:v>
                </c:pt>
                <c:pt idx="44">
                  <c:v>1.6046813313161808E-3</c:v>
                </c:pt>
                <c:pt idx="45">
                  <c:v>3.3550565204235961E-3</c:v>
                </c:pt>
                <c:pt idx="46">
                  <c:v>5.1054317095310126E-3</c:v>
                </c:pt>
                <c:pt idx="47">
                  <c:v>6.8558068986384274E-3</c:v>
                </c:pt>
                <c:pt idx="48">
                  <c:v>8.6061820877458423E-3</c:v>
                </c:pt>
                <c:pt idx="49">
                  <c:v>1.035655727685326E-2</c:v>
                </c:pt>
                <c:pt idx="50">
                  <c:v>1.2106932465960675E-2</c:v>
                </c:pt>
                <c:pt idx="51">
                  <c:v>1.7654345454545486E-2</c:v>
                </c:pt>
                <c:pt idx="52">
                  <c:v>2.4035254545454576E-2</c:v>
                </c:pt>
                <c:pt idx="53">
                  <c:v>3.0416163636363666E-2</c:v>
                </c:pt>
                <c:pt idx="54">
                  <c:v>3.6797072727272756E-2</c:v>
                </c:pt>
                <c:pt idx="55">
                  <c:v>4.3177981818181846E-2</c:v>
                </c:pt>
                <c:pt idx="56">
                  <c:v>4.9558890909090943E-2</c:v>
                </c:pt>
                <c:pt idx="57">
                  <c:v>5.5696301204819304E-2</c:v>
                </c:pt>
                <c:pt idx="58">
                  <c:v>6.0970397590361464E-2</c:v>
                </c:pt>
                <c:pt idx="59">
                  <c:v>6.5391848484848497E-2</c:v>
                </c:pt>
                <c:pt idx="60">
                  <c:v>6.9143363636363642E-2</c:v>
                </c:pt>
                <c:pt idx="61">
                  <c:v>7.1712981818181823E-2</c:v>
                </c:pt>
                <c:pt idx="62">
                  <c:v>7.3926193939393939E-2</c:v>
                </c:pt>
                <c:pt idx="63">
                  <c:v>7.5457709090909098E-2</c:v>
                </c:pt>
                <c:pt idx="64">
                  <c:v>7.6624703030303026E-2</c:v>
                </c:pt>
                <c:pt idx="65">
                  <c:v>7.755864242424243E-2</c:v>
                </c:pt>
                <c:pt idx="66">
                  <c:v>7.8135566265060241E-2</c:v>
                </c:pt>
                <c:pt idx="67">
                  <c:v>7.8631363636363638E-2</c:v>
                </c:pt>
                <c:pt idx="68">
                  <c:v>7.8972575757575755E-2</c:v>
                </c:pt>
                <c:pt idx="69">
                  <c:v>7.9227121212121207E-2</c:v>
                </c:pt>
                <c:pt idx="70">
                  <c:v>7.9435000000000006E-2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8AF5-4EFF-A8A5-8EF44D2D1F2E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(1)Se[A]</c:v>
                </c:pt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3.8229806060606086E-9</c:v>
                </c:pt>
                <c:pt idx="1">
                  <c:v>5.9545309090909122E-9</c:v>
                </c:pt>
                <c:pt idx="2">
                  <c:v>8.6343490909090934E-9</c:v>
                </c:pt>
                <c:pt idx="3">
                  <c:v>1.1178962424242427E-8</c:v>
                </c:pt>
                <c:pt idx="4">
                  <c:v>1.3465757942511346E-8</c:v>
                </c:pt>
                <c:pt idx="5">
                  <c:v>1.3362732223903178E-8</c:v>
                </c:pt>
                <c:pt idx="6">
                  <c:v>1.3259706505295008E-8</c:v>
                </c:pt>
                <c:pt idx="7">
                  <c:v>1.3156680786686838E-8</c:v>
                </c:pt>
                <c:pt idx="8">
                  <c:v>1.305365506807867E-8</c:v>
                </c:pt>
                <c:pt idx="9">
                  <c:v>1.29506293494705E-8</c:v>
                </c:pt>
                <c:pt idx="10">
                  <c:v>1.284760363086233E-8</c:v>
                </c:pt>
                <c:pt idx="11">
                  <c:v>1.2424690909090911E-8</c:v>
                </c:pt>
                <c:pt idx="12">
                  <c:v>1.1641054545454546E-8</c:v>
                </c:pt>
                <c:pt idx="13">
                  <c:v>1.1066145454545456E-8</c:v>
                </c:pt>
                <c:pt idx="14">
                  <c:v>1.0590849397590362E-8</c:v>
                </c:pt>
                <c:pt idx="15">
                  <c:v>1.0378198795180723E-8</c:v>
                </c:pt>
                <c:pt idx="16">
                  <c:v>1.0301818181818182E-8</c:v>
                </c:pt>
                <c:pt idx="17">
                  <c:v>1.0356363636363636E-8</c:v>
                </c:pt>
                <c:pt idx="18">
                  <c:v>1.0510460606060606E-8</c:v>
                </c:pt>
                <c:pt idx="19">
                  <c:v>1.0663072727272728E-8</c:v>
                </c:pt>
                <c:pt idx="20">
                  <c:v>1.0749133333333333E-8</c:v>
                </c:pt>
                <c:pt idx="21">
                  <c:v>1.0703169696969696E-8</c:v>
                </c:pt>
                <c:pt idx="22">
                  <c:v>1.0553472727272728E-8</c:v>
                </c:pt>
                <c:pt idx="23">
                  <c:v>1.017737048192771E-8</c:v>
                </c:pt>
                <c:pt idx="24">
                  <c:v>9.7371818181818185E-9</c:v>
                </c:pt>
                <c:pt idx="25">
                  <c:v>9.1719090909090917E-9</c:v>
                </c:pt>
                <c:pt idx="26">
                  <c:v>8.5685272727272732E-9</c:v>
                </c:pt>
                <c:pt idx="27">
                  <c:v>7.9397393939393932E-9</c:v>
                </c:pt>
                <c:pt idx="28">
                  <c:v>7.3161909090909089E-9</c:v>
                </c:pt>
                <c:pt idx="29">
                  <c:v>6.7060999999999994E-9</c:v>
                </c:pt>
                <c:pt idx="30">
                  <c:v>6.1267666666666662E-9</c:v>
                </c:pt>
                <c:pt idx="31">
                  <c:v>5.5895240963855429E-9</c:v>
                </c:pt>
                <c:pt idx="32">
                  <c:v>5.0749457831325317E-9</c:v>
                </c:pt>
                <c:pt idx="33">
                  <c:v>4.622800000000001E-9</c:v>
                </c:pt>
                <c:pt idx="34">
                  <c:v>4.1927357575757585E-9</c:v>
                </c:pt>
                <c:pt idx="35">
                  <c:v>3.8043115151515158E-9</c:v>
                </c:pt>
                <c:pt idx="36">
                  <c:v>3.4550290909090919E-9</c:v>
                </c:pt>
                <c:pt idx="37">
                  <c:v>3.1276493192133139E-9</c:v>
                </c:pt>
                <c:pt idx="38">
                  <c:v>2.903882299546143E-9</c:v>
                </c:pt>
                <c:pt idx="39">
                  <c:v>2.680115279878972E-9</c:v>
                </c:pt>
                <c:pt idx="40">
                  <c:v>2.456348260211801E-9</c:v>
                </c:pt>
                <c:pt idx="41">
                  <c:v>2.2325812405446301E-9</c:v>
                </c:pt>
                <c:pt idx="42">
                  <c:v>2.0088142208774591E-9</c:v>
                </c:pt>
                <c:pt idx="43">
                  <c:v>1.7850472012102884E-9</c:v>
                </c:pt>
                <c:pt idx="44">
                  <c:v>1.6088703177004543E-9</c:v>
                </c:pt>
                <c:pt idx="45">
                  <c:v>1.495778033282905E-9</c:v>
                </c:pt>
                <c:pt idx="46">
                  <c:v>1.3826857488653557E-9</c:v>
                </c:pt>
                <c:pt idx="47">
                  <c:v>1.2695934644478063E-9</c:v>
                </c:pt>
                <c:pt idx="48">
                  <c:v>1.156501180030257E-9</c:v>
                </c:pt>
                <c:pt idx="49">
                  <c:v>1.0434088956127077E-9</c:v>
                </c:pt>
                <c:pt idx="50">
                  <c:v>9.3031661119515847E-10</c:v>
                </c:pt>
                <c:pt idx="51">
                  <c:v>8.6426487878787858E-10</c:v>
                </c:pt>
                <c:pt idx="52">
                  <c:v>8.0853912121212099E-10</c:v>
                </c:pt>
                <c:pt idx="53">
                  <c:v>7.528133636363634E-10</c:v>
                </c:pt>
                <c:pt idx="54">
                  <c:v>6.9708760606060581E-10</c:v>
                </c:pt>
                <c:pt idx="55">
                  <c:v>6.4136184848484822E-10</c:v>
                </c:pt>
                <c:pt idx="56">
                  <c:v>5.8563609090909063E-10</c:v>
                </c:pt>
                <c:pt idx="57">
                  <c:v>5.3324012048192755E-10</c:v>
                </c:pt>
                <c:pt idx="58">
                  <c:v>4.9264975903614445E-10</c:v>
                </c:pt>
                <c:pt idx="59">
                  <c:v>4.5405642424242413E-10</c:v>
                </c:pt>
                <c:pt idx="60">
                  <c:v>4.1703218181818171E-10</c:v>
                </c:pt>
                <c:pt idx="61">
                  <c:v>3.8356521212121205E-10</c:v>
                </c:pt>
                <c:pt idx="62">
                  <c:v>3.514616969696969E-10</c:v>
                </c:pt>
                <c:pt idx="63">
                  <c:v>3.2223745454545448E-10</c:v>
                </c:pt>
                <c:pt idx="64">
                  <c:v>2.9527206060606053E-10</c:v>
                </c:pt>
                <c:pt idx="65">
                  <c:v>2.6975084848484845E-10</c:v>
                </c:pt>
                <c:pt idx="66">
                  <c:v>2.4759843373493976E-10</c:v>
                </c:pt>
                <c:pt idx="67">
                  <c:v>2.2644636363636365E-10</c:v>
                </c:pt>
                <c:pt idx="68">
                  <c:v>2.0730090909090909E-10</c:v>
                </c:pt>
                <c:pt idx="69">
                  <c:v>1.8986121212121213E-10</c:v>
                </c:pt>
                <c:pt idx="70">
                  <c:v>1.7333999999999999E-10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8AF5-4EFF-A8A5-8EF44D2D1F2E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1.6113195151515158E-2</c:v>
                </c:pt>
                <c:pt idx="1">
                  <c:v>2.6533103030303047E-2</c:v>
                </c:pt>
                <c:pt idx="2">
                  <c:v>4.0699163636363653E-2</c:v>
                </c:pt>
                <c:pt idx="3">
                  <c:v>5.6751721212121235E-2</c:v>
                </c:pt>
                <c:pt idx="4">
                  <c:v>7.2742187594553712E-2</c:v>
                </c:pt>
                <c:pt idx="5">
                  <c:v>7.9994532526475051E-2</c:v>
                </c:pt>
                <c:pt idx="6">
                  <c:v>8.7246877458396377E-2</c:v>
                </c:pt>
                <c:pt idx="7">
                  <c:v>9.4499222390317703E-2</c:v>
                </c:pt>
                <c:pt idx="8">
                  <c:v>0.10175156732223903</c:v>
                </c:pt>
                <c:pt idx="9">
                  <c:v>0.10900391225416037</c:v>
                </c:pt>
                <c:pt idx="10">
                  <c:v>0.11625625718608168</c:v>
                </c:pt>
                <c:pt idx="11">
                  <c:v>0.12176921212121211</c:v>
                </c:pt>
                <c:pt idx="12">
                  <c:v>0.12532072727272725</c:v>
                </c:pt>
                <c:pt idx="13">
                  <c:v>0.13108375757575758</c:v>
                </c:pt>
                <c:pt idx="14">
                  <c:v>0.13814921686746987</c:v>
                </c:pt>
                <c:pt idx="15">
                  <c:v>0.14920343373493977</c:v>
                </c:pt>
                <c:pt idx="16">
                  <c:v>0.16351563636363642</c:v>
                </c:pt>
                <c:pt idx="17">
                  <c:v>0.18095806060606065</c:v>
                </c:pt>
                <c:pt idx="18">
                  <c:v>0.203435393939394</c:v>
                </c:pt>
                <c:pt idx="19">
                  <c:v>0.2273292727272728</c:v>
                </c:pt>
                <c:pt idx="20">
                  <c:v>0.25346866666666673</c:v>
                </c:pt>
                <c:pt idx="21">
                  <c:v>0.27868490909090915</c:v>
                </c:pt>
                <c:pt idx="22">
                  <c:v>0.30317581818181821</c:v>
                </c:pt>
                <c:pt idx="23">
                  <c:v>0.32309759036144581</c:v>
                </c:pt>
                <c:pt idx="24">
                  <c:v>0.34121060606060605</c:v>
                </c:pt>
                <c:pt idx="25">
                  <c:v>0.35525303030303035</c:v>
                </c:pt>
                <c:pt idx="26">
                  <c:v>0.36652454545454544</c:v>
                </c:pt>
                <c:pt idx="27">
                  <c:v>0.37594878787878788</c:v>
                </c:pt>
                <c:pt idx="28">
                  <c:v>0.38210272727272726</c:v>
                </c:pt>
                <c:pt idx="29">
                  <c:v>0.38736636363636368</c:v>
                </c:pt>
                <c:pt idx="30">
                  <c:v>0.39095424242424243</c:v>
                </c:pt>
                <c:pt idx="31">
                  <c:v>0.39354132530120484</c:v>
                </c:pt>
                <c:pt idx="32">
                  <c:v>0.39558951807228915</c:v>
                </c:pt>
                <c:pt idx="33">
                  <c:v>0.39674999999999999</c:v>
                </c:pt>
                <c:pt idx="34">
                  <c:v>0.39772842424242422</c:v>
                </c:pt>
                <c:pt idx="35">
                  <c:v>0.39837084848484844</c:v>
                </c:pt>
                <c:pt idx="36">
                  <c:v>0.3988292727272727</c:v>
                </c:pt>
                <c:pt idx="37">
                  <c:v>0.39919931921331314</c:v>
                </c:pt>
                <c:pt idx="38">
                  <c:v>0.39943229954614218</c:v>
                </c:pt>
                <c:pt idx="39">
                  <c:v>0.39966527987897121</c:v>
                </c:pt>
                <c:pt idx="40">
                  <c:v>0.3998982602118003</c:v>
                </c:pt>
                <c:pt idx="41">
                  <c:v>0.40013124054462934</c:v>
                </c:pt>
                <c:pt idx="42">
                  <c:v>0.40036422087745838</c:v>
                </c:pt>
                <c:pt idx="43">
                  <c:v>0.40059720121028741</c:v>
                </c:pt>
                <c:pt idx="44">
                  <c:v>0.40148916792738271</c:v>
                </c:pt>
                <c:pt idx="45">
                  <c:v>0.40325467473524962</c:v>
                </c:pt>
                <c:pt idx="46">
                  <c:v>0.40502018154311648</c:v>
                </c:pt>
                <c:pt idx="47">
                  <c:v>0.40678568835098333</c:v>
                </c:pt>
                <c:pt idx="48">
                  <c:v>0.40855119515885019</c:v>
                </c:pt>
                <c:pt idx="49">
                  <c:v>0.4103167019667171</c:v>
                </c:pt>
                <c:pt idx="50">
                  <c:v>0.41208220877458396</c:v>
                </c:pt>
                <c:pt idx="51">
                  <c:v>0.41763433333333333</c:v>
                </c:pt>
                <c:pt idx="52">
                  <c:v>0.42401766666666668</c:v>
                </c:pt>
                <c:pt idx="53">
                  <c:v>0.43040100000000003</c:v>
                </c:pt>
                <c:pt idx="54">
                  <c:v>0.43678433333333333</c:v>
                </c:pt>
                <c:pt idx="55">
                  <c:v>0.44316766666666668</c:v>
                </c:pt>
                <c:pt idx="56">
                  <c:v>0.44955100000000003</c:v>
                </c:pt>
                <c:pt idx="57">
                  <c:v>0.45569096385542168</c:v>
                </c:pt>
                <c:pt idx="58">
                  <c:v>0.46096807228915665</c:v>
                </c:pt>
                <c:pt idx="59">
                  <c:v>0.46539084848484846</c:v>
                </c:pt>
                <c:pt idx="60">
                  <c:v>0.46914236363636364</c:v>
                </c:pt>
                <c:pt idx="61">
                  <c:v>0.47171363636363639</c:v>
                </c:pt>
                <c:pt idx="62">
                  <c:v>0.47392709090909091</c:v>
                </c:pt>
                <c:pt idx="63">
                  <c:v>0.47545436363636362</c:v>
                </c:pt>
                <c:pt idx="64">
                  <c:v>0.47662303030303027</c:v>
                </c:pt>
                <c:pt idx="65">
                  <c:v>0.47756242424242429</c:v>
                </c:pt>
                <c:pt idx="66">
                  <c:v>0.47813783132530124</c:v>
                </c:pt>
                <c:pt idx="67">
                  <c:v>0.47863181818181821</c:v>
                </c:pt>
                <c:pt idx="68">
                  <c:v>0.47897121212121213</c:v>
                </c:pt>
                <c:pt idx="69">
                  <c:v>0.47922393939393942</c:v>
                </c:pt>
                <c:pt idx="70">
                  <c:v>0.47943000000000002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8AF5-4EFF-A8A5-8EF44D2D1F2E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1.3421683636363642E-8</c:v>
                </c:pt>
                <c:pt idx="1">
                  <c:v>1.9719218181818192E-8</c:v>
                </c:pt>
                <c:pt idx="2">
                  <c:v>2.7035581818181827E-8</c:v>
                </c:pt>
                <c:pt idx="3">
                  <c:v>3.3029096969696978E-8</c:v>
                </c:pt>
                <c:pt idx="4">
                  <c:v>3.7957338880484114E-8</c:v>
                </c:pt>
                <c:pt idx="5">
                  <c:v>3.6261574886535554E-8</c:v>
                </c:pt>
                <c:pt idx="6">
                  <c:v>3.4565810892586994E-8</c:v>
                </c:pt>
                <c:pt idx="7">
                  <c:v>3.2870046898638427E-8</c:v>
                </c:pt>
                <c:pt idx="8">
                  <c:v>3.1174282904689867E-8</c:v>
                </c:pt>
                <c:pt idx="9">
                  <c:v>2.9478518910741304E-8</c:v>
                </c:pt>
                <c:pt idx="10">
                  <c:v>2.778275491679274E-8</c:v>
                </c:pt>
                <c:pt idx="11">
                  <c:v>2.5709000000000002E-8</c:v>
                </c:pt>
                <c:pt idx="12">
                  <c:v>2.3209000000000003E-8</c:v>
                </c:pt>
                <c:pt idx="13">
                  <c:v>2.1335181818181821E-8</c:v>
                </c:pt>
                <c:pt idx="14">
                  <c:v>1.9727277108433734E-8</c:v>
                </c:pt>
                <c:pt idx="15">
                  <c:v>1.8746554216867469E-8</c:v>
                </c:pt>
                <c:pt idx="16">
                  <c:v>1.8048090909090908E-8</c:v>
                </c:pt>
                <c:pt idx="17">
                  <c:v>1.7620818181818181E-8</c:v>
                </c:pt>
                <c:pt idx="18">
                  <c:v>1.7398381818181818E-8</c:v>
                </c:pt>
                <c:pt idx="19">
                  <c:v>1.7269363636363638E-8</c:v>
                </c:pt>
                <c:pt idx="20">
                  <c:v>1.7366333333333334E-8</c:v>
                </c:pt>
                <c:pt idx="21">
                  <c:v>1.7322793939393938E-8</c:v>
                </c:pt>
                <c:pt idx="22">
                  <c:v>1.7168854545454545E-8</c:v>
                </c:pt>
                <c:pt idx="23">
                  <c:v>1.6643536144578314E-8</c:v>
                </c:pt>
                <c:pt idx="24">
                  <c:v>1.6010636363636366E-8</c:v>
                </c:pt>
                <c:pt idx="25">
                  <c:v>1.5165181818181819E-8</c:v>
                </c:pt>
                <c:pt idx="26">
                  <c:v>1.4247363636363636E-8</c:v>
                </c:pt>
                <c:pt idx="27">
                  <c:v>1.3281303030303031E-8</c:v>
                </c:pt>
                <c:pt idx="28">
                  <c:v>1.2307181818181818E-8</c:v>
                </c:pt>
                <c:pt idx="29">
                  <c:v>1.1349363636363637E-8</c:v>
                </c:pt>
                <c:pt idx="30">
                  <c:v>1.0430575757575757E-8</c:v>
                </c:pt>
                <c:pt idx="31">
                  <c:v>9.5722018072289161E-9</c:v>
                </c:pt>
                <c:pt idx="32">
                  <c:v>8.7463584337349428E-9</c:v>
                </c:pt>
                <c:pt idx="33">
                  <c:v>8.0127000000000023E-9</c:v>
                </c:pt>
                <c:pt idx="34">
                  <c:v>7.3125303030303041E-9</c:v>
                </c:pt>
                <c:pt idx="35">
                  <c:v>6.675560606060607E-9</c:v>
                </c:pt>
                <c:pt idx="36">
                  <c:v>6.0989763636363648E-9</c:v>
                </c:pt>
                <c:pt idx="37">
                  <c:v>5.5563278366111956E-9</c:v>
                </c:pt>
                <c:pt idx="38">
                  <c:v>5.1770237518910746E-9</c:v>
                </c:pt>
                <c:pt idx="39">
                  <c:v>4.7977196671709536E-9</c:v>
                </c:pt>
                <c:pt idx="40">
                  <c:v>4.4184155824508326E-9</c:v>
                </c:pt>
                <c:pt idx="41">
                  <c:v>4.0391114977307125E-9</c:v>
                </c:pt>
                <c:pt idx="42">
                  <c:v>3.6598074130105915E-9</c:v>
                </c:pt>
                <c:pt idx="43">
                  <c:v>3.2805033282904705E-9</c:v>
                </c:pt>
                <c:pt idx="44">
                  <c:v>2.9787488653555227E-9</c:v>
                </c:pt>
                <c:pt idx="45">
                  <c:v>2.779792738275341E-9</c:v>
                </c:pt>
                <c:pt idx="46">
                  <c:v>2.5808366111951589E-9</c:v>
                </c:pt>
                <c:pt idx="47">
                  <c:v>2.3818804841149772E-9</c:v>
                </c:pt>
                <c:pt idx="48">
                  <c:v>2.1829243570347955E-9</c:v>
                </c:pt>
                <c:pt idx="49">
                  <c:v>1.9839682299546133E-9</c:v>
                </c:pt>
                <c:pt idx="50">
                  <c:v>1.7850121028744318E-9</c:v>
                </c:pt>
                <c:pt idx="51">
                  <c:v>1.666355151515151E-9</c:v>
                </c:pt>
                <c:pt idx="52">
                  <c:v>1.5653248484848479E-9</c:v>
                </c:pt>
                <c:pt idx="53">
                  <c:v>1.4642945454545448E-9</c:v>
                </c:pt>
                <c:pt idx="54">
                  <c:v>1.363264242424242E-9</c:v>
                </c:pt>
                <c:pt idx="55">
                  <c:v>1.2622339393939389E-9</c:v>
                </c:pt>
                <c:pt idx="56">
                  <c:v>1.1612036363636358E-9</c:v>
                </c:pt>
                <c:pt idx="57">
                  <c:v>1.0657436144578308E-9</c:v>
                </c:pt>
                <c:pt idx="58">
                  <c:v>9.9003277108433708E-10</c:v>
                </c:pt>
                <c:pt idx="59">
                  <c:v>9.1756412121212104E-10</c:v>
                </c:pt>
                <c:pt idx="60">
                  <c:v>8.4764290909090898E-10</c:v>
                </c:pt>
                <c:pt idx="61">
                  <c:v>7.837663030303029E-10</c:v>
                </c:pt>
                <c:pt idx="62">
                  <c:v>7.2226812121212113E-10</c:v>
                </c:pt>
                <c:pt idx="63">
                  <c:v>6.6583781818181809E-10</c:v>
                </c:pt>
                <c:pt idx="64">
                  <c:v>6.1345939393939384E-10</c:v>
                </c:pt>
                <c:pt idx="65">
                  <c:v>5.6367151515151499E-10</c:v>
                </c:pt>
                <c:pt idx="66">
                  <c:v>5.2005301204819272E-10</c:v>
                </c:pt>
                <c:pt idx="67">
                  <c:v>4.7828000000000003E-10</c:v>
                </c:pt>
                <c:pt idx="68">
                  <c:v>4.4021333333333332E-10</c:v>
                </c:pt>
                <c:pt idx="69">
                  <c:v>4.0534151515151513E-10</c:v>
                </c:pt>
                <c:pt idx="70">
                  <c:v>3.7218999999999998E-10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8AF5-4EFF-A8A5-8EF44D2D1F2E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(2)Ga[l]</c:v>
                </c:pt>
              </c:strCache>
            </c:strRef>
          </c:tx>
          <c:spPr>
            <a:ln>
              <a:solidFill>
                <a:schemeClr val="accent2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1.739711043872904E-29</c:v>
                </c:pt>
                <c:pt idx="45">
                  <c:v>5.7855506807866774E-29</c:v>
                </c:pt>
                <c:pt idx="46">
                  <c:v>9.8313903177004503E-29</c:v>
                </c:pt>
                <c:pt idx="47">
                  <c:v>1.3877229954614222E-28</c:v>
                </c:pt>
                <c:pt idx="48">
                  <c:v>1.7923069591527995E-28</c:v>
                </c:pt>
                <c:pt idx="49">
                  <c:v>2.196890922844177E-28</c:v>
                </c:pt>
                <c:pt idx="50">
                  <c:v>2.6014748865355543E-28</c:v>
                </c:pt>
                <c:pt idx="51">
                  <c:v>3.1393575757578274E-15</c:v>
                </c:pt>
                <c:pt idx="52">
                  <c:v>6.9678424242426355E-15</c:v>
                </c:pt>
                <c:pt idx="53">
                  <c:v>1.0796327272727445E-14</c:v>
                </c:pt>
                <c:pt idx="54">
                  <c:v>1.4624812121212252E-14</c:v>
                </c:pt>
                <c:pt idx="55">
                  <c:v>1.8453296969697059E-14</c:v>
                </c:pt>
                <c:pt idx="56">
                  <c:v>2.2281781818181867E-14</c:v>
                </c:pt>
                <c:pt idx="57">
                  <c:v>2.4544453012048614E-13</c:v>
                </c:pt>
                <c:pt idx="58">
                  <c:v>1.2462469397590391E-12</c:v>
                </c:pt>
                <c:pt idx="59">
                  <c:v>1.1443293333333371E-11</c:v>
                </c:pt>
                <c:pt idx="60">
                  <c:v>2.8865960000000039E-11</c:v>
                </c:pt>
                <c:pt idx="61">
                  <c:v>8.0779612121212242E-11</c:v>
                </c:pt>
                <c:pt idx="62">
                  <c:v>1.9348945454545518E-10</c:v>
                </c:pt>
                <c:pt idx="63">
                  <c:v>4.6952581818181878E-10</c:v>
                </c:pt>
                <c:pt idx="64">
                  <c:v>1.0956504242424264E-9</c:v>
                </c:pt>
                <c:pt idx="65">
                  <c:v>1.9456019393939417E-9</c:v>
                </c:pt>
                <c:pt idx="66">
                  <c:v>4.0711277108433757E-9</c:v>
                </c:pt>
                <c:pt idx="67">
                  <c:v>7.1356181818181823E-9</c:v>
                </c:pt>
                <c:pt idx="68">
                  <c:v>1.2267012121212121E-8</c:v>
                </c:pt>
                <c:pt idx="69">
                  <c:v>2.147418181818182E-8</c:v>
                </c:pt>
                <c:pt idx="70">
                  <c:v>3.2876000000000003E-8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8AF5-4EFF-A8A5-8EF44D2D1F2E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>
                  <c:v>-18.618363636363636</c:v>
                </c:pt>
                <c:pt idx="3">
                  <c:v>-18.624424242424244</c:v>
                </c:pt>
                <c:pt idx="4">
                  <c:v>-18.631089258698939</c:v>
                </c:pt>
                <c:pt idx="5">
                  <c:v>-18.644704992435702</c:v>
                </c:pt>
                <c:pt idx="6">
                  <c:v>-18.658320726172466</c:v>
                </c:pt>
                <c:pt idx="7">
                  <c:v>-18.671936459909226</c:v>
                </c:pt>
                <c:pt idx="8">
                  <c:v>-18.685552193645989</c:v>
                </c:pt>
                <c:pt idx="9">
                  <c:v>-18.699167927382753</c:v>
                </c:pt>
                <c:pt idx="10">
                  <c:v>-18.712783661119516</c:v>
                </c:pt>
                <c:pt idx="11">
                  <c:v>-18.728545454545454</c:v>
                </c:pt>
                <c:pt idx="12">
                  <c:v>-18.746727272727274</c:v>
                </c:pt>
                <c:pt idx="13">
                  <c:v>-18.764909090909093</c:v>
                </c:pt>
                <c:pt idx="14">
                  <c:v>-18.783072289156628</c:v>
                </c:pt>
                <c:pt idx="15">
                  <c:v>-18.801144578313252</c:v>
                </c:pt>
                <c:pt idx="16">
                  <c:v>-18.819272727272725</c:v>
                </c:pt>
                <c:pt idx="17">
                  <c:v>-18.837454545454545</c:v>
                </c:pt>
                <c:pt idx="18">
                  <c:v>-18.855636363636364</c:v>
                </c:pt>
                <c:pt idx="19">
                  <c:v>-18.873818181818184</c:v>
                </c:pt>
                <c:pt idx="20">
                  <c:v>-18.891999999999999</c:v>
                </c:pt>
                <c:pt idx="21">
                  <c:v>-18.913575757575757</c:v>
                </c:pt>
                <c:pt idx="22">
                  <c:v>-18.937818181818184</c:v>
                </c:pt>
                <c:pt idx="23">
                  <c:v>-18.95644578313253</c:v>
                </c:pt>
                <c:pt idx="24">
                  <c:v>-18.976060606060607</c:v>
                </c:pt>
                <c:pt idx="25">
                  <c:v>-19.00030303030303</c:v>
                </c:pt>
                <c:pt idx="26">
                  <c:v>-19.020909090909093</c:v>
                </c:pt>
                <c:pt idx="27">
                  <c:v>-19.039090909090909</c:v>
                </c:pt>
                <c:pt idx="28">
                  <c:v>-19.057272727272728</c:v>
                </c:pt>
                <c:pt idx="29">
                  <c:v>-19.077272727272728</c:v>
                </c:pt>
                <c:pt idx="30">
                  <c:v>-19.101515151515152</c:v>
                </c:pt>
                <c:pt idx="31">
                  <c:v>-19.121746987951806</c:v>
                </c:pt>
                <c:pt idx="32">
                  <c:v>-19.139819277108433</c:v>
                </c:pt>
                <c:pt idx="33">
                  <c:v>-19.164000000000001</c:v>
                </c:pt>
                <c:pt idx="34">
                  <c:v>-19.186181818181819</c:v>
                </c:pt>
                <c:pt idx="35">
                  <c:v>-19.204363636363638</c:v>
                </c:pt>
                <c:pt idx="36">
                  <c:v>-19.226727272727274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-19.388456883509832</c:v>
                </c:pt>
                <c:pt idx="45">
                  <c:v>-19.408124054462935</c:v>
                </c:pt>
                <c:pt idx="46">
                  <c:v>-19.427791225416037</c:v>
                </c:pt>
                <c:pt idx="47">
                  <c:v>-19.447458396369139</c:v>
                </c:pt>
                <c:pt idx="48">
                  <c:v>-19.467125567322238</c:v>
                </c:pt>
                <c:pt idx="49">
                  <c:v>-19.486792738275341</c:v>
                </c:pt>
                <c:pt idx="50">
                  <c:v>-19.506459909228443</c:v>
                </c:pt>
                <c:pt idx="51">
                  <c:v>-19.526151515151518</c:v>
                </c:pt>
                <c:pt idx="52">
                  <c:v>-19.545848484848488</c:v>
                </c:pt>
                <c:pt idx="53">
                  <c:v>-19.565545454545457</c:v>
                </c:pt>
                <c:pt idx="54">
                  <c:v>-19.585242424242427</c:v>
                </c:pt>
                <c:pt idx="55">
                  <c:v>-19.604939393939397</c:v>
                </c:pt>
                <c:pt idx="56">
                  <c:v>-19.624636363636366</c:v>
                </c:pt>
                <c:pt idx="57">
                  <c:v>-19.643975903614457</c:v>
                </c:pt>
                <c:pt idx="58">
                  <c:v>-19.662048192771085</c:v>
                </c:pt>
                <c:pt idx="59">
                  <c:v>-19.680181818181818</c:v>
                </c:pt>
                <c:pt idx="60">
                  <c:v>-19.698363636363634</c:v>
                </c:pt>
                <c:pt idx="61">
                  <c:v>-19.716545454545454</c:v>
                </c:pt>
                <c:pt idx="62">
                  <c:v>-19.734727272727273</c:v>
                </c:pt>
                <c:pt idx="63">
                  <c:v>-19.752909090909093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8AF5-4EFF-A8A5-8EF44D2D1F2E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-60.735090909090907</c:v>
                </c:pt>
                <c:pt idx="1">
                  <c:v>-58.673878787878785</c:v>
                </c:pt>
                <c:pt idx="2">
                  <c:v>-56.631454545454545</c:v>
                </c:pt>
                <c:pt idx="3">
                  <c:v>-54.589030303030299</c:v>
                </c:pt>
                <c:pt idx="4">
                  <c:v>-52.560166414523451</c:v>
                </c:pt>
                <c:pt idx="5">
                  <c:v>-50.687246596066565</c:v>
                </c:pt>
                <c:pt idx="6">
                  <c:v>-48.814326777609679</c:v>
                </c:pt>
                <c:pt idx="7">
                  <c:v>-46.9414069591528</c:v>
                </c:pt>
                <c:pt idx="8">
                  <c:v>-45.068487140695915</c:v>
                </c:pt>
                <c:pt idx="9">
                  <c:v>-43.195567322239029</c:v>
                </c:pt>
                <c:pt idx="10">
                  <c:v>-41.32264750378215</c:v>
                </c:pt>
                <c:pt idx="11">
                  <c:v>-39.589393939393936</c:v>
                </c:pt>
                <c:pt idx="12">
                  <c:v>-38.013636363636365</c:v>
                </c:pt>
                <c:pt idx="13">
                  <c:v>-36.542242424242424</c:v>
                </c:pt>
                <c:pt idx="14">
                  <c:v>-35.117771084337356</c:v>
                </c:pt>
                <c:pt idx="15">
                  <c:v>-33.810542168674701</c:v>
                </c:pt>
                <c:pt idx="16">
                  <c:v>-32.561090909090908</c:v>
                </c:pt>
                <c:pt idx="17">
                  <c:v>-31.367151515151512</c:v>
                </c:pt>
                <c:pt idx="18">
                  <c:v>-30.256606060606057</c:v>
                </c:pt>
                <c:pt idx="19">
                  <c:v>-29.173636363636362</c:v>
                </c:pt>
                <c:pt idx="20">
                  <c:v>-28.143333333333331</c:v>
                </c:pt>
                <c:pt idx="21">
                  <c:v>-27.143575757575757</c:v>
                </c:pt>
                <c:pt idx="22">
                  <c:v>-26.167818181818177</c:v>
                </c:pt>
                <c:pt idx="23">
                  <c:v>-25.252228915662648</c:v>
                </c:pt>
                <c:pt idx="24">
                  <c:v>-24.354848484848485</c:v>
                </c:pt>
                <c:pt idx="25">
                  <c:v>-23.494242424242422</c:v>
                </c:pt>
                <c:pt idx="26">
                  <c:v>-22.673636363636362</c:v>
                </c:pt>
                <c:pt idx="27">
                  <c:v>-21.879696969696969</c:v>
                </c:pt>
                <c:pt idx="28">
                  <c:v>-21.149090909090908</c:v>
                </c:pt>
                <c:pt idx="29">
                  <c:v>-20.438181818181818</c:v>
                </c:pt>
                <c:pt idx="30">
                  <c:v>-19.765454545454546</c:v>
                </c:pt>
                <c:pt idx="31">
                  <c:v>-19.126686746987954</c:v>
                </c:pt>
                <c:pt idx="32">
                  <c:v>-18.506204819277109</c:v>
                </c:pt>
                <c:pt idx="33">
                  <c:v>-17.918000000000003</c:v>
                </c:pt>
                <c:pt idx="34">
                  <c:v>-17.342484848484851</c:v>
                </c:pt>
                <c:pt idx="35">
                  <c:v>-16.7909696969697</c:v>
                </c:pt>
                <c:pt idx="36">
                  <c:v>-16.252000000000002</c:v>
                </c:pt>
                <c:pt idx="37">
                  <c:v>-15.721119515885023</c:v>
                </c:pt>
                <c:pt idx="38">
                  <c:v>-15.249107413010591</c:v>
                </c:pt>
                <c:pt idx="39">
                  <c:v>-14.77709531013616</c:v>
                </c:pt>
                <c:pt idx="40">
                  <c:v>-14.305083207261726</c:v>
                </c:pt>
                <c:pt idx="41">
                  <c:v>-13.833071104387294</c:v>
                </c:pt>
                <c:pt idx="42">
                  <c:v>-13.36105900151286</c:v>
                </c:pt>
                <c:pt idx="43">
                  <c:v>-12.889046898638428</c:v>
                </c:pt>
                <c:pt idx="44">
                  <c:v>-12.457367624810892</c:v>
                </c:pt>
                <c:pt idx="45">
                  <c:v>-12.079152798789712</c:v>
                </c:pt>
                <c:pt idx="46">
                  <c:v>-11.700937972768532</c:v>
                </c:pt>
                <c:pt idx="47">
                  <c:v>-11.322723146747352</c:v>
                </c:pt>
                <c:pt idx="48">
                  <c:v>-10.944508320726172</c:v>
                </c:pt>
                <c:pt idx="49">
                  <c:v>-10.56629349470499</c:v>
                </c:pt>
                <c:pt idx="50">
                  <c:v>-10.18807866868381</c:v>
                </c:pt>
                <c:pt idx="51">
                  <c:v>-9.9633303030303022</c:v>
                </c:pt>
                <c:pt idx="52">
                  <c:v>-9.7722696969696958</c:v>
                </c:pt>
                <c:pt idx="53">
                  <c:v>-9.5812090909090895</c:v>
                </c:pt>
                <c:pt idx="54">
                  <c:v>-9.3901484848484831</c:v>
                </c:pt>
                <c:pt idx="55">
                  <c:v>-9.1990878787878785</c:v>
                </c:pt>
                <c:pt idx="56">
                  <c:v>-9.0080272727272721</c:v>
                </c:pt>
                <c:pt idx="57">
                  <c:v>-8.8458795180722891</c:v>
                </c:pt>
                <c:pt idx="58">
                  <c:v>-8.7862409638554215</c:v>
                </c:pt>
                <c:pt idx="59">
                  <c:v>-8.7443878787878795</c:v>
                </c:pt>
                <c:pt idx="60">
                  <c:v>-8.7165090909090921</c:v>
                </c:pt>
                <c:pt idx="61">
                  <c:v>-8.7068303030303031</c:v>
                </c:pt>
                <c:pt idx="62">
                  <c:v>-8.7021030303030305</c:v>
                </c:pt>
                <c:pt idx="63">
                  <c:v>-8.7063454545454544</c:v>
                </c:pt>
                <c:pt idx="64">
                  <c:v>-8.7153939393939392</c:v>
                </c:pt>
                <c:pt idx="65">
                  <c:v>-8.727515151515151</c:v>
                </c:pt>
                <c:pt idx="66">
                  <c:v>-8.7430361445783138</c:v>
                </c:pt>
                <c:pt idx="67">
                  <c:v>-8.7596363636363641</c:v>
                </c:pt>
                <c:pt idx="68">
                  <c:v>-8.7784242424242418</c:v>
                </c:pt>
                <c:pt idx="69">
                  <c:v>-8.798</c:v>
                </c:pt>
                <c:pt idx="70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8AF5-4EFF-A8A5-8EF44D2D1F2E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-15.805636363636363</c:v>
                </c:pt>
                <c:pt idx="1">
                  <c:v>-15.261999999999999</c:v>
                </c:pt>
                <c:pt idx="2">
                  <c:v>-14.661999999999999</c:v>
                </c:pt>
                <c:pt idx="3">
                  <c:v>-14.004484848484848</c:v>
                </c:pt>
                <c:pt idx="4">
                  <c:v>-13.326287443267777</c:v>
                </c:pt>
                <c:pt idx="5">
                  <c:v>-12.654880484114978</c:v>
                </c:pt>
                <c:pt idx="6">
                  <c:v>-11.983473524962179</c:v>
                </c:pt>
                <c:pt idx="7">
                  <c:v>-11.31206656580938</c:v>
                </c:pt>
                <c:pt idx="8">
                  <c:v>-10.64065960665658</c:v>
                </c:pt>
                <c:pt idx="9">
                  <c:v>-9.969252647503783</c:v>
                </c:pt>
                <c:pt idx="10">
                  <c:v>-9.2978456883509839</c:v>
                </c:pt>
                <c:pt idx="11">
                  <c:v>-8.67908484848485</c:v>
                </c:pt>
                <c:pt idx="12">
                  <c:v>-8.1196909090909095</c:v>
                </c:pt>
                <c:pt idx="13">
                  <c:v>-7.619436363636364</c:v>
                </c:pt>
                <c:pt idx="14">
                  <c:v>-7.1476144578313257</c:v>
                </c:pt>
                <c:pt idx="15">
                  <c:v>-6.7512289156626508</c:v>
                </c:pt>
                <c:pt idx="16">
                  <c:v>-6.4021454545454546</c:v>
                </c:pt>
                <c:pt idx="17">
                  <c:v>-6.09850909090909</c:v>
                </c:pt>
                <c:pt idx="18">
                  <c:v>-5.8730545454545453</c:v>
                </c:pt>
                <c:pt idx="19">
                  <c:v>-5.6767454545454541</c:v>
                </c:pt>
                <c:pt idx="20">
                  <c:v>-5.5421999999999993</c:v>
                </c:pt>
                <c:pt idx="21">
                  <c:v>-5.4426121212121208</c:v>
                </c:pt>
                <c:pt idx="22">
                  <c:v>-5.3704909090909085</c:v>
                </c:pt>
                <c:pt idx="23">
                  <c:v>-5.3393313253012051</c:v>
                </c:pt>
                <c:pt idx="24">
                  <c:v>-5.319</c:v>
                </c:pt>
                <c:pt idx="25">
                  <c:v>-5.319</c:v>
                </c:pt>
                <c:pt idx="26">
                  <c:v>-5.3280909090909088</c:v>
                </c:pt>
                <c:pt idx="27">
                  <c:v>-5.3432424242424243</c:v>
                </c:pt>
                <c:pt idx="28">
                  <c:v>-5.3641515151515149</c:v>
                </c:pt>
                <c:pt idx="29">
                  <c:v>-5.3860909090909086</c:v>
                </c:pt>
                <c:pt idx="30">
                  <c:v>-5.4097272727272729</c:v>
                </c:pt>
                <c:pt idx="31">
                  <c:v>-5.4340542168674695</c:v>
                </c:pt>
                <c:pt idx="32">
                  <c:v>-5.4587530120481924</c:v>
                </c:pt>
                <c:pt idx="33">
                  <c:v>-5.4829999999999997</c:v>
                </c:pt>
                <c:pt idx="34">
                  <c:v>-5.5074484848484841</c:v>
                </c:pt>
                <c:pt idx="35">
                  <c:v>-5.5322969696969695</c:v>
                </c:pt>
                <c:pt idx="36">
                  <c:v>-5.5567272727272723</c:v>
                </c:pt>
                <c:pt idx="37">
                  <c:v>-5.5809863842662635</c:v>
                </c:pt>
                <c:pt idx="38">
                  <c:v>-5.6056459909228442</c:v>
                </c:pt>
                <c:pt idx="39">
                  <c:v>-5.6303055975794249</c:v>
                </c:pt>
                <c:pt idx="40">
                  <c:v>-5.6549652042360066</c:v>
                </c:pt>
                <c:pt idx="41">
                  <c:v>-5.6796248108925873</c:v>
                </c:pt>
                <c:pt idx="42">
                  <c:v>-5.704284417549168</c:v>
                </c:pt>
                <c:pt idx="43">
                  <c:v>-5.7289440242057488</c:v>
                </c:pt>
                <c:pt idx="44">
                  <c:v>-5.7543192133131624</c:v>
                </c:pt>
                <c:pt idx="45">
                  <c:v>-5.7806429652042359</c:v>
                </c:pt>
                <c:pt idx="46">
                  <c:v>-5.8069667170953103</c:v>
                </c:pt>
                <c:pt idx="47">
                  <c:v>-5.8332904689863847</c:v>
                </c:pt>
                <c:pt idx="48">
                  <c:v>-5.8596142208774582</c:v>
                </c:pt>
                <c:pt idx="49">
                  <c:v>-5.8859379727685326</c:v>
                </c:pt>
                <c:pt idx="50">
                  <c:v>-5.912261724659607</c:v>
                </c:pt>
                <c:pt idx="51">
                  <c:v>-5.942966666666667</c:v>
                </c:pt>
                <c:pt idx="52">
                  <c:v>-5.9746333333333332</c:v>
                </c:pt>
                <c:pt idx="53">
                  <c:v>-6.0063000000000004</c:v>
                </c:pt>
                <c:pt idx="54">
                  <c:v>-6.0379666666666667</c:v>
                </c:pt>
                <c:pt idx="55">
                  <c:v>-6.0696333333333339</c:v>
                </c:pt>
                <c:pt idx="56">
                  <c:v>-6.1013000000000002</c:v>
                </c:pt>
                <c:pt idx="57">
                  <c:v>-6.132493975903615</c:v>
                </c:pt>
                <c:pt idx="58">
                  <c:v>-6.1620120481927714</c:v>
                </c:pt>
                <c:pt idx="59">
                  <c:v>-6.190612121212121</c:v>
                </c:pt>
                <c:pt idx="60">
                  <c:v>-6.2184909090909093</c:v>
                </c:pt>
                <c:pt idx="61">
                  <c:v>-6.2441636363636368</c:v>
                </c:pt>
                <c:pt idx="62">
                  <c:v>-6.2693030303030302</c:v>
                </c:pt>
                <c:pt idx="63">
                  <c:v>-6.2935454545454546</c:v>
                </c:pt>
                <c:pt idx="64">
                  <c:v>-6.3174181818181818</c:v>
                </c:pt>
                <c:pt idx="65">
                  <c:v>-6.3410545454545453</c:v>
                </c:pt>
                <c:pt idx="66">
                  <c:v>-6.363397590361445</c:v>
                </c:pt>
                <c:pt idx="67">
                  <c:v>-6.385727272727272</c:v>
                </c:pt>
                <c:pt idx="68">
                  <c:v>-6.4081515151515154</c:v>
                </c:pt>
                <c:pt idx="69">
                  <c:v>-6.4301818181818184</c:v>
                </c:pt>
                <c:pt idx="70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8AF5-4EFF-A8A5-8EF44D2D1F2E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  <c:pt idx="0">
                  <c:v>-22.065575757575758</c:v>
                </c:pt>
                <c:pt idx="1">
                  <c:v>-21.674060606060607</c:v>
                </c:pt>
                <c:pt idx="2">
                  <c:v>-21.395272727272726</c:v>
                </c:pt>
                <c:pt idx="3">
                  <c:v>-21.244787878787879</c:v>
                </c:pt>
                <c:pt idx="4">
                  <c:v>-21.157019667170953</c:v>
                </c:pt>
                <c:pt idx="5">
                  <c:v>-21.244765506807866</c:v>
                </c:pt>
                <c:pt idx="6">
                  <c:v>-21.332511346444779</c:v>
                </c:pt>
                <c:pt idx="7">
                  <c:v>-21.420257186081695</c:v>
                </c:pt>
                <c:pt idx="8">
                  <c:v>-21.508003025718608</c:v>
                </c:pt>
                <c:pt idx="9">
                  <c:v>-21.595748865355521</c:v>
                </c:pt>
                <c:pt idx="10">
                  <c:v>-21.683494704992437</c:v>
                </c:pt>
                <c:pt idx="11">
                  <c:v>-21.792666666666666</c:v>
                </c:pt>
                <c:pt idx="12">
                  <c:v>-21.925999999999998</c:v>
                </c:pt>
                <c:pt idx="13">
                  <c:v>-22.049393939393937</c:v>
                </c:pt>
                <c:pt idx="14">
                  <c:v>-22.167409638554215</c:v>
                </c:pt>
                <c:pt idx="15">
                  <c:v>-22.269819277108432</c:v>
                </c:pt>
                <c:pt idx="16">
                  <c:v>-22.363272727272729</c:v>
                </c:pt>
                <c:pt idx="17">
                  <c:v>-22.448121212121212</c:v>
                </c:pt>
                <c:pt idx="18">
                  <c:v>-22.532969696969698</c:v>
                </c:pt>
                <c:pt idx="19">
                  <c:v>-22.620363636363638</c:v>
                </c:pt>
                <c:pt idx="20">
                  <c:v>-22.717333333333336</c:v>
                </c:pt>
                <c:pt idx="21">
                  <c:v>-22.82448484848485</c:v>
                </c:pt>
                <c:pt idx="22">
                  <c:v>-22.939636363636364</c:v>
                </c:pt>
                <c:pt idx="23">
                  <c:v>-23.059638554216868</c:v>
                </c:pt>
                <c:pt idx="24">
                  <c:v>-23.183333333333334</c:v>
                </c:pt>
                <c:pt idx="25">
                  <c:v>-23.316666666666666</c:v>
                </c:pt>
                <c:pt idx="26">
                  <c:v>-23.453636363636363</c:v>
                </c:pt>
                <c:pt idx="27">
                  <c:v>-23.593030303030304</c:v>
                </c:pt>
                <c:pt idx="28">
                  <c:v>-23.738181818181818</c:v>
                </c:pt>
                <c:pt idx="29">
                  <c:v>-23.881818181818183</c:v>
                </c:pt>
                <c:pt idx="30">
                  <c:v>-24.02121212121212</c:v>
                </c:pt>
                <c:pt idx="31">
                  <c:v>-24.163975903614457</c:v>
                </c:pt>
                <c:pt idx="32">
                  <c:v>-24.308554216867467</c:v>
                </c:pt>
                <c:pt idx="33">
                  <c:v>-24.448</c:v>
                </c:pt>
                <c:pt idx="34">
                  <c:v>-24.587393939393937</c:v>
                </c:pt>
                <c:pt idx="35">
                  <c:v>-24.726787878787878</c:v>
                </c:pt>
                <c:pt idx="36">
                  <c:v>-24.866181818181818</c:v>
                </c:pt>
                <c:pt idx="37">
                  <c:v>-25.005446293494703</c:v>
                </c:pt>
                <c:pt idx="38">
                  <c:v>-25.141603630862328</c:v>
                </c:pt>
                <c:pt idx="39">
                  <c:v>-25.277760968229956</c:v>
                </c:pt>
                <c:pt idx="40">
                  <c:v>-25.41391830559758</c:v>
                </c:pt>
                <c:pt idx="41">
                  <c:v>-25.550075642965204</c:v>
                </c:pt>
                <c:pt idx="42">
                  <c:v>-25.686232980332829</c:v>
                </c:pt>
                <c:pt idx="43">
                  <c:v>-25.822390317700453</c:v>
                </c:pt>
                <c:pt idx="44">
                  <c:v>-25.955295007564295</c:v>
                </c:pt>
                <c:pt idx="45">
                  <c:v>-26.083888048411495</c:v>
                </c:pt>
                <c:pt idx="46">
                  <c:v>-26.212481089258699</c:v>
                </c:pt>
                <c:pt idx="47">
                  <c:v>-26.341074130105898</c:v>
                </c:pt>
                <c:pt idx="48">
                  <c:v>-26.469667170953102</c:v>
                </c:pt>
                <c:pt idx="49">
                  <c:v>-26.598260211800302</c:v>
                </c:pt>
                <c:pt idx="50">
                  <c:v>-26.726853252647505</c:v>
                </c:pt>
                <c:pt idx="51">
                  <c:v>-26.849393939393941</c:v>
                </c:pt>
                <c:pt idx="52">
                  <c:v>-26.970606060606062</c:v>
                </c:pt>
                <c:pt idx="53">
                  <c:v>-27.091818181818184</c:v>
                </c:pt>
                <c:pt idx="54">
                  <c:v>-27.213030303030305</c:v>
                </c:pt>
                <c:pt idx="55">
                  <c:v>-27.334242424242426</c:v>
                </c:pt>
                <c:pt idx="56">
                  <c:v>-27.455454545454547</c:v>
                </c:pt>
                <c:pt idx="57">
                  <c:v>-27.576506024096386</c:v>
                </c:pt>
                <c:pt idx="58">
                  <c:v>-27.69698795180723</c:v>
                </c:pt>
                <c:pt idx="59">
                  <c:v>-27.817878787878787</c:v>
                </c:pt>
                <c:pt idx="60">
                  <c:v>-27.939090909090908</c:v>
                </c:pt>
                <c:pt idx="61">
                  <c:v>-28.060303030303029</c:v>
                </c:pt>
                <c:pt idx="62">
                  <c:v>-28.18151515151515</c:v>
                </c:pt>
                <c:pt idx="63">
                  <c:v>-28.302727272727275</c:v>
                </c:pt>
                <c:pt idx="64">
                  <c:v>-28.420242424242424</c:v>
                </c:pt>
                <c:pt idx="65">
                  <c:v>-28.535393939393938</c:v>
                </c:pt>
                <c:pt idx="66">
                  <c:v>-28.655662650602409</c:v>
                </c:pt>
                <c:pt idx="67">
                  <c:v>-28.776363636363634</c:v>
                </c:pt>
                <c:pt idx="68">
                  <c:v>-28.897575757575758</c:v>
                </c:pt>
                <c:pt idx="69">
                  <c:v>-29.014848484848486</c:v>
                </c:pt>
                <c:pt idx="70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8AF5-4EFF-A8A5-8EF44D2D1F2E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8AF5-4EFF-A8A5-8EF44D2D1F2E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8AF5-4EFF-A8A5-8EF44D2D1F2E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8AF5-4EFF-A8A5-8EF44D2D1F2E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8AF5-4EFF-A8A5-8EF44D2D1F2E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8AF5-4EFF-A8A5-8EF44D2D1F2E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8AF5-4EFF-A8A5-8EF44D2D1F2E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8AF5-4EFF-A8A5-8EF44D2D1F2E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8AF5-4EFF-A8A5-8EF44D2D1F2E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8AF5-4EFF-A8A5-8EF44D2D1F2E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8AF5-4EFF-A8A5-8EF44D2D1F2E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8AF5-4EFF-A8A5-8EF44D2D1F2E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  <c:pt idx="0">
                  <c:v>End2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8AF5-4EFF-A8A5-8EF44D2D1F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23929986372433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4.0122484763636409E-11</c:v>
                </c:pt>
                <c:pt idx="1">
                  <c:v>4.4496089090909203E-10</c:v>
                </c:pt>
                <c:pt idx="2">
                  <c:v>1.4468027090909102E-9</c:v>
                </c:pt>
                <c:pt idx="3">
                  <c:v>1.5836322181818206E-7</c:v>
                </c:pt>
                <c:pt idx="4">
                  <c:v>5.8185203482425066E-3</c:v>
                </c:pt>
                <c:pt idx="5">
                  <c:v>7.8545577451272802E-2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  <c:pt idx="21">
                  <c:v>0.20145454545454577</c:v>
                </c:pt>
                <c:pt idx="22">
                  <c:v>0.34690909090909122</c:v>
                </c:pt>
                <c:pt idx="23">
                  <c:v>0.36</c:v>
                </c:pt>
                <c:pt idx="24">
                  <c:v>0.36</c:v>
                </c:pt>
                <c:pt idx="25">
                  <c:v>0.36</c:v>
                </c:pt>
                <c:pt idx="26">
                  <c:v>0.36</c:v>
                </c:pt>
                <c:pt idx="27">
                  <c:v>0.36</c:v>
                </c:pt>
                <c:pt idx="28">
                  <c:v>0.36</c:v>
                </c:pt>
                <c:pt idx="29">
                  <c:v>0.36727272727272725</c:v>
                </c:pt>
                <c:pt idx="30">
                  <c:v>0.39151515151515154</c:v>
                </c:pt>
                <c:pt idx="31">
                  <c:v>0.4</c:v>
                </c:pt>
                <c:pt idx="32">
                  <c:v>0.4</c:v>
                </c:pt>
                <c:pt idx="33">
                  <c:v>0.4</c:v>
                </c:pt>
                <c:pt idx="34">
                  <c:v>0.4</c:v>
                </c:pt>
                <c:pt idx="35">
                  <c:v>0.4</c:v>
                </c:pt>
                <c:pt idx="36">
                  <c:v>0.4</c:v>
                </c:pt>
                <c:pt idx="37">
                  <c:v>0.4</c:v>
                </c:pt>
                <c:pt idx="38">
                  <c:v>0.4</c:v>
                </c:pt>
                <c:pt idx="39">
                  <c:v>0.4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  <c:pt idx="46">
                  <c:v>0.4</c:v>
                </c:pt>
                <c:pt idx="47">
                  <c:v>0.4</c:v>
                </c:pt>
                <c:pt idx="48">
                  <c:v>0.4</c:v>
                </c:pt>
                <c:pt idx="49">
                  <c:v>0.4</c:v>
                </c:pt>
                <c:pt idx="50">
                  <c:v>0.4</c:v>
                </c:pt>
                <c:pt idx="51">
                  <c:v>0.43881333333333356</c:v>
                </c:pt>
                <c:pt idx="52">
                  <c:v>0.4782957575757576</c:v>
                </c:pt>
                <c:pt idx="53">
                  <c:v>0.47944727272727272</c:v>
                </c:pt>
                <c:pt idx="54">
                  <c:v>0.48</c:v>
                </c:pt>
                <c:pt idx="55">
                  <c:v>0.48</c:v>
                </c:pt>
                <c:pt idx="56">
                  <c:v>0.48</c:v>
                </c:pt>
                <c:pt idx="57">
                  <c:v>0.48</c:v>
                </c:pt>
                <c:pt idx="58">
                  <c:v>0.48</c:v>
                </c:pt>
                <c:pt idx="59">
                  <c:v>0.48</c:v>
                </c:pt>
                <c:pt idx="60">
                  <c:v>0.48</c:v>
                </c:pt>
                <c:pt idx="61">
                  <c:v>0.48</c:v>
                </c:pt>
                <c:pt idx="62">
                  <c:v>0.48</c:v>
                </c:pt>
                <c:pt idx="63">
                  <c:v>0.48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7E1-45B2-856A-6D7DDF9AB301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9.4775333333333184E-34</c:v>
                </c:pt>
                <c:pt idx="9">
                  <c:v>3.7209473377436009E-27</c:v>
                </c:pt>
                <c:pt idx="10">
                  <c:v>3.4728824894773901E-26</c:v>
                </c:pt>
                <c:pt idx="11">
                  <c:v>1.9889319213313171E-11</c:v>
                </c:pt>
                <c:pt idx="12">
                  <c:v>6.2207019667170965E-11</c:v>
                </c:pt>
                <c:pt idx="13">
                  <c:v>1.0452472012102877E-10</c:v>
                </c:pt>
                <c:pt idx="14">
                  <c:v>1.4684242057488658E-10</c:v>
                </c:pt>
                <c:pt idx="15">
                  <c:v>1.8916012102874438E-10</c:v>
                </c:pt>
                <c:pt idx="16">
                  <c:v>2.3147782148260218E-10</c:v>
                </c:pt>
                <c:pt idx="17">
                  <c:v>2.7379552193645998E-10</c:v>
                </c:pt>
                <c:pt idx="18">
                  <c:v>8.7112896969697131E-10</c:v>
                </c:pt>
                <c:pt idx="19">
                  <c:v>5.1064036363636761E-9</c:v>
                </c:pt>
                <c:pt idx="20">
                  <c:v>2.2687373333333375E-8</c:v>
                </c:pt>
                <c:pt idx="21">
                  <c:v>8.145456555216396E-2</c:v>
                </c:pt>
                <c:pt idx="22">
                  <c:v>0.22690909256852759</c:v>
                </c:pt>
                <c:pt idx="23">
                  <c:v>0.24</c:v>
                </c:pt>
                <c:pt idx="24">
                  <c:v>0.24</c:v>
                </c:pt>
                <c:pt idx="25">
                  <c:v>0.24</c:v>
                </c:pt>
                <c:pt idx="26">
                  <c:v>0.24</c:v>
                </c:pt>
                <c:pt idx="27">
                  <c:v>0.24</c:v>
                </c:pt>
                <c:pt idx="28">
                  <c:v>0.24</c:v>
                </c:pt>
                <c:pt idx="29">
                  <c:v>0.24</c:v>
                </c:pt>
                <c:pt idx="30">
                  <c:v>0.24</c:v>
                </c:pt>
                <c:pt idx="31">
                  <c:v>0.24</c:v>
                </c:pt>
                <c:pt idx="32">
                  <c:v>0.24</c:v>
                </c:pt>
                <c:pt idx="33">
                  <c:v>0.24</c:v>
                </c:pt>
                <c:pt idx="34">
                  <c:v>0.24</c:v>
                </c:pt>
                <c:pt idx="35">
                  <c:v>0.24</c:v>
                </c:pt>
                <c:pt idx="36">
                  <c:v>0.24</c:v>
                </c:pt>
                <c:pt idx="37">
                  <c:v>0.24</c:v>
                </c:pt>
                <c:pt idx="38">
                  <c:v>0.24</c:v>
                </c:pt>
                <c:pt idx="39">
                  <c:v>0.24</c:v>
                </c:pt>
                <c:pt idx="40">
                  <c:v>0.24</c:v>
                </c:pt>
                <c:pt idx="41">
                  <c:v>0.24</c:v>
                </c:pt>
                <c:pt idx="42">
                  <c:v>0.24</c:v>
                </c:pt>
                <c:pt idx="43">
                  <c:v>0.24</c:v>
                </c:pt>
                <c:pt idx="44">
                  <c:v>0.24</c:v>
                </c:pt>
                <c:pt idx="45">
                  <c:v>0.24</c:v>
                </c:pt>
                <c:pt idx="46">
                  <c:v>0.24</c:v>
                </c:pt>
                <c:pt idx="47">
                  <c:v>0.24</c:v>
                </c:pt>
                <c:pt idx="48">
                  <c:v>0.24</c:v>
                </c:pt>
                <c:pt idx="49">
                  <c:v>0.24</c:v>
                </c:pt>
                <c:pt idx="50">
                  <c:v>0.24</c:v>
                </c:pt>
                <c:pt idx="51">
                  <c:v>0.23194909090909085</c:v>
                </c:pt>
                <c:pt idx="52">
                  <c:v>0.22352078787878787</c:v>
                </c:pt>
                <c:pt idx="53">
                  <c:v>0.22187836363636362</c:v>
                </c:pt>
                <c:pt idx="54">
                  <c:v>0.22027060606060606</c:v>
                </c:pt>
                <c:pt idx="55">
                  <c:v>0.21869484848484846</c:v>
                </c:pt>
                <c:pt idx="56">
                  <c:v>0.21694509090909089</c:v>
                </c:pt>
                <c:pt idx="57">
                  <c:v>0.21502680786686837</c:v>
                </c:pt>
                <c:pt idx="58">
                  <c:v>0.21260320726172466</c:v>
                </c:pt>
                <c:pt idx="59">
                  <c:v>0.21017960665658092</c:v>
                </c:pt>
                <c:pt idx="60">
                  <c:v>0.20775600605143721</c:v>
                </c:pt>
                <c:pt idx="61">
                  <c:v>0.2053324054462935</c:v>
                </c:pt>
                <c:pt idx="62">
                  <c:v>0.20290880484114976</c:v>
                </c:pt>
                <c:pt idx="63">
                  <c:v>0.20048520423600605</c:v>
                </c:pt>
                <c:pt idx="64">
                  <c:v>0.19751036363636362</c:v>
                </c:pt>
                <c:pt idx="65">
                  <c:v>0.19418309090909089</c:v>
                </c:pt>
                <c:pt idx="66">
                  <c:v>0.19040084337349397</c:v>
                </c:pt>
                <c:pt idx="67">
                  <c:v>0.18640909090909091</c:v>
                </c:pt>
                <c:pt idx="68">
                  <c:v>0.18197272727272726</c:v>
                </c:pt>
                <c:pt idx="69">
                  <c:v>0.17705181818181817</c:v>
                </c:pt>
                <c:pt idx="70">
                  <c:v>0.17186999999999999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C7E1-45B2-856A-6D7DDF9AB301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C7E1-45B2-856A-6D7DDF9AB301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0.04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3.2727300083636363E-2</c:v>
                </c:pt>
                <c:pt idx="30">
                  <c:v>8.4849670290909132E-3</c:v>
                </c:pt>
                <c:pt idx="31">
                  <c:v>9.2012587349397678E-8</c:v>
                </c:pt>
                <c:pt idx="32">
                  <c:v>2.0934909638556205E-9</c:v>
                </c:pt>
                <c:pt idx="33">
                  <c:v>6.0522000000000135E-10</c:v>
                </c:pt>
                <c:pt idx="34">
                  <c:v>1.7152876363636392E-10</c:v>
                </c:pt>
                <c:pt idx="35">
                  <c:v>5.1025127272727563E-11</c:v>
                </c:pt>
                <c:pt idx="36">
                  <c:v>9.3014254545454674E-12</c:v>
                </c:pt>
                <c:pt idx="37">
                  <c:v>3.2052853252647528E-12</c:v>
                </c:pt>
                <c:pt idx="38">
                  <c:v>2.7174184568835376E-12</c:v>
                </c:pt>
                <c:pt idx="39">
                  <c:v>2.2295515885023228E-12</c:v>
                </c:pt>
                <c:pt idx="40">
                  <c:v>1.741684720121108E-12</c:v>
                </c:pt>
                <c:pt idx="41">
                  <c:v>1.2538178517398928E-12</c:v>
                </c:pt>
                <c:pt idx="42">
                  <c:v>7.65950983358678E-13</c:v>
                </c:pt>
                <c:pt idx="43">
                  <c:v>2.780841149774632E-13</c:v>
                </c:pt>
                <c:pt idx="44">
                  <c:v>1.2466971230242472E-25</c:v>
                </c:pt>
                <c:pt idx="45">
                  <c:v>2.2482996726667122E-26</c:v>
                </c:pt>
                <c:pt idx="46">
                  <c:v>1.011994545454551E-30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C7E1-45B2-856A-6D7DDF9AB301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3.4433888048409526E-29</c:v>
                </c:pt>
                <c:pt idx="38">
                  <c:v>8.9528108925869658E-28</c:v>
                </c:pt>
                <c:pt idx="39">
                  <c:v>1.7561282904689835E-27</c:v>
                </c:pt>
                <c:pt idx="40">
                  <c:v>2.6169754916792708E-27</c:v>
                </c:pt>
                <c:pt idx="41">
                  <c:v>3.4778226928895578E-27</c:v>
                </c:pt>
                <c:pt idx="42">
                  <c:v>4.3386698940998448E-27</c:v>
                </c:pt>
                <c:pt idx="43">
                  <c:v>5.1995170953101317E-27</c:v>
                </c:pt>
                <c:pt idx="44">
                  <c:v>8.3405517818180944E-25</c:v>
                </c:pt>
                <c:pt idx="45">
                  <c:v>2.7604853599999911E-24</c:v>
                </c:pt>
                <c:pt idx="46">
                  <c:v>2.7552517636363479E-22</c:v>
                </c:pt>
                <c:pt idx="47">
                  <c:v>1.5058913939393614E-21</c:v>
                </c:pt>
                <c:pt idx="48">
                  <c:v>8.6335944242423924E-21</c:v>
                </c:pt>
                <c:pt idx="49">
                  <c:v>1.64338072289156E-19</c:v>
                </c:pt>
                <c:pt idx="50">
                  <c:v>4.8100072289156739E-19</c:v>
                </c:pt>
                <c:pt idx="51">
                  <c:v>3.0472341818181691E-19</c:v>
                </c:pt>
                <c:pt idx="52">
                  <c:v>2.0336121218275148E-10</c:v>
                </c:pt>
                <c:pt idx="53">
                  <c:v>1.3996036363835989E-9</c:v>
                </c:pt>
                <c:pt idx="54">
                  <c:v>1.0271487272727344E-8</c:v>
                </c:pt>
                <c:pt idx="55">
                  <c:v>2.6228578181818253E-8</c:v>
                </c:pt>
                <c:pt idx="56">
                  <c:v>3.5589381818181855E-8</c:v>
                </c:pt>
                <c:pt idx="57">
                  <c:v>4.2250305597579427E-8</c:v>
                </c:pt>
                <c:pt idx="58">
                  <c:v>4.2833512859304087E-8</c:v>
                </c:pt>
                <c:pt idx="59">
                  <c:v>4.3416720121028747E-8</c:v>
                </c:pt>
                <c:pt idx="60">
                  <c:v>4.3999927382753407E-8</c:v>
                </c:pt>
                <c:pt idx="61">
                  <c:v>4.4583134644478067E-8</c:v>
                </c:pt>
                <c:pt idx="62">
                  <c:v>4.5166341906202727E-8</c:v>
                </c:pt>
                <c:pt idx="63">
                  <c:v>4.5749549167927387E-8</c:v>
                </c:pt>
                <c:pt idx="64">
                  <c:v>4.4567345454545453E-8</c:v>
                </c:pt>
                <c:pt idx="65">
                  <c:v>4.2256436363636358E-8</c:v>
                </c:pt>
                <c:pt idx="66">
                  <c:v>2.6851999999999985E-8</c:v>
                </c:pt>
                <c:pt idx="67">
                  <c:v>1.3646309090909091E-8</c:v>
                </c:pt>
                <c:pt idx="68">
                  <c:v>6.8440060606060596E-9</c:v>
                </c:pt>
                <c:pt idx="69">
                  <c:v>2.9135448484848485E-9</c:v>
                </c:pt>
                <c:pt idx="70">
                  <c:v>5.2946000000000036E-10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C7E1-45B2-856A-6D7DDF9AB301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0.11418181839080718</c:v>
                </c:pt>
                <c:pt idx="5">
                  <c:v>4.145454827589809E-2</c:v>
                </c:pt>
                <c:pt idx="6">
                  <c:v>3.2263518674698782E-9</c:v>
                </c:pt>
                <c:pt idx="7">
                  <c:v>7.0530969879518313E-10</c:v>
                </c:pt>
                <c:pt idx="8">
                  <c:v>6.9458380000000084E-11</c:v>
                </c:pt>
                <c:pt idx="9">
                  <c:v>5.0540360727272767E-12</c:v>
                </c:pt>
                <c:pt idx="10">
                  <c:v>1.7951700121212162E-12</c:v>
                </c:pt>
                <c:pt idx="11">
                  <c:v>6.3137963801403633E-14</c:v>
                </c:pt>
                <c:pt idx="12">
                  <c:v>5.2854908059709232E-14</c:v>
                </c:pt>
                <c:pt idx="13">
                  <c:v>4.2571852318014825E-14</c:v>
                </c:pt>
                <c:pt idx="14">
                  <c:v>3.2288796576320418E-14</c:v>
                </c:pt>
                <c:pt idx="15">
                  <c:v>2.200574083462601E-14</c:v>
                </c:pt>
                <c:pt idx="16">
                  <c:v>1.1722685092931603E-14</c:v>
                </c:pt>
                <c:pt idx="17">
                  <c:v>1.4396293512372023E-15</c:v>
                </c:pt>
                <c:pt idx="18">
                  <c:v>7.4087636363640254E-22</c:v>
                </c:pt>
                <c:pt idx="19">
                  <c:v>6.8757818181818073E-35</c:v>
                </c:pt>
                <c:pt idx="20">
                  <c:v>2.1009333333333221E-35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C7E1-45B2-856A-6D7DDF9AB301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1.4189933333333312E-30</c:v>
                </c:pt>
                <c:pt idx="9">
                  <c:v>6.7565728649090263E-26</c:v>
                </c:pt>
                <c:pt idx="10">
                  <c:v>6.3058812822484776E-25</c:v>
                </c:pt>
                <c:pt idx="11">
                  <c:v>4.3909092293046825E-15</c:v>
                </c:pt>
                <c:pt idx="12">
                  <c:v>1.3733269289678517E-14</c:v>
                </c:pt>
                <c:pt idx="13">
                  <c:v>2.3075629350052353E-14</c:v>
                </c:pt>
                <c:pt idx="14">
                  <c:v>3.2417989410426183E-14</c:v>
                </c:pt>
                <c:pt idx="15">
                  <c:v>4.1760349470800024E-14</c:v>
                </c:pt>
                <c:pt idx="16">
                  <c:v>5.1102709531173858E-14</c:v>
                </c:pt>
                <c:pt idx="17">
                  <c:v>6.0445069591547691E-14</c:v>
                </c:pt>
                <c:pt idx="18">
                  <c:v>2.959639235151507E-14</c:v>
                </c:pt>
                <c:pt idx="19">
                  <c:v>4.9905163636572299E-17</c:v>
                </c:pt>
                <c:pt idx="20">
                  <c:v>1.5248800001202663E-17</c:v>
                </c:pt>
                <c:pt idx="21">
                  <c:v>1.0834599999999976E-27</c:v>
                </c:pt>
                <c:pt idx="22">
                  <c:v>8.9459999999997778E-29</c:v>
                </c:pt>
                <c:pt idx="23">
                  <c:v>2.1785180722891592E-18</c:v>
                </c:pt>
                <c:pt idx="24">
                  <c:v>6.5104548826424235E-11</c:v>
                </c:pt>
                <c:pt idx="25">
                  <c:v>3.2552272823612119E-10</c:v>
                </c:pt>
                <c:pt idx="26">
                  <c:v>5.4156209090909096E-9</c:v>
                </c:pt>
                <c:pt idx="27">
                  <c:v>1.3725505757575759E-8</c:v>
                </c:pt>
                <c:pt idx="28">
                  <c:v>9.1896484848484868E-8</c:v>
                </c:pt>
                <c:pt idx="29">
                  <c:v>1.4545576609999999E-2</c:v>
                </c:pt>
                <c:pt idx="30">
                  <c:v>6.3030334676666674E-2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  <c:pt idx="36">
                  <c:v>0.08</c:v>
                </c:pt>
                <c:pt idx="37">
                  <c:v>0.08</c:v>
                </c:pt>
                <c:pt idx="38">
                  <c:v>0.08</c:v>
                </c:pt>
                <c:pt idx="39">
                  <c:v>0.08</c:v>
                </c:pt>
                <c:pt idx="40">
                  <c:v>0.08</c:v>
                </c:pt>
                <c:pt idx="41">
                  <c:v>0.08</c:v>
                </c:pt>
                <c:pt idx="42">
                  <c:v>0.08</c:v>
                </c:pt>
                <c:pt idx="43">
                  <c:v>0.08</c:v>
                </c:pt>
                <c:pt idx="44">
                  <c:v>0.08</c:v>
                </c:pt>
                <c:pt idx="45">
                  <c:v>0.08</c:v>
                </c:pt>
                <c:pt idx="46">
                  <c:v>0.08</c:v>
                </c:pt>
                <c:pt idx="47">
                  <c:v>0.08</c:v>
                </c:pt>
                <c:pt idx="48">
                  <c:v>0.08</c:v>
                </c:pt>
                <c:pt idx="49">
                  <c:v>0.08</c:v>
                </c:pt>
                <c:pt idx="50">
                  <c:v>0.08</c:v>
                </c:pt>
                <c:pt idx="51">
                  <c:v>4.1186368484848267E-2</c:v>
                </c:pt>
                <c:pt idx="52">
                  <c:v>1.7037053191939343E-3</c:v>
                </c:pt>
                <c:pt idx="53">
                  <c:v>5.5256013798181294E-4</c:v>
                </c:pt>
                <c:pt idx="54">
                  <c:v>7.3314821818181544E-9</c:v>
                </c:pt>
                <c:pt idx="55">
                  <c:v>1.3324094545454276E-9</c:v>
                </c:pt>
                <c:pt idx="56">
                  <c:v>2.6120366918181658E-10</c:v>
                </c:pt>
                <c:pt idx="57">
                  <c:v>1.406090015128592E-14</c:v>
                </c:pt>
                <c:pt idx="58">
                  <c:v>1.1860446293494696E-14</c:v>
                </c:pt>
                <c:pt idx="59">
                  <c:v>9.6599924357034704E-15</c:v>
                </c:pt>
                <c:pt idx="60">
                  <c:v>7.4595385779122465E-15</c:v>
                </c:pt>
                <c:pt idx="61">
                  <c:v>5.2590847201210225E-15</c:v>
                </c:pt>
                <c:pt idx="62">
                  <c:v>3.058630862329797E-15</c:v>
                </c:pt>
                <c:pt idx="63">
                  <c:v>8.5817700453857299E-16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C7E1-45B2-856A-6D7DDF9AB301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*Ge[l]</c:v>
                </c:pt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9.8429803328290279E-33</c:v>
                </c:pt>
                <c:pt idx="12">
                  <c:v>3.078549167927382E-32</c:v>
                </c:pt>
                <c:pt idx="13">
                  <c:v>5.1728003025718609E-32</c:v>
                </c:pt>
                <c:pt idx="14">
                  <c:v>7.2670514372163404E-32</c:v>
                </c:pt>
                <c:pt idx="15">
                  <c:v>9.3613025718608199E-32</c:v>
                </c:pt>
                <c:pt idx="16">
                  <c:v>1.1455553706505298E-31</c:v>
                </c:pt>
                <c:pt idx="17">
                  <c:v>1.3549804841149778E-31</c:v>
                </c:pt>
                <c:pt idx="18">
                  <c:v>6.6278606060605875E-32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3.9242424242424246E-35</c:v>
                </c:pt>
                <c:pt idx="25">
                  <c:v>1.9621212121212122E-34</c:v>
                </c:pt>
                <c:pt idx="26">
                  <c:v>1.6481818181818182E-34</c:v>
                </c:pt>
                <c:pt idx="27">
                  <c:v>7.8484848484848385E-36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1.7481599999999957E-22</c:v>
                </c:pt>
                <c:pt idx="34">
                  <c:v>1.8245661625212001E-17</c:v>
                </c:pt>
                <c:pt idx="35">
                  <c:v>7.1908515346424115E-17</c:v>
                </c:pt>
                <c:pt idx="36">
                  <c:v>1.4228351650909046E-13</c:v>
                </c:pt>
                <c:pt idx="37">
                  <c:v>3.4509718608169414E-13</c:v>
                </c:pt>
                <c:pt idx="38">
                  <c:v>4.6952683812405417E-13</c:v>
                </c:pt>
                <c:pt idx="39">
                  <c:v>5.939564901664141E-13</c:v>
                </c:pt>
                <c:pt idx="40">
                  <c:v>7.1838614220877423E-13</c:v>
                </c:pt>
                <c:pt idx="41">
                  <c:v>8.4281579425113416E-13</c:v>
                </c:pt>
                <c:pt idx="42">
                  <c:v>9.6724544629349429E-13</c:v>
                </c:pt>
                <c:pt idx="43">
                  <c:v>1.0916750983358542E-12</c:v>
                </c:pt>
                <c:pt idx="44">
                  <c:v>1.0477066060606072E-12</c:v>
                </c:pt>
                <c:pt idx="45">
                  <c:v>7.8051266666666788E-13</c:v>
                </c:pt>
                <c:pt idx="46">
                  <c:v>4.0931352727272913E-13</c:v>
                </c:pt>
                <c:pt idx="47">
                  <c:v>5.6056281254545627E-14</c:v>
                </c:pt>
                <c:pt idx="48">
                  <c:v>1.9189213981818354E-14</c:v>
                </c:pt>
                <c:pt idx="49">
                  <c:v>1.303615663559395E-17</c:v>
                </c:pt>
                <c:pt idx="50">
                  <c:v>1.9885662930812397E-18</c:v>
                </c:pt>
                <c:pt idx="51">
                  <c:v>1.5809739393939309E-26</c:v>
                </c:pt>
                <c:pt idx="52">
                  <c:v>8.2071878787880986E-18</c:v>
                </c:pt>
                <c:pt idx="53">
                  <c:v>5.648476363636386E-17</c:v>
                </c:pt>
                <c:pt idx="54">
                  <c:v>6.3944296977903582E-11</c:v>
                </c:pt>
                <c:pt idx="55">
                  <c:v>1.869139456700248E-10</c:v>
                </c:pt>
                <c:pt idx="56">
                  <c:v>2.1600800000000007E-10</c:v>
                </c:pt>
                <c:pt idx="57">
                  <c:v>2.3325167927382764E-10</c:v>
                </c:pt>
                <c:pt idx="58">
                  <c:v>2.5821385779122553E-10</c:v>
                </c:pt>
                <c:pt idx="59">
                  <c:v>2.8317603630862337E-10</c:v>
                </c:pt>
                <c:pt idx="60">
                  <c:v>3.0813821482602127E-10</c:v>
                </c:pt>
                <c:pt idx="61">
                  <c:v>3.3310039334341916E-10</c:v>
                </c:pt>
                <c:pt idx="62">
                  <c:v>3.58062571860817E-10</c:v>
                </c:pt>
                <c:pt idx="63">
                  <c:v>3.8302475037821489E-10</c:v>
                </c:pt>
                <c:pt idx="64">
                  <c:v>8.6576509090909274E-10</c:v>
                </c:pt>
                <c:pt idx="65">
                  <c:v>1.6411832727272747E-9</c:v>
                </c:pt>
                <c:pt idx="66">
                  <c:v>2.2457132530120486E-9</c:v>
                </c:pt>
                <c:pt idx="67">
                  <c:v>3.036172727272727E-9</c:v>
                </c:pt>
                <c:pt idx="68">
                  <c:v>4.2770818181818183E-9</c:v>
                </c:pt>
                <c:pt idx="69">
                  <c:v>4.5253424242424245E-9</c:v>
                </c:pt>
                <c:pt idx="70">
                  <c:v>4.2391000000000004E-9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7E1-45B2-856A-6D7DDF9AB301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0.12581818181818188</c:v>
                </c:pt>
                <c:pt idx="5">
                  <c:v>0.19854545454545464</c:v>
                </c:pt>
                <c:pt idx="6">
                  <c:v>0.24</c:v>
                </c:pt>
                <c:pt idx="7">
                  <c:v>0.24</c:v>
                </c:pt>
                <c:pt idx="8">
                  <c:v>0.24</c:v>
                </c:pt>
                <c:pt idx="9">
                  <c:v>0.24</c:v>
                </c:pt>
                <c:pt idx="10">
                  <c:v>0.24</c:v>
                </c:pt>
                <c:pt idx="11">
                  <c:v>0.24</c:v>
                </c:pt>
                <c:pt idx="12">
                  <c:v>0.24</c:v>
                </c:pt>
                <c:pt idx="13">
                  <c:v>0.24</c:v>
                </c:pt>
                <c:pt idx="14">
                  <c:v>0.24</c:v>
                </c:pt>
                <c:pt idx="15">
                  <c:v>0.24</c:v>
                </c:pt>
                <c:pt idx="16">
                  <c:v>0.24</c:v>
                </c:pt>
                <c:pt idx="17">
                  <c:v>0.24</c:v>
                </c:pt>
                <c:pt idx="18">
                  <c:v>0.24</c:v>
                </c:pt>
                <c:pt idx="19">
                  <c:v>0.24</c:v>
                </c:pt>
                <c:pt idx="20">
                  <c:v>0.24</c:v>
                </c:pt>
                <c:pt idx="21">
                  <c:v>0.15854551267006028</c:v>
                </c:pt>
                <c:pt idx="22">
                  <c:v>1.3091071009454225E-2</c:v>
                </c:pt>
                <c:pt idx="23">
                  <c:v>7.8679505421686649E-8</c:v>
                </c:pt>
                <c:pt idx="24">
                  <c:v>2.0281442424242425E-9</c:v>
                </c:pt>
                <c:pt idx="25">
                  <c:v>6.3312121212121203E-10</c:v>
                </c:pt>
                <c:pt idx="26">
                  <c:v>4.7798545472282182E-11</c:v>
                </c:pt>
                <c:pt idx="27">
                  <c:v>2.2761212594191502E-12</c:v>
                </c:pt>
                <c:pt idx="28">
                  <c:v>2.0692848484848481E-20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9.8105999999999776E-27</c:v>
                </c:pt>
                <c:pt idx="34">
                  <c:v>1.0627163521212051E-23</c:v>
                </c:pt>
                <c:pt idx="35">
                  <c:v>4.1835435642424169E-23</c:v>
                </c:pt>
                <c:pt idx="36">
                  <c:v>5.2605876363636189E-21</c:v>
                </c:pt>
                <c:pt idx="37">
                  <c:v>1.2432308623298038E-20</c:v>
                </c:pt>
                <c:pt idx="38">
                  <c:v>1.0540024205748888E-20</c:v>
                </c:pt>
                <c:pt idx="39">
                  <c:v>8.647739788199739E-21</c:v>
                </c:pt>
                <c:pt idx="40">
                  <c:v>6.7554553706505879E-21</c:v>
                </c:pt>
                <c:pt idx="41">
                  <c:v>4.8631709531014383E-21</c:v>
                </c:pt>
                <c:pt idx="42">
                  <c:v>2.970886535552288E-21</c:v>
                </c:pt>
                <c:pt idx="43">
                  <c:v>1.0786021180031377E-21</c:v>
                </c:pt>
                <c:pt idx="44">
                  <c:v>8.3181818181818497E-35</c:v>
                </c:pt>
                <c:pt idx="45">
                  <c:v>1.5000000000000312E-35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C7E1-45B2-856A-6D7DDF9AB301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4.7752284417549078E-33</c:v>
                </c:pt>
                <c:pt idx="12">
                  <c:v>1.4935288956127075E-32</c:v>
                </c:pt>
                <c:pt idx="13">
                  <c:v>2.5095349470499246E-32</c:v>
                </c:pt>
                <c:pt idx="14">
                  <c:v>3.5255409984871412E-32</c:v>
                </c:pt>
                <c:pt idx="15">
                  <c:v>4.5415470499243583E-32</c:v>
                </c:pt>
                <c:pt idx="16">
                  <c:v>5.5575531013615749E-32</c:v>
                </c:pt>
                <c:pt idx="17">
                  <c:v>6.573559152798792E-32</c:v>
                </c:pt>
                <c:pt idx="18">
                  <c:v>4.1267968606060713E-30</c:v>
                </c:pt>
                <c:pt idx="19">
                  <c:v>9.4366327272728209E-29</c:v>
                </c:pt>
                <c:pt idx="20">
                  <c:v>5.0632026666666759E-28</c:v>
                </c:pt>
                <c:pt idx="21">
                  <c:v>1.6155261939394003E-26</c:v>
                </c:pt>
                <c:pt idx="22">
                  <c:v>4.3776122545454608E-26</c:v>
                </c:pt>
                <c:pt idx="23">
                  <c:v>1.3641382530120496E-24</c:v>
                </c:pt>
                <c:pt idx="24">
                  <c:v>1.7886618181818183E-23</c:v>
                </c:pt>
                <c:pt idx="25">
                  <c:v>7.9631890909090907E-23</c:v>
                </c:pt>
                <c:pt idx="26">
                  <c:v>1.3894463636363638E-21</c:v>
                </c:pt>
                <c:pt idx="27">
                  <c:v>3.5313069696969699E-21</c:v>
                </c:pt>
                <c:pt idx="28">
                  <c:v>6.236659393939394E-20</c:v>
                </c:pt>
                <c:pt idx="29">
                  <c:v>4.7974181818181818E-19</c:v>
                </c:pt>
                <c:pt idx="30">
                  <c:v>1.7267478787878789E-18</c:v>
                </c:pt>
                <c:pt idx="31">
                  <c:v>1.0295169879518059E-17</c:v>
                </c:pt>
                <c:pt idx="32">
                  <c:v>2.2805892771084307E-17</c:v>
                </c:pt>
                <c:pt idx="33">
                  <c:v>1.3901239999999973E-16</c:v>
                </c:pt>
                <c:pt idx="34">
                  <c:v>5.4968242424242201E-16</c:v>
                </c:pt>
                <c:pt idx="35">
                  <c:v>1.5299248484848462E-15</c:v>
                </c:pt>
                <c:pt idx="36">
                  <c:v>6.948247272727256E-15</c:v>
                </c:pt>
                <c:pt idx="37">
                  <c:v>1.3806361270801109E-13</c:v>
                </c:pt>
                <c:pt idx="38">
                  <c:v>3.2380539304084641E-12</c:v>
                </c:pt>
                <c:pt idx="39">
                  <c:v>6.3380442481089176E-12</c:v>
                </c:pt>
                <c:pt idx="40">
                  <c:v>9.4380345658093712E-12</c:v>
                </c:pt>
                <c:pt idx="41">
                  <c:v>1.2538024883509825E-11</c:v>
                </c:pt>
                <c:pt idx="42">
                  <c:v>1.5638015201210277E-11</c:v>
                </c:pt>
                <c:pt idx="43">
                  <c:v>1.8738005518910729E-11</c:v>
                </c:pt>
                <c:pt idx="44">
                  <c:v>4.2522303030302796E-11</c:v>
                </c:pt>
                <c:pt idx="45">
                  <c:v>9.3725333333333104E-11</c:v>
                </c:pt>
                <c:pt idx="46">
                  <c:v>2.933670909090898E-10</c:v>
                </c:pt>
                <c:pt idx="47">
                  <c:v>6.4269187878787391E-10</c:v>
                </c:pt>
                <c:pt idx="48">
                  <c:v>1.7135524848484799E-9</c:v>
                </c:pt>
                <c:pt idx="49">
                  <c:v>4.4081349397590272E-9</c:v>
                </c:pt>
                <c:pt idx="50">
                  <c:v>8.8617493975903763E-9</c:v>
                </c:pt>
                <c:pt idx="51">
                  <c:v>2.3639480000000078E-8</c:v>
                </c:pt>
                <c:pt idx="52">
                  <c:v>3.7759624242424239E-8</c:v>
                </c:pt>
                <c:pt idx="53">
                  <c:v>3.7604472727272728E-8</c:v>
                </c:pt>
                <c:pt idx="54">
                  <c:v>3.7317272727272722E-8</c:v>
                </c:pt>
                <c:pt idx="55">
                  <c:v>3.6908181818181817E-8</c:v>
                </c:pt>
                <c:pt idx="56">
                  <c:v>3.6274472727272722E-8</c:v>
                </c:pt>
                <c:pt idx="57">
                  <c:v>3.5496290468986376E-8</c:v>
                </c:pt>
                <c:pt idx="58">
                  <c:v>3.4324883509833575E-8</c:v>
                </c:pt>
                <c:pt idx="59">
                  <c:v>3.3153476550680781E-8</c:v>
                </c:pt>
                <c:pt idx="60">
                  <c:v>3.198206959152798E-8</c:v>
                </c:pt>
                <c:pt idx="61">
                  <c:v>3.0810662632375186E-8</c:v>
                </c:pt>
                <c:pt idx="62">
                  <c:v>2.9639255673222385E-8</c:v>
                </c:pt>
                <c:pt idx="63">
                  <c:v>2.8467848714069588E-8</c:v>
                </c:pt>
                <c:pt idx="64">
                  <c:v>2.709193333333333E-8</c:v>
                </c:pt>
                <c:pt idx="65">
                  <c:v>2.5585266666666661E-8</c:v>
                </c:pt>
                <c:pt idx="66">
                  <c:v>2.4030638554216866E-8</c:v>
                </c:pt>
                <c:pt idx="67">
                  <c:v>2.2464454545454547E-8</c:v>
                </c:pt>
                <c:pt idx="68">
                  <c:v>2.0875969696969696E-8</c:v>
                </c:pt>
                <c:pt idx="69">
                  <c:v>1.9294575757575758E-8</c:v>
                </c:pt>
                <c:pt idx="70">
                  <c:v>1.7716999999999999E-8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C7E1-45B2-856A-6D7DDF9AB301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Ar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C7E1-45B2-856A-6D7DDF9AB301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3.0726733333333287E-34</c:v>
                </c:pt>
                <c:pt idx="9">
                  <c:v>5.8647963509090362E-31</c:v>
                </c:pt>
                <c:pt idx="10">
                  <c:v>5.4683230108484795E-30</c:v>
                </c:pt>
                <c:pt idx="11">
                  <c:v>5.8107217087170821E-22</c:v>
                </c:pt>
                <c:pt idx="12">
                  <c:v>1.817395921544069E-21</c:v>
                </c:pt>
                <c:pt idx="13">
                  <c:v>3.0537196722164296E-21</c:v>
                </c:pt>
                <c:pt idx="14">
                  <c:v>4.2900434228887903E-21</c:v>
                </c:pt>
                <c:pt idx="15">
                  <c:v>5.5263671735611517E-21</c:v>
                </c:pt>
                <c:pt idx="16">
                  <c:v>6.7626909242335124E-21</c:v>
                </c:pt>
                <c:pt idx="17">
                  <c:v>7.999014674905873E-21</c:v>
                </c:pt>
                <c:pt idx="18">
                  <c:v>3.9157727284848382E-21</c:v>
                </c:pt>
                <c:pt idx="19">
                  <c:v>5.1409745454548644E-24</c:v>
                </c:pt>
                <c:pt idx="20">
                  <c:v>1.5708533333352117E-24</c:v>
                </c:pt>
                <c:pt idx="21">
                  <c:v>1.6992109090909056E-36</c:v>
                </c:pt>
                <c:pt idx="22">
                  <c:v>1.4030181818181455E-37</c:v>
                </c:pt>
                <c:pt idx="23">
                  <c:v>0</c:v>
                </c:pt>
                <c:pt idx="24">
                  <c:v>4.9569696969696967E-29</c:v>
                </c:pt>
                <c:pt idx="25">
                  <c:v>2.4784848484848483E-28</c:v>
                </c:pt>
                <c:pt idx="26">
                  <c:v>2.0819272903956365E-28</c:v>
                </c:pt>
                <c:pt idx="27">
                  <c:v>9.9139441055030448E-30</c:v>
                </c:pt>
                <c:pt idx="28">
                  <c:v>2.0613090909090906E-36</c:v>
                </c:pt>
                <c:pt idx="29">
                  <c:v>0</c:v>
                </c:pt>
                <c:pt idx="30">
                  <c:v>0</c:v>
                </c:pt>
                <c:pt idx="31">
                  <c:v>2.0264728915662624E-36</c:v>
                </c:pt>
                <c:pt idx="32">
                  <c:v>5.1441234939758971E-36</c:v>
                </c:pt>
                <c:pt idx="33">
                  <c:v>6.9486000000000036E-22</c:v>
                </c:pt>
                <c:pt idx="34">
                  <c:v>4.560625279454515E-17</c:v>
                </c:pt>
                <c:pt idx="35">
                  <c:v>1.7973888424909059E-16</c:v>
                </c:pt>
                <c:pt idx="36">
                  <c:v>3.3358694981818071E-13</c:v>
                </c:pt>
                <c:pt idx="37">
                  <c:v>1.0592069591527839E-12</c:v>
                </c:pt>
                <c:pt idx="38">
                  <c:v>7.6043809379727524E-12</c:v>
                </c:pt>
                <c:pt idx="39">
                  <c:v>1.414955491679272E-11</c:v>
                </c:pt>
                <c:pt idx="40">
                  <c:v>2.069472889561269E-11</c:v>
                </c:pt>
                <c:pt idx="41">
                  <c:v>2.7239902874432658E-11</c:v>
                </c:pt>
                <c:pt idx="42">
                  <c:v>3.3785076853252623E-11</c:v>
                </c:pt>
                <c:pt idx="43">
                  <c:v>4.0330250832072591E-11</c:v>
                </c:pt>
                <c:pt idx="44">
                  <c:v>8.1494193939393535E-11</c:v>
                </c:pt>
                <c:pt idx="45">
                  <c:v>1.6854813333333293E-10</c:v>
                </c:pt>
                <c:pt idx="46">
                  <c:v>4.2458363636363501E-10</c:v>
                </c:pt>
                <c:pt idx="47">
                  <c:v>7.3908242424242254E-10</c:v>
                </c:pt>
                <c:pt idx="48">
                  <c:v>1.1258703030303014E-9</c:v>
                </c:pt>
                <c:pt idx="49">
                  <c:v>7.4568313253011812E-9</c:v>
                </c:pt>
                <c:pt idx="50">
                  <c:v>2.0227313253012093E-8</c:v>
                </c:pt>
                <c:pt idx="51">
                  <c:v>3.8813841634291128E-2</c:v>
                </c:pt>
                <c:pt idx="52">
                  <c:v>7.829665454545455E-2</c:v>
                </c:pt>
                <c:pt idx="53">
                  <c:v>7.9447563636363641E-2</c:v>
                </c:pt>
                <c:pt idx="54">
                  <c:v>0.08</c:v>
                </c:pt>
                <c:pt idx="55">
                  <c:v>0.08</c:v>
                </c:pt>
                <c:pt idx="56">
                  <c:v>0.08</c:v>
                </c:pt>
                <c:pt idx="57">
                  <c:v>0.08</c:v>
                </c:pt>
                <c:pt idx="58">
                  <c:v>0.08</c:v>
                </c:pt>
                <c:pt idx="59">
                  <c:v>0.08</c:v>
                </c:pt>
                <c:pt idx="60">
                  <c:v>0.08</c:v>
                </c:pt>
                <c:pt idx="61">
                  <c:v>0.08</c:v>
                </c:pt>
                <c:pt idx="62">
                  <c:v>0.08</c:v>
                </c:pt>
                <c:pt idx="63">
                  <c:v>0.08</c:v>
                </c:pt>
                <c:pt idx="64">
                  <c:v>0.08</c:v>
                </c:pt>
                <c:pt idx="65">
                  <c:v>0.08</c:v>
                </c:pt>
                <c:pt idx="66">
                  <c:v>0.08</c:v>
                </c:pt>
                <c:pt idx="67">
                  <c:v>0.08</c:v>
                </c:pt>
                <c:pt idx="68">
                  <c:v>0.08</c:v>
                </c:pt>
                <c:pt idx="69">
                  <c:v>0.08</c:v>
                </c:pt>
                <c:pt idx="70">
                  <c:v>0.08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C7E1-45B2-856A-6D7DDF9AB301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5.0933624242424188E-27</c:v>
                </c:pt>
                <c:pt idx="1">
                  <c:v>1.4913648484848473E-27</c:v>
                </c:pt>
                <c:pt idx="2">
                  <c:v>3.1706181818181696E-28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1.2169259036144594E-26</c:v>
                </c:pt>
                <c:pt idx="7">
                  <c:v>4.0469861445783111E-26</c:v>
                </c:pt>
                <c:pt idx="8">
                  <c:v>2.4067869172213292E-19</c:v>
                </c:pt>
                <c:pt idx="9">
                  <c:v>3.0690595272726992E-17</c:v>
                </c:pt>
                <c:pt idx="10">
                  <c:v>2.8214772254545429E-16</c:v>
                </c:pt>
                <c:pt idx="11">
                  <c:v>3.0954176518608111E-12</c:v>
                </c:pt>
                <c:pt idx="12">
                  <c:v>9.6805287834795737E-12</c:v>
                </c:pt>
                <c:pt idx="13">
                  <c:v>1.6265639915098336E-11</c:v>
                </c:pt>
                <c:pt idx="14">
                  <c:v>2.2850751046717101E-11</c:v>
                </c:pt>
                <c:pt idx="15">
                  <c:v>2.9435862178335862E-11</c:v>
                </c:pt>
                <c:pt idx="16">
                  <c:v>3.6020973309954626E-11</c:v>
                </c:pt>
                <c:pt idx="17">
                  <c:v>4.260608444157339E-11</c:v>
                </c:pt>
                <c:pt idx="18">
                  <c:v>2.0843000162424183E-11</c:v>
                </c:pt>
                <c:pt idx="19">
                  <c:v>3.8869527272727604E-15</c:v>
                </c:pt>
                <c:pt idx="20">
                  <c:v>1.1876800000002197E-15</c:v>
                </c:pt>
                <c:pt idx="21">
                  <c:v>2.0375733333333293E-28</c:v>
                </c:pt>
                <c:pt idx="22">
                  <c:v>1.6823999999999587E-29</c:v>
                </c:pt>
                <c:pt idx="23">
                  <c:v>3.2704084337349434E-31</c:v>
                </c:pt>
                <c:pt idx="24">
                  <c:v>8.4765156577042423E-24</c:v>
                </c:pt>
                <c:pt idx="25">
                  <c:v>4.2382575902201214E-23</c:v>
                </c:pt>
                <c:pt idx="26">
                  <c:v>3.5601363672702913E-23</c:v>
                </c:pt>
                <c:pt idx="27">
                  <c:v>1.6953031272077559E-24</c:v>
                </c:pt>
                <c:pt idx="28">
                  <c:v>4.2395818181818187E-32</c:v>
                </c:pt>
                <c:pt idx="29">
                  <c:v>0</c:v>
                </c:pt>
                <c:pt idx="30">
                  <c:v>0</c:v>
                </c:pt>
                <c:pt idx="31">
                  <c:v>1.9438132530120455E-34</c:v>
                </c:pt>
                <c:pt idx="32">
                  <c:v>4.934295180722885E-34</c:v>
                </c:pt>
                <c:pt idx="33">
                  <c:v>1.5739800000000163E-20</c:v>
                </c:pt>
                <c:pt idx="34">
                  <c:v>2.5866810013939223E-16</c:v>
                </c:pt>
                <c:pt idx="35">
                  <c:v>1.0193794740787861E-15</c:v>
                </c:pt>
                <c:pt idx="36">
                  <c:v>5.0075029818181656E-13</c:v>
                </c:pt>
                <c:pt idx="37">
                  <c:v>1.1916027534039337E-12</c:v>
                </c:pt>
                <c:pt idx="38">
                  <c:v>1.0891715885022697E-12</c:v>
                </c:pt>
                <c:pt idx="39">
                  <c:v>9.8674042360060542E-13</c:v>
                </c:pt>
                <c:pt idx="40">
                  <c:v>8.8430925869894138E-13</c:v>
                </c:pt>
                <c:pt idx="41">
                  <c:v>7.8187809379727724E-13</c:v>
                </c:pt>
                <c:pt idx="42">
                  <c:v>6.7944692889561309E-13</c:v>
                </c:pt>
                <c:pt idx="43">
                  <c:v>5.7701576399394905E-13</c:v>
                </c:pt>
                <c:pt idx="44">
                  <c:v>5.7356054545454484E-13</c:v>
                </c:pt>
                <c:pt idx="45">
                  <c:v>7.0130599999999948E-13</c:v>
                </c:pt>
                <c:pt idx="46">
                  <c:v>8.1780999999999942E-13</c:v>
                </c:pt>
                <c:pt idx="47">
                  <c:v>8.9348509090909166E-13</c:v>
                </c:pt>
                <c:pt idx="48">
                  <c:v>7.1713963636363711E-13</c:v>
                </c:pt>
                <c:pt idx="49">
                  <c:v>1.5676742168674661E-12</c:v>
                </c:pt>
                <c:pt idx="50">
                  <c:v>3.5306621686747056E-12</c:v>
                </c:pt>
                <c:pt idx="51">
                  <c:v>2.562477105284863E-6</c:v>
                </c:pt>
                <c:pt idx="52">
                  <c:v>5.0395593939393904E-6</c:v>
                </c:pt>
                <c:pt idx="53">
                  <c:v>4.3534381818181788E-6</c:v>
                </c:pt>
                <c:pt idx="54">
                  <c:v>3.730536363636361E-6</c:v>
                </c:pt>
                <c:pt idx="55">
                  <c:v>3.1659909090909063E-6</c:v>
                </c:pt>
                <c:pt idx="56">
                  <c:v>2.7262509090909071E-6</c:v>
                </c:pt>
                <c:pt idx="57">
                  <c:v>2.3494559152798783E-6</c:v>
                </c:pt>
                <c:pt idx="58">
                  <c:v>2.1297100756429644E-6</c:v>
                </c:pt>
                <c:pt idx="59">
                  <c:v>1.9099642360060506E-6</c:v>
                </c:pt>
                <c:pt idx="60">
                  <c:v>1.6902183963691369E-6</c:v>
                </c:pt>
                <c:pt idx="61">
                  <c:v>1.4704725567322233E-6</c:v>
                </c:pt>
                <c:pt idx="62">
                  <c:v>1.2507267170953094E-6</c:v>
                </c:pt>
                <c:pt idx="63">
                  <c:v>1.0309808774583957E-6</c:v>
                </c:pt>
                <c:pt idx="64">
                  <c:v>8.7883806060606028E-7</c:v>
                </c:pt>
                <c:pt idx="65">
                  <c:v>7.6991684848484817E-7</c:v>
                </c:pt>
                <c:pt idx="66">
                  <c:v>6.8465397590361432E-7</c:v>
                </c:pt>
                <c:pt idx="67">
                  <c:v>6.0574909090909088E-7</c:v>
                </c:pt>
                <c:pt idx="68">
                  <c:v>5.3937939393939392E-7</c:v>
                </c:pt>
                <c:pt idx="69">
                  <c:v>4.8222000000000004E-7</c:v>
                </c:pt>
                <c:pt idx="70">
                  <c:v>4.3001999999999998E-7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C7E1-45B2-856A-6D7DDF9AB301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2.40997515151515E-34</c:v>
                </c:pt>
                <c:pt idx="1">
                  <c:v>1.3060987878787867E-34</c:v>
                </c:pt>
                <c:pt idx="2">
                  <c:v>2.7767454545454423E-35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9.1994096385542283E-32</c:v>
                </c:pt>
                <c:pt idx="7">
                  <c:v>3.0593385542168653E-31</c:v>
                </c:pt>
                <c:pt idx="8">
                  <c:v>7.1843335227413237E-24</c:v>
                </c:pt>
                <c:pt idx="9">
                  <c:v>3.2474389999999696E-21</c:v>
                </c:pt>
                <c:pt idx="10">
                  <c:v>3.0181138999999976E-20</c:v>
                </c:pt>
                <c:pt idx="11">
                  <c:v>2.5326001960641405E-14</c:v>
                </c:pt>
                <c:pt idx="12">
                  <c:v>7.9211017927963675E-14</c:v>
                </c:pt>
                <c:pt idx="13">
                  <c:v>1.3309603389528592E-13</c:v>
                </c:pt>
                <c:pt idx="14">
                  <c:v>1.869810498626082E-13</c:v>
                </c:pt>
                <c:pt idx="15">
                  <c:v>2.4086606582993048E-13</c:v>
                </c:pt>
                <c:pt idx="16">
                  <c:v>2.9475108179725273E-13</c:v>
                </c:pt>
                <c:pt idx="17">
                  <c:v>3.4863609776457503E-13</c:v>
                </c:pt>
                <c:pt idx="18">
                  <c:v>1.7058277193939347E-13</c:v>
                </c:pt>
                <c:pt idx="19">
                  <c:v>8.054836363636547E-17</c:v>
                </c:pt>
                <c:pt idx="20">
                  <c:v>2.4612000000011159E-17</c:v>
                </c:pt>
                <c:pt idx="21">
                  <c:v>1.0168048484848464E-29</c:v>
                </c:pt>
                <c:pt idx="22">
                  <c:v>8.3956363636361568E-31</c:v>
                </c:pt>
                <c:pt idx="23">
                  <c:v>8.283192771084347E-32</c:v>
                </c:pt>
                <c:pt idx="24">
                  <c:v>4.55909103729697E-24</c:v>
                </c:pt>
                <c:pt idx="25">
                  <c:v>2.279545458208485E-23</c:v>
                </c:pt>
                <c:pt idx="26">
                  <c:v>1.9148181858258182E-23</c:v>
                </c:pt>
                <c:pt idx="27">
                  <c:v>9.1181828868848721E-25</c:v>
                </c:pt>
                <c:pt idx="28">
                  <c:v>4.6755757575757586E-32</c:v>
                </c:pt>
                <c:pt idx="29">
                  <c:v>0</c:v>
                </c:pt>
                <c:pt idx="30">
                  <c:v>0</c:v>
                </c:pt>
                <c:pt idx="31">
                  <c:v>1.5383072289156606E-33</c:v>
                </c:pt>
                <c:pt idx="32">
                  <c:v>3.9049337349397536E-33</c:v>
                </c:pt>
                <c:pt idx="33">
                  <c:v>2.2770600000000107E-19</c:v>
                </c:pt>
                <c:pt idx="34">
                  <c:v>6.6816103988484406E-15</c:v>
                </c:pt>
                <c:pt idx="35">
                  <c:v>2.6332289483696925E-14</c:v>
                </c:pt>
                <c:pt idx="36">
                  <c:v>2.2579773963636287E-11</c:v>
                </c:pt>
                <c:pt idx="37">
                  <c:v>5.4712481089258651E-11</c:v>
                </c:pt>
                <c:pt idx="38">
                  <c:v>7.3774508320726124E-11</c:v>
                </c:pt>
                <c:pt idx="39">
                  <c:v>9.2836535552193591E-11</c:v>
                </c:pt>
                <c:pt idx="40">
                  <c:v>1.1189856278366106E-10</c:v>
                </c:pt>
                <c:pt idx="41">
                  <c:v>1.3096059001512851E-10</c:v>
                </c:pt>
                <c:pt idx="42">
                  <c:v>1.50022617246596E-10</c:v>
                </c:pt>
                <c:pt idx="43">
                  <c:v>1.6908464447806347E-10</c:v>
                </c:pt>
                <c:pt idx="44">
                  <c:v>2.3839090909090851E-10</c:v>
                </c:pt>
                <c:pt idx="45">
                  <c:v>3.7429999999999942E-10</c:v>
                </c:pt>
                <c:pt idx="46">
                  <c:v>5.9094618181818068E-10</c:v>
                </c:pt>
                <c:pt idx="47">
                  <c:v>8.0298321212121202E-10</c:v>
                </c:pt>
                <c:pt idx="48">
                  <c:v>8.317771515151514E-10</c:v>
                </c:pt>
                <c:pt idx="49">
                  <c:v>2.9317572289156548E-9</c:v>
                </c:pt>
                <c:pt idx="50">
                  <c:v>7.2755222891566424E-9</c:v>
                </c:pt>
                <c:pt idx="51">
                  <c:v>8.0464404167527731E-3</c:v>
                </c:pt>
                <c:pt idx="52">
                  <c:v>1.6471036363636372E-2</c:v>
                </c:pt>
                <c:pt idx="53">
                  <c:v>1.8118309090909099E-2</c:v>
                </c:pt>
                <c:pt idx="54">
                  <c:v>1.9728709090909097E-2</c:v>
                </c:pt>
                <c:pt idx="55">
                  <c:v>2.1305072727272736E-2</c:v>
                </c:pt>
                <c:pt idx="56">
                  <c:v>2.3051218181818191E-2</c:v>
                </c:pt>
                <c:pt idx="57">
                  <c:v>2.4966391830559768E-2</c:v>
                </c:pt>
                <c:pt idx="58">
                  <c:v>2.7390900151285941E-2</c:v>
                </c:pt>
                <c:pt idx="59">
                  <c:v>2.9815408472012112E-2</c:v>
                </c:pt>
                <c:pt idx="60">
                  <c:v>3.2239916792738285E-2</c:v>
                </c:pt>
                <c:pt idx="61">
                  <c:v>3.4664425113464459E-2</c:v>
                </c:pt>
                <c:pt idx="62">
                  <c:v>3.7088933434190632E-2</c:v>
                </c:pt>
                <c:pt idx="63">
                  <c:v>3.9513441754916799E-2</c:v>
                </c:pt>
                <c:pt idx="64">
                  <c:v>4.2487527272727282E-2</c:v>
                </c:pt>
                <c:pt idx="65">
                  <c:v>4.5812981818181824E-2</c:v>
                </c:pt>
                <c:pt idx="66">
                  <c:v>4.9596891566265067E-2</c:v>
                </c:pt>
                <c:pt idx="67">
                  <c:v>5.3589181818181821E-2</c:v>
                </c:pt>
                <c:pt idx="68">
                  <c:v>5.8023121212121213E-2</c:v>
                </c:pt>
                <c:pt idx="69">
                  <c:v>6.2943575757575768E-2</c:v>
                </c:pt>
                <c:pt idx="70">
                  <c:v>6.8126000000000006E-2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C7E1-45B2-856A-6D7DDF9AB301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>
                  <c:v>-18.618363636363636</c:v>
                </c:pt>
                <c:pt idx="3">
                  <c:v>-18.624424242424244</c:v>
                </c:pt>
                <c:pt idx="4">
                  <c:v>-18.630969696969697</c:v>
                </c:pt>
                <c:pt idx="5">
                  <c:v>-18.643090909090908</c:v>
                </c:pt>
                <c:pt idx="6">
                  <c:v>-18.655180722891565</c:v>
                </c:pt>
                <c:pt idx="7">
                  <c:v>-18.667228915662651</c:v>
                </c:pt>
                <c:pt idx="8">
                  <c:v>-18.679333333333336</c:v>
                </c:pt>
                <c:pt idx="9">
                  <c:v>-18.692181818181819</c:v>
                </c:pt>
                <c:pt idx="10">
                  <c:v>-18.710363636363635</c:v>
                </c:pt>
                <c:pt idx="11">
                  <c:v>-18.728532526475036</c:v>
                </c:pt>
                <c:pt idx="12">
                  <c:v>-18.746686838124052</c:v>
                </c:pt>
                <c:pt idx="13">
                  <c:v>-18.764841149773069</c:v>
                </c:pt>
                <c:pt idx="14">
                  <c:v>-18.782995461422086</c:v>
                </c:pt>
                <c:pt idx="15">
                  <c:v>-18.801149773071103</c:v>
                </c:pt>
                <c:pt idx="16">
                  <c:v>-18.81930408472012</c:v>
                </c:pt>
                <c:pt idx="17">
                  <c:v>-18.837458396369136</c:v>
                </c:pt>
                <c:pt idx="18">
                  <c:v>-18.855636363636364</c:v>
                </c:pt>
                <c:pt idx="19">
                  <c:v>-18.873818181818184</c:v>
                </c:pt>
                <c:pt idx="20">
                  <c:v>-18.891999999999999</c:v>
                </c:pt>
                <c:pt idx="21">
                  <c:v>-18.913575757575757</c:v>
                </c:pt>
                <c:pt idx="22">
                  <c:v>-18.937818181818184</c:v>
                </c:pt>
                <c:pt idx="23">
                  <c:v>-18.95644578313253</c:v>
                </c:pt>
                <c:pt idx="24">
                  <c:v>-18.976060606060607</c:v>
                </c:pt>
                <c:pt idx="25">
                  <c:v>-19.00030303030303</c:v>
                </c:pt>
                <c:pt idx="26">
                  <c:v>-19.020909090909093</c:v>
                </c:pt>
                <c:pt idx="27">
                  <c:v>-19.039090909090909</c:v>
                </c:pt>
                <c:pt idx="28">
                  <c:v>-19.057272727272728</c:v>
                </c:pt>
                <c:pt idx="29">
                  <c:v>-19.077272727272728</c:v>
                </c:pt>
                <c:pt idx="30">
                  <c:v>-19.101515151515152</c:v>
                </c:pt>
                <c:pt idx="31">
                  <c:v>-19.121746987951806</c:v>
                </c:pt>
                <c:pt idx="32">
                  <c:v>-19.139819277108433</c:v>
                </c:pt>
                <c:pt idx="33">
                  <c:v>-19.164000000000001</c:v>
                </c:pt>
                <c:pt idx="34">
                  <c:v>-19.186181818181819</c:v>
                </c:pt>
                <c:pt idx="35">
                  <c:v>-19.204363636363638</c:v>
                </c:pt>
                <c:pt idx="36">
                  <c:v>-19.226727272727274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C7E1-45B2-856A-6D7DDF9AB301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-60.144848484848481</c:v>
                </c:pt>
                <c:pt idx="1">
                  <c:v>-58.339757575757574</c:v>
                </c:pt>
                <c:pt idx="2">
                  <c:v>-56.654909090909094</c:v>
                </c:pt>
                <c:pt idx="3">
                  <c:v>-55.098363636363636</c:v>
                </c:pt>
                <c:pt idx="4">
                  <c:v>-53.546121212121207</c:v>
                </c:pt>
                <c:pt idx="5">
                  <c:v>-51.49763636363636</c:v>
                </c:pt>
                <c:pt idx="6">
                  <c:v>-49.457048192771083</c:v>
                </c:pt>
                <c:pt idx="7">
                  <c:v>-47.426927710843373</c:v>
                </c:pt>
                <c:pt idx="8">
                  <c:v>-45.513333333333335</c:v>
                </c:pt>
                <c:pt idx="9">
                  <c:v>-43.650545454545458</c:v>
                </c:pt>
                <c:pt idx="10">
                  <c:v>-41.905090909090909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-17.45843373493976</c:v>
                </c:pt>
                <c:pt idx="32">
                  <c:v>-16.856024096385546</c:v>
                </c:pt>
                <c:pt idx="33">
                  <c:v>-16.28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-8.0158121212121198</c:v>
                </c:pt>
                <c:pt idx="52">
                  <c:v>-7.7234484848484852</c:v>
                </c:pt>
                <c:pt idx="53">
                  <c:v>-7.7731454545454541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-8.5329090909090901</c:v>
                </c:pt>
                <c:pt idx="68">
                  <c:v>-8.5959393939393944</c:v>
                </c:pt>
                <c:pt idx="69">
                  <c:v>-8.6605454545454545</c:v>
                </c:pt>
                <c:pt idx="70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C7E1-45B2-856A-6D7DDF9AB301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-15.300424242424242</c:v>
                </c:pt>
                <c:pt idx="1">
                  <c:v>-14.974848484848485</c:v>
                </c:pt>
                <c:pt idx="2">
                  <c:v>-14.671818181818182</c:v>
                </c:pt>
                <c:pt idx="3">
                  <c:v>-14.399757575757576</c:v>
                </c:pt>
                <c:pt idx="4">
                  <c:v>-14.105212121212121</c:v>
                </c:pt>
                <c:pt idx="5">
                  <c:v>-13.420363636363636</c:v>
                </c:pt>
                <c:pt idx="6">
                  <c:v>-12.711385542168674</c:v>
                </c:pt>
                <c:pt idx="7">
                  <c:v>-11.970421686746988</c:v>
                </c:pt>
                <c:pt idx="8">
                  <c:v>-11.272666666666668</c:v>
                </c:pt>
                <c:pt idx="9">
                  <c:v>-10.593127272727273</c:v>
                </c:pt>
                <c:pt idx="10">
                  <c:v>-9.9525212121212121</c:v>
                </c:pt>
                <c:pt idx="11">
                  <c:v>-9.3588018154311658</c:v>
                </c:pt>
                <c:pt idx="12">
                  <c:v>-8.8179546142208771</c:v>
                </c:pt>
                <c:pt idx="13">
                  <c:v>-8.2771074130105902</c:v>
                </c:pt>
                <c:pt idx="14">
                  <c:v>-7.7362602118003023</c:v>
                </c:pt>
                <c:pt idx="15">
                  <c:v>-7.1954130105900145</c:v>
                </c:pt>
                <c:pt idx="16">
                  <c:v>-6.6545658093797275</c:v>
                </c:pt>
                <c:pt idx="17">
                  <c:v>-6.1137186081694388</c:v>
                </c:pt>
                <c:pt idx="18">
                  <c:v>-5.6392727272727265</c:v>
                </c:pt>
                <c:pt idx="19">
                  <c:v>-5.1809818181818166</c:v>
                </c:pt>
                <c:pt idx="20">
                  <c:v>-4.742799999999999</c:v>
                </c:pt>
                <c:pt idx="21">
                  <c:v>-4.4023636363636358</c:v>
                </c:pt>
                <c:pt idx="22">
                  <c:v>-4.1387272727272721</c:v>
                </c:pt>
                <c:pt idx="23">
                  <c:v>-4.1369277108433735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-4.3330542168674695</c:v>
                </c:pt>
                <c:pt idx="32">
                  <c:v>-4.3577530120481924</c:v>
                </c:pt>
                <c:pt idx="33">
                  <c:v>-4.3826000000000001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-5.1835454545454542</c:v>
                </c:pt>
                <c:pt idx="68">
                  <c:v>-5.2053636363636366</c:v>
                </c:pt>
                <c:pt idx="69">
                  <c:v>-5.2271818181818182</c:v>
                </c:pt>
                <c:pt idx="70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C7E1-45B2-856A-6D7DDF9AB301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  <c:pt idx="0">
                  <c:v>-21.792000000000002</c:v>
                </c:pt>
                <c:pt idx="1">
                  <c:v>-21.217333333333332</c:v>
                </c:pt>
                <c:pt idx="2">
                  <c:v>-20.683999999999997</c:v>
                </c:pt>
                <c:pt idx="3">
                  <c:v>-20.194909090909089</c:v>
                </c:pt>
                <c:pt idx="4">
                  <c:v>-19.761939393939397</c:v>
                </c:pt>
                <c:pt idx="5">
                  <c:v>-19.78618181818182</c:v>
                </c:pt>
                <c:pt idx="6">
                  <c:v>-19.862168674698797</c:v>
                </c:pt>
                <c:pt idx="7">
                  <c:v>-20.006746987951807</c:v>
                </c:pt>
                <c:pt idx="8">
                  <c:v>-20.152000000000001</c:v>
                </c:pt>
                <c:pt idx="9">
                  <c:v>-20.298181818181821</c:v>
                </c:pt>
                <c:pt idx="10">
                  <c:v>-20.449696969696969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-23.573975903614457</c:v>
                </c:pt>
                <c:pt idx="32">
                  <c:v>-23.718554216867467</c:v>
                </c:pt>
                <c:pt idx="33">
                  <c:v>-23.858000000000001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C7E1-45B2-856A-6D7DDF9AB301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C7E1-45B2-856A-6D7DDF9AB301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C7E1-45B2-856A-6D7DDF9AB301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C7E1-45B2-856A-6D7DDF9AB301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C7E1-45B2-856A-6D7DDF9AB301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C7E1-45B2-856A-6D7DDF9AB301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C7E1-45B2-856A-6D7DDF9AB301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C7E1-45B2-856A-6D7DDF9AB301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C7E1-45B2-856A-6D7DDF9AB301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C7E1-45B2-856A-6D7DDF9AB301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C7E1-45B2-856A-6D7DDF9AB301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C7E1-45B2-856A-6D7DDF9AB301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C7E1-45B2-856A-6D7DDF9AB301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  <c:pt idx="0">
                  <c:v>end1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C7E1-45B2-856A-6D7DDF9AB301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C7E1-45B2-856A-6D7DDF9AB301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C7E1-45B2-856A-6D7DDF9AB301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1.6735315156149013E-23</c:v>
                </c:pt>
                <c:pt idx="1">
                  <c:v>3.0091301472727363E-20</c:v>
                </c:pt>
                <c:pt idx="2">
                  <c:v>1.0920838692727282E-19</c:v>
                </c:pt>
                <c:pt idx="3">
                  <c:v>2.2640414545454577E-18</c:v>
                </c:pt>
                <c:pt idx="4">
                  <c:v>1.2732251739788308E-17</c:v>
                </c:pt>
                <c:pt idx="5">
                  <c:v>1.0997539848714078E-16</c:v>
                </c:pt>
                <c:pt idx="6">
                  <c:v>2.0721854523449323E-16</c:v>
                </c:pt>
                <c:pt idx="7">
                  <c:v>3.044616919818457E-16</c:v>
                </c:pt>
                <c:pt idx="8">
                  <c:v>4.0170483872919815E-16</c:v>
                </c:pt>
                <c:pt idx="9">
                  <c:v>4.989479854765506E-16</c:v>
                </c:pt>
                <c:pt idx="10">
                  <c:v>5.9619113222390305E-16</c:v>
                </c:pt>
                <c:pt idx="11">
                  <c:v>2.0334523636363604E-15</c:v>
                </c:pt>
                <c:pt idx="12">
                  <c:v>4.9817978181818147E-15</c:v>
                </c:pt>
                <c:pt idx="13">
                  <c:v>1.0748446969696955E-13</c:v>
                </c:pt>
                <c:pt idx="14">
                  <c:v>3.6167728915662492E-12</c:v>
                </c:pt>
                <c:pt idx="15">
                  <c:v>2.3652495783132553E-11</c:v>
                </c:pt>
                <c:pt idx="16">
                  <c:v>5.6734109090909323E-10</c:v>
                </c:pt>
                <c:pt idx="17">
                  <c:v>1.6141471515151537E-9</c:v>
                </c:pt>
                <c:pt idx="18">
                  <c:v>3.6844939393939443E-9</c:v>
                </c:pt>
                <c:pt idx="19">
                  <c:v>5.7876490909090949E-9</c:v>
                </c:pt>
                <c:pt idx="20">
                  <c:v>7.3874066666666711E-9</c:v>
                </c:pt>
                <c:pt idx="21">
                  <c:v>8.8368466666666702E-9</c:v>
                </c:pt>
                <c:pt idx="22">
                  <c:v>1.0168180000000002E-8</c:v>
                </c:pt>
                <c:pt idx="23">
                  <c:v>1.3718042168674703E-8</c:v>
                </c:pt>
                <c:pt idx="24">
                  <c:v>1.686969696969697E-8</c:v>
                </c:pt>
                <c:pt idx="25">
                  <c:v>1.8168484848484851E-8</c:v>
                </c:pt>
                <c:pt idx="26">
                  <c:v>1.7813454545454547E-8</c:v>
                </c:pt>
                <c:pt idx="27">
                  <c:v>1.6355878787878789E-8</c:v>
                </c:pt>
                <c:pt idx="28">
                  <c:v>1.3967878787878787E-8</c:v>
                </c:pt>
                <c:pt idx="29">
                  <c:v>1.2826181818181817E-8</c:v>
                </c:pt>
                <c:pt idx="30">
                  <c:v>1.4706787878787877E-8</c:v>
                </c:pt>
                <c:pt idx="31">
                  <c:v>1.6280873493975901E-8</c:v>
                </c:pt>
                <c:pt idx="32">
                  <c:v>1.7689909638554213E-8</c:v>
                </c:pt>
                <c:pt idx="33">
                  <c:v>1.8416199999999999E-8</c:v>
                </c:pt>
                <c:pt idx="34">
                  <c:v>1.8968066666666667E-8</c:v>
                </c:pt>
                <c:pt idx="35">
                  <c:v>1.9194733333333334E-8</c:v>
                </c:pt>
                <c:pt idx="36">
                  <c:v>1.926458181818182E-8</c:v>
                </c:pt>
                <c:pt idx="37">
                  <c:v>1.9265597579425112E-8</c:v>
                </c:pt>
                <c:pt idx="38">
                  <c:v>1.930553706505295E-8</c:v>
                </c:pt>
                <c:pt idx="39">
                  <c:v>1.9345476550680787E-8</c:v>
                </c:pt>
                <c:pt idx="40">
                  <c:v>1.9385416036308625E-8</c:v>
                </c:pt>
                <c:pt idx="41">
                  <c:v>1.9425355521936462E-8</c:v>
                </c:pt>
                <c:pt idx="42">
                  <c:v>1.9465295007564296E-8</c:v>
                </c:pt>
                <c:pt idx="43">
                  <c:v>1.9505234493192133E-8</c:v>
                </c:pt>
                <c:pt idx="44">
                  <c:v>1.9223812405446296E-8</c:v>
                </c:pt>
                <c:pt idx="45">
                  <c:v>1.851639939485628E-8</c:v>
                </c:pt>
                <c:pt idx="46">
                  <c:v>1.7808986384266264E-8</c:v>
                </c:pt>
                <c:pt idx="47">
                  <c:v>1.7101573373676247E-8</c:v>
                </c:pt>
                <c:pt idx="48">
                  <c:v>1.6394160363086231E-8</c:v>
                </c:pt>
                <c:pt idx="49">
                  <c:v>1.5686747352496217E-8</c:v>
                </c:pt>
                <c:pt idx="50">
                  <c:v>1.4979334341906198E-8</c:v>
                </c:pt>
                <c:pt idx="51">
                  <c:v>1.5298527272727276E-8</c:v>
                </c:pt>
                <c:pt idx="52">
                  <c:v>1.584307272727273E-8</c:v>
                </c:pt>
                <c:pt idx="53">
                  <c:v>1.6387618181818185E-8</c:v>
                </c:pt>
                <c:pt idx="54">
                  <c:v>1.6932163636363639E-8</c:v>
                </c:pt>
                <c:pt idx="55">
                  <c:v>1.7476709090909093E-8</c:v>
                </c:pt>
                <c:pt idx="56">
                  <c:v>1.8021254545454547E-8</c:v>
                </c:pt>
                <c:pt idx="57">
                  <c:v>1.9184590361445798E-8</c:v>
                </c:pt>
                <c:pt idx="58">
                  <c:v>2.2541819277108446E-8</c:v>
                </c:pt>
                <c:pt idx="59">
                  <c:v>2.5591751515151521E-8</c:v>
                </c:pt>
                <c:pt idx="60">
                  <c:v>2.8400236363636368E-8</c:v>
                </c:pt>
                <c:pt idx="61">
                  <c:v>2.3413054545454533E-8</c:v>
                </c:pt>
                <c:pt idx="62">
                  <c:v>1.9415151515151516E-8</c:v>
                </c:pt>
                <c:pt idx="63">
                  <c:v>2.0427272727272728E-8</c:v>
                </c:pt>
                <c:pt idx="64">
                  <c:v>2.1302236363636366E-8</c:v>
                </c:pt>
                <c:pt idx="65">
                  <c:v>2.2089509090909092E-8</c:v>
                </c:pt>
                <c:pt idx="66">
                  <c:v>2.2701626506024097E-8</c:v>
                </c:pt>
                <c:pt idx="67">
                  <c:v>2.3236818181818183E-8</c:v>
                </c:pt>
                <c:pt idx="68">
                  <c:v>2.3609545454545456E-8</c:v>
                </c:pt>
                <c:pt idx="69">
                  <c:v>2.3866454545454545E-8</c:v>
                </c:pt>
                <c:pt idx="70">
                  <c:v>2.4061E-8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C7E1-45B2-856A-6D7DDF9AB301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3.2555735757575792E-9</c:v>
                </c:pt>
                <c:pt idx="1">
                  <c:v>6.4679496969697017E-9</c:v>
                </c:pt>
                <c:pt idx="2">
                  <c:v>1.0333343636363642E-8</c:v>
                </c:pt>
                <c:pt idx="3">
                  <c:v>1.3194036363636367E-8</c:v>
                </c:pt>
                <c:pt idx="4">
                  <c:v>1.5618608169440246E-8</c:v>
                </c:pt>
                <c:pt idx="5">
                  <c:v>1.7301210287443269E-8</c:v>
                </c:pt>
                <c:pt idx="6">
                  <c:v>1.8983812405446296E-8</c:v>
                </c:pt>
                <c:pt idx="7">
                  <c:v>2.0666414523449319E-8</c:v>
                </c:pt>
                <c:pt idx="8">
                  <c:v>2.2349016641452346E-8</c:v>
                </c:pt>
                <c:pt idx="9">
                  <c:v>2.4031618759455369E-8</c:v>
                </c:pt>
                <c:pt idx="10">
                  <c:v>2.5714220877458396E-8</c:v>
                </c:pt>
                <c:pt idx="11">
                  <c:v>2.567938787878788E-8</c:v>
                </c:pt>
                <c:pt idx="12">
                  <c:v>2.3707872727272731E-8</c:v>
                </c:pt>
                <c:pt idx="13">
                  <c:v>1.9535278787878792E-8</c:v>
                </c:pt>
                <c:pt idx="14">
                  <c:v>1.4790082530120485E-8</c:v>
                </c:pt>
                <c:pt idx="15">
                  <c:v>9.6082150602409582E-9</c:v>
                </c:pt>
                <c:pt idx="16">
                  <c:v>5.0340949090908996E-9</c:v>
                </c:pt>
                <c:pt idx="17">
                  <c:v>1.0438888484848395E-9</c:v>
                </c:pt>
                <c:pt idx="18">
                  <c:v>2.3246483987878717E-10</c:v>
                </c:pt>
                <c:pt idx="19">
                  <c:v>2.1471726774181785E-13</c:v>
                </c:pt>
                <c:pt idx="20">
                  <c:v>6.5609018893332971E-14</c:v>
                </c:pt>
                <c:pt idx="21">
                  <c:v>9.1784613702739211E-19</c:v>
                </c:pt>
                <c:pt idx="22">
                  <c:v>7.5785667433452768E-20</c:v>
                </c:pt>
                <c:pt idx="23">
                  <c:v>1.0173344210858421E-25</c:v>
                </c:pt>
                <c:pt idx="24">
                  <c:v>1.2960606060606063E-32</c:v>
                </c:pt>
                <c:pt idx="25">
                  <c:v>3.7030303030303034E-33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C7E1-45B2-856A-6D7DDF9AB301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C7E1-45B2-856A-6D7DDF9AB301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(DGeSe2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0.10389327878787878</c:v>
                </c:pt>
                <c:pt idx="1">
                  <c:v>9.3476199999999982E-2</c:v>
                </c:pt>
                <c:pt idx="2">
                  <c:v>7.9316199999999989E-2</c:v>
                </c:pt>
                <c:pt idx="3">
                  <c:v>6.3278109090909071E-2</c:v>
                </c:pt>
                <c:pt idx="4">
                  <c:v>4.7338432677760965E-2</c:v>
                </c:pt>
                <c:pt idx="5">
                  <c:v>4.0518841149773069E-2</c:v>
                </c:pt>
                <c:pt idx="6">
                  <c:v>3.3699249621785173E-2</c:v>
                </c:pt>
                <c:pt idx="7">
                  <c:v>2.6879658093797276E-2</c:v>
                </c:pt>
                <c:pt idx="8">
                  <c:v>2.006006656580938E-2</c:v>
                </c:pt>
                <c:pt idx="9">
                  <c:v>1.3240475037821484E-2</c:v>
                </c:pt>
                <c:pt idx="10">
                  <c:v>6.4208835098335873E-3</c:v>
                </c:pt>
                <c:pt idx="11">
                  <c:v>2.4000496969696977E-3</c:v>
                </c:pt>
                <c:pt idx="12">
                  <c:v>1.5352618181818192E-3</c:v>
                </c:pt>
                <c:pt idx="13">
                  <c:v>1.0426595151515157E-3</c:v>
                </c:pt>
                <c:pt idx="14">
                  <c:v>6.671675903614459E-4</c:v>
                </c:pt>
                <c:pt idx="15">
                  <c:v>4.645651807228913E-4</c:v>
                </c:pt>
                <c:pt idx="16">
                  <c:v>3.1076018181818159E-4</c:v>
                </c:pt>
                <c:pt idx="17">
                  <c:v>2.0383896969696945E-4</c:v>
                </c:pt>
                <c:pt idx="18">
                  <c:v>1.3877838787878773E-4</c:v>
                </c:pt>
                <c:pt idx="19">
                  <c:v>8.6257054545454468E-5</c:v>
                </c:pt>
                <c:pt idx="20">
                  <c:v>5.5271599999999927E-5</c:v>
                </c:pt>
                <c:pt idx="21">
                  <c:v>3.3232909090909054E-5</c:v>
                </c:pt>
                <c:pt idx="22">
                  <c:v>1.8223818181818145E-5</c:v>
                </c:pt>
                <c:pt idx="23">
                  <c:v>1.1076025903614452E-5</c:v>
                </c:pt>
                <c:pt idx="24">
                  <c:v>5.6845272727272729E-6</c:v>
                </c:pt>
                <c:pt idx="25">
                  <c:v>3.2294363636363638E-6</c:v>
                </c:pt>
                <c:pt idx="26">
                  <c:v>1.7186363636363636E-6</c:v>
                </c:pt>
                <c:pt idx="27">
                  <c:v>8.3736363636363636E-7</c:v>
                </c:pt>
                <c:pt idx="28">
                  <c:v>4.9969242424242433E-7</c:v>
                </c:pt>
                <c:pt idx="29">
                  <c:v>2.5067727272727273E-7</c:v>
                </c:pt>
                <c:pt idx="30">
                  <c:v>1.4176818181818184E-7</c:v>
                </c:pt>
                <c:pt idx="31">
                  <c:v>7.8348554216867519E-8</c:v>
                </c:pt>
                <c:pt idx="32">
                  <c:v>3.9423253012048289E-8</c:v>
                </c:pt>
                <c:pt idx="33">
                  <c:v>2.4707800000000034E-8</c:v>
                </c:pt>
                <c:pt idx="34">
                  <c:v>1.3283847272727287E-8</c:v>
                </c:pt>
                <c:pt idx="35">
                  <c:v>7.7745745454545592E-9</c:v>
                </c:pt>
                <c:pt idx="36">
                  <c:v>4.5754218181818237E-9</c:v>
                </c:pt>
                <c:pt idx="37">
                  <c:v>2.4860376520423605E-9</c:v>
                </c:pt>
                <c:pt idx="38">
                  <c:v>2.1219789531013622E-9</c:v>
                </c:pt>
                <c:pt idx="39">
                  <c:v>1.7579202541603642E-9</c:v>
                </c:pt>
                <c:pt idx="40">
                  <c:v>1.3938615552193656E-9</c:v>
                </c:pt>
                <c:pt idx="41">
                  <c:v>1.0298028562783674E-9</c:v>
                </c:pt>
                <c:pt idx="42">
                  <c:v>6.6574415733736903E-10</c:v>
                </c:pt>
                <c:pt idx="43">
                  <c:v>3.0168545839637065E-10</c:v>
                </c:pt>
                <c:pt idx="44">
                  <c:v>8.8383159152798849E-11</c:v>
                </c:pt>
                <c:pt idx="45">
                  <c:v>7.4920738577912292E-11</c:v>
                </c:pt>
                <c:pt idx="46">
                  <c:v>6.1458318003025735E-11</c:v>
                </c:pt>
                <c:pt idx="47">
                  <c:v>4.7995897428139184E-11</c:v>
                </c:pt>
                <c:pt idx="48">
                  <c:v>3.4533476853252621E-11</c:v>
                </c:pt>
                <c:pt idx="49">
                  <c:v>2.1071056278366077E-11</c:v>
                </c:pt>
                <c:pt idx="50">
                  <c:v>7.60863570347952E-12</c:v>
                </c:pt>
                <c:pt idx="51">
                  <c:v>4.591056545454542E-12</c:v>
                </c:pt>
                <c:pt idx="52">
                  <c:v>3.8662474545454517E-12</c:v>
                </c:pt>
                <c:pt idx="53">
                  <c:v>3.1414383636363602E-12</c:v>
                </c:pt>
                <c:pt idx="54">
                  <c:v>2.4166292727272695E-12</c:v>
                </c:pt>
                <c:pt idx="55">
                  <c:v>1.6918201818181784E-12</c:v>
                </c:pt>
                <c:pt idx="56">
                  <c:v>9.6701109090908733E-13</c:v>
                </c:pt>
                <c:pt idx="57">
                  <c:v>3.774401204819272E-13</c:v>
                </c:pt>
                <c:pt idx="58">
                  <c:v>2.6734975903614426E-13</c:v>
                </c:pt>
                <c:pt idx="59">
                  <c:v>1.854593333333332E-13</c:v>
                </c:pt>
                <c:pt idx="60">
                  <c:v>1.2572599999999987E-13</c:v>
                </c:pt>
                <c:pt idx="61">
                  <c:v>9.0792096969696904E-14</c:v>
                </c:pt>
                <c:pt idx="62">
                  <c:v>6.2127999999999965E-14</c:v>
                </c:pt>
                <c:pt idx="63">
                  <c:v>4.4327999999999961E-14</c:v>
                </c:pt>
                <c:pt idx="64">
                  <c:v>3.1382121212121193E-14</c:v>
                </c:pt>
                <c:pt idx="65">
                  <c:v>2.153969696969695E-14</c:v>
                </c:pt>
                <c:pt idx="66">
                  <c:v>1.5904168674698789E-14</c:v>
                </c:pt>
                <c:pt idx="67">
                  <c:v>1.1152854545454546E-14</c:v>
                </c:pt>
                <c:pt idx="68">
                  <c:v>8.0557030303030312E-15</c:v>
                </c:pt>
                <c:pt idx="69">
                  <c:v>5.8255333333333333E-15</c:v>
                </c:pt>
                <c:pt idx="70">
                  <c:v>4.0621999999999996E-15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C7E1-45B2-856A-6D7DDF9AB301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(DGeSe</c:v>
                </c:pt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0.1361048484848485</c:v>
                </c:pt>
                <c:pt idx="1">
                  <c:v>0.14651987878787881</c:v>
                </c:pt>
                <c:pt idx="2">
                  <c:v>0.16067745454545457</c:v>
                </c:pt>
                <c:pt idx="3">
                  <c:v>0.17670648484848486</c:v>
                </c:pt>
                <c:pt idx="4">
                  <c:v>0.19260582450832076</c:v>
                </c:pt>
                <c:pt idx="5">
                  <c:v>0.19905363086232983</c:v>
                </c:pt>
                <c:pt idx="6">
                  <c:v>0.2055014372163389</c:v>
                </c:pt>
                <c:pt idx="7">
                  <c:v>0.21194924357034797</c:v>
                </c:pt>
                <c:pt idx="8">
                  <c:v>0.21839704992435705</c:v>
                </c:pt>
                <c:pt idx="9">
                  <c:v>0.22484485627836612</c:v>
                </c:pt>
                <c:pt idx="10">
                  <c:v>0.23129266263237519</c:v>
                </c:pt>
                <c:pt idx="11">
                  <c:v>0.23395230303030304</c:v>
                </c:pt>
                <c:pt idx="12">
                  <c:v>0.23234018181818183</c:v>
                </c:pt>
                <c:pt idx="13">
                  <c:v>0.22791024242424243</c:v>
                </c:pt>
                <c:pt idx="14">
                  <c:v>0.22200873493975903</c:v>
                </c:pt>
                <c:pt idx="15">
                  <c:v>0.21194246987951806</c:v>
                </c:pt>
                <c:pt idx="16">
                  <c:v>0.19868618181818179</c:v>
                </c:pt>
                <c:pt idx="17">
                  <c:v>0.18236496969696964</c:v>
                </c:pt>
                <c:pt idx="18">
                  <c:v>0.16131636363636359</c:v>
                </c:pt>
                <c:pt idx="19">
                  <c:v>0.13901199999999997</c:v>
                </c:pt>
                <c:pt idx="20">
                  <c:v>0.11487866666666663</c:v>
                </c:pt>
                <c:pt idx="21">
                  <c:v>9.2028242424242374E-2</c:v>
                </c:pt>
                <c:pt idx="22">
                  <c:v>7.0185818181818127E-2</c:v>
                </c:pt>
                <c:pt idx="23">
                  <c:v>5.3410024096385525E-2</c:v>
                </c:pt>
                <c:pt idx="24">
                  <c:v>3.855460606060606E-2</c:v>
                </c:pt>
                <c:pt idx="25">
                  <c:v>2.7957030303030303E-2</c:v>
                </c:pt>
                <c:pt idx="26">
                  <c:v>1.9962363636363636E-2</c:v>
                </c:pt>
                <c:pt idx="27">
                  <c:v>1.3702969696969698E-2</c:v>
                </c:pt>
                <c:pt idx="28">
                  <c:v>1.003160606060606E-2</c:v>
                </c:pt>
                <c:pt idx="29">
                  <c:v>6.9664363636363635E-3</c:v>
                </c:pt>
                <c:pt idx="30">
                  <c:v>4.9978909090909098E-3</c:v>
                </c:pt>
                <c:pt idx="31">
                  <c:v>3.5984030120481936E-3</c:v>
                </c:pt>
                <c:pt idx="32">
                  <c:v>2.5053307228915687E-3</c:v>
                </c:pt>
                <c:pt idx="33">
                  <c:v>1.8790400000000015E-3</c:v>
                </c:pt>
                <c:pt idx="34">
                  <c:v>1.347492121212122E-3</c:v>
                </c:pt>
                <c:pt idx="35">
                  <c:v>9.9070424242424324E-4</c:v>
                </c:pt>
                <c:pt idx="36">
                  <c:v>7.3638763636363683E-4</c:v>
                </c:pt>
                <c:pt idx="37">
                  <c:v>5.337176399394858E-4</c:v>
                </c:pt>
                <c:pt idx="38">
                  <c:v>4.6565863842662654E-4</c:v>
                </c:pt>
                <c:pt idx="39">
                  <c:v>3.9759963691376722E-4</c:v>
                </c:pt>
                <c:pt idx="40">
                  <c:v>3.2954063540090791E-4</c:v>
                </c:pt>
                <c:pt idx="41">
                  <c:v>2.6148163388804864E-4</c:v>
                </c:pt>
                <c:pt idx="42">
                  <c:v>1.9342263237518938E-4</c:v>
                </c:pt>
                <c:pt idx="43">
                  <c:v>1.2536363086233007E-4</c:v>
                </c:pt>
                <c:pt idx="44">
                  <c:v>8.2073019667170993E-5</c:v>
                </c:pt>
                <c:pt idx="45">
                  <c:v>7.1614925869894136E-5</c:v>
                </c:pt>
                <c:pt idx="46">
                  <c:v>6.1156832072617264E-5</c:v>
                </c:pt>
                <c:pt idx="47">
                  <c:v>5.0698738275340393E-5</c:v>
                </c:pt>
                <c:pt idx="48">
                  <c:v>4.0240644478063521E-5</c:v>
                </c:pt>
                <c:pt idx="49">
                  <c:v>2.9782550680786656E-5</c:v>
                </c:pt>
                <c:pt idx="50">
                  <c:v>1.9324456883509792E-5</c:v>
                </c:pt>
                <c:pt idx="51">
                  <c:v>1.5805963333333326E-5</c:v>
                </c:pt>
                <c:pt idx="52">
                  <c:v>1.3810796666666659E-5</c:v>
                </c:pt>
                <c:pt idx="53">
                  <c:v>1.1815629999999991E-5</c:v>
                </c:pt>
                <c:pt idx="54">
                  <c:v>9.8204633333333237E-6</c:v>
                </c:pt>
                <c:pt idx="55">
                  <c:v>7.825296666666658E-6</c:v>
                </c:pt>
                <c:pt idx="56">
                  <c:v>5.8301299999999922E-6</c:v>
                </c:pt>
                <c:pt idx="57">
                  <c:v>4.1138566265060206E-6</c:v>
                </c:pt>
                <c:pt idx="58">
                  <c:v>3.3863867469879499E-6</c:v>
                </c:pt>
                <c:pt idx="59">
                  <c:v>2.7763218181818171E-6</c:v>
                </c:pt>
                <c:pt idx="60">
                  <c:v>2.2585036363636352E-6</c:v>
                </c:pt>
                <c:pt idx="61">
                  <c:v>1.8769648484848475E-6</c:v>
                </c:pt>
                <c:pt idx="62">
                  <c:v>1.5362436363636358E-6</c:v>
                </c:pt>
                <c:pt idx="63">
                  <c:v>1.273334545454545E-6</c:v>
                </c:pt>
                <c:pt idx="64">
                  <c:v>1.0556652727272724E-6</c:v>
                </c:pt>
                <c:pt idx="65">
                  <c:v>8.6691981818181775E-7</c:v>
                </c:pt>
                <c:pt idx="66">
                  <c:v>7.2934783132530101E-7</c:v>
                </c:pt>
                <c:pt idx="67">
                  <c:v>6.0485818181818178E-7</c:v>
                </c:pt>
                <c:pt idx="68">
                  <c:v>5.0591878787878786E-7</c:v>
                </c:pt>
                <c:pt idx="69">
                  <c:v>4.2430878787878785E-7</c:v>
                </c:pt>
                <c:pt idx="70">
                  <c:v>3.5203000000000001E-7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C7E1-45B2-856A-6D7DDF9AB301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(DGa2Sej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3.9995751515151515E-2</c:v>
                </c:pt>
                <c:pt idx="1">
                  <c:v>3.9993848484848486E-2</c:v>
                </c:pt>
                <c:pt idx="2">
                  <c:v>3.9990818181818183E-2</c:v>
                </c:pt>
                <c:pt idx="3">
                  <c:v>3.998469090909091E-2</c:v>
                </c:pt>
                <c:pt idx="4">
                  <c:v>3.9973231467473523E-2</c:v>
                </c:pt>
                <c:pt idx="5">
                  <c:v>3.9913624810892584E-2</c:v>
                </c:pt>
                <c:pt idx="6">
                  <c:v>3.9854018154311652E-2</c:v>
                </c:pt>
                <c:pt idx="7">
                  <c:v>3.9794411497730713E-2</c:v>
                </c:pt>
                <c:pt idx="8">
                  <c:v>3.9734804841149773E-2</c:v>
                </c:pt>
                <c:pt idx="9">
                  <c:v>3.9675198184568834E-2</c:v>
                </c:pt>
                <c:pt idx="10">
                  <c:v>3.9615591527987895E-2</c:v>
                </c:pt>
                <c:pt idx="11">
                  <c:v>3.9480884848484853E-2</c:v>
                </c:pt>
                <c:pt idx="12">
                  <c:v>3.926149090909091E-2</c:v>
                </c:pt>
                <c:pt idx="13">
                  <c:v>3.8919345454545458E-2</c:v>
                </c:pt>
                <c:pt idx="14">
                  <c:v>3.8513253012048193E-2</c:v>
                </c:pt>
                <c:pt idx="15">
                  <c:v>3.7926506024096383E-2</c:v>
                </c:pt>
                <c:pt idx="16">
                  <c:v>3.7175363636363631E-2</c:v>
                </c:pt>
                <c:pt idx="17">
                  <c:v>3.6266272727272723E-2</c:v>
                </c:pt>
                <c:pt idx="18">
                  <c:v>3.4971484848484842E-2</c:v>
                </c:pt>
                <c:pt idx="19">
                  <c:v>3.3489818181818176E-2</c:v>
                </c:pt>
                <c:pt idx="20">
                  <c:v>3.1541333333333331E-2</c:v>
                </c:pt>
                <c:pt idx="21">
                  <c:v>2.9217139393939388E-2</c:v>
                </c:pt>
                <c:pt idx="22">
                  <c:v>2.6597745454545449E-2</c:v>
                </c:pt>
                <c:pt idx="23">
                  <c:v>2.346809036144578E-2</c:v>
                </c:pt>
                <c:pt idx="24">
                  <c:v>2.0223000000000001E-2</c:v>
                </c:pt>
                <c:pt idx="25">
                  <c:v>1.6782999999999999E-2</c:v>
                </c:pt>
                <c:pt idx="26">
                  <c:v>1.3509545454545455E-2</c:v>
                </c:pt>
                <c:pt idx="27">
                  <c:v>1.0347121212121212E-2</c:v>
                </c:pt>
                <c:pt idx="28">
                  <c:v>7.8636878787878787E-3</c:v>
                </c:pt>
                <c:pt idx="29">
                  <c:v>5.6642818181818185E-3</c:v>
                </c:pt>
                <c:pt idx="30">
                  <c:v>4.0442212121212118E-3</c:v>
                </c:pt>
                <c:pt idx="31">
                  <c:v>2.8594259036144589E-3</c:v>
                </c:pt>
                <c:pt idx="32">
                  <c:v>1.9090042168674718E-3</c:v>
                </c:pt>
                <c:pt idx="33">
                  <c:v>1.3763000000000013E-3</c:v>
                </c:pt>
                <c:pt idx="34">
                  <c:v>9.3088642424242485E-4</c:v>
                </c:pt>
                <c:pt idx="35">
                  <c:v>6.4672884848484917E-4</c:v>
                </c:pt>
                <c:pt idx="36">
                  <c:v>4.5366800000000033E-4</c:v>
                </c:pt>
                <c:pt idx="37">
                  <c:v>3.0595765809379738E-4</c:v>
                </c:pt>
                <c:pt idx="38">
                  <c:v>2.643991104387293E-4</c:v>
                </c:pt>
                <c:pt idx="39">
                  <c:v>2.2284056278366123E-4</c:v>
                </c:pt>
                <c:pt idx="40">
                  <c:v>1.8128201512859315E-4</c:v>
                </c:pt>
                <c:pt idx="41">
                  <c:v>1.397234674735251E-4</c:v>
                </c:pt>
                <c:pt idx="42">
                  <c:v>9.8164919818457028E-5</c:v>
                </c:pt>
                <c:pt idx="43">
                  <c:v>5.660637216338898E-5</c:v>
                </c:pt>
                <c:pt idx="44">
                  <c:v>3.0996986384266278E-5</c:v>
                </c:pt>
                <c:pt idx="45">
                  <c:v>2.6529512859304093E-5</c:v>
                </c:pt>
                <c:pt idx="46">
                  <c:v>2.2062039334341909E-5</c:v>
                </c:pt>
                <c:pt idx="47">
                  <c:v>1.7594565809379727E-5</c:v>
                </c:pt>
                <c:pt idx="48">
                  <c:v>1.3127092284417543E-5</c:v>
                </c:pt>
                <c:pt idx="49">
                  <c:v>8.6596187594553582E-6</c:v>
                </c:pt>
                <c:pt idx="50">
                  <c:v>4.1921452344931735E-6</c:v>
                </c:pt>
                <c:pt idx="51">
                  <c:v>2.9773789121212098E-6</c:v>
                </c:pt>
                <c:pt idx="52">
                  <c:v>2.4766214878787855E-6</c:v>
                </c:pt>
                <c:pt idx="53">
                  <c:v>1.9758640636363612E-6</c:v>
                </c:pt>
                <c:pt idx="54">
                  <c:v>1.4751066393939374E-6</c:v>
                </c:pt>
                <c:pt idx="55">
                  <c:v>9.7434921515151307E-7</c:v>
                </c:pt>
                <c:pt idx="56">
                  <c:v>4.7359179090908878E-7</c:v>
                </c:pt>
                <c:pt idx="57">
                  <c:v>7.514116867469864E-8</c:v>
                </c:pt>
                <c:pt idx="58">
                  <c:v>3.9414662650602312E-8</c:v>
                </c:pt>
                <c:pt idx="59">
                  <c:v>1.7789375757575735E-8</c:v>
                </c:pt>
                <c:pt idx="60">
                  <c:v>7.2436181818181591E-9</c:v>
                </c:pt>
                <c:pt idx="61">
                  <c:v>3.7129678787878722E-9</c:v>
                </c:pt>
                <c:pt idx="62">
                  <c:v>1.4240292121212105E-9</c:v>
                </c:pt>
                <c:pt idx="63">
                  <c:v>6.9452618181818013E-10</c:v>
                </c:pt>
                <c:pt idx="64">
                  <c:v>2.9726612121212078E-10</c:v>
                </c:pt>
                <c:pt idx="65">
                  <c:v>1.1242369696969652E-10</c:v>
                </c:pt>
                <c:pt idx="66">
                  <c:v>6.0129759036144536E-11</c:v>
                </c:pt>
                <c:pt idx="67">
                  <c:v>2.373932727272727E-11</c:v>
                </c:pt>
                <c:pt idx="68">
                  <c:v>1.157041818181818E-11</c:v>
                </c:pt>
                <c:pt idx="69">
                  <c:v>5.2199939393939392E-12</c:v>
                </c:pt>
                <c:pt idx="70">
                  <c:v>2.0025999999999996E-12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C7E1-45B2-856A-6D7DDF9AB301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(DGaSe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8.144792727272731E-6</c:v>
                </c:pt>
                <c:pt idx="1">
                  <c:v>1.2367880000000008E-5</c:v>
                </c:pt>
                <c:pt idx="2">
                  <c:v>1.8723880000000007E-5</c:v>
                </c:pt>
                <c:pt idx="3">
                  <c:v>3.0952884848484866E-5</c:v>
                </c:pt>
                <c:pt idx="4">
                  <c:v>5.3736378214826152E-5</c:v>
                </c:pt>
                <c:pt idx="5">
                  <c:v>1.7291610590015134E-4</c:v>
                </c:pt>
                <c:pt idx="6">
                  <c:v>2.9209583358547661E-4</c:v>
                </c:pt>
                <c:pt idx="7">
                  <c:v>4.1127556127080182E-4</c:v>
                </c:pt>
                <c:pt idx="8">
                  <c:v>5.3045528895612703E-4</c:v>
                </c:pt>
                <c:pt idx="9">
                  <c:v>6.4963501664145218E-4</c:v>
                </c:pt>
                <c:pt idx="10">
                  <c:v>7.6881474432677745E-4</c:v>
                </c:pt>
                <c:pt idx="11">
                  <c:v>1.038130545454545E-3</c:v>
                </c:pt>
                <c:pt idx="12">
                  <c:v>1.4767487272727268E-3</c:v>
                </c:pt>
                <c:pt idx="13">
                  <c:v>2.1608599999999993E-3</c:v>
                </c:pt>
                <c:pt idx="14">
                  <c:v>2.9729554216867461E-3</c:v>
                </c:pt>
                <c:pt idx="15">
                  <c:v>4.1468108433734951E-3</c:v>
                </c:pt>
                <c:pt idx="16">
                  <c:v>5.6491800000000036E-3</c:v>
                </c:pt>
                <c:pt idx="17">
                  <c:v>7.4671800000000038E-3</c:v>
                </c:pt>
                <c:pt idx="18">
                  <c:v>1.0056886666666673E-2</c:v>
                </c:pt>
                <c:pt idx="19">
                  <c:v>1.3020363636363644E-2</c:v>
                </c:pt>
                <c:pt idx="20">
                  <c:v>1.691733333333334E-2</c:v>
                </c:pt>
                <c:pt idx="21">
                  <c:v>2.1566060606060616E-2</c:v>
                </c:pt>
                <c:pt idx="22">
                  <c:v>2.6805454545454556E-2</c:v>
                </c:pt>
                <c:pt idx="23">
                  <c:v>3.3064271084337356E-2</c:v>
                </c:pt>
                <c:pt idx="24">
                  <c:v>3.9553999999999999E-2</c:v>
                </c:pt>
                <c:pt idx="25">
                  <c:v>4.6434000000000003E-2</c:v>
                </c:pt>
                <c:pt idx="26">
                  <c:v>5.2980545454545454E-2</c:v>
                </c:pt>
                <c:pt idx="27">
                  <c:v>5.930478787878788E-2</c:v>
                </c:pt>
                <c:pt idx="28">
                  <c:v>6.4271969696969689E-2</c:v>
                </c:pt>
                <c:pt idx="29">
                  <c:v>6.8670999999999996E-2</c:v>
                </c:pt>
                <c:pt idx="30">
                  <c:v>7.1911000000000003E-2</c:v>
                </c:pt>
                <c:pt idx="31">
                  <c:v>7.4279999999999999E-2</c:v>
                </c:pt>
                <c:pt idx="32">
                  <c:v>7.6179999999999998E-2</c:v>
                </c:pt>
                <c:pt idx="33">
                  <c:v>7.7243599999999996E-2</c:v>
                </c:pt>
                <c:pt idx="34">
                  <c:v>7.8131636363636361E-2</c:v>
                </c:pt>
                <c:pt idx="35">
                  <c:v>7.8695272727272725E-2</c:v>
                </c:pt>
                <c:pt idx="36">
                  <c:v>7.9071981818181813E-2</c:v>
                </c:pt>
                <c:pt idx="37">
                  <c:v>7.9351360060514381E-2</c:v>
                </c:pt>
                <c:pt idx="38">
                  <c:v>7.9310361573373678E-2</c:v>
                </c:pt>
                <c:pt idx="39">
                  <c:v>7.9269363086232988E-2</c:v>
                </c:pt>
                <c:pt idx="40">
                  <c:v>7.9228364599092285E-2</c:v>
                </c:pt>
                <c:pt idx="41">
                  <c:v>7.9187366111951596E-2</c:v>
                </c:pt>
                <c:pt idx="42">
                  <c:v>7.9146367624810893E-2</c:v>
                </c:pt>
                <c:pt idx="43">
                  <c:v>7.9105369137670203E-2</c:v>
                </c:pt>
                <c:pt idx="44">
                  <c:v>7.8333240544629354E-2</c:v>
                </c:pt>
                <c:pt idx="45">
                  <c:v>7.6591939485627841E-2</c:v>
                </c:pt>
                <c:pt idx="46">
                  <c:v>7.4850638426626329E-2</c:v>
                </c:pt>
                <c:pt idx="47">
                  <c:v>7.3109337367624802E-2</c:v>
                </c:pt>
                <c:pt idx="48">
                  <c:v>7.1368036308623289E-2</c:v>
                </c:pt>
                <c:pt idx="49">
                  <c:v>6.9626735249621777E-2</c:v>
                </c:pt>
                <c:pt idx="50">
                  <c:v>6.7885434190620264E-2</c:v>
                </c:pt>
                <c:pt idx="51">
                  <c:v>6.2340275757575725E-2</c:v>
                </c:pt>
                <c:pt idx="52">
                  <c:v>5.5960124242424206E-2</c:v>
                </c:pt>
                <c:pt idx="53">
                  <c:v>4.9579972727272693E-2</c:v>
                </c:pt>
                <c:pt idx="54">
                  <c:v>4.3199821212121181E-2</c:v>
                </c:pt>
                <c:pt idx="55">
                  <c:v>3.6819669696969662E-2</c:v>
                </c:pt>
                <c:pt idx="56">
                  <c:v>3.043951818181815E-2</c:v>
                </c:pt>
                <c:pt idx="57">
                  <c:v>2.4302831325301182E-2</c:v>
                </c:pt>
                <c:pt idx="58">
                  <c:v>1.9029337349397577E-2</c:v>
                </c:pt>
                <c:pt idx="59">
                  <c:v>1.4608151515151508E-2</c:v>
                </c:pt>
                <c:pt idx="60">
                  <c:v>1.0856636363636357E-2</c:v>
                </c:pt>
                <c:pt idx="61">
                  <c:v>8.2869630303030253E-3</c:v>
                </c:pt>
                <c:pt idx="62">
                  <c:v>6.0737218181818146E-3</c:v>
                </c:pt>
                <c:pt idx="63">
                  <c:v>4.5422672727272687E-3</c:v>
                </c:pt>
                <c:pt idx="64">
                  <c:v>3.3751121212121189E-3</c:v>
                </c:pt>
                <c:pt idx="65">
                  <c:v>2.4408696969696947E-3</c:v>
                </c:pt>
                <c:pt idx="66">
                  <c:v>1.8644542168674695E-3</c:v>
                </c:pt>
                <c:pt idx="67">
                  <c:v>1.3689000000000002E-3</c:v>
                </c:pt>
                <c:pt idx="68">
                  <c:v>1.0272333333333334E-3</c:v>
                </c:pt>
                <c:pt idx="69">
                  <c:v>7.7267848484848488E-4</c:v>
                </c:pt>
                <c:pt idx="70">
                  <c:v>5.6503E-4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C7E1-45B2-856A-6D7DDF9AB301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(DGe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1.8518487272727281E-6</c:v>
                </c:pt>
                <c:pt idx="1">
                  <c:v>3.4363939393939423E-6</c:v>
                </c:pt>
                <c:pt idx="2">
                  <c:v>6.2242727272727299E-6</c:v>
                </c:pt>
                <c:pt idx="3">
                  <c:v>1.4302660606060617E-5</c:v>
                </c:pt>
                <c:pt idx="4">
                  <c:v>5.3347586989410396E-5</c:v>
                </c:pt>
                <c:pt idx="5">
                  <c:v>4.2600492435703504E-4</c:v>
                </c:pt>
                <c:pt idx="6">
                  <c:v>7.9866226172465974E-4</c:v>
                </c:pt>
                <c:pt idx="7">
                  <c:v>1.1713195990922846E-3</c:v>
                </c:pt>
                <c:pt idx="8">
                  <c:v>1.543976936459909E-3</c:v>
                </c:pt>
                <c:pt idx="9">
                  <c:v>1.9166342738275337E-3</c:v>
                </c:pt>
                <c:pt idx="10">
                  <c:v>2.2892916111951584E-3</c:v>
                </c:pt>
                <c:pt idx="11">
                  <c:v>3.6487824242424213E-3</c:v>
                </c:pt>
                <c:pt idx="12">
                  <c:v>6.1210854545454517E-3</c:v>
                </c:pt>
                <c:pt idx="13">
                  <c:v>1.1046729090909084E-2</c:v>
                </c:pt>
                <c:pt idx="14">
                  <c:v>1.732736746987951E-2</c:v>
                </c:pt>
                <c:pt idx="15">
                  <c:v>2.7594234939759051E-2</c:v>
                </c:pt>
                <c:pt idx="16">
                  <c:v>4.1002290909090952E-2</c:v>
                </c:pt>
                <c:pt idx="17">
                  <c:v>5.7428351515151556E-2</c:v>
                </c:pt>
                <c:pt idx="18">
                  <c:v>7.8544800000000053E-2</c:v>
                </c:pt>
                <c:pt idx="19">
                  <c:v>0.10090436363636369</c:v>
                </c:pt>
                <c:pt idx="20">
                  <c:v>0.12506800000000004</c:v>
                </c:pt>
                <c:pt idx="21">
                  <c:v>0.14793854545454549</c:v>
                </c:pt>
                <c:pt idx="22">
                  <c:v>0.16979309090909095</c:v>
                </c:pt>
                <c:pt idx="23">
                  <c:v>0.18657765060240966</c:v>
                </c:pt>
                <c:pt idx="24">
                  <c:v>0.20144000000000001</c:v>
                </c:pt>
                <c:pt idx="25">
                  <c:v>0.21204000000000001</c:v>
                </c:pt>
                <c:pt idx="26">
                  <c:v>0.22003636363636364</c:v>
                </c:pt>
                <c:pt idx="27">
                  <c:v>0.22629696969696969</c:v>
                </c:pt>
                <c:pt idx="28">
                  <c:v>0.22996666666666668</c:v>
                </c:pt>
                <c:pt idx="29">
                  <c:v>0.23303090909090909</c:v>
                </c:pt>
                <c:pt idx="30">
                  <c:v>0.23500060606060608</c:v>
                </c:pt>
                <c:pt idx="31">
                  <c:v>0.23640265060240964</c:v>
                </c:pt>
                <c:pt idx="32">
                  <c:v>0.23749903614457832</c:v>
                </c:pt>
                <c:pt idx="33">
                  <c:v>0.238122</c:v>
                </c:pt>
                <c:pt idx="34">
                  <c:v>0.23865157575757576</c:v>
                </c:pt>
                <c:pt idx="35">
                  <c:v>0.23900915151515151</c:v>
                </c:pt>
                <c:pt idx="36">
                  <c:v>0.23926218181818182</c:v>
                </c:pt>
                <c:pt idx="37">
                  <c:v>0.23946272314674735</c:v>
                </c:pt>
                <c:pt idx="38">
                  <c:v>0.23953080181543118</c:v>
                </c:pt>
                <c:pt idx="39">
                  <c:v>0.23959888048411498</c:v>
                </c:pt>
                <c:pt idx="40">
                  <c:v>0.23966695915279879</c:v>
                </c:pt>
                <c:pt idx="41">
                  <c:v>0.23973503782148262</c:v>
                </c:pt>
                <c:pt idx="42">
                  <c:v>0.23980311649016642</c:v>
                </c:pt>
                <c:pt idx="43">
                  <c:v>0.23987119515885025</c:v>
                </c:pt>
                <c:pt idx="44">
                  <c:v>0.2399145537065053</c:v>
                </c:pt>
                <c:pt idx="45">
                  <c:v>0.2399251437216339</c:v>
                </c:pt>
                <c:pt idx="46">
                  <c:v>0.2399357337367625</c:v>
                </c:pt>
                <c:pt idx="47">
                  <c:v>0.23994632375189107</c:v>
                </c:pt>
                <c:pt idx="48">
                  <c:v>0.23995691376701966</c:v>
                </c:pt>
                <c:pt idx="49">
                  <c:v>0.23996750378214826</c:v>
                </c:pt>
                <c:pt idx="50">
                  <c:v>0.23997809379727686</c:v>
                </c:pt>
                <c:pt idx="51">
                  <c:v>0.23998248484848483</c:v>
                </c:pt>
                <c:pt idx="52">
                  <c:v>0.23998551515151514</c:v>
                </c:pt>
                <c:pt idx="53">
                  <c:v>0.23998854545454545</c:v>
                </c:pt>
                <c:pt idx="54">
                  <c:v>0.23999157575757576</c:v>
                </c:pt>
                <c:pt idx="55">
                  <c:v>0.23999460606060605</c:v>
                </c:pt>
                <c:pt idx="56">
                  <c:v>0.23999763636363636</c:v>
                </c:pt>
                <c:pt idx="57">
                  <c:v>0.24</c:v>
                </c:pt>
                <c:pt idx="58">
                  <c:v>0.24</c:v>
                </c:pt>
                <c:pt idx="59">
                  <c:v>0.24</c:v>
                </c:pt>
                <c:pt idx="60">
                  <c:v>0.24</c:v>
                </c:pt>
                <c:pt idx="61">
                  <c:v>0.24</c:v>
                </c:pt>
                <c:pt idx="62">
                  <c:v>0.24</c:v>
                </c:pt>
                <c:pt idx="63">
                  <c:v>0.24</c:v>
                </c:pt>
                <c:pt idx="64">
                  <c:v>0.24</c:v>
                </c:pt>
                <c:pt idx="65">
                  <c:v>0.24</c:v>
                </c:pt>
                <c:pt idx="66">
                  <c:v>0.24</c:v>
                </c:pt>
                <c:pt idx="67">
                  <c:v>0.24</c:v>
                </c:pt>
                <c:pt idx="68">
                  <c:v>0.24</c:v>
                </c:pt>
                <c:pt idx="69">
                  <c:v>0.24</c:v>
                </c:pt>
                <c:pt idx="70">
                  <c:v>0.24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C7E1-45B2-856A-6D7DDF9AB301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(DGa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3.9289779393939436E-25</c:v>
                </c:pt>
                <c:pt idx="1">
                  <c:v>4.9760621212121333E-24</c:v>
                </c:pt>
                <c:pt idx="2">
                  <c:v>1.6445304545454558E-23</c:v>
                </c:pt>
                <c:pt idx="3">
                  <c:v>2.8815899393939435E-22</c:v>
                </c:pt>
                <c:pt idx="4">
                  <c:v>2.2815268208321047E-18</c:v>
                </c:pt>
                <c:pt idx="5">
                  <c:v>3.0792778456233002E-17</c:v>
                </c:pt>
                <c:pt idx="6">
                  <c:v>5.9304030091633909E-17</c:v>
                </c:pt>
                <c:pt idx="7">
                  <c:v>8.7815281727034804E-17</c:v>
                </c:pt>
                <c:pt idx="8">
                  <c:v>1.1632653336243571E-16</c:v>
                </c:pt>
                <c:pt idx="9">
                  <c:v>1.4483778499783661E-16</c:v>
                </c:pt>
                <c:pt idx="10">
                  <c:v>1.733490366332375E-16</c:v>
                </c:pt>
                <c:pt idx="11">
                  <c:v>9.0170351515151355E-16</c:v>
                </c:pt>
                <c:pt idx="12">
                  <c:v>2.4192429090909073E-15</c:v>
                </c:pt>
                <c:pt idx="13">
                  <c:v>1.6883667878787857E-14</c:v>
                </c:pt>
                <c:pt idx="14">
                  <c:v>5.84461566265059E-14</c:v>
                </c:pt>
                <c:pt idx="15">
                  <c:v>2.1843531325301226E-13</c:v>
                </c:pt>
                <c:pt idx="16">
                  <c:v>9.3629890909091196E-13</c:v>
                </c:pt>
                <c:pt idx="17">
                  <c:v>2.1901595151515179E-12</c:v>
                </c:pt>
                <c:pt idx="18">
                  <c:v>9.6857593939394146E-12</c:v>
                </c:pt>
                <c:pt idx="19">
                  <c:v>2.7304545454545575E-11</c:v>
                </c:pt>
                <c:pt idx="20">
                  <c:v>7.9183333333333453E-11</c:v>
                </c:pt>
                <c:pt idx="21">
                  <c:v>2.6220393939394003E-10</c:v>
                </c:pt>
                <c:pt idx="22">
                  <c:v>5.4826454545454599E-10</c:v>
                </c:pt>
                <c:pt idx="23">
                  <c:v>1.8529382530120499E-9</c:v>
                </c:pt>
                <c:pt idx="24">
                  <c:v>4.4518484848484852E-9</c:v>
                </c:pt>
                <c:pt idx="25">
                  <c:v>1.0631242424242426E-8</c:v>
                </c:pt>
                <c:pt idx="26">
                  <c:v>2.7327363636363635E-8</c:v>
                </c:pt>
                <c:pt idx="27">
                  <c:v>5.1034636363636363E-8</c:v>
                </c:pt>
                <c:pt idx="28">
                  <c:v>1.2862878787878787E-7</c:v>
                </c:pt>
                <c:pt idx="29">
                  <c:v>2.5882272727272727E-7</c:v>
                </c:pt>
                <c:pt idx="30">
                  <c:v>5.0513181818181822E-7</c:v>
                </c:pt>
                <c:pt idx="31">
                  <c:v>1.0418996385542163E-6</c:v>
                </c:pt>
                <c:pt idx="32">
                  <c:v>1.7350683132530105E-6</c:v>
                </c:pt>
                <c:pt idx="33">
                  <c:v>3.582199999999996E-6</c:v>
                </c:pt>
                <c:pt idx="34">
                  <c:v>6.4125636363636262E-6</c:v>
                </c:pt>
                <c:pt idx="35">
                  <c:v>1.1128927272727263E-5</c:v>
                </c:pt>
                <c:pt idx="36">
                  <c:v>2.0503418181818157E-5</c:v>
                </c:pt>
                <c:pt idx="37">
                  <c:v>3.6477252647503501E-5</c:v>
                </c:pt>
                <c:pt idx="38">
                  <c:v>1.6060856883509799E-4</c:v>
                </c:pt>
                <c:pt idx="39">
                  <c:v>2.8473988502269245E-4</c:v>
                </c:pt>
                <c:pt idx="40">
                  <c:v>4.0887120121028698E-4</c:v>
                </c:pt>
                <c:pt idx="41">
                  <c:v>5.3300251739788157E-4</c:v>
                </c:pt>
                <c:pt idx="42">
                  <c:v>6.5713383358547599E-4</c:v>
                </c:pt>
                <c:pt idx="43">
                  <c:v>7.8126514977307053E-4</c:v>
                </c:pt>
                <c:pt idx="44">
                  <c:v>1.6046813313161808E-3</c:v>
                </c:pt>
                <c:pt idx="45">
                  <c:v>3.3550565204235961E-3</c:v>
                </c:pt>
                <c:pt idx="46">
                  <c:v>5.1054317095310126E-3</c:v>
                </c:pt>
                <c:pt idx="47">
                  <c:v>6.8558068986384274E-3</c:v>
                </c:pt>
                <c:pt idx="48">
                  <c:v>8.6061820877458423E-3</c:v>
                </c:pt>
                <c:pt idx="49">
                  <c:v>1.035655727685326E-2</c:v>
                </c:pt>
                <c:pt idx="50">
                  <c:v>1.2106932465960675E-2</c:v>
                </c:pt>
                <c:pt idx="51">
                  <c:v>1.7654345454545486E-2</c:v>
                </c:pt>
                <c:pt idx="52">
                  <c:v>2.4035254545454576E-2</c:v>
                </c:pt>
                <c:pt idx="53">
                  <c:v>3.0416163636363666E-2</c:v>
                </c:pt>
                <c:pt idx="54">
                  <c:v>3.6797072727272756E-2</c:v>
                </c:pt>
                <c:pt idx="55">
                  <c:v>4.3177981818181846E-2</c:v>
                </c:pt>
                <c:pt idx="56">
                  <c:v>4.9558890909090943E-2</c:v>
                </c:pt>
                <c:pt idx="57">
                  <c:v>5.5696301204819304E-2</c:v>
                </c:pt>
                <c:pt idx="58">
                  <c:v>6.0970397590361464E-2</c:v>
                </c:pt>
                <c:pt idx="59">
                  <c:v>6.5391848484848497E-2</c:v>
                </c:pt>
                <c:pt idx="60">
                  <c:v>6.9143363636363642E-2</c:v>
                </c:pt>
                <c:pt idx="61">
                  <c:v>7.1712981818181823E-2</c:v>
                </c:pt>
                <c:pt idx="62">
                  <c:v>7.3926193939393939E-2</c:v>
                </c:pt>
                <c:pt idx="63">
                  <c:v>7.5457709090909098E-2</c:v>
                </c:pt>
                <c:pt idx="64">
                  <c:v>7.6624703030303026E-2</c:v>
                </c:pt>
                <c:pt idx="65">
                  <c:v>7.755864242424243E-2</c:v>
                </c:pt>
                <c:pt idx="66">
                  <c:v>7.8135566265060241E-2</c:v>
                </c:pt>
                <c:pt idx="67">
                  <c:v>7.8631363636363638E-2</c:v>
                </c:pt>
                <c:pt idx="68">
                  <c:v>7.8972575757575755E-2</c:v>
                </c:pt>
                <c:pt idx="69">
                  <c:v>7.9227121212121207E-2</c:v>
                </c:pt>
                <c:pt idx="70">
                  <c:v>7.9435000000000006E-2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C7E1-45B2-856A-6D7DDF9AB301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(1)Se[A]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3.8229806060606086E-9</c:v>
                </c:pt>
                <c:pt idx="1">
                  <c:v>5.9545309090909122E-9</c:v>
                </c:pt>
                <c:pt idx="2">
                  <c:v>8.6343490909090934E-9</c:v>
                </c:pt>
                <c:pt idx="3">
                  <c:v>1.1178962424242427E-8</c:v>
                </c:pt>
                <c:pt idx="4">
                  <c:v>1.3465757942511346E-8</c:v>
                </c:pt>
                <c:pt idx="5">
                  <c:v>1.3362732223903178E-8</c:v>
                </c:pt>
                <c:pt idx="6">
                  <c:v>1.3259706505295008E-8</c:v>
                </c:pt>
                <c:pt idx="7">
                  <c:v>1.3156680786686838E-8</c:v>
                </c:pt>
                <c:pt idx="8">
                  <c:v>1.305365506807867E-8</c:v>
                </c:pt>
                <c:pt idx="9">
                  <c:v>1.29506293494705E-8</c:v>
                </c:pt>
                <c:pt idx="10">
                  <c:v>1.284760363086233E-8</c:v>
                </c:pt>
                <c:pt idx="11">
                  <c:v>1.2424690909090911E-8</c:v>
                </c:pt>
                <c:pt idx="12">
                  <c:v>1.1641054545454546E-8</c:v>
                </c:pt>
                <c:pt idx="13">
                  <c:v>1.1066145454545456E-8</c:v>
                </c:pt>
                <c:pt idx="14">
                  <c:v>1.0590849397590362E-8</c:v>
                </c:pt>
                <c:pt idx="15">
                  <c:v>1.0378198795180723E-8</c:v>
                </c:pt>
                <c:pt idx="16">
                  <c:v>1.0301818181818182E-8</c:v>
                </c:pt>
                <c:pt idx="17">
                  <c:v>1.0356363636363636E-8</c:v>
                </c:pt>
                <c:pt idx="18">
                  <c:v>1.0510460606060606E-8</c:v>
                </c:pt>
                <c:pt idx="19">
                  <c:v>1.0663072727272728E-8</c:v>
                </c:pt>
                <c:pt idx="20">
                  <c:v>1.0749133333333333E-8</c:v>
                </c:pt>
                <c:pt idx="21">
                  <c:v>1.0703169696969696E-8</c:v>
                </c:pt>
                <c:pt idx="22">
                  <c:v>1.0553472727272728E-8</c:v>
                </c:pt>
                <c:pt idx="23">
                  <c:v>1.017737048192771E-8</c:v>
                </c:pt>
                <c:pt idx="24">
                  <c:v>9.7371818181818185E-9</c:v>
                </c:pt>
                <c:pt idx="25">
                  <c:v>9.1719090909090917E-9</c:v>
                </c:pt>
                <c:pt idx="26">
                  <c:v>8.5685272727272732E-9</c:v>
                </c:pt>
                <c:pt idx="27">
                  <c:v>7.9397393939393932E-9</c:v>
                </c:pt>
                <c:pt idx="28">
                  <c:v>7.3161909090909089E-9</c:v>
                </c:pt>
                <c:pt idx="29">
                  <c:v>6.7060999999999994E-9</c:v>
                </c:pt>
                <c:pt idx="30">
                  <c:v>6.1267666666666662E-9</c:v>
                </c:pt>
                <c:pt idx="31">
                  <c:v>5.5895240963855429E-9</c:v>
                </c:pt>
                <c:pt idx="32">
                  <c:v>5.0749457831325317E-9</c:v>
                </c:pt>
                <c:pt idx="33">
                  <c:v>4.622800000000001E-9</c:v>
                </c:pt>
                <c:pt idx="34">
                  <c:v>4.1927357575757585E-9</c:v>
                </c:pt>
                <c:pt idx="35">
                  <c:v>3.8043115151515158E-9</c:v>
                </c:pt>
                <c:pt idx="36">
                  <c:v>3.4550290909090919E-9</c:v>
                </c:pt>
                <c:pt idx="37">
                  <c:v>3.1276493192133139E-9</c:v>
                </c:pt>
                <c:pt idx="38">
                  <c:v>2.903882299546143E-9</c:v>
                </c:pt>
                <c:pt idx="39">
                  <c:v>2.680115279878972E-9</c:v>
                </c:pt>
                <c:pt idx="40">
                  <c:v>2.456348260211801E-9</c:v>
                </c:pt>
                <c:pt idx="41">
                  <c:v>2.2325812405446301E-9</c:v>
                </c:pt>
                <c:pt idx="42">
                  <c:v>2.0088142208774591E-9</c:v>
                </c:pt>
                <c:pt idx="43">
                  <c:v>1.7850472012102884E-9</c:v>
                </c:pt>
                <c:pt idx="44">
                  <c:v>1.6088703177004543E-9</c:v>
                </c:pt>
                <c:pt idx="45">
                  <c:v>1.495778033282905E-9</c:v>
                </c:pt>
                <c:pt idx="46">
                  <c:v>1.3826857488653557E-9</c:v>
                </c:pt>
                <c:pt idx="47">
                  <c:v>1.2695934644478063E-9</c:v>
                </c:pt>
                <c:pt idx="48">
                  <c:v>1.156501180030257E-9</c:v>
                </c:pt>
                <c:pt idx="49">
                  <c:v>1.0434088956127077E-9</c:v>
                </c:pt>
                <c:pt idx="50">
                  <c:v>9.3031661119515847E-10</c:v>
                </c:pt>
                <c:pt idx="51">
                  <c:v>8.6426487878787858E-10</c:v>
                </c:pt>
                <c:pt idx="52">
                  <c:v>8.0853912121212099E-10</c:v>
                </c:pt>
                <c:pt idx="53">
                  <c:v>7.528133636363634E-10</c:v>
                </c:pt>
                <c:pt idx="54">
                  <c:v>6.9708760606060581E-10</c:v>
                </c:pt>
                <c:pt idx="55">
                  <c:v>6.4136184848484822E-10</c:v>
                </c:pt>
                <c:pt idx="56">
                  <c:v>5.8563609090909063E-10</c:v>
                </c:pt>
                <c:pt idx="57">
                  <c:v>5.3324012048192755E-10</c:v>
                </c:pt>
                <c:pt idx="58">
                  <c:v>4.9264975903614445E-10</c:v>
                </c:pt>
                <c:pt idx="59">
                  <c:v>4.5405642424242413E-10</c:v>
                </c:pt>
                <c:pt idx="60">
                  <c:v>4.1703218181818171E-10</c:v>
                </c:pt>
                <c:pt idx="61">
                  <c:v>3.8356521212121205E-10</c:v>
                </c:pt>
                <c:pt idx="62">
                  <c:v>3.514616969696969E-10</c:v>
                </c:pt>
                <c:pt idx="63">
                  <c:v>3.2223745454545448E-10</c:v>
                </c:pt>
                <c:pt idx="64">
                  <c:v>2.9527206060606053E-10</c:v>
                </c:pt>
                <c:pt idx="65">
                  <c:v>2.6975084848484845E-10</c:v>
                </c:pt>
                <c:pt idx="66">
                  <c:v>2.4759843373493976E-10</c:v>
                </c:pt>
                <c:pt idx="67">
                  <c:v>2.2644636363636365E-10</c:v>
                </c:pt>
                <c:pt idx="68">
                  <c:v>2.0730090909090909E-10</c:v>
                </c:pt>
                <c:pt idx="69">
                  <c:v>1.8986121212121213E-10</c:v>
                </c:pt>
                <c:pt idx="70">
                  <c:v>1.7333999999999999E-10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C7E1-45B2-856A-6D7DDF9AB301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1.6113195151515158E-2</c:v>
                </c:pt>
                <c:pt idx="1">
                  <c:v>2.6533103030303047E-2</c:v>
                </c:pt>
                <c:pt idx="2">
                  <c:v>4.0699163636363653E-2</c:v>
                </c:pt>
                <c:pt idx="3">
                  <c:v>5.6751721212121235E-2</c:v>
                </c:pt>
                <c:pt idx="4">
                  <c:v>7.2742187594553712E-2</c:v>
                </c:pt>
                <c:pt idx="5">
                  <c:v>7.9994532526475051E-2</c:v>
                </c:pt>
                <c:pt idx="6">
                  <c:v>8.7246877458396377E-2</c:v>
                </c:pt>
                <c:pt idx="7">
                  <c:v>9.4499222390317703E-2</c:v>
                </c:pt>
                <c:pt idx="8">
                  <c:v>0.10175156732223903</c:v>
                </c:pt>
                <c:pt idx="9">
                  <c:v>0.10900391225416037</c:v>
                </c:pt>
                <c:pt idx="10">
                  <c:v>0.11625625718608168</c:v>
                </c:pt>
                <c:pt idx="11">
                  <c:v>0.12176921212121211</c:v>
                </c:pt>
                <c:pt idx="12">
                  <c:v>0.12532072727272725</c:v>
                </c:pt>
                <c:pt idx="13">
                  <c:v>0.13108375757575758</c:v>
                </c:pt>
                <c:pt idx="14">
                  <c:v>0.13814921686746987</c:v>
                </c:pt>
                <c:pt idx="15">
                  <c:v>0.14920343373493977</c:v>
                </c:pt>
                <c:pt idx="16">
                  <c:v>0.16351563636363642</c:v>
                </c:pt>
                <c:pt idx="17">
                  <c:v>0.18095806060606065</c:v>
                </c:pt>
                <c:pt idx="18">
                  <c:v>0.203435393939394</c:v>
                </c:pt>
                <c:pt idx="19">
                  <c:v>0.2273292727272728</c:v>
                </c:pt>
                <c:pt idx="20">
                  <c:v>0.25346866666666673</c:v>
                </c:pt>
                <c:pt idx="21">
                  <c:v>0.27868490909090915</c:v>
                </c:pt>
                <c:pt idx="22">
                  <c:v>0.30317581818181821</c:v>
                </c:pt>
                <c:pt idx="23">
                  <c:v>0.32309759036144581</c:v>
                </c:pt>
                <c:pt idx="24">
                  <c:v>0.34121060606060605</c:v>
                </c:pt>
                <c:pt idx="25">
                  <c:v>0.35525303030303035</c:v>
                </c:pt>
                <c:pt idx="26">
                  <c:v>0.36652454545454544</c:v>
                </c:pt>
                <c:pt idx="27">
                  <c:v>0.37594878787878788</c:v>
                </c:pt>
                <c:pt idx="28">
                  <c:v>0.38210272727272726</c:v>
                </c:pt>
                <c:pt idx="29">
                  <c:v>0.38736636363636368</c:v>
                </c:pt>
                <c:pt idx="30">
                  <c:v>0.39095424242424243</c:v>
                </c:pt>
                <c:pt idx="31">
                  <c:v>0.39354132530120484</c:v>
                </c:pt>
                <c:pt idx="32">
                  <c:v>0.39558951807228915</c:v>
                </c:pt>
                <c:pt idx="33">
                  <c:v>0.39674999999999999</c:v>
                </c:pt>
                <c:pt idx="34">
                  <c:v>0.39772842424242422</c:v>
                </c:pt>
                <c:pt idx="35">
                  <c:v>0.39837084848484844</c:v>
                </c:pt>
                <c:pt idx="36">
                  <c:v>0.3988292727272727</c:v>
                </c:pt>
                <c:pt idx="37">
                  <c:v>0.39919931921331314</c:v>
                </c:pt>
                <c:pt idx="38">
                  <c:v>0.39943229954614218</c:v>
                </c:pt>
                <c:pt idx="39">
                  <c:v>0.39966527987897121</c:v>
                </c:pt>
                <c:pt idx="40">
                  <c:v>0.3998982602118003</c:v>
                </c:pt>
                <c:pt idx="41">
                  <c:v>0.40013124054462934</c:v>
                </c:pt>
                <c:pt idx="42">
                  <c:v>0.40036422087745838</c:v>
                </c:pt>
                <c:pt idx="43">
                  <c:v>0.40059720121028741</c:v>
                </c:pt>
                <c:pt idx="44">
                  <c:v>0.40148916792738271</c:v>
                </c:pt>
                <c:pt idx="45">
                  <c:v>0.40325467473524962</c:v>
                </c:pt>
                <c:pt idx="46">
                  <c:v>0.40502018154311648</c:v>
                </c:pt>
                <c:pt idx="47">
                  <c:v>0.40678568835098333</c:v>
                </c:pt>
                <c:pt idx="48">
                  <c:v>0.40855119515885019</c:v>
                </c:pt>
                <c:pt idx="49">
                  <c:v>0.4103167019667171</c:v>
                </c:pt>
                <c:pt idx="50">
                  <c:v>0.41208220877458396</c:v>
                </c:pt>
                <c:pt idx="51">
                  <c:v>0.41763433333333333</c:v>
                </c:pt>
                <c:pt idx="52">
                  <c:v>0.42401766666666668</c:v>
                </c:pt>
                <c:pt idx="53">
                  <c:v>0.43040100000000003</c:v>
                </c:pt>
                <c:pt idx="54">
                  <c:v>0.43678433333333333</c:v>
                </c:pt>
                <c:pt idx="55">
                  <c:v>0.44316766666666668</c:v>
                </c:pt>
                <c:pt idx="56">
                  <c:v>0.44955100000000003</c:v>
                </c:pt>
                <c:pt idx="57">
                  <c:v>0.45569096385542168</c:v>
                </c:pt>
                <c:pt idx="58">
                  <c:v>0.46096807228915665</c:v>
                </c:pt>
                <c:pt idx="59">
                  <c:v>0.46539084848484846</c:v>
                </c:pt>
                <c:pt idx="60">
                  <c:v>0.46914236363636364</c:v>
                </c:pt>
                <c:pt idx="61">
                  <c:v>0.47171363636363639</c:v>
                </c:pt>
                <c:pt idx="62">
                  <c:v>0.47392709090909091</c:v>
                </c:pt>
                <c:pt idx="63">
                  <c:v>0.47545436363636362</c:v>
                </c:pt>
                <c:pt idx="64">
                  <c:v>0.47662303030303027</c:v>
                </c:pt>
                <c:pt idx="65">
                  <c:v>0.47756242424242429</c:v>
                </c:pt>
                <c:pt idx="66">
                  <c:v>0.47813783132530124</c:v>
                </c:pt>
                <c:pt idx="67">
                  <c:v>0.47863181818181821</c:v>
                </c:pt>
                <c:pt idx="68">
                  <c:v>0.47897121212121213</c:v>
                </c:pt>
                <c:pt idx="69">
                  <c:v>0.47922393939393942</c:v>
                </c:pt>
                <c:pt idx="70">
                  <c:v>0.47943000000000002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C7E1-45B2-856A-6D7DDF9AB301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1.3421683636363642E-8</c:v>
                </c:pt>
                <c:pt idx="1">
                  <c:v>1.9719218181818192E-8</c:v>
                </c:pt>
                <c:pt idx="2">
                  <c:v>2.7035581818181827E-8</c:v>
                </c:pt>
                <c:pt idx="3">
                  <c:v>3.3029096969696978E-8</c:v>
                </c:pt>
                <c:pt idx="4">
                  <c:v>3.7957338880484114E-8</c:v>
                </c:pt>
                <c:pt idx="5">
                  <c:v>3.6261574886535554E-8</c:v>
                </c:pt>
                <c:pt idx="6">
                  <c:v>3.4565810892586994E-8</c:v>
                </c:pt>
                <c:pt idx="7">
                  <c:v>3.2870046898638427E-8</c:v>
                </c:pt>
                <c:pt idx="8">
                  <c:v>3.1174282904689867E-8</c:v>
                </c:pt>
                <c:pt idx="9">
                  <c:v>2.9478518910741304E-8</c:v>
                </c:pt>
                <c:pt idx="10">
                  <c:v>2.778275491679274E-8</c:v>
                </c:pt>
                <c:pt idx="11">
                  <c:v>2.5709000000000002E-8</c:v>
                </c:pt>
                <c:pt idx="12">
                  <c:v>2.3209000000000003E-8</c:v>
                </c:pt>
                <c:pt idx="13">
                  <c:v>2.1335181818181821E-8</c:v>
                </c:pt>
                <c:pt idx="14">
                  <c:v>1.9727277108433734E-8</c:v>
                </c:pt>
                <c:pt idx="15">
                  <c:v>1.8746554216867469E-8</c:v>
                </c:pt>
                <c:pt idx="16">
                  <c:v>1.8048090909090908E-8</c:v>
                </c:pt>
                <c:pt idx="17">
                  <c:v>1.7620818181818181E-8</c:v>
                </c:pt>
                <c:pt idx="18">
                  <c:v>1.7398381818181818E-8</c:v>
                </c:pt>
                <c:pt idx="19">
                  <c:v>1.7269363636363638E-8</c:v>
                </c:pt>
                <c:pt idx="20">
                  <c:v>1.7366333333333334E-8</c:v>
                </c:pt>
                <c:pt idx="21">
                  <c:v>1.7322793939393938E-8</c:v>
                </c:pt>
                <c:pt idx="22">
                  <c:v>1.7168854545454545E-8</c:v>
                </c:pt>
                <c:pt idx="23">
                  <c:v>1.6643536144578314E-8</c:v>
                </c:pt>
                <c:pt idx="24">
                  <c:v>1.6010636363636366E-8</c:v>
                </c:pt>
                <c:pt idx="25">
                  <c:v>1.5165181818181819E-8</c:v>
                </c:pt>
                <c:pt idx="26">
                  <c:v>1.4247363636363636E-8</c:v>
                </c:pt>
                <c:pt idx="27">
                  <c:v>1.3281303030303031E-8</c:v>
                </c:pt>
                <c:pt idx="28">
                  <c:v>1.2307181818181818E-8</c:v>
                </c:pt>
                <c:pt idx="29">
                  <c:v>1.1349363636363637E-8</c:v>
                </c:pt>
                <c:pt idx="30">
                  <c:v>1.0430575757575757E-8</c:v>
                </c:pt>
                <c:pt idx="31">
                  <c:v>9.5722018072289161E-9</c:v>
                </c:pt>
                <c:pt idx="32">
                  <c:v>8.7463584337349428E-9</c:v>
                </c:pt>
                <c:pt idx="33">
                  <c:v>8.0127000000000023E-9</c:v>
                </c:pt>
                <c:pt idx="34">
                  <c:v>7.3125303030303041E-9</c:v>
                </c:pt>
                <c:pt idx="35">
                  <c:v>6.675560606060607E-9</c:v>
                </c:pt>
                <c:pt idx="36">
                  <c:v>6.0989763636363648E-9</c:v>
                </c:pt>
                <c:pt idx="37">
                  <c:v>5.5563278366111956E-9</c:v>
                </c:pt>
                <c:pt idx="38">
                  <c:v>5.1770237518910746E-9</c:v>
                </c:pt>
                <c:pt idx="39">
                  <c:v>4.7977196671709536E-9</c:v>
                </c:pt>
                <c:pt idx="40">
                  <c:v>4.4184155824508326E-9</c:v>
                </c:pt>
                <c:pt idx="41">
                  <c:v>4.0391114977307125E-9</c:v>
                </c:pt>
                <c:pt idx="42">
                  <c:v>3.6598074130105915E-9</c:v>
                </c:pt>
                <c:pt idx="43">
                  <c:v>3.2805033282904705E-9</c:v>
                </c:pt>
                <c:pt idx="44">
                  <c:v>2.9787488653555227E-9</c:v>
                </c:pt>
                <c:pt idx="45">
                  <c:v>2.779792738275341E-9</c:v>
                </c:pt>
                <c:pt idx="46">
                  <c:v>2.5808366111951589E-9</c:v>
                </c:pt>
                <c:pt idx="47">
                  <c:v>2.3818804841149772E-9</c:v>
                </c:pt>
                <c:pt idx="48">
                  <c:v>2.1829243570347955E-9</c:v>
                </c:pt>
                <c:pt idx="49">
                  <c:v>1.9839682299546133E-9</c:v>
                </c:pt>
                <c:pt idx="50">
                  <c:v>1.7850121028744318E-9</c:v>
                </c:pt>
                <c:pt idx="51">
                  <c:v>1.666355151515151E-9</c:v>
                </c:pt>
                <c:pt idx="52">
                  <c:v>1.5653248484848479E-9</c:v>
                </c:pt>
                <c:pt idx="53">
                  <c:v>1.4642945454545448E-9</c:v>
                </c:pt>
                <c:pt idx="54">
                  <c:v>1.363264242424242E-9</c:v>
                </c:pt>
                <c:pt idx="55">
                  <c:v>1.2622339393939389E-9</c:v>
                </c:pt>
                <c:pt idx="56">
                  <c:v>1.1612036363636358E-9</c:v>
                </c:pt>
                <c:pt idx="57">
                  <c:v>1.0657436144578308E-9</c:v>
                </c:pt>
                <c:pt idx="58">
                  <c:v>9.9003277108433708E-10</c:v>
                </c:pt>
                <c:pt idx="59">
                  <c:v>9.1756412121212104E-10</c:v>
                </c:pt>
                <c:pt idx="60">
                  <c:v>8.4764290909090898E-10</c:v>
                </c:pt>
                <c:pt idx="61">
                  <c:v>7.837663030303029E-10</c:v>
                </c:pt>
                <c:pt idx="62">
                  <c:v>7.2226812121212113E-10</c:v>
                </c:pt>
                <c:pt idx="63">
                  <c:v>6.6583781818181809E-10</c:v>
                </c:pt>
                <c:pt idx="64">
                  <c:v>6.1345939393939384E-10</c:v>
                </c:pt>
                <c:pt idx="65">
                  <c:v>5.6367151515151499E-10</c:v>
                </c:pt>
                <c:pt idx="66">
                  <c:v>5.2005301204819272E-10</c:v>
                </c:pt>
                <c:pt idx="67">
                  <c:v>4.7828000000000003E-10</c:v>
                </c:pt>
                <c:pt idx="68">
                  <c:v>4.4021333333333332E-10</c:v>
                </c:pt>
                <c:pt idx="69">
                  <c:v>4.0534151515151513E-10</c:v>
                </c:pt>
                <c:pt idx="70">
                  <c:v>3.7218999999999998E-10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C7E1-45B2-856A-6D7DDF9AB301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(2)Ga[l]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1.739711043872904E-29</c:v>
                </c:pt>
                <c:pt idx="45">
                  <c:v>5.7855506807866774E-29</c:v>
                </c:pt>
                <c:pt idx="46">
                  <c:v>9.8313903177004503E-29</c:v>
                </c:pt>
                <c:pt idx="47">
                  <c:v>1.3877229954614222E-28</c:v>
                </c:pt>
                <c:pt idx="48">
                  <c:v>1.7923069591527995E-28</c:v>
                </c:pt>
                <c:pt idx="49">
                  <c:v>2.196890922844177E-28</c:v>
                </c:pt>
                <c:pt idx="50">
                  <c:v>2.6014748865355543E-28</c:v>
                </c:pt>
                <c:pt idx="51">
                  <c:v>3.1393575757578274E-15</c:v>
                </c:pt>
                <c:pt idx="52">
                  <c:v>6.9678424242426355E-15</c:v>
                </c:pt>
                <c:pt idx="53">
                  <c:v>1.0796327272727445E-14</c:v>
                </c:pt>
                <c:pt idx="54">
                  <c:v>1.4624812121212252E-14</c:v>
                </c:pt>
                <c:pt idx="55">
                  <c:v>1.8453296969697059E-14</c:v>
                </c:pt>
                <c:pt idx="56">
                  <c:v>2.2281781818181867E-14</c:v>
                </c:pt>
                <c:pt idx="57">
                  <c:v>2.4544453012048614E-13</c:v>
                </c:pt>
                <c:pt idx="58">
                  <c:v>1.2462469397590391E-12</c:v>
                </c:pt>
                <c:pt idx="59">
                  <c:v>1.1443293333333371E-11</c:v>
                </c:pt>
                <c:pt idx="60">
                  <c:v>2.8865960000000039E-11</c:v>
                </c:pt>
                <c:pt idx="61">
                  <c:v>8.0779612121212242E-11</c:v>
                </c:pt>
                <c:pt idx="62">
                  <c:v>1.9348945454545518E-10</c:v>
                </c:pt>
                <c:pt idx="63">
                  <c:v>4.6952581818181878E-10</c:v>
                </c:pt>
                <c:pt idx="64">
                  <c:v>1.0956504242424264E-9</c:v>
                </c:pt>
                <c:pt idx="65">
                  <c:v>1.9456019393939417E-9</c:v>
                </c:pt>
                <c:pt idx="66">
                  <c:v>4.0711277108433757E-9</c:v>
                </c:pt>
                <c:pt idx="67">
                  <c:v>7.1356181818181823E-9</c:v>
                </c:pt>
                <c:pt idx="68">
                  <c:v>1.2267012121212121E-8</c:v>
                </c:pt>
                <c:pt idx="69">
                  <c:v>2.147418181818182E-8</c:v>
                </c:pt>
                <c:pt idx="70">
                  <c:v>3.2876000000000003E-8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C7E1-45B2-856A-6D7DDF9AB301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>
                  <c:v>-18.618363636363636</c:v>
                </c:pt>
                <c:pt idx="3">
                  <c:v>-18.624424242424244</c:v>
                </c:pt>
                <c:pt idx="4">
                  <c:v>-18.631089258698939</c:v>
                </c:pt>
                <c:pt idx="5">
                  <c:v>-18.644704992435702</c:v>
                </c:pt>
                <c:pt idx="6">
                  <c:v>-18.658320726172466</c:v>
                </c:pt>
                <c:pt idx="7">
                  <c:v>-18.671936459909226</c:v>
                </c:pt>
                <c:pt idx="8">
                  <c:v>-18.685552193645989</c:v>
                </c:pt>
                <c:pt idx="9">
                  <c:v>-18.699167927382753</c:v>
                </c:pt>
                <c:pt idx="10">
                  <c:v>-18.712783661119516</c:v>
                </c:pt>
                <c:pt idx="11">
                  <c:v>-18.728545454545454</c:v>
                </c:pt>
                <c:pt idx="12">
                  <c:v>-18.746727272727274</c:v>
                </c:pt>
                <c:pt idx="13">
                  <c:v>-18.764909090909093</c:v>
                </c:pt>
                <c:pt idx="14">
                  <c:v>-18.783072289156628</c:v>
                </c:pt>
                <c:pt idx="15">
                  <c:v>-18.801144578313252</c:v>
                </c:pt>
                <c:pt idx="16">
                  <c:v>-18.819272727272725</c:v>
                </c:pt>
                <c:pt idx="17">
                  <c:v>-18.837454545454545</c:v>
                </c:pt>
                <c:pt idx="18">
                  <c:v>-18.855636363636364</c:v>
                </c:pt>
                <c:pt idx="19">
                  <c:v>-18.873818181818184</c:v>
                </c:pt>
                <c:pt idx="20">
                  <c:v>-18.891999999999999</c:v>
                </c:pt>
                <c:pt idx="21">
                  <c:v>-18.913575757575757</c:v>
                </c:pt>
                <c:pt idx="22">
                  <c:v>-18.937818181818184</c:v>
                </c:pt>
                <c:pt idx="23">
                  <c:v>-18.95644578313253</c:v>
                </c:pt>
                <c:pt idx="24">
                  <c:v>-18.976060606060607</c:v>
                </c:pt>
                <c:pt idx="25">
                  <c:v>-19.00030303030303</c:v>
                </c:pt>
                <c:pt idx="26">
                  <c:v>-19.020909090909093</c:v>
                </c:pt>
                <c:pt idx="27">
                  <c:v>-19.039090909090909</c:v>
                </c:pt>
                <c:pt idx="28">
                  <c:v>-19.057272727272728</c:v>
                </c:pt>
                <c:pt idx="29">
                  <c:v>-19.077272727272728</c:v>
                </c:pt>
                <c:pt idx="30">
                  <c:v>-19.101515151515152</c:v>
                </c:pt>
                <c:pt idx="31">
                  <c:v>-19.121746987951806</c:v>
                </c:pt>
                <c:pt idx="32">
                  <c:v>-19.139819277108433</c:v>
                </c:pt>
                <c:pt idx="33">
                  <c:v>-19.164000000000001</c:v>
                </c:pt>
                <c:pt idx="34">
                  <c:v>-19.186181818181819</c:v>
                </c:pt>
                <c:pt idx="35">
                  <c:v>-19.204363636363638</c:v>
                </c:pt>
                <c:pt idx="36">
                  <c:v>-19.226727272727274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-19.388456883509832</c:v>
                </c:pt>
                <c:pt idx="45">
                  <c:v>-19.408124054462935</c:v>
                </c:pt>
                <c:pt idx="46">
                  <c:v>-19.427791225416037</c:v>
                </c:pt>
                <c:pt idx="47">
                  <c:v>-19.447458396369139</c:v>
                </c:pt>
                <c:pt idx="48">
                  <c:v>-19.467125567322238</c:v>
                </c:pt>
                <c:pt idx="49">
                  <c:v>-19.486792738275341</c:v>
                </c:pt>
                <c:pt idx="50">
                  <c:v>-19.506459909228443</c:v>
                </c:pt>
                <c:pt idx="51">
                  <c:v>-19.526151515151518</c:v>
                </c:pt>
                <c:pt idx="52">
                  <c:v>-19.545848484848488</c:v>
                </c:pt>
                <c:pt idx="53">
                  <c:v>-19.565545454545457</c:v>
                </c:pt>
                <c:pt idx="54">
                  <c:v>-19.585242424242427</c:v>
                </c:pt>
                <c:pt idx="55">
                  <c:v>-19.604939393939397</c:v>
                </c:pt>
                <c:pt idx="56">
                  <c:v>-19.624636363636366</c:v>
                </c:pt>
                <c:pt idx="57">
                  <c:v>-19.643975903614457</c:v>
                </c:pt>
                <c:pt idx="58">
                  <c:v>-19.662048192771085</c:v>
                </c:pt>
                <c:pt idx="59">
                  <c:v>-19.680181818181818</c:v>
                </c:pt>
                <c:pt idx="60">
                  <c:v>-19.698363636363634</c:v>
                </c:pt>
                <c:pt idx="61">
                  <c:v>-19.716545454545454</c:v>
                </c:pt>
                <c:pt idx="62">
                  <c:v>-19.734727272727273</c:v>
                </c:pt>
                <c:pt idx="63">
                  <c:v>-19.752909090909093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C7E1-45B2-856A-6D7DDF9AB301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-60.735090909090907</c:v>
                </c:pt>
                <c:pt idx="1">
                  <c:v>-58.673878787878785</c:v>
                </c:pt>
                <c:pt idx="2">
                  <c:v>-56.631454545454545</c:v>
                </c:pt>
                <c:pt idx="3">
                  <c:v>-54.589030303030299</c:v>
                </c:pt>
                <c:pt idx="4">
                  <c:v>-52.560166414523451</c:v>
                </c:pt>
                <c:pt idx="5">
                  <c:v>-50.687246596066565</c:v>
                </c:pt>
                <c:pt idx="6">
                  <c:v>-48.814326777609679</c:v>
                </c:pt>
                <c:pt idx="7">
                  <c:v>-46.9414069591528</c:v>
                </c:pt>
                <c:pt idx="8">
                  <c:v>-45.068487140695915</c:v>
                </c:pt>
                <c:pt idx="9">
                  <c:v>-43.195567322239029</c:v>
                </c:pt>
                <c:pt idx="10">
                  <c:v>-41.32264750378215</c:v>
                </c:pt>
                <c:pt idx="11">
                  <c:v>-39.589393939393936</c:v>
                </c:pt>
                <c:pt idx="12">
                  <c:v>-38.013636363636365</c:v>
                </c:pt>
                <c:pt idx="13">
                  <c:v>-36.542242424242424</c:v>
                </c:pt>
                <c:pt idx="14">
                  <c:v>-35.117771084337356</c:v>
                </c:pt>
                <c:pt idx="15">
                  <c:v>-33.810542168674701</c:v>
                </c:pt>
                <c:pt idx="16">
                  <c:v>-32.561090909090908</c:v>
                </c:pt>
                <c:pt idx="17">
                  <c:v>-31.367151515151512</c:v>
                </c:pt>
                <c:pt idx="18">
                  <c:v>-30.256606060606057</c:v>
                </c:pt>
                <c:pt idx="19">
                  <c:v>-29.173636363636362</c:v>
                </c:pt>
                <c:pt idx="20">
                  <c:v>-28.143333333333331</c:v>
                </c:pt>
                <c:pt idx="21">
                  <c:v>-27.143575757575757</c:v>
                </c:pt>
                <c:pt idx="22">
                  <c:v>-26.167818181818177</c:v>
                </c:pt>
                <c:pt idx="23">
                  <c:v>-25.252228915662648</c:v>
                </c:pt>
                <c:pt idx="24">
                  <c:v>-24.354848484848485</c:v>
                </c:pt>
                <c:pt idx="25">
                  <c:v>-23.494242424242422</c:v>
                </c:pt>
                <c:pt idx="26">
                  <c:v>-22.673636363636362</c:v>
                </c:pt>
                <c:pt idx="27">
                  <c:v>-21.879696969696969</c:v>
                </c:pt>
                <c:pt idx="28">
                  <c:v>-21.149090909090908</c:v>
                </c:pt>
                <c:pt idx="29">
                  <c:v>-20.438181818181818</c:v>
                </c:pt>
                <c:pt idx="30">
                  <c:v>-19.765454545454546</c:v>
                </c:pt>
                <c:pt idx="31">
                  <c:v>-19.126686746987954</c:v>
                </c:pt>
                <c:pt idx="32">
                  <c:v>-18.506204819277109</c:v>
                </c:pt>
                <c:pt idx="33">
                  <c:v>-17.918000000000003</c:v>
                </c:pt>
                <c:pt idx="34">
                  <c:v>-17.342484848484851</c:v>
                </c:pt>
                <c:pt idx="35">
                  <c:v>-16.7909696969697</c:v>
                </c:pt>
                <c:pt idx="36">
                  <c:v>-16.252000000000002</c:v>
                </c:pt>
                <c:pt idx="37">
                  <c:v>-15.721119515885023</c:v>
                </c:pt>
                <c:pt idx="38">
                  <c:v>-15.249107413010591</c:v>
                </c:pt>
                <c:pt idx="39">
                  <c:v>-14.77709531013616</c:v>
                </c:pt>
                <c:pt idx="40">
                  <c:v>-14.305083207261726</c:v>
                </c:pt>
                <c:pt idx="41">
                  <c:v>-13.833071104387294</c:v>
                </c:pt>
                <c:pt idx="42">
                  <c:v>-13.36105900151286</c:v>
                </c:pt>
                <c:pt idx="43">
                  <c:v>-12.889046898638428</c:v>
                </c:pt>
                <c:pt idx="44">
                  <c:v>-12.457367624810892</c:v>
                </c:pt>
                <c:pt idx="45">
                  <c:v>-12.079152798789712</c:v>
                </c:pt>
                <c:pt idx="46">
                  <c:v>-11.700937972768532</c:v>
                </c:pt>
                <c:pt idx="47">
                  <c:v>-11.322723146747352</c:v>
                </c:pt>
                <c:pt idx="48">
                  <c:v>-10.944508320726172</c:v>
                </c:pt>
                <c:pt idx="49">
                  <c:v>-10.56629349470499</c:v>
                </c:pt>
                <c:pt idx="50">
                  <c:v>-10.18807866868381</c:v>
                </c:pt>
                <c:pt idx="51">
                  <c:v>-9.9633303030303022</c:v>
                </c:pt>
                <c:pt idx="52">
                  <c:v>-9.7722696969696958</c:v>
                </c:pt>
                <c:pt idx="53">
                  <c:v>-9.5812090909090895</c:v>
                </c:pt>
                <c:pt idx="54">
                  <c:v>-9.3901484848484831</c:v>
                </c:pt>
                <c:pt idx="55">
                  <c:v>-9.1990878787878785</c:v>
                </c:pt>
                <c:pt idx="56">
                  <c:v>-9.0080272727272721</c:v>
                </c:pt>
                <c:pt idx="57">
                  <c:v>-8.8458795180722891</c:v>
                </c:pt>
                <c:pt idx="58">
                  <c:v>-8.7862409638554215</c:v>
                </c:pt>
                <c:pt idx="59">
                  <c:v>-8.7443878787878795</c:v>
                </c:pt>
                <c:pt idx="60">
                  <c:v>-8.7165090909090921</c:v>
                </c:pt>
                <c:pt idx="61">
                  <c:v>-8.7068303030303031</c:v>
                </c:pt>
                <c:pt idx="62">
                  <c:v>-8.7021030303030305</c:v>
                </c:pt>
                <c:pt idx="63">
                  <c:v>-8.7063454545454544</c:v>
                </c:pt>
                <c:pt idx="64">
                  <c:v>-8.7153939393939392</c:v>
                </c:pt>
                <c:pt idx="65">
                  <c:v>-8.727515151515151</c:v>
                </c:pt>
                <c:pt idx="66">
                  <c:v>-8.7430361445783138</c:v>
                </c:pt>
                <c:pt idx="67">
                  <c:v>-8.7596363636363641</c:v>
                </c:pt>
                <c:pt idx="68">
                  <c:v>-8.7784242424242418</c:v>
                </c:pt>
                <c:pt idx="69">
                  <c:v>-8.798</c:v>
                </c:pt>
                <c:pt idx="70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C7E1-45B2-856A-6D7DDF9AB301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-15.805636363636363</c:v>
                </c:pt>
                <c:pt idx="1">
                  <c:v>-15.261999999999999</c:v>
                </c:pt>
                <c:pt idx="2">
                  <c:v>-14.661999999999999</c:v>
                </c:pt>
                <c:pt idx="3">
                  <c:v>-14.004484848484848</c:v>
                </c:pt>
                <c:pt idx="4">
                  <c:v>-13.326287443267777</c:v>
                </c:pt>
                <c:pt idx="5">
                  <c:v>-12.654880484114978</c:v>
                </c:pt>
                <c:pt idx="6">
                  <c:v>-11.983473524962179</c:v>
                </c:pt>
                <c:pt idx="7">
                  <c:v>-11.31206656580938</c:v>
                </c:pt>
                <c:pt idx="8">
                  <c:v>-10.64065960665658</c:v>
                </c:pt>
                <c:pt idx="9">
                  <c:v>-9.969252647503783</c:v>
                </c:pt>
                <c:pt idx="10">
                  <c:v>-9.2978456883509839</c:v>
                </c:pt>
                <c:pt idx="11">
                  <c:v>-8.67908484848485</c:v>
                </c:pt>
                <c:pt idx="12">
                  <c:v>-8.1196909090909095</c:v>
                </c:pt>
                <c:pt idx="13">
                  <c:v>-7.619436363636364</c:v>
                </c:pt>
                <c:pt idx="14">
                  <c:v>-7.1476144578313257</c:v>
                </c:pt>
                <c:pt idx="15">
                  <c:v>-6.7512289156626508</c:v>
                </c:pt>
                <c:pt idx="16">
                  <c:v>-6.4021454545454546</c:v>
                </c:pt>
                <c:pt idx="17">
                  <c:v>-6.09850909090909</c:v>
                </c:pt>
                <c:pt idx="18">
                  <c:v>-5.8730545454545453</c:v>
                </c:pt>
                <c:pt idx="19">
                  <c:v>-5.6767454545454541</c:v>
                </c:pt>
                <c:pt idx="20">
                  <c:v>-5.5421999999999993</c:v>
                </c:pt>
                <c:pt idx="21">
                  <c:v>-5.4426121212121208</c:v>
                </c:pt>
                <c:pt idx="22">
                  <c:v>-5.3704909090909085</c:v>
                </c:pt>
                <c:pt idx="23">
                  <c:v>-5.3393313253012051</c:v>
                </c:pt>
                <c:pt idx="24">
                  <c:v>-5.319</c:v>
                </c:pt>
                <c:pt idx="25">
                  <c:v>-5.319</c:v>
                </c:pt>
                <c:pt idx="26">
                  <c:v>-5.3280909090909088</c:v>
                </c:pt>
                <c:pt idx="27">
                  <c:v>-5.3432424242424243</c:v>
                </c:pt>
                <c:pt idx="28">
                  <c:v>-5.3641515151515149</c:v>
                </c:pt>
                <c:pt idx="29">
                  <c:v>-5.3860909090909086</c:v>
                </c:pt>
                <c:pt idx="30">
                  <c:v>-5.4097272727272729</c:v>
                </c:pt>
                <c:pt idx="31">
                  <c:v>-5.4340542168674695</c:v>
                </c:pt>
                <c:pt idx="32">
                  <c:v>-5.4587530120481924</c:v>
                </c:pt>
                <c:pt idx="33">
                  <c:v>-5.4829999999999997</c:v>
                </c:pt>
                <c:pt idx="34">
                  <c:v>-5.5074484848484841</c:v>
                </c:pt>
                <c:pt idx="35">
                  <c:v>-5.5322969696969695</c:v>
                </c:pt>
                <c:pt idx="36">
                  <c:v>-5.5567272727272723</c:v>
                </c:pt>
                <c:pt idx="37">
                  <c:v>-5.5809863842662635</c:v>
                </c:pt>
                <c:pt idx="38">
                  <c:v>-5.6056459909228442</c:v>
                </c:pt>
                <c:pt idx="39">
                  <c:v>-5.6303055975794249</c:v>
                </c:pt>
                <c:pt idx="40">
                  <c:v>-5.6549652042360066</c:v>
                </c:pt>
                <c:pt idx="41">
                  <c:v>-5.6796248108925873</c:v>
                </c:pt>
                <c:pt idx="42">
                  <c:v>-5.704284417549168</c:v>
                </c:pt>
                <c:pt idx="43">
                  <c:v>-5.7289440242057488</c:v>
                </c:pt>
                <c:pt idx="44">
                  <c:v>-5.7543192133131624</c:v>
                </c:pt>
                <c:pt idx="45">
                  <c:v>-5.7806429652042359</c:v>
                </c:pt>
                <c:pt idx="46">
                  <c:v>-5.8069667170953103</c:v>
                </c:pt>
                <c:pt idx="47">
                  <c:v>-5.8332904689863847</c:v>
                </c:pt>
                <c:pt idx="48">
                  <c:v>-5.8596142208774582</c:v>
                </c:pt>
                <c:pt idx="49">
                  <c:v>-5.8859379727685326</c:v>
                </c:pt>
                <c:pt idx="50">
                  <c:v>-5.912261724659607</c:v>
                </c:pt>
                <c:pt idx="51">
                  <c:v>-5.942966666666667</c:v>
                </c:pt>
                <c:pt idx="52">
                  <c:v>-5.9746333333333332</c:v>
                </c:pt>
                <c:pt idx="53">
                  <c:v>-6.0063000000000004</c:v>
                </c:pt>
                <c:pt idx="54">
                  <c:v>-6.0379666666666667</c:v>
                </c:pt>
                <c:pt idx="55">
                  <c:v>-6.0696333333333339</c:v>
                </c:pt>
                <c:pt idx="56">
                  <c:v>-6.1013000000000002</c:v>
                </c:pt>
                <c:pt idx="57">
                  <c:v>-6.132493975903615</c:v>
                </c:pt>
                <c:pt idx="58">
                  <c:v>-6.1620120481927714</c:v>
                </c:pt>
                <c:pt idx="59">
                  <c:v>-6.190612121212121</c:v>
                </c:pt>
                <c:pt idx="60">
                  <c:v>-6.2184909090909093</c:v>
                </c:pt>
                <c:pt idx="61">
                  <c:v>-6.2441636363636368</c:v>
                </c:pt>
                <c:pt idx="62">
                  <c:v>-6.2693030303030302</c:v>
                </c:pt>
                <c:pt idx="63">
                  <c:v>-6.2935454545454546</c:v>
                </c:pt>
                <c:pt idx="64">
                  <c:v>-6.3174181818181818</c:v>
                </c:pt>
                <c:pt idx="65">
                  <c:v>-6.3410545454545453</c:v>
                </c:pt>
                <c:pt idx="66">
                  <c:v>-6.363397590361445</c:v>
                </c:pt>
                <c:pt idx="67">
                  <c:v>-6.385727272727272</c:v>
                </c:pt>
                <c:pt idx="68">
                  <c:v>-6.4081515151515154</c:v>
                </c:pt>
                <c:pt idx="69">
                  <c:v>-6.4301818181818184</c:v>
                </c:pt>
                <c:pt idx="70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C7E1-45B2-856A-6D7DDF9AB301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  <c:pt idx="0">
                  <c:v>-22.065575757575758</c:v>
                </c:pt>
                <c:pt idx="1">
                  <c:v>-21.674060606060607</c:v>
                </c:pt>
                <c:pt idx="2">
                  <c:v>-21.395272727272726</c:v>
                </c:pt>
                <c:pt idx="3">
                  <c:v>-21.244787878787879</c:v>
                </c:pt>
                <c:pt idx="4">
                  <c:v>-21.157019667170953</c:v>
                </c:pt>
                <c:pt idx="5">
                  <c:v>-21.244765506807866</c:v>
                </c:pt>
                <c:pt idx="6">
                  <c:v>-21.332511346444779</c:v>
                </c:pt>
                <c:pt idx="7">
                  <c:v>-21.420257186081695</c:v>
                </c:pt>
                <c:pt idx="8">
                  <c:v>-21.508003025718608</c:v>
                </c:pt>
                <c:pt idx="9">
                  <c:v>-21.595748865355521</c:v>
                </c:pt>
                <c:pt idx="10">
                  <c:v>-21.683494704992437</c:v>
                </c:pt>
                <c:pt idx="11">
                  <c:v>-21.792666666666666</c:v>
                </c:pt>
                <c:pt idx="12">
                  <c:v>-21.925999999999998</c:v>
                </c:pt>
                <c:pt idx="13">
                  <c:v>-22.049393939393937</c:v>
                </c:pt>
                <c:pt idx="14">
                  <c:v>-22.167409638554215</c:v>
                </c:pt>
                <c:pt idx="15">
                  <c:v>-22.269819277108432</c:v>
                </c:pt>
                <c:pt idx="16">
                  <c:v>-22.363272727272729</c:v>
                </c:pt>
                <c:pt idx="17">
                  <c:v>-22.448121212121212</c:v>
                </c:pt>
                <c:pt idx="18">
                  <c:v>-22.532969696969698</c:v>
                </c:pt>
                <c:pt idx="19">
                  <c:v>-22.620363636363638</c:v>
                </c:pt>
                <c:pt idx="20">
                  <c:v>-22.717333333333336</c:v>
                </c:pt>
                <c:pt idx="21">
                  <c:v>-22.82448484848485</c:v>
                </c:pt>
                <c:pt idx="22">
                  <c:v>-22.939636363636364</c:v>
                </c:pt>
                <c:pt idx="23">
                  <c:v>-23.059638554216868</c:v>
                </c:pt>
                <c:pt idx="24">
                  <c:v>-23.183333333333334</c:v>
                </c:pt>
                <c:pt idx="25">
                  <c:v>-23.316666666666666</c:v>
                </c:pt>
                <c:pt idx="26">
                  <c:v>-23.453636363636363</c:v>
                </c:pt>
                <c:pt idx="27">
                  <c:v>-23.593030303030304</c:v>
                </c:pt>
                <c:pt idx="28">
                  <c:v>-23.738181818181818</c:v>
                </c:pt>
                <c:pt idx="29">
                  <c:v>-23.881818181818183</c:v>
                </c:pt>
                <c:pt idx="30">
                  <c:v>-24.02121212121212</c:v>
                </c:pt>
                <c:pt idx="31">
                  <c:v>-24.163975903614457</c:v>
                </c:pt>
                <c:pt idx="32">
                  <c:v>-24.308554216867467</c:v>
                </c:pt>
                <c:pt idx="33">
                  <c:v>-24.448</c:v>
                </c:pt>
                <c:pt idx="34">
                  <c:v>-24.587393939393937</c:v>
                </c:pt>
                <c:pt idx="35">
                  <c:v>-24.726787878787878</c:v>
                </c:pt>
                <c:pt idx="36">
                  <c:v>-24.866181818181818</c:v>
                </c:pt>
                <c:pt idx="37">
                  <c:v>-25.005446293494703</c:v>
                </c:pt>
                <c:pt idx="38">
                  <c:v>-25.141603630862328</c:v>
                </c:pt>
                <c:pt idx="39">
                  <c:v>-25.277760968229956</c:v>
                </c:pt>
                <c:pt idx="40">
                  <c:v>-25.41391830559758</c:v>
                </c:pt>
                <c:pt idx="41">
                  <c:v>-25.550075642965204</c:v>
                </c:pt>
                <c:pt idx="42">
                  <c:v>-25.686232980332829</c:v>
                </c:pt>
                <c:pt idx="43">
                  <c:v>-25.822390317700453</c:v>
                </c:pt>
                <c:pt idx="44">
                  <c:v>-25.955295007564295</c:v>
                </c:pt>
                <c:pt idx="45">
                  <c:v>-26.083888048411495</c:v>
                </c:pt>
                <c:pt idx="46">
                  <c:v>-26.212481089258699</c:v>
                </c:pt>
                <c:pt idx="47">
                  <c:v>-26.341074130105898</c:v>
                </c:pt>
                <c:pt idx="48">
                  <c:v>-26.469667170953102</c:v>
                </c:pt>
                <c:pt idx="49">
                  <c:v>-26.598260211800302</c:v>
                </c:pt>
                <c:pt idx="50">
                  <c:v>-26.726853252647505</c:v>
                </c:pt>
                <c:pt idx="51">
                  <c:v>-26.849393939393941</c:v>
                </c:pt>
                <c:pt idx="52">
                  <c:v>-26.970606060606062</c:v>
                </c:pt>
                <c:pt idx="53">
                  <c:v>-27.091818181818184</c:v>
                </c:pt>
                <c:pt idx="54">
                  <c:v>-27.213030303030305</c:v>
                </c:pt>
                <c:pt idx="55">
                  <c:v>-27.334242424242426</c:v>
                </c:pt>
                <c:pt idx="56">
                  <c:v>-27.455454545454547</c:v>
                </c:pt>
                <c:pt idx="57">
                  <c:v>-27.576506024096386</c:v>
                </c:pt>
                <c:pt idx="58">
                  <c:v>-27.69698795180723</c:v>
                </c:pt>
                <c:pt idx="59">
                  <c:v>-27.817878787878787</c:v>
                </c:pt>
                <c:pt idx="60">
                  <c:v>-27.939090909090908</c:v>
                </c:pt>
                <c:pt idx="61">
                  <c:v>-28.060303030303029</c:v>
                </c:pt>
                <c:pt idx="62">
                  <c:v>-28.18151515151515</c:v>
                </c:pt>
                <c:pt idx="63">
                  <c:v>-28.302727272727275</c:v>
                </c:pt>
                <c:pt idx="64">
                  <c:v>-28.420242424242424</c:v>
                </c:pt>
                <c:pt idx="65">
                  <c:v>-28.535393939393938</c:v>
                </c:pt>
                <c:pt idx="66">
                  <c:v>-28.655662650602409</c:v>
                </c:pt>
                <c:pt idx="67">
                  <c:v>-28.776363636363634</c:v>
                </c:pt>
                <c:pt idx="68">
                  <c:v>-28.897575757575758</c:v>
                </c:pt>
                <c:pt idx="69">
                  <c:v>-29.014848484848486</c:v>
                </c:pt>
                <c:pt idx="70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C7E1-45B2-856A-6D7DDF9AB301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C7E1-45B2-856A-6D7DDF9AB301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C7E1-45B2-856A-6D7DDF9AB301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C7E1-45B2-856A-6D7DDF9AB301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C7E1-45B2-856A-6D7DDF9AB301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C7E1-45B2-856A-6D7DDF9AB301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C7E1-45B2-856A-6D7DDF9AB301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C7E1-45B2-856A-6D7DDF9AB301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C7E1-45B2-856A-6D7DDF9AB301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C7E1-45B2-856A-6D7DDF9AB301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C7E1-45B2-856A-6D7DDF9AB301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C7E1-45B2-856A-6D7DDF9AB301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  <c:pt idx="0">
                  <c:v>End2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C7E1-45B2-856A-6D7DDF9AB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0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Ga2Se</a:t>
            </a:r>
          </a:p>
        </c:rich>
      </c:tx>
      <c:layout>
        <c:manualLayout>
          <c:xMode val="edge"/>
          <c:yMode val="edge"/>
          <c:x val="0.14241247080956879"/>
          <c:y val="1.366793588338990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4.0122484763636409E-11</c:v>
                </c:pt>
                <c:pt idx="1">
                  <c:v>4.4496089090909203E-10</c:v>
                </c:pt>
                <c:pt idx="2">
                  <c:v>1.4468027090909102E-9</c:v>
                </c:pt>
                <c:pt idx="3">
                  <c:v>1.5836322181818206E-7</c:v>
                </c:pt>
                <c:pt idx="4">
                  <c:v>5.8185203482425066E-3</c:v>
                </c:pt>
                <c:pt idx="5">
                  <c:v>7.8545577451272802E-2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  <c:pt idx="21">
                  <c:v>0.20145454545454577</c:v>
                </c:pt>
                <c:pt idx="22">
                  <c:v>0.34690909090909122</c:v>
                </c:pt>
                <c:pt idx="23">
                  <c:v>0.36</c:v>
                </c:pt>
                <c:pt idx="24">
                  <c:v>0.36</c:v>
                </c:pt>
                <c:pt idx="25">
                  <c:v>0.36</c:v>
                </c:pt>
                <c:pt idx="26">
                  <c:v>0.36</c:v>
                </c:pt>
                <c:pt idx="27">
                  <c:v>0.36</c:v>
                </c:pt>
                <c:pt idx="28">
                  <c:v>0.36</c:v>
                </c:pt>
                <c:pt idx="29">
                  <c:v>0.36727272727272725</c:v>
                </c:pt>
                <c:pt idx="30">
                  <c:v>0.39151515151515154</c:v>
                </c:pt>
                <c:pt idx="31">
                  <c:v>0.4</c:v>
                </c:pt>
                <c:pt idx="32">
                  <c:v>0.4</c:v>
                </c:pt>
                <c:pt idx="33">
                  <c:v>0.4</c:v>
                </c:pt>
                <c:pt idx="34">
                  <c:v>0.4</c:v>
                </c:pt>
                <c:pt idx="35">
                  <c:v>0.4</c:v>
                </c:pt>
                <c:pt idx="36">
                  <c:v>0.4</c:v>
                </c:pt>
                <c:pt idx="37">
                  <c:v>0.4</c:v>
                </c:pt>
                <c:pt idx="38">
                  <c:v>0.4</c:v>
                </c:pt>
                <c:pt idx="39">
                  <c:v>0.4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  <c:pt idx="46">
                  <c:v>0.4</c:v>
                </c:pt>
                <c:pt idx="47">
                  <c:v>0.4</c:v>
                </c:pt>
                <c:pt idx="48">
                  <c:v>0.4</c:v>
                </c:pt>
                <c:pt idx="49">
                  <c:v>0.4</c:v>
                </c:pt>
                <c:pt idx="50">
                  <c:v>0.4</c:v>
                </c:pt>
                <c:pt idx="51">
                  <c:v>0.43881333333333356</c:v>
                </c:pt>
                <c:pt idx="52">
                  <c:v>0.4782957575757576</c:v>
                </c:pt>
                <c:pt idx="53">
                  <c:v>0.47944727272727272</c:v>
                </c:pt>
                <c:pt idx="54">
                  <c:v>0.48</c:v>
                </c:pt>
                <c:pt idx="55">
                  <c:v>0.48</c:v>
                </c:pt>
                <c:pt idx="56">
                  <c:v>0.48</c:v>
                </c:pt>
                <c:pt idx="57">
                  <c:v>0.48</c:v>
                </c:pt>
                <c:pt idx="58">
                  <c:v>0.48</c:v>
                </c:pt>
                <c:pt idx="59">
                  <c:v>0.48</c:v>
                </c:pt>
                <c:pt idx="60">
                  <c:v>0.48</c:v>
                </c:pt>
                <c:pt idx="61">
                  <c:v>0.48</c:v>
                </c:pt>
                <c:pt idx="62">
                  <c:v>0.48</c:v>
                </c:pt>
                <c:pt idx="63">
                  <c:v>0.48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2ACB-4A56-A05D-23B78DB4E2E9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9.4775333333333184E-34</c:v>
                </c:pt>
                <c:pt idx="9">
                  <c:v>3.7209473377436009E-27</c:v>
                </c:pt>
                <c:pt idx="10">
                  <c:v>3.4728824894773901E-26</c:v>
                </c:pt>
                <c:pt idx="11">
                  <c:v>1.9889319213313171E-11</c:v>
                </c:pt>
                <c:pt idx="12">
                  <c:v>6.2207019667170965E-11</c:v>
                </c:pt>
                <c:pt idx="13">
                  <c:v>1.0452472012102877E-10</c:v>
                </c:pt>
                <c:pt idx="14">
                  <c:v>1.4684242057488658E-10</c:v>
                </c:pt>
                <c:pt idx="15">
                  <c:v>1.8916012102874438E-10</c:v>
                </c:pt>
                <c:pt idx="16">
                  <c:v>2.3147782148260218E-10</c:v>
                </c:pt>
                <c:pt idx="17">
                  <c:v>2.7379552193645998E-10</c:v>
                </c:pt>
                <c:pt idx="18">
                  <c:v>8.7112896969697131E-10</c:v>
                </c:pt>
                <c:pt idx="19">
                  <c:v>5.1064036363636761E-9</c:v>
                </c:pt>
                <c:pt idx="20">
                  <c:v>2.2687373333333375E-8</c:v>
                </c:pt>
                <c:pt idx="21">
                  <c:v>8.145456555216396E-2</c:v>
                </c:pt>
                <c:pt idx="22">
                  <c:v>0.22690909256852759</c:v>
                </c:pt>
                <c:pt idx="23">
                  <c:v>0.24</c:v>
                </c:pt>
                <c:pt idx="24">
                  <c:v>0.24</c:v>
                </c:pt>
                <c:pt idx="25">
                  <c:v>0.24</c:v>
                </c:pt>
                <c:pt idx="26">
                  <c:v>0.24</c:v>
                </c:pt>
                <c:pt idx="27">
                  <c:v>0.24</c:v>
                </c:pt>
                <c:pt idx="28">
                  <c:v>0.24</c:v>
                </c:pt>
                <c:pt idx="29">
                  <c:v>0.24</c:v>
                </c:pt>
                <c:pt idx="30">
                  <c:v>0.24</c:v>
                </c:pt>
                <c:pt idx="31">
                  <c:v>0.24</c:v>
                </c:pt>
                <c:pt idx="32">
                  <c:v>0.24</c:v>
                </c:pt>
                <c:pt idx="33">
                  <c:v>0.24</c:v>
                </c:pt>
                <c:pt idx="34">
                  <c:v>0.24</c:v>
                </c:pt>
                <c:pt idx="35">
                  <c:v>0.24</c:v>
                </c:pt>
                <c:pt idx="36">
                  <c:v>0.24</c:v>
                </c:pt>
                <c:pt idx="37">
                  <c:v>0.24</c:v>
                </c:pt>
                <c:pt idx="38">
                  <c:v>0.24</c:v>
                </c:pt>
                <c:pt idx="39">
                  <c:v>0.24</c:v>
                </c:pt>
                <c:pt idx="40">
                  <c:v>0.24</c:v>
                </c:pt>
                <c:pt idx="41">
                  <c:v>0.24</c:v>
                </c:pt>
                <c:pt idx="42">
                  <c:v>0.24</c:v>
                </c:pt>
                <c:pt idx="43">
                  <c:v>0.24</c:v>
                </c:pt>
                <c:pt idx="44">
                  <c:v>0.24</c:v>
                </c:pt>
                <c:pt idx="45">
                  <c:v>0.24</c:v>
                </c:pt>
                <c:pt idx="46">
                  <c:v>0.24</c:v>
                </c:pt>
                <c:pt idx="47">
                  <c:v>0.24</c:v>
                </c:pt>
                <c:pt idx="48">
                  <c:v>0.24</c:v>
                </c:pt>
                <c:pt idx="49">
                  <c:v>0.24</c:v>
                </c:pt>
                <c:pt idx="50">
                  <c:v>0.24</c:v>
                </c:pt>
                <c:pt idx="51">
                  <c:v>0.23194909090909085</c:v>
                </c:pt>
                <c:pt idx="52">
                  <c:v>0.22352078787878787</c:v>
                </c:pt>
                <c:pt idx="53">
                  <c:v>0.22187836363636362</c:v>
                </c:pt>
                <c:pt idx="54">
                  <c:v>0.22027060606060606</c:v>
                </c:pt>
                <c:pt idx="55">
                  <c:v>0.21869484848484846</c:v>
                </c:pt>
                <c:pt idx="56">
                  <c:v>0.21694509090909089</c:v>
                </c:pt>
                <c:pt idx="57">
                  <c:v>0.21502680786686837</c:v>
                </c:pt>
                <c:pt idx="58">
                  <c:v>0.21260320726172466</c:v>
                </c:pt>
                <c:pt idx="59">
                  <c:v>0.21017960665658092</c:v>
                </c:pt>
                <c:pt idx="60">
                  <c:v>0.20775600605143721</c:v>
                </c:pt>
                <c:pt idx="61">
                  <c:v>0.2053324054462935</c:v>
                </c:pt>
                <c:pt idx="62">
                  <c:v>0.20290880484114976</c:v>
                </c:pt>
                <c:pt idx="63">
                  <c:v>0.20048520423600605</c:v>
                </c:pt>
                <c:pt idx="64">
                  <c:v>0.19751036363636362</c:v>
                </c:pt>
                <c:pt idx="65">
                  <c:v>0.19418309090909089</c:v>
                </c:pt>
                <c:pt idx="66">
                  <c:v>0.19040084337349397</c:v>
                </c:pt>
                <c:pt idx="67">
                  <c:v>0.18640909090909091</c:v>
                </c:pt>
                <c:pt idx="68">
                  <c:v>0.18197272727272726</c:v>
                </c:pt>
                <c:pt idx="69">
                  <c:v>0.17705181818181817</c:v>
                </c:pt>
                <c:pt idx="70">
                  <c:v>0.17186999999999999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ACB-4A56-A05D-23B78DB4E2E9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2ACB-4A56-A05D-23B78DB4E2E9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0.04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3.2727300083636363E-2</c:v>
                </c:pt>
                <c:pt idx="30">
                  <c:v>8.4849670290909132E-3</c:v>
                </c:pt>
                <c:pt idx="31">
                  <c:v>9.2012587349397678E-8</c:v>
                </c:pt>
                <c:pt idx="32">
                  <c:v>2.0934909638556205E-9</c:v>
                </c:pt>
                <c:pt idx="33">
                  <c:v>6.0522000000000135E-10</c:v>
                </c:pt>
                <c:pt idx="34">
                  <c:v>1.7152876363636392E-10</c:v>
                </c:pt>
                <c:pt idx="35">
                  <c:v>5.1025127272727563E-11</c:v>
                </c:pt>
                <c:pt idx="36">
                  <c:v>9.3014254545454674E-12</c:v>
                </c:pt>
                <c:pt idx="37">
                  <c:v>3.2052853252647528E-12</c:v>
                </c:pt>
                <c:pt idx="38">
                  <c:v>2.7174184568835376E-12</c:v>
                </c:pt>
                <c:pt idx="39">
                  <c:v>2.2295515885023228E-12</c:v>
                </c:pt>
                <c:pt idx="40">
                  <c:v>1.741684720121108E-12</c:v>
                </c:pt>
                <c:pt idx="41">
                  <c:v>1.2538178517398928E-12</c:v>
                </c:pt>
                <c:pt idx="42">
                  <c:v>7.65950983358678E-13</c:v>
                </c:pt>
                <c:pt idx="43">
                  <c:v>2.780841149774632E-13</c:v>
                </c:pt>
                <c:pt idx="44">
                  <c:v>1.2466971230242472E-25</c:v>
                </c:pt>
                <c:pt idx="45">
                  <c:v>2.2482996726667122E-26</c:v>
                </c:pt>
                <c:pt idx="46">
                  <c:v>1.011994545454551E-30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2ACB-4A56-A05D-23B78DB4E2E9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3.4433888048409526E-29</c:v>
                </c:pt>
                <c:pt idx="38">
                  <c:v>8.9528108925869658E-28</c:v>
                </c:pt>
                <c:pt idx="39">
                  <c:v>1.7561282904689835E-27</c:v>
                </c:pt>
                <c:pt idx="40">
                  <c:v>2.6169754916792708E-27</c:v>
                </c:pt>
                <c:pt idx="41">
                  <c:v>3.4778226928895578E-27</c:v>
                </c:pt>
                <c:pt idx="42">
                  <c:v>4.3386698940998448E-27</c:v>
                </c:pt>
                <c:pt idx="43">
                  <c:v>5.1995170953101317E-27</c:v>
                </c:pt>
                <c:pt idx="44">
                  <c:v>8.3405517818180944E-25</c:v>
                </c:pt>
                <c:pt idx="45">
                  <c:v>2.7604853599999911E-24</c:v>
                </c:pt>
                <c:pt idx="46">
                  <c:v>2.7552517636363479E-22</c:v>
                </c:pt>
                <c:pt idx="47">
                  <c:v>1.5058913939393614E-21</c:v>
                </c:pt>
                <c:pt idx="48">
                  <c:v>8.6335944242423924E-21</c:v>
                </c:pt>
                <c:pt idx="49">
                  <c:v>1.64338072289156E-19</c:v>
                </c:pt>
                <c:pt idx="50">
                  <c:v>4.8100072289156739E-19</c:v>
                </c:pt>
                <c:pt idx="51">
                  <c:v>3.0472341818181691E-19</c:v>
                </c:pt>
                <c:pt idx="52">
                  <c:v>2.0336121218275148E-10</c:v>
                </c:pt>
                <c:pt idx="53">
                  <c:v>1.3996036363835989E-9</c:v>
                </c:pt>
                <c:pt idx="54">
                  <c:v>1.0271487272727344E-8</c:v>
                </c:pt>
                <c:pt idx="55">
                  <c:v>2.6228578181818253E-8</c:v>
                </c:pt>
                <c:pt idx="56">
                  <c:v>3.5589381818181855E-8</c:v>
                </c:pt>
                <c:pt idx="57">
                  <c:v>4.2250305597579427E-8</c:v>
                </c:pt>
                <c:pt idx="58">
                  <c:v>4.2833512859304087E-8</c:v>
                </c:pt>
                <c:pt idx="59">
                  <c:v>4.3416720121028747E-8</c:v>
                </c:pt>
                <c:pt idx="60">
                  <c:v>4.3999927382753407E-8</c:v>
                </c:pt>
                <c:pt idx="61">
                  <c:v>4.4583134644478067E-8</c:v>
                </c:pt>
                <c:pt idx="62">
                  <c:v>4.5166341906202727E-8</c:v>
                </c:pt>
                <c:pt idx="63">
                  <c:v>4.5749549167927387E-8</c:v>
                </c:pt>
                <c:pt idx="64">
                  <c:v>4.4567345454545453E-8</c:v>
                </c:pt>
                <c:pt idx="65">
                  <c:v>4.2256436363636358E-8</c:v>
                </c:pt>
                <c:pt idx="66">
                  <c:v>2.6851999999999985E-8</c:v>
                </c:pt>
                <c:pt idx="67">
                  <c:v>1.3646309090909091E-8</c:v>
                </c:pt>
                <c:pt idx="68">
                  <c:v>6.8440060606060596E-9</c:v>
                </c:pt>
                <c:pt idx="69">
                  <c:v>2.9135448484848485E-9</c:v>
                </c:pt>
                <c:pt idx="70">
                  <c:v>5.2946000000000036E-10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2ACB-4A56-A05D-23B78DB4E2E9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0.11418181839080718</c:v>
                </c:pt>
                <c:pt idx="5">
                  <c:v>4.145454827589809E-2</c:v>
                </c:pt>
                <c:pt idx="6">
                  <c:v>3.2263518674698782E-9</c:v>
                </c:pt>
                <c:pt idx="7">
                  <c:v>7.0530969879518313E-10</c:v>
                </c:pt>
                <c:pt idx="8">
                  <c:v>6.9458380000000084E-11</c:v>
                </c:pt>
                <c:pt idx="9">
                  <c:v>5.0540360727272767E-12</c:v>
                </c:pt>
                <c:pt idx="10">
                  <c:v>1.7951700121212162E-12</c:v>
                </c:pt>
                <c:pt idx="11">
                  <c:v>6.3137963801403633E-14</c:v>
                </c:pt>
                <c:pt idx="12">
                  <c:v>5.2854908059709232E-14</c:v>
                </c:pt>
                <c:pt idx="13">
                  <c:v>4.2571852318014825E-14</c:v>
                </c:pt>
                <c:pt idx="14">
                  <c:v>3.2288796576320418E-14</c:v>
                </c:pt>
                <c:pt idx="15">
                  <c:v>2.200574083462601E-14</c:v>
                </c:pt>
                <c:pt idx="16">
                  <c:v>1.1722685092931603E-14</c:v>
                </c:pt>
                <c:pt idx="17">
                  <c:v>1.4396293512372023E-15</c:v>
                </c:pt>
                <c:pt idx="18">
                  <c:v>7.4087636363640254E-22</c:v>
                </c:pt>
                <c:pt idx="19">
                  <c:v>6.8757818181818073E-35</c:v>
                </c:pt>
                <c:pt idx="20">
                  <c:v>2.1009333333333221E-35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2ACB-4A56-A05D-23B78DB4E2E9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1.4189933333333312E-30</c:v>
                </c:pt>
                <c:pt idx="9">
                  <c:v>6.7565728649090263E-26</c:v>
                </c:pt>
                <c:pt idx="10">
                  <c:v>6.3058812822484776E-25</c:v>
                </c:pt>
                <c:pt idx="11">
                  <c:v>4.3909092293046825E-15</c:v>
                </c:pt>
                <c:pt idx="12">
                  <c:v>1.3733269289678517E-14</c:v>
                </c:pt>
                <c:pt idx="13">
                  <c:v>2.3075629350052353E-14</c:v>
                </c:pt>
                <c:pt idx="14">
                  <c:v>3.2417989410426183E-14</c:v>
                </c:pt>
                <c:pt idx="15">
                  <c:v>4.1760349470800024E-14</c:v>
                </c:pt>
                <c:pt idx="16">
                  <c:v>5.1102709531173858E-14</c:v>
                </c:pt>
                <c:pt idx="17">
                  <c:v>6.0445069591547691E-14</c:v>
                </c:pt>
                <c:pt idx="18">
                  <c:v>2.959639235151507E-14</c:v>
                </c:pt>
                <c:pt idx="19">
                  <c:v>4.9905163636572299E-17</c:v>
                </c:pt>
                <c:pt idx="20">
                  <c:v>1.5248800001202663E-17</c:v>
                </c:pt>
                <c:pt idx="21">
                  <c:v>1.0834599999999976E-27</c:v>
                </c:pt>
                <c:pt idx="22">
                  <c:v>8.9459999999997778E-29</c:v>
                </c:pt>
                <c:pt idx="23">
                  <c:v>2.1785180722891592E-18</c:v>
                </c:pt>
                <c:pt idx="24">
                  <c:v>6.5104548826424235E-11</c:v>
                </c:pt>
                <c:pt idx="25">
                  <c:v>3.2552272823612119E-10</c:v>
                </c:pt>
                <c:pt idx="26">
                  <c:v>5.4156209090909096E-9</c:v>
                </c:pt>
                <c:pt idx="27">
                  <c:v>1.3725505757575759E-8</c:v>
                </c:pt>
                <c:pt idx="28">
                  <c:v>9.1896484848484868E-8</c:v>
                </c:pt>
                <c:pt idx="29">
                  <c:v>1.4545576609999999E-2</c:v>
                </c:pt>
                <c:pt idx="30">
                  <c:v>6.3030334676666674E-2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  <c:pt idx="36">
                  <c:v>0.08</c:v>
                </c:pt>
                <c:pt idx="37">
                  <c:v>0.08</c:v>
                </c:pt>
                <c:pt idx="38">
                  <c:v>0.08</c:v>
                </c:pt>
                <c:pt idx="39">
                  <c:v>0.08</c:v>
                </c:pt>
                <c:pt idx="40">
                  <c:v>0.08</c:v>
                </c:pt>
                <c:pt idx="41">
                  <c:v>0.08</c:v>
                </c:pt>
                <c:pt idx="42">
                  <c:v>0.08</c:v>
                </c:pt>
                <c:pt idx="43">
                  <c:v>0.08</c:v>
                </c:pt>
                <c:pt idx="44">
                  <c:v>0.08</c:v>
                </c:pt>
                <c:pt idx="45">
                  <c:v>0.08</c:v>
                </c:pt>
                <c:pt idx="46">
                  <c:v>0.08</c:v>
                </c:pt>
                <c:pt idx="47">
                  <c:v>0.08</c:v>
                </c:pt>
                <c:pt idx="48">
                  <c:v>0.08</c:v>
                </c:pt>
                <c:pt idx="49">
                  <c:v>0.08</c:v>
                </c:pt>
                <c:pt idx="50">
                  <c:v>0.08</c:v>
                </c:pt>
                <c:pt idx="51">
                  <c:v>4.1186368484848267E-2</c:v>
                </c:pt>
                <c:pt idx="52">
                  <c:v>1.7037053191939343E-3</c:v>
                </c:pt>
                <c:pt idx="53">
                  <c:v>5.5256013798181294E-4</c:v>
                </c:pt>
                <c:pt idx="54">
                  <c:v>7.3314821818181544E-9</c:v>
                </c:pt>
                <c:pt idx="55">
                  <c:v>1.3324094545454276E-9</c:v>
                </c:pt>
                <c:pt idx="56">
                  <c:v>2.6120366918181658E-10</c:v>
                </c:pt>
                <c:pt idx="57">
                  <c:v>1.406090015128592E-14</c:v>
                </c:pt>
                <c:pt idx="58">
                  <c:v>1.1860446293494696E-14</c:v>
                </c:pt>
                <c:pt idx="59">
                  <c:v>9.6599924357034704E-15</c:v>
                </c:pt>
                <c:pt idx="60">
                  <c:v>7.4595385779122465E-15</c:v>
                </c:pt>
                <c:pt idx="61">
                  <c:v>5.2590847201210225E-15</c:v>
                </c:pt>
                <c:pt idx="62">
                  <c:v>3.058630862329797E-15</c:v>
                </c:pt>
                <c:pt idx="63">
                  <c:v>8.5817700453857299E-16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2ACB-4A56-A05D-23B78DB4E2E9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*Ge[l]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9.8429803328290279E-33</c:v>
                </c:pt>
                <c:pt idx="12">
                  <c:v>3.078549167927382E-32</c:v>
                </c:pt>
                <c:pt idx="13">
                  <c:v>5.1728003025718609E-32</c:v>
                </c:pt>
                <c:pt idx="14">
                  <c:v>7.2670514372163404E-32</c:v>
                </c:pt>
                <c:pt idx="15">
                  <c:v>9.3613025718608199E-32</c:v>
                </c:pt>
                <c:pt idx="16">
                  <c:v>1.1455553706505298E-31</c:v>
                </c:pt>
                <c:pt idx="17">
                  <c:v>1.3549804841149778E-31</c:v>
                </c:pt>
                <c:pt idx="18">
                  <c:v>6.6278606060605875E-32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3.9242424242424246E-35</c:v>
                </c:pt>
                <c:pt idx="25">
                  <c:v>1.9621212121212122E-34</c:v>
                </c:pt>
                <c:pt idx="26">
                  <c:v>1.6481818181818182E-34</c:v>
                </c:pt>
                <c:pt idx="27">
                  <c:v>7.8484848484848385E-36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1.7481599999999957E-22</c:v>
                </c:pt>
                <c:pt idx="34">
                  <c:v>1.8245661625212001E-17</c:v>
                </c:pt>
                <c:pt idx="35">
                  <c:v>7.1908515346424115E-17</c:v>
                </c:pt>
                <c:pt idx="36">
                  <c:v>1.4228351650909046E-13</c:v>
                </c:pt>
                <c:pt idx="37">
                  <c:v>3.4509718608169414E-13</c:v>
                </c:pt>
                <c:pt idx="38">
                  <c:v>4.6952683812405417E-13</c:v>
                </c:pt>
                <c:pt idx="39">
                  <c:v>5.939564901664141E-13</c:v>
                </c:pt>
                <c:pt idx="40">
                  <c:v>7.1838614220877423E-13</c:v>
                </c:pt>
                <c:pt idx="41">
                  <c:v>8.4281579425113416E-13</c:v>
                </c:pt>
                <c:pt idx="42">
                  <c:v>9.6724544629349429E-13</c:v>
                </c:pt>
                <c:pt idx="43">
                  <c:v>1.0916750983358542E-12</c:v>
                </c:pt>
                <c:pt idx="44">
                  <c:v>1.0477066060606072E-12</c:v>
                </c:pt>
                <c:pt idx="45">
                  <c:v>7.8051266666666788E-13</c:v>
                </c:pt>
                <c:pt idx="46">
                  <c:v>4.0931352727272913E-13</c:v>
                </c:pt>
                <c:pt idx="47">
                  <c:v>5.6056281254545627E-14</c:v>
                </c:pt>
                <c:pt idx="48">
                  <c:v>1.9189213981818354E-14</c:v>
                </c:pt>
                <c:pt idx="49">
                  <c:v>1.303615663559395E-17</c:v>
                </c:pt>
                <c:pt idx="50">
                  <c:v>1.9885662930812397E-18</c:v>
                </c:pt>
                <c:pt idx="51">
                  <c:v>1.5809739393939309E-26</c:v>
                </c:pt>
                <c:pt idx="52">
                  <c:v>8.2071878787880986E-18</c:v>
                </c:pt>
                <c:pt idx="53">
                  <c:v>5.648476363636386E-17</c:v>
                </c:pt>
                <c:pt idx="54">
                  <c:v>6.3944296977903582E-11</c:v>
                </c:pt>
                <c:pt idx="55">
                  <c:v>1.869139456700248E-10</c:v>
                </c:pt>
                <c:pt idx="56">
                  <c:v>2.1600800000000007E-10</c:v>
                </c:pt>
                <c:pt idx="57">
                  <c:v>2.3325167927382764E-10</c:v>
                </c:pt>
                <c:pt idx="58">
                  <c:v>2.5821385779122553E-10</c:v>
                </c:pt>
                <c:pt idx="59">
                  <c:v>2.8317603630862337E-10</c:v>
                </c:pt>
                <c:pt idx="60">
                  <c:v>3.0813821482602127E-10</c:v>
                </c:pt>
                <c:pt idx="61">
                  <c:v>3.3310039334341916E-10</c:v>
                </c:pt>
                <c:pt idx="62">
                  <c:v>3.58062571860817E-10</c:v>
                </c:pt>
                <c:pt idx="63">
                  <c:v>3.8302475037821489E-10</c:v>
                </c:pt>
                <c:pt idx="64">
                  <c:v>8.6576509090909274E-10</c:v>
                </c:pt>
                <c:pt idx="65">
                  <c:v>1.6411832727272747E-9</c:v>
                </c:pt>
                <c:pt idx="66">
                  <c:v>2.2457132530120486E-9</c:v>
                </c:pt>
                <c:pt idx="67">
                  <c:v>3.036172727272727E-9</c:v>
                </c:pt>
                <c:pt idx="68">
                  <c:v>4.2770818181818183E-9</c:v>
                </c:pt>
                <c:pt idx="69">
                  <c:v>4.5253424242424245E-9</c:v>
                </c:pt>
                <c:pt idx="70">
                  <c:v>4.2391000000000004E-9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2ACB-4A56-A05D-23B78DB4E2E9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0.12581818181818188</c:v>
                </c:pt>
                <c:pt idx="5">
                  <c:v>0.19854545454545464</c:v>
                </c:pt>
                <c:pt idx="6">
                  <c:v>0.24</c:v>
                </c:pt>
                <c:pt idx="7">
                  <c:v>0.24</c:v>
                </c:pt>
                <c:pt idx="8">
                  <c:v>0.24</c:v>
                </c:pt>
                <c:pt idx="9">
                  <c:v>0.24</c:v>
                </c:pt>
                <c:pt idx="10">
                  <c:v>0.24</c:v>
                </c:pt>
                <c:pt idx="11">
                  <c:v>0.24</c:v>
                </c:pt>
                <c:pt idx="12">
                  <c:v>0.24</c:v>
                </c:pt>
                <c:pt idx="13">
                  <c:v>0.24</c:v>
                </c:pt>
                <c:pt idx="14">
                  <c:v>0.24</c:v>
                </c:pt>
                <c:pt idx="15">
                  <c:v>0.24</c:v>
                </c:pt>
                <c:pt idx="16">
                  <c:v>0.24</c:v>
                </c:pt>
                <c:pt idx="17">
                  <c:v>0.24</c:v>
                </c:pt>
                <c:pt idx="18">
                  <c:v>0.24</c:v>
                </c:pt>
                <c:pt idx="19">
                  <c:v>0.24</c:v>
                </c:pt>
                <c:pt idx="20">
                  <c:v>0.24</c:v>
                </c:pt>
                <c:pt idx="21">
                  <c:v>0.15854551267006028</c:v>
                </c:pt>
                <c:pt idx="22">
                  <c:v>1.3091071009454225E-2</c:v>
                </c:pt>
                <c:pt idx="23">
                  <c:v>7.8679505421686649E-8</c:v>
                </c:pt>
                <c:pt idx="24">
                  <c:v>2.0281442424242425E-9</c:v>
                </c:pt>
                <c:pt idx="25">
                  <c:v>6.3312121212121203E-10</c:v>
                </c:pt>
                <c:pt idx="26">
                  <c:v>4.7798545472282182E-11</c:v>
                </c:pt>
                <c:pt idx="27">
                  <c:v>2.2761212594191502E-12</c:v>
                </c:pt>
                <c:pt idx="28">
                  <c:v>2.0692848484848481E-20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9.8105999999999776E-27</c:v>
                </c:pt>
                <c:pt idx="34">
                  <c:v>1.0627163521212051E-23</c:v>
                </c:pt>
                <c:pt idx="35">
                  <c:v>4.1835435642424169E-23</c:v>
                </c:pt>
                <c:pt idx="36">
                  <c:v>5.2605876363636189E-21</c:v>
                </c:pt>
                <c:pt idx="37">
                  <c:v>1.2432308623298038E-20</c:v>
                </c:pt>
                <c:pt idx="38">
                  <c:v>1.0540024205748888E-20</c:v>
                </c:pt>
                <c:pt idx="39">
                  <c:v>8.647739788199739E-21</c:v>
                </c:pt>
                <c:pt idx="40">
                  <c:v>6.7554553706505879E-21</c:v>
                </c:pt>
                <c:pt idx="41">
                  <c:v>4.8631709531014383E-21</c:v>
                </c:pt>
                <c:pt idx="42">
                  <c:v>2.970886535552288E-21</c:v>
                </c:pt>
                <c:pt idx="43">
                  <c:v>1.0786021180031377E-21</c:v>
                </c:pt>
                <c:pt idx="44">
                  <c:v>8.3181818181818497E-35</c:v>
                </c:pt>
                <c:pt idx="45">
                  <c:v>1.5000000000000312E-35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2ACB-4A56-A05D-23B78DB4E2E9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4.7752284417549078E-33</c:v>
                </c:pt>
                <c:pt idx="12">
                  <c:v>1.4935288956127075E-32</c:v>
                </c:pt>
                <c:pt idx="13">
                  <c:v>2.5095349470499246E-32</c:v>
                </c:pt>
                <c:pt idx="14">
                  <c:v>3.5255409984871412E-32</c:v>
                </c:pt>
                <c:pt idx="15">
                  <c:v>4.5415470499243583E-32</c:v>
                </c:pt>
                <c:pt idx="16">
                  <c:v>5.5575531013615749E-32</c:v>
                </c:pt>
                <c:pt idx="17">
                  <c:v>6.573559152798792E-32</c:v>
                </c:pt>
                <c:pt idx="18">
                  <c:v>4.1267968606060713E-30</c:v>
                </c:pt>
                <c:pt idx="19">
                  <c:v>9.4366327272728209E-29</c:v>
                </c:pt>
                <c:pt idx="20">
                  <c:v>5.0632026666666759E-28</c:v>
                </c:pt>
                <c:pt idx="21">
                  <c:v>1.6155261939394003E-26</c:v>
                </c:pt>
                <c:pt idx="22">
                  <c:v>4.3776122545454608E-26</c:v>
                </c:pt>
                <c:pt idx="23">
                  <c:v>1.3641382530120496E-24</c:v>
                </c:pt>
                <c:pt idx="24">
                  <c:v>1.7886618181818183E-23</c:v>
                </c:pt>
                <c:pt idx="25">
                  <c:v>7.9631890909090907E-23</c:v>
                </c:pt>
                <c:pt idx="26">
                  <c:v>1.3894463636363638E-21</c:v>
                </c:pt>
                <c:pt idx="27">
                  <c:v>3.5313069696969699E-21</c:v>
                </c:pt>
                <c:pt idx="28">
                  <c:v>6.236659393939394E-20</c:v>
                </c:pt>
                <c:pt idx="29">
                  <c:v>4.7974181818181818E-19</c:v>
                </c:pt>
                <c:pt idx="30">
                  <c:v>1.7267478787878789E-18</c:v>
                </c:pt>
                <c:pt idx="31">
                  <c:v>1.0295169879518059E-17</c:v>
                </c:pt>
                <c:pt idx="32">
                  <c:v>2.2805892771084307E-17</c:v>
                </c:pt>
                <c:pt idx="33">
                  <c:v>1.3901239999999973E-16</c:v>
                </c:pt>
                <c:pt idx="34">
                  <c:v>5.4968242424242201E-16</c:v>
                </c:pt>
                <c:pt idx="35">
                  <c:v>1.5299248484848462E-15</c:v>
                </c:pt>
                <c:pt idx="36">
                  <c:v>6.948247272727256E-15</c:v>
                </c:pt>
                <c:pt idx="37">
                  <c:v>1.3806361270801109E-13</c:v>
                </c:pt>
                <c:pt idx="38">
                  <c:v>3.2380539304084641E-12</c:v>
                </c:pt>
                <c:pt idx="39">
                  <c:v>6.3380442481089176E-12</c:v>
                </c:pt>
                <c:pt idx="40">
                  <c:v>9.4380345658093712E-12</c:v>
                </c:pt>
                <c:pt idx="41">
                  <c:v>1.2538024883509825E-11</c:v>
                </c:pt>
                <c:pt idx="42">
                  <c:v>1.5638015201210277E-11</c:v>
                </c:pt>
                <c:pt idx="43">
                  <c:v>1.8738005518910729E-11</c:v>
                </c:pt>
                <c:pt idx="44">
                  <c:v>4.2522303030302796E-11</c:v>
                </c:pt>
                <c:pt idx="45">
                  <c:v>9.3725333333333104E-11</c:v>
                </c:pt>
                <c:pt idx="46">
                  <c:v>2.933670909090898E-10</c:v>
                </c:pt>
                <c:pt idx="47">
                  <c:v>6.4269187878787391E-10</c:v>
                </c:pt>
                <c:pt idx="48">
                  <c:v>1.7135524848484799E-9</c:v>
                </c:pt>
                <c:pt idx="49">
                  <c:v>4.4081349397590272E-9</c:v>
                </c:pt>
                <c:pt idx="50">
                  <c:v>8.8617493975903763E-9</c:v>
                </c:pt>
                <c:pt idx="51">
                  <c:v>2.3639480000000078E-8</c:v>
                </c:pt>
                <c:pt idx="52">
                  <c:v>3.7759624242424239E-8</c:v>
                </c:pt>
                <c:pt idx="53">
                  <c:v>3.7604472727272728E-8</c:v>
                </c:pt>
                <c:pt idx="54">
                  <c:v>3.7317272727272722E-8</c:v>
                </c:pt>
                <c:pt idx="55">
                  <c:v>3.6908181818181817E-8</c:v>
                </c:pt>
                <c:pt idx="56">
                  <c:v>3.6274472727272722E-8</c:v>
                </c:pt>
                <c:pt idx="57">
                  <c:v>3.5496290468986376E-8</c:v>
                </c:pt>
                <c:pt idx="58">
                  <c:v>3.4324883509833575E-8</c:v>
                </c:pt>
                <c:pt idx="59">
                  <c:v>3.3153476550680781E-8</c:v>
                </c:pt>
                <c:pt idx="60">
                  <c:v>3.198206959152798E-8</c:v>
                </c:pt>
                <c:pt idx="61">
                  <c:v>3.0810662632375186E-8</c:v>
                </c:pt>
                <c:pt idx="62">
                  <c:v>2.9639255673222385E-8</c:v>
                </c:pt>
                <c:pt idx="63">
                  <c:v>2.8467848714069588E-8</c:v>
                </c:pt>
                <c:pt idx="64">
                  <c:v>2.709193333333333E-8</c:v>
                </c:pt>
                <c:pt idx="65">
                  <c:v>2.5585266666666661E-8</c:v>
                </c:pt>
                <c:pt idx="66">
                  <c:v>2.4030638554216866E-8</c:v>
                </c:pt>
                <c:pt idx="67">
                  <c:v>2.2464454545454547E-8</c:v>
                </c:pt>
                <c:pt idx="68">
                  <c:v>2.0875969696969696E-8</c:v>
                </c:pt>
                <c:pt idx="69">
                  <c:v>1.9294575757575758E-8</c:v>
                </c:pt>
                <c:pt idx="70">
                  <c:v>1.7716999999999999E-8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2ACB-4A56-A05D-23B78DB4E2E9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Ar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2ACB-4A56-A05D-23B78DB4E2E9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3.0726733333333287E-34</c:v>
                </c:pt>
                <c:pt idx="9">
                  <c:v>5.8647963509090362E-31</c:v>
                </c:pt>
                <c:pt idx="10">
                  <c:v>5.4683230108484795E-30</c:v>
                </c:pt>
                <c:pt idx="11">
                  <c:v>5.8107217087170821E-22</c:v>
                </c:pt>
                <c:pt idx="12">
                  <c:v>1.817395921544069E-21</c:v>
                </c:pt>
                <c:pt idx="13">
                  <c:v>3.0537196722164296E-21</c:v>
                </c:pt>
                <c:pt idx="14">
                  <c:v>4.2900434228887903E-21</c:v>
                </c:pt>
                <c:pt idx="15">
                  <c:v>5.5263671735611517E-21</c:v>
                </c:pt>
                <c:pt idx="16">
                  <c:v>6.7626909242335124E-21</c:v>
                </c:pt>
                <c:pt idx="17">
                  <c:v>7.999014674905873E-21</c:v>
                </c:pt>
                <c:pt idx="18">
                  <c:v>3.9157727284848382E-21</c:v>
                </c:pt>
                <c:pt idx="19">
                  <c:v>5.1409745454548644E-24</c:v>
                </c:pt>
                <c:pt idx="20">
                  <c:v>1.5708533333352117E-24</c:v>
                </c:pt>
                <c:pt idx="21">
                  <c:v>1.6992109090909056E-36</c:v>
                </c:pt>
                <c:pt idx="22">
                  <c:v>1.4030181818181455E-37</c:v>
                </c:pt>
                <c:pt idx="23">
                  <c:v>0</c:v>
                </c:pt>
                <c:pt idx="24">
                  <c:v>4.9569696969696967E-29</c:v>
                </c:pt>
                <c:pt idx="25">
                  <c:v>2.4784848484848483E-28</c:v>
                </c:pt>
                <c:pt idx="26">
                  <c:v>2.0819272903956365E-28</c:v>
                </c:pt>
                <c:pt idx="27">
                  <c:v>9.9139441055030448E-30</c:v>
                </c:pt>
                <c:pt idx="28">
                  <c:v>2.0613090909090906E-36</c:v>
                </c:pt>
                <c:pt idx="29">
                  <c:v>0</c:v>
                </c:pt>
                <c:pt idx="30">
                  <c:v>0</c:v>
                </c:pt>
                <c:pt idx="31">
                  <c:v>2.0264728915662624E-36</c:v>
                </c:pt>
                <c:pt idx="32">
                  <c:v>5.1441234939758971E-36</c:v>
                </c:pt>
                <c:pt idx="33">
                  <c:v>6.9486000000000036E-22</c:v>
                </c:pt>
                <c:pt idx="34">
                  <c:v>4.560625279454515E-17</c:v>
                </c:pt>
                <c:pt idx="35">
                  <c:v>1.7973888424909059E-16</c:v>
                </c:pt>
                <c:pt idx="36">
                  <c:v>3.3358694981818071E-13</c:v>
                </c:pt>
                <c:pt idx="37">
                  <c:v>1.0592069591527839E-12</c:v>
                </c:pt>
                <c:pt idx="38">
                  <c:v>7.6043809379727524E-12</c:v>
                </c:pt>
                <c:pt idx="39">
                  <c:v>1.414955491679272E-11</c:v>
                </c:pt>
                <c:pt idx="40">
                  <c:v>2.069472889561269E-11</c:v>
                </c:pt>
                <c:pt idx="41">
                  <c:v>2.7239902874432658E-11</c:v>
                </c:pt>
                <c:pt idx="42">
                  <c:v>3.3785076853252623E-11</c:v>
                </c:pt>
                <c:pt idx="43">
                  <c:v>4.0330250832072591E-11</c:v>
                </c:pt>
                <c:pt idx="44">
                  <c:v>8.1494193939393535E-11</c:v>
                </c:pt>
                <c:pt idx="45">
                  <c:v>1.6854813333333293E-10</c:v>
                </c:pt>
                <c:pt idx="46">
                  <c:v>4.2458363636363501E-10</c:v>
                </c:pt>
                <c:pt idx="47">
                  <c:v>7.3908242424242254E-10</c:v>
                </c:pt>
                <c:pt idx="48">
                  <c:v>1.1258703030303014E-9</c:v>
                </c:pt>
                <c:pt idx="49">
                  <c:v>7.4568313253011812E-9</c:v>
                </c:pt>
                <c:pt idx="50">
                  <c:v>2.0227313253012093E-8</c:v>
                </c:pt>
                <c:pt idx="51">
                  <c:v>3.8813841634291128E-2</c:v>
                </c:pt>
                <c:pt idx="52">
                  <c:v>7.829665454545455E-2</c:v>
                </c:pt>
                <c:pt idx="53">
                  <c:v>7.9447563636363641E-2</c:v>
                </c:pt>
                <c:pt idx="54">
                  <c:v>0.08</c:v>
                </c:pt>
                <c:pt idx="55">
                  <c:v>0.08</c:v>
                </c:pt>
                <c:pt idx="56">
                  <c:v>0.08</c:v>
                </c:pt>
                <c:pt idx="57">
                  <c:v>0.08</c:v>
                </c:pt>
                <c:pt idx="58">
                  <c:v>0.08</c:v>
                </c:pt>
                <c:pt idx="59">
                  <c:v>0.08</c:v>
                </c:pt>
                <c:pt idx="60">
                  <c:v>0.08</c:v>
                </c:pt>
                <c:pt idx="61">
                  <c:v>0.08</c:v>
                </c:pt>
                <c:pt idx="62">
                  <c:v>0.08</c:v>
                </c:pt>
                <c:pt idx="63">
                  <c:v>0.08</c:v>
                </c:pt>
                <c:pt idx="64">
                  <c:v>0.08</c:v>
                </c:pt>
                <c:pt idx="65">
                  <c:v>0.08</c:v>
                </c:pt>
                <c:pt idx="66">
                  <c:v>0.08</c:v>
                </c:pt>
                <c:pt idx="67">
                  <c:v>0.08</c:v>
                </c:pt>
                <c:pt idx="68">
                  <c:v>0.08</c:v>
                </c:pt>
                <c:pt idx="69">
                  <c:v>0.08</c:v>
                </c:pt>
                <c:pt idx="70">
                  <c:v>0.08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2ACB-4A56-A05D-23B78DB4E2E9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5.0933624242424188E-27</c:v>
                </c:pt>
                <c:pt idx="1">
                  <c:v>1.4913648484848473E-27</c:v>
                </c:pt>
                <c:pt idx="2">
                  <c:v>3.1706181818181696E-28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1.2169259036144594E-26</c:v>
                </c:pt>
                <c:pt idx="7">
                  <c:v>4.0469861445783111E-26</c:v>
                </c:pt>
                <c:pt idx="8">
                  <c:v>2.4067869172213292E-19</c:v>
                </c:pt>
                <c:pt idx="9">
                  <c:v>3.0690595272726992E-17</c:v>
                </c:pt>
                <c:pt idx="10">
                  <c:v>2.8214772254545429E-16</c:v>
                </c:pt>
                <c:pt idx="11">
                  <c:v>3.0954176518608111E-12</c:v>
                </c:pt>
                <c:pt idx="12">
                  <c:v>9.6805287834795737E-12</c:v>
                </c:pt>
                <c:pt idx="13">
                  <c:v>1.6265639915098336E-11</c:v>
                </c:pt>
                <c:pt idx="14">
                  <c:v>2.2850751046717101E-11</c:v>
                </c:pt>
                <c:pt idx="15">
                  <c:v>2.9435862178335862E-11</c:v>
                </c:pt>
                <c:pt idx="16">
                  <c:v>3.6020973309954626E-11</c:v>
                </c:pt>
                <c:pt idx="17">
                  <c:v>4.260608444157339E-11</c:v>
                </c:pt>
                <c:pt idx="18">
                  <c:v>2.0843000162424183E-11</c:v>
                </c:pt>
                <c:pt idx="19">
                  <c:v>3.8869527272727604E-15</c:v>
                </c:pt>
                <c:pt idx="20">
                  <c:v>1.1876800000002197E-15</c:v>
                </c:pt>
                <c:pt idx="21">
                  <c:v>2.0375733333333293E-28</c:v>
                </c:pt>
                <c:pt idx="22">
                  <c:v>1.6823999999999587E-29</c:v>
                </c:pt>
                <c:pt idx="23">
                  <c:v>3.2704084337349434E-31</c:v>
                </c:pt>
                <c:pt idx="24">
                  <c:v>8.4765156577042423E-24</c:v>
                </c:pt>
                <c:pt idx="25">
                  <c:v>4.2382575902201214E-23</c:v>
                </c:pt>
                <c:pt idx="26">
                  <c:v>3.5601363672702913E-23</c:v>
                </c:pt>
                <c:pt idx="27">
                  <c:v>1.6953031272077559E-24</c:v>
                </c:pt>
                <c:pt idx="28">
                  <c:v>4.2395818181818187E-32</c:v>
                </c:pt>
                <c:pt idx="29">
                  <c:v>0</c:v>
                </c:pt>
                <c:pt idx="30">
                  <c:v>0</c:v>
                </c:pt>
                <c:pt idx="31">
                  <c:v>1.9438132530120455E-34</c:v>
                </c:pt>
                <c:pt idx="32">
                  <c:v>4.934295180722885E-34</c:v>
                </c:pt>
                <c:pt idx="33">
                  <c:v>1.5739800000000163E-20</c:v>
                </c:pt>
                <c:pt idx="34">
                  <c:v>2.5866810013939223E-16</c:v>
                </c:pt>
                <c:pt idx="35">
                  <c:v>1.0193794740787861E-15</c:v>
                </c:pt>
                <c:pt idx="36">
                  <c:v>5.0075029818181656E-13</c:v>
                </c:pt>
                <c:pt idx="37">
                  <c:v>1.1916027534039337E-12</c:v>
                </c:pt>
                <c:pt idx="38">
                  <c:v>1.0891715885022697E-12</c:v>
                </c:pt>
                <c:pt idx="39">
                  <c:v>9.8674042360060542E-13</c:v>
                </c:pt>
                <c:pt idx="40">
                  <c:v>8.8430925869894138E-13</c:v>
                </c:pt>
                <c:pt idx="41">
                  <c:v>7.8187809379727724E-13</c:v>
                </c:pt>
                <c:pt idx="42">
                  <c:v>6.7944692889561309E-13</c:v>
                </c:pt>
                <c:pt idx="43">
                  <c:v>5.7701576399394905E-13</c:v>
                </c:pt>
                <c:pt idx="44">
                  <c:v>5.7356054545454484E-13</c:v>
                </c:pt>
                <c:pt idx="45">
                  <c:v>7.0130599999999948E-13</c:v>
                </c:pt>
                <c:pt idx="46">
                  <c:v>8.1780999999999942E-13</c:v>
                </c:pt>
                <c:pt idx="47">
                  <c:v>8.9348509090909166E-13</c:v>
                </c:pt>
                <c:pt idx="48">
                  <c:v>7.1713963636363711E-13</c:v>
                </c:pt>
                <c:pt idx="49">
                  <c:v>1.5676742168674661E-12</c:v>
                </c:pt>
                <c:pt idx="50">
                  <c:v>3.5306621686747056E-12</c:v>
                </c:pt>
                <c:pt idx="51">
                  <c:v>2.562477105284863E-6</c:v>
                </c:pt>
                <c:pt idx="52">
                  <c:v>5.0395593939393904E-6</c:v>
                </c:pt>
                <c:pt idx="53">
                  <c:v>4.3534381818181788E-6</c:v>
                </c:pt>
                <c:pt idx="54">
                  <c:v>3.730536363636361E-6</c:v>
                </c:pt>
                <c:pt idx="55">
                  <c:v>3.1659909090909063E-6</c:v>
                </c:pt>
                <c:pt idx="56">
                  <c:v>2.7262509090909071E-6</c:v>
                </c:pt>
                <c:pt idx="57">
                  <c:v>2.3494559152798783E-6</c:v>
                </c:pt>
                <c:pt idx="58">
                  <c:v>2.1297100756429644E-6</c:v>
                </c:pt>
                <c:pt idx="59">
                  <c:v>1.9099642360060506E-6</c:v>
                </c:pt>
                <c:pt idx="60">
                  <c:v>1.6902183963691369E-6</c:v>
                </c:pt>
                <c:pt idx="61">
                  <c:v>1.4704725567322233E-6</c:v>
                </c:pt>
                <c:pt idx="62">
                  <c:v>1.2507267170953094E-6</c:v>
                </c:pt>
                <c:pt idx="63">
                  <c:v>1.0309808774583957E-6</c:v>
                </c:pt>
                <c:pt idx="64">
                  <c:v>8.7883806060606028E-7</c:v>
                </c:pt>
                <c:pt idx="65">
                  <c:v>7.6991684848484817E-7</c:v>
                </c:pt>
                <c:pt idx="66">
                  <c:v>6.8465397590361432E-7</c:v>
                </c:pt>
                <c:pt idx="67">
                  <c:v>6.0574909090909088E-7</c:v>
                </c:pt>
                <c:pt idx="68">
                  <c:v>5.3937939393939392E-7</c:v>
                </c:pt>
                <c:pt idx="69">
                  <c:v>4.8222000000000004E-7</c:v>
                </c:pt>
                <c:pt idx="70">
                  <c:v>4.3001999999999998E-7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2ACB-4A56-A05D-23B78DB4E2E9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2.40997515151515E-34</c:v>
                </c:pt>
                <c:pt idx="1">
                  <c:v>1.3060987878787867E-34</c:v>
                </c:pt>
                <c:pt idx="2">
                  <c:v>2.7767454545454423E-35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9.1994096385542283E-32</c:v>
                </c:pt>
                <c:pt idx="7">
                  <c:v>3.0593385542168653E-31</c:v>
                </c:pt>
                <c:pt idx="8">
                  <c:v>7.1843335227413237E-24</c:v>
                </c:pt>
                <c:pt idx="9">
                  <c:v>3.2474389999999696E-21</c:v>
                </c:pt>
                <c:pt idx="10">
                  <c:v>3.0181138999999976E-20</c:v>
                </c:pt>
                <c:pt idx="11">
                  <c:v>2.5326001960641405E-14</c:v>
                </c:pt>
                <c:pt idx="12">
                  <c:v>7.9211017927963675E-14</c:v>
                </c:pt>
                <c:pt idx="13">
                  <c:v>1.3309603389528592E-13</c:v>
                </c:pt>
                <c:pt idx="14">
                  <c:v>1.869810498626082E-13</c:v>
                </c:pt>
                <c:pt idx="15">
                  <c:v>2.4086606582993048E-13</c:v>
                </c:pt>
                <c:pt idx="16">
                  <c:v>2.9475108179725273E-13</c:v>
                </c:pt>
                <c:pt idx="17">
                  <c:v>3.4863609776457503E-13</c:v>
                </c:pt>
                <c:pt idx="18">
                  <c:v>1.7058277193939347E-13</c:v>
                </c:pt>
                <c:pt idx="19">
                  <c:v>8.054836363636547E-17</c:v>
                </c:pt>
                <c:pt idx="20">
                  <c:v>2.4612000000011159E-17</c:v>
                </c:pt>
                <c:pt idx="21">
                  <c:v>1.0168048484848464E-29</c:v>
                </c:pt>
                <c:pt idx="22">
                  <c:v>8.3956363636361568E-31</c:v>
                </c:pt>
                <c:pt idx="23">
                  <c:v>8.283192771084347E-32</c:v>
                </c:pt>
                <c:pt idx="24">
                  <c:v>4.55909103729697E-24</c:v>
                </c:pt>
                <c:pt idx="25">
                  <c:v>2.279545458208485E-23</c:v>
                </c:pt>
                <c:pt idx="26">
                  <c:v>1.9148181858258182E-23</c:v>
                </c:pt>
                <c:pt idx="27">
                  <c:v>9.1181828868848721E-25</c:v>
                </c:pt>
                <c:pt idx="28">
                  <c:v>4.6755757575757586E-32</c:v>
                </c:pt>
                <c:pt idx="29">
                  <c:v>0</c:v>
                </c:pt>
                <c:pt idx="30">
                  <c:v>0</c:v>
                </c:pt>
                <c:pt idx="31">
                  <c:v>1.5383072289156606E-33</c:v>
                </c:pt>
                <c:pt idx="32">
                  <c:v>3.9049337349397536E-33</c:v>
                </c:pt>
                <c:pt idx="33">
                  <c:v>2.2770600000000107E-19</c:v>
                </c:pt>
                <c:pt idx="34">
                  <c:v>6.6816103988484406E-15</c:v>
                </c:pt>
                <c:pt idx="35">
                  <c:v>2.6332289483696925E-14</c:v>
                </c:pt>
                <c:pt idx="36">
                  <c:v>2.2579773963636287E-11</c:v>
                </c:pt>
                <c:pt idx="37">
                  <c:v>5.4712481089258651E-11</c:v>
                </c:pt>
                <c:pt idx="38">
                  <c:v>7.3774508320726124E-11</c:v>
                </c:pt>
                <c:pt idx="39">
                  <c:v>9.2836535552193591E-11</c:v>
                </c:pt>
                <c:pt idx="40">
                  <c:v>1.1189856278366106E-10</c:v>
                </c:pt>
                <c:pt idx="41">
                  <c:v>1.3096059001512851E-10</c:v>
                </c:pt>
                <c:pt idx="42">
                  <c:v>1.50022617246596E-10</c:v>
                </c:pt>
                <c:pt idx="43">
                  <c:v>1.6908464447806347E-10</c:v>
                </c:pt>
                <c:pt idx="44">
                  <c:v>2.3839090909090851E-10</c:v>
                </c:pt>
                <c:pt idx="45">
                  <c:v>3.7429999999999942E-10</c:v>
                </c:pt>
                <c:pt idx="46">
                  <c:v>5.9094618181818068E-10</c:v>
                </c:pt>
                <c:pt idx="47">
                  <c:v>8.0298321212121202E-10</c:v>
                </c:pt>
                <c:pt idx="48">
                  <c:v>8.317771515151514E-10</c:v>
                </c:pt>
                <c:pt idx="49">
                  <c:v>2.9317572289156548E-9</c:v>
                </c:pt>
                <c:pt idx="50">
                  <c:v>7.2755222891566424E-9</c:v>
                </c:pt>
                <c:pt idx="51">
                  <c:v>8.0464404167527731E-3</c:v>
                </c:pt>
                <c:pt idx="52">
                  <c:v>1.6471036363636372E-2</c:v>
                </c:pt>
                <c:pt idx="53">
                  <c:v>1.8118309090909099E-2</c:v>
                </c:pt>
                <c:pt idx="54">
                  <c:v>1.9728709090909097E-2</c:v>
                </c:pt>
                <c:pt idx="55">
                  <c:v>2.1305072727272736E-2</c:v>
                </c:pt>
                <c:pt idx="56">
                  <c:v>2.3051218181818191E-2</c:v>
                </c:pt>
                <c:pt idx="57">
                  <c:v>2.4966391830559768E-2</c:v>
                </c:pt>
                <c:pt idx="58">
                  <c:v>2.7390900151285941E-2</c:v>
                </c:pt>
                <c:pt idx="59">
                  <c:v>2.9815408472012112E-2</c:v>
                </c:pt>
                <c:pt idx="60">
                  <c:v>3.2239916792738285E-2</c:v>
                </c:pt>
                <c:pt idx="61">
                  <c:v>3.4664425113464459E-2</c:v>
                </c:pt>
                <c:pt idx="62">
                  <c:v>3.7088933434190632E-2</c:v>
                </c:pt>
                <c:pt idx="63">
                  <c:v>3.9513441754916799E-2</c:v>
                </c:pt>
                <c:pt idx="64">
                  <c:v>4.2487527272727282E-2</c:v>
                </c:pt>
                <c:pt idx="65">
                  <c:v>4.5812981818181824E-2</c:v>
                </c:pt>
                <c:pt idx="66">
                  <c:v>4.9596891566265067E-2</c:v>
                </c:pt>
                <c:pt idx="67">
                  <c:v>5.3589181818181821E-2</c:v>
                </c:pt>
                <c:pt idx="68">
                  <c:v>5.8023121212121213E-2</c:v>
                </c:pt>
                <c:pt idx="69">
                  <c:v>6.2943575757575768E-2</c:v>
                </c:pt>
                <c:pt idx="70">
                  <c:v>6.8126000000000006E-2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2ACB-4A56-A05D-23B78DB4E2E9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>
                  <c:v>-18.618363636363636</c:v>
                </c:pt>
                <c:pt idx="3">
                  <c:v>-18.624424242424244</c:v>
                </c:pt>
                <c:pt idx="4">
                  <c:v>-18.630969696969697</c:v>
                </c:pt>
                <c:pt idx="5">
                  <c:v>-18.643090909090908</c:v>
                </c:pt>
                <c:pt idx="6">
                  <c:v>-18.655180722891565</c:v>
                </c:pt>
                <c:pt idx="7">
                  <c:v>-18.667228915662651</c:v>
                </c:pt>
                <c:pt idx="8">
                  <c:v>-18.679333333333336</c:v>
                </c:pt>
                <c:pt idx="9">
                  <c:v>-18.692181818181819</c:v>
                </c:pt>
                <c:pt idx="10">
                  <c:v>-18.710363636363635</c:v>
                </c:pt>
                <c:pt idx="11">
                  <c:v>-18.728532526475036</c:v>
                </c:pt>
                <c:pt idx="12">
                  <c:v>-18.746686838124052</c:v>
                </c:pt>
                <c:pt idx="13">
                  <c:v>-18.764841149773069</c:v>
                </c:pt>
                <c:pt idx="14">
                  <c:v>-18.782995461422086</c:v>
                </c:pt>
                <c:pt idx="15">
                  <c:v>-18.801149773071103</c:v>
                </c:pt>
                <c:pt idx="16">
                  <c:v>-18.81930408472012</c:v>
                </c:pt>
                <c:pt idx="17">
                  <c:v>-18.837458396369136</c:v>
                </c:pt>
                <c:pt idx="18">
                  <c:v>-18.855636363636364</c:v>
                </c:pt>
                <c:pt idx="19">
                  <c:v>-18.873818181818184</c:v>
                </c:pt>
                <c:pt idx="20">
                  <c:v>-18.891999999999999</c:v>
                </c:pt>
                <c:pt idx="21">
                  <c:v>-18.913575757575757</c:v>
                </c:pt>
                <c:pt idx="22">
                  <c:v>-18.937818181818184</c:v>
                </c:pt>
                <c:pt idx="23">
                  <c:v>-18.95644578313253</c:v>
                </c:pt>
                <c:pt idx="24">
                  <c:v>-18.976060606060607</c:v>
                </c:pt>
                <c:pt idx="25">
                  <c:v>-19.00030303030303</c:v>
                </c:pt>
                <c:pt idx="26">
                  <c:v>-19.020909090909093</c:v>
                </c:pt>
                <c:pt idx="27">
                  <c:v>-19.039090909090909</c:v>
                </c:pt>
                <c:pt idx="28">
                  <c:v>-19.057272727272728</c:v>
                </c:pt>
                <c:pt idx="29">
                  <c:v>-19.077272727272728</c:v>
                </c:pt>
                <c:pt idx="30">
                  <c:v>-19.101515151515152</c:v>
                </c:pt>
                <c:pt idx="31">
                  <c:v>-19.121746987951806</c:v>
                </c:pt>
                <c:pt idx="32">
                  <c:v>-19.139819277108433</c:v>
                </c:pt>
                <c:pt idx="33">
                  <c:v>-19.164000000000001</c:v>
                </c:pt>
                <c:pt idx="34">
                  <c:v>-19.186181818181819</c:v>
                </c:pt>
                <c:pt idx="35">
                  <c:v>-19.204363636363638</c:v>
                </c:pt>
                <c:pt idx="36">
                  <c:v>-19.226727272727274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2ACB-4A56-A05D-23B78DB4E2E9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-60.144848484848481</c:v>
                </c:pt>
                <c:pt idx="1">
                  <c:v>-58.339757575757574</c:v>
                </c:pt>
                <c:pt idx="2">
                  <c:v>-56.654909090909094</c:v>
                </c:pt>
                <c:pt idx="3">
                  <c:v>-55.098363636363636</c:v>
                </c:pt>
                <c:pt idx="4">
                  <c:v>-53.546121212121207</c:v>
                </c:pt>
                <c:pt idx="5">
                  <c:v>-51.49763636363636</c:v>
                </c:pt>
                <c:pt idx="6">
                  <c:v>-49.457048192771083</c:v>
                </c:pt>
                <c:pt idx="7">
                  <c:v>-47.426927710843373</c:v>
                </c:pt>
                <c:pt idx="8">
                  <c:v>-45.513333333333335</c:v>
                </c:pt>
                <c:pt idx="9">
                  <c:v>-43.650545454545458</c:v>
                </c:pt>
                <c:pt idx="10">
                  <c:v>-41.905090909090909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-17.45843373493976</c:v>
                </c:pt>
                <c:pt idx="32">
                  <c:v>-16.856024096385546</c:v>
                </c:pt>
                <c:pt idx="33">
                  <c:v>-16.28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-8.0158121212121198</c:v>
                </c:pt>
                <c:pt idx="52">
                  <c:v>-7.7234484848484852</c:v>
                </c:pt>
                <c:pt idx="53">
                  <c:v>-7.7731454545454541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-8.5329090909090901</c:v>
                </c:pt>
                <c:pt idx="68">
                  <c:v>-8.5959393939393944</c:v>
                </c:pt>
                <c:pt idx="69">
                  <c:v>-8.6605454545454545</c:v>
                </c:pt>
                <c:pt idx="70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2ACB-4A56-A05D-23B78DB4E2E9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-15.300424242424242</c:v>
                </c:pt>
                <c:pt idx="1">
                  <c:v>-14.974848484848485</c:v>
                </c:pt>
                <c:pt idx="2">
                  <c:v>-14.671818181818182</c:v>
                </c:pt>
                <c:pt idx="3">
                  <c:v>-14.399757575757576</c:v>
                </c:pt>
                <c:pt idx="4">
                  <c:v>-14.105212121212121</c:v>
                </c:pt>
                <c:pt idx="5">
                  <c:v>-13.420363636363636</c:v>
                </c:pt>
                <c:pt idx="6">
                  <c:v>-12.711385542168674</c:v>
                </c:pt>
                <c:pt idx="7">
                  <c:v>-11.970421686746988</c:v>
                </c:pt>
                <c:pt idx="8">
                  <c:v>-11.272666666666668</c:v>
                </c:pt>
                <c:pt idx="9">
                  <c:v>-10.593127272727273</c:v>
                </c:pt>
                <c:pt idx="10">
                  <c:v>-9.9525212121212121</c:v>
                </c:pt>
                <c:pt idx="11">
                  <c:v>-9.3588018154311658</c:v>
                </c:pt>
                <c:pt idx="12">
                  <c:v>-8.8179546142208771</c:v>
                </c:pt>
                <c:pt idx="13">
                  <c:v>-8.2771074130105902</c:v>
                </c:pt>
                <c:pt idx="14">
                  <c:v>-7.7362602118003023</c:v>
                </c:pt>
                <c:pt idx="15">
                  <c:v>-7.1954130105900145</c:v>
                </c:pt>
                <c:pt idx="16">
                  <c:v>-6.6545658093797275</c:v>
                </c:pt>
                <c:pt idx="17">
                  <c:v>-6.1137186081694388</c:v>
                </c:pt>
                <c:pt idx="18">
                  <c:v>-5.6392727272727265</c:v>
                </c:pt>
                <c:pt idx="19">
                  <c:v>-5.1809818181818166</c:v>
                </c:pt>
                <c:pt idx="20">
                  <c:v>-4.742799999999999</c:v>
                </c:pt>
                <c:pt idx="21">
                  <c:v>-4.4023636363636358</c:v>
                </c:pt>
                <c:pt idx="22">
                  <c:v>-4.1387272727272721</c:v>
                </c:pt>
                <c:pt idx="23">
                  <c:v>-4.1369277108433735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-4.3330542168674695</c:v>
                </c:pt>
                <c:pt idx="32">
                  <c:v>-4.3577530120481924</c:v>
                </c:pt>
                <c:pt idx="33">
                  <c:v>-4.3826000000000001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-5.1835454545454542</c:v>
                </c:pt>
                <c:pt idx="68">
                  <c:v>-5.2053636363636366</c:v>
                </c:pt>
                <c:pt idx="69">
                  <c:v>-5.2271818181818182</c:v>
                </c:pt>
                <c:pt idx="70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2ACB-4A56-A05D-23B78DB4E2E9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  <c:pt idx="0">
                  <c:v>-21.792000000000002</c:v>
                </c:pt>
                <c:pt idx="1">
                  <c:v>-21.217333333333332</c:v>
                </c:pt>
                <c:pt idx="2">
                  <c:v>-20.683999999999997</c:v>
                </c:pt>
                <c:pt idx="3">
                  <c:v>-20.194909090909089</c:v>
                </c:pt>
                <c:pt idx="4">
                  <c:v>-19.761939393939397</c:v>
                </c:pt>
                <c:pt idx="5">
                  <c:v>-19.78618181818182</c:v>
                </c:pt>
                <c:pt idx="6">
                  <c:v>-19.862168674698797</c:v>
                </c:pt>
                <c:pt idx="7">
                  <c:v>-20.006746987951807</c:v>
                </c:pt>
                <c:pt idx="8">
                  <c:v>-20.152000000000001</c:v>
                </c:pt>
                <c:pt idx="9">
                  <c:v>-20.298181818181821</c:v>
                </c:pt>
                <c:pt idx="10">
                  <c:v>-20.449696969696969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-23.573975903614457</c:v>
                </c:pt>
                <c:pt idx="32">
                  <c:v>-23.718554216867467</c:v>
                </c:pt>
                <c:pt idx="33">
                  <c:v>-23.858000000000001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2ACB-4A56-A05D-23B78DB4E2E9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2ACB-4A56-A05D-23B78DB4E2E9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2ACB-4A56-A05D-23B78DB4E2E9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2ACB-4A56-A05D-23B78DB4E2E9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2ACB-4A56-A05D-23B78DB4E2E9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2ACB-4A56-A05D-23B78DB4E2E9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2ACB-4A56-A05D-23B78DB4E2E9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2ACB-4A56-A05D-23B78DB4E2E9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2ACB-4A56-A05D-23B78DB4E2E9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2ACB-4A56-A05D-23B78DB4E2E9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2ACB-4A56-A05D-23B78DB4E2E9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2ACB-4A56-A05D-23B78DB4E2E9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2ACB-4A56-A05D-23B78DB4E2E9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  <c:pt idx="0">
                  <c:v>end1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2ACB-4A56-A05D-23B78DB4E2E9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2ACB-4A56-A05D-23B78DB4E2E9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2ACB-4A56-A05D-23B78DB4E2E9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1.6735315156149013E-23</c:v>
                </c:pt>
                <c:pt idx="1">
                  <c:v>3.0091301472727363E-20</c:v>
                </c:pt>
                <c:pt idx="2">
                  <c:v>1.0920838692727282E-19</c:v>
                </c:pt>
                <c:pt idx="3">
                  <c:v>2.2640414545454577E-18</c:v>
                </c:pt>
                <c:pt idx="4">
                  <c:v>1.2732251739788308E-17</c:v>
                </c:pt>
                <c:pt idx="5">
                  <c:v>1.0997539848714078E-16</c:v>
                </c:pt>
                <c:pt idx="6">
                  <c:v>2.0721854523449323E-16</c:v>
                </c:pt>
                <c:pt idx="7">
                  <c:v>3.044616919818457E-16</c:v>
                </c:pt>
                <c:pt idx="8">
                  <c:v>4.0170483872919815E-16</c:v>
                </c:pt>
                <c:pt idx="9">
                  <c:v>4.989479854765506E-16</c:v>
                </c:pt>
                <c:pt idx="10">
                  <c:v>5.9619113222390305E-16</c:v>
                </c:pt>
                <c:pt idx="11">
                  <c:v>2.0334523636363604E-15</c:v>
                </c:pt>
                <c:pt idx="12">
                  <c:v>4.9817978181818147E-15</c:v>
                </c:pt>
                <c:pt idx="13">
                  <c:v>1.0748446969696955E-13</c:v>
                </c:pt>
                <c:pt idx="14">
                  <c:v>3.6167728915662492E-12</c:v>
                </c:pt>
                <c:pt idx="15">
                  <c:v>2.3652495783132553E-11</c:v>
                </c:pt>
                <c:pt idx="16">
                  <c:v>5.6734109090909323E-10</c:v>
                </c:pt>
                <c:pt idx="17">
                  <c:v>1.6141471515151537E-9</c:v>
                </c:pt>
                <c:pt idx="18">
                  <c:v>3.6844939393939443E-9</c:v>
                </c:pt>
                <c:pt idx="19">
                  <c:v>5.7876490909090949E-9</c:v>
                </c:pt>
                <c:pt idx="20">
                  <c:v>7.3874066666666711E-9</c:v>
                </c:pt>
                <c:pt idx="21">
                  <c:v>8.8368466666666702E-9</c:v>
                </c:pt>
                <c:pt idx="22">
                  <c:v>1.0168180000000002E-8</c:v>
                </c:pt>
                <c:pt idx="23">
                  <c:v>1.3718042168674703E-8</c:v>
                </c:pt>
                <c:pt idx="24">
                  <c:v>1.686969696969697E-8</c:v>
                </c:pt>
                <c:pt idx="25">
                  <c:v>1.8168484848484851E-8</c:v>
                </c:pt>
                <c:pt idx="26">
                  <c:v>1.7813454545454547E-8</c:v>
                </c:pt>
                <c:pt idx="27">
                  <c:v>1.6355878787878789E-8</c:v>
                </c:pt>
                <c:pt idx="28">
                  <c:v>1.3967878787878787E-8</c:v>
                </c:pt>
                <c:pt idx="29">
                  <c:v>1.2826181818181817E-8</c:v>
                </c:pt>
                <c:pt idx="30">
                  <c:v>1.4706787878787877E-8</c:v>
                </c:pt>
                <c:pt idx="31">
                  <c:v>1.6280873493975901E-8</c:v>
                </c:pt>
                <c:pt idx="32">
                  <c:v>1.7689909638554213E-8</c:v>
                </c:pt>
                <c:pt idx="33">
                  <c:v>1.8416199999999999E-8</c:v>
                </c:pt>
                <c:pt idx="34">
                  <c:v>1.8968066666666667E-8</c:v>
                </c:pt>
                <c:pt idx="35">
                  <c:v>1.9194733333333334E-8</c:v>
                </c:pt>
                <c:pt idx="36">
                  <c:v>1.926458181818182E-8</c:v>
                </c:pt>
                <c:pt idx="37">
                  <c:v>1.9265597579425112E-8</c:v>
                </c:pt>
                <c:pt idx="38">
                  <c:v>1.930553706505295E-8</c:v>
                </c:pt>
                <c:pt idx="39">
                  <c:v>1.9345476550680787E-8</c:v>
                </c:pt>
                <c:pt idx="40">
                  <c:v>1.9385416036308625E-8</c:v>
                </c:pt>
                <c:pt idx="41">
                  <c:v>1.9425355521936462E-8</c:v>
                </c:pt>
                <c:pt idx="42">
                  <c:v>1.9465295007564296E-8</c:v>
                </c:pt>
                <c:pt idx="43">
                  <c:v>1.9505234493192133E-8</c:v>
                </c:pt>
                <c:pt idx="44">
                  <c:v>1.9223812405446296E-8</c:v>
                </c:pt>
                <c:pt idx="45">
                  <c:v>1.851639939485628E-8</c:v>
                </c:pt>
                <c:pt idx="46">
                  <c:v>1.7808986384266264E-8</c:v>
                </c:pt>
                <c:pt idx="47">
                  <c:v>1.7101573373676247E-8</c:v>
                </c:pt>
                <c:pt idx="48">
                  <c:v>1.6394160363086231E-8</c:v>
                </c:pt>
                <c:pt idx="49">
                  <c:v>1.5686747352496217E-8</c:v>
                </c:pt>
                <c:pt idx="50">
                  <c:v>1.4979334341906198E-8</c:v>
                </c:pt>
                <c:pt idx="51">
                  <c:v>1.5298527272727276E-8</c:v>
                </c:pt>
                <c:pt idx="52">
                  <c:v>1.584307272727273E-8</c:v>
                </c:pt>
                <c:pt idx="53">
                  <c:v>1.6387618181818185E-8</c:v>
                </c:pt>
                <c:pt idx="54">
                  <c:v>1.6932163636363639E-8</c:v>
                </c:pt>
                <c:pt idx="55">
                  <c:v>1.7476709090909093E-8</c:v>
                </c:pt>
                <c:pt idx="56">
                  <c:v>1.8021254545454547E-8</c:v>
                </c:pt>
                <c:pt idx="57">
                  <c:v>1.9184590361445798E-8</c:v>
                </c:pt>
                <c:pt idx="58">
                  <c:v>2.2541819277108446E-8</c:v>
                </c:pt>
                <c:pt idx="59">
                  <c:v>2.5591751515151521E-8</c:v>
                </c:pt>
                <c:pt idx="60">
                  <c:v>2.8400236363636368E-8</c:v>
                </c:pt>
                <c:pt idx="61">
                  <c:v>2.3413054545454533E-8</c:v>
                </c:pt>
                <c:pt idx="62">
                  <c:v>1.9415151515151516E-8</c:v>
                </c:pt>
                <c:pt idx="63">
                  <c:v>2.0427272727272728E-8</c:v>
                </c:pt>
                <c:pt idx="64">
                  <c:v>2.1302236363636366E-8</c:v>
                </c:pt>
                <c:pt idx="65">
                  <c:v>2.2089509090909092E-8</c:v>
                </c:pt>
                <c:pt idx="66">
                  <c:v>2.2701626506024097E-8</c:v>
                </c:pt>
                <c:pt idx="67">
                  <c:v>2.3236818181818183E-8</c:v>
                </c:pt>
                <c:pt idx="68">
                  <c:v>2.3609545454545456E-8</c:v>
                </c:pt>
                <c:pt idx="69">
                  <c:v>2.3866454545454545E-8</c:v>
                </c:pt>
                <c:pt idx="70">
                  <c:v>2.4061E-8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2ACB-4A56-A05D-23B78DB4E2E9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3.2555735757575792E-9</c:v>
                </c:pt>
                <c:pt idx="1">
                  <c:v>6.4679496969697017E-9</c:v>
                </c:pt>
                <c:pt idx="2">
                  <c:v>1.0333343636363642E-8</c:v>
                </c:pt>
                <c:pt idx="3">
                  <c:v>1.3194036363636367E-8</c:v>
                </c:pt>
                <c:pt idx="4">
                  <c:v>1.5618608169440246E-8</c:v>
                </c:pt>
                <c:pt idx="5">
                  <c:v>1.7301210287443269E-8</c:v>
                </c:pt>
                <c:pt idx="6">
                  <c:v>1.8983812405446296E-8</c:v>
                </c:pt>
                <c:pt idx="7">
                  <c:v>2.0666414523449319E-8</c:v>
                </c:pt>
                <c:pt idx="8">
                  <c:v>2.2349016641452346E-8</c:v>
                </c:pt>
                <c:pt idx="9">
                  <c:v>2.4031618759455369E-8</c:v>
                </c:pt>
                <c:pt idx="10">
                  <c:v>2.5714220877458396E-8</c:v>
                </c:pt>
                <c:pt idx="11">
                  <c:v>2.567938787878788E-8</c:v>
                </c:pt>
                <c:pt idx="12">
                  <c:v>2.3707872727272731E-8</c:v>
                </c:pt>
                <c:pt idx="13">
                  <c:v>1.9535278787878792E-8</c:v>
                </c:pt>
                <c:pt idx="14">
                  <c:v>1.4790082530120485E-8</c:v>
                </c:pt>
                <c:pt idx="15">
                  <c:v>9.6082150602409582E-9</c:v>
                </c:pt>
                <c:pt idx="16">
                  <c:v>5.0340949090908996E-9</c:v>
                </c:pt>
                <c:pt idx="17">
                  <c:v>1.0438888484848395E-9</c:v>
                </c:pt>
                <c:pt idx="18">
                  <c:v>2.3246483987878717E-10</c:v>
                </c:pt>
                <c:pt idx="19">
                  <c:v>2.1471726774181785E-13</c:v>
                </c:pt>
                <c:pt idx="20">
                  <c:v>6.5609018893332971E-14</c:v>
                </c:pt>
                <c:pt idx="21">
                  <c:v>9.1784613702739211E-19</c:v>
                </c:pt>
                <c:pt idx="22">
                  <c:v>7.5785667433452768E-20</c:v>
                </c:pt>
                <c:pt idx="23">
                  <c:v>1.0173344210858421E-25</c:v>
                </c:pt>
                <c:pt idx="24">
                  <c:v>1.2960606060606063E-32</c:v>
                </c:pt>
                <c:pt idx="25">
                  <c:v>3.7030303030303034E-33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2ACB-4A56-A05D-23B78DB4E2E9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2ACB-4A56-A05D-23B78DB4E2E9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(DGeSe2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0.10389327878787878</c:v>
                </c:pt>
                <c:pt idx="1">
                  <c:v>9.3476199999999982E-2</c:v>
                </c:pt>
                <c:pt idx="2">
                  <c:v>7.9316199999999989E-2</c:v>
                </c:pt>
                <c:pt idx="3">
                  <c:v>6.3278109090909071E-2</c:v>
                </c:pt>
                <c:pt idx="4">
                  <c:v>4.7338432677760965E-2</c:v>
                </c:pt>
                <c:pt idx="5">
                  <c:v>4.0518841149773069E-2</c:v>
                </c:pt>
                <c:pt idx="6">
                  <c:v>3.3699249621785173E-2</c:v>
                </c:pt>
                <c:pt idx="7">
                  <c:v>2.6879658093797276E-2</c:v>
                </c:pt>
                <c:pt idx="8">
                  <c:v>2.006006656580938E-2</c:v>
                </c:pt>
                <c:pt idx="9">
                  <c:v>1.3240475037821484E-2</c:v>
                </c:pt>
                <c:pt idx="10">
                  <c:v>6.4208835098335873E-3</c:v>
                </c:pt>
                <c:pt idx="11">
                  <c:v>2.4000496969696977E-3</c:v>
                </c:pt>
                <c:pt idx="12">
                  <c:v>1.5352618181818192E-3</c:v>
                </c:pt>
                <c:pt idx="13">
                  <c:v>1.0426595151515157E-3</c:v>
                </c:pt>
                <c:pt idx="14">
                  <c:v>6.671675903614459E-4</c:v>
                </c:pt>
                <c:pt idx="15">
                  <c:v>4.645651807228913E-4</c:v>
                </c:pt>
                <c:pt idx="16">
                  <c:v>3.1076018181818159E-4</c:v>
                </c:pt>
                <c:pt idx="17">
                  <c:v>2.0383896969696945E-4</c:v>
                </c:pt>
                <c:pt idx="18">
                  <c:v>1.3877838787878773E-4</c:v>
                </c:pt>
                <c:pt idx="19">
                  <c:v>8.6257054545454468E-5</c:v>
                </c:pt>
                <c:pt idx="20">
                  <c:v>5.5271599999999927E-5</c:v>
                </c:pt>
                <c:pt idx="21">
                  <c:v>3.3232909090909054E-5</c:v>
                </c:pt>
                <c:pt idx="22">
                  <c:v>1.8223818181818145E-5</c:v>
                </c:pt>
                <c:pt idx="23">
                  <c:v>1.1076025903614452E-5</c:v>
                </c:pt>
                <c:pt idx="24">
                  <c:v>5.6845272727272729E-6</c:v>
                </c:pt>
                <c:pt idx="25">
                  <c:v>3.2294363636363638E-6</c:v>
                </c:pt>
                <c:pt idx="26">
                  <c:v>1.7186363636363636E-6</c:v>
                </c:pt>
                <c:pt idx="27">
                  <c:v>8.3736363636363636E-7</c:v>
                </c:pt>
                <c:pt idx="28">
                  <c:v>4.9969242424242433E-7</c:v>
                </c:pt>
                <c:pt idx="29">
                  <c:v>2.5067727272727273E-7</c:v>
                </c:pt>
                <c:pt idx="30">
                  <c:v>1.4176818181818184E-7</c:v>
                </c:pt>
                <c:pt idx="31">
                  <c:v>7.8348554216867519E-8</c:v>
                </c:pt>
                <c:pt idx="32">
                  <c:v>3.9423253012048289E-8</c:v>
                </c:pt>
                <c:pt idx="33">
                  <c:v>2.4707800000000034E-8</c:v>
                </c:pt>
                <c:pt idx="34">
                  <c:v>1.3283847272727287E-8</c:v>
                </c:pt>
                <c:pt idx="35">
                  <c:v>7.7745745454545592E-9</c:v>
                </c:pt>
                <c:pt idx="36">
                  <c:v>4.5754218181818237E-9</c:v>
                </c:pt>
                <c:pt idx="37">
                  <c:v>2.4860376520423605E-9</c:v>
                </c:pt>
                <c:pt idx="38">
                  <c:v>2.1219789531013622E-9</c:v>
                </c:pt>
                <c:pt idx="39">
                  <c:v>1.7579202541603642E-9</c:v>
                </c:pt>
                <c:pt idx="40">
                  <c:v>1.3938615552193656E-9</c:v>
                </c:pt>
                <c:pt idx="41">
                  <c:v>1.0298028562783674E-9</c:v>
                </c:pt>
                <c:pt idx="42">
                  <c:v>6.6574415733736903E-10</c:v>
                </c:pt>
                <c:pt idx="43">
                  <c:v>3.0168545839637065E-10</c:v>
                </c:pt>
                <c:pt idx="44">
                  <c:v>8.8383159152798849E-11</c:v>
                </c:pt>
                <c:pt idx="45">
                  <c:v>7.4920738577912292E-11</c:v>
                </c:pt>
                <c:pt idx="46">
                  <c:v>6.1458318003025735E-11</c:v>
                </c:pt>
                <c:pt idx="47">
                  <c:v>4.7995897428139184E-11</c:v>
                </c:pt>
                <c:pt idx="48">
                  <c:v>3.4533476853252621E-11</c:v>
                </c:pt>
                <c:pt idx="49">
                  <c:v>2.1071056278366077E-11</c:v>
                </c:pt>
                <c:pt idx="50">
                  <c:v>7.60863570347952E-12</c:v>
                </c:pt>
                <c:pt idx="51">
                  <c:v>4.591056545454542E-12</c:v>
                </c:pt>
                <c:pt idx="52">
                  <c:v>3.8662474545454517E-12</c:v>
                </c:pt>
                <c:pt idx="53">
                  <c:v>3.1414383636363602E-12</c:v>
                </c:pt>
                <c:pt idx="54">
                  <c:v>2.4166292727272695E-12</c:v>
                </c:pt>
                <c:pt idx="55">
                  <c:v>1.6918201818181784E-12</c:v>
                </c:pt>
                <c:pt idx="56">
                  <c:v>9.6701109090908733E-13</c:v>
                </c:pt>
                <c:pt idx="57">
                  <c:v>3.774401204819272E-13</c:v>
                </c:pt>
                <c:pt idx="58">
                  <c:v>2.6734975903614426E-13</c:v>
                </c:pt>
                <c:pt idx="59">
                  <c:v>1.854593333333332E-13</c:v>
                </c:pt>
                <c:pt idx="60">
                  <c:v>1.2572599999999987E-13</c:v>
                </c:pt>
                <c:pt idx="61">
                  <c:v>9.0792096969696904E-14</c:v>
                </c:pt>
                <c:pt idx="62">
                  <c:v>6.2127999999999965E-14</c:v>
                </c:pt>
                <c:pt idx="63">
                  <c:v>4.4327999999999961E-14</c:v>
                </c:pt>
                <c:pt idx="64">
                  <c:v>3.1382121212121193E-14</c:v>
                </c:pt>
                <c:pt idx="65">
                  <c:v>2.153969696969695E-14</c:v>
                </c:pt>
                <c:pt idx="66">
                  <c:v>1.5904168674698789E-14</c:v>
                </c:pt>
                <c:pt idx="67">
                  <c:v>1.1152854545454546E-14</c:v>
                </c:pt>
                <c:pt idx="68">
                  <c:v>8.0557030303030312E-15</c:v>
                </c:pt>
                <c:pt idx="69">
                  <c:v>5.8255333333333333E-15</c:v>
                </c:pt>
                <c:pt idx="70">
                  <c:v>4.0621999999999996E-15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2ACB-4A56-A05D-23B78DB4E2E9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(DGeSe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0.1361048484848485</c:v>
                </c:pt>
                <c:pt idx="1">
                  <c:v>0.14651987878787881</c:v>
                </c:pt>
                <c:pt idx="2">
                  <c:v>0.16067745454545457</c:v>
                </c:pt>
                <c:pt idx="3">
                  <c:v>0.17670648484848486</c:v>
                </c:pt>
                <c:pt idx="4">
                  <c:v>0.19260582450832076</c:v>
                </c:pt>
                <c:pt idx="5">
                  <c:v>0.19905363086232983</c:v>
                </c:pt>
                <c:pt idx="6">
                  <c:v>0.2055014372163389</c:v>
                </c:pt>
                <c:pt idx="7">
                  <c:v>0.21194924357034797</c:v>
                </c:pt>
                <c:pt idx="8">
                  <c:v>0.21839704992435705</c:v>
                </c:pt>
                <c:pt idx="9">
                  <c:v>0.22484485627836612</c:v>
                </c:pt>
                <c:pt idx="10">
                  <c:v>0.23129266263237519</c:v>
                </c:pt>
                <c:pt idx="11">
                  <c:v>0.23395230303030304</c:v>
                </c:pt>
                <c:pt idx="12">
                  <c:v>0.23234018181818183</c:v>
                </c:pt>
                <c:pt idx="13">
                  <c:v>0.22791024242424243</c:v>
                </c:pt>
                <c:pt idx="14">
                  <c:v>0.22200873493975903</c:v>
                </c:pt>
                <c:pt idx="15">
                  <c:v>0.21194246987951806</c:v>
                </c:pt>
                <c:pt idx="16">
                  <c:v>0.19868618181818179</c:v>
                </c:pt>
                <c:pt idx="17">
                  <c:v>0.18236496969696964</c:v>
                </c:pt>
                <c:pt idx="18">
                  <c:v>0.16131636363636359</c:v>
                </c:pt>
                <c:pt idx="19">
                  <c:v>0.13901199999999997</c:v>
                </c:pt>
                <c:pt idx="20">
                  <c:v>0.11487866666666663</c:v>
                </c:pt>
                <c:pt idx="21">
                  <c:v>9.2028242424242374E-2</c:v>
                </c:pt>
                <c:pt idx="22">
                  <c:v>7.0185818181818127E-2</c:v>
                </c:pt>
                <c:pt idx="23">
                  <c:v>5.3410024096385525E-2</c:v>
                </c:pt>
                <c:pt idx="24">
                  <c:v>3.855460606060606E-2</c:v>
                </c:pt>
                <c:pt idx="25">
                  <c:v>2.7957030303030303E-2</c:v>
                </c:pt>
                <c:pt idx="26">
                  <c:v>1.9962363636363636E-2</c:v>
                </c:pt>
                <c:pt idx="27">
                  <c:v>1.3702969696969698E-2</c:v>
                </c:pt>
                <c:pt idx="28">
                  <c:v>1.003160606060606E-2</c:v>
                </c:pt>
                <c:pt idx="29">
                  <c:v>6.9664363636363635E-3</c:v>
                </c:pt>
                <c:pt idx="30">
                  <c:v>4.9978909090909098E-3</c:v>
                </c:pt>
                <c:pt idx="31">
                  <c:v>3.5984030120481936E-3</c:v>
                </c:pt>
                <c:pt idx="32">
                  <c:v>2.5053307228915687E-3</c:v>
                </c:pt>
                <c:pt idx="33">
                  <c:v>1.8790400000000015E-3</c:v>
                </c:pt>
                <c:pt idx="34">
                  <c:v>1.347492121212122E-3</c:v>
                </c:pt>
                <c:pt idx="35">
                  <c:v>9.9070424242424324E-4</c:v>
                </c:pt>
                <c:pt idx="36">
                  <c:v>7.3638763636363683E-4</c:v>
                </c:pt>
                <c:pt idx="37">
                  <c:v>5.337176399394858E-4</c:v>
                </c:pt>
                <c:pt idx="38">
                  <c:v>4.6565863842662654E-4</c:v>
                </c:pt>
                <c:pt idx="39">
                  <c:v>3.9759963691376722E-4</c:v>
                </c:pt>
                <c:pt idx="40">
                  <c:v>3.2954063540090791E-4</c:v>
                </c:pt>
                <c:pt idx="41">
                  <c:v>2.6148163388804864E-4</c:v>
                </c:pt>
                <c:pt idx="42">
                  <c:v>1.9342263237518938E-4</c:v>
                </c:pt>
                <c:pt idx="43">
                  <c:v>1.2536363086233007E-4</c:v>
                </c:pt>
                <c:pt idx="44">
                  <c:v>8.2073019667170993E-5</c:v>
                </c:pt>
                <c:pt idx="45">
                  <c:v>7.1614925869894136E-5</c:v>
                </c:pt>
                <c:pt idx="46">
                  <c:v>6.1156832072617264E-5</c:v>
                </c:pt>
                <c:pt idx="47">
                  <c:v>5.0698738275340393E-5</c:v>
                </c:pt>
                <c:pt idx="48">
                  <c:v>4.0240644478063521E-5</c:v>
                </c:pt>
                <c:pt idx="49">
                  <c:v>2.9782550680786656E-5</c:v>
                </c:pt>
                <c:pt idx="50">
                  <c:v>1.9324456883509792E-5</c:v>
                </c:pt>
                <c:pt idx="51">
                  <c:v>1.5805963333333326E-5</c:v>
                </c:pt>
                <c:pt idx="52">
                  <c:v>1.3810796666666659E-5</c:v>
                </c:pt>
                <c:pt idx="53">
                  <c:v>1.1815629999999991E-5</c:v>
                </c:pt>
                <c:pt idx="54">
                  <c:v>9.8204633333333237E-6</c:v>
                </c:pt>
                <c:pt idx="55">
                  <c:v>7.825296666666658E-6</c:v>
                </c:pt>
                <c:pt idx="56">
                  <c:v>5.8301299999999922E-6</c:v>
                </c:pt>
                <c:pt idx="57">
                  <c:v>4.1138566265060206E-6</c:v>
                </c:pt>
                <c:pt idx="58">
                  <c:v>3.3863867469879499E-6</c:v>
                </c:pt>
                <c:pt idx="59">
                  <c:v>2.7763218181818171E-6</c:v>
                </c:pt>
                <c:pt idx="60">
                  <c:v>2.2585036363636352E-6</c:v>
                </c:pt>
                <c:pt idx="61">
                  <c:v>1.8769648484848475E-6</c:v>
                </c:pt>
                <c:pt idx="62">
                  <c:v>1.5362436363636358E-6</c:v>
                </c:pt>
                <c:pt idx="63">
                  <c:v>1.273334545454545E-6</c:v>
                </c:pt>
                <c:pt idx="64">
                  <c:v>1.0556652727272724E-6</c:v>
                </c:pt>
                <c:pt idx="65">
                  <c:v>8.6691981818181775E-7</c:v>
                </c:pt>
                <c:pt idx="66">
                  <c:v>7.2934783132530101E-7</c:v>
                </c:pt>
                <c:pt idx="67">
                  <c:v>6.0485818181818178E-7</c:v>
                </c:pt>
                <c:pt idx="68">
                  <c:v>5.0591878787878786E-7</c:v>
                </c:pt>
                <c:pt idx="69">
                  <c:v>4.2430878787878785E-7</c:v>
                </c:pt>
                <c:pt idx="70">
                  <c:v>3.5203000000000001E-7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2ACB-4A56-A05D-23B78DB4E2E9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(DGa2Sej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3.9995751515151515E-2</c:v>
                </c:pt>
                <c:pt idx="1">
                  <c:v>3.9993848484848486E-2</c:v>
                </c:pt>
                <c:pt idx="2">
                  <c:v>3.9990818181818183E-2</c:v>
                </c:pt>
                <c:pt idx="3">
                  <c:v>3.998469090909091E-2</c:v>
                </c:pt>
                <c:pt idx="4">
                  <c:v>3.9973231467473523E-2</c:v>
                </c:pt>
                <c:pt idx="5">
                  <c:v>3.9913624810892584E-2</c:v>
                </c:pt>
                <c:pt idx="6">
                  <c:v>3.9854018154311652E-2</c:v>
                </c:pt>
                <c:pt idx="7">
                  <c:v>3.9794411497730713E-2</c:v>
                </c:pt>
                <c:pt idx="8">
                  <c:v>3.9734804841149773E-2</c:v>
                </c:pt>
                <c:pt idx="9">
                  <c:v>3.9675198184568834E-2</c:v>
                </c:pt>
                <c:pt idx="10">
                  <c:v>3.9615591527987895E-2</c:v>
                </c:pt>
                <c:pt idx="11">
                  <c:v>3.9480884848484853E-2</c:v>
                </c:pt>
                <c:pt idx="12">
                  <c:v>3.926149090909091E-2</c:v>
                </c:pt>
                <c:pt idx="13">
                  <c:v>3.8919345454545458E-2</c:v>
                </c:pt>
                <c:pt idx="14">
                  <c:v>3.8513253012048193E-2</c:v>
                </c:pt>
                <c:pt idx="15">
                  <c:v>3.7926506024096383E-2</c:v>
                </c:pt>
                <c:pt idx="16">
                  <c:v>3.7175363636363631E-2</c:v>
                </c:pt>
                <c:pt idx="17">
                  <c:v>3.6266272727272723E-2</c:v>
                </c:pt>
                <c:pt idx="18">
                  <c:v>3.4971484848484842E-2</c:v>
                </c:pt>
                <c:pt idx="19">
                  <c:v>3.3489818181818176E-2</c:v>
                </c:pt>
                <c:pt idx="20">
                  <c:v>3.1541333333333331E-2</c:v>
                </c:pt>
                <c:pt idx="21">
                  <c:v>2.9217139393939388E-2</c:v>
                </c:pt>
                <c:pt idx="22">
                  <c:v>2.6597745454545449E-2</c:v>
                </c:pt>
                <c:pt idx="23">
                  <c:v>2.346809036144578E-2</c:v>
                </c:pt>
                <c:pt idx="24">
                  <c:v>2.0223000000000001E-2</c:v>
                </c:pt>
                <c:pt idx="25">
                  <c:v>1.6782999999999999E-2</c:v>
                </c:pt>
                <c:pt idx="26">
                  <c:v>1.3509545454545455E-2</c:v>
                </c:pt>
                <c:pt idx="27">
                  <c:v>1.0347121212121212E-2</c:v>
                </c:pt>
                <c:pt idx="28">
                  <c:v>7.8636878787878787E-3</c:v>
                </c:pt>
                <c:pt idx="29">
                  <c:v>5.6642818181818185E-3</c:v>
                </c:pt>
                <c:pt idx="30">
                  <c:v>4.0442212121212118E-3</c:v>
                </c:pt>
                <c:pt idx="31">
                  <c:v>2.8594259036144589E-3</c:v>
                </c:pt>
                <c:pt idx="32">
                  <c:v>1.9090042168674718E-3</c:v>
                </c:pt>
                <c:pt idx="33">
                  <c:v>1.3763000000000013E-3</c:v>
                </c:pt>
                <c:pt idx="34">
                  <c:v>9.3088642424242485E-4</c:v>
                </c:pt>
                <c:pt idx="35">
                  <c:v>6.4672884848484917E-4</c:v>
                </c:pt>
                <c:pt idx="36">
                  <c:v>4.5366800000000033E-4</c:v>
                </c:pt>
                <c:pt idx="37">
                  <c:v>3.0595765809379738E-4</c:v>
                </c:pt>
                <c:pt idx="38">
                  <c:v>2.643991104387293E-4</c:v>
                </c:pt>
                <c:pt idx="39">
                  <c:v>2.2284056278366123E-4</c:v>
                </c:pt>
                <c:pt idx="40">
                  <c:v>1.8128201512859315E-4</c:v>
                </c:pt>
                <c:pt idx="41">
                  <c:v>1.397234674735251E-4</c:v>
                </c:pt>
                <c:pt idx="42">
                  <c:v>9.8164919818457028E-5</c:v>
                </c:pt>
                <c:pt idx="43">
                  <c:v>5.660637216338898E-5</c:v>
                </c:pt>
                <c:pt idx="44">
                  <c:v>3.0996986384266278E-5</c:v>
                </c:pt>
                <c:pt idx="45">
                  <c:v>2.6529512859304093E-5</c:v>
                </c:pt>
                <c:pt idx="46">
                  <c:v>2.2062039334341909E-5</c:v>
                </c:pt>
                <c:pt idx="47">
                  <c:v>1.7594565809379727E-5</c:v>
                </c:pt>
                <c:pt idx="48">
                  <c:v>1.3127092284417543E-5</c:v>
                </c:pt>
                <c:pt idx="49">
                  <c:v>8.6596187594553582E-6</c:v>
                </c:pt>
                <c:pt idx="50">
                  <c:v>4.1921452344931735E-6</c:v>
                </c:pt>
                <c:pt idx="51">
                  <c:v>2.9773789121212098E-6</c:v>
                </c:pt>
                <c:pt idx="52">
                  <c:v>2.4766214878787855E-6</c:v>
                </c:pt>
                <c:pt idx="53">
                  <c:v>1.9758640636363612E-6</c:v>
                </c:pt>
                <c:pt idx="54">
                  <c:v>1.4751066393939374E-6</c:v>
                </c:pt>
                <c:pt idx="55">
                  <c:v>9.7434921515151307E-7</c:v>
                </c:pt>
                <c:pt idx="56">
                  <c:v>4.7359179090908878E-7</c:v>
                </c:pt>
                <c:pt idx="57">
                  <c:v>7.514116867469864E-8</c:v>
                </c:pt>
                <c:pt idx="58">
                  <c:v>3.9414662650602312E-8</c:v>
                </c:pt>
                <c:pt idx="59">
                  <c:v>1.7789375757575735E-8</c:v>
                </c:pt>
                <c:pt idx="60">
                  <c:v>7.2436181818181591E-9</c:v>
                </c:pt>
                <c:pt idx="61">
                  <c:v>3.7129678787878722E-9</c:v>
                </c:pt>
                <c:pt idx="62">
                  <c:v>1.4240292121212105E-9</c:v>
                </c:pt>
                <c:pt idx="63">
                  <c:v>6.9452618181818013E-10</c:v>
                </c:pt>
                <c:pt idx="64">
                  <c:v>2.9726612121212078E-10</c:v>
                </c:pt>
                <c:pt idx="65">
                  <c:v>1.1242369696969652E-10</c:v>
                </c:pt>
                <c:pt idx="66">
                  <c:v>6.0129759036144536E-11</c:v>
                </c:pt>
                <c:pt idx="67">
                  <c:v>2.373932727272727E-11</c:v>
                </c:pt>
                <c:pt idx="68">
                  <c:v>1.157041818181818E-11</c:v>
                </c:pt>
                <c:pt idx="69">
                  <c:v>5.2199939393939392E-12</c:v>
                </c:pt>
                <c:pt idx="70">
                  <c:v>2.0025999999999996E-12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2ACB-4A56-A05D-23B78DB4E2E9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(DGaSe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8.144792727272731E-6</c:v>
                </c:pt>
                <c:pt idx="1">
                  <c:v>1.2367880000000008E-5</c:v>
                </c:pt>
                <c:pt idx="2">
                  <c:v>1.8723880000000007E-5</c:v>
                </c:pt>
                <c:pt idx="3">
                  <c:v>3.0952884848484866E-5</c:v>
                </c:pt>
                <c:pt idx="4">
                  <c:v>5.3736378214826152E-5</c:v>
                </c:pt>
                <c:pt idx="5">
                  <c:v>1.7291610590015134E-4</c:v>
                </c:pt>
                <c:pt idx="6">
                  <c:v>2.9209583358547661E-4</c:v>
                </c:pt>
                <c:pt idx="7">
                  <c:v>4.1127556127080182E-4</c:v>
                </c:pt>
                <c:pt idx="8">
                  <c:v>5.3045528895612703E-4</c:v>
                </c:pt>
                <c:pt idx="9">
                  <c:v>6.4963501664145218E-4</c:v>
                </c:pt>
                <c:pt idx="10">
                  <c:v>7.6881474432677745E-4</c:v>
                </c:pt>
                <c:pt idx="11">
                  <c:v>1.038130545454545E-3</c:v>
                </c:pt>
                <c:pt idx="12">
                  <c:v>1.4767487272727268E-3</c:v>
                </c:pt>
                <c:pt idx="13">
                  <c:v>2.1608599999999993E-3</c:v>
                </c:pt>
                <c:pt idx="14">
                  <c:v>2.9729554216867461E-3</c:v>
                </c:pt>
                <c:pt idx="15">
                  <c:v>4.1468108433734951E-3</c:v>
                </c:pt>
                <c:pt idx="16">
                  <c:v>5.6491800000000036E-3</c:v>
                </c:pt>
                <c:pt idx="17">
                  <c:v>7.4671800000000038E-3</c:v>
                </c:pt>
                <c:pt idx="18">
                  <c:v>1.0056886666666673E-2</c:v>
                </c:pt>
                <c:pt idx="19">
                  <c:v>1.3020363636363644E-2</c:v>
                </c:pt>
                <c:pt idx="20">
                  <c:v>1.691733333333334E-2</c:v>
                </c:pt>
                <c:pt idx="21">
                  <c:v>2.1566060606060616E-2</c:v>
                </c:pt>
                <c:pt idx="22">
                  <c:v>2.6805454545454556E-2</c:v>
                </c:pt>
                <c:pt idx="23">
                  <c:v>3.3064271084337356E-2</c:v>
                </c:pt>
                <c:pt idx="24">
                  <c:v>3.9553999999999999E-2</c:v>
                </c:pt>
                <c:pt idx="25">
                  <c:v>4.6434000000000003E-2</c:v>
                </c:pt>
                <c:pt idx="26">
                  <c:v>5.2980545454545454E-2</c:v>
                </c:pt>
                <c:pt idx="27">
                  <c:v>5.930478787878788E-2</c:v>
                </c:pt>
                <c:pt idx="28">
                  <c:v>6.4271969696969689E-2</c:v>
                </c:pt>
                <c:pt idx="29">
                  <c:v>6.8670999999999996E-2</c:v>
                </c:pt>
                <c:pt idx="30">
                  <c:v>7.1911000000000003E-2</c:v>
                </c:pt>
                <c:pt idx="31">
                  <c:v>7.4279999999999999E-2</c:v>
                </c:pt>
                <c:pt idx="32">
                  <c:v>7.6179999999999998E-2</c:v>
                </c:pt>
                <c:pt idx="33">
                  <c:v>7.7243599999999996E-2</c:v>
                </c:pt>
                <c:pt idx="34">
                  <c:v>7.8131636363636361E-2</c:v>
                </c:pt>
                <c:pt idx="35">
                  <c:v>7.8695272727272725E-2</c:v>
                </c:pt>
                <c:pt idx="36">
                  <c:v>7.9071981818181813E-2</c:v>
                </c:pt>
                <c:pt idx="37">
                  <c:v>7.9351360060514381E-2</c:v>
                </c:pt>
                <c:pt idx="38">
                  <c:v>7.9310361573373678E-2</c:v>
                </c:pt>
                <c:pt idx="39">
                  <c:v>7.9269363086232988E-2</c:v>
                </c:pt>
                <c:pt idx="40">
                  <c:v>7.9228364599092285E-2</c:v>
                </c:pt>
                <c:pt idx="41">
                  <c:v>7.9187366111951596E-2</c:v>
                </c:pt>
                <c:pt idx="42">
                  <c:v>7.9146367624810893E-2</c:v>
                </c:pt>
                <c:pt idx="43">
                  <c:v>7.9105369137670203E-2</c:v>
                </c:pt>
                <c:pt idx="44">
                  <c:v>7.8333240544629354E-2</c:v>
                </c:pt>
                <c:pt idx="45">
                  <c:v>7.6591939485627841E-2</c:v>
                </c:pt>
                <c:pt idx="46">
                  <c:v>7.4850638426626329E-2</c:v>
                </c:pt>
                <c:pt idx="47">
                  <c:v>7.3109337367624802E-2</c:v>
                </c:pt>
                <c:pt idx="48">
                  <c:v>7.1368036308623289E-2</c:v>
                </c:pt>
                <c:pt idx="49">
                  <c:v>6.9626735249621777E-2</c:v>
                </c:pt>
                <c:pt idx="50">
                  <c:v>6.7885434190620264E-2</c:v>
                </c:pt>
                <c:pt idx="51">
                  <c:v>6.2340275757575725E-2</c:v>
                </c:pt>
                <c:pt idx="52">
                  <c:v>5.5960124242424206E-2</c:v>
                </c:pt>
                <c:pt idx="53">
                  <c:v>4.9579972727272693E-2</c:v>
                </c:pt>
                <c:pt idx="54">
                  <c:v>4.3199821212121181E-2</c:v>
                </c:pt>
                <c:pt idx="55">
                  <c:v>3.6819669696969662E-2</c:v>
                </c:pt>
                <c:pt idx="56">
                  <c:v>3.043951818181815E-2</c:v>
                </c:pt>
                <c:pt idx="57">
                  <c:v>2.4302831325301182E-2</c:v>
                </c:pt>
                <c:pt idx="58">
                  <c:v>1.9029337349397577E-2</c:v>
                </c:pt>
                <c:pt idx="59">
                  <c:v>1.4608151515151508E-2</c:v>
                </c:pt>
                <c:pt idx="60">
                  <c:v>1.0856636363636357E-2</c:v>
                </c:pt>
                <c:pt idx="61">
                  <c:v>8.2869630303030253E-3</c:v>
                </c:pt>
                <c:pt idx="62">
                  <c:v>6.0737218181818146E-3</c:v>
                </c:pt>
                <c:pt idx="63">
                  <c:v>4.5422672727272687E-3</c:v>
                </c:pt>
                <c:pt idx="64">
                  <c:v>3.3751121212121189E-3</c:v>
                </c:pt>
                <c:pt idx="65">
                  <c:v>2.4408696969696947E-3</c:v>
                </c:pt>
                <c:pt idx="66">
                  <c:v>1.8644542168674695E-3</c:v>
                </c:pt>
                <c:pt idx="67">
                  <c:v>1.3689000000000002E-3</c:v>
                </c:pt>
                <c:pt idx="68">
                  <c:v>1.0272333333333334E-3</c:v>
                </c:pt>
                <c:pt idx="69">
                  <c:v>7.7267848484848488E-4</c:v>
                </c:pt>
                <c:pt idx="70">
                  <c:v>5.6503E-4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2ACB-4A56-A05D-23B78DB4E2E9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(DGe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1.8518487272727281E-6</c:v>
                </c:pt>
                <c:pt idx="1">
                  <c:v>3.4363939393939423E-6</c:v>
                </c:pt>
                <c:pt idx="2">
                  <c:v>6.2242727272727299E-6</c:v>
                </c:pt>
                <c:pt idx="3">
                  <c:v>1.4302660606060617E-5</c:v>
                </c:pt>
                <c:pt idx="4">
                  <c:v>5.3347586989410396E-5</c:v>
                </c:pt>
                <c:pt idx="5">
                  <c:v>4.2600492435703504E-4</c:v>
                </c:pt>
                <c:pt idx="6">
                  <c:v>7.9866226172465974E-4</c:v>
                </c:pt>
                <c:pt idx="7">
                  <c:v>1.1713195990922846E-3</c:v>
                </c:pt>
                <c:pt idx="8">
                  <c:v>1.543976936459909E-3</c:v>
                </c:pt>
                <c:pt idx="9">
                  <c:v>1.9166342738275337E-3</c:v>
                </c:pt>
                <c:pt idx="10">
                  <c:v>2.2892916111951584E-3</c:v>
                </c:pt>
                <c:pt idx="11">
                  <c:v>3.6487824242424213E-3</c:v>
                </c:pt>
                <c:pt idx="12">
                  <c:v>6.1210854545454517E-3</c:v>
                </c:pt>
                <c:pt idx="13">
                  <c:v>1.1046729090909084E-2</c:v>
                </c:pt>
                <c:pt idx="14">
                  <c:v>1.732736746987951E-2</c:v>
                </c:pt>
                <c:pt idx="15">
                  <c:v>2.7594234939759051E-2</c:v>
                </c:pt>
                <c:pt idx="16">
                  <c:v>4.1002290909090952E-2</c:v>
                </c:pt>
                <c:pt idx="17">
                  <c:v>5.7428351515151556E-2</c:v>
                </c:pt>
                <c:pt idx="18">
                  <c:v>7.8544800000000053E-2</c:v>
                </c:pt>
                <c:pt idx="19">
                  <c:v>0.10090436363636369</c:v>
                </c:pt>
                <c:pt idx="20">
                  <c:v>0.12506800000000004</c:v>
                </c:pt>
                <c:pt idx="21">
                  <c:v>0.14793854545454549</c:v>
                </c:pt>
                <c:pt idx="22">
                  <c:v>0.16979309090909095</c:v>
                </c:pt>
                <c:pt idx="23">
                  <c:v>0.18657765060240966</c:v>
                </c:pt>
                <c:pt idx="24">
                  <c:v>0.20144000000000001</c:v>
                </c:pt>
                <c:pt idx="25">
                  <c:v>0.21204000000000001</c:v>
                </c:pt>
                <c:pt idx="26">
                  <c:v>0.22003636363636364</c:v>
                </c:pt>
                <c:pt idx="27">
                  <c:v>0.22629696969696969</c:v>
                </c:pt>
                <c:pt idx="28">
                  <c:v>0.22996666666666668</c:v>
                </c:pt>
                <c:pt idx="29">
                  <c:v>0.23303090909090909</c:v>
                </c:pt>
                <c:pt idx="30">
                  <c:v>0.23500060606060608</c:v>
                </c:pt>
                <c:pt idx="31">
                  <c:v>0.23640265060240964</c:v>
                </c:pt>
                <c:pt idx="32">
                  <c:v>0.23749903614457832</c:v>
                </c:pt>
                <c:pt idx="33">
                  <c:v>0.238122</c:v>
                </c:pt>
                <c:pt idx="34">
                  <c:v>0.23865157575757576</c:v>
                </c:pt>
                <c:pt idx="35">
                  <c:v>0.23900915151515151</c:v>
                </c:pt>
                <c:pt idx="36">
                  <c:v>0.23926218181818182</c:v>
                </c:pt>
                <c:pt idx="37">
                  <c:v>0.23946272314674735</c:v>
                </c:pt>
                <c:pt idx="38">
                  <c:v>0.23953080181543118</c:v>
                </c:pt>
                <c:pt idx="39">
                  <c:v>0.23959888048411498</c:v>
                </c:pt>
                <c:pt idx="40">
                  <c:v>0.23966695915279879</c:v>
                </c:pt>
                <c:pt idx="41">
                  <c:v>0.23973503782148262</c:v>
                </c:pt>
                <c:pt idx="42">
                  <c:v>0.23980311649016642</c:v>
                </c:pt>
                <c:pt idx="43">
                  <c:v>0.23987119515885025</c:v>
                </c:pt>
                <c:pt idx="44">
                  <c:v>0.2399145537065053</c:v>
                </c:pt>
                <c:pt idx="45">
                  <c:v>0.2399251437216339</c:v>
                </c:pt>
                <c:pt idx="46">
                  <c:v>0.2399357337367625</c:v>
                </c:pt>
                <c:pt idx="47">
                  <c:v>0.23994632375189107</c:v>
                </c:pt>
                <c:pt idx="48">
                  <c:v>0.23995691376701966</c:v>
                </c:pt>
                <c:pt idx="49">
                  <c:v>0.23996750378214826</c:v>
                </c:pt>
                <c:pt idx="50">
                  <c:v>0.23997809379727686</c:v>
                </c:pt>
                <c:pt idx="51">
                  <c:v>0.23998248484848483</c:v>
                </c:pt>
                <c:pt idx="52">
                  <c:v>0.23998551515151514</c:v>
                </c:pt>
                <c:pt idx="53">
                  <c:v>0.23998854545454545</c:v>
                </c:pt>
                <c:pt idx="54">
                  <c:v>0.23999157575757576</c:v>
                </c:pt>
                <c:pt idx="55">
                  <c:v>0.23999460606060605</c:v>
                </c:pt>
                <c:pt idx="56">
                  <c:v>0.23999763636363636</c:v>
                </c:pt>
                <c:pt idx="57">
                  <c:v>0.24</c:v>
                </c:pt>
                <c:pt idx="58">
                  <c:v>0.24</c:v>
                </c:pt>
                <c:pt idx="59">
                  <c:v>0.24</c:v>
                </c:pt>
                <c:pt idx="60">
                  <c:v>0.24</c:v>
                </c:pt>
                <c:pt idx="61">
                  <c:v>0.24</c:v>
                </c:pt>
                <c:pt idx="62">
                  <c:v>0.24</c:v>
                </c:pt>
                <c:pt idx="63">
                  <c:v>0.24</c:v>
                </c:pt>
                <c:pt idx="64">
                  <c:v>0.24</c:v>
                </c:pt>
                <c:pt idx="65">
                  <c:v>0.24</c:v>
                </c:pt>
                <c:pt idx="66">
                  <c:v>0.24</c:v>
                </c:pt>
                <c:pt idx="67">
                  <c:v>0.24</c:v>
                </c:pt>
                <c:pt idx="68">
                  <c:v>0.24</c:v>
                </c:pt>
                <c:pt idx="69">
                  <c:v>0.24</c:v>
                </c:pt>
                <c:pt idx="70">
                  <c:v>0.24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2ACB-4A56-A05D-23B78DB4E2E9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(DGa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3.9289779393939436E-25</c:v>
                </c:pt>
                <c:pt idx="1">
                  <c:v>4.9760621212121333E-24</c:v>
                </c:pt>
                <c:pt idx="2">
                  <c:v>1.6445304545454558E-23</c:v>
                </c:pt>
                <c:pt idx="3">
                  <c:v>2.8815899393939435E-22</c:v>
                </c:pt>
                <c:pt idx="4">
                  <c:v>2.2815268208321047E-18</c:v>
                </c:pt>
                <c:pt idx="5">
                  <c:v>3.0792778456233002E-17</c:v>
                </c:pt>
                <c:pt idx="6">
                  <c:v>5.9304030091633909E-17</c:v>
                </c:pt>
                <c:pt idx="7">
                  <c:v>8.7815281727034804E-17</c:v>
                </c:pt>
                <c:pt idx="8">
                  <c:v>1.1632653336243571E-16</c:v>
                </c:pt>
                <c:pt idx="9">
                  <c:v>1.4483778499783661E-16</c:v>
                </c:pt>
                <c:pt idx="10">
                  <c:v>1.733490366332375E-16</c:v>
                </c:pt>
                <c:pt idx="11">
                  <c:v>9.0170351515151355E-16</c:v>
                </c:pt>
                <c:pt idx="12">
                  <c:v>2.4192429090909073E-15</c:v>
                </c:pt>
                <c:pt idx="13">
                  <c:v>1.6883667878787857E-14</c:v>
                </c:pt>
                <c:pt idx="14">
                  <c:v>5.84461566265059E-14</c:v>
                </c:pt>
                <c:pt idx="15">
                  <c:v>2.1843531325301226E-13</c:v>
                </c:pt>
                <c:pt idx="16">
                  <c:v>9.3629890909091196E-13</c:v>
                </c:pt>
                <c:pt idx="17">
                  <c:v>2.1901595151515179E-12</c:v>
                </c:pt>
                <c:pt idx="18">
                  <c:v>9.6857593939394146E-12</c:v>
                </c:pt>
                <c:pt idx="19">
                  <c:v>2.7304545454545575E-11</c:v>
                </c:pt>
                <c:pt idx="20">
                  <c:v>7.9183333333333453E-11</c:v>
                </c:pt>
                <c:pt idx="21">
                  <c:v>2.6220393939394003E-10</c:v>
                </c:pt>
                <c:pt idx="22">
                  <c:v>5.4826454545454599E-10</c:v>
                </c:pt>
                <c:pt idx="23">
                  <c:v>1.8529382530120499E-9</c:v>
                </c:pt>
                <c:pt idx="24">
                  <c:v>4.4518484848484852E-9</c:v>
                </c:pt>
                <c:pt idx="25">
                  <c:v>1.0631242424242426E-8</c:v>
                </c:pt>
                <c:pt idx="26">
                  <c:v>2.7327363636363635E-8</c:v>
                </c:pt>
                <c:pt idx="27">
                  <c:v>5.1034636363636363E-8</c:v>
                </c:pt>
                <c:pt idx="28">
                  <c:v>1.2862878787878787E-7</c:v>
                </c:pt>
                <c:pt idx="29">
                  <c:v>2.5882272727272727E-7</c:v>
                </c:pt>
                <c:pt idx="30">
                  <c:v>5.0513181818181822E-7</c:v>
                </c:pt>
                <c:pt idx="31">
                  <c:v>1.0418996385542163E-6</c:v>
                </c:pt>
                <c:pt idx="32">
                  <c:v>1.7350683132530105E-6</c:v>
                </c:pt>
                <c:pt idx="33">
                  <c:v>3.582199999999996E-6</c:v>
                </c:pt>
                <c:pt idx="34">
                  <c:v>6.4125636363636262E-6</c:v>
                </c:pt>
                <c:pt idx="35">
                  <c:v>1.1128927272727263E-5</c:v>
                </c:pt>
                <c:pt idx="36">
                  <c:v>2.0503418181818157E-5</c:v>
                </c:pt>
                <c:pt idx="37">
                  <c:v>3.6477252647503501E-5</c:v>
                </c:pt>
                <c:pt idx="38">
                  <c:v>1.6060856883509799E-4</c:v>
                </c:pt>
                <c:pt idx="39">
                  <c:v>2.8473988502269245E-4</c:v>
                </c:pt>
                <c:pt idx="40">
                  <c:v>4.0887120121028698E-4</c:v>
                </c:pt>
                <c:pt idx="41">
                  <c:v>5.3300251739788157E-4</c:v>
                </c:pt>
                <c:pt idx="42">
                  <c:v>6.5713383358547599E-4</c:v>
                </c:pt>
                <c:pt idx="43">
                  <c:v>7.8126514977307053E-4</c:v>
                </c:pt>
                <c:pt idx="44">
                  <c:v>1.6046813313161808E-3</c:v>
                </c:pt>
                <c:pt idx="45">
                  <c:v>3.3550565204235961E-3</c:v>
                </c:pt>
                <c:pt idx="46">
                  <c:v>5.1054317095310126E-3</c:v>
                </c:pt>
                <c:pt idx="47">
                  <c:v>6.8558068986384274E-3</c:v>
                </c:pt>
                <c:pt idx="48">
                  <c:v>8.6061820877458423E-3</c:v>
                </c:pt>
                <c:pt idx="49">
                  <c:v>1.035655727685326E-2</c:v>
                </c:pt>
                <c:pt idx="50">
                  <c:v>1.2106932465960675E-2</c:v>
                </c:pt>
                <c:pt idx="51">
                  <c:v>1.7654345454545486E-2</c:v>
                </c:pt>
                <c:pt idx="52">
                  <c:v>2.4035254545454576E-2</c:v>
                </c:pt>
                <c:pt idx="53">
                  <c:v>3.0416163636363666E-2</c:v>
                </c:pt>
                <c:pt idx="54">
                  <c:v>3.6797072727272756E-2</c:v>
                </c:pt>
                <c:pt idx="55">
                  <c:v>4.3177981818181846E-2</c:v>
                </c:pt>
                <c:pt idx="56">
                  <c:v>4.9558890909090943E-2</c:v>
                </c:pt>
                <c:pt idx="57">
                  <c:v>5.5696301204819304E-2</c:v>
                </c:pt>
                <c:pt idx="58">
                  <c:v>6.0970397590361464E-2</c:v>
                </c:pt>
                <c:pt idx="59">
                  <c:v>6.5391848484848497E-2</c:v>
                </c:pt>
                <c:pt idx="60">
                  <c:v>6.9143363636363642E-2</c:v>
                </c:pt>
                <c:pt idx="61">
                  <c:v>7.1712981818181823E-2</c:v>
                </c:pt>
                <c:pt idx="62">
                  <c:v>7.3926193939393939E-2</c:v>
                </c:pt>
                <c:pt idx="63">
                  <c:v>7.5457709090909098E-2</c:v>
                </c:pt>
                <c:pt idx="64">
                  <c:v>7.6624703030303026E-2</c:v>
                </c:pt>
                <c:pt idx="65">
                  <c:v>7.755864242424243E-2</c:v>
                </c:pt>
                <c:pt idx="66">
                  <c:v>7.8135566265060241E-2</c:v>
                </c:pt>
                <c:pt idx="67">
                  <c:v>7.8631363636363638E-2</c:v>
                </c:pt>
                <c:pt idx="68">
                  <c:v>7.8972575757575755E-2</c:v>
                </c:pt>
                <c:pt idx="69">
                  <c:v>7.9227121212121207E-2</c:v>
                </c:pt>
                <c:pt idx="70">
                  <c:v>7.9435000000000006E-2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2ACB-4A56-A05D-23B78DB4E2E9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(1)Se[A]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3.8229806060606086E-9</c:v>
                </c:pt>
                <c:pt idx="1">
                  <c:v>5.9545309090909122E-9</c:v>
                </c:pt>
                <c:pt idx="2">
                  <c:v>8.6343490909090934E-9</c:v>
                </c:pt>
                <c:pt idx="3">
                  <c:v>1.1178962424242427E-8</c:v>
                </c:pt>
                <c:pt idx="4">
                  <c:v>1.3465757942511346E-8</c:v>
                </c:pt>
                <c:pt idx="5">
                  <c:v>1.3362732223903178E-8</c:v>
                </c:pt>
                <c:pt idx="6">
                  <c:v>1.3259706505295008E-8</c:v>
                </c:pt>
                <c:pt idx="7">
                  <c:v>1.3156680786686838E-8</c:v>
                </c:pt>
                <c:pt idx="8">
                  <c:v>1.305365506807867E-8</c:v>
                </c:pt>
                <c:pt idx="9">
                  <c:v>1.29506293494705E-8</c:v>
                </c:pt>
                <c:pt idx="10">
                  <c:v>1.284760363086233E-8</c:v>
                </c:pt>
                <c:pt idx="11">
                  <c:v>1.2424690909090911E-8</c:v>
                </c:pt>
                <c:pt idx="12">
                  <c:v>1.1641054545454546E-8</c:v>
                </c:pt>
                <c:pt idx="13">
                  <c:v>1.1066145454545456E-8</c:v>
                </c:pt>
                <c:pt idx="14">
                  <c:v>1.0590849397590362E-8</c:v>
                </c:pt>
                <c:pt idx="15">
                  <c:v>1.0378198795180723E-8</c:v>
                </c:pt>
                <c:pt idx="16">
                  <c:v>1.0301818181818182E-8</c:v>
                </c:pt>
                <c:pt idx="17">
                  <c:v>1.0356363636363636E-8</c:v>
                </c:pt>
                <c:pt idx="18">
                  <c:v>1.0510460606060606E-8</c:v>
                </c:pt>
                <c:pt idx="19">
                  <c:v>1.0663072727272728E-8</c:v>
                </c:pt>
                <c:pt idx="20">
                  <c:v>1.0749133333333333E-8</c:v>
                </c:pt>
                <c:pt idx="21">
                  <c:v>1.0703169696969696E-8</c:v>
                </c:pt>
                <c:pt idx="22">
                  <c:v>1.0553472727272728E-8</c:v>
                </c:pt>
                <c:pt idx="23">
                  <c:v>1.017737048192771E-8</c:v>
                </c:pt>
                <c:pt idx="24">
                  <c:v>9.7371818181818185E-9</c:v>
                </c:pt>
                <c:pt idx="25">
                  <c:v>9.1719090909090917E-9</c:v>
                </c:pt>
                <c:pt idx="26">
                  <c:v>8.5685272727272732E-9</c:v>
                </c:pt>
                <c:pt idx="27">
                  <c:v>7.9397393939393932E-9</c:v>
                </c:pt>
                <c:pt idx="28">
                  <c:v>7.3161909090909089E-9</c:v>
                </c:pt>
                <c:pt idx="29">
                  <c:v>6.7060999999999994E-9</c:v>
                </c:pt>
                <c:pt idx="30">
                  <c:v>6.1267666666666662E-9</c:v>
                </c:pt>
                <c:pt idx="31">
                  <c:v>5.5895240963855429E-9</c:v>
                </c:pt>
                <c:pt idx="32">
                  <c:v>5.0749457831325317E-9</c:v>
                </c:pt>
                <c:pt idx="33">
                  <c:v>4.622800000000001E-9</c:v>
                </c:pt>
                <c:pt idx="34">
                  <c:v>4.1927357575757585E-9</c:v>
                </c:pt>
                <c:pt idx="35">
                  <c:v>3.8043115151515158E-9</c:v>
                </c:pt>
                <c:pt idx="36">
                  <c:v>3.4550290909090919E-9</c:v>
                </c:pt>
                <c:pt idx="37">
                  <c:v>3.1276493192133139E-9</c:v>
                </c:pt>
                <c:pt idx="38">
                  <c:v>2.903882299546143E-9</c:v>
                </c:pt>
                <c:pt idx="39">
                  <c:v>2.680115279878972E-9</c:v>
                </c:pt>
                <c:pt idx="40">
                  <c:v>2.456348260211801E-9</c:v>
                </c:pt>
                <c:pt idx="41">
                  <c:v>2.2325812405446301E-9</c:v>
                </c:pt>
                <c:pt idx="42">
                  <c:v>2.0088142208774591E-9</c:v>
                </c:pt>
                <c:pt idx="43">
                  <c:v>1.7850472012102884E-9</c:v>
                </c:pt>
                <c:pt idx="44">
                  <c:v>1.6088703177004543E-9</c:v>
                </c:pt>
                <c:pt idx="45">
                  <c:v>1.495778033282905E-9</c:v>
                </c:pt>
                <c:pt idx="46">
                  <c:v>1.3826857488653557E-9</c:v>
                </c:pt>
                <c:pt idx="47">
                  <c:v>1.2695934644478063E-9</c:v>
                </c:pt>
                <c:pt idx="48">
                  <c:v>1.156501180030257E-9</c:v>
                </c:pt>
                <c:pt idx="49">
                  <c:v>1.0434088956127077E-9</c:v>
                </c:pt>
                <c:pt idx="50">
                  <c:v>9.3031661119515847E-10</c:v>
                </c:pt>
                <c:pt idx="51">
                  <c:v>8.6426487878787858E-10</c:v>
                </c:pt>
                <c:pt idx="52">
                  <c:v>8.0853912121212099E-10</c:v>
                </c:pt>
                <c:pt idx="53">
                  <c:v>7.528133636363634E-10</c:v>
                </c:pt>
                <c:pt idx="54">
                  <c:v>6.9708760606060581E-10</c:v>
                </c:pt>
                <c:pt idx="55">
                  <c:v>6.4136184848484822E-10</c:v>
                </c:pt>
                <c:pt idx="56">
                  <c:v>5.8563609090909063E-10</c:v>
                </c:pt>
                <c:pt idx="57">
                  <c:v>5.3324012048192755E-10</c:v>
                </c:pt>
                <c:pt idx="58">
                  <c:v>4.9264975903614445E-10</c:v>
                </c:pt>
                <c:pt idx="59">
                  <c:v>4.5405642424242413E-10</c:v>
                </c:pt>
                <c:pt idx="60">
                  <c:v>4.1703218181818171E-10</c:v>
                </c:pt>
                <c:pt idx="61">
                  <c:v>3.8356521212121205E-10</c:v>
                </c:pt>
                <c:pt idx="62">
                  <c:v>3.514616969696969E-10</c:v>
                </c:pt>
                <c:pt idx="63">
                  <c:v>3.2223745454545448E-10</c:v>
                </c:pt>
                <c:pt idx="64">
                  <c:v>2.9527206060606053E-10</c:v>
                </c:pt>
                <c:pt idx="65">
                  <c:v>2.6975084848484845E-10</c:v>
                </c:pt>
                <c:pt idx="66">
                  <c:v>2.4759843373493976E-10</c:v>
                </c:pt>
                <c:pt idx="67">
                  <c:v>2.2644636363636365E-10</c:v>
                </c:pt>
                <c:pt idx="68">
                  <c:v>2.0730090909090909E-10</c:v>
                </c:pt>
                <c:pt idx="69">
                  <c:v>1.8986121212121213E-10</c:v>
                </c:pt>
                <c:pt idx="70">
                  <c:v>1.7333999999999999E-10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2ACB-4A56-A05D-23B78DB4E2E9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1.6113195151515158E-2</c:v>
                </c:pt>
                <c:pt idx="1">
                  <c:v>2.6533103030303047E-2</c:v>
                </c:pt>
                <c:pt idx="2">
                  <c:v>4.0699163636363653E-2</c:v>
                </c:pt>
                <c:pt idx="3">
                  <c:v>5.6751721212121235E-2</c:v>
                </c:pt>
                <c:pt idx="4">
                  <c:v>7.2742187594553712E-2</c:v>
                </c:pt>
                <c:pt idx="5">
                  <c:v>7.9994532526475051E-2</c:v>
                </c:pt>
                <c:pt idx="6">
                  <c:v>8.7246877458396377E-2</c:v>
                </c:pt>
                <c:pt idx="7">
                  <c:v>9.4499222390317703E-2</c:v>
                </c:pt>
                <c:pt idx="8">
                  <c:v>0.10175156732223903</c:v>
                </c:pt>
                <c:pt idx="9">
                  <c:v>0.10900391225416037</c:v>
                </c:pt>
                <c:pt idx="10">
                  <c:v>0.11625625718608168</c:v>
                </c:pt>
                <c:pt idx="11">
                  <c:v>0.12176921212121211</c:v>
                </c:pt>
                <c:pt idx="12">
                  <c:v>0.12532072727272725</c:v>
                </c:pt>
                <c:pt idx="13">
                  <c:v>0.13108375757575758</c:v>
                </c:pt>
                <c:pt idx="14">
                  <c:v>0.13814921686746987</c:v>
                </c:pt>
                <c:pt idx="15">
                  <c:v>0.14920343373493977</c:v>
                </c:pt>
                <c:pt idx="16">
                  <c:v>0.16351563636363642</c:v>
                </c:pt>
                <c:pt idx="17">
                  <c:v>0.18095806060606065</c:v>
                </c:pt>
                <c:pt idx="18">
                  <c:v>0.203435393939394</c:v>
                </c:pt>
                <c:pt idx="19">
                  <c:v>0.2273292727272728</c:v>
                </c:pt>
                <c:pt idx="20">
                  <c:v>0.25346866666666673</c:v>
                </c:pt>
                <c:pt idx="21">
                  <c:v>0.27868490909090915</c:v>
                </c:pt>
                <c:pt idx="22">
                  <c:v>0.30317581818181821</c:v>
                </c:pt>
                <c:pt idx="23">
                  <c:v>0.32309759036144581</c:v>
                </c:pt>
                <c:pt idx="24">
                  <c:v>0.34121060606060605</c:v>
                </c:pt>
                <c:pt idx="25">
                  <c:v>0.35525303030303035</c:v>
                </c:pt>
                <c:pt idx="26">
                  <c:v>0.36652454545454544</c:v>
                </c:pt>
                <c:pt idx="27">
                  <c:v>0.37594878787878788</c:v>
                </c:pt>
                <c:pt idx="28">
                  <c:v>0.38210272727272726</c:v>
                </c:pt>
                <c:pt idx="29">
                  <c:v>0.38736636363636368</c:v>
                </c:pt>
                <c:pt idx="30">
                  <c:v>0.39095424242424243</c:v>
                </c:pt>
                <c:pt idx="31">
                  <c:v>0.39354132530120484</c:v>
                </c:pt>
                <c:pt idx="32">
                  <c:v>0.39558951807228915</c:v>
                </c:pt>
                <c:pt idx="33">
                  <c:v>0.39674999999999999</c:v>
                </c:pt>
                <c:pt idx="34">
                  <c:v>0.39772842424242422</c:v>
                </c:pt>
                <c:pt idx="35">
                  <c:v>0.39837084848484844</c:v>
                </c:pt>
                <c:pt idx="36">
                  <c:v>0.3988292727272727</c:v>
                </c:pt>
                <c:pt idx="37">
                  <c:v>0.39919931921331314</c:v>
                </c:pt>
                <c:pt idx="38">
                  <c:v>0.39943229954614218</c:v>
                </c:pt>
                <c:pt idx="39">
                  <c:v>0.39966527987897121</c:v>
                </c:pt>
                <c:pt idx="40">
                  <c:v>0.3998982602118003</c:v>
                </c:pt>
                <c:pt idx="41">
                  <c:v>0.40013124054462934</c:v>
                </c:pt>
                <c:pt idx="42">
                  <c:v>0.40036422087745838</c:v>
                </c:pt>
                <c:pt idx="43">
                  <c:v>0.40059720121028741</c:v>
                </c:pt>
                <c:pt idx="44">
                  <c:v>0.40148916792738271</c:v>
                </c:pt>
                <c:pt idx="45">
                  <c:v>0.40325467473524962</c:v>
                </c:pt>
                <c:pt idx="46">
                  <c:v>0.40502018154311648</c:v>
                </c:pt>
                <c:pt idx="47">
                  <c:v>0.40678568835098333</c:v>
                </c:pt>
                <c:pt idx="48">
                  <c:v>0.40855119515885019</c:v>
                </c:pt>
                <c:pt idx="49">
                  <c:v>0.4103167019667171</c:v>
                </c:pt>
                <c:pt idx="50">
                  <c:v>0.41208220877458396</c:v>
                </c:pt>
                <c:pt idx="51">
                  <c:v>0.41763433333333333</c:v>
                </c:pt>
                <c:pt idx="52">
                  <c:v>0.42401766666666668</c:v>
                </c:pt>
                <c:pt idx="53">
                  <c:v>0.43040100000000003</c:v>
                </c:pt>
                <c:pt idx="54">
                  <c:v>0.43678433333333333</c:v>
                </c:pt>
                <c:pt idx="55">
                  <c:v>0.44316766666666668</c:v>
                </c:pt>
                <c:pt idx="56">
                  <c:v>0.44955100000000003</c:v>
                </c:pt>
                <c:pt idx="57">
                  <c:v>0.45569096385542168</c:v>
                </c:pt>
                <c:pt idx="58">
                  <c:v>0.46096807228915665</c:v>
                </c:pt>
                <c:pt idx="59">
                  <c:v>0.46539084848484846</c:v>
                </c:pt>
                <c:pt idx="60">
                  <c:v>0.46914236363636364</c:v>
                </c:pt>
                <c:pt idx="61">
                  <c:v>0.47171363636363639</c:v>
                </c:pt>
                <c:pt idx="62">
                  <c:v>0.47392709090909091</c:v>
                </c:pt>
                <c:pt idx="63">
                  <c:v>0.47545436363636362</c:v>
                </c:pt>
                <c:pt idx="64">
                  <c:v>0.47662303030303027</c:v>
                </c:pt>
                <c:pt idx="65">
                  <c:v>0.47756242424242429</c:v>
                </c:pt>
                <c:pt idx="66">
                  <c:v>0.47813783132530124</c:v>
                </c:pt>
                <c:pt idx="67">
                  <c:v>0.47863181818181821</c:v>
                </c:pt>
                <c:pt idx="68">
                  <c:v>0.47897121212121213</c:v>
                </c:pt>
                <c:pt idx="69">
                  <c:v>0.47922393939393942</c:v>
                </c:pt>
                <c:pt idx="70">
                  <c:v>0.47943000000000002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2ACB-4A56-A05D-23B78DB4E2E9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1.3421683636363642E-8</c:v>
                </c:pt>
                <c:pt idx="1">
                  <c:v>1.9719218181818192E-8</c:v>
                </c:pt>
                <c:pt idx="2">
                  <c:v>2.7035581818181827E-8</c:v>
                </c:pt>
                <c:pt idx="3">
                  <c:v>3.3029096969696978E-8</c:v>
                </c:pt>
                <c:pt idx="4">
                  <c:v>3.7957338880484114E-8</c:v>
                </c:pt>
                <c:pt idx="5">
                  <c:v>3.6261574886535554E-8</c:v>
                </c:pt>
                <c:pt idx="6">
                  <c:v>3.4565810892586994E-8</c:v>
                </c:pt>
                <c:pt idx="7">
                  <c:v>3.2870046898638427E-8</c:v>
                </c:pt>
                <c:pt idx="8">
                  <c:v>3.1174282904689867E-8</c:v>
                </c:pt>
                <c:pt idx="9">
                  <c:v>2.9478518910741304E-8</c:v>
                </c:pt>
                <c:pt idx="10">
                  <c:v>2.778275491679274E-8</c:v>
                </c:pt>
                <c:pt idx="11">
                  <c:v>2.5709000000000002E-8</c:v>
                </c:pt>
                <c:pt idx="12">
                  <c:v>2.3209000000000003E-8</c:v>
                </c:pt>
                <c:pt idx="13">
                  <c:v>2.1335181818181821E-8</c:v>
                </c:pt>
                <c:pt idx="14">
                  <c:v>1.9727277108433734E-8</c:v>
                </c:pt>
                <c:pt idx="15">
                  <c:v>1.8746554216867469E-8</c:v>
                </c:pt>
                <c:pt idx="16">
                  <c:v>1.8048090909090908E-8</c:v>
                </c:pt>
                <c:pt idx="17">
                  <c:v>1.7620818181818181E-8</c:v>
                </c:pt>
                <c:pt idx="18">
                  <c:v>1.7398381818181818E-8</c:v>
                </c:pt>
                <c:pt idx="19">
                  <c:v>1.7269363636363638E-8</c:v>
                </c:pt>
                <c:pt idx="20">
                  <c:v>1.7366333333333334E-8</c:v>
                </c:pt>
                <c:pt idx="21">
                  <c:v>1.7322793939393938E-8</c:v>
                </c:pt>
                <c:pt idx="22">
                  <c:v>1.7168854545454545E-8</c:v>
                </c:pt>
                <c:pt idx="23">
                  <c:v>1.6643536144578314E-8</c:v>
                </c:pt>
                <c:pt idx="24">
                  <c:v>1.6010636363636366E-8</c:v>
                </c:pt>
                <c:pt idx="25">
                  <c:v>1.5165181818181819E-8</c:v>
                </c:pt>
                <c:pt idx="26">
                  <c:v>1.4247363636363636E-8</c:v>
                </c:pt>
                <c:pt idx="27">
                  <c:v>1.3281303030303031E-8</c:v>
                </c:pt>
                <c:pt idx="28">
                  <c:v>1.2307181818181818E-8</c:v>
                </c:pt>
                <c:pt idx="29">
                  <c:v>1.1349363636363637E-8</c:v>
                </c:pt>
                <c:pt idx="30">
                  <c:v>1.0430575757575757E-8</c:v>
                </c:pt>
                <c:pt idx="31">
                  <c:v>9.5722018072289161E-9</c:v>
                </c:pt>
                <c:pt idx="32">
                  <c:v>8.7463584337349428E-9</c:v>
                </c:pt>
                <c:pt idx="33">
                  <c:v>8.0127000000000023E-9</c:v>
                </c:pt>
                <c:pt idx="34">
                  <c:v>7.3125303030303041E-9</c:v>
                </c:pt>
                <c:pt idx="35">
                  <c:v>6.675560606060607E-9</c:v>
                </c:pt>
                <c:pt idx="36">
                  <c:v>6.0989763636363648E-9</c:v>
                </c:pt>
                <c:pt idx="37">
                  <c:v>5.5563278366111956E-9</c:v>
                </c:pt>
                <c:pt idx="38">
                  <c:v>5.1770237518910746E-9</c:v>
                </c:pt>
                <c:pt idx="39">
                  <c:v>4.7977196671709536E-9</c:v>
                </c:pt>
                <c:pt idx="40">
                  <c:v>4.4184155824508326E-9</c:v>
                </c:pt>
                <c:pt idx="41">
                  <c:v>4.0391114977307125E-9</c:v>
                </c:pt>
                <c:pt idx="42">
                  <c:v>3.6598074130105915E-9</c:v>
                </c:pt>
                <c:pt idx="43">
                  <c:v>3.2805033282904705E-9</c:v>
                </c:pt>
                <c:pt idx="44">
                  <c:v>2.9787488653555227E-9</c:v>
                </c:pt>
                <c:pt idx="45">
                  <c:v>2.779792738275341E-9</c:v>
                </c:pt>
                <c:pt idx="46">
                  <c:v>2.5808366111951589E-9</c:v>
                </c:pt>
                <c:pt idx="47">
                  <c:v>2.3818804841149772E-9</c:v>
                </c:pt>
                <c:pt idx="48">
                  <c:v>2.1829243570347955E-9</c:v>
                </c:pt>
                <c:pt idx="49">
                  <c:v>1.9839682299546133E-9</c:v>
                </c:pt>
                <c:pt idx="50">
                  <c:v>1.7850121028744318E-9</c:v>
                </c:pt>
                <c:pt idx="51">
                  <c:v>1.666355151515151E-9</c:v>
                </c:pt>
                <c:pt idx="52">
                  <c:v>1.5653248484848479E-9</c:v>
                </c:pt>
                <c:pt idx="53">
                  <c:v>1.4642945454545448E-9</c:v>
                </c:pt>
                <c:pt idx="54">
                  <c:v>1.363264242424242E-9</c:v>
                </c:pt>
                <c:pt idx="55">
                  <c:v>1.2622339393939389E-9</c:v>
                </c:pt>
                <c:pt idx="56">
                  <c:v>1.1612036363636358E-9</c:v>
                </c:pt>
                <c:pt idx="57">
                  <c:v>1.0657436144578308E-9</c:v>
                </c:pt>
                <c:pt idx="58">
                  <c:v>9.9003277108433708E-10</c:v>
                </c:pt>
                <c:pt idx="59">
                  <c:v>9.1756412121212104E-10</c:v>
                </c:pt>
                <c:pt idx="60">
                  <c:v>8.4764290909090898E-10</c:v>
                </c:pt>
                <c:pt idx="61">
                  <c:v>7.837663030303029E-10</c:v>
                </c:pt>
                <c:pt idx="62">
                  <c:v>7.2226812121212113E-10</c:v>
                </c:pt>
                <c:pt idx="63">
                  <c:v>6.6583781818181809E-10</c:v>
                </c:pt>
                <c:pt idx="64">
                  <c:v>6.1345939393939384E-10</c:v>
                </c:pt>
                <c:pt idx="65">
                  <c:v>5.6367151515151499E-10</c:v>
                </c:pt>
                <c:pt idx="66">
                  <c:v>5.2005301204819272E-10</c:v>
                </c:pt>
                <c:pt idx="67">
                  <c:v>4.7828000000000003E-10</c:v>
                </c:pt>
                <c:pt idx="68">
                  <c:v>4.4021333333333332E-10</c:v>
                </c:pt>
                <c:pt idx="69">
                  <c:v>4.0534151515151513E-10</c:v>
                </c:pt>
                <c:pt idx="70">
                  <c:v>3.7218999999999998E-10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2ACB-4A56-A05D-23B78DB4E2E9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(2)Ga[l]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1.739711043872904E-29</c:v>
                </c:pt>
                <c:pt idx="45">
                  <c:v>5.7855506807866774E-29</c:v>
                </c:pt>
                <c:pt idx="46">
                  <c:v>9.8313903177004503E-29</c:v>
                </c:pt>
                <c:pt idx="47">
                  <c:v>1.3877229954614222E-28</c:v>
                </c:pt>
                <c:pt idx="48">
                  <c:v>1.7923069591527995E-28</c:v>
                </c:pt>
                <c:pt idx="49">
                  <c:v>2.196890922844177E-28</c:v>
                </c:pt>
                <c:pt idx="50">
                  <c:v>2.6014748865355543E-28</c:v>
                </c:pt>
                <c:pt idx="51">
                  <c:v>3.1393575757578274E-15</c:v>
                </c:pt>
                <c:pt idx="52">
                  <c:v>6.9678424242426355E-15</c:v>
                </c:pt>
                <c:pt idx="53">
                  <c:v>1.0796327272727445E-14</c:v>
                </c:pt>
                <c:pt idx="54">
                  <c:v>1.4624812121212252E-14</c:v>
                </c:pt>
                <c:pt idx="55">
                  <c:v>1.8453296969697059E-14</c:v>
                </c:pt>
                <c:pt idx="56">
                  <c:v>2.2281781818181867E-14</c:v>
                </c:pt>
                <c:pt idx="57">
                  <c:v>2.4544453012048614E-13</c:v>
                </c:pt>
                <c:pt idx="58">
                  <c:v>1.2462469397590391E-12</c:v>
                </c:pt>
                <c:pt idx="59">
                  <c:v>1.1443293333333371E-11</c:v>
                </c:pt>
                <c:pt idx="60">
                  <c:v>2.8865960000000039E-11</c:v>
                </c:pt>
                <c:pt idx="61">
                  <c:v>8.0779612121212242E-11</c:v>
                </c:pt>
                <c:pt idx="62">
                  <c:v>1.9348945454545518E-10</c:v>
                </c:pt>
                <c:pt idx="63">
                  <c:v>4.6952581818181878E-10</c:v>
                </c:pt>
                <c:pt idx="64">
                  <c:v>1.0956504242424264E-9</c:v>
                </c:pt>
                <c:pt idx="65">
                  <c:v>1.9456019393939417E-9</c:v>
                </c:pt>
                <c:pt idx="66">
                  <c:v>4.0711277108433757E-9</c:v>
                </c:pt>
                <c:pt idx="67">
                  <c:v>7.1356181818181823E-9</c:v>
                </c:pt>
                <c:pt idx="68">
                  <c:v>1.2267012121212121E-8</c:v>
                </c:pt>
                <c:pt idx="69">
                  <c:v>2.147418181818182E-8</c:v>
                </c:pt>
                <c:pt idx="70">
                  <c:v>3.2876000000000003E-8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2ACB-4A56-A05D-23B78DB4E2E9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>
                  <c:v>-18.618363636363636</c:v>
                </c:pt>
                <c:pt idx="3">
                  <c:v>-18.624424242424244</c:v>
                </c:pt>
                <c:pt idx="4">
                  <c:v>-18.631089258698939</c:v>
                </c:pt>
                <c:pt idx="5">
                  <c:v>-18.644704992435702</c:v>
                </c:pt>
                <c:pt idx="6">
                  <c:v>-18.658320726172466</c:v>
                </c:pt>
                <c:pt idx="7">
                  <c:v>-18.671936459909226</c:v>
                </c:pt>
                <c:pt idx="8">
                  <c:v>-18.685552193645989</c:v>
                </c:pt>
                <c:pt idx="9">
                  <c:v>-18.699167927382753</c:v>
                </c:pt>
                <c:pt idx="10">
                  <c:v>-18.712783661119516</c:v>
                </c:pt>
                <c:pt idx="11">
                  <c:v>-18.728545454545454</c:v>
                </c:pt>
                <c:pt idx="12">
                  <c:v>-18.746727272727274</c:v>
                </c:pt>
                <c:pt idx="13">
                  <c:v>-18.764909090909093</c:v>
                </c:pt>
                <c:pt idx="14">
                  <c:v>-18.783072289156628</c:v>
                </c:pt>
                <c:pt idx="15">
                  <c:v>-18.801144578313252</c:v>
                </c:pt>
                <c:pt idx="16">
                  <c:v>-18.819272727272725</c:v>
                </c:pt>
                <c:pt idx="17">
                  <c:v>-18.837454545454545</c:v>
                </c:pt>
                <c:pt idx="18">
                  <c:v>-18.855636363636364</c:v>
                </c:pt>
                <c:pt idx="19">
                  <c:v>-18.873818181818184</c:v>
                </c:pt>
                <c:pt idx="20">
                  <c:v>-18.891999999999999</c:v>
                </c:pt>
                <c:pt idx="21">
                  <c:v>-18.913575757575757</c:v>
                </c:pt>
                <c:pt idx="22">
                  <c:v>-18.937818181818184</c:v>
                </c:pt>
                <c:pt idx="23">
                  <c:v>-18.95644578313253</c:v>
                </c:pt>
                <c:pt idx="24">
                  <c:v>-18.976060606060607</c:v>
                </c:pt>
                <c:pt idx="25">
                  <c:v>-19.00030303030303</c:v>
                </c:pt>
                <c:pt idx="26">
                  <c:v>-19.020909090909093</c:v>
                </c:pt>
                <c:pt idx="27">
                  <c:v>-19.039090909090909</c:v>
                </c:pt>
                <c:pt idx="28">
                  <c:v>-19.057272727272728</c:v>
                </c:pt>
                <c:pt idx="29">
                  <c:v>-19.077272727272728</c:v>
                </c:pt>
                <c:pt idx="30">
                  <c:v>-19.101515151515152</c:v>
                </c:pt>
                <c:pt idx="31">
                  <c:v>-19.121746987951806</c:v>
                </c:pt>
                <c:pt idx="32">
                  <c:v>-19.139819277108433</c:v>
                </c:pt>
                <c:pt idx="33">
                  <c:v>-19.164000000000001</c:v>
                </c:pt>
                <c:pt idx="34">
                  <c:v>-19.186181818181819</c:v>
                </c:pt>
                <c:pt idx="35">
                  <c:v>-19.204363636363638</c:v>
                </c:pt>
                <c:pt idx="36">
                  <c:v>-19.226727272727274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-19.388456883509832</c:v>
                </c:pt>
                <c:pt idx="45">
                  <c:v>-19.408124054462935</c:v>
                </c:pt>
                <c:pt idx="46">
                  <c:v>-19.427791225416037</c:v>
                </c:pt>
                <c:pt idx="47">
                  <c:v>-19.447458396369139</c:v>
                </c:pt>
                <c:pt idx="48">
                  <c:v>-19.467125567322238</c:v>
                </c:pt>
                <c:pt idx="49">
                  <c:v>-19.486792738275341</c:v>
                </c:pt>
                <c:pt idx="50">
                  <c:v>-19.506459909228443</c:v>
                </c:pt>
                <c:pt idx="51">
                  <c:v>-19.526151515151518</c:v>
                </c:pt>
                <c:pt idx="52">
                  <c:v>-19.545848484848488</c:v>
                </c:pt>
                <c:pt idx="53">
                  <c:v>-19.565545454545457</c:v>
                </c:pt>
                <c:pt idx="54">
                  <c:v>-19.585242424242427</c:v>
                </c:pt>
                <c:pt idx="55">
                  <c:v>-19.604939393939397</c:v>
                </c:pt>
                <c:pt idx="56">
                  <c:v>-19.624636363636366</c:v>
                </c:pt>
                <c:pt idx="57">
                  <c:v>-19.643975903614457</c:v>
                </c:pt>
                <c:pt idx="58">
                  <c:v>-19.662048192771085</c:v>
                </c:pt>
                <c:pt idx="59">
                  <c:v>-19.680181818181818</c:v>
                </c:pt>
                <c:pt idx="60">
                  <c:v>-19.698363636363634</c:v>
                </c:pt>
                <c:pt idx="61">
                  <c:v>-19.716545454545454</c:v>
                </c:pt>
                <c:pt idx="62">
                  <c:v>-19.734727272727273</c:v>
                </c:pt>
                <c:pt idx="63">
                  <c:v>-19.752909090909093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2ACB-4A56-A05D-23B78DB4E2E9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-60.735090909090907</c:v>
                </c:pt>
                <c:pt idx="1">
                  <c:v>-58.673878787878785</c:v>
                </c:pt>
                <c:pt idx="2">
                  <c:v>-56.631454545454545</c:v>
                </c:pt>
                <c:pt idx="3">
                  <c:v>-54.589030303030299</c:v>
                </c:pt>
                <c:pt idx="4">
                  <c:v>-52.560166414523451</c:v>
                </c:pt>
                <c:pt idx="5">
                  <c:v>-50.687246596066565</c:v>
                </c:pt>
                <c:pt idx="6">
                  <c:v>-48.814326777609679</c:v>
                </c:pt>
                <c:pt idx="7">
                  <c:v>-46.9414069591528</c:v>
                </c:pt>
                <c:pt idx="8">
                  <c:v>-45.068487140695915</c:v>
                </c:pt>
                <c:pt idx="9">
                  <c:v>-43.195567322239029</c:v>
                </c:pt>
                <c:pt idx="10">
                  <c:v>-41.32264750378215</c:v>
                </c:pt>
                <c:pt idx="11">
                  <c:v>-39.589393939393936</c:v>
                </c:pt>
                <c:pt idx="12">
                  <c:v>-38.013636363636365</c:v>
                </c:pt>
                <c:pt idx="13">
                  <c:v>-36.542242424242424</c:v>
                </c:pt>
                <c:pt idx="14">
                  <c:v>-35.117771084337356</c:v>
                </c:pt>
                <c:pt idx="15">
                  <c:v>-33.810542168674701</c:v>
                </c:pt>
                <c:pt idx="16">
                  <c:v>-32.561090909090908</c:v>
                </c:pt>
                <c:pt idx="17">
                  <c:v>-31.367151515151512</c:v>
                </c:pt>
                <c:pt idx="18">
                  <c:v>-30.256606060606057</c:v>
                </c:pt>
                <c:pt idx="19">
                  <c:v>-29.173636363636362</c:v>
                </c:pt>
                <c:pt idx="20">
                  <c:v>-28.143333333333331</c:v>
                </c:pt>
                <c:pt idx="21">
                  <c:v>-27.143575757575757</c:v>
                </c:pt>
                <c:pt idx="22">
                  <c:v>-26.167818181818177</c:v>
                </c:pt>
                <c:pt idx="23">
                  <c:v>-25.252228915662648</c:v>
                </c:pt>
                <c:pt idx="24">
                  <c:v>-24.354848484848485</c:v>
                </c:pt>
                <c:pt idx="25">
                  <c:v>-23.494242424242422</c:v>
                </c:pt>
                <c:pt idx="26">
                  <c:v>-22.673636363636362</c:v>
                </c:pt>
                <c:pt idx="27">
                  <c:v>-21.879696969696969</c:v>
                </c:pt>
                <c:pt idx="28">
                  <c:v>-21.149090909090908</c:v>
                </c:pt>
                <c:pt idx="29">
                  <c:v>-20.438181818181818</c:v>
                </c:pt>
                <c:pt idx="30">
                  <c:v>-19.765454545454546</c:v>
                </c:pt>
                <c:pt idx="31">
                  <c:v>-19.126686746987954</c:v>
                </c:pt>
                <c:pt idx="32">
                  <c:v>-18.506204819277109</c:v>
                </c:pt>
                <c:pt idx="33">
                  <c:v>-17.918000000000003</c:v>
                </c:pt>
                <c:pt idx="34">
                  <c:v>-17.342484848484851</c:v>
                </c:pt>
                <c:pt idx="35">
                  <c:v>-16.7909696969697</c:v>
                </c:pt>
                <c:pt idx="36">
                  <c:v>-16.252000000000002</c:v>
                </c:pt>
                <c:pt idx="37">
                  <c:v>-15.721119515885023</c:v>
                </c:pt>
                <c:pt idx="38">
                  <c:v>-15.249107413010591</c:v>
                </c:pt>
                <c:pt idx="39">
                  <c:v>-14.77709531013616</c:v>
                </c:pt>
                <c:pt idx="40">
                  <c:v>-14.305083207261726</c:v>
                </c:pt>
                <c:pt idx="41">
                  <c:v>-13.833071104387294</c:v>
                </c:pt>
                <c:pt idx="42">
                  <c:v>-13.36105900151286</c:v>
                </c:pt>
                <c:pt idx="43">
                  <c:v>-12.889046898638428</c:v>
                </c:pt>
                <c:pt idx="44">
                  <c:v>-12.457367624810892</c:v>
                </c:pt>
                <c:pt idx="45">
                  <c:v>-12.079152798789712</c:v>
                </c:pt>
                <c:pt idx="46">
                  <c:v>-11.700937972768532</c:v>
                </c:pt>
                <c:pt idx="47">
                  <c:v>-11.322723146747352</c:v>
                </c:pt>
                <c:pt idx="48">
                  <c:v>-10.944508320726172</c:v>
                </c:pt>
                <c:pt idx="49">
                  <c:v>-10.56629349470499</c:v>
                </c:pt>
                <c:pt idx="50">
                  <c:v>-10.18807866868381</c:v>
                </c:pt>
                <c:pt idx="51">
                  <c:v>-9.9633303030303022</c:v>
                </c:pt>
                <c:pt idx="52">
                  <c:v>-9.7722696969696958</c:v>
                </c:pt>
                <c:pt idx="53">
                  <c:v>-9.5812090909090895</c:v>
                </c:pt>
                <c:pt idx="54">
                  <c:v>-9.3901484848484831</c:v>
                </c:pt>
                <c:pt idx="55">
                  <c:v>-9.1990878787878785</c:v>
                </c:pt>
                <c:pt idx="56">
                  <c:v>-9.0080272727272721</c:v>
                </c:pt>
                <c:pt idx="57">
                  <c:v>-8.8458795180722891</c:v>
                </c:pt>
                <c:pt idx="58">
                  <c:v>-8.7862409638554215</c:v>
                </c:pt>
                <c:pt idx="59">
                  <c:v>-8.7443878787878795</c:v>
                </c:pt>
                <c:pt idx="60">
                  <c:v>-8.7165090909090921</c:v>
                </c:pt>
                <c:pt idx="61">
                  <c:v>-8.7068303030303031</c:v>
                </c:pt>
                <c:pt idx="62">
                  <c:v>-8.7021030303030305</c:v>
                </c:pt>
                <c:pt idx="63">
                  <c:v>-8.7063454545454544</c:v>
                </c:pt>
                <c:pt idx="64">
                  <c:v>-8.7153939393939392</c:v>
                </c:pt>
                <c:pt idx="65">
                  <c:v>-8.727515151515151</c:v>
                </c:pt>
                <c:pt idx="66">
                  <c:v>-8.7430361445783138</c:v>
                </c:pt>
                <c:pt idx="67">
                  <c:v>-8.7596363636363641</c:v>
                </c:pt>
                <c:pt idx="68">
                  <c:v>-8.7784242424242418</c:v>
                </c:pt>
                <c:pt idx="69">
                  <c:v>-8.798</c:v>
                </c:pt>
                <c:pt idx="70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2ACB-4A56-A05D-23B78DB4E2E9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-15.805636363636363</c:v>
                </c:pt>
                <c:pt idx="1">
                  <c:v>-15.261999999999999</c:v>
                </c:pt>
                <c:pt idx="2">
                  <c:v>-14.661999999999999</c:v>
                </c:pt>
                <c:pt idx="3">
                  <c:v>-14.004484848484848</c:v>
                </c:pt>
                <c:pt idx="4">
                  <c:v>-13.326287443267777</c:v>
                </c:pt>
                <c:pt idx="5">
                  <c:v>-12.654880484114978</c:v>
                </c:pt>
                <c:pt idx="6">
                  <c:v>-11.983473524962179</c:v>
                </c:pt>
                <c:pt idx="7">
                  <c:v>-11.31206656580938</c:v>
                </c:pt>
                <c:pt idx="8">
                  <c:v>-10.64065960665658</c:v>
                </c:pt>
                <c:pt idx="9">
                  <c:v>-9.969252647503783</c:v>
                </c:pt>
                <c:pt idx="10">
                  <c:v>-9.2978456883509839</c:v>
                </c:pt>
                <c:pt idx="11">
                  <c:v>-8.67908484848485</c:v>
                </c:pt>
                <c:pt idx="12">
                  <c:v>-8.1196909090909095</c:v>
                </c:pt>
                <c:pt idx="13">
                  <c:v>-7.619436363636364</c:v>
                </c:pt>
                <c:pt idx="14">
                  <c:v>-7.1476144578313257</c:v>
                </c:pt>
                <c:pt idx="15">
                  <c:v>-6.7512289156626508</c:v>
                </c:pt>
                <c:pt idx="16">
                  <c:v>-6.4021454545454546</c:v>
                </c:pt>
                <c:pt idx="17">
                  <c:v>-6.09850909090909</c:v>
                </c:pt>
                <c:pt idx="18">
                  <c:v>-5.8730545454545453</c:v>
                </c:pt>
                <c:pt idx="19">
                  <c:v>-5.6767454545454541</c:v>
                </c:pt>
                <c:pt idx="20">
                  <c:v>-5.5421999999999993</c:v>
                </c:pt>
                <c:pt idx="21">
                  <c:v>-5.4426121212121208</c:v>
                </c:pt>
                <c:pt idx="22">
                  <c:v>-5.3704909090909085</c:v>
                </c:pt>
                <c:pt idx="23">
                  <c:v>-5.3393313253012051</c:v>
                </c:pt>
                <c:pt idx="24">
                  <c:v>-5.319</c:v>
                </c:pt>
                <c:pt idx="25">
                  <c:v>-5.319</c:v>
                </c:pt>
                <c:pt idx="26">
                  <c:v>-5.3280909090909088</c:v>
                </c:pt>
                <c:pt idx="27">
                  <c:v>-5.3432424242424243</c:v>
                </c:pt>
                <c:pt idx="28">
                  <c:v>-5.3641515151515149</c:v>
                </c:pt>
                <c:pt idx="29">
                  <c:v>-5.3860909090909086</c:v>
                </c:pt>
                <c:pt idx="30">
                  <c:v>-5.4097272727272729</c:v>
                </c:pt>
                <c:pt idx="31">
                  <c:v>-5.4340542168674695</c:v>
                </c:pt>
                <c:pt idx="32">
                  <c:v>-5.4587530120481924</c:v>
                </c:pt>
                <c:pt idx="33">
                  <c:v>-5.4829999999999997</c:v>
                </c:pt>
                <c:pt idx="34">
                  <c:v>-5.5074484848484841</c:v>
                </c:pt>
                <c:pt idx="35">
                  <c:v>-5.5322969696969695</c:v>
                </c:pt>
                <c:pt idx="36">
                  <c:v>-5.5567272727272723</c:v>
                </c:pt>
                <c:pt idx="37">
                  <c:v>-5.5809863842662635</c:v>
                </c:pt>
                <c:pt idx="38">
                  <c:v>-5.6056459909228442</c:v>
                </c:pt>
                <c:pt idx="39">
                  <c:v>-5.6303055975794249</c:v>
                </c:pt>
                <c:pt idx="40">
                  <c:v>-5.6549652042360066</c:v>
                </c:pt>
                <c:pt idx="41">
                  <c:v>-5.6796248108925873</c:v>
                </c:pt>
                <c:pt idx="42">
                  <c:v>-5.704284417549168</c:v>
                </c:pt>
                <c:pt idx="43">
                  <c:v>-5.7289440242057488</c:v>
                </c:pt>
                <c:pt idx="44">
                  <c:v>-5.7543192133131624</c:v>
                </c:pt>
                <c:pt idx="45">
                  <c:v>-5.7806429652042359</c:v>
                </c:pt>
                <c:pt idx="46">
                  <c:v>-5.8069667170953103</c:v>
                </c:pt>
                <c:pt idx="47">
                  <c:v>-5.8332904689863847</c:v>
                </c:pt>
                <c:pt idx="48">
                  <c:v>-5.8596142208774582</c:v>
                </c:pt>
                <c:pt idx="49">
                  <c:v>-5.8859379727685326</c:v>
                </c:pt>
                <c:pt idx="50">
                  <c:v>-5.912261724659607</c:v>
                </c:pt>
                <c:pt idx="51">
                  <c:v>-5.942966666666667</c:v>
                </c:pt>
                <c:pt idx="52">
                  <c:v>-5.9746333333333332</c:v>
                </c:pt>
                <c:pt idx="53">
                  <c:v>-6.0063000000000004</c:v>
                </c:pt>
                <c:pt idx="54">
                  <c:v>-6.0379666666666667</c:v>
                </c:pt>
                <c:pt idx="55">
                  <c:v>-6.0696333333333339</c:v>
                </c:pt>
                <c:pt idx="56">
                  <c:v>-6.1013000000000002</c:v>
                </c:pt>
                <c:pt idx="57">
                  <c:v>-6.132493975903615</c:v>
                </c:pt>
                <c:pt idx="58">
                  <c:v>-6.1620120481927714</c:v>
                </c:pt>
                <c:pt idx="59">
                  <c:v>-6.190612121212121</c:v>
                </c:pt>
                <c:pt idx="60">
                  <c:v>-6.2184909090909093</c:v>
                </c:pt>
                <c:pt idx="61">
                  <c:v>-6.2441636363636368</c:v>
                </c:pt>
                <c:pt idx="62">
                  <c:v>-6.2693030303030302</c:v>
                </c:pt>
                <c:pt idx="63">
                  <c:v>-6.2935454545454546</c:v>
                </c:pt>
                <c:pt idx="64">
                  <c:v>-6.3174181818181818</c:v>
                </c:pt>
                <c:pt idx="65">
                  <c:v>-6.3410545454545453</c:v>
                </c:pt>
                <c:pt idx="66">
                  <c:v>-6.363397590361445</c:v>
                </c:pt>
                <c:pt idx="67">
                  <c:v>-6.385727272727272</c:v>
                </c:pt>
                <c:pt idx="68">
                  <c:v>-6.4081515151515154</c:v>
                </c:pt>
                <c:pt idx="69">
                  <c:v>-6.4301818181818184</c:v>
                </c:pt>
                <c:pt idx="70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2ACB-4A56-A05D-23B78DB4E2E9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  <c:pt idx="0">
                  <c:v>-22.065575757575758</c:v>
                </c:pt>
                <c:pt idx="1">
                  <c:v>-21.674060606060607</c:v>
                </c:pt>
                <c:pt idx="2">
                  <c:v>-21.395272727272726</c:v>
                </c:pt>
                <c:pt idx="3">
                  <c:v>-21.244787878787879</c:v>
                </c:pt>
                <c:pt idx="4">
                  <c:v>-21.157019667170953</c:v>
                </c:pt>
                <c:pt idx="5">
                  <c:v>-21.244765506807866</c:v>
                </c:pt>
                <c:pt idx="6">
                  <c:v>-21.332511346444779</c:v>
                </c:pt>
                <c:pt idx="7">
                  <c:v>-21.420257186081695</c:v>
                </c:pt>
                <c:pt idx="8">
                  <c:v>-21.508003025718608</c:v>
                </c:pt>
                <c:pt idx="9">
                  <c:v>-21.595748865355521</c:v>
                </c:pt>
                <c:pt idx="10">
                  <c:v>-21.683494704992437</c:v>
                </c:pt>
                <c:pt idx="11">
                  <c:v>-21.792666666666666</c:v>
                </c:pt>
                <c:pt idx="12">
                  <c:v>-21.925999999999998</c:v>
                </c:pt>
                <c:pt idx="13">
                  <c:v>-22.049393939393937</c:v>
                </c:pt>
                <c:pt idx="14">
                  <c:v>-22.167409638554215</c:v>
                </c:pt>
                <c:pt idx="15">
                  <c:v>-22.269819277108432</c:v>
                </c:pt>
                <c:pt idx="16">
                  <c:v>-22.363272727272729</c:v>
                </c:pt>
                <c:pt idx="17">
                  <c:v>-22.448121212121212</c:v>
                </c:pt>
                <c:pt idx="18">
                  <c:v>-22.532969696969698</c:v>
                </c:pt>
                <c:pt idx="19">
                  <c:v>-22.620363636363638</c:v>
                </c:pt>
                <c:pt idx="20">
                  <c:v>-22.717333333333336</c:v>
                </c:pt>
                <c:pt idx="21">
                  <c:v>-22.82448484848485</c:v>
                </c:pt>
                <c:pt idx="22">
                  <c:v>-22.939636363636364</c:v>
                </c:pt>
                <c:pt idx="23">
                  <c:v>-23.059638554216868</c:v>
                </c:pt>
                <c:pt idx="24">
                  <c:v>-23.183333333333334</c:v>
                </c:pt>
                <c:pt idx="25">
                  <c:v>-23.316666666666666</c:v>
                </c:pt>
                <c:pt idx="26">
                  <c:v>-23.453636363636363</c:v>
                </c:pt>
                <c:pt idx="27">
                  <c:v>-23.593030303030304</c:v>
                </c:pt>
                <c:pt idx="28">
                  <c:v>-23.738181818181818</c:v>
                </c:pt>
                <c:pt idx="29">
                  <c:v>-23.881818181818183</c:v>
                </c:pt>
                <c:pt idx="30">
                  <c:v>-24.02121212121212</c:v>
                </c:pt>
                <c:pt idx="31">
                  <c:v>-24.163975903614457</c:v>
                </c:pt>
                <c:pt idx="32">
                  <c:v>-24.308554216867467</c:v>
                </c:pt>
                <c:pt idx="33">
                  <c:v>-24.448</c:v>
                </c:pt>
                <c:pt idx="34">
                  <c:v>-24.587393939393937</c:v>
                </c:pt>
                <c:pt idx="35">
                  <c:v>-24.726787878787878</c:v>
                </c:pt>
                <c:pt idx="36">
                  <c:v>-24.866181818181818</c:v>
                </c:pt>
                <c:pt idx="37">
                  <c:v>-25.005446293494703</c:v>
                </c:pt>
                <c:pt idx="38">
                  <c:v>-25.141603630862328</c:v>
                </c:pt>
                <c:pt idx="39">
                  <c:v>-25.277760968229956</c:v>
                </c:pt>
                <c:pt idx="40">
                  <c:v>-25.41391830559758</c:v>
                </c:pt>
                <c:pt idx="41">
                  <c:v>-25.550075642965204</c:v>
                </c:pt>
                <c:pt idx="42">
                  <c:v>-25.686232980332829</c:v>
                </c:pt>
                <c:pt idx="43">
                  <c:v>-25.822390317700453</c:v>
                </c:pt>
                <c:pt idx="44">
                  <c:v>-25.955295007564295</c:v>
                </c:pt>
                <c:pt idx="45">
                  <c:v>-26.083888048411495</c:v>
                </c:pt>
                <c:pt idx="46">
                  <c:v>-26.212481089258699</c:v>
                </c:pt>
                <c:pt idx="47">
                  <c:v>-26.341074130105898</c:v>
                </c:pt>
                <c:pt idx="48">
                  <c:v>-26.469667170953102</c:v>
                </c:pt>
                <c:pt idx="49">
                  <c:v>-26.598260211800302</c:v>
                </c:pt>
                <c:pt idx="50">
                  <c:v>-26.726853252647505</c:v>
                </c:pt>
                <c:pt idx="51">
                  <c:v>-26.849393939393941</c:v>
                </c:pt>
                <c:pt idx="52">
                  <c:v>-26.970606060606062</c:v>
                </c:pt>
                <c:pt idx="53">
                  <c:v>-27.091818181818184</c:v>
                </c:pt>
                <c:pt idx="54">
                  <c:v>-27.213030303030305</c:v>
                </c:pt>
                <c:pt idx="55">
                  <c:v>-27.334242424242426</c:v>
                </c:pt>
                <c:pt idx="56">
                  <c:v>-27.455454545454547</c:v>
                </c:pt>
                <c:pt idx="57">
                  <c:v>-27.576506024096386</c:v>
                </c:pt>
                <c:pt idx="58">
                  <c:v>-27.69698795180723</c:v>
                </c:pt>
                <c:pt idx="59">
                  <c:v>-27.817878787878787</c:v>
                </c:pt>
                <c:pt idx="60">
                  <c:v>-27.939090909090908</c:v>
                </c:pt>
                <c:pt idx="61">
                  <c:v>-28.060303030303029</c:v>
                </c:pt>
                <c:pt idx="62">
                  <c:v>-28.18151515151515</c:v>
                </c:pt>
                <c:pt idx="63">
                  <c:v>-28.302727272727275</c:v>
                </c:pt>
                <c:pt idx="64">
                  <c:v>-28.420242424242424</c:v>
                </c:pt>
                <c:pt idx="65">
                  <c:v>-28.535393939393938</c:v>
                </c:pt>
                <c:pt idx="66">
                  <c:v>-28.655662650602409</c:v>
                </c:pt>
                <c:pt idx="67">
                  <c:v>-28.776363636363634</c:v>
                </c:pt>
                <c:pt idx="68">
                  <c:v>-28.897575757575758</c:v>
                </c:pt>
                <c:pt idx="69">
                  <c:v>-29.014848484848486</c:v>
                </c:pt>
                <c:pt idx="70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2ACB-4A56-A05D-23B78DB4E2E9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2ACB-4A56-A05D-23B78DB4E2E9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2ACB-4A56-A05D-23B78DB4E2E9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2ACB-4A56-A05D-23B78DB4E2E9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2ACB-4A56-A05D-23B78DB4E2E9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2ACB-4A56-A05D-23B78DB4E2E9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2ACB-4A56-A05D-23B78DB4E2E9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2ACB-4A56-A05D-23B78DB4E2E9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2ACB-4A56-A05D-23B78DB4E2E9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2ACB-4A56-A05D-23B78DB4E2E9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2ACB-4A56-A05D-23B78DB4E2E9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2ACB-4A56-A05D-23B78DB4E2E9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  <c:pt idx="0">
                  <c:v>End2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2ACB-4A56-A05D-23B78DB4E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4124321255599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4.0122484763636409E-11</c:v>
                </c:pt>
                <c:pt idx="1">
                  <c:v>4.4496089090909203E-10</c:v>
                </c:pt>
                <c:pt idx="2">
                  <c:v>1.4468027090909102E-9</c:v>
                </c:pt>
                <c:pt idx="3">
                  <c:v>1.5836322181818206E-7</c:v>
                </c:pt>
                <c:pt idx="4">
                  <c:v>5.8185203482425066E-3</c:v>
                </c:pt>
                <c:pt idx="5">
                  <c:v>7.8545577451272802E-2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  <c:pt idx="21">
                  <c:v>0.20145454545454577</c:v>
                </c:pt>
                <c:pt idx="22">
                  <c:v>0.34690909090909122</c:v>
                </c:pt>
                <c:pt idx="23">
                  <c:v>0.36</c:v>
                </c:pt>
                <c:pt idx="24">
                  <c:v>0.36</c:v>
                </c:pt>
                <c:pt idx="25">
                  <c:v>0.36</c:v>
                </c:pt>
                <c:pt idx="26">
                  <c:v>0.36</c:v>
                </c:pt>
                <c:pt idx="27">
                  <c:v>0.36</c:v>
                </c:pt>
                <c:pt idx="28">
                  <c:v>0.36</c:v>
                </c:pt>
                <c:pt idx="29">
                  <c:v>0.36727272727272725</c:v>
                </c:pt>
                <c:pt idx="30">
                  <c:v>0.39151515151515154</c:v>
                </c:pt>
                <c:pt idx="31">
                  <c:v>0.4</c:v>
                </c:pt>
                <c:pt idx="32">
                  <c:v>0.4</c:v>
                </c:pt>
                <c:pt idx="33">
                  <c:v>0.4</c:v>
                </c:pt>
                <c:pt idx="34">
                  <c:v>0.4</c:v>
                </c:pt>
                <c:pt idx="35">
                  <c:v>0.4</c:v>
                </c:pt>
                <c:pt idx="36">
                  <c:v>0.4</c:v>
                </c:pt>
                <c:pt idx="37">
                  <c:v>0.4</c:v>
                </c:pt>
                <c:pt idx="38">
                  <c:v>0.4</c:v>
                </c:pt>
                <c:pt idx="39">
                  <c:v>0.4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  <c:pt idx="46">
                  <c:v>0.4</c:v>
                </c:pt>
                <c:pt idx="47">
                  <c:v>0.4</c:v>
                </c:pt>
                <c:pt idx="48">
                  <c:v>0.4</c:v>
                </c:pt>
                <c:pt idx="49">
                  <c:v>0.4</c:v>
                </c:pt>
                <c:pt idx="50">
                  <c:v>0.4</c:v>
                </c:pt>
                <c:pt idx="51">
                  <c:v>0.43881333333333356</c:v>
                </c:pt>
                <c:pt idx="52">
                  <c:v>0.4782957575757576</c:v>
                </c:pt>
                <c:pt idx="53">
                  <c:v>0.47944727272727272</c:v>
                </c:pt>
                <c:pt idx="54">
                  <c:v>0.48</c:v>
                </c:pt>
                <c:pt idx="55">
                  <c:v>0.48</c:v>
                </c:pt>
                <c:pt idx="56">
                  <c:v>0.48</c:v>
                </c:pt>
                <c:pt idx="57">
                  <c:v>0.48</c:v>
                </c:pt>
                <c:pt idx="58">
                  <c:v>0.48</c:v>
                </c:pt>
                <c:pt idx="59">
                  <c:v>0.48</c:v>
                </c:pt>
                <c:pt idx="60">
                  <c:v>0.48</c:v>
                </c:pt>
                <c:pt idx="61">
                  <c:v>0.48</c:v>
                </c:pt>
                <c:pt idx="62">
                  <c:v>0.48</c:v>
                </c:pt>
                <c:pt idx="63">
                  <c:v>0.48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D609-4FE0-96FF-D1AEBD39E5D9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9.4775333333333184E-34</c:v>
                </c:pt>
                <c:pt idx="9">
                  <c:v>3.7209473377436009E-27</c:v>
                </c:pt>
                <c:pt idx="10">
                  <c:v>3.4728824894773901E-26</c:v>
                </c:pt>
                <c:pt idx="11">
                  <c:v>1.9889319213313171E-11</c:v>
                </c:pt>
                <c:pt idx="12">
                  <c:v>6.2207019667170965E-11</c:v>
                </c:pt>
                <c:pt idx="13">
                  <c:v>1.0452472012102877E-10</c:v>
                </c:pt>
                <c:pt idx="14">
                  <c:v>1.4684242057488658E-10</c:v>
                </c:pt>
                <c:pt idx="15">
                  <c:v>1.8916012102874438E-10</c:v>
                </c:pt>
                <c:pt idx="16">
                  <c:v>2.3147782148260218E-10</c:v>
                </c:pt>
                <c:pt idx="17">
                  <c:v>2.7379552193645998E-10</c:v>
                </c:pt>
                <c:pt idx="18">
                  <c:v>8.7112896969697131E-10</c:v>
                </c:pt>
                <c:pt idx="19">
                  <c:v>5.1064036363636761E-9</c:v>
                </c:pt>
                <c:pt idx="20">
                  <c:v>2.2687373333333375E-8</c:v>
                </c:pt>
                <c:pt idx="21">
                  <c:v>8.145456555216396E-2</c:v>
                </c:pt>
                <c:pt idx="22">
                  <c:v>0.22690909256852759</c:v>
                </c:pt>
                <c:pt idx="23">
                  <c:v>0.24</c:v>
                </c:pt>
                <c:pt idx="24">
                  <c:v>0.24</c:v>
                </c:pt>
                <c:pt idx="25">
                  <c:v>0.24</c:v>
                </c:pt>
                <c:pt idx="26">
                  <c:v>0.24</c:v>
                </c:pt>
                <c:pt idx="27">
                  <c:v>0.24</c:v>
                </c:pt>
                <c:pt idx="28">
                  <c:v>0.24</c:v>
                </c:pt>
                <c:pt idx="29">
                  <c:v>0.24</c:v>
                </c:pt>
                <c:pt idx="30">
                  <c:v>0.24</c:v>
                </c:pt>
                <c:pt idx="31">
                  <c:v>0.24</c:v>
                </c:pt>
                <c:pt idx="32">
                  <c:v>0.24</c:v>
                </c:pt>
                <c:pt idx="33">
                  <c:v>0.24</c:v>
                </c:pt>
                <c:pt idx="34">
                  <c:v>0.24</c:v>
                </c:pt>
                <c:pt idx="35">
                  <c:v>0.24</c:v>
                </c:pt>
                <c:pt idx="36">
                  <c:v>0.24</c:v>
                </c:pt>
                <c:pt idx="37">
                  <c:v>0.24</c:v>
                </c:pt>
                <c:pt idx="38">
                  <c:v>0.24</c:v>
                </c:pt>
                <c:pt idx="39">
                  <c:v>0.24</c:v>
                </c:pt>
                <c:pt idx="40">
                  <c:v>0.24</c:v>
                </c:pt>
                <c:pt idx="41">
                  <c:v>0.24</c:v>
                </c:pt>
                <c:pt idx="42">
                  <c:v>0.24</c:v>
                </c:pt>
                <c:pt idx="43">
                  <c:v>0.24</c:v>
                </c:pt>
                <c:pt idx="44">
                  <c:v>0.24</c:v>
                </c:pt>
                <c:pt idx="45">
                  <c:v>0.24</c:v>
                </c:pt>
                <c:pt idx="46">
                  <c:v>0.24</c:v>
                </c:pt>
                <c:pt idx="47">
                  <c:v>0.24</c:v>
                </c:pt>
                <c:pt idx="48">
                  <c:v>0.24</c:v>
                </c:pt>
                <c:pt idx="49">
                  <c:v>0.24</c:v>
                </c:pt>
                <c:pt idx="50">
                  <c:v>0.24</c:v>
                </c:pt>
                <c:pt idx="51">
                  <c:v>0.23194909090909085</c:v>
                </c:pt>
                <c:pt idx="52">
                  <c:v>0.22352078787878787</c:v>
                </c:pt>
                <c:pt idx="53">
                  <c:v>0.22187836363636362</c:v>
                </c:pt>
                <c:pt idx="54">
                  <c:v>0.22027060606060606</c:v>
                </c:pt>
                <c:pt idx="55">
                  <c:v>0.21869484848484846</c:v>
                </c:pt>
                <c:pt idx="56">
                  <c:v>0.21694509090909089</c:v>
                </c:pt>
                <c:pt idx="57">
                  <c:v>0.21502680786686837</c:v>
                </c:pt>
                <c:pt idx="58">
                  <c:v>0.21260320726172466</c:v>
                </c:pt>
                <c:pt idx="59">
                  <c:v>0.21017960665658092</c:v>
                </c:pt>
                <c:pt idx="60">
                  <c:v>0.20775600605143721</c:v>
                </c:pt>
                <c:pt idx="61">
                  <c:v>0.2053324054462935</c:v>
                </c:pt>
                <c:pt idx="62">
                  <c:v>0.20290880484114976</c:v>
                </c:pt>
                <c:pt idx="63">
                  <c:v>0.20048520423600605</c:v>
                </c:pt>
                <c:pt idx="64">
                  <c:v>0.19751036363636362</c:v>
                </c:pt>
                <c:pt idx="65">
                  <c:v>0.19418309090909089</c:v>
                </c:pt>
                <c:pt idx="66">
                  <c:v>0.19040084337349397</c:v>
                </c:pt>
                <c:pt idx="67">
                  <c:v>0.18640909090909091</c:v>
                </c:pt>
                <c:pt idx="68">
                  <c:v>0.18197272727272726</c:v>
                </c:pt>
                <c:pt idx="69">
                  <c:v>0.17705181818181817</c:v>
                </c:pt>
                <c:pt idx="70">
                  <c:v>0.17186999999999999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609-4FE0-96FF-D1AEBD39E5D9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D609-4FE0-96FF-D1AEBD39E5D9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0.04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3.2727300083636363E-2</c:v>
                </c:pt>
                <c:pt idx="30">
                  <c:v>8.4849670290909132E-3</c:v>
                </c:pt>
                <c:pt idx="31">
                  <c:v>9.2012587349397678E-8</c:v>
                </c:pt>
                <c:pt idx="32">
                  <c:v>2.0934909638556205E-9</c:v>
                </c:pt>
                <c:pt idx="33">
                  <c:v>6.0522000000000135E-10</c:v>
                </c:pt>
                <c:pt idx="34">
                  <c:v>1.7152876363636392E-10</c:v>
                </c:pt>
                <c:pt idx="35">
                  <c:v>5.1025127272727563E-11</c:v>
                </c:pt>
                <c:pt idx="36">
                  <c:v>9.3014254545454674E-12</c:v>
                </c:pt>
                <c:pt idx="37">
                  <c:v>3.2052853252647528E-12</c:v>
                </c:pt>
                <c:pt idx="38">
                  <c:v>2.7174184568835376E-12</c:v>
                </c:pt>
                <c:pt idx="39">
                  <c:v>2.2295515885023228E-12</c:v>
                </c:pt>
                <c:pt idx="40">
                  <c:v>1.741684720121108E-12</c:v>
                </c:pt>
                <c:pt idx="41">
                  <c:v>1.2538178517398928E-12</c:v>
                </c:pt>
                <c:pt idx="42">
                  <c:v>7.65950983358678E-13</c:v>
                </c:pt>
                <c:pt idx="43">
                  <c:v>2.780841149774632E-13</c:v>
                </c:pt>
                <c:pt idx="44">
                  <c:v>1.2466971230242472E-25</c:v>
                </c:pt>
                <c:pt idx="45">
                  <c:v>2.2482996726667122E-26</c:v>
                </c:pt>
                <c:pt idx="46">
                  <c:v>1.011994545454551E-30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D609-4FE0-96FF-D1AEBD39E5D9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3.4433888048409526E-29</c:v>
                </c:pt>
                <c:pt idx="38">
                  <c:v>8.9528108925869658E-28</c:v>
                </c:pt>
                <c:pt idx="39">
                  <c:v>1.7561282904689835E-27</c:v>
                </c:pt>
                <c:pt idx="40">
                  <c:v>2.6169754916792708E-27</c:v>
                </c:pt>
                <c:pt idx="41">
                  <c:v>3.4778226928895578E-27</c:v>
                </c:pt>
                <c:pt idx="42">
                  <c:v>4.3386698940998448E-27</c:v>
                </c:pt>
                <c:pt idx="43">
                  <c:v>5.1995170953101317E-27</c:v>
                </c:pt>
                <c:pt idx="44">
                  <c:v>8.3405517818180944E-25</c:v>
                </c:pt>
                <c:pt idx="45">
                  <c:v>2.7604853599999911E-24</c:v>
                </c:pt>
                <c:pt idx="46">
                  <c:v>2.7552517636363479E-22</c:v>
                </c:pt>
                <c:pt idx="47">
                  <c:v>1.5058913939393614E-21</c:v>
                </c:pt>
                <c:pt idx="48">
                  <c:v>8.6335944242423924E-21</c:v>
                </c:pt>
                <c:pt idx="49">
                  <c:v>1.64338072289156E-19</c:v>
                </c:pt>
                <c:pt idx="50">
                  <c:v>4.8100072289156739E-19</c:v>
                </c:pt>
                <c:pt idx="51">
                  <c:v>3.0472341818181691E-19</c:v>
                </c:pt>
                <c:pt idx="52">
                  <c:v>2.0336121218275148E-10</c:v>
                </c:pt>
                <c:pt idx="53">
                  <c:v>1.3996036363835989E-9</c:v>
                </c:pt>
                <c:pt idx="54">
                  <c:v>1.0271487272727344E-8</c:v>
                </c:pt>
                <c:pt idx="55">
                  <c:v>2.6228578181818253E-8</c:v>
                </c:pt>
                <c:pt idx="56">
                  <c:v>3.5589381818181855E-8</c:v>
                </c:pt>
                <c:pt idx="57">
                  <c:v>4.2250305597579427E-8</c:v>
                </c:pt>
                <c:pt idx="58">
                  <c:v>4.2833512859304087E-8</c:v>
                </c:pt>
                <c:pt idx="59">
                  <c:v>4.3416720121028747E-8</c:v>
                </c:pt>
                <c:pt idx="60">
                  <c:v>4.3999927382753407E-8</c:v>
                </c:pt>
                <c:pt idx="61">
                  <c:v>4.4583134644478067E-8</c:v>
                </c:pt>
                <c:pt idx="62">
                  <c:v>4.5166341906202727E-8</c:v>
                </c:pt>
                <c:pt idx="63">
                  <c:v>4.5749549167927387E-8</c:v>
                </c:pt>
                <c:pt idx="64">
                  <c:v>4.4567345454545453E-8</c:v>
                </c:pt>
                <c:pt idx="65">
                  <c:v>4.2256436363636358E-8</c:v>
                </c:pt>
                <c:pt idx="66">
                  <c:v>2.6851999999999985E-8</c:v>
                </c:pt>
                <c:pt idx="67">
                  <c:v>1.3646309090909091E-8</c:v>
                </c:pt>
                <c:pt idx="68">
                  <c:v>6.8440060606060596E-9</c:v>
                </c:pt>
                <c:pt idx="69">
                  <c:v>2.9135448484848485E-9</c:v>
                </c:pt>
                <c:pt idx="70">
                  <c:v>5.2946000000000036E-10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D609-4FE0-96FF-D1AEBD39E5D9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0.11418181839080718</c:v>
                </c:pt>
                <c:pt idx="5">
                  <c:v>4.145454827589809E-2</c:v>
                </c:pt>
                <c:pt idx="6">
                  <c:v>3.2263518674698782E-9</c:v>
                </c:pt>
                <c:pt idx="7">
                  <c:v>7.0530969879518313E-10</c:v>
                </c:pt>
                <c:pt idx="8">
                  <c:v>6.9458380000000084E-11</c:v>
                </c:pt>
                <c:pt idx="9">
                  <c:v>5.0540360727272767E-12</c:v>
                </c:pt>
                <c:pt idx="10">
                  <c:v>1.7951700121212162E-12</c:v>
                </c:pt>
                <c:pt idx="11">
                  <c:v>6.3137963801403633E-14</c:v>
                </c:pt>
                <c:pt idx="12">
                  <c:v>5.2854908059709232E-14</c:v>
                </c:pt>
                <c:pt idx="13">
                  <c:v>4.2571852318014825E-14</c:v>
                </c:pt>
                <c:pt idx="14">
                  <c:v>3.2288796576320418E-14</c:v>
                </c:pt>
                <c:pt idx="15">
                  <c:v>2.200574083462601E-14</c:v>
                </c:pt>
                <c:pt idx="16">
                  <c:v>1.1722685092931603E-14</c:v>
                </c:pt>
                <c:pt idx="17">
                  <c:v>1.4396293512372023E-15</c:v>
                </c:pt>
                <c:pt idx="18">
                  <c:v>7.4087636363640254E-22</c:v>
                </c:pt>
                <c:pt idx="19">
                  <c:v>6.8757818181818073E-35</c:v>
                </c:pt>
                <c:pt idx="20">
                  <c:v>2.1009333333333221E-35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D609-4FE0-96FF-D1AEBD39E5D9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1.4189933333333312E-30</c:v>
                </c:pt>
                <c:pt idx="9">
                  <c:v>6.7565728649090263E-26</c:v>
                </c:pt>
                <c:pt idx="10">
                  <c:v>6.3058812822484776E-25</c:v>
                </c:pt>
                <c:pt idx="11">
                  <c:v>4.3909092293046825E-15</c:v>
                </c:pt>
                <c:pt idx="12">
                  <c:v>1.3733269289678517E-14</c:v>
                </c:pt>
                <c:pt idx="13">
                  <c:v>2.3075629350052353E-14</c:v>
                </c:pt>
                <c:pt idx="14">
                  <c:v>3.2417989410426183E-14</c:v>
                </c:pt>
                <c:pt idx="15">
                  <c:v>4.1760349470800024E-14</c:v>
                </c:pt>
                <c:pt idx="16">
                  <c:v>5.1102709531173858E-14</c:v>
                </c:pt>
                <c:pt idx="17">
                  <c:v>6.0445069591547691E-14</c:v>
                </c:pt>
                <c:pt idx="18">
                  <c:v>2.959639235151507E-14</c:v>
                </c:pt>
                <c:pt idx="19">
                  <c:v>4.9905163636572299E-17</c:v>
                </c:pt>
                <c:pt idx="20">
                  <c:v>1.5248800001202663E-17</c:v>
                </c:pt>
                <c:pt idx="21">
                  <c:v>1.0834599999999976E-27</c:v>
                </c:pt>
                <c:pt idx="22">
                  <c:v>8.9459999999997778E-29</c:v>
                </c:pt>
                <c:pt idx="23">
                  <c:v>2.1785180722891592E-18</c:v>
                </c:pt>
                <c:pt idx="24">
                  <c:v>6.5104548826424235E-11</c:v>
                </c:pt>
                <c:pt idx="25">
                  <c:v>3.2552272823612119E-10</c:v>
                </c:pt>
                <c:pt idx="26">
                  <c:v>5.4156209090909096E-9</c:v>
                </c:pt>
                <c:pt idx="27">
                  <c:v>1.3725505757575759E-8</c:v>
                </c:pt>
                <c:pt idx="28">
                  <c:v>9.1896484848484868E-8</c:v>
                </c:pt>
                <c:pt idx="29">
                  <c:v>1.4545576609999999E-2</c:v>
                </c:pt>
                <c:pt idx="30">
                  <c:v>6.3030334676666674E-2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  <c:pt idx="36">
                  <c:v>0.08</c:v>
                </c:pt>
                <c:pt idx="37">
                  <c:v>0.08</c:v>
                </c:pt>
                <c:pt idx="38">
                  <c:v>0.08</c:v>
                </c:pt>
                <c:pt idx="39">
                  <c:v>0.08</c:v>
                </c:pt>
                <c:pt idx="40">
                  <c:v>0.08</c:v>
                </c:pt>
                <c:pt idx="41">
                  <c:v>0.08</c:v>
                </c:pt>
                <c:pt idx="42">
                  <c:v>0.08</c:v>
                </c:pt>
                <c:pt idx="43">
                  <c:v>0.08</c:v>
                </c:pt>
                <c:pt idx="44">
                  <c:v>0.08</c:v>
                </c:pt>
                <c:pt idx="45">
                  <c:v>0.08</c:v>
                </c:pt>
                <c:pt idx="46">
                  <c:v>0.08</c:v>
                </c:pt>
                <c:pt idx="47">
                  <c:v>0.08</c:v>
                </c:pt>
                <c:pt idx="48">
                  <c:v>0.08</c:v>
                </c:pt>
                <c:pt idx="49">
                  <c:v>0.08</c:v>
                </c:pt>
                <c:pt idx="50">
                  <c:v>0.08</c:v>
                </c:pt>
                <c:pt idx="51">
                  <c:v>4.1186368484848267E-2</c:v>
                </c:pt>
                <c:pt idx="52">
                  <c:v>1.7037053191939343E-3</c:v>
                </c:pt>
                <c:pt idx="53">
                  <c:v>5.5256013798181294E-4</c:v>
                </c:pt>
                <c:pt idx="54">
                  <c:v>7.3314821818181544E-9</c:v>
                </c:pt>
                <c:pt idx="55">
                  <c:v>1.3324094545454276E-9</c:v>
                </c:pt>
                <c:pt idx="56">
                  <c:v>2.6120366918181658E-10</c:v>
                </c:pt>
                <c:pt idx="57">
                  <c:v>1.406090015128592E-14</c:v>
                </c:pt>
                <c:pt idx="58">
                  <c:v>1.1860446293494696E-14</c:v>
                </c:pt>
                <c:pt idx="59">
                  <c:v>9.6599924357034704E-15</c:v>
                </c:pt>
                <c:pt idx="60">
                  <c:v>7.4595385779122465E-15</c:v>
                </c:pt>
                <c:pt idx="61">
                  <c:v>5.2590847201210225E-15</c:v>
                </c:pt>
                <c:pt idx="62">
                  <c:v>3.058630862329797E-15</c:v>
                </c:pt>
                <c:pt idx="63">
                  <c:v>8.5817700453857299E-16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D609-4FE0-96FF-D1AEBD39E5D9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*Ge[l]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9.8429803328290279E-33</c:v>
                </c:pt>
                <c:pt idx="12">
                  <c:v>3.078549167927382E-32</c:v>
                </c:pt>
                <c:pt idx="13">
                  <c:v>5.1728003025718609E-32</c:v>
                </c:pt>
                <c:pt idx="14">
                  <c:v>7.2670514372163404E-32</c:v>
                </c:pt>
                <c:pt idx="15">
                  <c:v>9.3613025718608199E-32</c:v>
                </c:pt>
                <c:pt idx="16">
                  <c:v>1.1455553706505298E-31</c:v>
                </c:pt>
                <c:pt idx="17">
                  <c:v>1.3549804841149778E-31</c:v>
                </c:pt>
                <c:pt idx="18">
                  <c:v>6.6278606060605875E-32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3.9242424242424246E-35</c:v>
                </c:pt>
                <c:pt idx="25">
                  <c:v>1.9621212121212122E-34</c:v>
                </c:pt>
                <c:pt idx="26">
                  <c:v>1.6481818181818182E-34</c:v>
                </c:pt>
                <c:pt idx="27">
                  <c:v>7.8484848484848385E-36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1.7481599999999957E-22</c:v>
                </c:pt>
                <c:pt idx="34">
                  <c:v>1.8245661625212001E-17</c:v>
                </c:pt>
                <c:pt idx="35">
                  <c:v>7.1908515346424115E-17</c:v>
                </c:pt>
                <c:pt idx="36">
                  <c:v>1.4228351650909046E-13</c:v>
                </c:pt>
                <c:pt idx="37">
                  <c:v>3.4509718608169414E-13</c:v>
                </c:pt>
                <c:pt idx="38">
                  <c:v>4.6952683812405417E-13</c:v>
                </c:pt>
                <c:pt idx="39">
                  <c:v>5.939564901664141E-13</c:v>
                </c:pt>
                <c:pt idx="40">
                  <c:v>7.1838614220877423E-13</c:v>
                </c:pt>
                <c:pt idx="41">
                  <c:v>8.4281579425113416E-13</c:v>
                </c:pt>
                <c:pt idx="42">
                  <c:v>9.6724544629349429E-13</c:v>
                </c:pt>
                <c:pt idx="43">
                  <c:v>1.0916750983358542E-12</c:v>
                </c:pt>
                <c:pt idx="44">
                  <c:v>1.0477066060606072E-12</c:v>
                </c:pt>
                <c:pt idx="45">
                  <c:v>7.8051266666666788E-13</c:v>
                </c:pt>
                <c:pt idx="46">
                  <c:v>4.0931352727272913E-13</c:v>
                </c:pt>
                <c:pt idx="47">
                  <c:v>5.6056281254545627E-14</c:v>
                </c:pt>
                <c:pt idx="48">
                  <c:v>1.9189213981818354E-14</c:v>
                </c:pt>
                <c:pt idx="49">
                  <c:v>1.303615663559395E-17</c:v>
                </c:pt>
                <c:pt idx="50">
                  <c:v>1.9885662930812397E-18</c:v>
                </c:pt>
                <c:pt idx="51">
                  <c:v>1.5809739393939309E-26</c:v>
                </c:pt>
                <c:pt idx="52">
                  <c:v>8.2071878787880986E-18</c:v>
                </c:pt>
                <c:pt idx="53">
                  <c:v>5.648476363636386E-17</c:v>
                </c:pt>
                <c:pt idx="54">
                  <c:v>6.3944296977903582E-11</c:v>
                </c:pt>
                <c:pt idx="55">
                  <c:v>1.869139456700248E-10</c:v>
                </c:pt>
                <c:pt idx="56">
                  <c:v>2.1600800000000007E-10</c:v>
                </c:pt>
                <c:pt idx="57">
                  <c:v>2.3325167927382764E-10</c:v>
                </c:pt>
                <c:pt idx="58">
                  <c:v>2.5821385779122553E-10</c:v>
                </c:pt>
                <c:pt idx="59">
                  <c:v>2.8317603630862337E-10</c:v>
                </c:pt>
                <c:pt idx="60">
                  <c:v>3.0813821482602127E-10</c:v>
                </c:pt>
                <c:pt idx="61">
                  <c:v>3.3310039334341916E-10</c:v>
                </c:pt>
                <c:pt idx="62">
                  <c:v>3.58062571860817E-10</c:v>
                </c:pt>
                <c:pt idx="63">
                  <c:v>3.8302475037821489E-10</c:v>
                </c:pt>
                <c:pt idx="64">
                  <c:v>8.6576509090909274E-10</c:v>
                </c:pt>
                <c:pt idx="65">
                  <c:v>1.6411832727272747E-9</c:v>
                </c:pt>
                <c:pt idx="66">
                  <c:v>2.2457132530120486E-9</c:v>
                </c:pt>
                <c:pt idx="67">
                  <c:v>3.036172727272727E-9</c:v>
                </c:pt>
                <c:pt idx="68">
                  <c:v>4.2770818181818183E-9</c:v>
                </c:pt>
                <c:pt idx="69">
                  <c:v>4.5253424242424245E-9</c:v>
                </c:pt>
                <c:pt idx="70">
                  <c:v>4.2391000000000004E-9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D609-4FE0-96FF-D1AEBD39E5D9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*GeSe</c:v>
                </c:pt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0.12581818181818188</c:v>
                </c:pt>
                <c:pt idx="5">
                  <c:v>0.19854545454545464</c:v>
                </c:pt>
                <c:pt idx="6">
                  <c:v>0.24</c:v>
                </c:pt>
                <c:pt idx="7">
                  <c:v>0.24</c:v>
                </c:pt>
                <c:pt idx="8">
                  <c:v>0.24</c:v>
                </c:pt>
                <c:pt idx="9">
                  <c:v>0.24</c:v>
                </c:pt>
                <c:pt idx="10">
                  <c:v>0.24</c:v>
                </c:pt>
                <c:pt idx="11">
                  <c:v>0.24</c:v>
                </c:pt>
                <c:pt idx="12">
                  <c:v>0.24</c:v>
                </c:pt>
                <c:pt idx="13">
                  <c:v>0.24</c:v>
                </c:pt>
                <c:pt idx="14">
                  <c:v>0.24</c:v>
                </c:pt>
                <c:pt idx="15">
                  <c:v>0.24</c:v>
                </c:pt>
                <c:pt idx="16">
                  <c:v>0.24</c:v>
                </c:pt>
                <c:pt idx="17">
                  <c:v>0.24</c:v>
                </c:pt>
                <c:pt idx="18">
                  <c:v>0.24</c:v>
                </c:pt>
                <c:pt idx="19">
                  <c:v>0.24</c:v>
                </c:pt>
                <c:pt idx="20">
                  <c:v>0.24</c:v>
                </c:pt>
                <c:pt idx="21">
                  <c:v>0.15854551267006028</c:v>
                </c:pt>
                <c:pt idx="22">
                  <c:v>1.3091071009454225E-2</c:v>
                </c:pt>
                <c:pt idx="23">
                  <c:v>7.8679505421686649E-8</c:v>
                </c:pt>
                <c:pt idx="24">
                  <c:v>2.0281442424242425E-9</c:v>
                </c:pt>
                <c:pt idx="25">
                  <c:v>6.3312121212121203E-10</c:v>
                </c:pt>
                <c:pt idx="26">
                  <c:v>4.7798545472282182E-11</c:v>
                </c:pt>
                <c:pt idx="27">
                  <c:v>2.2761212594191502E-12</c:v>
                </c:pt>
                <c:pt idx="28">
                  <c:v>2.0692848484848481E-20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9.8105999999999776E-27</c:v>
                </c:pt>
                <c:pt idx="34">
                  <c:v>1.0627163521212051E-23</c:v>
                </c:pt>
                <c:pt idx="35">
                  <c:v>4.1835435642424169E-23</c:v>
                </c:pt>
                <c:pt idx="36">
                  <c:v>5.2605876363636189E-21</c:v>
                </c:pt>
                <c:pt idx="37">
                  <c:v>1.2432308623298038E-20</c:v>
                </c:pt>
                <c:pt idx="38">
                  <c:v>1.0540024205748888E-20</c:v>
                </c:pt>
                <c:pt idx="39">
                  <c:v>8.647739788199739E-21</c:v>
                </c:pt>
                <c:pt idx="40">
                  <c:v>6.7554553706505879E-21</c:v>
                </c:pt>
                <c:pt idx="41">
                  <c:v>4.8631709531014383E-21</c:v>
                </c:pt>
                <c:pt idx="42">
                  <c:v>2.970886535552288E-21</c:v>
                </c:pt>
                <c:pt idx="43">
                  <c:v>1.0786021180031377E-21</c:v>
                </c:pt>
                <c:pt idx="44">
                  <c:v>8.3181818181818497E-35</c:v>
                </c:pt>
                <c:pt idx="45">
                  <c:v>1.5000000000000312E-35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609-4FE0-96FF-D1AEBD39E5D9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4.7752284417549078E-33</c:v>
                </c:pt>
                <c:pt idx="12">
                  <c:v>1.4935288956127075E-32</c:v>
                </c:pt>
                <c:pt idx="13">
                  <c:v>2.5095349470499246E-32</c:v>
                </c:pt>
                <c:pt idx="14">
                  <c:v>3.5255409984871412E-32</c:v>
                </c:pt>
                <c:pt idx="15">
                  <c:v>4.5415470499243583E-32</c:v>
                </c:pt>
                <c:pt idx="16">
                  <c:v>5.5575531013615749E-32</c:v>
                </c:pt>
                <c:pt idx="17">
                  <c:v>6.573559152798792E-32</c:v>
                </c:pt>
                <c:pt idx="18">
                  <c:v>4.1267968606060713E-30</c:v>
                </c:pt>
                <c:pt idx="19">
                  <c:v>9.4366327272728209E-29</c:v>
                </c:pt>
                <c:pt idx="20">
                  <c:v>5.0632026666666759E-28</c:v>
                </c:pt>
                <c:pt idx="21">
                  <c:v>1.6155261939394003E-26</c:v>
                </c:pt>
                <c:pt idx="22">
                  <c:v>4.3776122545454608E-26</c:v>
                </c:pt>
                <c:pt idx="23">
                  <c:v>1.3641382530120496E-24</c:v>
                </c:pt>
                <c:pt idx="24">
                  <c:v>1.7886618181818183E-23</c:v>
                </c:pt>
                <c:pt idx="25">
                  <c:v>7.9631890909090907E-23</c:v>
                </c:pt>
                <c:pt idx="26">
                  <c:v>1.3894463636363638E-21</c:v>
                </c:pt>
                <c:pt idx="27">
                  <c:v>3.5313069696969699E-21</c:v>
                </c:pt>
                <c:pt idx="28">
                  <c:v>6.236659393939394E-20</c:v>
                </c:pt>
                <c:pt idx="29">
                  <c:v>4.7974181818181818E-19</c:v>
                </c:pt>
                <c:pt idx="30">
                  <c:v>1.7267478787878789E-18</c:v>
                </c:pt>
                <c:pt idx="31">
                  <c:v>1.0295169879518059E-17</c:v>
                </c:pt>
                <c:pt idx="32">
                  <c:v>2.2805892771084307E-17</c:v>
                </c:pt>
                <c:pt idx="33">
                  <c:v>1.3901239999999973E-16</c:v>
                </c:pt>
                <c:pt idx="34">
                  <c:v>5.4968242424242201E-16</c:v>
                </c:pt>
                <c:pt idx="35">
                  <c:v>1.5299248484848462E-15</c:v>
                </c:pt>
                <c:pt idx="36">
                  <c:v>6.948247272727256E-15</c:v>
                </c:pt>
                <c:pt idx="37">
                  <c:v>1.3806361270801109E-13</c:v>
                </c:pt>
                <c:pt idx="38">
                  <c:v>3.2380539304084641E-12</c:v>
                </c:pt>
                <c:pt idx="39">
                  <c:v>6.3380442481089176E-12</c:v>
                </c:pt>
                <c:pt idx="40">
                  <c:v>9.4380345658093712E-12</c:v>
                </c:pt>
                <c:pt idx="41">
                  <c:v>1.2538024883509825E-11</c:v>
                </c:pt>
                <c:pt idx="42">
                  <c:v>1.5638015201210277E-11</c:v>
                </c:pt>
                <c:pt idx="43">
                  <c:v>1.8738005518910729E-11</c:v>
                </c:pt>
                <c:pt idx="44">
                  <c:v>4.2522303030302796E-11</c:v>
                </c:pt>
                <c:pt idx="45">
                  <c:v>9.3725333333333104E-11</c:v>
                </c:pt>
                <c:pt idx="46">
                  <c:v>2.933670909090898E-10</c:v>
                </c:pt>
                <c:pt idx="47">
                  <c:v>6.4269187878787391E-10</c:v>
                </c:pt>
                <c:pt idx="48">
                  <c:v>1.7135524848484799E-9</c:v>
                </c:pt>
                <c:pt idx="49">
                  <c:v>4.4081349397590272E-9</c:v>
                </c:pt>
                <c:pt idx="50">
                  <c:v>8.8617493975903763E-9</c:v>
                </c:pt>
                <c:pt idx="51">
                  <c:v>2.3639480000000078E-8</c:v>
                </c:pt>
                <c:pt idx="52">
                  <c:v>3.7759624242424239E-8</c:v>
                </c:pt>
                <c:pt idx="53">
                  <c:v>3.7604472727272728E-8</c:v>
                </c:pt>
                <c:pt idx="54">
                  <c:v>3.7317272727272722E-8</c:v>
                </c:pt>
                <c:pt idx="55">
                  <c:v>3.6908181818181817E-8</c:v>
                </c:pt>
                <c:pt idx="56">
                  <c:v>3.6274472727272722E-8</c:v>
                </c:pt>
                <c:pt idx="57">
                  <c:v>3.5496290468986376E-8</c:v>
                </c:pt>
                <c:pt idx="58">
                  <c:v>3.4324883509833575E-8</c:v>
                </c:pt>
                <c:pt idx="59">
                  <c:v>3.3153476550680781E-8</c:v>
                </c:pt>
                <c:pt idx="60">
                  <c:v>3.198206959152798E-8</c:v>
                </c:pt>
                <c:pt idx="61">
                  <c:v>3.0810662632375186E-8</c:v>
                </c:pt>
                <c:pt idx="62">
                  <c:v>2.9639255673222385E-8</c:v>
                </c:pt>
                <c:pt idx="63">
                  <c:v>2.8467848714069588E-8</c:v>
                </c:pt>
                <c:pt idx="64">
                  <c:v>2.709193333333333E-8</c:v>
                </c:pt>
                <c:pt idx="65">
                  <c:v>2.5585266666666661E-8</c:v>
                </c:pt>
                <c:pt idx="66">
                  <c:v>2.4030638554216866E-8</c:v>
                </c:pt>
                <c:pt idx="67">
                  <c:v>2.2464454545454547E-8</c:v>
                </c:pt>
                <c:pt idx="68">
                  <c:v>2.0875969696969696E-8</c:v>
                </c:pt>
                <c:pt idx="69">
                  <c:v>1.9294575757575758E-8</c:v>
                </c:pt>
                <c:pt idx="70">
                  <c:v>1.7716999999999999E-8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D609-4FE0-96FF-D1AEBD39E5D9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Ar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D609-4FE0-96FF-D1AEBD39E5D9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3.0726733333333287E-34</c:v>
                </c:pt>
                <c:pt idx="9">
                  <c:v>5.8647963509090362E-31</c:v>
                </c:pt>
                <c:pt idx="10">
                  <c:v>5.4683230108484795E-30</c:v>
                </c:pt>
                <c:pt idx="11">
                  <c:v>5.8107217087170821E-22</c:v>
                </c:pt>
                <c:pt idx="12">
                  <c:v>1.817395921544069E-21</c:v>
                </c:pt>
                <c:pt idx="13">
                  <c:v>3.0537196722164296E-21</c:v>
                </c:pt>
                <c:pt idx="14">
                  <c:v>4.2900434228887903E-21</c:v>
                </c:pt>
                <c:pt idx="15">
                  <c:v>5.5263671735611517E-21</c:v>
                </c:pt>
                <c:pt idx="16">
                  <c:v>6.7626909242335124E-21</c:v>
                </c:pt>
                <c:pt idx="17">
                  <c:v>7.999014674905873E-21</c:v>
                </c:pt>
                <c:pt idx="18">
                  <c:v>3.9157727284848382E-21</c:v>
                </c:pt>
                <c:pt idx="19">
                  <c:v>5.1409745454548644E-24</c:v>
                </c:pt>
                <c:pt idx="20">
                  <c:v>1.5708533333352117E-24</c:v>
                </c:pt>
                <c:pt idx="21">
                  <c:v>1.6992109090909056E-36</c:v>
                </c:pt>
                <c:pt idx="22">
                  <c:v>1.4030181818181455E-37</c:v>
                </c:pt>
                <c:pt idx="23">
                  <c:v>0</c:v>
                </c:pt>
                <c:pt idx="24">
                  <c:v>4.9569696969696967E-29</c:v>
                </c:pt>
                <c:pt idx="25">
                  <c:v>2.4784848484848483E-28</c:v>
                </c:pt>
                <c:pt idx="26">
                  <c:v>2.0819272903956365E-28</c:v>
                </c:pt>
                <c:pt idx="27">
                  <c:v>9.9139441055030448E-30</c:v>
                </c:pt>
                <c:pt idx="28">
                  <c:v>2.0613090909090906E-36</c:v>
                </c:pt>
                <c:pt idx="29">
                  <c:v>0</c:v>
                </c:pt>
                <c:pt idx="30">
                  <c:v>0</c:v>
                </c:pt>
                <c:pt idx="31">
                  <c:v>2.0264728915662624E-36</c:v>
                </c:pt>
                <c:pt idx="32">
                  <c:v>5.1441234939758971E-36</c:v>
                </c:pt>
                <c:pt idx="33">
                  <c:v>6.9486000000000036E-22</c:v>
                </c:pt>
                <c:pt idx="34">
                  <c:v>4.560625279454515E-17</c:v>
                </c:pt>
                <c:pt idx="35">
                  <c:v>1.7973888424909059E-16</c:v>
                </c:pt>
                <c:pt idx="36">
                  <c:v>3.3358694981818071E-13</c:v>
                </c:pt>
                <c:pt idx="37">
                  <c:v>1.0592069591527839E-12</c:v>
                </c:pt>
                <c:pt idx="38">
                  <c:v>7.6043809379727524E-12</c:v>
                </c:pt>
                <c:pt idx="39">
                  <c:v>1.414955491679272E-11</c:v>
                </c:pt>
                <c:pt idx="40">
                  <c:v>2.069472889561269E-11</c:v>
                </c:pt>
                <c:pt idx="41">
                  <c:v>2.7239902874432658E-11</c:v>
                </c:pt>
                <c:pt idx="42">
                  <c:v>3.3785076853252623E-11</c:v>
                </c:pt>
                <c:pt idx="43">
                  <c:v>4.0330250832072591E-11</c:v>
                </c:pt>
                <c:pt idx="44">
                  <c:v>8.1494193939393535E-11</c:v>
                </c:pt>
                <c:pt idx="45">
                  <c:v>1.6854813333333293E-10</c:v>
                </c:pt>
                <c:pt idx="46">
                  <c:v>4.2458363636363501E-10</c:v>
                </c:pt>
                <c:pt idx="47">
                  <c:v>7.3908242424242254E-10</c:v>
                </c:pt>
                <c:pt idx="48">
                  <c:v>1.1258703030303014E-9</c:v>
                </c:pt>
                <c:pt idx="49">
                  <c:v>7.4568313253011812E-9</c:v>
                </c:pt>
                <c:pt idx="50">
                  <c:v>2.0227313253012093E-8</c:v>
                </c:pt>
                <c:pt idx="51">
                  <c:v>3.8813841634291128E-2</c:v>
                </c:pt>
                <c:pt idx="52">
                  <c:v>7.829665454545455E-2</c:v>
                </c:pt>
                <c:pt idx="53">
                  <c:v>7.9447563636363641E-2</c:v>
                </c:pt>
                <c:pt idx="54">
                  <c:v>0.08</c:v>
                </c:pt>
                <c:pt idx="55">
                  <c:v>0.08</c:v>
                </c:pt>
                <c:pt idx="56">
                  <c:v>0.08</c:v>
                </c:pt>
                <c:pt idx="57">
                  <c:v>0.08</c:v>
                </c:pt>
                <c:pt idx="58">
                  <c:v>0.08</c:v>
                </c:pt>
                <c:pt idx="59">
                  <c:v>0.08</c:v>
                </c:pt>
                <c:pt idx="60">
                  <c:v>0.08</c:v>
                </c:pt>
                <c:pt idx="61">
                  <c:v>0.08</c:v>
                </c:pt>
                <c:pt idx="62">
                  <c:v>0.08</c:v>
                </c:pt>
                <c:pt idx="63">
                  <c:v>0.08</c:v>
                </c:pt>
                <c:pt idx="64">
                  <c:v>0.08</c:v>
                </c:pt>
                <c:pt idx="65">
                  <c:v>0.08</c:v>
                </c:pt>
                <c:pt idx="66">
                  <c:v>0.08</c:v>
                </c:pt>
                <c:pt idx="67">
                  <c:v>0.08</c:v>
                </c:pt>
                <c:pt idx="68">
                  <c:v>0.08</c:v>
                </c:pt>
                <c:pt idx="69">
                  <c:v>0.08</c:v>
                </c:pt>
                <c:pt idx="70">
                  <c:v>0.08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D609-4FE0-96FF-D1AEBD39E5D9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5.0933624242424188E-27</c:v>
                </c:pt>
                <c:pt idx="1">
                  <c:v>1.4913648484848473E-27</c:v>
                </c:pt>
                <c:pt idx="2">
                  <c:v>3.1706181818181696E-28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1.2169259036144594E-26</c:v>
                </c:pt>
                <c:pt idx="7">
                  <c:v>4.0469861445783111E-26</c:v>
                </c:pt>
                <c:pt idx="8">
                  <c:v>2.4067869172213292E-19</c:v>
                </c:pt>
                <c:pt idx="9">
                  <c:v>3.0690595272726992E-17</c:v>
                </c:pt>
                <c:pt idx="10">
                  <c:v>2.8214772254545429E-16</c:v>
                </c:pt>
                <c:pt idx="11">
                  <c:v>3.0954176518608111E-12</c:v>
                </c:pt>
                <c:pt idx="12">
                  <c:v>9.6805287834795737E-12</c:v>
                </c:pt>
                <c:pt idx="13">
                  <c:v>1.6265639915098336E-11</c:v>
                </c:pt>
                <c:pt idx="14">
                  <c:v>2.2850751046717101E-11</c:v>
                </c:pt>
                <c:pt idx="15">
                  <c:v>2.9435862178335862E-11</c:v>
                </c:pt>
                <c:pt idx="16">
                  <c:v>3.6020973309954626E-11</c:v>
                </c:pt>
                <c:pt idx="17">
                  <c:v>4.260608444157339E-11</c:v>
                </c:pt>
                <c:pt idx="18">
                  <c:v>2.0843000162424183E-11</c:v>
                </c:pt>
                <c:pt idx="19">
                  <c:v>3.8869527272727604E-15</c:v>
                </c:pt>
                <c:pt idx="20">
                  <c:v>1.1876800000002197E-15</c:v>
                </c:pt>
                <c:pt idx="21">
                  <c:v>2.0375733333333293E-28</c:v>
                </c:pt>
                <c:pt idx="22">
                  <c:v>1.6823999999999587E-29</c:v>
                </c:pt>
                <c:pt idx="23">
                  <c:v>3.2704084337349434E-31</c:v>
                </c:pt>
                <c:pt idx="24">
                  <c:v>8.4765156577042423E-24</c:v>
                </c:pt>
                <c:pt idx="25">
                  <c:v>4.2382575902201214E-23</c:v>
                </c:pt>
                <c:pt idx="26">
                  <c:v>3.5601363672702913E-23</c:v>
                </c:pt>
                <c:pt idx="27">
                  <c:v>1.6953031272077559E-24</c:v>
                </c:pt>
                <c:pt idx="28">
                  <c:v>4.2395818181818187E-32</c:v>
                </c:pt>
                <c:pt idx="29">
                  <c:v>0</c:v>
                </c:pt>
                <c:pt idx="30">
                  <c:v>0</c:v>
                </c:pt>
                <c:pt idx="31">
                  <c:v>1.9438132530120455E-34</c:v>
                </c:pt>
                <c:pt idx="32">
                  <c:v>4.934295180722885E-34</c:v>
                </c:pt>
                <c:pt idx="33">
                  <c:v>1.5739800000000163E-20</c:v>
                </c:pt>
                <c:pt idx="34">
                  <c:v>2.5866810013939223E-16</c:v>
                </c:pt>
                <c:pt idx="35">
                  <c:v>1.0193794740787861E-15</c:v>
                </c:pt>
                <c:pt idx="36">
                  <c:v>5.0075029818181656E-13</c:v>
                </c:pt>
                <c:pt idx="37">
                  <c:v>1.1916027534039337E-12</c:v>
                </c:pt>
                <c:pt idx="38">
                  <c:v>1.0891715885022697E-12</c:v>
                </c:pt>
                <c:pt idx="39">
                  <c:v>9.8674042360060542E-13</c:v>
                </c:pt>
                <c:pt idx="40">
                  <c:v>8.8430925869894138E-13</c:v>
                </c:pt>
                <c:pt idx="41">
                  <c:v>7.8187809379727724E-13</c:v>
                </c:pt>
                <c:pt idx="42">
                  <c:v>6.7944692889561309E-13</c:v>
                </c:pt>
                <c:pt idx="43">
                  <c:v>5.7701576399394905E-13</c:v>
                </c:pt>
                <c:pt idx="44">
                  <c:v>5.7356054545454484E-13</c:v>
                </c:pt>
                <c:pt idx="45">
                  <c:v>7.0130599999999948E-13</c:v>
                </c:pt>
                <c:pt idx="46">
                  <c:v>8.1780999999999942E-13</c:v>
                </c:pt>
                <c:pt idx="47">
                  <c:v>8.9348509090909166E-13</c:v>
                </c:pt>
                <c:pt idx="48">
                  <c:v>7.1713963636363711E-13</c:v>
                </c:pt>
                <c:pt idx="49">
                  <c:v>1.5676742168674661E-12</c:v>
                </c:pt>
                <c:pt idx="50">
                  <c:v>3.5306621686747056E-12</c:v>
                </c:pt>
                <c:pt idx="51">
                  <c:v>2.562477105284863E-6</c:v>
                </c:pt>
                <c:pt idx="52">
                  <c:v>5.0395593939393904E-6</c:v>
                </c:pt>
                <c:pt idx="53">
                  <c:v>4.3534381818181788E-6</c:v>
                </c:pt>
                <c:pt idx="54">
                  <c:v>3.730536363636361E-6</c:v>
                </c:pt>
                <c:pt idx="55">
                  <c:v>3.1659909090909063E-6</c:v>
                </c:pt>
                <c:pt idx="56">
                  <c:v>2.7262509090909071E-6</c:v>
                </c:pt>
                <c:pt idx="57">
                  <c:v>2.3494559152798783E-6</c:v>
                </c:pt>
                <c:pt idx="58">
                  <c:v>2.1297100756429644E-6</c:v>
                </c:pt>
                <c:pt idx="59">
                  <c:v>1.9099642360060506E-6</c:v>
                </c:pt>
                <c:pt idx="60">
                  <c:v>1.6902183963691369E-6</c:v>
                </c:pt>
                <c:pt idx="61">
                  <c:v>1.4704725567322233E-6</c:v>
                </c:pt>
                <c:pt idx="62">
                  <c:v>1.2507267170953094E-6</c:v>
                </c:pt>
                <c:pt idx="63">
                  <c:v>1.0309808774583957E-6</c:v>
                </c:pt>
                <c:pt idx="64">
                  <c:v>8.7883806060606028E-7</c:v>
                </c:pt>
                <c:pt idx="65">
                  <c:v>7.6991684848484817E-7</c:v>
                </c:pt>
                <c:pt idx="66">
                  <c:v>6.8465397590361432E-7</c:v>
                </c:pt>
                <c:pt idx="67">
                  <c:v>6.0574909090909088E-7</c:v>
                </c:pt>
                <c:pt idx="68">
                  <c:v>5.3937939393939392E-7</c:v>
                </c:pt>
                <c:pt idx="69">
                  <c:v>4.8222000000000004E-7</c:v>
                </c:pt>
                <c:pt idx="70">
                  <c:v>4.3001999999999998E-7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D609-4FE0-96FF-D1AEBD39E5D9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2.40997515151515E-34</c:v>
                </c:pt>
                <c:pt idx="1">
                  <c:v>1.3060987878787867E-34</c:v>
                </c:pt>
                <c:pt idx="2">
                  <c:v>2.7767454545454423E-35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9.1994096385542283E-32</c:v>
                </c:pt>
                <c:pt idx="7">
                  <c:v>3.0593385542168653E-31</c:v>
                </c:pt>
                <c:pt idx="8">
                  <c:v>7.1843335227413237E-24</c:v>
                </c:pt>
                <c:pt idx="9">
                  <c:v>3.2474389999999696E-21</c:v>
                </c:pt>
                <c:pt idx="10">
                  <c:v>3.0181138999999976E-20</c:v>
                </c:pt>
                <c:pt idx="11">
                  <c:v>2.5326001960641405E-14</c:v>
                </c:pt>
                <c:pt idx="12">
                  <c:v>7.9211017927963675E-14</c:v>
                </c:pt>
                <c:pt idx="13">
                  <c:v>1.3309603389528592E-13</c:v>
                </c:pt>
                <c:pt idx="14">
                  <c:v>1.869810498626082E-13</c:v>
                </c:pt>
                <c:pt idx="15">
                  <c:v>2.4086606582993048E-13</c:v>
                </c:pt>
                <c:pt idx="16">
                  <c:v>2.9475108179725273E-13</c:v>
                </c:pt>
                <c:pt idx="17">
                  <c:v>3.4863609776457503E-13</c:v>
                </c:pt>
                <c:pt idx="18">
                  <c:v>1.7058277193939347E-13</c:v>
                </c:pt>
                <c:pt idx="19">
                  <c:v>8.054836363636547E-17</c:v>
                </c:pt>
                <c:pt idx="20">
                  <c:v>2.4612000000011159E-17</c:v>
                </c:pt>
                <c:pt idx="21">
                  <c:v>1.0168048484848464E-29</c:v>
                </c:pt>
                <c:pt idx="22">
                  <c:v>8.3956363636361568E-31</c:v>
                </c:pt>
                <c:pt idx="23">
                  <c:v>8.283192771084347E-32</c:v>
                </c:pt>
                <c:pt idx="24">
                  <c:v>4.55909103729697E-24</c:v>
                </c:pt>
                <c:pt idx="25">
                  <c:v>2.279545458208485E-23</c:v>
                </c:pt>
                <c:pt idx="26">
                  <c:v>1.9148181858258182E-23</c:v>
                </c:pt>
                <c:pt idx="27">
                  <c:v>9.1181828868848721E-25</c:v>
                </c:pt>
                <c:pt idx="28">
                  <c:v>4.6755757575757586E-32</c:v>
                </c:pt>
                <c:pt idx="29">
                  <c:v>0</c:v>
                </c:pt>
                <c:pt idx="30">
                  <c:v>0</c:v>
                </c:pt>
                <c:pt idx="31">
                  <c:v>1.5383072289156606E-33</c:v>
                </c:pt>
                <c:pt idx="32">
                  <c:v>3.9049337349397536E-33</c:v>
                </c:pt>
                <c:pt idx="33">
                  <c:v>2.2770600000000107E-19</c:v>
                </c:pt>
                <c:pt idx="34">
                  <c:v>6.6816103988484406E-15</c:v>
                </c:pt>
                <c:pt idx="35">
                  <c:v>2.6332289483696925E-14</c:v>
                </c:pt>
                <c:pt idx="36">
                  <c:v>2.2579773963636287E-11</c:v>
                </c:pt>
                <c:pt idx="37">
                  <c:v>5.4712481089258651E-11</c:v>
                </c:pt>
                <c:pt idx="38">
                  <c:v>7.3774508320726124E-11</c:v>
                </c:pt>
                <c:pt idx="39">
                  <c:v>9.2836535552193591E-11</c:v>
                </c:pt>
                <c:pt idx="40">
                  <c:v>1.1189856278366106E-10</c:v>
                </c:pt>
                <c:pt idx="41">
                  <c:v>1.3096059001512851E-10</c:v>
                </c:pt>
                <c:pt idx="42">
                  <c:v>1.50022617246596E-10</c:v>
                </c:pt>
                <c:pt idx="43">
                  <c:v>1.6908464447806347E-10</c:v>
                </c:pt>
                <c:pt idx="44">
                  <c:v>2.3839090909090851E-10</c:v>
                </c:pt>
                <c:pt idx="45">
                  <c:v>3.7429999999999942E-10</c:v>
                </c:pt>
                <c:pt idx="46">
                  <c:v>5.9094618181818068E-10</c:v>
                </c:pt>
                <c:pt idx="47">
                  <c:v>8.0298321212121202E-10</c:v>
                </c:pt>
                <c:pt idx="48">
                  <c:v>8.317771515151514E-10</c:v>
                </c:pt>
                <c:pt idx="49">
                  <c:v>2.9317572289156548E-9</c:v>
                </c:pt>
                <c:pt idx="50">
                  <c:v>7.2755222891566424E-9</c:v>
                </c:pt>
                <c:pt idx="51">
                  <c:v>8.0464404167527731E-3</c:v>
                </c:pt>
                <c:pt idx="52">
                  <c:v>1.6471036363636372E-2</c:v>
                </c:pt>
                <c:pt idx="53">
                  <c:v>1.8118309090909099E-2</c:v>
                </c:pt>
                <c:pt idx="54">
                  <c:v>1.9728709090909097E-2</c:v>
                </c:pt>
                <c:pt idx="55">
                  <c:v>2.1305072727272736E-2</c:v>
                </c:pt>
                <c:pt idx="56">
                  <c:v>2.3051218181818191E-2</c:v>
                </c:pt>
                <c:pt idx="57">
                  <c:v>2.4966391830559768E-2</c:v>
                </c:pt>
                <c:pt idx="58">
                  <c:v>2.7390900151285941E-2</c:v>
                </c:pt>
                <c:pt idx="59">
                  <c:v>2.9815408472012112E-2</c:v>
                </c:pt>
                <c:pt idx="60">
                  <c:v>3.2239916792738285E-2</c:v>
                </c:pt>
                <c:pt idx="61">
                  <c:v>3.4664425113464459E-2</c:v>
                </c:pt>
                <c:pt idx="62">
                  <c:v>3.7088933434190632E-2</c:v>
                </c:pt>
                <c:pt idx="63">
                  <c:v>3.9513441754916799E-2</c:v>
                </c:pt>
                <c:pt idx="64">
                  <c:v>4.2487527272727282E-2</c:v>
                </c:pt>
                <c:pt idx="65">
                  <c:v>4.5812981818181824E-2</c:v>
                </c:pt>
                <c:pt idx="66">
                  <c:v>4.9596891566265067E-2</c:v>
                </c:pt>
                <c:pt idx="67">
                  <c:v>5.3589181818181821E-2</c:v>
                </c:pt>
                <c:pt idx="68">
                  <c:v>5.8023121212121213E-2</c:v>
                </c:pt>
                <c:pt idx="69">
                  <c:v>6.2943575757575768E-2</c:v>
                </c:pt>
                <c:pt idx="70">
                  <c:v>6.8126000000000006E-2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D609-4FE0-96FF-D1AEBD39E5D9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>
                  <c:v>-18.618363636363636</c:v>
                </c:pt>
                <c:pt idx="3">
                  <c:v>-18.624424242424244</c:v>
                </c:pt>
                <c:pt idx="4">
                  <c:v>-18.630969696969697</c:v>
                </c:pt>
                <c:pt idx="5">
                  <c:v>-18.643090909090908</c:v>
                </c:pt>
                <c:pt idx="6">
                  <c:v>-18.655180722891565</c:v>
                </c:pt>
                <c:pt idx="7">
                  <c:v>-18.667228915662651</c:v>
                </c:pt>
                <c:pt idx="8">
                  <c:v>-18.679333333333336</c:v>
                </c:pt>
                <c:pt idx="9">
                  <c:v>-18.692181818181819</c:v>
                </c:pt>
                <c:pt idx="10">
                  <c:v>-18.710363636363635</c:v>
                </c:pt>
                <c:pt idx="11">
                  <c:v>-18.728532526475036</c:v>
                </c:pt>
                <c:pt idx="12">
                  <c:v>-18.746686838124052</c:v>
                </c:pt>
                <c:pt idx="13">
                  <c:v>-18.764841149773069</c:v>
                </c:pt>
                <c:pt idx="14">
                  <c:v>-18.782995461422086</c:v>
                </c:pt>
                <c:pt idx="15">
                  <c:v>-18.801149773071103</c:v>
                </c:pt>
                <c:pt idx="16">
                  <c:v>-18.81930408472012</c:v>
                </c:pt>
                <c:pt idx="17">
                  <c:v>-18.837458396369136</c:v>
                </c:pt>
                <c:pt idx="18">
                  <c:v>-18.855636363636364</c:v>
                </c:pt>
                <c:pt idx="19">
                  <c:v>-18.873818181818184</c:v>
                </c:pt>
                <c:pt idx="20">
                  <c:v>-18.891999999999999</c:v>
                </c:pt>
                <c:pt idx="21">
                  <c:v>-18.913575757575757</c:v>
                </c:pt>
                <c:pt idx="22">
                  <c:v>-18.937818181818184</c:v>
                </c:pt>
                <c:pt idx="23">
                  <c:v>-18.95644578313253</c:v>
                </c:pt>
                <c:pt idx="24">
                  <c:v>-18.976060606060607</c:v>
                </c:pt>
                <c:pt idx="25">
                  <c:v>-19.00030303030303</c:v>
                </c:pt>
                <c:pt idx="26">
                  <c:v>-19.020909090909093</c:v>
                </c:pt>
                <c:pt idx="27">
                  <c:v>-19.039090909090909</c:v>
                </c:pt>
                <c:pt idx="28">
                  <c:v>-19.057272727272728</c:v>
                </c:pt>
                <c:pt idx="29">
                  <c:v>-19.077272727272728</c:v>
                </c:pt>
                <c:pt idx="30">
                  <c:v>-19.101515151515152</c:v>
                </c:pt>
                <c:pt idx="31">
                  <c:v>-19.121746987951806</c:v>
                </c:pt>
                <c:pt idx="32">
                  <c:v>-19.139819277108433</c:v>
                </c:pt>
                <c:pt idx="33">
                  <c:v>-19.164000000000001</c:v>
                </c:pt>
                <c:pt idx="34">
                  <c:v>-19.186181818181819</c:v>
                </c:pt>
                <c:pt idx="35">
                  <c:v>-19.204363636363638</c:v>
                </c:pt>
                <c:pt idx="36">
                  <c:v>-19.226727272727274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D609-4FE0-96FF-D1AEBD39E5D9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-60.144848484848481</c:v>
                </c:pt>
                <c:pt idx="1">
                  <c:v>-58.339757575757574</c:v>
                </c:pt>
                <c:pt idx="2">
                  <c:v>-56.654909090909094</c:v>
                </c:pt>
                <c:pt idx="3">
                  <c:v>-55.098363636363636</c:v>
                </c:pt>
                <c:pt idx="4">
                  <c:v>-53.546121212121207</c:v>
                </c:pt>
                <c:pt idx="5">
                  <c:v>-51.49763636363636</c:v>
                </c:pt>
                <c:pt idx="6">
                  <c:v>-49.457048192771083</c:v>
                </c:pt>
                <c:pt idx="7">
                  <c:v>-47.426927710843373</c:v>
                </c:pt>
                <c:pt idx="8">
                  <c:v>-45.513333333333335</c:v>
                </c:pt>
                <c:pt idx="9">
                  <c:v>-43.650545454545458</c:v>
                </c:pt>
                <c:pt idx="10">
                  <c:v>-41.905090909090909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-17.45843373493976</c:v>
                </c:pt>
                <c:pt idx="32">
                  <c:v>-16.856024096385546</c:v>
                </c:pt>
                <c:pt idx="33">
                  <c:v>-16.28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-8.0158121212121198</c:v>
                </c:pt>
                <c:pt idx="52">
                  <c:v>-7.7234484848484852</c:v>
                </c:pt>
                <c:pt idx="53">
                  <c:v>-7.7731454545454541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-8.5329090909090901</c:v>
                </c:pt>
                <c:pt idx="68">
                  <c:v>-8.5959393939393944</c:v>
                </c:pt>
                <c:pt idx="69">
                  <c:v>-8.6605454545454545</c:v>
                </c:pt>
                <c:pt idx="70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D609-4FE0-96FF-D1AEBD39E5D9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-15.300424242424242</c:v>
                </c:pt>
                <c:pt idx="1">
                  <c:v>-14.974848484848485</c:v>
                </c:pt>
                <c:pt idx="2">
                  <c:v>-14.671818181818182</c:v>
                </c:pt>
                <c:pt idx="3">
                  <c:v>-14.399757575757576</c:v>
                </c:pt>
                <c:pt idx="4">
                  <c:v>-14.105212121212121</c:v>
                </c:pt>
                <c:pt idx="5">
                  <c:v>-13.420363636363636</c:v>
                </c:pt>
                <c:pt idx="6">
                  <c:v>-12.711385542168674</c:v>
                </c:pt>
                <c:pt idx="7">
                  <c:v>-11.970421686746988</c:v>
                </c:pt>
                <c:pt idx="8">
                  <c:v>-11.272666666666668</c:v>
                </c:pt>
                <c:pt idx="9">
                  <c:v>-10.593127272727273</c:v>
                </c:pt>
                <c:pt idx="10">
                  <c:v>-9.9525212121212121</c:v>
                </c:pt>
                <c:pt idx="11">
                  <c:v>-9.3588018154311658</c:v>
                </c:pt>
                <c:pt idx="12">
                  <c:v>-8.8179546142208771</c:v>
                </c:pt>
                <c:pt idx="13">
                  <c:v>-8.2771074130105902</c:v>
                </c:pt>
                <c:pt idx="14">
                  <c:v>-7.7362602118003023</c:v>
                </c:pt>
                <c:pt idx="15">
                  <c:v>-7.1954130105900145</c:v>
                </c:pt>
                <c:pt idx="16">
                  <c:v>-6.6545658093797275</c:v>
                </c:pt>
                <c:pt idx="17">
                  <c:v>-6.1137186081694388</c:v>
                </c:pt>
                <c:pt idx="18">
                  <c:v>-5.6392727272727265</c:v>
                </c:pt>
                <c:pt idx="19">
                  <c:v>-5.1809818181818166</c:v>
                </c:pt>
                <c:pt idx="20">
                  <c:v>-4.742799999999999</c:v>
                </c:pt>
                <c:pt idx="21">
                  <c:v>-4.4023636363636358</c:v>
                </c:pt>
                <c:pt idx="22">
                  <c:v>-4.1387272727272721</c:v>
                </c:pt>
                <c:pt idx="23">
                  <c:v>-4.1369277108433735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-4.3330542168674695</c:v>
                </c:pt>
                <c:pt idx="32">
                  <c:v>-4.3577530120481924</c:v>
                </c:pt>
                <c:pt idx="33">
                  <c:v>-4.3826000000000001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-5.1835454545454542</c:v>
                </c:pt>
                <c:pt idx="68">
                  <c:v>-5.2053636363636366</c:v>
                </c:pt>
                <c:pt idx="69">
                  <c:v>-5.2271818181818182</c:v>
                </c:pt>
                <c:pt idx="70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D609-4FE0-96FF-D1AEBD39E5D9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  <c:pt idx="0">
                  <c:v>-21.792000000000002</c:v>
                </c:pt>
                <c:pt idx="1">
                  <c:v>-21.217333333333332</c:v>
                </c:pt>
                <c:pt idx="2">
                  <c:v>-20.683999999999997</c:v>
                </c:pt>
                <c:pt idx="3">
                  <c:v>-20.194909090909089</c:v>
                </c:pt>
                <c:pt idx="4">
                  <c:v>-19.761939393939397</c:v>
                </c:pt>
                <c:pt idx="5">
                  <c:v>-19.78618181818182</c:v>
                </c:pt>
                <c:pt idx="6">
                  <c:v>-19.862168674698797</c:v>
                </c:pt>
                <c:pt idx="7">
                  <c:v>-20.006746987951807</c:v>
                </c:pt>
                <c:pt idx="8">
                  <c:v>-20.152000000000001</c:v>
                </c:pt>
                <c:pt idx="9">
                  <c:v>-20.298181818181821</c:v>
                </c:pt>
                <c:pt idx="10">
                  <c:v>-20.449696969696969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-23.573975903614457</c:v>
                </c:pt>
                <c:pt idx="32">
                  <c:v>-23.718554216867467</c:v>
                </c:pt>
                <c:pt idx="33">
                  <c:v>-23.858000000000001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D609-4FE0-96FF-D1AEBD39E5D9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D609-4FE0-96FF-D1AEBD39E5D9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D609-4FE0-96FF-D1AEBD39E5D9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D609-4FE0-96FF-D1AEBD39E5D9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D609-4FE0-96FF-D1AEBD39E5D9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D609-4FE0-96FF-D1AEBD39E5D9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D609-4FE0-96FF-D1AEBD39E5D9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D609-4FE0-96FF-D1AEBD39E5D9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D609-4FE0-96FF-D1AEBD39E5D9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D609-4FE0-96FF-D1AEBD39E5D9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D609-4FE0-96FF-D1AEBD39E5D9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D609-4FE0-96FF-D1AEBD39E5D9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D609-4FE0-96FF-D1AEBD39E5D9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  <c:pt idx="0">
                  <c:v>end1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D609-4FE0-96FF-D1AEBD39E5D9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D609-4FE0-96FF-D1AEBD39E5D9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D609-4FE0-96FF-D1AEBD39E5D9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1.6735315156149013E-23</c:v>
                </c:pt>
                <c:pt idx="1">
                  <c:v>3.0091301472727363E-20</c:v>
                </c:pt>
                <c:pt idx="2">
                  <c:v>1.0920838692727282E-19</c:v>
                </c:pt>
                <c:pt idx="3">
                  <c:v>2.2640414545454577E-18</c:v>
                </c:pt>
                <c:pt idx="4">
                  <c:v>1.2732251739788308E-17</c:v>
                </c:pt>
                <c:pt idx="5">
                  <c:v>1.0997539848714078E-16</c:v>
                </c:pt>
                <c:pt idx="6">
                  <c:v>2.0721854523449323E-16</c:v>
                </c:pt>
                <c:pt idx="7">
                  <c:v>3.044616919818457E-16</c:v>
                </c:pt>
                <c:pt idx="8">
                  <c:v>4.0170483872919815E-16</c:v>
                </c:pt>
                <c:pt idx="9">
                  <c:v>4.989479854765506E-16</c:v>
                </c:pt>
                <c:pt idx="10">
                  <c:v>5.9619113222390305E-16</c:v>
                </c:pt>
                <c:pt idx="11">
                  <c:v>2.0334523636363604E-15</c:v>
                </c:pt>
                <c:pt idx="12">
                  <c:v>4.9817978181818147E-15</c:v>
                </c:pt>
                <c:pt idx="13">
                  <c:v>1.0748446969696955E-13</c:v>
                </c:pt>
                <c:pt idx="14">
                  <c:v>3.6167728915662492E-12</c:v>
                </c:pt>
                <c:pt idx="15">
                  <c:v>2.3652495783132553E-11</c:v>
                </c:pt>
                <c:pt idx="16">
                  <c:v>5.6734109090909323E-10</c:v>
                </c:pt>
                <c:pt idx="17">
                  <c:v>1.6141471515151537E-9</c:v>
                </c:pt>
                <c:pt idx="18">
                  <c:v>3.6844939393939443E-9</c:v>
                </c:pt>
                <c:pt idx="19">
                  <c:v>5.7876490909090949E-9</c:v>
                </c:pt>
                <c:pt idx="20">
                  <c:v>7.3874066666666711E-9</c:v>
                </c:pt>
                <c:pt idx="21">
                  <c:v>8.8368466666666702E-9</c:v>
                </c:pt>
                <c:pt idx="22">
                  <c:v>1.0168180000000002E-8</c:v>
                </c:pt>
                <c:pt idx="23">
                  <c:v>1.3718042168674703E-8</c:v>
                </c:pt>
                <c:pt idx="24">
                  <c:v>1.686969696969697E-8</c:v>
                </c:pt>
                <c:pt idx="25">
                  <c:v>1.8168484848484851E-8</c:v>
                </c:pt>
                <c:pt idx="26">
                  <c:v>1.7813454545454547E-8</c:v>
                </c:pt>
                <c:pt idx="27">
                  <c:v>1.6355878787878789E-8</c:v>
                </c:pt>
                <c:pt idx="28">
                  <c:v>1.3967878787878787E-8</c:v>
                </c:pt>
                <c:pt idx="29">
                  <c:v>1.2826181818181817E-8</c:v>
                </c:pt>
                <c:pt idx="30">
                  <c:v>1.4706787878787877E-8</c:v>
                </c:pt>
                <c:pt idx="31">
                  <c:v>1.6280873493975901E-8</c:v>
                </c:pt>
                <c:pt idx="32">
                  <c:v>1.7689909638554213E-8</c:v>
                </c:pt>
                <c:pt idx="33">
                  <c:v>1.8416199999999999E-8</c:v>
                </c:pt>
                <c:pt idx="34">
                  <c:v>1.8968066666666667E-8</c:v>
                </c:pt>
                <c:pt idx="35">
                  <c:v>1.9194733333333334E-8</c:v>
                </c:pt>
                <c:pt idx="36">
                  <c:v>1.926458181818182E-8</c:v>
                </c:pt>
                <c:pt idx="37">
                  <c:v>1.9265597579425112E-8</c:v>
                </c:pt>
                <c:pt idx="38">
                  <c:v>1.930553706505295E-8</c:v>
                </c:pt>
                <c:pt idx="39">
                  <c:v>1.9345476550680787E-8</c:v>
                </c:pt>
                <c:pt idx="40">
                  <c:v>1.9385416036308625E-8</c:v>
                </c:pt>
                <c:pt idx="41">
                  <c:v>1.9425355521936462E-8</c:v>
                </c:pt>
                <c:pt idx="42">
                  <c:v>1.9465295007564296E-8</c:v>
                </c:pt>
                <c:pt idx="43">
                  <c:v>1.9505234493192133E-8</c:v>
                </c:pt>
                <c:pt idx="44">
                  <c:v>1.9223812405446296E-8</c:v>
                </c:pt>
                <c:pt idx="45">
                  <c:v>1.851639939485628E-8</c:v>
                </c:pt>
                <c:pt idx="46">
                  <c:v>1.7808986384266264E-8</c:v>
                </c:pt>
                <c:pt idx="47">
                  <c:v>1.7101573373676247E-8</c:v>
                </c:pt>
                <c:pt idx="48">
                  <c:v>1.6394160363086231E-8</c:v>
                </c:pt>
                <c:pt idx="49">
                  <c:v>1.5686747352496217E-8</c:v>
                </c:pt>
                <c:pt idx="50">
                  <c:v>1.4979334341906198E-8</c:v>
                </c:pt>
                <c:pt idx="51">
                  <c:v>1.5298527272727276E-8</c:v>
                </c:pt>
                <c:pt idx="52">
                  <c:v>1.584307272727273E-8</c:v>
                </c:pt>
                <c:pt idx="53">
                  <c:v>1.6387618181818185E-8</c:v>
                </c:pt>
                <c:pt idx="54">
                  <c:v>1.6932163636363639E-8</c:v>
                </c:pt>
                <c:pt idx="55">
                  <c:v>1.7476709090909093E-8</c:v>
                </c:pt>
                <c:pt idx="56">
                  <c:v>1.8021254545454547E-8</c:v>
                </c:pt>
                <c:pt idx="57">
                  <c:v>1.9184590361445798E-8</c:v>
                </c:pt>
                <c:pt idx="58">
                  <c:v>2.2541819277108446E-8</c:v>
                </c:pt>
                <c:pt idx="59">
                  <c:v>2.5591751515151521E-8</c:v>
                </c:pt>
                <c:pt idx="60">
                  <c:v>2.8400236363636368E-8</c:v>
                </c:pt>
                <c:pt idx="61">
                  <c:v>2.3413054545454533E-8</c:v>
                </c:pt>
                <c:pt idx="62">
                  <c:v>1.9415151515151516E-8</c:v>
                </c:pt>
                <c:pt idx="63">
                  <c:v>2.0427272727272728E-8</c:v>
                </c:pt>
                <c:pt idx="64">
                  <c:v>2.1302236363636366E-8</c:v>
                </c:pt>
                <c:pt idx="65">
                  <c:v>2.2089509090909092E-8</c:v>
                </c:pt>
                <c:pt idx="66">
                  <c:v>2.2701626506024097E-8</c:v>
                </c:pt>
                <c:pt idx="67">
                  <c:v>2.3236818181818183E-8</c:v>
                </c:pt>
                <c:pt idx="68">
                  <c:v>2.3609545454545456E-8</c:v>
                </c:pt>
                <c:pt idx="69">
                  <c:v>2.3866454545454545E-8</c:v>
                </c:pt>
                <c:pt idx="70">
                  <c:v>2.4061E-8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D609-4FE0-96FF-D1AEBD39E5D9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3.2555735757575792E-9</c:v>
                </c:pt>
                <c:pt idx="1">
                  <c:v>6.4679496969697017E-9</c:v>
                </c:pt>
                <c:pt idx="2">
                  <c:v>1.0333343636363642E-8</c:v>
                </c:pt>
                <c:pt idx="3">
                  <c:v>1.3194036363636367E-8</c:v>
                </c:pt>
                <c:pt idx="4">
                  <c:v>1.5618608169440246E-8</c:v>
                </c:pt>
                <c:pt idx="5">
                  <c:v>1.7301210287443269E-8</c:v>
                </c:pt>
                <c:pt idx="6">
                  <c:v>1.8983812405446296E-8</c:v>
                </c:pt>
                <c:pt idx="7">
                  <c:v>2.0666414523449319E-8</c:v>
                </c:pt>
                <c:pt idx="8">
                  <c:v>2.2349016641452346E-8</c:v>
                </c:pt>
                <c:pt idx="9">
                  <c:v>2.4031618759455369E-8</c:v>
                </c:pt>
                <c:pt idx="10">
                  <c:v>2.5714220877458396E-8</c:v>
                </c:pt>
                <c:pt idx="11">
                  <c:v>2.567938787878788E-8</c:v>
                </c:pt>
                <c:pt idx="12">
                  <c:v>2.3707872727272731E-8</c:v>
                </c:pt>
                <c:pt idx="13">
                  <c:v>1.9535278787878792E-8</c:v>
                </c:pt>
                <c:pt idx="14">
                  <c:v>1.4790082530120485E-8</c:v>
                </c:pt>
                <c:pt idx="15">
                  <c:v>9.6082150602409582E-9</c:v>
                </c:pt>
                <c:pt idx="16">
                  <c:v>5.0340949090908996E-9</c:v>
                </c:pt>
                <c:pt idx="17">
                  <c:v>1.0438888484848395E-9</c:v>
                </c:pt>
                <c:pt idx="18">
                  <c:v>2.3246483987878717E-10</c:v>
                </c:pt>
                <c:pt idx="19">
                  <c:v>2.1471726774181785E-13</c:v>
                </c:pt>
                <c:pt idx="20">
                  <c:v>6.5609018893332971E-14</c:v>
                </c:pt>
                <c:pt idx="21">
                  <c:v>9.1784613702739211E-19</c:v>
                </c:pt>
                <c:pt idx="22">
                  <c:v>7.5785667433452768E-20</c:v>
                </c:pt>
                <c:pt idx="23">
                  <c:v>1.0173344210858421E-25</c:v>
                </c:pt>
                <c:pt idx="24">
                  <c:v>1.2960606060606063E-32</c:v>
                </c:pt>
                <c:pt idx="25">
                  <c:v>3.7030303030303034E-33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D609-4FE0-96FF-D1AEBD39E5D9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D609-4FE0-96FF-D1AEBD39E5D9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(DGeSe2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0.10389327878787878</c:v>
                </c:pt>
                <c:pt idx="1">
                  <c:v>9.3476199999999982E-2</c:v>
                </c:pt>
                <c:pt idx="2">
                  <c:v>7.9316199999999989E-2</c:v>
                </c:pt>
                <c:pt idx="3">
                  <c:v>6.3278109090909071E-2</c:v>
                </c:pt>
                <c:pt idx="4">
                  <c:v>4.7338432677760965E-2</c:v>
                </c:pt>
                <c:pt idx="5">
                  <c:v>4.0518841149773069E-2</c:v>
                </c:pt>
                <c:pt idx="6">
                  <c:v>3.3699249621785173E-2</c:v>
                </c:pt>
                <c:pt idx="7">
                  <c:v>2.6879658093797276E-2</c:v>
                </c:pt>
                <c:pt idx="8">
                  <c:v>2.006006656580938E-2</c:v>
                </c:pt>
                <c:pt idx="9">
                  <c:v>1.3240475037821484E-2</c:v>
                </c:pt>
                <c:pt idx="10">
                  <c:v>6.4208835098335873E-3</c:v>
                </c:pt>
                <c:pt idx="11">
                  <c:v>2.4000496969696977E-3</c:v>
                </c:pt>
                <c:pt idx="12">
                  <c:v>1.5352618181818192E-3</c:v>
                </c:pt>
                <c:pt idx="13">
                  <c:v>1.0426595151515157E-3</c:v>
                </c:pt>
                <c:pt idx="14">
                  <c:v>6.671675903614459E-4</c:v>
                </c:pt>
                <c:pt idx="15">
                  <c:v>4.645651807228913E-4</c:v>
                </c:pt>
                <c:pt idx="16">
                  <c:v>3.1076018181818159E-4</c:v>
                </c:pt>
                <c:pt idx="17">
                  <c:v>2.0383896969696945E-4</c:v>
                </c:pt>
                <c:pt idx="18">
                  <c:v>1.3877838787878773E-4</c:v>
                </c:pt>
                <c:pt idx="19">
                  <c:v>8.6257054545454468E-5</c:v>
                </c:pt>
                <c:pt idx="20">
                  <c:v>5.5271599999999927E-5</c:v>
                </c:pt>
                <c:pt idx="21">
                  <c:v>3.3232909090909054E-5</c:v>
                </c:pt>
                <c:pt idx="22">
                  <c:v>1.8223818181818145E-5</c:v>
                </c:pt>
                <c:pt idx="23">
                  <c:v>1.1076025903614452E-5</c:v>
                </c:pt>
                <c:pt idx="24">
                  <c:v>5.6845272727272729E-6</c:v>
                </c:pt>
                <c:pt idx="25">
                  <c:v>3.2294363636363638E-6</c:v>
                </c:pt>
                <c:pt idx="26">
                  <c:v>1.7186363636363636E-6</c:v>
                </c:pt>
                <c:pt idx="27">
                  <c:v>8.3736363636363636E-7</c:v>
                </c:pt>
                <c:pt idx="28">
                  <c:v>4.9969242424242433E-7</c:v>
                </c:pt>
                <c:pt idx="29">
                  <c:v>2.5067727272727273E-7</c:v>
                </c:pt>
                <c:pt idx="30">
                  <c:v>1.4176818181818184E-7</c:v>
                </c:pt>
                <c:pt idx="31">
                  <c:v>7.8348554216867519E-8</c:v>
                </c:pt>
                <c:pt idx="32">
                  <c:v>3.9423253012048289E-8</c:v>
                </c:pt>
                <c:pt idx="33">
                  <c:v>2.4707800000000034E-8</c:v>
                </c:pt>
                <c:pt idx="34">
                  <c:v>1.3283847272727287E-8</c:v>
                </c:pt>
                <c:pt idx="35">
                  <c:v>7.7745745454545592E-9</c:v>
                </c:pt>
                <c:pt idx="36">
                  <c:v>4.5754218181818237E-9</c:v>
                </c:pt>
                <c:pt idx="37">
                  <c:v>2.4860376520423605E-9</c:v>
                </c:pt>
                <c:pt idx="38">
                  <c:v>2.1219789531013622E-9</c:v>
                </c:pt>
                <c:pt idx="39">
                  <c:v>1.7579202541603642E-9</c:v>
                </c:pt>
                <c:pt idx="40">
                  <c:v>1.3938615552193656E-9</c:v>
                </c:pt>
                <c:pt idx="41">
                  <c:v>1.0298028562783674E-9</c:v>
                </c:pt>
                <c:pt idx="42">
                  <c:v>6.6574415733736903E-10</c:v>
                </c:pt>
                <c:pt idx="43">
                  <c:v>3.0168545839637065E-10</c:v>
                </c:pt>
                <c:pt idx="44">
                  <c:v>8.8383159152798849E-11</c:v>
                </c:pt>
                <c:pt idx="45">
                  <c:v>7.4920738577912292E-11</c:v>
                </c:pt>
                <c:pt idx="46">
                  <c:v>6.1458318003025735E-11</c:v>
                </c:pt>
                <c:pt idx="47">
                  <c:v>4.7995897428139184E-11</c:v>
                </c:pt>
                <c:pt idx="48">
                  <c:v>3.4533476853252621E-11</c:v>
                </c:pt>
                <c:pt idx="49">
                  <c:v>2.1071056278366077E-11</c:v>
                </c:pt>
                <c:pt idx="50">
                  <c:v>7.60863570347952E-12</c:v>
                </c:pt>
                <c:pt idx="51">
                  <c:v>4.591056545454542E-12</c:v>
                </c:pt>
                <c:pt idx="52">
                  <c:v>3.8662474545454517E-12</c:v>
                </c:pt>
                <c:pt idx="53">
                  <c:v>3.1414383636363602E-12</c:v>
                </c:pt>
                <c:pt idx="54">
                  <c:v>2.4166292727272695E-12</c:v>
                </c:pt>
                <c:pt idx="55">
                  <c:v>1.6918201818181784E-12</c:v>
                </c:pt>
                <c:pt idx="56">
                  <c:v>9.6701109090908733E-13</c:v>
                </c:pt>
                <c:pt idx="57">
                  <c:v>3.774401204819272E-13</c:v>
                </c:pt>
                <c:pt idx="58">
                  <c:v>2.6734975903614426E-13</c:v>
                </c:pt>
                <c:pt idx="59">
                  <c:v>1.854593333333332E-13</c:v>
                </c:pt>
                <c:pt idx="60">
                  <c:v>1.2572599999999987E-13</c:v>
                </c:pt>
                <c:pt idx="61">
                  <c:v>9.0792096969696904E-14</c:v>
                </c:pt>
                <c:pt idx="62">
                  <c:v>6.2127999999999965E-14</c:v>
                </c:pt>
                <c:pt idx="63">
                  <c:v>4.4327999999999961E-14</c:v>
                </c:pt>
                <c:pt idx="64">
                  <c:v>3.1382121212121193E-14</c:v>
                </c:pt>
                <c:pt idx="65">
                  <c:v>2.153969696969695E-14</c:v>
                </c:pt>
                <c:pt idx="66">
                  <c:v>1.5904168674698789E-14</c:v>
                </c:pt>
                <c:pt idx="67">
                  <c:v>1.1152854545454546E-14</c:v>
                </c:pt>
                <c:pt idx="68">
                  <c:v>8.0557030303030312E-15</c:v>
                </c:pt>
                <c:pt idx="69">
                  <c:v>5.8255333333333333E-15</c:v>
                </c:pt>
                <c:pt idx="70">
                  <c:v>4.0621999999999996E-15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D609-4FE0-96FF-D1AEBD39E5D9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(DGeSe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0.1361048484848485</c:v>
                </c:pt>
                <c:pt idx="1">
                  <c:v>0.14651987878787881</c:v>
                </c:pt>
                <c:pt idx="2">
                  <c:v>0.16067745454545457</c:v>
                </c:pt>
                <c:pt idx="3">
                  <c:v>0.17670648484848486</c:v>
                </c:pt>
                <c:pt idx="4">
                  <c:v>0.19260582450832076</c:v>
                </c:pt>
                <c:pt idx="5">
                  <c:v>0.19905363086232983</c:v>
                </c:pt>
                <c:pt idx="6">
                  <c:v>0.2055014372163389</c:v>
                </c:pt>
                <c:pt idx="7">
                  <c:v>0.21194924357034797</c:v>
                </c:pt>
                <c:pt idx="8">
                  <c:v>0.21839704992435705</c:v>
                </c:pt>
                <c:pt idx="9">
                  <c:v>0.22484485627836612</c:v>
                </c:pt>
                <c:pt idx="10">
                  <c:v>0.23129266263237519</c:v>
                </c:pt>
                <c:pt idx="11">
                  <c:v>0.23395230303030304</c:v>
                </c:pt>
                <c:pt idx="12">
                  <c:v>0.23234018181818183</c:v>
                </c:pt>
                <c:pt idx="13">
                  <c:v>0.22791024242424243</c:v>
                </c:pt>
                <c:pt idx="14">
                  <c:v>0.22200873493975903</c:v>
                </c:pt>
                <c:pt idx="15">
                  <c:v>0.21194246987951806</c:v>
                </c:pt>
                <c:pt idx="16">
                  <c:v>0.19868618181818179</c:v>
                </c:pt>
                <c:pt idx="17">
                  <c:v>0.18236496969696964</c:v>
                </c:pt>
                <c:pt idx="18">
                  <c:v>0.16131636363636359</c:v>
                </c:pt>
                <c:pt idx="19">
                  <c:v>0.13901199999999997</c:v>
                </c:pt>
                <c:pt idx="20">
                  <c:v>0.11487866666666663</c:v>
                </c:pt>
                <c:pt idx="21">
                  <c:v>9.2028242424242374E-2</c:v>
                </c:pt>
                <c:pt idx="22">
                  <c:v>7.0185818181818127E-2</c:v>
                </c:pt>
                <c:pt idx="23">
                  <c:v>5.3410024096385525E-2</c:v>
                </c:pt>
                <c:pt idx="24">
                  <c:v>3.855460606060606E-2</c:v>
                </c:pt>
                <c:pt idx="25">
                  <c:v>2.7957030303030303E-2</c:v>
                </c:pt>
                <c:pt idx="26">
                  <c:v>1.9962363636363636E-2</c:v>
                </c:pt>
                <c:pt idx="27">
                  <c:v>1.3702969696969698E-2</c:v>
                </c:pt>
                <c:pt idx="28">
                  <c:v>1.003160606060606E-2</c:v>
                </c:pt>
                <c:pt idx="29">
                  <c:v>6.9664363636363635E-3</c:v>
                </c:pt>
                <c:pt idx="30">
                  <c:v>4.9978909090909098E-3</c:v>
                </c:pt>
                <c:pt idx="31">
                  <c:v>3.5984030120481936E-3</c:v>
                </c:pt>
                <c:pt idx="32">
                  <c:v>2.5053307228915687E-3</c:v>
                </c:pt>
                <c:pt idx="33">
                  <c:v>1.8790400000000015E-3</c:v>
                </c:pt>
                <c:pt idx="34">
                  <c:v>1.347492121212122E-3</c:v>
                </c:pt>
                <c:pt idx="35">
                  <c:v>9.9070424242424324E-4</c:v>
                </c:pt>
                <c:pt idx="36">
                  <c:v>7.3638763636363683E-4</c:v>
                </c:pt>
                <c:pt idx="37">
                  <c:v>5.337176399394858E-4</c:v>
                </c:pt>
                <c:pt idx="38">
                  <c:v>4.6565863842662654E-4</c:v>
                </c:pt>
                <c:pt idx="39">
                  <c:v>3.9759963691376722E-4</c:v>
                </c:pt>
                <c:pt idx="40">
                  <c:v>3.2954063540090791E-4</c:v>
                </c:pt>
                <c:pt idx="41">
                  <c:v>2.6148163388804864E-4</c:v>
                </c:pt>
                <c:pt idx="42">
                  <c:v>1.9342263237518938E-4</c:v>
                </c:pt>
                <c:pt idx="43">
                  <c:v>1.2536363086233007E-4</c:v>
                </c:pt>
                <c:pt idx="44">
                  <c:v>8.2073019667170993E-5</c:v>
                </c:pt>
                <c:pt idx="45">
                  <c:v>7.1614925869894136E-5</c:v>
                </c:pt>
                <c:pt idx="46">
                  <c:v>6.1156832072617264E-5</c:v>
                </c:pt>
                <c:pt idx="47">
                  <c:v>5.0698738275340393E-5</c:v>
                </c:pt>
                <c:pt idx="48">
                  <c:v>4.0240644478063521E-5</c:v>
                </c:pt>
                <c:pt idx="49">
                  <c:v>2.9782550680786656E-5</c:v>
                </c:pt>
                <c:pt idx="50">
                  <c:v>1.9324456883509792E-5</c:v>
                </c:pt>
                <c:pt idx="51">
                  <c:v>1.5805963333333326E-5</c:v>
                </c:pt>
                <c:pt idx="52">
                  <c:v>1.3810796666666659E-5</c:v>
                </c:pt>
                <c:pt idx="53">
                  <c:v>1.1815629999999991E-5</c:v>
                </c:pt>
                <c:pt idx="54">
                  <c:v>9.8204633333333237E-6</c:v>
                </c:pt>
                <c:pt idx="55">
                  <c:v>7.825296666666658E-6</c:v>
                </c:pt>
                <c:pt idx="56">
                  <c:v>5.8301299999999922E-6</c:v>
                </c:pt>
                <c:pt idx="57">
                  <c:v>4.1138566265060206E-6</c:v>
                </c:pt>
                <c:pt idx="58">
                  <c:v>3.3863867469879499E-6</c:v>
                </c:pt>
                <c:pt idx="59">
                  <c:v>2.7763218181818171E-6</c:v>
                </c:pt>
                <c:pt idx="60">
                  <c:v>2.2585036363636352E-6</c:v>
                </c:pt>
                <c:pt idx="61">
                  <c:v>1.8769648484848475E-6</c:v>
                </c:pt>
                <c:pt idx="62">
                  <c:v>1.5362436363636358E-6</c:v>
                </c:pt>
                <c:pt idx="63">
                  <c:v>1.273334545454545E-6</c:v>
                </c:pt>
                <c:pt idx="64">
                  <c:v>1.0556652727272724E-6</c:v>
                </c:pt>
                <c:pt idx="65">
                  <c:v>8.6691981818181775E-7</c:v>
                </c:pt>
                <c:pt idx="66">
                  <c:v>7.2934783132530101E-7</c:v>
                </c:pt>
                <c:pt idx="67">
                  <c:v>6.0485818181818178E-7</c:v>
                </c:pt>
                <c:pt idx="68">
                  <c:v>5.0591878787878786E-7</c:v>
                </c:pt>
                <c:pt idx="69">
                  <c:v>4.2430878787878785E-7</c:v>
                </c:pt>
                <c:pt idx="70">
                  <c:v>3.5203000000000001E-7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D609-4FE0-96FF-D1AEBD39E5D9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(DGa2Sej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3.9995751515151515E-2</c:v>
                </c:pt>
                <c:pt idx="1">
                  <c:v>3.9993848484848486E-2</c:v>
                </c:pt>
                <c:pt idx="2">
                  <c:v>3.9990818181818183E-2</c:v>
                </c:pt>
                <c:pt idx="3">
                  <c:v>3.998469090909091E-2</c:v>
                </c:pt>
                <c:pt idx="4">
                  <c:v>3.9973231467473523E-2</c:v>
                </c:pt>
                <c:pt idx="5">
                  <c:v>3.9913624810892584E-2</c:v>
                </c:pt>
                <c:pt idx="6">
                  <c:v>3.9854018154311652E-2</c:v>
                </c:pt>
                <c:pt idx="7">
                  <c:v>3.9794411497730713E-2</c:v>
                </c:pt>
                <c:pt idx="8">
                  <c:v>3.9734804841149773E-2</c:v>
                </c:pt>
                <c:pt idx="9">
                  <c:v>3.9675198184568834E-2</c:v>
                </c:pt>
                <c:pt idx="10">
                  <c:v>3.9615591527987895E-2</c:v>
                </c:pt>
                <c:pt idx="11">
                  <c:v>3.9480884848484853E-2</c:v>
                </c:pt>
                <c:pt idx="12">
                  <c:v>3.926149090909091E-2</c:v>
                </c:pt>
                <c:pt idx="13">
                  <c:v>3.8919345454545458E-2</c:v>
                </c:pt>
                <c:pt idx="14">
                  <c:v>3.8513253012048193E-2</c:v>
                </c:pt>
                <c:pt idx="15">
                  <c:v>3.7926506024096383E-2</c:v>
                </c:pt>
                <c:pt idx="16">
                  <c:v>3.7175363636363631E-2</c:v>
                </c:pt>
                <c:pt idx="17">
                  <c:v>3.6266272727272723E-2</c:v>
                </c:pt>
                <c:pt idx="18">
                  <c:v>3.4971484848484842E-2</c:v>
                </c:pt>
                <c:pt idx="19">
                  <c:v>3.3489818181818176E-2</c:v>
                </c:pt>
                <c:pt idx="20">
                  <c:v>3.1541333333333331E-2</c:v>
                </c:pt>
                <c:pt idx="21">
                  <c:v>2.9217139393939388E-2</c:v>
                </c:pt>
                <c:pt idx="22">
                  <c:v>2.6597745454545449E-2</c:v>
                </c:pt>
                <c:pt idx="23">
                  <c:v>2.346809036144578E-2</c:v>
                </c:pt>
                <c:pt idx="24">
                  <c:v>2.0223000000000001E-2</c:v>
                </c:pt>
                <c:pt idx="25">
                  <c:v>1.6782999999999999E-2</c:v>
                </c:pt>
                <c:pt idx="26">
                  <c:v>1.3509545454545455E-2</c:v>
                </c:pt>
                <c:pt idx="27">
                  <c:v>1.0347121212121212E-2</c:v>
                </c:pt>
                <c:pt idx="28">
                  <c:v>7.8636878787878787E-3</c:v>
                </c:pt>
                <c:pt idx="29">
                  <c:v>5.6642818181818185E-3</c:v>
                </c:pt>
                <c:pt idx="30">
                  <c:v>4.0442212121212118E-3</c:v>
                </c:pt>
                <c:pt idx="31">
                  <c:v>2.8594259036144589E-3</c:v>
                </c:pt>
                <c:pt idx="32">
                  <c:v>1.9090042168674718E-3</c:v>
                </c:pt>
                <c:pt idx="33">
                  <c:v>1.3763000000000013E-3</c:v>
                </c:pt>
                <c:pt idx="34">
                  <c:v>9.3088642424242485E-4</c:v>
                </c:pt>
                <c:pt idx="35">
                  <c:v>6.4672884848484917E-4</c:v>
                </c:pt>
                <c:pt idx="36">
                  <c:v>4.5366800000000033E-4</c:v>
                </c:pt>
                <c:pt idx="37">
                  <c:v>3.0595765809379738E-4</c:v>
                </c:pt>
                <c:pt idx="38">
                  <c:v>2.643991104387293E-4</c:v>
                </c:pt>
                <c:pt idx="39">
                  <c:v>2.2284056278366123E-4</c:v>
                </c:pt>
                <c:pt idx="40">
                  <c:v>1.8128201512859315E-4</c:v>
                </c:pt>
                <c:pt idx="41">
                  <c:v>1.397234674735251E-4</c:v>
                </c:pt>
                <c:pt idx="42">
                  <c:v>9.8164919818457028E-5</c:v>
                </c:pt>
                <c:pt idx="43">
                  <c:v>5.660637216338898E-5</c:v>
                </c:pt>
                <c:pt idx="44">
                  <c:v>3.0996986384266278E-5</c:v>
                </c:pt>
                <c:pt idx="45">
                  <c:v>2.6529512859304093E-5</c:v>
                </c:pt>
                <c:pt idx="46">
                  <c:v>2.2062039334341909E-5</c:v>
                </c:pt>
                <c:pt idx="47">
                  <c:v>1.7594565809379727E-5</c:v>
                </c:pt>
                <c:pt idx="48">
                  <c:v>1.3127092284417543E-5</c:v>
                </c:pt>
                <c:pt idx="49">
                  <c:v>8.6596187594553582E-6</c:v>
                </c:pt>
                <c:pt idx="50">
                  <c:v>4.1921452344931735E-6</c:v>
                </c:pt>
                <c:pt idx="51">
                  <c:v>2.9773789121212098E-6</c:v>
                </c:pt>
                <c:pt idx="52">
                  <c:v>2.4766214878787855E-6</c:v>
                </c:pt>
                <c:pt idx="53">
                  <c:v>1.9758640636363612E-6</c:v>
                </c:pt>
                <c:pt idx="54">
                  <c:v>1.4751066393939374E-6</c:v>
                </c:pt>
                <c:pt idx="55">
                  <c:v>9.7434921515151307E-7</c:v>
                </c:pt>
                <c:pt idx="56">
                  <c:v>4.7359179090908878E-7</c:v>
                </c:pt>
                <c:pt idx="57">
                  <c:v>7.514116867469864E-8</c:v>
                </c:pt>
                <c:pt idx="58">
                  <c:v>3.9414662650602312E-8</c:v>
                </c:pt>
                <c:pt idx="59">
                  <c:v>1.7789375757575735E-8</c:v>
                </c:pt>
                <c:pt idx="60">
                  <c:v>7.2436181818181591E-9</c:v>
                </c:pt>
                <c:pt idx="61">
                  <c:v>3.7129678787878722E-9</c:v>
                </c:pt>
                <c:pt idx="62">
                  <c:v>1.4240292121212105E-9</c:v>
                </c:pt>
                <c:pt idx="63">
                  <c:v>6.9452618181818013E-10</c:v>
                </c:pt>
                <c:pt idx="64">
                  <c:v>2.9726612121212078E-10</c:v>
                </c:pt>
                <c:pt idx="65">
                  <c:v>1.1242369696969652E-10</c:v>
                </c:pt>
                <c:pt idx="66">
                  <c:v>6.0129759036144536E-11</c:v>
                </c:pt>
                <c:pt idx="67">
                  <c:v>2.373932727272727E-11</c:v>
                </c:pt>
                <c:pt idx="68">
                  <c:v>1.157041818181818E-11</c:v>
                </c:pt>
                <c:pt idx="69">
                  <c:v>5.2199939393939392E-12</c:v>
                </c:pt>
                <c:pt idx="70">
                  <c:v>2.0025999999999996E-12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D609-4FE0-96FF-D1AEBD39E5D9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(DGaSe</c:v>
                </c:pt>
              </c:strCache>
            </c:strRef>
          </c:tx>
          <c:spPr>
            <a:ln>
              <a:solidFill>
                <a:srgbClr val="7030A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8.144792727272731E-6</c:v>
                </c:pt>
                <c:pt idx="1">
                  <c:v>1.2367880000000008E-5</c:v>
                </c:pt>
                <c:pt idx="2">
                  <c:v>1.8723880000000007E-5</c:v>
                </c:pt>
                <c:pt idx="3">
                  <c:v>3.0952884848484866E-5</c:v>
                </c:pt>
                <c:pt idx="4">
                  <c:v>5.3736378214826152E-5</c:v>
                </c:pt>
                <c:pt idx="5">
                  <c:v>1.7291610590015134E-4</c:v>
                </c:pt>
                <c:pt idx="6">
                  <c:v>2.9209583358547661E-4</c:v>
                </c:pt>
                <c:pt idx="7">
                  <c:v>4.1127556127080182E-4</c:v>
                </c:pt>
                <c:pt idx="8">
                  <c:v>5.3045528895612703E-4</c:v>
                </c:pt>
                <c:pt idx="9">
                  <c:v>6.4963501664145218E-4</c:v>
                </c:pt>
                <c:pt idx="10">
                  <c:v>7.6881474432677745E-4</c:v>
                </c:pt>
                <c:pt idx="11">
                  <c:v>1.038130545454545E-3</c:v>
                </c:pt>
                <c:pt idx="12">
                  <c:v>1.4767487272727268E-3</c:v>
                </c:pt>
                <c:pt idx="13">
                  <c:v>2.1608599999999993E-3</c:v>
                </c:pt>
                <c:pt idx="14">
                  <c:v>2.9729554216867461E-3</c:v>
                </c:pt>
                <c:pt idx="15">
                  <c:v>4.1468108433734951E-3</c:v>
                </c:pt>
                <c:pt idx="16">
                  <c:v>5.6491800000000036E-3</c:v>
                </c:pt>
                <c:pt idx="17">
                  <c:v>7.4671800000000038E-3</c:v>
                </c:pt>
                <c:pt idx="18">
                  <c:v>1.0056886666666673E-2</c:v>
                </c:pt>
                <c:pt idx="19">
                  <c:v>1.3020363636363644E-2</c:v>
                </c:pt>
                <c:pt idx="20">
                  <c:v>1.691733333333334E-2</c:v>
                </c:pt>
                <c:pt idx="21">
                  <c:v>2.1566060606060616E-2</c:v>
                </c:pt>
                <c:pt idx="22">
                  <c:v>2.6805454545454556E-2</c:v>
                </c:pt>
                <c:pt idx="23">
                  <c:v>3.3064271084337356E-2</c:v>
                </c:pt>
                <c:pt idx="24">
                  <c:v>3.9553999999999999E-2</c:v>
                </c:pt>
                <c:pt idx="25">
                  <c:v>4.6434000000000003E-2</c:v>
                </c:pt>
                <c:pt idx="26">
                  <c:v>5.2980545454545454E-2</c:v>
                </c:pt>
                <c:pt idx="27">
                  <c:v>5.930478787878788E-2</c:v>
                </c:pt>
                <c:pt idx="28">
                  <c:v>6.4271969696969689E-2</c:v>
                </c:pt>
                <c:pt idx="29">
                  <c:v>6.8670999999999996E-2</c:v>
                </c:pt>
                <c:pt idx="30">
                  <c:v>7.1911000000000003E-2</c:v>
                </c:pt>
                <c:pt idx="31">
                  <c:v>7.4279999999999999E-2</c:v>
                </c:pt>
                <c:pt idx="32">
                  <c:v>7.6179999999999998E-2</c:v>
                </c:pt>
                <c:pt idx="33">
                  <c:v>7.7243599999999996E-2</c:v>
                </c:pt>
                <c:pt idx="34">
                  <c:v>7.8131636363636361E-2</c:v>
                </c:pt>
                <c:pt idx="35">
                  <c:v>7.8695272727272725E-2</c:v>
                </c:pt>
                <c:pt idx="36">
                  <c:v>7.9071981818181813E-2</c:v>
                </c:pt>
                <c:pt idx="37">
                  <c:v>7.9351360060514381E-2</c:v>
                </c:pt>
                <c:pt idx="38">
                  <c:v>7.9310361573373678E-2</c:v>
                </c:pt>
                <c:pt idx="39">
                  <c:v>7.9269363086232988E-2</c:v>
                </c:pt>
                <c:pt idx="40">
                  <c:v>7.9228364599092285E-2</c:v>
                </c:pt>
                <c:pt idx="41">
                  <c:v>7.9187366111951596E-2</c:v>
                </c:pt>
                <c:pt idx="42">
                  <c:v>7.9146367624810893E-2</c:v>
                </c:pt>
                <c:pt idx="43">
                  <c:v>7.9105369137670203E-2</c:v>
                </c:pt>
                <c:pt idx="44">
                  <c:v>7.8333240544629354E-2</c:v>
                </c:pt>
                <c:pt idx="45">
                  <c:v>7.6591939485627841E-2</c:v>
                </c:pt>
                <c:pt idx="46">
                  <c:v>7.4850638426626329E-2</c:v>
                </c:pt>
                <c:pt idx="47">
                  <c:v>7.3109337367624802E-2</c:v>
                </c:pt>
                <c:pt idx="48">
                  <c:v>7.1368036308623289E-2</c:v>
                </c:pt>
                <c:pt idx="49">
                  <c:v>6.9626735249621777E-2</c:v>
                </c:pt>
                <c:pt idx="50">
                  <c:v>6.7885434190620264E-2</c:v>
                </c:pt>
                <c:pt idx="51">
                  <c:v>6.2340275757575725E-2</c:v>
                </c:pt>
                <c:pt idx="52">
                  <c:v>5.5960124242424206E-2</c:v>
                </c:pt>
                <c:pt idx="53">
                  <c:v>4.9579972727272693E-2</c:v>
                </c:pt>
                <c:pt idx="54">
                  <c:v>4.3199821212121181E-2</c:v>
                </c:pt>
                <c:pt idx="55">
                  <c:v>3.6819669696969662E-2</c:v>
                </c:pt>
                <c:pt idx="56">
                  <c:v>3.043951818181815E-2</c:v>
                </c:pt>
                <c:pt idx="57">
                  <c:v>2.4302831325301182E-2</c:v>
                </c:pt>
                <c:pt idx="58">
                  <c:v>1.9029337349397577E-2</c:v>
                </c:pt>
                <c:pt idx="59">
                  <c:v>1.4608151515151508E-2</c:v>
                </c:pt>
                <c:pt idx="60">
                  <c:v>1.0856636363636357E-2</c:v>
                </c:pt>
                <c:pt idx="61">
                  <c:v>8.2869630303030253E-3</c:v>
                </c:pt>
                <c:pt idx="62">
                  <c:v>6.0737218181818146E-3</c:v>
                </c:pt>
                <c:pt idx="63">
                  <c:v>4.5422672727272687E-3</c:v>
                </c:pt>
                <c:pt idx="64">
                  <c:v>3.3751121212121189E-3</c:v>
                </c:pt>
                <c:pt idx="65">
                  <c:v>2.4408696969696947E-3</c:v>
                </c:pt>
                <c:pt idx="66">
                  <c:v>1.8644542168674695E-3</c:v>
                </c:pt>
                <c:pt idx="67">
                  <c:v>1.3689000000000002E-3</c:v>
                </c:pt>
                <c:pt idx="68">
                  <c:v>1.0272333333333334E-3</c:v>
                </c:pt>
                <c:pt idx="69">
                  <c:v>7.7267848484848488E-4</c:v>
                </c:pt>
                <c:pt idx="70">
                  <c:v>5.6503E-4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D609-4FE0-96FF-D1AEBD39E5D9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(DGe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1.8518487272727281E-6</c:v>
                </c:pt>
                <c:pt idx="1">
                  <c:v>3.4363939393939423E-6</c:v>
                </c:pt>
                <c:pt idx="2">
                  <c:v>6.2242727272727299E-6</c:v>
                </c:pt>
                <c:pt idx="3">
                  <c:v>1.4302660606060617E-5</c:v>
                </c:pt>
                <c:pt idx="4">
                  <c:v>5.3347586989410396E-5</c:v>
                </c:pt>
                <c:pt idx="5">
                  <c:v>4.2600492435703504E-4</c:v>
                </c:pt>
                <c:pt idx="6">
                  <c:v>7.9866226172465974E-4</c:v>
                </c:pt>
                <c:pt idx="7">
                  <c:v>1.1713195990922846E-3</c:v>
                </c:pt>
                <c:pt idx="8">
                  <c:v>1.543976936459909E-3</c:v>
                </c:pt>
                <c:pt idx="9">
                  <c:v>1.9166342738275337E-3</c:v>
                </c:pt>
                <c:pt idx="10">
                  <c:v>2.2892916111951584E-3</c:v>
                </c:pt>
                <c:pt idx="11">
                  <c:v>3.6487824242424213E-3</c:v>
                </c:pt>
                <c:pt idx="12">
                  <c:v>6.1210854545454517E-3</c:v>
                </c:pt>
                <c:pt idx="13">
                  <c:v>1.1046729090909084E-2</c:v>
                </c:pt>
                <c:pt idx="14">
                  <c:v>1.732736746987951E-2</c:v>
                </c:pt>
                <c:pt idx="15">
                  <c:v>2.7594234939759051E-2</c:v>
                </c:pt>
                <c:pt idx="16">
                  <c:v>4.1002290909090952E-2</c:v>
                </c:pt>
                <c:pt idx="17">
                  <c:v>5.7428351515151556E-2</c:v>
                </c:pt>
                <c:pt idx="18">
                  <c:v>7.8544800000000053E-2</c:v>
                </c:pt>
                <c:pt idx="19">
                  <c:v>0.10090436363636369</c:v>
                </c:pt>
                <c:pt idx="20">
                  <c:v>0.12506800000000004</c:v>
                </c:pt>
                <c:pt idx="21">
                  <c:v>0.14793854545454549</c:v>
                </c:pt>
                <c:pt idx="22">
                  <c:v>0.16979309090909095</c:v>
                </c:pt>
                <c:pt idx="23">
                  <c:v>0.18657765060240966</c:v>
                </c:pt>
                <c:pt idx="24">
                  <c:v>0.20144000000000001</c:v>
                </c:pt>
                <c:pt idx="25">
                  <c:v>0.21204000000000001</c:v>
                </c:pt>
                <c:pt idx="26">
                  <c:v>0.22003636363636364</c:v>
                </c:pt>
                <c:pt idx="27">
                  <c:v>0.22629696969696969</c:v>
                </c:pt>
                <c:pt idx="28">
                  <c:v>0.22996666666666668</c:v>
                </c:pt>
                <c:pt idx="29">
                  <c:v>0.23303090909090909</c:v>
                </c:pt>
                <c:pt idx="30">
                  <c:v>0.23500060606060608</c:v>
                </c:pt>
                <c:pt idx="31">
                  <c:v>0.23640265060240964</c:v>
                </c:pt>
                <c:pt idx="32">
                  <c:v>0.23749903614457832</c:v>
                </c:pt>
                <c:pt idx="33">
                  <c:v>0.238122</c:v>
                </c:pt>
                <c:pt idx="34">
                  <c:v>0.23865157575757576</c:v>
                </c:pt>
                <c:pt idx="35">
                  <c:v>0.23900915151515151</c:v>
                </c:pt>
                <c:pt idx="36">
                  <c:v>0.23926218181818182</c:v>
                </c:pt>
                <c:pt idx="37">
                  <c:v>0.23946272314674735</c:v>
                </c:pt>
                <c:pt idx="38">
                  <c:v>0.23953080181543118</c:v>
                </c:pt>
                <c:pt idx="39">
                  <c:v>0.23959888048411498</c:v>
                </c:pt>
                <c:pt idx="40">
                  <c:v>0.23966695915279879</c:v>
                </c:pt>
                <c:pt idx="41">
                  <c:v>0.23973503782148262</c:v>
                </c:pt>
                <c:pt idx="42">
                  <c:v>0.23980311649016642</c:v>
                </c:pt>
                <c:pt idx="43">
                  <c:v>0.23987119515885025</c:v>
                </c:pt>
                <c:pt idx="44">
                  <c:v>0.2399145537065053</c:v>
                </c:pt>
                <c:pt idx="45">
                  <c:v>0.2399251437216339</c:v>
                </c:pt>
                <c:pt idx="46">
                  <c:v>0.2399357337367625</c:v>
                </c:pt>
                <c:pt idx="47">
                  <c:v>0.23994632375189107</c:v>
                </c:pt>
                <c:pt idx="48">
                  <c:v>0.23995691376701966</c:v>
                </c:pt>
                <c:pt idx="49">
                  <c:v>0.23996750378214826</c:v>
                </c:pt>
                <c:pt idx="50">
                  <c:v>0.23997809379727686</c:v>
                </c:pt>
                <c:pt idx="51">
                  <c:v>0.23998248484848483</c:v>
                </c:pt>
                <c:pt idx="52">
                  <c:v>0.23998551515151514</c:v>
                </c:pt>
                <c:pt idx="53">
                  <c:v>0.23998854545454545</c:v>
                </c:pt>
                <c:pt idx="54">
                  <c:v>0.23999157575757576</c:v>
                </c:pt>
                <c:pt idx="55">
                  <c:v>0.23999460606060605</c:v>
                </c:pt>
                <c:pt idx="56">
                  <c:v>0.23999763636363636</c:v>
                </c:pt>
                <c:pt idx="57">
                  <c:v>0.24</c:v>
                </c:pt>
                <c:pt idx="58">
                  <c:v>0.24</c:v>
                </c:pt>
                <c:pt idx="59">
                  <c:v>0.24</c:v>
                </c:pt>
                <c:pt idx="60">
                  <c:v>0.24</c:v>
                </c:pt>
                <c:pt idx="61">
                  <c:v>0.24</c:v>
                </c:pt>
                <c:pt idx="62">
                  <c:v>0.24</c:v>
                </c:pt>
                <c:pt idx="63">
                  <c:v>0.24</c:v>
                </c:pt>
                <c:pt idx="64">
                  <c:v>0.24</c:v>
                </c:pt>
                <c:pt idx="65">
                  <c:v>0.24</c:v>
                </c:pt>
                <c:pt idx="66">
                  <c:v>0.24</c:v>
                </c:pt>
                <c:pt idx="67">
                  <c:v>0.24</c:v>
                </c:pt>
                <c:pt idx="68">
                  <c:v>0.24</c:v>
                </c:pt>
                <c:pt idx="69">
                  <c:v>0.24</c:v>
                </c:pt>
                <c:pt idx="70">
                  <c:v>0.24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D609-4FE0-96FF-D1AEBD39E5D9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(DGa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3.9289779393939436E-25</c:v>
                </c:pt>
                <c:pt idx="1">
                  <c:v>4.9760621212121333E-24</c:v>
                </c:pt>
                <c:pt idx="2">
                  <c:v>1.6445304545454558E-23</c:v>
                </c:pt>
                <c:pt idx="3">
                  <c:v>2.8815899393939435E-22</c:v>
                </c:pt>
                <c:pt idx="4">
                  <c:v>2.2815268208321047E-18</c:v>
                </c:pt>
                <c:pt idx="5">
                  <c:v>3.0792778456233002E-17</c:v>
                </c:pt>
                <c:pt idx="6">
                  <c:v>5.9304030091633909E-17</c:v>
                </c:pt>
                <c:pt idx="7">
                  <c:v>8.7815281727034804E-17</c:v>
                </c:pt>
                <c:pt idx="8">
                  <c:v>1.1632653336243571E-16</c:v>
                </c:pt>
                <c:pt idx="9">
                  <c:v>1.4483778499783661E-16</c:v>
                </c:pt>
                <c:pt idx="10">
                  <c:v>1.733490366332375E-16</c:v>
                </c:pt>
                <c:pt idx="11">
                  <c:v>9.0170351515151355E-16</c:v>
                </c:pt>
                <c:pt idx="12">
                  <c:v>2.4192429090909073E-15</c:v>
                </c:pt>
                <c:pt idx="13">
                  <c:v>1.6883667878787857E-14</c:v>
                </c:pt>
                <c:pt idx="14">
                  <c:v>5.84461566265059E-14</c:v>
                </c:pt>
                <c:pt idx="15">
                  <c:v>2.1843531325301226E-13</c:v>
                </c:pt>
                <c:pt idx="16">
                  <c:v>9.3629890909091196E-13</c:v>
                </c:pt>
                <c:pt idx="17">
                  <c:v>2.1901595151515179E-12</c:v>
                </c:pt>
                <c:pt idx="18">
                  <c:v>9.6857593939394146E-12</c:v>
                </c:pt>
                <c:pt idx="19">
                  <c:v>2.7304545454545575E-11</c:v>
                </c:pt>
                <c:pt idx="20">
                  <c:v>7.9183333333333453E-11</c:v>
                </c:pt>
                <c:pt idx="21">
                  <c:v>2.6220393939394003E-10</c:v>
                </c:pt>
                <c:pt idx="22">
                  <c:v>5.4826454545454599E-10</c:v>
                </c:pt>
                <c:pt idx="23">
                  <c:v>1.8529382530120499E-9</c:v>
                </c:pt>
                <c:pt idx="24">
                  <c:v>4.4518484848484852E-9</c:v>
                </c:pt>
                <c:pt idx="25">
                  <c:v>1.0631242424242426E-8</c:v>
                </c:pt>
                <c:pt idx="26">
                  <c:v>2.7327363636363635E-8</c:v>
                </c:pt>
                <c:pt idx="27">
                  <c:v>5.1034636363636363E-8</c:v>
                </c:pt>
                <c:pt idx="28">
                  <c:v>1.2862878787878787E-7</c:v>
                </c:pt>
                <c:pt idx="29">
                  <c:v>2.5882272727272727E-7</c:v>
                </c:pt>
                <c:pt idx="30">
                  <c:v>5.0513181818181822E-7</c:v>
                </c:pt>
                <c:pt idx="31">
                  <c:v>1.0418996385542163E-6</c:v>
                </c:pt>
                <c:pt idx="32">
                  <c:v>1.7350683132530105E-6</c:v>
                </c:pt>
                <c:pt idx="33">
                  <c:v>3.582199999999996E-6</c:v>
                </c:pt>
                <c:pt idx="34">
                  <c:v>6.4125636363636262E-6</c:v>
                </c:pt>
                <c:pt idx="35">
                  <c:v>1.1128927272727263E-5</c:v>
                </c:pt>
                <c:pt idx="36">
                  <c:v>2.0503418181818157E-5</c:v>
                </c:pt>
                <c:pt idx="37">
                  <c:v>3.6477252647503501E-5</c:v>
                </c:pt>
                <c:pt idx="38">
                  <c:v>1.6060856883509799E-4</c:v>
                </c:pt>
                <c:pt idx="39">
                  <c:v>2.8473988502269245E-4</c:v>
                </c:pt>
                <c:pt idx="40">
                  <c:v>4.0887120121028698E-4</c:v>
                </c:pt>
                <c:pt idx="41">
                  <c:v>5.3300251739788157E-4</c:v>
                </c:pt>
                <c:pt idx="42">
                  <c:v>6.5713383358547599E-4</c:v>
                </c:pt>
                <c:pt idx="43">
                  <c:v>7.8126514977307053E-4</c:v>
                </c:pt>
                <c:pt idx="44">
                  <c:v>1.6046813313161808E-3</c:v>
                </c:pt>
                <c:pt idx="45">
                  <c:v>3.3550565204235961E-3</c:v>
                </c:pt>
                <c:pt idx="46">
                  <c:v>5.1054317095310126E-3</c:v>
                </c:pt>
                <c:pt idx="47">
                  <c:v>6.8558068986384274E-3</c:v>
                </c:pt>
                <c:pt idx="48">
                  <c:v>8.6061820877458423E-3</c:v>
                </c:pt>
                <c:pt idx="49">
                  <c:v>1.035655727685326E-2</c:v>
                </c:pt>
                <c:pt idx="50">
                  <c:v>1.2106932465960675E-2</c:v>
                </c:pt>
                <c:pt idx="51">
                  <c:v>1.7654345454545486E-2</c:v>
                </c:pt>
                <c:pt idx="52">
                  <c:v>2.4035254545454576E-2</c:v>
                </c:pt>
                <c:pt idx="53">
                  <c:v>3.0416163636363666E-2</c:v>
                </c:pt>
                <c:pt idx="54">
                  <c:v>3.6797072727272756E-2</c:v>
                </c:pt>
                <c:pt idx="55">
                  <c:v>4.3177981818181846E-2</c:v>
                </c:pt>
                <c:pt idx="56">
                  <c:v>4.9558890909090943E-2</c:v>
                </c:pt>
                <c:pt idx="57">
                  <c:v>5.5696301204819304E-2</c:v>
                </c:pt>
                <c:pt idx="58">
                  <c:v>6.0970397590361464E-2</c:v>
                </c:pt>
                <c:pt idx="59">
                  <c:v>6.5391848484848497E-2</c:v>
                </c:pt>
                <c:pt idx="60">
                  <c:v>6.9143363636363642E-2</c:v>
                </c:pt>
                <c:pt idx="61">
                  <c:v>7.1712981818181823E-2</c:v>
                </c:pt>
                <c:pt idx="62">
                  <c:v>7.3926193939393939E-2</c:v>
                </c:pt>
                <c:pt idx="63">
                  <c:v>7.5457709090909098E-2</c:v>
                </c:pt>
                <c:pt idx="64">
                  <c:v>7.6624703030303026E-2</c:v>
                </c:pt>
                <c:pt idx="65">
                  <c:v>7.755864242424243E-2</c:v>
                </c:pt>
                <c:pt idx="66">
                  <c:v>7.8135566265060241E-2</c:v>
                </c:pt>
                <c:pt idx="67">
                  <c:v>7.8631363636363638E-2</c:v>
                </c:pt>
                <c:pt idx="68">
                  <c:v>7.8972575757575755E-2</c:v>
                </c:pt>
                <c:pt idx="69">
                  <c:v>7.9227121212121207E-2</c:v>
                </c:pt>
                <c:pt idx="70">
                  <c:v>7.9435000000000006E-2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D609-4FE0-96FF-D1AEBD39E5D9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(1)Se[A]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3.8229806060606086E-9</c:v>
                </c:pt>
                <c:pt idx="1">
                  <c:v>5.9545309090909122E-9</c:v>
                </c:pt>
                <c:pt idx="2">
                  <c:v>8.6343490909090934E-9</c:v>
                </c:pt>
                <c:pt idx="3">
                  <c:v>1.1178962424242427E-8</c:v>
                </c:pt>
                <c:pt idx="4">
                  <c:v>1.3465757942511346E-8</c:v>
                </c:pt>
                <c:pt idx="5">
                  <c:v>1.3362732223903178E-8</c:v>
                </c:pt>
                <c:pt idx="6">
                  <c:v>1.3259706505295008E-8</c:v>
                </c:pt>
                <c:pt idx="7">
                  <c:v>1.3156680786686838E-8</c:v>
                </c:pt>
                <c:pt idx="8">
                  <c:v>1.305365506807867E-8</c:v>
                </c:pt>
                <c:pt idx="9">
                  <c:v>1.29506293494705E-8</c:v>
                </c:pt>
                <c:pt idx="10">
                  <c:v>1.284760363086233E-8</c:v>
                </c:pt>
                <c:pt idx="11">
                  <c:v>1.2424690909090911E-8</c:v>
                </c:pt>
                <c:pt idx="12">
                  <c:v>1.1641054545454546E-8</c:v>
                </c:pt>
                <c:pt idx="13">
                  <c:v>1.1066145454545456E-8</c:v>
                </c:pt>
                <c:pt idx="14">
                  <c:v>1.0590849397590362E-8</c:v>
                </c:pt>
                <c:pt idx="15">
                  <c:v>1.0378198795180723E-8</c:v>
                </c:pt>
                <c:pt idx="16">
                  <c:v>1.0301818181818182E-8</c:v>
                </c:pt>
                <c:pt idx="17">
                  <c:v>1.0356363636363636E-8</c:v>
                </c:pt>
                <c:pt idx="18">
                  <c:v>1.0510460606060606E-8</c:v>
                </c:pt>
                <c:pt idx="19">
                  <c:v>1.0663072727272728E-8</c:v>
                </c:pt>
                <c:pt idx="20">
                  <c:v>1.0749133333333333E-8</c:v>
                </c:pt>
                <c:pt idx="21">
                  <c:v>1.0703169696969696E-8</c:v>
                </c:pt>
                <c:pt idx="22">
                  <c:v>1.0553472727272728E-8</c:v>
                </c:pt>
                <c:pt idx="23">
                  <c:v>1.017737048192771E-8</c:v>
                </c:pt>
                <c:pt idx="24">
                  <c:v>9.7371818181818185E-9</c:v>
                </c:pt>
                <c:pt idx="25">
                  <c:v>9.1719090909090917E-9</c:v>
                </c:pt>
                <c:pt idx="26">
                  <c:v>8.5685272727272732E-9</c:v>
                </c:pt>
                <c:pt idx="27">
                  <c:v>7.9397393939393932E-9</c:v>
                </c:pt>
                <c:pt idx="28">
                  <c:v>7.3161909090909089E-9</c:v>
                </c:pt>
                <c:pt idx="29">
                  <c:v>6.7060999999999994E-9</c:v>
                </c:pt>
                <c:pt idx="30">
                  <c:v>6.1267666666666662E-9</c:v>
                </c:pt>
                <c:pt idx="31">
                  <c:v>5.5895240963855429E-9</c:v>
                </c:pt>
                <c:pt idx="32">
                  <c:v>5.0749457831325317E-9</c:v>
                </c:pt>
                <c:pt idx="33">
                  <c:v>4.622800000000001E-9</c:v>
                </c:pt>
                <c:pt idx="34">
                  <c:v>4.1927357575757585E-9</c:v>
                </c:pt>
                <c:pt idx="35">
                  <c:v>3.8043115151515158E-9</c:v>
                </c:pt>
                <c:pt idx="36">
                  <c:v>3.4550290909090919E-9</c:v>
                </c:pt>
                <c:pt idx="37">
                  <c:v>3.1276493192133139E-9</c:v>
                </c:pt>
                <c:pt idx="38">
                  <c:v>2.903882299546143E-9</c:v>
                </c:pt>
                <c:pt idx="39">
                  <c:v>2.680115279878972E-9</c:v>
                </c:pt>
                <c:pt idx="40">
                  <c:v>2.456348260211801E-9</c:v>
                </c:pt>
                <c:pt idx="41">
                  <c:v>2.2325812405446301E-9</c:v>
                </c:pt>
                <c:pt idx="42">
                  <c:v>2.0088142208774591E-9</c:v>
                </c:pt>
                <c:pt idx="43">
                  <c:v>1.7850472012102884E-9</c:v>
                </c:pt>
                <c:pt idx="44">
                  <c:v>1.6088703177004543E-9</c:v>
                </c:pt>
                <c:pt idx="45">
                  <c:v>1.495778033282905E-9</c:v>
                </c:pt>
                <c:pt idx="46">
                  <c:v>1.3826857488653557E-9</c:v>
                </c:pt>
                <c:pt idx="47">
                  <c:v>1.2695934644478063E-9</c:v>
                </c:pt>
                <c:pt idx="48">
                  <c:v>1.156501180030257E-9</c:v>
                </c:pt>
                <c:pt idx="49">
                  <c:v>1.0434088956127077E-9</c:v>
                </c:pt>
                <c:pt idx="50">
                  <c:v>9.3031661119515847E-10</c:v>
                </c:pt>
                <c:pt idx="51">
                  <c:v>8.6426487878787858E-10</c:v>
                </c:pt>
                <c:pt idx="52">
                  <c:v>8.0853912121212099E-10</c:v>
                </c:pt>
                <c:pt idx="53">
                  <c:v>7.528133636363634E-10</c:v>
                </c:pt>
                <c:pt idx="54">
                  <c:v>6.9708760606060581E-10</c:v>
                </c:pt>
                <c:pt idx="55">
                  <c:v>6.4136184848484822E-10</c:v>
                </c:pt>
                <c:pt idx="56">
                  <c:v>5.8563609090909063E-10</c:v>
                </c:pt>
                <c:pt idx="57">
                  <c:v>5.3324012048192755E-10</c:v>
                </c:pt>
                <c:pt idx="58">
                  <c:v>4.9264975903614445E-10</c:v>
                </c:pt>
                <c:pt idx="59">
                  <c:v>4.5405642424242413E-10</c:v>
                </c:pt>
                <c:pt idx="60">
                  <c:v>4.1703218181818171E-10</c:v>
                </c:pt>
                <c:pt idx="61">
                  <c:v>3.8356521212121205E-10</c:v>
                </c:pt>
                <c:pt idx="62">
                  <c:v>3.514616969696969E-10</c:v>
                </c:pt>
                <c:pt idx="63">
                  <c:v>3.2223745454545448E-10</c:v>
                </c:pt>
                <c:pt idx="64">
                  <c:v>2.9527206060606053E-10</c:v>
                </c:pt>
                <c:pt idx="65">
                  <c:v>2.6975084848484845E-10</c:v>
                </c:pt>
                <c:pt idx="66">
                  <c:v>2.4759843373493976E-10</c:v>
                </c:pt>
                <c:pt idx="67">
                  <c:v>2.2644636363636365E-10</c:v>
                </c:pt>
                <c:pt idx="68">
                  <c:v>2.0730090909090909E-10</c:v>
                </c:pt>
                <c:pt idx="69">
                  <c:v>1.8986121212121213E-10</c:v>
                </c:pt>
                <c:pt idx="70">
                  <c:v>1.7333999999999999E-10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D609-4FE0-96FF-D1AEBD39E5D9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1.6113195151515158E-2</c:v>
                </c:pt>
                <c:pt idx="1">
                  <c:v>2.6533103030303047E-2</c:v>
                </c:pt>
                <c:pt idx="2">
                  <c:v>4.0699163636363653E-2</c:v>
                </c:pt>
                <c:pt idx="3">
                  <c:v>5.6751721212121235E-2</c:v>
                </c:pt>
                <c:pt idx="4">
                  <c:v>7.2742187594553712E-2</c:v>
                </c:pt>
                <c:pt idx="5">
                  <c:v>7.9994532526475051E-2</c:v>
                </c:pt>
                <c:pt idx="6">
                  <c:v>8.7246877458396377E-2</c:v>
                </c:pt>
                <c:pt idx="7">
                  <c:v>9.4499222390317703E-2</c:v>
                </c:pt>
                <c:pt idx="8">
                  <c:v>0.10175156732223903</c:v>
                </c:pt>
                <c:pt idx="9">
                  <c:v>0.10900391225416037</c:v>
                </c:pt>
                <c:pt idx="10">
                  <c:v>0.11625625718608168</c:v>
                </c:pt>
                <c:pt idx="11">
                  <c:v>0.12176921212121211</c:v>
                </c:pt>
                <c:pt idx="12">
                  <c:v>0.12532072727272725</c:v>
                </c:pt>
                <c:pt idx="13">
                  <c:v>0.13108375757575758</c:v>
                </c:pt>
                <c:pt idx="14">
                  <c:v>0.13814921686746987</c:v>
                </c:pt>
                <c:pt idx="15">
                  <c:v>0.14920343373493977</c:v>
                </c:pt>
                <c:pt idx="16">
                  <c:v>0.16351563636363642</c:v>
                </c:pt>
                <c:pt idx="17">
                  <c:v>0.18095806060606065</c:v>
                </c:pt>
                <c:pt idx="18">
                  <c:v>0.203435393939394</c:v>
                </c:pt>
                <c:pt idx="19">
                  <c:v>0.2273292727272728</c:v>
                </c:pt>
                <c:pt idx="20">
                  <c:v>0.25346866666666673</c:v>
                </c:pt>
                <c:pt idx="21">
                  <c:v>0.27868490909090915</c:v>
                </c:pt>
                <c:pt idx="22">
                  <c:v>0.30317581818181821</c:v>
                </c:pt>
                <c:pt idx="23">
                  <c:v>0.32309759036144581</c:v>
                </c:pt>
                <c:pt idx="24">
                  <c:v>0.34121060606060605</c:v>
                </c:pt>
                <c:pt idx="25">
                  <c:v>0.35525303030303035</c:v>
                </c:pt>
                <c:pt idx="26">
                  <c:v>0.36652454545454544</c:v>
                </c:pt>
                <c:pt idx="27">
                  <c:v>0.37594878787878788</c:v>
                </c:pt>
                <c:pt idx="28">
                  <c:v>0.38210272727272726</c:v>
                </c:pt>
                <c:pt idx="29">
                  <c:v>0.38736636363636368</c:v>
                </c:pt>
                <c:pt idx="30">
                  <c:v>0.39095424242424243</c:v>
                </c:pt>
                <c:pt idx="31">
                  <c:v>0.39354132530120484</c:v>
                </c:pt>
                <c:pt idx="32">
                  <c:v>0.39558951807228915</c:v>
                </c:pt>
                <c:pt idx="33">
                  <c:v>0.39674999999999999</c:v>
                </c:pt>
                <c:pt idx="34">
                  <c:v>0.39772842424242422</c:v>
                </c:pt>
                <c:pt idx="35">
                  <c:v>0.39837084848484844</c:v>
                </c:pt>
                <c:pt idx="36">
                  <c:v>0.3988292727272727</c:v>
                </c:pt>
                <c:pt idx="37">
                  <c:v>0.39919931921331314</c:v>
                </c:pt>
                <c:pt idx="38">
                  <c:v>0.39943229954614218</c:v>
                </c:pt>
                <c:pt idx="39">
                  <c:v>0.39966527987897121</c:v>
                </c:pt>
                <c:pt idx="40">
                  <c:v>0.3998982602118003</c:v>
                </c:pt>
                <c:pt idx="41">
                  <c:v>0.40013124054462934</c:v>
                </c:pt>
                <c:pt idx="42">
                  <c:v>0.40036422087745838</c:v>
                </c:pt>
                <c:pt idx="43">
                  <c:v>0.40059720121028741</c:v>
                </c:pt>
                <c:pt idx="44">
                  <c:v>0.40148916792738271</c:v>
                </c:pt>
                <c:pt idx="45">
                  <c:v>0.40325467473524962</c:v>
                </c:pt>
                <c:pt idx="46">
                  <c:v>0.40502018154311648</c:v>
                </c:pt>
                <c:pt idx="47">
                  <c:v>0.40678568835098333</c:v>
                </c:pt>
                <c:pt idx="48">
                  <c:v>0.40855119515885019</c:v>
                </c:pt>
                <c:pt idx="49">
                  <c:v>0.4103167019667171</c:v>
                </c:pt>
                <c:pt idx="50">
                  <c:v>0.41208220877458396</c:v>
                </c:pt>
                <c:pt idx="51">
                  <c:v>0.41763433333333333</c:v>
                </c:pt>
                <c:pt idx="52">
                  <c:v>0.42401766666666668</c:v>
                </c:pt>
                <c:pt idx="53">
                  <c:v>0.43040100000000003</c:v>
                </c:pt>
                <c:pt idx="54">
                  <c:v>0.43678433333333333</c:v>
                </c:pt>
                <c:pt idx="55">
                  <c:v>0.44316766666666668</c:v>
                </c:pt>
                <c:pt idx="56">
                  <c:v>0.44955100000000003</c:v>
                </c:pt>
                <c:pt idx="57">
                  <c:v>0.45569096385542168</c:v>
                </c:pt>
                <c:pt idx="58">
                  <c:v>0.46096807228915665</c:v>
                </c:pt>
                <c:pt idx="59">
                  <c:v>0.46539084848484846</c:v>
                </c:pt>
                <c:pt idx="60">
                  <c:v>0.46914236363636364</c:v>
                </c:pt>
                <c:pt idx="61">
                  <c:v>0.47171363636363639</c:v>
                </c:pt>
                <c:pt idx="62">
                  <c:v>0.47392709090909091</c:v>
                </c:pt>
                <c:pt idx="63">
                  <c:v>0.47545436363636362</c:v>
                </c:pt>
                <c:pt idx="64">
                  <c:v>0.47662303030303027</c:v>
                </c:pt>
                <c:pt idx="65">
                  <c:v>0.47756242424242429</c:v>
                </c:pt>
                <c:pt idx="66">
                  <c:v>0.47813783132530124</c:v>
                </c:pt>
                <c:pt idx="67">
                  <c:v>0.47863181818181821</c:v>
                </c:pt>
                <c:pt idx="68">
                  <c:v>0.47897121212121213</c:v>
                </c:pt>
                <c:pt idx="69">
                  <c:v>0.47922393939393942</c:v>
                </c:pt>
                <c:pt idx="70">
                  <c:v>0.47943000000000002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D609-4FE0-96FF-D1AEBD39E5D9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1.3421683636363642E-8</c:v>
                </c:pt>
                <c:pt idx="1">
                  <c:v>1.9719218181818192E-8</c:v>
                </c:pt>
                <c:pt idx="2">
                  <c:v>2.7035581818181827E-8</c:v>
                </c:pt>
                <c:pt idx="3">
                  <c:v>3.3029096969696978E-8</c:v>
                </c:pt>
                <c:pt idx="4">
                  <c:v>3.7957338880484114E-8</c:v>
                </c:pt>
                <c:pt idx="5">
                  <c:v>3.6261574886535554E-8</c:v>
                </c:pt>
                <c:pt idx="6">
                  <c:v>3.4565810892586994E-8</c:v>
                </c:pt>
                <c:pt idx="7">
                  <c:v>3.2870046898638427E-8</c:v>
                </c:pt>
                <c:pt idx="8">
                  <c:v>3.1174282904689867E-8</c:v>
                </c:pt>
                <c:pt idx="9">
                  <c:v>2.9478518910741304E-8</c:v>
                </c:pt>
                <c:pt idx="10">
                  <c:v>2.778275491679274E-8</c:v>
                </c:pt>
                <c:pt idx="11">
                  <c:v>2.5709000000000002E-8</c:v>
                </c:pt>
                <c:pt idx="12">
                  <c:v>2.3209000000000003E-8</c:v>
                </c:pt>
                <c:pt idx="13">
                  <c:v>2.1335181818181821E-8</c:v>
                </c:pt>
                <c:pt idx="14">
                  <c:v>1.9727277108433734E-8</c:v>
                </c:pt>
                <c:pt idx="15">
                  <c:v>1.8746554216867469E-8</c:v>
                </c:pt>
                <c:pt idx="16">
                  <c:v>1.8048090909090908E-8</c:v>
                </c:pt>
                <c:pt idx="17">
                  <c:v>1.7620818181818181E-8</c:v>
                </c:pt>
                <c:pt idx="18">
                  <c:v>1.7398381818181818E-8</c:v>
                </c:pt>
                <c:pt idx="19">
                  <c:v>1.7269363636363638E-8</c:v>
                </c:pt>
                <c:pt idx="20">
                  <c:v>1.7366333333333334E-8</c:v>
                </c:pt>
                <c:pt idx="21">
                  <c:v>1.7322793939393938E-8</c:v>
                </c:pt>
                <c:pt idx="22">
                  <c:v>1.7168854545454545E-8</c:v>
                </c:pt>
                <c:pt idx="23">
                  <c:v>1.6643536144578314E-8</c:v>
                </c:pt>
                <c:pt idx="24">
                  <c:v>1.6010636363636366E-8</c:v>
                </c:pt>
                <c:pt idx="25">
                  <c:v>1.5165181818181819E-8</c:v>
                </c:pt>
                <c:pt idx="26">
                  <c:v>1.4247363636363636E-8</c:v>
                </c:pt>
                <c:pt idx="27">
                  <c:v>1.3281303030303031E-8</c:v>
                </c:pt>
                <c:pt idx="28">
                  <c:v>1.2307181818181818E-8</c:v>
                </c:pt>
                <c:pt idx="29">
                  <c:v>1.1349363636363637E-8</c:v>
                </c:pt>
                <c:pt idx="30">
                  <c:v>1.0430575757575757E-8</c:v>
                </c:pt>
                <c:pt idx="31">
                  <c:v>9.5722018072289161E-9</c:v>
                </c:pt>
                <c:pt idx="32">
                  <c:v>8.7463584337349428E-9</c:v>
                </c:pt>
                <c:pt idx="33">
                  <c:v>8.0127000000000023E-9</c:v>
                </c:pt>
                <c:pt idx="34">
                  <c:v>7.3125303030303041E-9</c:v>
                </c:pt>
                <c:pt idx="35">
                  <c:v>6.675560606060607E-9</c:v>
                </c:pt>
                <c:pt idx="36">
                  <c:v>6.0989763636363648E-9</c:v>
                </c:pt>
                <c:pt idx="37">
                  <c:v>5.5563278366111956E-9</c:v>
                </c:pt>
                <c:pt idx="38">
                  <c:v>5.1770237518910746E-9</c:v>
                </c:pt>
                <c:pt idx="39">
                  <c:v>4.7977196671709536E-9</c:v>
                </c:pt>
                <c:pt idx="40">
                  <c:v>4.4184155824508326E-9</c:v>
                </c:pt>
                <c:pt idx="41">
                  <c:v>4.0391114977307125E-9</c:v>
                </c:pt>
                <c:pt idx="42">
                  <c:v>3.6598074130105915E-9</c:v>
                </c:pt>
                <c:pt idx="43">
                  <c:v>3.2805033282904705E-9</c:v>
                </c:pt>
                <c:pt idx="44">
                  <c:v>2.9787488653555227E-9</c:v>
                </c:pt>
                <c:pt idx="45">
                  <c:v>2.779792738275341E-9</c:v>
                </c:pt>
                <c:pt idx="46">
                  <c:v>2.5808366111951589E-9</c:v>
                </c:pt>
                <c:pt idx="47">
                  <c:v>2.3818804841149772E-9</c:v>
                </c:pt>
                <c:pt idx="48">
                  <c:v>2.1829243570347955E-9</c:v>
                </c:pt>
                <c:pt idx="49">
                  <c:v>1.9839682299546133E-9</c:v>
                </c:pt>
                <c:pt idx="50">
                  <c:v>1.7850121028744318E-9</c:v>
                </c:pt>
                <c:pt idx="51">
                  <c:v>1.666355151515151E-9</c:v>
                </c:pt>
                <c:pt idx="52">
                  <c:v>1.5653248484848479E-9</c:v>
                </c:pt>
                <c:pt idx="53">
                  <c:v>1.4642945454545448E-9</c:v>
                </c:pt>
                <c:pt idx="54">
                  <c:v>1.363264242424242E-9</c:v>
                </c:pt>
                <c:pt idx="55">
                  <c:v>1.2622339393939389E-9</c:v>
                </c:pt>
                <c:pt idx="56">
                  <c:v>1.1612036363636358E-9</c:v>
                </c:pt>
                <c:pt idx="57">
                  <c:v>1.0657436144578308E-9</c:v>
                </c:pt>
                <c:pt idx="58">
                  <c:v>9.9003277108433708E-10</c:v>
                </c:pt>
                <c:pt idx="59">
                  <c:v>9.1756412121212104E-10</c:v>
                </c:pt>
                <c:pt idx="60">
                  <c:v>8.4764290909090898E-10</c:v>
                </c:pt>
                <c:pt idx="61">
                  <c:v>7.837663030303029E-10</c:v>
                </c:pt>
                <c:pt idx="62">
                  <c:v>7.2226812121212113E-10</c:v>
                </c:pt>
                <c:pt idx="63">
                  <c:v>6.6583781818181809E-10</c:v>
                </c:pt>
                <c:pt idx="64">
                  <c:v>6.1345939393939384E-10</c:v>
                </c:pt>
                <c:pt idx="65">
                  <c:v>5.6367151515151499E-10</c:v>
                </c:pt>
                <c:pt idx="66">
                  <c:v>5.2005301204819272E-10</c:v>
                </c:pt>
                <c:pt idx="67">
                  <c:v>4.7828000000000003E-10</c:v>
                </c:pt>
                <c:pt idx="68">
                  <c:v>4.4021333333333332E-10</c:v>
                </c:pt>
                <c:pt idx="69">
                  <c:v>4.0534151515151513E-10</c:v>
                </c:pt>
                <c:pt idx="70">
                  <c:v>3.7218999999999998E-10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D609-4FE0-96FF-D1AEBD39E5D9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(2)Ga[l]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1.739711043872904E-29</c:v>
                </c:pt>
                <c:pt idx="45">
                  <c:v>5.7855506807866774E-29</c:v>
                </c:pt>
                <c:pt idx="46">
                  <c:v>9.8313903177004503E-29</c:v>
                </c:pt>
                <c:pt idx="47">
                  <c:v>1.3877229954614222E-28</c:v>
                </c:pt>
                <c:pt idx="48">
                  <c:v>1.7923069591527995E-28</c:v>
                </c:pt>
                <c:pt idx="49">
                  <c:v>2.196890922844177E-28</c:v>
                </c:pt>
                <c:pt idx="50">
                  <c:v>2.6014748865355543E-28</c:v>
                </c:pt>
                <c:pt idx="51">
                  <c:v>3.1393575757578274E-15</c:v>
                </c:pt>
                <c:pt idx="52">
                  <c:v>6.9678424242426355E-15</c:v>
                </c:pt>
                <c:pt idx="53">
                  <c:v>1.0796327272727445E-14</c:v>
                </c:pt>
                <c:pt idx="54">
                  <c:v>1.4624812121212252E-14</c:v>
                </c:pt>
                <c:pt idx="55">
                  <c:v>1.8453296969697059E-14</c:v>
                </c:pt>
                <c:pt idx="56">
                  <c:v>2.2281781818181867E-14</c:v>
                </c:pt>
                <c:pt idx="57">
                  <c:v>2.4544453012048614E-13</c:v>
                </c:pt>
                <c:pt idx="58">
                  <c:v>1.2462469397590391E-12</c:v>
                </c:pt>
                <c:pt idx="59">
                  <c:v>1.1443293333333371E-11</c:v>
                </c:pt>
                <c:pt idx="60">
                  <c:v>2.8865960000000039E-11</c:v>
                </c:pt>
                <c:pt idx="61">
                  <c:v>8.0779612121212242E-11</c:v>
                </c:pt>
                <c:pt idx="62">
                  <c:v>1.9348945454545518E-10</c:v>
                </c:pt>
                <c:pt idx="63">
                  <c:v>4.6952581818181878E-10</c:v>
                </c:pt>
                <c:pt idx="64">
                  <c:v>1.0956504242424264E-9</c:v>
                </c:pt>
                <c:pt idx="65">
                  <c:v>1.9456019393939417E-9</c:v>
                </c:pt>
                <c:pt idx="66">
                  <c:v>4.0711277108433757E-9</c:v>
                </c:pt>
                <c:pt idx="67">
                  <c:v>7.1356181818181823E-9</c:v>
                </c:pt>
                <c:pt idx="68">
                  <c:v>1.2267012121212121E-8</c:v>
                </c:pt>
                <c:pt idx="69">
                  <c:v>2.147418181818182E-8</c:v>
                </c:pt>
                <c:pt idx="70">
                  <c:v>3.2876000000000003E-8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D609-4FE0-96FF-D1AEBD39E5D9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>
                  <c:v>-18.618363636363636</c:v>
                </c:pt>
                <c:pt idx="3">
                  <c:v>-18.624424242424244</c:v>
                </c:pt>
                <c:pt idx="4">
                  <c:v>-18.631089258698939</c:v>
                </c:pt>
                <c:pt idx="5">
                  <c:v>-18.644704992435702</c:v>
                </c:pt>
                <c:pt idx="6">
                  <c:v>-18.658320726172466</c:v>
                </c:pt>
                <c:pt idx="7">
                  <c:v>-18.671936459909226</c:v>
                </c:pt>
                <c:pt idx="8">
                  <c:v>-18.685552193645989</c:v>
                </c:pt>
                <c:pt idx="9">
                  <c:v>-18.699167927382753</c:v>
                </c:pt>
                <c:pt idx="10">
                  <c:v>-18.712783661119516</c:v>
                </c:pt>
                <c:pt idx="11">
                  <c:v>-18.728545454545454</c:v>
                </c:pt>
                <c:pt idx="12">
                  <c:v>-18.746727272727274</c:v>
                </c:pt>
                <c:pt idx="13">
                  <c:v>-18.764909090909093</c:v>
                </c:pt>
                <c:pt idx="14">
                  <c:v>-18.783072289156628</c:v>
                </c:pt>
                <c:pt idx="15">
                  <c:v>-18.801144578313252</c:v>
                </c:pt>
                <c:pt idx="16">
                  <c:v>-18.819272727272725</c:v>
                </c:pt>
                <c:pt idx="17">
                  <c:v>-18.837454545454545</c:v>
                </c:pt>
                <c:pt idx="18">
                  <c:v>-18.855636363636364</c:v>
                </c:pt>
                <c:pt idx="19">
                  <c:v>-18.873818181818184</c:v>
                </c:pt>
                <c:pt idx="20">
                  <c:v>-18.891999999999999</c:v>
                </c:pt>
                <c:pt idx="21">
                  <c:v>-18.913575757575757</c:v>
                </c:pt>
                <c:pt idx="22">
                  <c:v>-18.937818181818184</c:v>
                </c:pt>
                <c:pt idx="23">
                  <c:v>-18.95644578313253</c:v>
                </c:pt>
                <c:pt idx="24">
                  <c:v>-18.976060606060607</c:v>
                </c:pt>
                <c:pt idx="25">
                  <c:v>-19.00030303030303</c:v>
                </c:pt>
                <c:pt idx="26">
                  <c:v>-19.020909090909093</c:v>
                </c:pt>
                <c:pt idx="27">
                  <c:v>-19.039090909090909</c:v>
                </c:pt>
                <c:pt idx="28">
                  <c:v>-19.057272727272728</c:v>
                </c:pt>
                <c:pt idx="29">
                  <c:v>-19.077272727272728</c:v>
                </c:pt>
                <c:pt idx="30">
                  <c:v>-19.101515151515152</c:v>
                </c:pt>
                <c:pt idx="31">
                  <c:v>-19.121746987951806</c:v>
                </c:pt>
                <c:pt idx="32">
                  <c:v>-19.139819277108433</c:v>
                </c:pt>
                <c:pt idx="33">
                  <c:v>-19.164000000000001</c:v>
                </c:pt>
                <c:pt idx="34">
                  <c:v>-19.186181818181819</c:v>
                </c:pt>
                <c:pt idx="35">
                  <c:v>-19.204363636363638</c:v>
                </c:pt>
                <c:pt idx="36">
                  <c:v>-19.226727272727274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-19.388456883509832</c:v>
                </c:pt>
                <c:pt idx="45">
                  <c:v>-19.408124054462935</c:v>
                </c:pt>
                <c:pt idx="46">
                  <c:v>-19.427791225416037</c:v>
                </c:pt>
                <c:pt idx="47">
                  <c:v>-19.447458396369139</c:v>
                </c:pt>
                <c:pt idx="48">
                  <c:v>-19.467125567322238</c:v>
                </c:pt>
                <c:pt idx="49">
                  <c:v>-19.486792738275341</c:v>
                </c:pt>
                <c:pt idx="50">
                  <c:v>-19.506459909228443</c:v>
                </c:pt>
                <c:pt idx="51">
                  <c:v>-19.526151515151518</c:v>
                </c:pt>
                <c:pt idx="52">
                  <c:v>-19.545848484848488</c:v>
                </c:pt>
                <c:pt idx="53">
                  <c:v>-19.565545454545457</c:v>
                </c:pt>
                <c:pt idx="54">
                  <c:v>-19.585242424242427</c:v>
                </c:pt>
                <c:pt idx="55">
                  <c:v>-19.604939393939397</c:v>
                </c:pt>
                <c:pt idx="56">
                  <c:v>-19.624636363636366</c:v>
                </c:pt>
                <c:pt idx="57">
                  <c:v>-19.643975903614457</c:v>
                </c:pt>
                <c:pt idx="58">
                  <c:v>-19.662048192771085</c:v>
                </c:pt>
                <c:pt idx="59">
                  <c:v>-19.680181818181818</c:v>
                </c:pt>
                <c:pt idx="60">
                  <c:v>-19.698363636363634</c:v>
                </c:pt>
                <c:pt idx="61">
                  <c:v>-19.716545454545454</c:v>
                </c:pt>
                <c:pt idx="62">
                  <c:v>-19.734727272727273</c:v>
                </c:pt>
                <c:pt idx="63">
                  <c:v>-19.752909090909093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D609-4FE0-96FF-D1AEBD39E5D9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-60.735090909090907</c:v>
                </c:pt>
                <c:pt idx="1">
                  <c:v>-58.673878787878785</c:v>
                </c:pt>
                <c:pt idx="2">
                  <c:v>-56.631454545454545</c:v>
                </c:pt>
                <c:pt idx="3">
                  <c:v>-54.589030303030299</c:v>
                </c:pt>
                <c:pt idx="4">
                  <c:v>-52.560166414523451</c:v>
                </c:pt>
                <c:pt idx="5">
                  <c:v>-50.687246596066565</c:v>
                </c:pt>
                <c:pt idx="6">
                  <c:v>-48.814326777609679</c:v>
                </c:pt>
                <c:pt idx="7">
                  <c:v>-46.9414069591528</c:v>
                </c:pt>
                <c:pt idx="8">
                  <c:v>-45.068487140695915</c:v>
                </c:pt>
                <c:pt idx="9">
                  <c:v>-43.195567322239029</c:v>
                </c:pt>
                <c:pt idx="10">
                  <c:v>-41.32264750378215</c:v>
                </c:pt>
                <c:pt idx="11">
                  <c:v>-39.589393939393936</c:v>
                </c:pt>
                <c:pt idx="12">
                  <c:v>-38.013636363636365</c:v>
                </c:pt>
                <c:pt idx="13">
                  <c:v>-36.542242424242424</c:v>
                </c:pt>
                <c:pt idx="14">
                  <c:v>-35.117771084337356</c:v>
                </c:pt>
                <c:pt idx="15">
                  <c:v>-33.810542168674701</c:v>
                </c:pt>
                <c:pt idx="16">
                  <c:v>-32.561090909090908</c:v>
                </c:pt>
                <c:pt idx="17">
                  <c:v>-31.367151515151512</c:v>
                </c:pt>
                <c:pt idx="18">
                  <c:v>-30.256606060606057</c:v>
                </c:pt>
                <c:pt idx="19">
                  <c:v>-29.173636363636362</c:v>
                </c:pt>
                <c:pt idx="20">
                  <c:v>-28.143333333333331</c:v>
                </c:pt>
                <c:pt idx="21">
                  <c:v>-27.143575757575757</c:v>
                </c:pt>
                <c:pt idx="22">
                  <c:v>-26.167818181818177</c:v>
                </c:pt>
                <c:pt idx="23">
                  <c:v>-25.252228915662648</c:v>
                </c:pt>
                <c:pt idx="24">
                  <c:v>-24.354848484848485</c:v>
                </c:pt>
                <c:pt idx="25">
                  <c:v>-23.494242424242422</c:v>
                </c:pt>
                <c:pt idx="26">
                  <c:v>-22.673636363636362</c:v>
                </c:pt>
                <c:pt idx="27">
                  <c:v>-21.879696969696969</c:v>
                </c:pt>
                <c:pt idx="28">
                  <c:v>-21.149090909090908</c:v>
                </c:pt>
                <c:pt idx="29">
                  <c:v>-20.438181818181818</c:v>
                </c:pt>
                <c:pt idx="30">
                  <c:v>-19.765454545454546</c:v>
                </c:pt>
                <c:pt idx="31">
                  <c:v>-19.126686746987954</c:v>
                </c:pt>
                <c:pt idx="32">
                  <c:v>-18.506204819277109</c:v>
                </c:pt>
                <c:pt idx="33">
                  <c:v>-17.918000000000003</c:v>
                </c:pt>
                <c:pt idx="34">
                  <c:v>-17.342484848484851</c:v>
                </c:pt>
                <c:pt idx="35">
                  <c:v>-16.7909696969697</c:v>
                </c:pt>
                <c:pt idx="36">
                  <c:v>-16.252000000000002</c:v>
                </c:pt>
                <c:pt idx="37">
                  <c:v>-15.721119515885023</c:v>
                </c:pt>
                <c:pt idx="38">
                  <c:v>-15.249107413010591</c:v>
                </c:pt>
                <c:pt idx="39">
                  <c:v>-14.77709531013616</c:v>
                </c:pt>
                <c:pt idx="40">
                  <c:v>-14.305083207261726</c:v>
                </c:pt>
                <c:pt idx="41">
                  <c:v>-13.833071104387294</c:v>
                </c:pt>
                <c:pt idx="42">
                  <c:v>-13.36105900151286</c:v>
                </c:pt>
                <c:pt idx="43">
                  <c:v>-12.889046898638428</c:v>
                </c:pt>
                <c:pt idx="44">
                  <c:v>-12.457367624810892</c:v>
                </c:pt>
                <c:pt idx="45">
                  <c:v>-12.079152798789712</c:v>
                </c:pt>
                <c:pt idx="46">
                  <c:v>-11.700937972768532</c:v>
                </c:pt>
                <c:pt idx="47">
                  <c:v>-11.322723146747352</c:v>
                </c:pt>
                <c:pt idx="48">
                  <c:v>-10.944508320726172</c:v>
                </c:pt>
                <c:pt idx="49">
                  <c:v>-10.56629349470499</c:v>
                </c:pt>
                <c:pt idx="50">
                  <c:v>-10.18807866868381</c:v>
                </c:pt>
                <c:pt idx="51">
                  <c:v>-9.9633303030303022</c:v>
                </c:pt>
                <c:pt idx="52">
                  <c:v>-9.7722696969696958</c:v>
                </c:pt>
                <c:pt idx="53">
                  <c:v>-9.5812090909090895</c:v>
                </c:pt>
                <c:pt idx="54">
                  <c:v>-9.3901484848484831</c:v>
                </c:pt>
                <c:pt idx="55">
                  <c:v>-9.1990878787878785</c:v>
                </c:pt>
                <c:pt idx="56">
                  <c:v>-9.0080272727272721</c:v>
                </c:pt>
                <c:pt idx="57">
                  <c:v>-8.8458795180722891</c:v>
                </c:pt>
                <c:pt idx="58">
                  <c:v>-8.7862409638554215</c:v>
                </c:pt>
                <c:pt idx="59">
                  <c:v>-8.7443878787878795</c:v>
                </c:pt>
                <c:pt idx="60">
                  <c:v>-8.7165090909090921</c:v>
                </c:pt>
                <c:pt idx="61">
                  <c:v>-8.7068303030303031</c:v>
                </c:pt>
                <c:pt idx="62">
                  <c:v>-8.7021030303030305</c:v>
                </c:pt>
                <c:pt idx="63">
                  <c:v>-8.7063454545454544</c:v>
                </c:pt>
                <c:pt idx="64">
                  <c:v>-8.7153939393939392</c:v>
                </c:pt>
                <c:pt idx="65">
                  <c:v>-8.727515151515151</c:v>
                </c:pt>
                <c:pt idx="66">
                  <c:v>-8.7430361445783138</c:v>
                </c:pt>
                <c:pt idx="67">
                  <c:v>-8.7596363636363641</c:v>
                </c:pt>
                <c:pt idx="68">
                  <c:v>-8.7784242424242418</c:v>
                </c:pt>
                <c:pt idx="69">
                  <c:v>-8.798</c:v>
                </c:pt>
                <c:pt idx="70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D609-4FE0-96FF-D1AEBD39E5D9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-15.805636363636363</c:v>
                </c:pt>
                <c:pt idx="1">
                  <c:v>-15.261999999999999</c:v>
                </c:pt>
                <c:pt idx="2">
                  <c:v>-14.661999999999999</c:v>
                </c:pt>
                <c:pt idx="3">
                  <c:v>-14.004484848484848</c:v>
                </c:pt>
                <c:pt idx="4">
                  <c:v>-13.326287443267777</c:v>
                </c:pt>
                <c:pt idx="5">
                  <c:v>-12.654880484114978</c:v>
                </c:pt>
                <c:pt idx="6">
                  <c:v>-11.983473524962179</c:v>
                </c:pt>
                <c:pt idx="7">
                  <c:v>-11.31206656580938</c:v>
                </c:pt>
                <c:pt idx="8">
                  <c:v>-10.64065960665658</c:v>
                </c:pt>
                <c:pt idx="9">
                  <c:v>-9.969252647503783</c:v>
                </c:pt>
                <c:pt idx="10">
                  <c:v>-9.2978456883509839</c:v>
                </c:pt>
                <c:pt idx="11">
                  <c:v>-8.67908484848485</c:v>
                </c:pt>
                <c:pt idx="12">
                  <c:v>-8.1196909090909095</c:v>
                </c:pt>
                <c:pt idx="13">
                  <c:v>-7.619436363636364</c:v>
                </c:pt>
                <c:pt idx="14">
                  <c:v>-7.1476144578313257</c:v>
                </c:pt>
                <c:pt idx="15">
                  <c:v>-6.7512289156626508</c:v>
                </c:pt>
                <c:pt idx="16">
                  <c:v>-6.4021454545454546</c:v>
                </c:pt>
                <c:pt idx="17">
                  <c:v>-6.09850909090909</c:v>
                </c:pt>
                <c:pt idx="18">
                  <c:v>-5.8730545454545453</c:v>
                </c:pt>
                <c:pt idx="19">
                  <c:v>-5.6767454545454541</c:v>
                </c:pt>
                <c:pt idx="20">
                  <c:v>-5.5421999999999993</c:v>
                </c:pt>
                <c:pt idx="21">
                  <c:v>-5.4426121212121208</c:v>
                </c:pt>
                <c:pt idx="22">
                  <c:v>-5.3704909090909085</c:v>
                </c:pt>
                <c:pt idx="23">
                  <c:v>-5.3393313253012051</c:v>
                </c:pt>
                <c:pt idx="24">
                  <c:v>-5.319</c:v>
                </c:pt>
                <c:pt idx="25">
                  <c:v>-5.319</c:v>
                </c:pt>
                <c:pt idx="26">
                  <c:v>-5.3280909090909088</c:v>
                </c:pt>
                <c:pt idx="27">
                  <c:v>-5.3432424242424243</c:v>
                </c:pt>
                <c:pt idx="28">
                  <c:v>-5.3641515151515149</c:v>
                </c:pt>
                <c:pt idx="29">
                  <c:v>-5.3860909090909086</c:v>
                </c:pt>
                <c:pt idx="30">
                  <c:v>-5.4097272727272729</c:v>
                </c:pt>
                <c:pt idx="31">
                  <c:v>-5.4340542168674695</c:v>
                </c:pt>
                <c:pt idx="32">
                  <c:v>-5.4587530120481924</c:v>
                </c:pt>
                <c:pt idx="33">
                  <c:v>-5.4829999999999997</c:v>
                </c:pt>
                <c:pt idx="34">
                  <c:v>-5.5074484848484841</c:v>
                </c:pt>
                <c:pt idx="35">
                  <c:v>-5.5322969696969695</c:v>
                </c:pt>
                <c:pt idx="36">
                  <c:v>-5.5567272727272723</c:v>
                </c:pt>
                <c:pt idx="37">
                  <c:v>-5.5809863842662635</c:v>
                </c:pt>
                <c:pt idx="38">
                  <c:v>-5.6056459909228442</c:v>
                </c:pt>
                <c:pt idx="39">
                  <c:v>-5.6303055975794249</c:v>
                </c:pt>
                <c:pt idx="40">
                  <c:v>-5.6549652042360066</c:v>
                </c:pt>
                <c:pt idx="41">
                  <c:v>-5.6796248108925873</c:v>
                </c:pt>
                <c:pt idx="42">
                  <c:v>-5.704284417549168</c:v>
                </c:pt>
                <c:pt idx="43">
                  <c:v>-5.7289440242057488</c:v>
                </c:pt>
                <c:pt idx="44">
                  <c:v>-5.7543192133131624</c:v>
                </c:pt>
                <c:pt idx="45">
                  <c:v>-5.7806429652042359</c:v>
                </c:pt>
                <c:pt idx="46">
                  <c:v>-5.8069667170953103</c:v>
                </c:pt>
                <c:pt idx="47">
                  <c:v>-5.8332904689863847</c:v>
                </c:pt>
                <c:pt idx="48">
                  <c:v>-5.8596142208774582</c:v>
                </c:pt>
                <c:pt idx="49">
                  <c:v>-5.8859379727685326</c:v>
                </c:pt>
                <c:pt idx="50">
                  <c:v>-5.912261724659607</c:v>
                </c:pt>
                <c:pt idx="51">
                  <c:v>-5.942966666666667</c:v>
                </c:pt>
                <c:pt idx="52">
                  <c:v>-5.9746333333333332</c:v>
                </c:pt>
                <c:pt idx="53">
                  <c:v>-6.0063000000000004</c:v>
                </c:pt>
                <c:pt idx="54">
                  <c:v>-6.0379666666666667</c:v>
                </c:pt>
                <c:pt idx="55">
                  <c:v>-6.0696333333333339</c:v>
                </c:pt>
                <c:pt idx="56">
                  <c:v>-6.1013000000000002</c:v>
                </c:pt>
                <c:pt idx="57">
                  <c:v>-6.132493975903615</c:v>
                </c:pt>
                <c:pt idx="58">
                  <c:v>-6.1620120481927714</c:v>
                </c:pt>
                <c:pt idx="59">
                  <c:v>-6.190612121212121</c:v>
                </c:pt>
                <c:pt idx="60">
                  <c:v>-6.2184909090909093</c:v>
                </c:pt>
                <c:pt idx="61">
                  <c:v>-6.2441636363636368</c:v>
                </c:pt>
                <c:pt idx="62">
                  <c:v>-6.2693030303030302</c:v>
                </c:pt>
                <c:pt idx="63">
                  <c:v>-6.2935454545454546</c:v>
                </c:pt>
                <c:pt idx="64">
                  <c:v>-6.3174181818181818</c:v>
                </c:pt>
                <c:pt idx="65">
                  <c:v>-6.3410545454545453</c:v>
                </c:pt>
                <c:pt idx="66">
                  <c:v>-6.363397590361445</c:v>
                </c:pt>
                <c:pt idx="67">
                  <c:v>-6.385727272727272</c:v>
                </c:pt>
                <c:pt idx="68">
                  <c:v>-6.4081515151515154</c:v>
                </c:pt>
                <c:pt idx="69">
                  <c:v>-6.4301818181818184</c:v>
                </c:pt>
                <c:pt idx="70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D609-4FE0-96FF-D1AEBD39E5D9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  <c:pt idx="0">
                  <c:v>-22.065575757575758</c:v>
                </c:pt>
                <c:pt idx="1">
                  <c:v>-21.674060606060607</c:v>
                </c:pt>
                <c:pt idx="2">
                  <c:v>-21.395272727272726</c:v>
                </c:pt>
                <c:pt idx="3">
                  <c:v>-21.244787878787879</c:v>
                </c:pt>
                <c:pt idx="4">
                  <c:v>-21.157019667170953</c:v>
                </c:pt>
                <c:pt idx="5">
                  <c:v>-21.244765506807866</c:v>
                </c:pt>
                <c:pt idx="6">
                  <c:v>-21.332511346444779</c:v>
                </c:pt>
                <c:pt idx="7">
                  <c:v>-21.420257186081695</c:v>
                </c:pt>
                <c:pt idx="8">
                  <c:v>-21.508003025718608</c:v>
                </c:pt>
                <c:pt idx="9">
                  <c:v>-21.595748865355521</c:v>
                </c:pt>
                <c:pt idx="10">
                  <c:v>-21.683494704992437</c:v>
                </c:pt>
                <c:pt idx="11">
                  <c:v>-21.792666666666666</c:v>
                </c:pt>
                <c:pt idx="12">
                  <c:v>-21.925999999999998</c:v>
                </c:pt>
                <c:pt idx="13">
                  <c:v>-22.049393939393937</c:v>
                </c:pt>
                <c:pt idx="14">
                  <c:v>-22.167409638554215</c:v>
                </c:pt>
                <c:pt idx="15">
                  <c:v>-22.269819277108432</c:v>
                </c:pt>
                <c:pt idx="16">
                  <c:v>-22.363272727272729</c:v>
                </c:pt>
                <c:pt idx="17">
                  <c:v>-22.448121212121212</c:v>
                </c:pt>
                <c:pt idx="18">
                  <c:v>-22.532969696969698</c:v>
                </c:pt>
                <c:pt idx="19">
                  <c:v>-22.620363636363638</c:v>
                </c:pt>
                <c:pt idx="20">
                  <c:v>-22.717333333333336</c:v>
                </c:pt>
                <c:pt idx="21">
                  <c:v>-22.82448484848485</c:v>
                </c:pt>
                <c:pt idx="22">
                  <c:v>-22.939636363636364</c:v>
                </c:pt>
                <c:pt idx="23">
                  <c:v>-23.059638554216868</c:v>
                </c:pt>
                <c:pt idx="24">
                  <c:v>-23.183333333333334</c:v>
                </c:pt>
                <c:pt idx="25">
                  <c:v>-23.316666666666666</c:v>
                </c:pt>
                <c:pt idx="26">
                  <c:v>-23.453636363636363</c:v>
                </c:pt>
                <c:pt idx="27">
                  <c:v>-23.593030303030304</c:v>
                </c:pt>
                <c:pt idx="28">
                  <c:v>-23.738181818181818</c:v>
                </c:pt>
                <c:pt idx="29">
                  <c:v>-23.881818181818183</c:v>
                </c:pt>
                <c:pt idx="30">
                  <c:v>-24.02121212121212</c:v>
                </c:pt>
                <c:pt idx="31">
                  <c:v>-24.163975903614457</c:v>
                </c:pt>
                <c:pt idx="32">
                  <c:v>-24.308554216867467</c:v>
                </c:pt>
                <c:pt idx="33">
                  <c:v>-24.448</c:v>
                </c:pt>
                <c:pt idx="34">
                  <c:v>-24.587393939393937</c:v>
                </c:pt>
                <c:pt idx="35">
                  <c:v>-24.726787878787878</c:v>
                </c:pt>
                <c:pt idx="36">
                  <c:v>-24.866181818181818</c:v>
                </c:pt>
                <c:pt idx="37">
                  <c:v>-25.005446293494703</c:v>
                </c:pt>
                <c:pt idx="38">
                  <c:v>-25.141603630862328</c:v>
                </c:pt>
                <c:pt idx="39">
                  <c:v>-25.277760968229956</c:v>
                </c:pt>
                <c:pt idx="40">
                  <c:v>-25.41391830559758</c:v>
                </c:pt>
                <c:pt idx="41">
                  <c:v>-25.550075642965204</c:v>
                </c:pt>
                <c:pt idx="42">
                  <c:v>-25.686232980332829</c:v>
                </c:pt>
                <c:pt idx="43">
                  <c:v>-25.822390317700453</c:v>
                </c:pt>
                <c:pt idx="44">
                  <c:v>-25.955295007564295</c:v>
                </c:pt>
                <c:pt idx="45">
                  <c:v>-26.083888048411495</c:v>
                </c:pt>
                <c:pt idx="46">
                  <c:v>-26.212481089258699</c:v>
                </c:pt>
                <c:pt idx="47">
                  <c:v>-26.341074130105898</c:v>
                </c:pt>
                <c:pt idx="48">
                  <c:v>-26.469667170953102</c:v>
                </c:pt>
                <c:pt idx="49">
                  <c:v>-26.598260211800302</c:v>
                </c:pt>
                <c:pt idx="50">
                  <c:v>-26.726853252647505</c:v>
                </c:pt>
                <c:pt idx="51">
                  <c:v>-26.849393939393941</c:v>
                </c:pt>
                <c:pt idx="52">
                  <c:v>-26.970606060606062</c:v>
                </c:pt>
                <c:pt idx="53">
                  <c:v>-27.091818181818184</c:v>
                </c:pt>
                <c:pt idx="54">
                  <c:v>-27.213030303030305</c:v>
                </c:pt>
                <c:pt idx="55">
                  <c:v>-27.334242424242426</c:v>
                </c:pt>
                <c:pt idx="56">
                  <c:v>-27.455454545454547</c:v>
                </c:pt>
                <c:pt idx="57">
                  <c:v>-27.576506024096386</c:v>
                </c:pt>
                <c:pt idx="58">
                  <c:v>-27.69698795180723</c:v>
                </c:pt>
                <c:pt idx="59">
                  <c:v>-27.817878787878787</c:v>
                </c:pt>
                <c:pt idx="60">
                  <c:v>-27.939090909090908</c:v>
                </c:pt>
                <c:pt idx="61">
                  <c:v>-28.060303030303029</c:v>
                </c:pt>
                <c:pt idx="62">
                  <c:v>-28.18151515151515</c:v>
                </c:pt>
                <c:pt idx="63">
                  <c:v>-28.302727272727275</c:v>
                </c:pt>
                <c:pt idx="64">
                  <c:v>-28.420242424242424</c:v>
                </c:pt>
                <c:pt idx="65">
                  <c:v>-28.535393939393938</c:v>
                </c:pt>
                <c:pt idx="66">
                  <c:v>-28.655662650602409</c:v>
                </c:pt>
                <c:pt idx="67">
                  <c:v>-28.776363636363634</c:v>
                </c:pt>
                <c:pt idx="68">
                  <c:v>-28.897575757575758</c:v>
                </c:pt>
                <c:pt idx="69">
                  <c:v>-29.014848484848486</c:v>
                </c:pt>
                <c:pt idx="70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D609-4FE0-96FF-D1AEBD39E5D9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D609-4FE0-96FF-D1AEBD39E5D9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D609-4FE0-96FF-D1AEBD39E5D9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D609-4FE0-96FF-D1AEBD39E5D9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D609-4FE0-96FF-D1AEBD39E5D9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D609-4FE0-96FF-D1AEBD39E5D9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D609-4FE0-96FF-D1AEBD39E5D9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D609-4FE0-96FF-D1AEBD39E5D9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D609-4FE0-96FF-D1AEBD39E5D9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D609-4FE0-96FF-D1AEBD39E5D9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D609-4FE0-96FF-D1AEBD39E5D9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D609-4FE0-96FF-D1AEBD39E5D9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  <c:pt idx="0">
                  <c:v>End2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D609-4FE0-96FF-D1AEBD39E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44903</xdr:colOff>
      <xdr:row>2</xdr:row>
      <xdr:rowOff>37142</xdr:rowOff>
    </xdr:from>
    <xdr:to>
      <xdr:col>82</xdr:col>
      <xdr:colOff>850003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78440</xdr:colOff>
      <xdr:row>18</xdr:row>
      <xdr:rowOff>89646</xdr:rowOff>
    </xdr:from>
    <xdr:to>
      <xdr:col>82</xdr:col>
      <xdr:colOff>883540</xdr:colOff>
      <xdr:row>36</xdr:row>
      <xdr:rowOff>32546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78441</xdr:colOff>
      <xdr:row>18</xdr:row>
      <xdr:rowOff>89647</xdr:rowOff>
    </xdr:from>
    <xdr:to>
      <xdr:col>82</xdr:col>
      <xdr:colOff>883541</xdr:colOff>
      <xdr:row>36</xdr:row>
      <xdr:rowOff>32547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0</xdr:colOff>
      <xdr:row>18</xdr:row>
      <xdr:rowOff>0</xdr:rowOff>
    </xdr:from>
    <xdr:to>
      <xdr:col>82</xdr:col>
      <xdr:colOff>805100</xdr:colOff>
      <xdr:row>35</xdr:row>
      <xdr:rowOff>209600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71</xdr:col>
          <xdr:colOff>104775</xdr:colOff>
          <xdr:row>0</xdr:row>
          <xdr:rowOff>47625</xdr:rowOff>
        </xdr:from>
        <xdr:to>
          <xdr:col>72</xdr:col>
          <xdr:colOff>866775</xdr:colOff>
          <xdr:row>0</xdr:row>
          <xdr:rowOff>390525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72</xdr:col>
      <xdr:colOff>0</xdr:colOff>
      <xdr:row>99</xdr:row>
      <xdr:rowOff>0</xdr:rowOff>
    </xdr:from>
    <xdr:to>
      <xdr:col>76</xdr:col>
      <xdr:colOff>5899</xdr:colOff>
      <xdr:row>112</xdr:row>
      <xdr:rowOff>53525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75</xdr:col>
      <xdr:colOff>914399</xdr:colOff>
      <xdr:row>98</xdr:row>
      <xdr:rowOff>276224</xdr:rowOff>
    </xdr:from>
    <xdr:to>
      <xdr:col>80</xdr:col>
      <xdr:colOff>5899</xdr:colOff>
      <xdr:row>112</xdr:row>
      <xdr:rowOff>53524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72</xdr:col>
      <xdr:colOff>0</xdr:colOff>
      <xdr:row>113</xdr:row>
      <xdr:rowOff>0</xdr:rowOff>
    </xdr:from>
    <xdr:to>
      <xdr:col>76</xdr:col>
      <xdr:colOff>9364</xdr:colOff>
      <xdr:row>126</xdr:row>
      <xdr:rowOff>88162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72</xdr:col>
      <xdr:colOff>0</xdr:colOff>
      <xdr:row>127</xdr:row>
      <xdr:rowOff>0</xdr:rowOff>
    </xdr:from>
    <xdr:to>
      <xdr:col>76</xdr:col>
      <xdr:colOff>5900</xdr:colOff>
      <xdr:row>140</xdr:row>
      <xdr:rowOff>108076</xdr:rowOff>
    </xdr:to>
    <xdr:graphicFrame macro="">
      <xdr:nvGraphicFramePr>
        <xdr:cNvPr id="24" name="Диаграмма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76</xdr:col>
      <xdr:colOff>0</xdr:colOff>
      <xdr:row>127</xdr:row>
      <xdr:rowOff>0</xdr:rowOff>
    </xdr:from>
    <xdr:to>
      <xdr:col>80</xdr:col>
      <xdr:colOff>9363</xdr:colOff>
      <xdr:row>140</xdr:row>
      <xdr:rowOff>107210</xdr:rowOff>
    </xdr:to>
    <xdr:graphicFrame macro="">
      <xdr:nvGraphicFramePr>
        <xdr:cNvPr id="25" name="Диаграмма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72</xdr:col>
      <xdr:colOff>0</xdr:colOff>
      <xdr:row>141</xdr:row>
      <xdr:rowOff>0</xdr:rowOff>
    </xdr:from>
    <xdr:to>
      <xdr:col>76</xdr:col>
      <xdr:colOff>5900</xdr:colOff>
      <xdr:row>155</xdr:row>
      <xdr:rowOff>31011</xdr:rowOff>
    </xdr:to>
    <xdr:graphicFrame macro="">
      <xdr:nvGraphicFramePr>
        <xdr:cNvPr id="26" name="Диаграмма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76</xdr:col>
      <xdr:colOff>0</xdr:colOff>
      <xdr:row>141</xdr:row>
      <xdr:rowOff>0</xdr:rowOff>
    </xdr:from>
    <xdr:to>
      <xdr:col>80</xdr:col>
      <xdr:colOff>5899</xdr:colOff>
      <xdr:row>155</xdr:row>
      <xdr:rowOff>37938</xdr:rowOff>
    </xdr:to>
    <xdr:graphicFrame macro="">
      <xdr:nvGraphicFramePr>
        <xdr:cNvPr id="27" name="Диаграмма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447675</xdr:colOff>
          <xdr:row>0</xdr:row>
          <xdr:rowOff>47625</xdr:rowOff>
        </xdr:from>
        <xdr:to>
          <xdr:col>73</xdr:col>
          <xdr:colOff>819150</xdr:colOff>
          <xdr:row>0</xdr:row>
          <xdr:rowOff>371475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73</xdr:col>
      <xdr:colOff>44824</xdr:colOff>
      <xdr:row>98</xdr:row>
      <xdr:rowOff>268941</xdr:rowOff>
    </xdr:from>
    <xdr:to>
      <xdr:col>77</xdr:col>
      <xdr:colOff>50723</xdr:colOff>
      <xdr:row>112</xdr:row>
      <xdr:rowOff>42319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76</xdr:col>
      <xdr:colOff>914399</xdr:colOff>
      <xdr:row>98</xdr:row>
      <xdr:rowOff>276224</xdr:rowOff>
    </xdr:from>
    <xdr:to>
      <xdr:col>81</xdr:col>
      <xdr:colOff>5899</xdr:colOff>
      <xdr:row>112</xdr:row>
      <xdr:rowOff>53524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73</xdr:col>
      <xdr:colOff>0</xdr:colOff>
      <xdr:row>113</xdr:row>
      <xdr:rowOff>0</xdr:rowOff>
    </xdr:from>
    <xdr:to>
      <xdr:col>77</xdr:col>
      <xdr:colOff>9364</xdr:colOff>
      <xdr:row>126</xdr:row>
      <xdr:rowOff>88162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73</xdr:col>
      <xdr:colOff>0</xdr:colOff>
      <xdr:row>127</xdr:row>
      <xdr:rowOff>0</xdr:rowOff>
    </xdr:from>
    <xdr:to>
      <xdr:col>77</xdr:col>
      <xdr:colOff>5900</xdr:colOff>
      <xdr:row>140</xdr:row>
      <xdr:rowOff>108076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77</xdr:col>
      <xdr:colOff>0</xdr:colOff>
      <xdr:row>127</xdr:row>
      <xdr:rowOff>0</xdr:rowOff>
    </xdr:from>
    <xdr:to>
      <xdr:col>81</xdr:col>
      <xdr:colOff>9363</xdr:colOff>
      <xdr:row>140</xdr:row>
      <xdr:rowOff>107210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73</xdr:col>
      <xdr:colOff>33617</xdr:colOff>
      <xdr:row>141</xdr:row>
      <xdr:rowOff>0</xdr:rowOff>
    </xdr:from>
    <xdr:to>
      <xdr:col>77</xdr:col>
      <xdr:colOff>39517</xdr:colOff>
      <xdr:row>155</xdr:row>
      <xdr:rowOff>31011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77</xdr:col>
      <xdr:colOff>0</xdr:colOff>
      <xdr:row>141</xdr:row>
      <xdr:rowOff>0</xdr:rowOff>
    </xdr:from>
    <xdr:to>
      <xdr:col>81</xdr:col>
      <xdr:colOff>5899</xdr:colOff>
      <xdr:row>155</xdr:row>
      <xdr:rowOff>37938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47625</xdr:rowOff>
        </xdr:from>
        <xdr:to>
          <xdr:col>0</xdr:col>
          <xdr:colOff>419100</xdr:colOff>
          <xdr:row>9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A0BBA-9B15-410E-AA48-90254DD9ED69}">
  <sheetPr codeName="Лист1">
    <tabColor theme="0"/>
  </sheetPr>
  <dimension ref="A1:G6"/>
  <sheetViews>
    <sheetView zoomScale="115" zoomScaleNormal="115" workbookViewId="0">
      <selection activeCell="E7" sqref="E7"/>
    </sheetView>
  </sheetViews>
  <sheetFormatPr defaultRowHeight="21" x14ac:dyDescent="0.35"/>
  <cols>
    <col min="1" max="1" width="17.54296875" customWidth="1"/>
  </cols>
  <sheetData>
    <row r="1" spans="1:7" ht="30" thickTop="1" thickBot="1" x14ac:dyDescent="0.4">
      <c r="A1" s="19" t="s">
        <v>25</v>
      </c>
      <c r="B1" s="38">
        <v>700</v>
      </c>
      <c r="D1" s="99" t="s">
        <v>37</v>
      </c>
      <c r="E1" s="100"/>
      <c r="F1" s="100"/>
      <c r="G1" s="100"/>
    </row>
    <row r="2" spans="1:7" ht="21.75" thickTop="1" x14ac:dyDescent="0.35">
      <c r="A2" s="48"/>
      <c r="B2" s="48"/>
      <c r="D2" s="7" t="s">
        <v>1</v>
      </c>
      <c r="E2" s="64" t="s">
        <v>3</v>
      </c>
      <c r="F2" s="7" t="s">
        <v>4</v>
      </c>
      <c r="G2" s="7" t="s">
        <v>2</v>
      </c>
    </row>
    <row r="3" spans="1:7" ht="27.75" customHeight="1" x14ac:dyDescent="0.35">
      <c r="A3" t="s">
        <v>43</v>
      </c>
      <c r="B3" t="s">
        <v>45</v>
      </c>
      <c r="D3" s="38">
        <v>25</v>
      </c>
      <c r="E3" s="38">
        <v>30</v>
      </c>
      <c r="F3" s="38">
        <v>10</v>
      </c>
      <c r="G3" s="38">
        <v>60</v>
      </c>
    </row>
    <row r="4" spans="1:7" x14ac:dyDescent="0.35">
      <c r="A4" s="48" t="s">
        <v>43</v>
      </c>
      <c r="B4" t="s">
        <v>46</v>
      </c>
    </row>
    <row r="5" spans="1:7" x14ac:dyDescent="0.35">
      <c r="A5" s="87" t="s">
        <v>44</v>
      </c>
      <c r="B5" t="s">
        <v>47</v>
      </c>
    </row>
    <row r="6" spans="1:7" x14ac:dyDescent="0.35">
      <c r="A6" s="87" t="s">
        <v>48</v>
      </c>
      <c r="B6" t="s">
        <v>49</v>
      </c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8CB25-3131-467D-93BB-0DFC06C5A37F}">
  <sheetPr codeName="Лист2">
    <tabColor rgb="FFFF0000"/>
  </sheetPr>
  <dimension ref="A1:CI136"/>
  <sheetViews>
    <sheetView topLeftCell="A49" zoomScale="85" zoomScaleNormal="85" zoomScaleSheetLayoutView="25" workbookViewId="0">
      <selection activeCell="CH26" sqref="CH26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20" width="8.6328125" hidden="1" customWidth="1"/>
    <col min="21" max="21" width="8.6328125" style="26" hidden="1" customWidth="1"/>
    <col min="22" max="22" width="8.6328125" style="27" hidden="1" customWidth="1"/>
    <col min="23" max="23" width="8.6328125" style="58" hidden="1" customWidth="1"/>
    <col min="24" max="38" width="8.6328125" hidden="1" customWidth="1"/>
    <col min="39" max="69" width="8.6328125" style="48" hidden="1" customWidth="1"/>
    <col min="70" max="70" width="3" style="48" customWidth="1"/>
    <col min="71" max="71" width="6.6328125" style="48" customWidth="1"/>
  </cols>
  <sheetData>
    <row r="1" spans="1:87" ht="29.25" customHeight="1" thickBot="1" x14ac:dyDescent="0.4">
      <c r="A1" s="98" t="s">
        <v>23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8"/>
      <c r="AT1" s="98"/>
      <c r="AU1" s="98"/>
      <c r="AV1" s="98"/>
      <c r="AW1" s="98"/>
      <c r="AX1" s="98"/>
      <c r="AY1" s="98"/>
      <c r="AZ1" s="98"/>
      <c r="BA1" s="98"/>
      <c r="BB1" s="98"/>
      <c r="BC1" s="98"/>
      <c r="BD1" s="98"/>
      <c r="BE1" s="98"/>
      <c r="BF1" s="98"/>
      <c r="BG1" s="98"/>
      <c r="BH1" s="98"/>
      <c r="BI1" s="98"/>
      <c r="BJ1" s="98"/>
      <c r="BK1" s="98"/>
      <c r="BL1" s="98"/>
      <c r="BM1" s="98"/>
      <c r="BN1" s="98"/>
      <c r="BO1" s="98"/>
      <c r="BP1" s="98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98"/>
    </row>
    <row r="2" spans="1:87" ht="21" customHeight="1" thickBot="1" x14ac:dyDescent="0.45">
      <c r="A2" s="76">
        <f>Values!B1</f>
        <v>700</v>
      </c>
      <c r="B2" s="77">
        <v>8.3145000000000007</v>
      </c>
      <c r="C2" s="66"/>
      <c r="D2" s="66"/>
      <c r="E2" s="65" t="s">
        <v>18</v>
      </c>
      <c r="F2" s="66"/>
      <c r="G2" s="65"/>
      <c r="H2" s="65"/>
      <c r="I2" s="65"/>
      <c r="J2" s="65"/>
      <c r="K2" s="67"/>
      <c r="L2" s="67"/>
      <c r="M2" s="67"/>
      <c r="N2" s="67"/>
      <c r="O2" s="67"/>
      <c r="P2" s="67"/>
      <c r="Q2" s="67"/>
      <c r="R2" s="67"/>
      <c r="S2" s="67"/>
      <c r="T2" s="67"/>
      <c r="U2" s="68"/>
      <c r="V2" s="69"/>
      <c r="W2" s="70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7"/>
      <c r="AM2" s="67"/>
      <c r="AN2" s="67"/>
      <c r="AO2" s="67"/>
      <c r="AP2" s="67"/>
      <c r="AQ2" s="67"/>
      <c r="AR2" s="67"/>
      <c r="AS2" s="67"/>
      <c r="AT2" s="67"/>
      <c r="AU2" s="67"/>
      <c r="AV2" s="67"/>
      <c r="AW2" s="67"/>
      <c r="AX2" s="67"/>
      <c r="AY2" s="67"/>
      <c r="AZ2" s="67"/>
      <c r="BA2" s="67"/>
      <c r="BB2" s="67"/>
      <c r="BC2" s="67"/>
      <c r="BD2" s="67"/>
      <c r="BE2" s="67"/>
      <c r="BF2" s="67"/>
      <c r="BG2" s="67"/>
      <c r="BH2" s="67"/>
      <c r="BI2" s="67"/>
      <c r="BJ2" s="67"/>
      <c r="BK2" s="67"/>
      <c r="BL2" s="67"/>
      <c r="BM2" s="67"/>
      <c r="BN2" s="67"/>
      <c r="BO2" s="67"/>
      <c r="BP2" s="67"/>
      <c r="BQ2" s="67"/>
      <c r="BR2" s="67"/>
      <c r="BS2" s="67"/>
      <c r="BT2" s="71"/>
      <c r="BU2" s="75"/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8"/>
    </row>
    <row r="3" spans="1:87" ht="21" customHeight="1" outlineLevel="1" thickTop="1" thickBot="1" x14ac:dyDescent="0.4">
      <c r="A3" s="40" t="s">
        <v>1</v>
      </c>
      <c r="B3" s="40" t="s">
        <v>2</v>
      </c>
      <c r="C3" s="40" t="s">
        <v>3</v>
      </c>
      <c r="D3" s="41" t="s">
        <v>4</v>
      </c>
      <c r="E3" s="4" t="s">
        <v>66</v>
      </c>
      <c r="F3" s="3">
        <v>273.10000000000002</v>
      </c>
      <c r="G3" s="3">
        <v>289.7</v>
      </c>
      <c r="H3" s="3">
        <v>306.2</v>
      </c>
      <c r="I3" s="3">
        <v>322.7</v>
      </c>
      <c r="J3" s="3">
        <v>339.2</v>
      </c>
      <c r="K3" s="3">
        <v>405.3</v>
      </c>
      <c r="L3" s="3">
        <v>421.8</v>
      </c>
      <c r="M3" s="3">
        <v>438.3</v>
      </c>
      <c r="N3" s="3">
        <v>454.9</v>
      </c>
      <c r="O3" s="3">
        <v>471.4</v>
      </c>
      <c r="P3" s="3">
        <v>487.9</v>
      </c>
      <c r="Q3" s="3">
        <v>504.4</v>
      </c>
      <c r="R3" s="3">
        <v>520.9</v>
      </c>
      <c r="S3" s="3">
        <v>537.5</v>
      </c>
      <c r="T3" s="52">
        <v>554</v>
      </c>
      <c r="U3" s="55">
        <v>570.5</v>
      </c>
      <c r="V3" s="3">
        <v>587</v>
      </c>
      <c r="W3" s="1">
        <v>603.5</v>
      </c>
      <c r="X3" s="53">
        <v>620.1</v>
      </c>
      <c r="Y3" s="3">
        <v>636.6</v>
      </c>
      <c r="Z3" s="3">
        <v>653.1</v>
      </c>
      <c r="AA3" s="3">
        <v>669.6</v>
      </c>
      <c r="AB3" s="4">
        <v>735.7</v>
      </c>
      <c r="AC3" s="4">
        <v>801.8</v>
      </c>
      <c r="AD3" s="4">
        <v>867.8</v>
      </c>
      <c r="AE3" s="4">
        <v>884.4</v>
      </c>
      <c r="AF3" s="4">
        <v>900.9</v>
      </c>
      <c r="AG3" s="4">
        <v>917.4</v>
      </c>
      <c r="AH3" s="4">
        <v>933.9</v>
      </c>
      <c r="AI3" s="4">
        <v>950.4</v>
      </c>
      <c r="AJ3" s="4">
        <v>967</v>
      </c>
      <c r="AK3" s="4">
        <v>983.5</v>
      </c>
      <c r="AL3" s="20">
        <v>1000</v>
      </c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48"/>
      <c r="CI3" s="48"/>
    </row>
    <row r="4" spans="1:87" ht="21" customHeight="1" outlineLevel="1" thickTop="1" thickBot="1" x14ac:dyDescent="0.4">
      <c r="A4" s="42">
        <f>IF( ISNUMBER( FIND(A$3,$E4,1)),   IF( ISNUMBER( VALUE(MID($E4,FIND(A$3,$E4,1)+2,1)) ), VALUE( MID($E4,FIND(A$3,$E4,1)+2,1) ),1),0)</f>
        <v>0</v>
      </c>
      <c r="B4" s="42">
        <f t="shared" ref="B4:D19" si="0">IF( ISNUMBER( FIND(B$3,$E4,1)),   IF( ISNUMBER( VALUE(MID($E4,FIND(B$3,$E4,1)+2,1)) ), VALUE( MID($E4,FIND(B$3,$E4,1)+2,1) ),1),0)</f>
        <v>1</v>
      </c>
      <c r="C4" s="42">
        <f t="shared" si="0"/>
        <v>0</v>
      </c>
      <c r="D4" s="42">
        <f t="shared" si="0"/>
        <v>0</v>
      </c>
      <c r="E4" s="46" t="s">
        <v>51</v>
      </c>
      <c r="F4" s="86">
        <v>0</v>
      </c>
      <c r="G4" s="86">
        <v>1.2332000000000001E-32</v>
      </c>
      <c r="H4" s="86">
        <v>2.6809000000000002E-23</v>
      </c>
      <c r="I4" s="86">
        <v>1.3057000000000001E-19</v>
      </c>
      <c r="J4" s="86">
        <v>4.9528000000000003E-18</v>
      </c>
      <c r="K4" s="86">
        <v>6.4772999999999998E-16</v>
      </c>
      <c r="L4" s="86">
        <v>5.5125000000000003E-15</v>
      </c>
      <c r="M4" s="86">
        <v>2.107E-13</v>
      </c>
      <c r="N4" s="86">
        <v>3.3470000000000002E-11</v>
      </c>
      <c r="O4" s="86">
        <v>1.7606999999999999E-9</v>
      </c>
      <c r="P4" s="86">
        <v>5.4517000000000001E-9</v>
      </c>
      <c r="Q4" s="86">
        <v>8.0913000000000008E-9</v>
      </c>
      <c r="R4" s="86">
        <v>1.0287999999999999E-8</v>
      </c>
      <c r="S4" s="86">
        <v>1.6545E-8</v>
      </c>
      <c r="T4" s="86">
        <v>1.8688000000000002E-8</v>
      </c>
      <c r="U4" s="86">
        <v>1.6283000000000001E-8</v>
      </c>
      <c r="V4" s="86">
        <v>1.2261999999999999E-8</v>
      </c>
      <c r="W4" s="86">
        <v>1.5364999999999999E-8</v>
      </c>
      <c r="X4" s="86">
        <v>1.7704000000000001E-8</v>
      </c>
      <c r="Y4" s="86">
        <v>1.8891E-8</v>
      </c>
      <c r="Z4" s="86">
        <v>1.9265000000000001E-8</v>
      </c>
      <c r="AA4" s="86">
        <v>1.9264E-8</v>
      </c>
      <c r="AB4" s="86">
        <v>1.9528000000000001E-8</v>
      </c>
      <c r="AC4" s="86">
        <v>1.4852E-8</v>
      </c>
      <c r="AD4" s="86">
        <v>1.8445999999999999E-8</v>
      </c>
      <c r="AE4" s="86">
        <v>2.4019000000000002E-8</v>
      </c>
      <c r="AF4" s="86">
        <v>2.8652999999999999E-8</v>
      </c>
      <c r="AG4" s="86">
        <v>1.9151999999999998E-8</v>
      </c>
      <c r="AH4" s="86">
        <v>2.0821999999999999E-8</v>
      </c>
      <c r="AI4" s="86">
        <v>2.2121E-8</v>
      </c>
      <c r="AJ4" s="86">
        <v>2.3125E-8</v>
      </c>
      <c r="AK4" s="86">
        <v>2.3739999999999999E-8</v>
      </c>
      <c r="AL4" s="86">
        <v>2.4061E-8</v>
      </c>
      <c r="AM4" s="86"/>
      <c r="AN4" s="86"/>
      <c r="AO4" s="86"/>
      <c r="AP4" s="86"/>
      <c r="AQ4" s="86"/>
      <c r="AR4" s="86"/>
      <c r="AS4" s="86"/>
      <c r="AT4" s="86"/>
      <c r="AU4" s="86"/>
      <c r="AV4" s="86"/>
      <c r="AW4" s="86"/>
      <c r="AX4" s="86"/>
      <c r="AY4" s="86"/>
      <c r="AZ4" s="86"/>
      <c r="BA4" s="86"/>
      <c r="BB4" s="86"/>
      <c r="BC4" s="86"/>
      <c r="BD4" s="86"/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48"/>
      <c r="CI4" s="48"/>
    </row>
    <row r="5" spans="1:87" ht="21" customHeight="1" outlineLevel="1" thickBot="1" x14ac:dyDescent="0.4">
      <c r="A5" s="42">
        <f t="shared" ref="A5:D27" si="1">IF( ISNUMBER( FIND(A$3,$E5,1)),   IF( ISNUMBER( VALUE(MID($E5,FIND(A$3,$E5,1)+2,1)) ), VALUE( MID($E5,FIND(A$3,$E5,1)+2,1) ),1),0)</f>
        <v>0</v>
      </c>
      <c r="B5" s="42">
        <f t="shared" si="0"/>
        <v>1</v>
      </c>
      <c r="C5" s="42">
        <f t="shared" si="0"/>
        <v>1</v>
      </c>
      <c r="D5" s="42">
        <f t="shared" si="0"/>
        <v>0</v>
      </c>
      <c r="E5" s="46" t="s">
        <v>55</v>
      </c>
      <c r="F5" s="86">
        <v>5.0425999999999999E-11</v>
      </c>
      <c r="G5" s="86">
        <v>3.5906999999999998E-10</v>
      </c>
      <c r="H5" s="86">
        <v>4.9991000000000002E-9</v>
      </c>
      <c r="I5" s="86">
        <v>1.1377E-8</v>
      </c>
      <c r="J5" s="86">
        <v>1.5484000000000002E-8</v>
      </c>
      <c r="K5" s="86">
        <v>2.6606E-8</v>
      </c>
      <c r="L5" s="86">
        <v>2.3353000000000001E-8</v>
      </c>
      <c r="M5" s="86">
        <v>1.5670999999999999E-8</v>
      </c>
      <c r="N5" s="86">
        <v>7.0690999999999999E-9</v>
      </c>
      <c r="O5" s="86">
        <v>4.8526000000000004E-10</v>
      </c>
      <c r="P5" s="86">
        <v>2.4603000000000001E-13</v>
      </c>
      <c r="Q5" s="86">
        <v>1.3894000000000001E-18</v>
      </c>
      <c r="R5" s="86">
        <v>2.2517000000000001E-25</v>
      </c>
      <c r="S5" s="86">
        <v>1.5275000000000001E-32</v>
      </c>
      <c r="T5" s="86">
        <v>0</v>
      </c>
      <c r="U5" s="86">
        <v>0</v>
      </c>
      <c r="V5" s="86">
        <v>0</v>
      </c>
      <c r="W5" s="86">
        <v>0</v>
      </c>
      <c r="X5" s="86">
        <v>0</v>
      </c>
      <c r="Y5" s="86">
        <v>0</v>
      </c>
      <c r="Z5" s="86">
        <v>0</v>
      </c>
      <c r="AA5" s="86">
        <v>0</v>
      </c>
      <c r="AB5" s="86">
        <v>0</v>
      </c>
      <c r="AC5" s="86">
        <v>0</v>
      </c>
      <c r="AD5" s="86">
        <v>0</v>
      </c>
      <c r="AE5" s="86">
        <v>0</v>
      </c>
      <c r="AF5" s="86">
        <v>0</v>
      </c>
      <c r="AG5" s="86">
        <v>0</v>
      </c>
      <c r="AH5" s="86">
        <v>0</v>
      </c>
      <c r="AI5" s="86">
        <v>0</v>
      </c>
      <c r="AJ5" s="86">
        <v>0</v>
      </c>
      <c r="AK5" s="86">
        <v>0</v>
      </c>
      <c r="AL5" s="86">
        <v>0</v>
      </c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2">
        <f t="shared" si="1"/>
        <v>1</v>
      </c>
      <c r="B6" s="42">
        <f t="shared" si="0"/>
        <v>0</v>
      </c>
      <c r="C6" s="42">
        <f t="shared" si="0"/>
        <v>0</v>
      </c>
      <c r="D6" s="42">
        <f t="shared" si="0"/>
        <v>0</v>
      </c>
      <c r="E6" s="46" t="s">
        <v>1</v>
      </c>
      <c r="F6" s="86">
        <v>0.2</v>
      </c>
      <c r="G6" s="86">
        <v>0.2</v>
      </c>
      <c r="H6" s="86">
        <v>0.2</v>
      </c>
      <c r="I6" s="86">
        <v>0.2</v>
      </c>
      <c r="J6" s="86">
        <v>0.2</v>
      </c>
      <c r="K6" s="86">
        <v>0.2</v>
      </c>
      <c r="L6" s="86">
        <v>0.2</v>
      </c>
      <c r="M6" s="86">
        <v>0.2</v>
      </c>
      <c r="N6" s="86">
        <v>0.2</v>
      </c>
      <c r="O6" s="86">
        <v>0.2</v>
      </c>
      <c r="P6" s="86">
        <v>0.2</v>
      </c>
      <c r="Q6" s="86">
        <v>0.2</v>
      </c>
      <c r="R6" s="86">
        <v>0.2</v>
      </c>
      <c r="S6" s="86">
        <v>0.2</v>
      </c>
      <c r="T6" s="86">
        <v>0.2</v>
      </c>
      <c r="U6" s="86">
        <v>0.2</v>
      </c>
      <c r="V6" s="86">
        <v>0.2</v>
      </c>
      <c r="W6" s="86">
        <v>0.2</v>
      </c>
      <c r="X6" s="86">
        <v>0.2</v>
      </c>
      <c r="Y6" s="86">
        <v>0.2</v>
      </c>
      <c r="Z6" s="86">
        <v>0.2</v>
      </c>
      <c r="AA6" s="86">
        <v>0.2</v>
      </c>
      <c r="AB6" s="86">
        <v>0.2</v>
      </c>
      <c r="AC6" s="86">
        <v>0.2</v>
      </c>
      <c r="AD6" s="86">
        <v>0.2</v>
      </c>
      <c r="AE6" s="86">
        <v>0.2</v>
      </c>
      <c r="AF6" s="86">
        <v>0.2</v>
      </c>
      <c r="AG6" s="86">
        <v>0.2</v>
      </c>
      <c r="AH6" s="86">
        <v>0.2</v>
      </c>
      <c r="AI6" s="86">
        <v>0.2</v>
      </c>
      <c r="AJ6" s="86">
        <v>0.2</v>
      </c>
      <c r="AK6" s="86">
        <v>0.2</v>
      </c>
      <c r="AL6" s="86">
        <v>0.2</v>
      </c>
      <c r="AM6" s="86"/>
      <c r="AN6" s="86"/>
      <c r="AO6" s="86"/>
      <c r="AP6" s="86"/>
      <c r="AQ6" s="86"/>
      <c r="AR6" s="86"/>
      <c r="AS6" s="86"/>
      <c r="AT6" s="86"/>
      <c r="AU6" s="86"/>
      <c r="AV6" s="86"/>
      <c r="AW6" s="86"/>
      <c r="AX6" s="86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2">
        <f t="shared" si="1"/>
        <v>0</v>
      </c>
      <c r="B7" s="42">
        <f t="shared" si="0"/>
        <v>2</v>
      </c>
      <c r="C7" s="42">
        <f t="shared" si="0"/>
        <v>1</v>
      </c>
      <c r="D7" s="42">
        <f t="shared" si="0"/>
        <v>0</v>
      </c>
      <c r="E7" s="46" t="s">
        <v>82</v>
      </c>
      <c r="F7" s="86">
        <v>0.11772000000000001</v>
      </c>
      <c r="G7" s="86">
        <v>0.11226</v>
      </c>
      <c r="H7" s="86">
        <v>9.8857E-2</v>
      </c>
      <c r="I7" s="86">
        <v>7.5493000000000005E-2</v>
      </c>
      <c r="J7" s="86">
        <v>4.7884000000000003E-2</v>
      </c>
      <c r="K7" s="86">
        <v>2.8065E-3</v>
      </c>
      <c r="L7" s="86">
        <v>1.3795999999999999E-3</v>
      </c>
      <c r="M7" s="86">
        <v>7.0160999999999997E-4</v>
      </c>
      <c r="N7" s="86">
        <v>3.6528999999999999E-4</v>
      </c>
      <c r="O7" s="86">
        <v>1.8887E-4</v>
      </c>
      <c r="P7" s="86">
        <v>9.2763999999999995E-5</v>
      </c>
      <c r="Q7" s="86">
        <v>4.1637999999999997E-5</v>
      </c>
      <c r="R7" s="86">
        <v>1.6872999999999999E-5</v>
      </c>
      <c r="S7" s="86">
        <v>6.2983000000000003E-6</v>
      </c>
      <c r="T7" s="86">
        <v>2.2473999999999999E-6</v>
      </c>
      <c r="U7" s="86">
        <v>7.9329999999999999E-7</v>
      </c>
      <c r="V7" s="86">
        <v>2.8335000000000001E-7</v>
      </c>
      <c r="W7" s="86">
        <v>1.0365E-7</v>
      </c>
      <c r="X7" s="86">
        <v>3.9033999999999997E-8</v>
      </c>
      <c r="Y7" s="86">
        <v>1.5157000000000001E-8</v>
      </c>
      <c r="Z7" s="86">
        <v>6.0667000000000002E-9</v>
      </c>
      <c r="AA7" s="86">
        <v>2.5005999999999998E-9</v>
      </c>
      <c r="AB7" s="86">
        <v>9.4172000000000001E-11</v>
      </c>
      <c r="AC7" s="86">
        <v>5.1854000000000001E-12</v>
      </c>
      <c r="AD7" s="86">
        <v>4.0165999999999998E-13</v>
      </c>
      <c r="AE7" s="86">
        <v>2.1891E-13</v>
      </c>
      <c r="AF7" s="86">
        <v>1.2035000000000001E-13</v>
      </c>
      <c r="AG7" s="86">
        <v>6.6755999999999998E-14</v>
      </c>
      <c r="AH7" s="86">
        <v>3.7386E-14</v>
      </c>
      <c r="AI7" s="86">
        <v>2.1146000000000001E-14</v>
      </c>
      <c r="AJ7" s="86">
        <v>1.2082E-14</v>
      </c>
      <c r="AK7" s="86">
        <v>6.9717000000000001E-15</v>
      </c>
      <c r="AL7" s="86">
        <v>4.0621999999999996E-15</v>
      </c>
      <c r="AM7" s="86"/>
      <c r="AN7" s="86"/>
      <c r="AO7" s="86"/>
      <c r="AP7" s="86"/>
      <c r="AQ7" s="86"/>
      <c r="AR7" s="86"/>
      <c r="AS7" s="86"/>
      <c r="AT7" s="86"/>
      <c r="AU7" s="86"/>
      <c r="AV7" s="86"/>
      <c r="AW7" s="86"/>
      <c r="AX7" s="86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2">
        <f t="shared" si="1"/>
        <v>0</v>
      </c>
      <c r="B8" s="42">
        <f t="shared" si="0"/>
        <v>1</v>
      </c>
      <c r="C8" s="42">
        <f t="shared" si="0"/>
        <v>1</v>
      </c>
      <c r="D8" s="42">
        <f t="shared" si="0"/>
        <v>0</v>
      </c>
      <c r="E8" s="46" t="s">
        <v>71</v>
      </c>
      <c r="F8" s="86">
        <v>0.12228</v>
      </c>
      <c r="G8" s="86">
        <v>0.12773999999999999</v>
      </c>
      <c r="H8" s="86">
        <v>0.14113999999999999</v>
      </c>
      <c r="I8" s="86">
        <v>0.16450000000000001</v>
      </c>
      <c r="J8" s="86">
        <v>0.19209000000000001</v>
      </c>
      <c r="K8" s="86">
        <v>0.23471</v>
      </c>
      <c r="L8" s="86">
        <v>0.23205000000000001</v>
      </c>
      <c r="M8" s="86">
        <v>0.22372</v>
      </c>
      <c r="N8" s="86">
        <v>0.20701</v>
      </c>
      <c r="O8" s="86">
        <v>0.18007999999999999</v>
      </c>
      <c r="P8" s="86">
        <v>0.14408000000000001</v>
      </c>
      <c r="Q8" s="86">
        <v>0.10426000000000001</v>
      </c>
      <c r="R8" s="86">
        <v>6.8220000000000003E-2</v>
      </c>
      <c r="S8" s="86">
        <v>4.1203999999999998E-2</v>
      </c>
      <c r="T8" s="86">
        <v>2.3717999999999999E-2</v>
      </c>
      <c r="U8" s="86">
        <v>1.3390000000000001E-2</v>
      </c>
      <c r="V8" s="86">
        <v>7.5570000000000003E-3</v>
      </c>
      <c r="W8" s="86">
        <v>4.3089000000000001E-3</v>
      </c>
      <c r="X8" s="86">
        <v>2.4943999999999999E-3</v>
      </c>
      <c r="Y8" s="86">
        <v>1.4687999999999999E-3</v>
      </c>
      <c r="Z8" s="86">
        <v>8.8009999999999998E-4</v>
      </c>
      <c r="AA8" s="86">
        <v>5.3644000000000001E-4</v>
      </c>
      <c r="AB8" s="86">
        <v>8.6570000000000006E-5</v>
      </c>
      <c r="AC8" s="86">
        <v>1.7442E-5</v>
      </c>
      <c r="AD8" s="86">
        <v>4.2738999999999999E-6</v>
      </c>
      <c r="AE8" s="86">
        <v>3.0663000000000002E-6</v>
      </c>
      <c r="AF8" s="86">
        <v>2.2118999999999999E-6</v>
      </c>
      <c r="AG8" s="86">
        <v>1.6046000000000001E-6</v>
      </c>
      <c r="AH8" s="86">
        <v>1.1708000000000001E-6</v>
      </c>
      <c r="AI8" s="86">
        <v>8.5937E-7</v>
      </c>
      <c r="AJ8" s="86">
        <v>6.3453999999999996E-7</v>
      </c>
      <c r="AK8" s="86">
        <v>4.7128999999999998E-7</v>
      </c>
      <c r="AL8" s="86">
        <v>3.5203000000000001E-7</v>
      </c>
      <c r="AM8" s="86"/>
      <c r="AN8" s="86"/>
      <c r="AO8" s="86"/>
      <c r="AP8" s="86"/>
      <c r="AQ8" s="86"/>
      <c r="AR8" s="86"/>
      <c r="AS8" s="86"/>
      <c r="AT8" s="86"/>
      <c r="AU8" s="86"/>
      <c r="AV8" s="86"/>
      <c r="AW8" s="86"/>
      <c r="AX8" s="86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2">
        <f t="shared" si="1"/>
        <v>0</v>
      </c>
      <c r="B9" s="42">
        <f t="shared" si="0"/>
        <v>1</v>
      </c>
      <c r="C9" s="42">
        <f t="shared" si="0"/>
        <v>0</v>
      </c>
      <c r="D9" s="42">
        <f t="shared" si="0"/>
        <v>2</v>
      </c>
      <c r="E9" s="46" t="s">
        <v>83</v>
      </c>
      <c r="F9" s="86">
        <v>3.9999E-2</v>
      </c>
      <c r="G9" s="86">
        <v>3.9996999999999998E-2</v>
      </c>
      <c r="H9" s="86">
        <v>3.9995000000000003E-2</v>
      </c>
      <c r="I9" s="86">
        <v>3.9989999999999998E-2</v>
      </c>
      <c r="J9" s="86">
        <v>3.9978E-2</v>
      </c>
      <c r="K9" s="86">
        <v>3.9584000000000001E-2</v>
      </c>
      <c r="L9" s="86">
        <v>3.9222E-2</v>
      </c>
      <c r="M9" s="86">
        <v>3.8613000000000001E-2</v>
      </c>
      <c r="N9" s="86">
        <v>3.7638999999999999E-2</v>
      </c>
      <c r="O9" s="86">
        <v>3.6138999999999998E-2</v>
      </c>
      <c r="P9" s="86">
        <v>3.3898999999999999E-2</v>
      </c>
      <c r="Q9" s="86">
        <v>3.0683999999999999E-2</v>
      </c>
      <c r="R9" s="86">
        <v>2.6362E-2</v>
      </c>
      <c r="S9" s="86">
        <v>2.1083000000000001E-2</v>
      </c>
      <c r="T9" s="86">
        <v>1.5407000000000001E-2</v>
      </c>
      <c r="U9" s="86">
        <v>1.0189E-2</v>
      </c>
      <c r="V9" s="86">
        <v>6.1503E-3</v>
      </c>
      <c r="W9" s="86">
        <v>3.4772000000000002E-3</v>
      </c>
      <c r="X9" s="86">
        <v>1.8994999999999999E-3</v>
      </c>
      <c r="Y9" s="86">
        <v>1.0275E-3</v>
      </c>
      <c r="Z9" s="86">
        <v>5.5864E-4</v>
      </c>
      <c r="AA9" s="86">
        <v>3.0761999999999999E-4</v>
      </c>
      <c r="AB9" s="86">
        <v>3.2917999999999999E-5</v>
      </c>
      <c r="AC9" s="86">
        <v>3.388E-6</v>
      </c>
      <c r="AD9" s="86">
        <v>8.3001000000000003E-8</v>
      </c>
      <c r="AE9" s="86">
        <v>2.3695000000000001E-8</v>
      </c>
      <c r="AF9" s="86">
        <v>6.2944999999999997E-9</v>
      </c>
      <c r="AG9" s="86">
        <v>1.6136999999999999E-9</v>
      </c>
      <c r="AH9" s="86">
        <v>4.1002E-10</v>
      </c>
      <c r="AI9" s="86">
        <v>1.0503E-10</v>
      </c>
      <c r="AJ9" s="86">
        <v>2.7389999999999999E-11</v>
      </c>
      <c r="AK9" s="86">
        <v>7.3112999999999994E-12</v>
      </c>
      <c r="AL9" s="86">
        <v>2.0026E-12</v>
      </c>
      <c r="AM9" s="86"/>
      <c r="AN9" s="86"/>
      <c r="AO9" s="86"/>
      <c r="AP9" s="86"/>
      <c r="AQ9" s="86"/>
      <c r="AR9" s="86"/>
      <c r="AS9" s="86"/>
      <c r="AT9" s="86"/>
      <c r="AU9" s="86"/>
      <c r="AV9" s="86"/>
      <c r="AW9" s="86"/>
      <c r="AX9" s="86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2">
        <f t="shared" si="1"/>
        <v>0</v>
      </c>
      <c r="B10" s="42">
        <f t="shared" si="0"/>
        <v>1</v>
      </c>
      <c r="C10" s="42">
        <f t="shared" si="0"/>
        <v>0</v>
      </c>
      <c r="D10" s="42">
        <f t="shared" si="0"/>
        <v>1</v>
      </c>
      <c r="E10" s="46" t="s">
        <v>72</v>
      </c>
      <c r="F10" s="86">
        <v>2.7043000000000001E-6</v>
      </c>
      <c r="G10" s="86">
        <v>5.1414999999999998E-6</v>
      </c>
      <c r="H10" s="86">
        <v>9.9526000000000002E-6</v>
      </c>
      <c r="I10" s="86">
        <v>2.0440000000000001E-5</v>
      </c>
      <c r="J10" s="86">
        <v>4.4202000000000001E-5</v>
      </c>
      <c r="K10" s="86">
        <v>8.3197999999999996E-4</v>
      </c>
      <c r="L10" s="86">
        <v>1.5556999999999999E-3</v>
      </c>
      <c r="M10" s="86">
        <v>2.7734000000000001E-3</v>
      </c>
      <c r="N10" s="86">
        <v>4.7219999999999996E-3</v>
      </c>
      <c r="O10" s="86">
        <v>7.7216999999999997E-3</v>
      </c>
      <c r="P10" s="86">
        <v>1.2201999999999999E-2</v>
      </c>
      <c r="Q10" s="86">
        <v>1.8631999999999999E-2</v>
      </c>
      <c r="R10" s="86">
        <v>2.7276999999999999E-2</v>
      </c>
      <c r="S10" s="86">
        <v>3.7834E-2</v>
      </c>
      <c r="T10" s="86">
        <v>4.9186000000000001E-2</v>
      </c>
      <c r="U10" s="86">
        <v>5.9621E-2</v>
      </c>
      <c r="V10" s="86">
        <v>6.7698999999999995E-2</v>
      </c>
      <c r="W10" s="86">
        <v>7.3044999999999999E-2</v>
      </c>
      <c r="X10" s="86">
        <v>7.6199000000000003E-2</v>
      </c>
      <c r="Y10" s="86">
        <v>7.7939999999999995E-2</v>
      </c>
      <c r="Z10" s="86">
        <v>7.8869999999999996E-2</v>
      </c>
      <c r="AA10" s="86">
        <v>7.9353000000000007E-2</v>
      </c>
      <c r="AB10" s="86">
        <v>7.9082E-2</v>
      </c>
      <c r="AC10" s="86">
        <v>6.7571999999999993E-2</v>
      </c>
      <c r="AD10" s="86">
        <v>2.5463E-2</v>
      </c>
      <c r="AE10" s="86">
        <v>1.6709000000000002E-2</v>
      </c>
      <c r="AF10" s="86">
        <v>1.0519000000000001E-2</v>
      </c>
      <c r="AG10" s="86">
        <v>6.4719E-3</v>
      </c>
      <c r="AH10" s="86">
        <v>3.9449999999999997E-3</v>
      </c>
      <c r="AI10" s="86">
        <v>2.4034999999999998E-3</v>
      </c>
      <c r="AJ10" s="86">
        <v>1.4714000000000001E-3</v>
      </c>
      <c r="AK10" s="86">
        <v>9.0764999999999997E-4</v>
      </c>
      <c r="AL10" s="86">
        <v>5.6503E-4</v>
      </c>
      <c r="AM10" s="86"/>
      <c r="AN10" s="86"/>
      <c r="AO10" s="86"/>
      <c r="AP10" s="86"/>
      <c r="AQ10" s="86"/>
      <c r="AR10" s="86"/>
      <c r="AS10" s="86"/>
      <c r="AT10" s="86"/>
      <c r="AU10" s="86"/>
      <c r="AV10" s="86"/>
      <c r="AW10" s="86"/>
      <c r="AX10" s="86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2">
        <f t="shared" si="1"/>
        <v>0</v>
      </c>
      <c r="B11" s="42">
        <f t="shared" si="0"/>
        <v>0</v>
      </c>
      <c r="C11" s="42">
        <f t="shared" si="0"/>
        <v>1</v>
      </c>
      <c r="D11" s="42">
        <f t="shared" si="0"/>
        <v>0</v>
      </c>
      <c r="E11" s="46" t="s">
        <v>73</v>
      </c>
      <c r="F11" s="86">
        <v>4.5573999999999998E-7</v>
      </c>
      <c r="G11" s="86">
        <v>9.7942000000000002E-7</v>
      </c>
      <c r="H11" s="86">
        <v>2.3769999999999999E-6</v>
      </c>
      <c r="I11" s="86">
        <v>6.9770000000000003E-6</v>
      </c>
      <c r="J11" s="86">
        <v>2.3535000000000001E-5</v>
      </c>
      <c r="K11" s="86">
        <v>2.4867999999999999E-3</v>
      </c>
      <c r="L11" s="86">
        <v>6.5661000000000001E-3</v>
      </c>
      <c r="M11" s="86">
        <v>1.5582E-2</v>
      </c>
      <c r="N11" s="86">
        <v>3.2625000000000001E-2</v>
      </c>
      <c r="O11" s="86">
        <v>5.9728000000000003E-2</v>
      </c>
      <c r="P11" s="86">
        <v>9.5829999999999999E-2</v>
      </c>
      <c r="Q11" s="86">
        <v>0.13569999999999999</v>
      </c>
      <c r="R11" s="86">
        <v>0.17176</v>
      </c>
      <c r="S11" s="86">
        <v>0.19878999999999999</v>
      </c>
      <c r="T11" s="86">
        <v>0.21628</v>
      </c>
      <c r="U11" s="86">
        <v>0.22661000000000001</v>
      </c>
      <c r="V11" s="86">
        <v>0.23244000000000001</v>
      </c>
      <c r="W11" s="86">
        <v>0.23569000000000001</v>
      </c>
      <c r="X11" s="86">
        <v>0.23751</v>
      </c>
      <c r="Y11" s="86">
        <v>0.23852999999999999</v>
      </c>
      <c r="Z11" s="86">
        <v>0.23912</v>
      </c>
      <c r="AA11" s="86">
        <v>0.23946000000000001</v>
      </c>
      <c r="AB11" s="86">
        <v>0.23991000000000001</v>
      </c>
      <c r="AC11" s="86">
        <v>0.23998</v>
      </c>
      <c r="AD11" s="86">
        <v>0.24</v>
      </c>
      <c r="AE11" s="86">
        <v>0.24</v>
      </c>
      <c r="AF11" s="86">
        <v>0.24</v>
      </c>
      <c r="AG11" s="86">
        <v>0.24</v>
      </c>
      <c r="AH11" s="86">
        <v>0.24</v>
      </c>
      <c r="AI11" s="86">
        <v>0.24</v>
      </c>
      <c r="AJ11" s="86">
        <v>0.24</v>
      </c>
      <c r="AK11" s="86">
        <v>0.24</v>
      </c>
      <c r="AL11" s="86">
        <v>0.24</v>
      </c>
      <c r="AM11" s="86"/>
      <c r="AN11" s="86"/>
      <c r="AO11" s="86"/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2">
        <f t="shared" si="1"/>
        <v>0</v>
      </c>
      <c r="B12" s="42">
        <f t="shared" si="0"/>
        <v>0</v>
      </c>
      <c r="C12" s="42">
        <f t="shared" si="0"/>
        <v>0</v>
      </c>
      <c r="D12" s="42">
        <f t="shared" si="0"/>
        <v>1</v>
      </c>
      <c r="E12" s="46" t="s">
        <v>74</v>
      </c>
      <c r="F12" s="86">
        <v>5.1747999999999996E-28</v>
      </c>
      <c r="G12" s="86">
        <v>1.9352999999999999E-26</v>
      </c>
      <c r="H12" s="86">
        <v>6.1775000000000004E-25</v>
      </c>
      <c r="I12" s="86">
        <v>1.9541999999999999E-23</v>
      </c>
      <c r="J12" s="86">
        <v>6.2668999999999996E-22</v>
      </c>
      <c r="K12" s="86">
        <v>1.8846000000000001E-16</v>
      </c>
      <c r="L12" s="86">
        <v>2.6924000000000001E-15</v>
      </c>
      <c r="M12" s="86">
        <v>3.1248E-14</v>
      </c>
      <c r="N12" s="86">
        <v>2.9683000000000001E-13</v>
      </c>
      <c r="O12" s="86">
        <v>2.3656999999999999E-12</v>
      </c>
      <c r="P12" s="86">
        <v>1.6410000000000001E-11</v>
      </c>
      <c r="Q12" s="86">
        <v>1.0201E-10</v>
      </c>
      <c r="R12" s="86">
        <v>5.7400999999999996E-10</v>
      </c>
      <c r="S12" s="86">
        <v>2.907E-9</v>
      </c>
      <c r="T12" s="86">
        <v>1.3103E-8</v>
      </c>
      <c r="U12" s="86">
        <v>5.222E-8</v>
      </c>
      <c r="V12" s="86">
        <v>1.8493E-7</v>
      </c>
      <c r="W12" s="86">
        <v>5.9134E-7</v>
      </c>
      <c r="X12" s="86">
        <v>1.742E-6</v>
      </c>
      <c r="Y12" s="86">
        <v>4.809E-6</v>
      </c>
      <c r="Z12" s="86">
        <v>1.2591E-5</v>
      </c>
      <c r="AA12" s="86">
        <v>3.1511999999999999E-5</v>
      </c>
      <c r="AB12" s="86">
        <v>8.5201999999999999E-4</v>
      </c>
      <c r="AC12" s="86">
        <v>1.2422000000000001E-2</v>
      </c>
      <c r="AD12" s="86">
        <v>5.4536000000000001E-2</v>
      </c>
      <c r="AE12" s="86">
        <v>6.3291E-2</v>
      </c>
      <c r="AF12" s="86">
        <v>6.9481000000000001E-2</v>
      </c>
      <c r="AG12" s="86">
        <v>7.3527999999999996E-2</v>
      </c>
      <c r="AH12" s="86">
        <v>7.6054999999999998E-2</v>
      </c>
      <c r="AI12" s="86">
        <v>7.7595999999999998E-2</v>
      </c>
      <c r="AJ12" s="86">
        <v>7.8529000000000002E-2</v>
      </c>
      <c r="AK12" s="86">
        <v>7.9091999999999996E-2</v>
      </c>
      <c r="AL12" s="86">
        <v>7.9435000000000006E-2</v>
      </c>
      <c r="AM12" s="86"/>
      <c r="AN12" s="86"/>
      <c r="AO12" s="86"/>
      <c r="AP12" s="86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2">
        <f t="shared" si="1"/>
        <v>0</v>
      </c>
      <c r="B13" s="42">
        <f t="shared" si="0"/>
        <v>1</v>
      </c>
      <c r="C13" s="42">
        <f t="shared" si="0"/>
        <v>0</v>
      </c>
      <c r="D13" s="42">
        <f t="shared" si="0"/>
        <v>0</v>
      </c>
      <c r="E13" s="46" t="s">
        <v>80</v>
      </c>
      <c r="F13" s="86">
        <v>6.2095000000000001E-10</v>
      </c>
      <c r="G13" s="86">
        <v>1.9735999999999999E-9</v>
      </c>
      <c r="H13" s="86">
        <v>4.9362000000000004E-9</v>
      </c>
      <c r="I13" s="86">
        <v>9.3578999999999997E-9</v>
      </c>
      <c r="J13" s="86">
        <v>1.3474E-8</v>
      </c>
      <c r="K13" s="86">
        <v>1.2793000000000001E-8</v>
      </c>
      <c r="L13" s="86">
        <v>1.15E-8</v>
      </c>
      <c r="M13" s="86">
        <v>1.0627E-8</v>
      </c>
      <c r="N13" s="86">
        <v>1.0274E-8</v>
      </c>
      <c r="O13" s="86">
        <v>1.0363999999999999E-8</v>
      </c>
      <c r="P13" s="86">
        <v>1.0645E-8</v>
      </c>
      <c r="Q13" s="86">
        <v>1.0786999999999999E-8</v>
      </c>
      <c r="R13" s="86">
        <v>1.054E-8</v>
      </c>
      <c r="S13" s="86">
        <v>9.8784999999999997E-9</v>
      </c>
      <c r="T13" s="86">
        <v>8.9458000000000003E-9</v>
      </c>
      <c r="U13" s="86">
        <v>7.9083000000000001E-9</v>
      </c>
      <c r="V13" s="86">
        <v>6.8798999999999998E-9</v>
      </c>
      <c r="W13" s="86">
        <v>5.9239999999999998E-9</v>
      </c>
      <c r="X13" s="86">
        <v>5.0698E-9</v>
      </c>
      <c r="Y13" s="86">
        <v>4.3247999999999998E-9</v>
      </c>
      <c r="Z13" s="86">
        <v>3.6839000000000001E-9</v>
      </c>
      <c r="AA13" s="86">
        <v>3.1366000000000001E-9</v>
      </c>
      <c r="AB13" s="86">
        <v>1.6574999999999999E-9</v>
      </c>
      <c r="AC13" s="86">
        <v>9.0996000000000003E-10</v>
      </c>
      <c r="AD13" s="86">
        <v>5.4217E-10</v>
      </c>
      <c r="AE13" s="86">
        <v>4.7478999999999997E-10</v>
      </c>
      <c r="AF13" s="86">
        <v>4.1369999999999998E-10</v>
      </c>
      <c r="AG13" s="86">
        <v>3.5906E-10</v>
      </c>
      <c r="AH13" s="86">
        <v>3.1083999999999998E-10</v>
      </c>
      <c r="AI13" s="86">
        <v>2.6873000000000001E-10</v>
      </c>
      <c r="AJ13" s="86">
        <v>2.3219E-10</v>
      </c>
      <c r="AK13" s="86">
        <v>2.0060000000000001E-10</v>
      </c>
      <c r="AL13" s="86">
        <v>1.7333999999999999E-10</v>
      </c>
      <c r="AM13" s="86"/>
      <c r="AN13" s="86"/>
      <c r="AO13" s="86"/>
      <c r="AP13" s="86"/>
      <c r="AQ13" s="86"/>
      <c r="AR13" s="86"/>
      <c r="AS13" s="86"/>
      <c r="AT13" s="86"/>
      <c r="AU13" s="86"/>
      <c r="AV13" s="86"/>
      <c r="AW13" s="86"/>
      <c r="AX13" s="86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2">
        <f t="shared" si="1"/>
        <v>0</v>
      </c>
      <c r="B14" s="42">
        <f t="shared" si="0"/>
        <v>1</v>
      </c>
      <c r="C14" s="42">
        <f t="shared" si="0"/>
        <v>0</v>
      </c>
      <c r="D14" s="42">
        <f t="shared" si="0"/>
        <v>0</v>
      </c>
      <c r="E14" s="46" t="s">
        <v>84</v>
      </c>
      <c r="F14" s="86">
        <v>2.2807000000000001E-3</v>
      </c>
      <c r="G14" s="86">
        <v>7.7456000000000001E-3</v>
      </c>
      <c r="H14" s="86">
        <v>2.1149999999999999E-2</v>
      </c>
      <c r="I14" s="86">
        <v>4.4524000000000001E-2</v>
      </c>
      <c r="J14" s="86">
        <v>7.2162000000000004E-2</v>
      </c>
      <c r="K14" s="86">
        <v>0.1201</v>
      </c>
      <c r="L14" s="86">
        <v>0.12595999999999999</v>
      </c>
      <c r="M14" s="86">
        <v>0.13627</v>
      </c>
      <c r="N14" s="86">
        <v>0.15462000000000001</v>
      </c>
      <c r="O14" s="86">
        <v>0.18340000000000001</v>
      </c>
      <c r="P14" s="86">
        <v>0.22184000000000001</v>
      </c>
      <c r="Q14" s="86">
        <v>0.26496999999999998</v>
      </c>
      <c r="R14" s="86">
        <v>0.30537999999999998</v>
      </c>
      <c r="S14" s="86">
        <v>0.3377</v>
      </c>
      <c r="T14" s="86">
        <v>0.36087000000000002</v>
      </c>
      <c r="U14" s="86">
        <v>0.37641999999999998</v>
      </c>
      <c r="V14" s="86">
        <v>0.38629000000000002</v>
      </c>
      <c r="W14" s="86">
        <v>0.39221</v>
      </c>
      <c r="X14" s="86">
        <v>0.39561000000000002</v>
      </c>
      <c r="Y14" s="86">
        <v>0.39750999999999997</v>
      </c>
      <c r="Z14" s="86">
        <v>0.39856999999999998</v>
      </c>
      <c r="AA14" s="86">
        <v>0.39918999999999999</v>
      </c>
      <c r="AB14" s="86">
        <v>0.40072999999999998</v>
      </c>
      <c r="AC14" s="86">
        <v>0.41239999999999999</v>
      </c>
      <c r="AD14" s="86">
        <v>0.45452999999999999</v>
      </c>
      <c r="AE14" s="86">
        <v>0.46328999999999998</v>
      </c>
      <c r="AF14" s="86">
        <v>0.46948000000000001</v>
      </c>
      <c r="AG14" s="86">
        <v>0.47353000000000001</v>
      </c>
      <c r="AH14" s="86">
        <v>0.47604999999999997</v>
      </c>
      <c r="AI14" s="86">
        <v>0.47760000000000002</v>
      </c>
      <c r="AJ14" s="86">
        <v>0.47853000000000001</v>
      </c>
      <c r="AK14" s="86">
        <v>0.47909000000000002</v>
      </c>
      <c r="AL14" s="86">
        <v>0.47943000000000002</v>
      </c>
      <c r="AM14" s="86"/>
      <c r="AN14" s="86"/>
      <c r="AO14" s="86"/>
      <c r="AP14" s="86"/>
      <c r="AQ14" s="86"/>
      <c r="AR14" s="86"/>
      <c r="AS14" s="86"/>
      <c r="AT14" s="86"/>
      <c r="AU14" s="86"/>
      <c r="AV14" s="86"/>
      <c r="AW14" s="86"/>
      <c r="AX14" s="86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2">
        <f t="shared" si="1"/>
        <v>0</v>
      </c>
      <c r="B15" s="42">
        <f t="shared" si="0"/>
        <v>1</v>
      </c>
      <c r="C15" s="42">
        <f t="shared" si="0"/>
        <v>0</v>
      </c>
      <c r="D15" s="42">
        <f t="shared" si="0"/>
        <v>0</v>
      </c>
      <c r="E15" s="46" t="s">
        <v>85</v>
      </c>
      <c r="F15" s="86">
        <v>2.7022E-9</v>
      </c>
      <c r="G15" s="86">
        <v>7.5784000000000002E-9</v>
      </c>
      <c r="H15" s="86">
        <v>1.6939E-8</v>
      </c>
      <c r="I15" s="86">
        <v>2.9011000000000001E-8</v>
      </c>
      <c r="J15" s="86">
        <v>3.8093000000000002E-8</v>
      </c>
      <c r="K15" s="86">
        <v>2.6884000000000001E-8</v>
      </c>
      <c r="L15" s="86">
        <v>2.2758999999999999E-8</v>
      </c>
      <c r="M15" s="86">
        <v>1.9893999999999999E-8</v>
      </c>
      <c r="N15" s="86">
        <v>1.8266E-8</v>
      </c>
      <c r="O15" s="86">
        <v>1.7561000000000001E-8</v>
      </c>
      <c r="P15" s="86">
        <v>1.7249000000000001E-8</v>
      </c>
      <c r="Q15" s="86">
        <v>1.7409000000000001E-8</v>
      </c>
      <c r="R15" s="86">
        <v>1.7155E-8</v>
      </c>
      <c r="S15" s="86">
        <v>1.6222000000000001E-8</v>
      </c>
      <c r="T15" s="86">
        <v>1.4826999999999999E-8</v>
      </c>
      <c r="U15" s="86">
        <v>1.3233E-8</v>
      </c>
      <c r="V15" s="86">
        <v>1.1625E-8</v>
      </c>
      <c r="W15" s="86">
        <v>1.0109E-8</v>
      </c>
      <c r="X15" s="86">
        <v>8.7381000000000007E-9</v>
      </c>
      <c r="Y15" s="86">
        <v>7.5290999999999996E-9</v>
      </c>
      <c r="Z15" s="86">
        <v>6.4780999999999998E-9</v>
      </c>
      <c r="AA15" s="86">
        <v>5.5714999999999996E-9</v>
      </c>
      <c r="AB15" s="86">
        <v>3.0642999999999999E-9</v>
      </c>
      <c r="AC15" s="86">
        <v>1.7491999999999999E-9</v>
      </c>
      <c r="AD15" s="86">
        <v>1.0823999999999999E-9</v>
      </c>
      <c r="AE15" s="86">
        <v>9.5671999999999998E-10</v>
      </c>
      <c r="AF15" s="86">
        <v>8.4134999999999999E-10</v>
      </c>
      <c r="AG15" s="86">
        <v>7.3694000000000004E-10</v>
      </c>
      <c r="AH15" s="86">
        <v>6.4383000000000004E-10</v>
      </c>
      <c r="AI15" s="86">
        <v>5.6167999999999997E-10</v>
      </c>
      <c r="AJ15" s="86">
        <v>4.8969999999999997E-10</v>
      </c>
      <c r="AK15" s="86">
        <v>4.2689000000000001E-10</v>
      </c>
      <c r="AL15" s="86">
        <v>3.7218999999999998E-10</v>
      </c>
      <c r="AM15" s="86"/>
      <c r="AN15" s="86"/>
      <c r="AO15" s="86"/>
      <c r="AP15" s="86"/>
      <c r="AQ15" s="86"/>
      <c r="AR15" s="86"/>
      <c r="AS15" s="86"/>
      <c r="AT15" s="86"/>
      <c r="AU15" s="86"/>
      <c r="AV15" s="86"/>
      <c r="AW15" s="86"/>
      <c r="AX15" s="86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2">
        <f t="shared" si="1"/>
        <v>0</v>
      </c>
      <c r="B16" s="42">
        <f t="shared" si="0"/>
        <v>0</v>
      </c>
      <c r="C16" s="42">
        <f t="shared" si="0"/>
        <v>0</v>
      </c>
      <c r="D16" s="42">
        <f t="shared" si="0"/>
        <v>1</v>
      </c>
      <c r="E16" s="46" t="s">
        <v>77</v>
      </c>
      <c r="F16" s="86">
        <v>0</v>
      </c>
      <c r="G16" s="86">
        <v>0</v>
      </c>
      <c r="H16" s="86">
        <v>0</v>
      </c>
      <c r="I16" s="86">
        <v>0</v>
      </c>
      <c r="J16" s="86">
        <v>0</v>
      </c>
      <c r="K16" s="86">
        <v>0</v>
      </c>
      <c r="L16" s="86">
        <v>0</v>
      </c>
      <c r="M16" s="86">
        <v>0</v>
      </c>
      <c r="N16" s="86">
        <v>0</v>
      </c>
      <c r="O16" s="86">
        <v>0</v>
      </c>
      <c r="P16" s="86">
        <v>0</v>
      </c>
      <c r="Q16" s="86">
        <v>0</v>
      </c>
      <c r="R16" s="86">
        <v>0</v>
      </c>
      <c r="S16" s="86">
        <v>0</v>
      </c>
      <c r="T16" s="86">
        <v>0</v>
      </c>
      <c r="U16" s="86">
        <v>0</v>
      </c>
      <c r="V16" s="86">
        <v>0</v>
      </c>
      <c r="W16" s="86">
        <v>0</v>
      </c>
      <c r="X16" s="86">
        <v>0</v>
      </c>
      <c r="Y16" s="86">
        <v>0</v>
      </c>
      <c r="Z16" s="86">
        <v>0</v>
      </c>
      <c r="AA16" s="86">
        <v>0</v>
      </c>
      <c r="AB16" s="86">
        <v>0</v>
      </c>
      <c r="AC16" s="86">
        <v>2.6743000000000002E-28</v>
      </c>
      <c r="AD16" s="86">
        <v>2.5268E-14</v>
      </c>
      <c r="AE16" s="86">
        <v>1.6865999999999999E-12</v>
      </c>
      <c r="AF16" s="86">
        <v>3.0434000000000001E-11</v>
      </c>
      <c r="AG16" s="86">
        <v>1.2171999999999999E-10</v>
      </c>
      <c r="AH16" s="86">
        <v>5.7717999999999997E-10</v>
      </c>
      <c r="AI16" s="86">
        <v>1.9796000000000001E-9</v>
      </c>
      <c r="AJ16" s="86">
        <v>5.5962000000000002E-9</v>
      </c>
      <c r="AK16" s="86">
        <v>1.4063E-8</v>
      </c>
      <c r="AL16" s="86">
        <v>3.2876000000000003E-8</v>
      </c>
      <c r="AM16" s="86"/>
      <c r="AN16" s="86"/>
      <c r="AO16" s="86"/>
      <c r="AP16" s="86"/>
      <c r="AQ16" s="86"/>
      <c r="AR16" s="86"/>
      <c r="AS16" s="86"/>
      <c r="AT16" s="86"/>
      <c r="AU16" s="86"/>
      <c r="AV16" s="86"/>
      <c r="AW16" s="86"/>
      <c r="AX16" s="86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2">
        <f t="shared" si="1"/>
        <v>1</v>
      </c>
      <c r="B17" s="42">
        <f t="shared" si="0"/>
        <v>0</v>
      </c>
      <c r="C17" s="42">
        <f t="shared" si="0"/>
        <v>0</v>
      </c>
      <c r="D17" s="42">
        <f t="shared" si="0"/>
        <v>0</v>
      </c>
      <c r="E17" s="46" t="s">
        <v>26</v>
      </c>
      <c r="F17" s="86">
        <v>-18.62</v>
      </c>
      <c r="G17" s="86">
        <v>-18.61</v>
      </c>
      <c r="H17" s="86">
        <v>-18.61</v>
      </c>
      <c r="I17" s="86">
        <v>-18.62</v>
      </c>
      <c r="J17" s="86">
        <v>-18.63</v>
      </c>
      <c r="K17" s="86">
        <v>-18.72</v>
      </c>
      <c r="L17" s="86">
        <v>-18.75</v>
      </c>
      <c r="M17" s="86">
        <v>-18.78</v>
      </c>
      <c r="N17" s="86">
        <v>-18.809999999999999</v>
      </c>
      <c r="O17" s="86">
        <v>-18.84</v>
      </c>
      <c r="P17" s="86">
        <v>-18.87</v>
      </c>
      <c r="Q17" s="86">
        <v>-18.899999999999999</v>
      </c>
      <c r="R17" s="86">
        <v>-18.940000000000001</v>
      </c>
      <c r="S17" s="86">
        <v>-18.97</v>
      </c>
      <c r="T17" s="86">
        <v>-19.010000000000002</v>
      </c>
      <c r="U17" s="86">
        <v>-19.04</v>
      </c>
      <c r="V17" s="86">
        <v>-19.07</v>
      </c>
      <c r="W17" s="86">
        <v>-19.11</v>
      </c>
      <c r="X17" s="86">
        <v>-19.14</v>
      </c>
      <c r="Y17" s="86">
        <v>-19.18</v>
      </c>
      <c r="Z17" s="86">
        <v>-19.21</v>
      </c>
      <c r="AA17" s="86">
        <v>-19.25</v>
      </c>
      <c r="AB17" s="86">
        <v>-19.38</v>
      </c>
      <c r="AC17" s="86">
        <v>-19.510000000000002</v>
      </c>
      <c r="AD17" s="86">
        <v>-19.64</v>
      </c>
      <c r="AE17" s="86">
        <v>-19.670000000000002</v>
      </c>
      <c r="AF17" s="86">
        <v>-19.7</v>
      </c>
      <c r="AG17" s="86">
        <v>-19.73</v>
      </c>
      <c r="AH17" s="86">
        <v>-19.760000000000002</v>
      </c>
      <c r="AI17" s="86">
        <v>-19.79</v>
      </c>
      <c r="AJ17" s="86">
        <v>-19.82</v>
      </c>
      <c r="AK17" s="86">
        <v>-19.850000000000001</v>
      </c>
      <c r="AL17" s="86">
        <v>-19.88</v>
      </c>
      <c r="AM17" s="86"/>
      <c r="AN17" s="86"/>
      <c r="AO17" s="86"/>
      <c r="AP17" s="86"/>
      <c r="AQ17" s="86"/>
      <c r="AR17" s="86"/>
      <c r="AS17" s="86"/>
      <c r="AT17" s="86"/>
      <c r="AU17" s="86"/>
      <c r="AV17" s="86"/>
      <c r="AW17" s="86"/>
      <c r="AX17" s="86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2">
        <f t="shared" si="1"/>
        <v>0</v>
      </c>
      <c r="B18" s="42">
        <f t="shared" si="0"/>
        <v>0</v>
      </c>
      <c r="C18" s="42">
        <f t="shared" si="0"/>
        <v>0</v>
      </c>
      <c r="D18" s="42">
        <f t="shared" si="0"/>
        <v>1</v>
      </c>
      <c r="E18" s="46" t="s">
        <v>5</v>
      </c>
      <c r="F18" s="86">
        <v>-66.48</v>
      </c>
      <c r="G18" s="86">
        <v>-62.87</v>
      </c>
      <c r="H18" s="86">
        <v>-59.45</v>
      </c>
      <c r="I18" s="86">
        <v>-56.08</v>
      </c>
      <c r="J18" s="86">
        <v>-52.71</v>
      </c>
      <c r="K18" s="86">
        <v>-40.33</v>
      </c>
      <c r="L18" s="86">
        <v>-37.729999999999997</v>
      </c>
      <c r="M18" s="86">
        <v>-35.340000000000003</v>
      </c>
      <c r="N18" s="86">
        <v>-33.17</v>
      </c>
      <c r="O18" s="86">
        <v>-31.2</v>
      </c>
      <c r="P18" s="86">
        <v>-29.39</v>
      </c>
      <c r="Q18" s="86">
        <v>-27.69</v>
      </c>
      <c r="R18" s="86">
        <v>-26.08</v>
      </c>
      <c r="S18" s="86">
        <v>-24.57</v>
      </c>
      <c r="T18" s="86">
        <v>-23.15</v>
      </c>
      <c r="U18" s="86">
        <v>-21.84</v>
      </c>
      <c r="V18" s="86">
        <v>-20.64</v>
      </c>
      <c r="W18" s="86">
        <v>-19.53</v>
      </c>
      <c r="X18" s="86">
        <v>-18.5</v>
      </c>
      <c r="Y18" s="86">
        <v>-17.53</v>
      </c>
      <c r="Z18" s="86">
        <v>-16.62</v>
      </c>
      <c r="AA18" s="86">
        <v>-15.74</v>
      </c>
      <c r="AB18" s="86">
        <v>-12.62</v>
      </c>
      <c r="AC18" s="86">
        <v>-10.119999999999999</v>
      </c>
      <c r="AD18" s="86">
        <v>-8.859</v>
      </c>
      <c r="AE18" s="86">
        <v>-8.76</v>
      </c>
      <c r="AF18" s="86">
        <v>-8.7140000000000004</v>
      </c>
      <c r="AG18" s="86">
        <v>-8.7010000000000005</v>
      </c>
      <c r="AH18" s="86">
        <v>-8.7080000000000002</v>
      </c>
      <c r="AI18" s="86">
        <v>-8.7279999999999998</v>
      </c>
      <c r="AJ18" s="86">
        <v>-8.7539999999999996</v>
      </c>
      <c r="AK18" s="86">
        <v>-8.7850000000000001</v>
      </c>
      <c r="AL18" s="86">
        <v>-8.8179999999999996</v>
      </c>
      <c r="AM18" s="86"/>
      <c r="AN18" s="86"/>
      <c r="AO18" s="86"/>
      <c r="AP18" s="86"/>
      <c r="AQ18" s="86"/>
      <c r="AR18" s="86"/>
      <c r="AS18" s="86"/>
      <c r="AT18" s="86"/>
      <c r="AU18" s="86"/>
      <c r="AV18" s="86"/>
      <c r="AW18" s="86"/>
      <c r="AX18" s="86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2">
        <f t="shared" si="1"/>
        <v>0</v>
      </c>
      <c r="B19" s="42">
        <f t="shared" si="0"/>
        <v>0</v>
      </c>
      <c r="C19" s="42">
        <f t="shared" si="0"/>
        <v>1</v>
      </c>
      <c r="D19" s="42">
        <f t="shared" si="0"/>
        <v>0</v>
      </c>
      <c r="E19" s="46" t="s">
        <v>6</v>
      </c>
      <c r="F19" s="86">
        <v>-17.09</v>
      </c>
      <c r="G19" s="86">
        <v>-16.329999999999998</v>
      </c>
      <c r="H19" s="86">
        <v>-15.49</v>
      </c>
      <c r="I19" s="86">
        <v>-14.5</v>
      </c>
      <c r="J19" s="86">
        <v>-13.38</v>
      </c>
      <c r="K19" s="86">
        <v>-8.9420000000000002</v>
      </c>
      <c r="L19" s="86">
        <v>-8.0190000000000001</v>
      </c>
      <c r="M19" s="86">
        <v>-7.2149999999999999</v>
      </c>
      <c r="N19" s="86">
        <v>-6.5570000000000004</v>
      </c>
      <c r="O19" s="86">
        <v>-6.056</v>
      </c>
      <c r="P19" s="86">
        <v>-5.7050000000000001</v>
      </c>
      <c r="Q19" s="86">
        <v>-5.4829999999999997</v>
      </c>
      <c r="R19" s="86">
        <v>-5.3639999999999999</v>
      </c>
      <c r="S19" s="86">
        <v>-5.319</v>
      </c>
      <c r="T19" s="86">
        <v>-5.319</v>
      </c>
      <c r="U19" s="86">
        <v>-5.3440000000000003</v>
      </c>
      <c r="V19" s="86">
        <v>-5.3789999999999996</v>
      </c>
      <c r="W19" s="86">
        <v>-5.4180000000000001</v>
      </c>
      <c r="X19" s="86">
        <v>-5.4589999999999996</v>
      </c>
      <c r="Y19" s="86">
        <v>-5.4989999999999997</v>
      </c>
      <c r="Z19" s="86">
        <v>-5.54</v>
      </c>
      <c r="AA19" s="86">
        <v>-5.58</v>
      </c>
      <c r="AB19" s="86">
        <v>-5.7430000000000003</v>
      </c>
      <c r="AC19" s="86">
        <v>-5.9169999999999998</v>
      </c>
      <c r="AD19" s="86">
        <v>-6.1260000000000003</v>
      </c>
      <c r="AE19" s="86">
        <v>-6.1749999999999998</v>
      </c>
      <c r="AF19" s="86">
        <v>-6.2210000000000001</v>
      </c>
      <c r="AG19" s="86">
        <v>-6.2629999999999999</v>
      </c>
      <c r="AH19" s="86">
        <v>-6.3029999999999999</v>
      </c>
      <c r="AI19" s="86">
        <v>-6.3419999999999996</v>
      </c>
      <c r="AJ19" s="86">
        <v>-6.3789999999999996</v>
      </c>
      <c r="AK19" s="86">
        <v>-6.4160000000000004</v>
      </c>
      <c r="AL19" s="86">
        <v>-6.452</v>
      </c>
      <c r="AM19" s="86"/>
      <c r="AN19" s="86"/>
      <c r="AO19" s="86"/>
      <c r="AP19" s="86"/>
      <c r="AQ19" s="86"/>
      <c r="AR19" s="86"/>
      <c r="AS19" s="86"/>
      <c r="AT19" s="86"/>
      <c r="AU19" s="86"/>
      <c r="AV19" s="86"/>
      <c r="AW19" s="86"/>
      <c r="AX19" s="86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2">
        <f t="shared" si="1"/>
        <v>0</v>
      </c>
      <c r="B20" s="42">
        <f t="shared" si="1"/>
        <v>1</v>
      </c>
      <c r="C20" s="42">
        <f t="shared" si="1"/>
        <v>0</v>
      </c>
      <c r="D20" s="42">
        <f t="shared" si="1"/>
        <v>0</v>
      </c>
      <c r="E20" s="46" t="s">
        <v>7</v>
      </c>
      <c r="F20" s="86">
        <v>-23.56</v>
      </c>
      <c r="G20" s="86">
        <v>-22.54</v>
      </c>
      <c r="H20" s="86">
        <v>-21.78</v>
      </c>
      <c r="I20" s="86">
        <v>-21.32</v>
      </c>
      <c r="J20" s="86">
        <v>-21.15</v>
      </c>
      <c r="K20" s="86">
        <v>-21.73</v>
      </c>
      <c r="L20" s="86">
        <v>-21.95</v>
      </c>
      <c r="M20" s="86">
        <v>-22.15</v>
      </c>
      <c r="N20" s="86">
        <v>-22.32</v>
      </c>
      <c r="O20" s="86">
        <v>-22.46</v>
      </c>
      <c r="P20" s="86">
        <v>-22.6</v>
      </c>
      <c r="Q20" s="86">
        <v>-22.76</v>
      </c>
      <c r="R20" s="86">
        <v>-22.95</v>
      </c>
      <c r="S20" s="86">
        <v>-23.15</v>
      </c>
      <c r="T20" s="86">
        <v>-23.37</v>
      </c>
      <c r="U20" s="86">
        <v>-23.6</v>
      </c>
      <c r="V20" s="86">
        <v>-23.84</v>
      </c>
      <c r="W20" s="86">
        <v>-24.07</v>
      </c>
      <c r="X20" s="86">
        <v>-24.31</v>
      </c>
      <c r="Y20" s="86">
        <v>-24.54</v>
      </c>
      <c r="Z20" s="86">
        <v>-24.77</v>
      </c>
      <c r="AA20" s="86">
        <v>-25</v>
      </c>
      <c r="AB20" s="86">
        <v>-25.9</v>
      </c>
      <c r="AC20" s="86">
        <v>-26.75</v>
      </c>
      <c r="AD20" s="86">
        <v>-27.55</v>
      </c>
      <c r="AE20" s="86">
        <v>-27.75</v>
      </c>
      <c r="AF20" s="86">
        <v>-27.95</v>
      </c>
      <c r="AG20" s="86">
        <v>-28.15</v>
      </c>
      <c r="AH20" s="86">
        <v>-28.35</v>
      </c>
      <c r="AI20" s="86">
        <v>-28.54</v>
      </c>
      <c r="AJ20" s="86">
        <v>-28.74</v>
      </c>
      <c r="AK20" s="86">
        <v>-28.94</v>
      </c>
      <c r="AL20" s="86">
        <v>-29.13</v>
      </c>
      <c r="AM20" s="86"/>
      <c r="AN20" s="86"/>
      <c r="AO20" s="86"/>
      <c r="AP20" s="86"/>
      <c r="AQ20" s="86"/>
      <c r="AR20" s="86"/>
      <c r="AS20" s="86"/>
      <c r="AT20" s="86"/>
      <c r="AU20" s="86"/>
      <c r="AV20" s="86"/>
      <c r="AW20" s="86"/>
      <c r="AX20" s="86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2">
        <f t="shared" si="1"/>
        <v>0</v>
      </c>
      <c r="B21" s="42">
        <f t="shared" si="1"/>
        <v>0</v>
      </c>
      <c r="C21" s="42">
        <f t="shared" si="1"/>
        <v>0</v>
      </c>
      <c r="D21" s="42">
        <f t="shared" si="1"/>
        <v>0</v>
      </c>
      <c r="E21" s="4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AH21" s="86"/>
      <c r="AI21" s="86"/>
      <c r="AJ21" s="86"/>
      <c r="AK21" s="86"/>
      <c r="AL21" s="86"/>
      <c r="AM21" s="86"/>
      <c r="AN21" s="86"/>
      <c r="AO21" s="86"/>
      <c r="AP21" s="86"/>
      <c r="AQ21" s="86"/>
      <c r="AR21" s="86"/>
      <c r="AS21" s="86"/>
      <c r="AT21" s="86"/>
      <c r="AU21" s="86"/>
      <c r="AV21" s="86"/>
      <c r="AW21" s="86"/>
      <c r="AX21" s="86"/>
      <c r="AY21" s="86"/>
      <c r="AZ21" s="86"/>
      <c r="BA21" s="86"/>
      <c r="BB21" s="86"/>
      <c r="BC21" s="86"/>
      <c r="BD21" s="86"/>
      <c r="BE21" s="86"/>
      <c r="BF21" s="86"/>
      <c r="BG21" s="86"/>
      <c r="BH21" s="86"/>
      <c r="BI21" s="86"/>
      <c r="BJ21" s="86"/>
      <c r="BK21" s="86"/>
      <c r="BL21" s="86"/>
      <c r="BM21" s="86"/>
      <c r="BN21" s="86"/>
      <c r="BO21" s="86"/>
      <c r="BP21" s="86"/>
      <c r="BQ21" s="86"/>
      <c r="BR21" s="86"/>
      <c r="BS21" s="86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2">
        <f t="shared" si="1"/>
        <v>0</v>
      </c>
      <c r="B22" s="42">
        <f t="shared" si="1"/>
        <v>0</v>
      </c>
      <c r="C22" s="42">
        <f t="shared" si="1"/>
        <v>0</v>
      </c>
      <c r="D22" s="42">
        <f t="shared" si="1"/>
        <v>0</v>
      </c>
      <c r="E22" s="46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86"/>
      <c r="AD22" s="86"/>
      <c r="AE22" s="86"/>
      <c r="AF22" s="86"/>
      <c r="AG22" s="86"/>
      <c r="AH22" s="86"/>
      <c r="AI22" s="86"/>
      <c r="AJ22" s="86"/>
      <c r="AK22" s="86"/>
      <c r="AL22" s="86"/>
      <c r="AM22" s="86"/>
      <c r="AN22" s="86"/>
      <c r="AO22" s="86"/>
      <c r="AP22" s="86"/>
      <c r="AQ22" s="86"/>
      <c r="AR22" s="86"/>
      <c r="AS22" s="86"/>
      <c r="AT22" s="86"/>
      <c r="AU22" s="86"/>
      <c r="AV22" s="86"/>
      <c r="AW22" s="86"/>
      <c r="AX22" s="86"/>
      <c r="AY22" s="86"/>
      <c r="AZ22" s="86"/>
      <c r="BA22" s="86"/>
      <c r="BB22" s="86"/>
      <c r="BC22" s="86"/>
      <c r="BD22" s="86"/>
      <c r="BE22" s="86"/>
      <c r="BF22" s="86"/>
      <c r="BG22" s="86"/>
      <c r="BH22" s="86"/>
      <c r="BI22" s="86"/>
      <c r="BJ22" s="86"/>
      <c r="BK22" s="86"/>
      <c r="BL22" s="86"/>
      <c r="BM22" s="86"/>
      <c r="BN22" s="86"/>
      <c r="BO22" s="86"/>
      <c r="BP22" s="86"/>
      <c r="BQ22" s="86"/>
      <c r="BR22" s="86"/>
      <c r="BS22" s="86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2">
        <f t="shared" si="1"/>
        <v>0</v>
      </c>
      <c r="B23" s="42">
        <f t="shared" si="1"/>
        <v>0</v>
      </c>
      <c r="C23" s="42">
        <f t="shared" si="1"/>
        <v>0</v>
      </c>
      <c r="D23" s="42">
        <f t="shared" si="1"/>
        <v>0</v>
      </c>
      <c r="E23" s="39"/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86"/>
      <c r="AD23" s="86"/>
      <c r="AE23" s="86"/>
      <c r="AF23" s="86"/>
      <c r="AG23" s="86"/>
      <c r="AH23" s="86"/>
      <c r="AI23" s="86"/>
      <c r="AJ23" s="86"/>
      <c r="AK23" s="86"/>
      <c r="AL23" s="86"/>
      <c r="AM23" s="86"/>
      <c r="AN23" s="86"/>
      <c r="AO23" s="86"/>
      <c r="AP23" s="86"/>
      <c r="AQ23" s="86"/>
      <c r="AR23" s="86"/>
      <c r="AS23" s="86"/>
      <c r="AT23" s="86"/>
      <c r="AU23" s="86"/>
      <c r="AV23" s="86"/>
      <c r="AW23" s="86"/>
      <c r="AX23" s="86"/>
      <c r="AY23" s="86"/>
      <c r="AZ23" s="86"/>
      <c r="BA23" s="86"/>
      <c r="BB23" s="86"/>
      <c r="BC23" s="86"/>
      <c r="BD23" s="86"/>
      <c r="BE23" s="86"/>
      <c r="BF23" s="86"/>
      <c r="BG23" s="86"/>
      <c r="BH23" s="86"/>
      <c r="BI23" s="86"/>
      <c r="BJ23" s="86"/>
      <c r="BK23" s="86"/>
      <c r="BL23" s="86"/>
      <c r="BM23" s="86"/>
      <c r="BN23" s="86"/>
      <c r="BO23" s="86"/>
      <c r="BP23" s="86"/>
      <c r="BQ23" s="86"/>
      <c r="BR23" s="86"/>
      <c r="BS23" s="86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2">
        <f t="shared" si="1"/>
        <v>0</v>
      </c>
      <c r="B24" s="42">
        <f t="shared" si="1"/>
        <v>0</v>
      </c>
      <c r="C24" s="42">
        <f t="shared" si="1"/>
        <v>0</v>
      </c>
      <c r="D24" s="42">
        <f t="shared" si="1"/>
        <v>0</v>
      </c>
      <c r="E24" s="39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AH24" s="86"/>
      <c r="AI24" s="86"/>
      <c r="AJ24" s="86"/>
      <c r="AK24" s="86"/>
      <c r="AL24" s="86"/>
      <c r="AM24" s="86"/>
      <c r="AN24" s="86"/>
      <c r="AO24" s="86"/>
      <c r="AP24" s="86"/>
      <c r="AQ24" s="86"/>
      <c r="AR24" s="86"/>
      <c r="AS24" s="86"/>
      <c r="AT24" s="86"/>
      <c r="AU24" s="86"/>
      <c r="AV24" s="86"/>
      <c r="AW24" s="86"/>
      <c r="AX24" s="86"/>
      <c r="AY24" s="86"/>
      <c r="AZ24" s="86"/>
      <c r="BA24" s="86"/>
      <c r="BB24" s="86"/>
      <c r="BC24" s="86"/>
      <c r="BD24" s="86"/>
      <c r="BE24" s="86"/>
      <c r="BF24" s="86"/>
      <c r="BG24" s="86"/>
      <c r="BH24" s="86"/>
      <c r="BI24" s="86"/>
      <c r="BJ24" s="86"/>
      <c r="BK24" s="86"/>
      <c r="BL24" s="86"/>
      <c r="BM24" s="86"/>
      <c r="BN24" s="86"/>
      <c r="BO24" s="86"/>
      <c r="BP24" s="86"/>
      <c r="BQ24" s="86"/>
      <c r="BR24" s="86"/>
      <c r="BS24" s="86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2">
        <f t="shared" si="1"/>
        <v>0</v>
      </c>
      <c r="B25" s="42">
        <f t="shared" si="1"/>
        <v>0</v>
      </c>
      <c r="C25" s="42">
        <f t="shared" si="1"/>
        <v>0</v>
      </c>
      <c r="D25" s="42">
        <f t="shared" si="1"/>
        <v>0</v>
      </c>
      <c r="E25" s="39"/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  <c r="R25" s="86"/>
      <c r="S25" s="86"/>
      <c r="T25" s="86"/>
      <c r="U25" s="86"/>
      <c r="V25" s="86"/>
      <c r="W25" s="86"/>
      <c r="X25" s="86"/>
      <c r="Y25" s="86"/>
      <c r="Z25" s="86"/>
      <c r="AA25" s="86"/>
      <c r="AB25" s="86"/>
      <c r="AC25" s="86"/>
      <c r="AD25" s="86"/>
      <c r="AE25" s="86"/>
      <c r="AF25" s="86"/>
      <c r="AG25" s="86"/>
      <c r="AH25" s="86"/>
      <c r="AI25" s="86"/>
      <c r="AJ25" s="86"/>
      <c r="AK25" s="86"/>
      <c r="AL25" s="86"/>
      <c r="AM25" s="86"/>
      <c r="AN25" s="86"/>
      <c r="AO25" s="86"/>
      <c r="AP25" s="86"/>
      <c r="AQ25" s="86"/>
      <c r="AR25" s="86"/>
      <c r="AS25" s="86"/>
      <c r="AT25" s="86"/>
      <c r="AU25" s="86"/>
      <c r="AV25" s="86"/>
      <c r="AW25" s="86"/>
      <c r="AX25" s="86"/>
      <c r="AY25" s="86"/>
      <c r="AZ25" s="86"/>
      <c r="BA25" s="86"/>
      <c r="BB25" s="86"/>
      <c r="BC25" s="86"/>
      <c r="BD25" s="86"/>
      <c r="BE25" s="86"/>
      <c r="BF25" s="86"/>
      <c r="BG25" s="86"/>
      <c r="BH25" s="86"/>
      <c r="BI25" s="86"/>
      <c r="BJ25" s="86"/>
      <c r="BK25" s="86"/>
      <c r="BL25" s="86"/>
      <c r="BM25" s="86"/>
      <c r="BN25" s="86"/>
      <c r="BO25" s="86"/>
      <c r="BP25" s="86"/>
      <c r="BQ25" s="86"/>
      <c r="BR25" s="86"/>
      <c r="BS25" s="86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2">
        <f t="shared" si="1"/>
        <v>0</v>
      </c>
      <c r="B26" s="42">
        <f t="shared" si="1"/>
        <v>0</v>
      </c>
      <c r="C26" s="42">
        <f t="shared" si="1"/>
        <v>0</v>
      </c>
      <c r="D26" s="42">
        <f t="shared" si="1"/>
        <v>0</v>
      </c>
      <c r="E26" s="39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86"/>
      <c r="W26" s="86"/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  <c r="AJ26" s="86"/>
      <c r="AK26" s="86"/>
      <c r="AL26" s="86"/>
      <c r="AM26" s="86"/>
      <c r="AN26" s="86"/>
      <c r="AO26" s="86"/>
      <c r="AP26" s="86"/>
      <c r="AQ26" s="86"/>
      <c r="AR26" s="86"/>
      <c r="AS26" s="86"/>
      <c r="AT26" s="86"/>
      <c r="AU26" s="86"/>
      <c r="AV26" s="86"/>
      <c r="AW26" s="86"/>
      <c r="AX26" s="86"/>
      <c r="AY26" s="86"/>
      <c r="AZ26" s="86"/>
      <c r="BA26" s="86"/>
      <c r="BB26" s="86"/>
      <c r="BC26" s="86"/>
      <c r="BD26" s="86"/>
      <c r="BE26" s="86"/>
      <c r="BF26" s="86"/>
      <c r="BG26" s="86"/>
      <c r="BH26" s="86"/>
      <c r="BI26" s="86"/>
      <c r="BJ26" s="86"/>
      <c r="BK26" s="86"/>
      <c r="BL26" s="86"/>
      <c r="BM26" s="86"/>
      <c r="BN26" s="86"/>
      <c r="BO26" s="86"/>
      <c r="BP26" s="86"/>
      <c r="BQ26" s="86"/>
      <c r="BR26" s="86"/>
      <c r="BS26" s="86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2">
        <f t="shared" si="1"/>
        <v>0</v>
      </c>
      <c r="B27" s="42">
        <f t="shared" si="1"/>
        <v>0</v>
      </c>
      <c r="C27" s="42">
        <f t="shared" si="1"/>
        <v>0</v>
      </c>
      <c r="D27" s="42">
        <f t="shared" si="1"/>
        <v>0</v>
      </c>
      <c r="E27" s="39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  <c r="X27" s="86"/>
      <c r="Y27" s="86"/>
      <c r="Z27" s="86"/>
      <c r="AA27" s="86"/>
      <c r="AB27" s="86"/>
      <c r="AC27" s="86"/>
      <c r="AD27" s="86"/>
      <c r="AE27" s="86"/>
      <c r="AF27" s="86"/>
      <c r="AG27" s="86"/>
      <c r="AH27" s="86"/>
      <c r="AI27" s="86"/>
      <c r="AJ27" s="86"/>
      <c r="AK27" s="86"/>
      <c r="AL27" s="86"/>
      <c r="AM27" s="86"/>
      <c r="AN27" s="86"/>
      <c r="AO27" s="86"/>
      <c r="AP27" s="86"/>
      <c r="AQ27" s="86"/>
      <c r="AR27" s="86"/>
      <c r="AS27" s="86"/>
      <c r="AT27" s="86"/>
      <c r="AU27" s="86"/>
      <c r="AV27" s="86"/>
      <c r="AW27" s="86"/>
      <c r="AX27" s="86"/>
      <c r="AY27" s="86"/>
      <c r="AZ27" s="86"/>
      <c r="BA27" s="86"/>
      <c r="BB27" s="86"/>
      <c r="BC27" s="86"/>
      <c r="BD27" s="86"/>
      <c r="BE27" s="86"/>
      <c r="BF27" s="86"/>
      <c r="BG27" s="86"/>
      <c r="BH27" s="86"/>
      <c r="BI27" s="86"/>
      <c r="BJ27" s="86"/>
      <c r="BK27" s="86"/>
      <c r="BL27" s="86"/>
      <c r="BM27" s="86"/>
      <c r="BN27" s="86"/>
      <c r="BO27" s="86"/>
      <c r="BP27" s="86"/>
      <c r="BQ27" s="86"/>
      <c r="BR27" s="86"/>
      <c r="BS27" s="86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2">
        <f t="shared" ref="A28:D32" si="2">IF( ISNUMBER( FIND(A$3,$E28,1)),   IF( ISNUMBER( VALUE(MID($E28,FIND(A$3,$E28,1)+2,1)) ), VALUE( MID($E28,FIND(A$3,$E28,1)+2,1) ),1),0)</f>
        <v>0</v>
      </c>
      <c r="B28" s="42">
        <f t="shared" si="2"/>
        <v>0</v>
      </c>
      <c r="C28" s="42">
        <f t="shared" si="2"/>
        <v>0</v>
      </c>
      <c r="D28" s="42">
        <f t="shared" si="2"/>
        <v>0</v>
      </c>
      <c r="E28" s="39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  <c r="X28" s="86"/>
      <c r="Y28" s="86"/>
      <c r="Z28" s="86"/>
      <c r="AA28" s="86"/>
      <c r="AB28" s="86"/>
      <c r="AC28" s="86"/>
      <c r="AD28" s="86"/>
      <c r="AE28" s="86"/>
      <c r="AF28" s="86"/>
      <c r="AG28" s="86"/>
      <c r="AH28" s="86"/>
      <c r="AI28" s="86"/>
      <c r="AJ28" s="86"/>
      <c r="AK28" s="86"/>
      <c r="AL28" s="86"/>
      <c r="AM28" s="86"/>
      <c r="AN28" s="86"/>
      <c r="AO28" s="86"/>
      <c r="AP28" s="86"/>
      <c r="AQ28" s="86"/>
      <c r="AR28" s="86"/>
      <c r="AS28" s="86"/>
      <c r="AT28" s="86"/>
      <c r="AU28" s="86"/>
      <c r="AV28" s="86"/>
      <c r="AW28" s="86"/>
      <c r="AX28" s="86"/>
      <c r="AY28" s="86"/>
      <c r="AZ28" s="86"/>
      <c r="BA28" s="86"/>
      <c r="BB28" s="86"/>
      <c r="BC28" s="86"/>
      <c r="BD28" s="86"/>
      <c r="BE28" s="86"/>
      <c r="BF28" s="86"/>
      <c r="BG28" s="86"/>
      <c r="BH28" s="86"/>
      <c r="BI28" s="86"/>
      <c r="BJ28" s="86"/>
      <c r="BK28" s="86"/>
      <c r="BL28" s="86"/>
      <c r="BM28" s="86"/>
      <c r="BN28" s="86"/>
      <c r="BO28" s="86"/>
      <c r="BP28" s="86"/>
      <c r="BQ28" s="86"/>
      <c r="BR28" s="86"/>
      <c r="BS28" s="86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2">
        <f t="shared" si="2"/>
        <v>0</v>
      </c>
      <c r="B29" s="42">
        <f t="shared" si="2"/>
        <v>0</v>
      </c>
      <c r="C29" s="42">
        <f t="shared" si="2"/>
        <v>0</v>
      </c>
      <c r="D29" s="42">
        <f t="shared" si="2"/>
        <v>0</v>
      </c>
      <c r="E29" s="39"/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86"/>
      <c r="S29" s="86"/>
      <c r="T29" s="86"/>
      <c r="U29" s="86"/>
      <c r="V29" s="86"/>
      <c r="W29" s="86"/>
      <c r="X29" s="86"/>
      <c r="Y29" s="86"/>
      <c r="Z29" s="86"/>
      <c r="AA29" s="86"/>
      <c r="AB29" s="86"/>
      <c r="AC29" s="86"/>
      <c r="AD29" s="86"/>
      <c r="AE29" s="86"/>
      <c r="AF29" s="86"/>
      <c r="AG29" s="86"/>
      <c r="AH29" s="86"/>
      <c r="AI29" s="86"/>
      <c r="AJ29" s="86"/>
      <c r="AK29" s="86"/>
      <c r="AL29" s="48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2">
        <f t="shared" si="2"/>
        <v>0</v>
      </c>
      <c r="B30" s="42">
        <f t="shared" si="2"/>
        <v>0</v>
      </c>
      <c r="C30" s="42">
        <f t="shared" si="2"/>
        <v>0</v>
      </c>
      <c r="D30" s="42">
        <f t="shared" si="2"/>
        <v>0</v>
      </c>
      <c r="E30" s="39"/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  <c r="S30" s="86"/>
      <c r="T30" s="86"/>
      <c r="U30" s="86"/>
      <c r="V30" s="86"/>
      <c r="W30" s="86"/>
      <c r="X30" s="86"/>
      <c r="Y30" s="86"/>
      <c r="Z30" s="86"/>
      <c r="AA30" s="86"/>
      <c r="AB30" s="86"/>
      <c r="AC30" s="86"/>
      <c r="AD30" s="86"/>
      <c r="AE30" s="86"/>
      <c r="AF30" s="86"/>
      <c r="AG30" s="86"/>
      <c r="AH30" s="86"/>
      <c r="AI30" s="86"/>
      <c r="AJ30" s="86"/>
      <c r="AK30" s="86"/>
      <c r="AL30" s="48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2">
        <f t="shared" si="2"/>
        <v>0</v>
      </c>
      <c r="B31" s="42">
        <f t="shared" si="2"/>
        <v>0</v>
      </c>
      <c r="C31" s="42">
        <f t="shared" si="2"/>
        <v>0</v>
      </c>
      <c r="D31" s="42">
        <f t="shared" si="2"/>
        <v>0</v>
      </c>
      <c r="E31" s="39"/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86"/>
      <c r="S31" s="86"/>
      <c r="T31" s="86"/>
      <c r="U31" s="86"/>
      <c r="V31" s="86"/>
      <c r="W31" s="86"/>
      <c r="X31" s="86"/>
      <c r="Y31" s="86"/>
      <c r="Z31" s="86"/>
      <c r="AA31" s="86"/>
      <c r="AB31" s="86"/>
      <c r="AC31" s="86"/>
      <c r="AD31" s="86"/>
      <c r="AE31" s="86"/>
      <c r="AF31" s="86"/>
      <c r="AG31" s="86"/>
      <c r="AH31" s="86"/>
      <c r="AI31" s="86"/>
      <c r="AJ31" s="86"/>
      <c r="AK31" s="86"/>
      <c r="AL31" s="48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2">
        <f t="shared" si="2"/>
        <v>0</v>
      </c>
      <c r="B32" s="42">
        <f t="shared" si="2"/>
        <v>0</v>
      </c>
      <c r="C32" s="42">
        <f t="shared" si="2"/>
        <v>0</v>
      </c>
      <c r="D32" s="42">
        <f t="shared" si="2"/>
        <v>0</v>
      </c>
      <c r="E32" s="39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  <c r="S32" s="86"/>
      <c r="T32" s="86"/>
      <c r="U32" s="86"/>
      <c r="V32" s="86"/>
      <c r="W32" s="86"/>
      <c r="X32" s="86"/>
      <c r="Y32" s="86"/>
      <c r="Z32" s="86"/>
      <c r="AA32" s="86"/>
      <c r="AB32" s="86"/>
      <c r="AC32" s="86"/>
      <c r="AD32" s="86"/>
      <c r="AE32" s="86"/>
      <c r="AF32" s="86"/>
      <c r="AG32" s="86"/>
      <c r="AH32" s="86"/>
      <c r="AI32" s="86"/>
      <c r="AJ32" s="86"/>
      <c r="AK32" s="86"/>
      <c r="AL32" s="48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Bot="1" x14ac:dyDescent="0.4">
      <c r="A33" s="42">
        <f t="shared" ref="A33:D33" si="3">IF( ISNUMBER( FIND(A$3,$E33,1)),   IF( ISNUMBER( VALUE(MID($E33,FIND(A$3,$E33,1)+2,1)) ), VALUE( MID($E33,FIND(A$3,$E33,1)+2,1) ),1),0)</f>
        <v>0</v>
      </c>
      <c r="B33" s="42">
        <f t="shared" si="3"/>
        <v>0</v>
      </c>
      <c r="C33" s="42">
        <f t="shared" si="3"/>
        <v>0</v>
      </c>
      <c r="D33" s="42">
        <f t="shared" si="3"/>
        <v>0</v>
      </c>
      <c r="E33" s="39">
        <v>1</v>
      </c>
      <c r="F33" s="48">
        <v>0</v>
      </c>
      <c r="G33" s="48">
        <v>0</v>
      </c>
      <c r="H33" s="48">
        <v>0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0</v>
      </c>
      <c r="AC33" s="48">
        <v>0</v>
      </c>
      <c r="AD33" s="48">
        <v>0</v>
      </c>
      <c r="AE33" s="48">
        <v>0</v>
      </c>
      <c r="AF33" s="48">
        <v>0</v>
      </c>
      <c r="AG33" s="48">
        <v>0</v>
      </c>
      <c r="AH33" s="48">
        <v>0</v>
      </c>
      <c r="AI33" s="48">
        <v>0</v>
      </c>
      <c r="AJ33" s="48">
        <v>0</v>
      </c>
      <c r="AK33" s="48">
        <v>0</v>
      </c>
      <c r="AL33" s="48">
        <v>0</v>
      </c>
      <c r="AM33" s="48">
        <v>0</v>
      </c>
      <c r="AN33" s="48">
        <v>0</v>
      </c>
      <c r="AO33" s="48">
        <v>0</v>
      </c>
      <c r="AP33" s="48">
        <v>0</v>
      </c>
      <c r="AQ33" s="48">
        <v>0</v>
      </c>
      <c r="AR33" s="48">
        <v>0</v>
      </c>
      <c r="AS33" s="48">
        <v>0</v>
      </c>
      <c r="AT33" s="48">
        <v>0</v>
      </c>
      <c r="AU33" s="48">
        <v>0</v>
      </c>
      <c r="AV33" s="48">
        <v>0</v>
      </c>
      <c r="AW33" s="48">
        <v>0</v>
      </c>
      <c r="AX33" s="48">
        <v>0</v>
      </c>
      <c r="AY33" s="48">
        <v>0</v>
      </c>
      <c r="AZ33" s="48">
        <v>0</v>
      </c>
      <c r="BA33" s="48">
        <v>0</v>
      </c>
      <c r="BB33" s="48">
        <v>0</v>
      </c>
      <c r="BC33" s="48">
        <v>0</v>
      </c>
      <c r="BD33" s="48">
        <v>0</v>
      </c>
      <c r="BE33" s="48">
        <v>0</v>
      </c>
      <c r="BF33" s="48">
        <v>0</v>
      </c>
      <c r="BG33" s="48">
        <v>0</v>
      </c>
      <c r="BH33" s="48">
        <v>0</v>
      </c>
      <c r="BI33" s="48">
        <v>0</v>
      </c>
      <c r="BJ33" s="48">
        <v>0</v>
      </c>
      <c r="BK33" s="48">
        <v>0</v>
      </c>
      <c r="BL33" s="48">
        <v>0</v>
      </c>
      <c r="BM33" s="48">
        <v>0</v>
      </c>
      <c r="BN33" s="48">
        <v>0</v>
      </c>
      <c r="BO33" s="48">
        <v>0</v>
      </c>
      <c r="BP33" s="48">
        <v>0</v>
      </c>
      <c r="BQ33" s="48">
        <v>0</v>
      </c>
      <c r="BR33" s="48">
        <v>0</v>
      </c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5">
        <f ca="1">IF(E34=C34,1,0)</f>
        <v>1</v>
      </c>
      <c r="C34" s="11" t="s">
        <v>26</v>
      </c>
      <c r="D34" s="45">
        <f>MATCH(C34,$E$4:$E$33)</f>
        <v>14</v>
      </c>
      <c r="E34" s="11" t="str">
        <f ca="1">OFFSET($E$3:$AL$3,$D34,0)</f>
        <v>H (Ar)</v>
      </c>
      <c r="F34" s="14">
        <f t="shared" ref="F34:AL37" ca="1" si="4">OFFSET($E$3:$AL$3,$D34,0)</f>
        <v>-18.62</v>
      </c>
      <c r="G34" s="14">
        <f t="shared" ca="1" si="4"/>
        <v>-18.61</v>
      </c>
      <c r="H34" s="14">
        <f t="shared" ca="1" si="4"/>
        <v>-18.61</v>
      </c>
      <c r="I34" s="14">
        <f t="shared" ca="1" si="4"/>
        <v>-18.62</v>
      </c>
      <c r="J34" s="14">
        <f t="shared" ca="1" si="4"/>
        <v>-18.63</v>
      </c>
      <c r="K34" s="14">
        <f t="shared" ca="1" si="4"/>
        <v>-18.72</v>
      </c>
      <c r="L34" s="14">
        <f t="shared" ca="1" si="4"/>
        <v>-18.75</v>
      </c>
      <c r="M34" s="14">
        <f t="shared" ca="1" si="4"/>
        <v>-18.78</v>
      </c>
      <c r="N34" s="14">
        <f t="shared" ca="1" si="4"/>
        <v>-18.809999999999999</v>
      </c>
      <c r="O34" s="14">
        <f t="shared" ca="1" si="4"/>
        <v>-18.84</v>
      </c>
      <c r="P34" s="14">
        <f t="shared" ca="1" si="4"/>
        <v>-18.87</v>
      </c>
      <c r="Q34" s="14">
        <f t="shared" ca="1" si="4"/>
        <v>-18.899999999999999</v>
      </c>
      <c r="R34" s="14">
        <f t="shared" ca="1" si="4"/>
        <v>-18.940000000000001</v>
      </c>
      <c r="S34" s="14">
        <f t="shared" ca="1" si="4"/>
        <v>-18.97</v>
      </c>
      <c r="T34" s="14">
        <f t="shared" ca="1" si="4"/>
        <v>-19.010000000000002</v>
      </c>
      <c r="U34" s="14">
        <f t="shared" ca="1" si="4"/>
        <v>-19.04</v>
      </c>
      <c r="V34" s="14">
        <f t="shared" ca="1" si="4"/>
        <v>-19.07</v>
      </c>
      <c r="W34" s="14">
        <f t="shared" ca="1" si="4"/>
        <v>-19.11</v>
      </c>
      <c r="X34" s="14">
        <f t="shared" ca="1" si="4"/>
        <v>-19.14</v>
      </c>
      <c r="Y34" s="14">
        <f t="shared" ca="1" si="4"/>
        <v>-19.18</v>
      </c>
      <c r="Z34" s="14">
        <f t="shared" ca="1" si="4"/>
        <v>-19.21</v>
      </c>
      <c r="AA34" s="14">
        <f t="shared" ca="1" si="4"/>
        <v>-19.25</v>
      </c>
      <c r="AB34" s="14">
        <f t="shared" ca="1" si="4"/>
        <v>-19.38</v>
      </c>
      <c r="AC34" s="14">
        <f t="shared" ca="1" si="4"/>
        <v>-19.510000000000002</v>
      </c>
      <c r="AD34" s="14">
        <f t="shared" ca="1" si="4"/>
        <v>-19.64</v>
      </c>
      <c r="AE34" s="14">
        <f t="shared" ca="1" si="4"/>
        <v>-19.670000000000002</v>
      </c>
      <c r="AF34" s="14">
        <f t="shared" ca="1" si="4"/>
        <v>-19.7</v>
      </c>
      <c r="AG34" s="14">
        <f t="shared" ca="1" si="4"/>
        <v>-19.73</v>
      </c>
      <c r="AH34" s="14">
        <f t="shared" ca="1" si="4"/>
        <v>-19.760000000000002</v>
      </c>
      <c r="AI34" s="14">
        <f t="shared" ca="1" si="4"/>
        <v>-19.79</v>
      </c>
      <c r="AJ34" s="14">
        <f t="shared" ca="1" si="4"/>
        <v>-19.82</v>
      </c>
      <c r="AK34" s="14">
        <f t="shared" ca="1" si="4"/>
        <v>-19.850000000000001</v>
      </c>
      <c r="AL34" s="14">
        <f t="shared" ca="1" si="4"/>
        <v>-19.88</v>
      </c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s="35" customFormat="1" ht="21" customHeight="1" outlineLevel="1" x14ac:dyDescent="0.35">
      <c r="B35" s="45">
        <f t="shared" ref="B35:B37" ca="1" si="5">IF(E35=C35,1,0)</f>
        <v>1</v>
      </c>
      <c r="C35" s="11" t="s">
        <v>5</v>
      </c>
      <c r="D35" s="45">
        <f t="shared" ref="D35:D37" si="6">MATCH(C35,$E$4:$E$33)</f>
        <v>15</v>
      </c>
      <c r="E35" s="11" t="str">
        <f t="shared" ref="E35:E37" ca="1" si="7">OFFSET($E$3:$AL$3,$D35,0)</f>
        <v>H (Ga)</v>
      </c>
      <c r="F35" s="14">
        <f t="shared" ca="1" si="4"/>
        <v>-66.48</v>
      </c>
      <c r="G35" s="14">
        <f t="shared" ca="1" si="4"/>
        <v>-62.87</v>
      </c>
      <c r="H35" s="14">
        <f t="shared" ca="1" si="4"/>
        <v>-59.45</v>
      </c>
      <c r="I35" s="14">
        <f t="shared" ca="1" si="4"/>
        <v>-56.08</v>
      </c>
      <c r="J35" s="14">
        <f t="shared" ca="1" si="4"/>
        <v>-52.71</v>
      </c>
      <c r="K35" s="14">
        <f t="shared" ca="1" si="4"/>
        <v>-40.33</v>
      </c>
      <c r="L35" s="14">
        <f t="shared" ca="1" si="4"/>
        <v>-37.729999999999997</v>
      </c>
      <c r="M35" s="14">
        <f t="shared" ca="1" si="4"/>
        <v>-35.340000000000003</v>
      </c>
      <c r="N35" s="14">
        <f t="shared" ca="1" si="4"/>
        <v>-33.17</v>
      </c>
      <c r="O35" s="14">
        <f t="shared" ca="1" si="4"/>
        <v>-31.2</v>
      </c>
      <c r="P35" s="14">
        <f t="shared" ca="1" si="4"/>
        <v>-29.39</v>
      </c>
      <c r="Q35" s="14">
        <f t="shared" ca="1" si="4"/>
        <v>-27.69</v>
      </c>
      <c r="R35" s="14">
        <f t="shared" ca="1" si="4"/>
        <v>-26.08</v>
      </c>
      <c r="S35" s="14">
        <f t="shared" ca="1" si="4"/>
        <v>-24.57</v>
      </c>
      <c r="T35" s="14">
        <f t="shared" ca="1" si="4"/>
        <v>-23.15</v>
      </c>
      <c r="U35" s="14">
        <f t="shared" ca="1" si="4"/>
        <v>-21.84</v>
      </c>
      <c r="V35" s="14">
        <f t="shared" ca="1" si="4"/>
        <v>-20.64</v>
      </c>
      <c r="W35" s="14">
        <f t="shared" ca="1" si="4"/>
        <v>-19.53</v>
      </c>
      <c r="X35" s="14">
        <f t="shared" ca="1" si="4"/>
        <v>-18.5</v>
      </c>
      <c r="Y35" s="14">
        <f t="shared" ca="1" si="4"/>
        <v>-17.53</v>
      </c>
      <c r="Z35" s="14">
        <f t="shared" ca="1" si="4"/>
        <v>-16.62</v>
      </c>
      <c r="AA35" s="14">
        <f t="shared" ca="1" si="4"/>
        <v>-15.74</v>
      </c>
      <c r="AB35" s="14">
        <f t="shared" ca="1" si="4"/>
        <v>-12.62</v>
      </c>
      <c r="AC35" s="14">
        <f t="shared" ca="1" si="4"/>
        <v>-10.119999999999999</v>
      </c>
      <c r="AD35" s="14">
        <f t="shared" ca="1" si="4"/>
        <v>-8.859</v>
      </c>
      <c r="AE35" s="14">
        <f t="shared" ca="1" si="4"/>
        <v>-8.76</v>
      </c>
      <c r="AF35" s="14">
        <f t="shared" ca="1" si="4"/>
        <v>-8.7140000000000004</v>
      </c>
      <c r="AG35" s="14">
        <f t="shared" ca="1" si="4"/>
        <v>-8.7010000000000005</v>
      </c>
      <c r="AH35" s="14">
        <f t="shared" ca="1" si="4"/>
        <v>-8.7080000000000002</v>
      </c>
      <c r="AI35" s="14">
        <f t="shared" ca="1" si="4"/>
        <v>-8.7279999999999998</v>
      </c>
      <c r="AJ35" s="14">
        <f t="shared" ca="1" si="4"/>
        <v>-8.7539999999999996</v>
      </c>
      <c r="AK35" s="14">
        <f t="shared" ca="1" si="4"/>
        <v>-8.7850000000000001</v>
      </c>
      <c r="AL35" s="14">
        <f t="shared" ca="1" si="4"/>
        <v>-8.8179999999999996</v>
      </c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s="35" customFormat="1" ht="21" customHeight="1" outlineLevel="1" x14ac:dyDescent="0.35">
      <c r="B36" s="45">
        <f t="shared" ca="1" si="5"/>
        <v>1</v>
      </c>
      <c r="C36" s="11" t="s">
        <v>6</v>
      </c>
      <c r="D36" s="45">
        <f t="shared" si="6"/>
        <v>16</v>
      </c>
      <c r="E36" s="11" t="str">
        <f t="shared" ca="1" si="7"/>
        <v>H (Ge)</v>
      </c>
      <c r="F36" s="14">
        <f t="shared" ca="1" si="4"/>
        <v>-17.09</v>
      </c>
      <c r="G36" s="14">
        <f t="shared" ca="1" si="4"/>
        <v>-16.329999999999998</v>
      </c>
      <c r="H36" s="14">
        <f t="shared" ca="1" si="4"/>
        <v>-15.49</v>
      </c>
      <c r="I36" s="14">
        <f t="shared" ca="1" si="4"/>
        <v>-14.5</v>
      </c>
      <c r="J36" s="14">
        <f t="shared" ca="1" si="4"/>
        <v>-13.38</v>
      </c>
      <c r="K36" s="14">
        <f t="shared" ca="1" si="4"/>
        <v>-8.9420000000000002</v>
      </c>
      <c r="L36" s="14">
        <f t="shared" ca="1" si="4"/>
        <v>-8.0190000000000001</v>
      </c>
      <c r="M36" s="14">
        <f t="shared" ca="1" si="4"/>
        <v>-7.2149999999999999</v>
      </c>
      <c r="N36" s="14">
        <f t="shared" ca="1" si="4"/>
        <v>-6.5570000000000004</v>
      </c>
      <c r="O36" s="14">
        <f t="shared" ca="1" si="4"/>
        <v>-6.056</v>
      </c>
      <c r="P36" s="14">
        <f t="shared" ca="1" si="4"/>
        <v>-5.7050000000000001</v>
      </c>
      <c r="Q36" s="14">
        <f t="shared" ca="1" si="4"/>
        <v>-5.4829999999999997</v>
      </c>
      <c r="R36" s="14">
        <f t="shared" ca="1" si="4"/>
        <v>-5.3639999999999999</v>
      </c>
      <c r="S36" s="14">
        <f t="shared" ca="1" si="4"/>
        <v>-5.319</v>
      </c>
      <c r="T36" s="14">
        <f t="shared" ca="1" si="4"/>
        <v>-5.319</v>
      </c>
      <c r="U36" s="14">
        <f t="shared" ca="1" si="4"/>
        <v>-5.3440000000000003</v>
      </c>
      <c r="V36" s="14">
        <f t="shared" ca="1" si="4"/>
        <v>-5.3789999999999996</v>
      </c>
      <c r="W36" s="14">
        <f t="shared" ca="1" si="4"/>
        <v>-5.4180000000000001</v>
      </c>
      <c r="X36" s="14">
        <f t="shared" ca="1" si="4"/>
        <v>-5.4589999999999996</v>
      </c>
      <c r="Y36" s="14">
        <f t="shared" ca="1" si="4"/>
        <v>-5.4989999999999997</v>
      </c>
      <c r="Z36" s="14">
        <f t="shared" ca="1" si="4"/>
        <v>-5.54</v>
      </c>
      <c r="AA36" s="14">
        <f t="shared" ca="1" si="4"/>
        <v>-5.58</v>
      </c>
      <c r="AB36" s="14">
        <f t="shared" ca="1" si="4"/>
        <v>-5.7430000000000003</v>
      </c>
      <c r="AC36" s="14">
        <f t="shared" ca="1" si="4"/>
        <v>-5.9169999999999998</v>
      </c>
      <c r="AD36" s="14">
        <f t="shared" ca="1" si="4"/>
        <v>-6.1260000000000003</v>
      </c>
      <c r="AE36" s="14">
        <f t="shared" ca="1" si="4"/>
        <v>-6.1749999999999998</v>
      </c>
      <c r="AF36" s="14">
        <f t="shared" ca="1" si="4"/>
        <v>-6.2210000000000001</v>
      </c>
      <c r="AG36" s="14">
        <f t="shared" ca="1" si="4"/>
        <v>-6.2629999999999999</v>
      </c>
      <c r="AH36" s="14">
        <f t="shared" ca="1" si="4"/>
        <v>-6.3029999999999999</v>
      </c>
      <c r="AI36" s="14">
        <f t="shared" ca="1" si="4"/>
        <v>-6.3419999999999996</v>
      </c>
      <c r="AJ36" s="14">
        <f t="shared" ca="1" si="4"/>
        <v>-6.3789999999999996</v>
      </c>
      <c r="AK36" s="14">
        <f t="shared" ca="1" si="4"/>
        <v>-6.4160000000000004</v>
      </c>
      <c r="AL36" s="14">
        <f t="shared" ca="1" si="4"/>
        <v>-6.452</v>
      </c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5">
        <f t="shared" ca="1" si="5"/>
        <v>1</v>
      </c>
      <c r="C37" s="11" t="s">
        <v>7</v>
      </c>
      <c r="D37" s="45">
        <f t="shared" si="6"/>
        <v>17</v>
      </c>
      <c r="E37" s="11" t="str">
        <f t="shared" ca="1" si="7"/>
        <v>H (Se)</v>
      </c>
      <c r="F37" s="14">
        <f t="shared" ca="1" si="4"/>
        <v>-23.56</v>
      </c>
      <c r="G37" s="14">
        <f t="shared" ca="1" si="4"/>
        <v>-22.54</v>
      </c>
      <c r="H37" s="14">
        <f t="shared" ca="1" si="4"/>
        <v>-21.78</v>
      </c>
      <c r="I37" s="14">
        <f t="shared" ca="1" si="4"/>
        <v>-21.32</v>
      </c>
      <c r="J37" s="14">
        <f t="shared" ca="1" si="4"/>
        <v>-21.15</v>
      </c>
      <c r="K37" s="14">
        <f t="shared" ca="1" si="4"/>
        <v>-21.73</v>
      </c>
      <c r="L37" s="14">
        <f t="shared" ca="1" si="4"/>
        <v>-21.95</v>
      </c>
      <c r="M37" s="14">
        <f t="shared" ca="1" si="4"/>
        <v>-22.15</v>
      </c>
      <c r="N37" s="14">
        <f t="shared" ca="1" si="4"/>
        <v>-22.32</v>
      </c>
      <c r="O37" s="14">
        <f t="shared" ca="1" si="4"/>
        <v>-22.46</v>
      </c>
      <c r="P37" s="14">
        <f t="shared" ca="1" si="4"/>
        <v>-22.6</v>
      </c>
      <c r="Q37" s="14">
        <f t="shared" ca="1" si="4"/>
        <v>-22.76</v>
      </c>
      <c r="R37" s="14">
        <f t="shared" ca="1" si="4"/>
        <v>-22.95</v>
      </c>
      <c r="S37" s="14">
        <f t="shared" ca="1" si="4"/>
        <v>-23.15</v>
      </c>
      <c r="T37" s="14">
        <f t="shared" ca="1" si="4"/>
        <v>-23.37</v>
      </c>
      <c r="U37" s="14">
        <f t="shared" ca="1" si="4"/>
        <v>-23.6</v>
      </c>
      <c r="V37" s="14">
        <f t="shared" ca="1" si="4"/>
        <v>-23.84</v>
      </c>
      <c r="W37" s="14">
        <f t="shared" ca="1" si="4"/>
        <v>-24.07</v>
      </c>
      <c r="X37" s="14">
        <f t="shared" ca="1" si="4"/>
        <v>-24.31</v>
      </c>
      <c r="Y37" s="14">
        <f t="shared" ca="1" si="4"/>
        <v>-24.54</v>
      </c>
      <c r="Z37" s="14">
        <f t="shared" ca="1" si="4"/>
        <v>-24.77</v>
      </c>
      <c r="AA37" s="14">
        <f t="shared" ca="1" si="4"/>
        <v>-25</v>
      </c>
      <c r="AB37" s="14">
        <f t="shared" ca="1" si="4"/>
        <v>-25.9</v>
      </c>
      <c r="AC37" s="14">
        <f t="shared" ca="1" si="4"/>
        <v>-26.75</v>
      </c>
      <c r="AD37" s="14">
        <f t="shared" ca="1" si="4"/>
        <v>-27.55</v>
      </c>
      <c r="AE37" s="14">
        <f t="shared" ca="1" si="4"/>
        <v>-27.75</v>
      </c>
      <c r="AF37" s="14">
        <f t="shared" ca="1" si="4"/>
        <v>-27.95</v>
      </c>
      <c r="AG37" s="14">
        <f t="shared" ca="1" si="4"/>
        <v>-28.15</v>
      </c>
      <c r="AH37" s="14">
        <f t="shared" ref="AH37:AL37" ca="1" si="8">OFFSET($E$3:$AL$3,$D37,0)</f>
        <v>-28.35</v>
      </c>
      <c r="AI37" s="14">
        <f t="shared" ca="1" si="8"/>
        <v>-28.54</v>
      </c>
      <c r="AJ37" s="14">
        <f t="shared" ca="1" si="8"/>
        <v>-28.74</v>
      </c>
      <c r="AK37" s="14">
        <f t="shared" ca="1" si="8"/>
        <v>-28.94</v>
      </c>
      <c r="AL37" s="14">
        <f t="shared" ca="1" si="8"/>
        <v>-29.13</v>
      </c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s="35" customFormat="1" ht="21" customHeight="1" thickBot="1" x14ac:dyDescent="0.4"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  <c r="AG38" s="48"/>
      <c r="AH38" s="48"/>
      <c r="AI38" s="48"/>
      <c r="AJ38" s="48"/>
      <c r="AK38" s="48"/>
      <c r="AL38" s="48"/>
      <c r="AM38" s="48"/>
      <c r="AN38" s="48"/>
      <c r="AO38" s="48"/>
      <c r="AP38" s="48"/>
      <c r="AQ38" s="48"/>
      <c r="AR38" s="48"/>
      <c r="AS38" s="48"/>
      <c r="AT38" s="48"/>
      <c r="AU38" s="48"/>
      <c r="AV38" s="48"/>
      <c r="AW38" s="48"/>
      <c r="AX38" s="48"/>
      <c r="AY38" s="48"/>
      <c r="AZ38" s="48"/>
      <c r="BA38" s="48"/>
      <c r="BB38" s="48"/>
      <c r="BC38" s="48"/>
      <c r="BD38" s="48"/>
      <c r="BE38" s="48"/>
      <c r="BF38" s="48"/>
      <c r="BG38" s="48"/>
      <c r="BH38" s="48"/>
      <c r="BI38" s="48"/>
      <c r="BJ38" s="48"/>
      <c r="BK38" s="48"/>
      <c r="BL38" s="48"/>
      <c r="BM38" s="48"/>
      <c r="BN38" s="48"/>
      <c r="BO38" s="48"/>
      <c r="BP38" s="48"/>
      <c r="BQ38" s="48"/>
      <c r="BR38" s="48"/>
      <c r="BS38" s="48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2" t="s">
        <v>8</v>
      </c>
      <c r="B39" s="73"/>
      <c r="C39" s="73"/>
      <c r="D39" s="74"/>
      <c r="E39" s="65" t="s">
        <v>19</v>
      </c>
      <c r="F39" s="66"/>
      <c r="G39" s="66"/>
      <c r="H39" s="66"/>
      <c r="I39" s="66"/>
      <c r="J39" s="66"/>
      <c r="K39" s="66"/>
      <c r="L39" s="66"/>
      <c r="M39" s="66"/>
      <c r="N39" s="66"/>
      <c r="O39" s="66"/>
      <c r="P39" s="66"/>
      <c r="Q39" s="66"/>
      <c r="R39" s="66"/>
      <c r="S39" s="66"/>
      <c r="T39" s="66"/>
      <c r="U39" s="66"/>
      <c r="V39" s="66"/>
      <c r="W39" s="66"/>
      <c r="X39" s="66"/>
      <c r="Y39" s="66"/>
      <c r="Z39" s="66"/>
      <c r="AA39" s="66"/>
      <c r="AB39" s="66"/>
      <c r="AC39" s="66"/>
      <c r="AD39" s="66"/>
      <c r="AE39" s="66"/>
      <c r="AF39" s="66"/>
      <c r="AG39" s="66"/>
      <c r="AH39" s="66"/>
      <c r="AI39" s="66"/>
      <c r="AJ39" s="66"/>
      <c r="AK39" s="66"/>
      <c r="AL39" s="66"/>
      <c r="AM39" s="66"/>
      <c r="AN39" s="66"/>
      <c r="AO39" s="66"/>
      <c r="AP39" s="66"/>
      <c r="AQ39" s="66"/>
      <c r="AR39" s="66"/>
      <c r="AS39" s="66"/>
      <c r="AT39" s="66"/>
      <c r="AU39" s="66"/>
      <c r="AV39" s="66"/>
      <c r="AW39" s="66"/>
      <c r="AX39" s="66"/>
      <c r="AY39" s="66"/>
      <c r="AZ39" s="66"/>
      <c r="BA39" s="66"/>
      <c r="BB39" s="66"/>
      <c r="BC39" s="66"/>
      <c r="BD39" s="66"/>
      <c r="BE39" s="66"/>
      <c r="BF39" s="66"/>
      <c r="BG39" s="66"/>
      <c r="BH39" s="66"/>
      <c r="BI39" s="66"/>
      <c r="BJ39" s="66"/>
      <c r="BK39" s="66"/>
      <c r="BL39" s="66"/>
      <c r="BM39" s="66"/>
      <c r="BN39" s="66"/>
      <c r="BO39" s="66"/>
      <c r="BP39" s="66"/>
      <c r="BQ39" s="66"/>
      <c r="BR39" s="66"/>
      <c r="BS39" s="66"/>
      <c r="BT39" s="66"/>
      <c r="BU39" s="66"/>
      <c r="BV39" s="66"/>
      <c r="BW39" s="66"/>
      <c r="BX39" s="66"/>
      <c r="BY39" s="66"/>
      <c r="BZ39" s="66"/>
      <c r="CA39" s="66"/>
      <c r="CB39" s="66"/>
      <c r="CC39" s="66"/>
      <c r="CD39" s="66"/>
      <c r="CE39" s="66"/>
      <c r="CF39" s="66"/>
      <c r="CG39" s="66"/>
      <c r="CH39" s="66"/>
      <c r="CI39" s="66"/>
    </row>
    <row r="40" spans="1:87" ht="21" customHeight="1" outlineLevel="1" thickTop="1" thickBot="1" x14ac:dyDescent="0.4">
      <c r="A40" s="7" t="str">
        <f>A3</f>
        <v>Ar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AL40" si="9">G3</f>
        <v>289.7</v>
      </c>
      <c r="H40" s="8">
        <f t="shared" si="9"/>
        <v>306.2</v>
      </c>
      <c r="I40" s="8">
        <f t="shared" si="9"/>
        <v>322.7</v>
      </c>
      <c r="J40" s="8">
        <f t="shared" si="9"/>
        <v>339.2</v>
      </c>
      <c r="K40" s="8">
        <f t="shared" si="9"/>
        <v>405.3</v>
      </c>
      <c r="L40" s="8">
        <f t="shared" si="9"/>
        <v>421.8</v>
      </c>
      <c r="M40" s="8">
        <f t="shared" si="9"/>
        <v>438.3</v>
      </c>
      <c r="N40" s="8">
        <f t="shared" si="9"/>
        <v>454.9</v>
      </c>
      <c r="O40" s="8">
        <f t="shared" si="9"/>
        <v>471.4</v>
      </c>
      <c r="P40" s="8">
        <f t="shared" si="9"/>
        <v>487.9</v>
      </c>
      <c r="Q40" s="8">
        <f t="shared" si="9"/>
        <v>504.4</v>
      </c>
      <c r="R40" s="8">
        <f t="shared" si="9"/>
        <v>520.9</v>
      </c>
      <c r="S40" s="8">
        <f t="shared" si="9"/>
        <v>537.5</v>
      </c>
      <c r="T40" s="8">
        <f t="shared" si="9"/>
        <v>554</v>
      </c>
      <c r="U40" s="8">
        <f t="shared" si="9"/>
        <v>570.5</v>
      </c>
      <c r="V40" s="8">
        <f t="shared" si="9"/>
        <v>587</v>
      </c>
      <c r="W40" s="8">
        <f t="shared" si="9"/>
        <v>603.5</v>
      </c>
      <c r="X40" s="8">
        <f t="shared" si="9"/>
        <v>620.1</v>
      </c>
      <c r="Y40" s="8">
        <f t="shared" si="9"/>
        <v>636.6</v>
      </c>
      <c r="Z40" s="8">
        <f t="shared" si="9"/>
        <v>653.1</v>
      </c>
      <c r="AA40" s="8">
        <f t="shared" si="9"/>
        <v>669.6</v>
      </c>
      <c r="AB40" s="8">
        <f t="shared" si="9"/>
        <v>735.7</v>
      </c>
      <c r="AC40" s="8">
        <f t="shared" si="9"/>
        <v>801.8</v>
      </c>
      <c r="AD40" s="8">
        <f t="shared" si="9"/>
        <v>867.8</v>
      </c>
      <c r="AE40" s="8">
        <f t="shared" si="9"/>
        <v>884.4</v>
      </c>
      <c r="AF40" s="8">
        <f t="shared" si="9"/>
        <v>900.9</v>
      </c>
      <c r="AG40" s="8">
        <f t="shared" si="9"/>
        <v>917.4</v>
      </c>
      <c r="AH40" s="8">
        <f t="shared" si="9"/>
        <v>933.9</v>
      </c>
      <c r="AI40" s="8">
        <f t="shared" si="9"/>
        <v>950.4</v>
      </c>
      <c r="AJ40" s="8">
        <f t="shared" si="9"/>
        <v>967</v>
      </c>
      <c r="AK40" s="8">
        <f t="shared" si="9"/>
        <v>983.5</v>
      </c>
      <c r="AL40" s="8">
        <f t="shared" si="9"/>
        <v>1000</v>
      </c>
      <c r="AM40" s="89"/>
      <c r="AN40" s="89"/>
      <c r="AO40" s="89"/>
      <c r="AP40" s="89"/>
      <c r="AQ40" s="89"/>
      <c r="AR40" s="89"/>
      <c r="AS40" s="89"/>
      <c r="AT40" s="89"/>
      <c r="AU40" s="89"/>
      <c r="AV40" s="89"/>
      <c r="AW40" s="89"/>
      <c r="AX40" s="89"/>
      <c r="AY40" s="89"/>
      <c r="AZ40" s="89"/>
      <c r="BA40" s="89"/>
      <c r="BB40" s="89"/>
      <c r="BC40" s="89"/>
      <c r="BD40" s="89"/>
      <c r="BE40" s="89"/>
      <c r="BF40" s="89"/>
      <c r="BG40" s="89"/>
      <c r="BH40" s="89"/>
      <c r="BI40" s="89"/>
      <c r="BJ40" s="89"/>
      <c r="BK40" s="89"/>
      <c r="BL40" s="89"/>
      <c r="BM40" s="89"/>
      <c r="BN40" s="89"/>
      <c r="BO40" s="89"/>
      <c r="BP40" s="89"/>
      <c r="BQ40" s="89"/>
      <c r="BR40" s="89"/>
      <c r="BS40" s="89"/>
    </row>
    <row r="41" spans="1:87" ht="21" customHeight="1" outlineLevel="1" thickTop="1" x14ac:dyDescent="0.35">
      <c r="A41" s="9">
        <f>Values!D3/Values!$E$3</f>
        <v>0.83333333333333337</v>
      </c>
      <c r="B41" s="9">
        <f>Values!E3/Values!$E$3</f>
        <v>1</v>
      </c>
      <c r="C41" s="9">
        <f>Values!F3/Values!$E$3</f>
        <v>0.33333333333333331</v>
      </c>
      <c r="D41" s="9">
        <f>Values!G3/Values!$E$3</f>
        <v>2</v>
      </c>
      <c r="E41" s="9">
        <f>SUM(A41:D41)</f>
        <v>4.166666666666667</v>
      </c>
      <c r="F41" s="10">
        <f t="shared" ref="F41:AL41" ca="1" si="10">($B$41*H.Ge+$C$41*H.Ga+$D$41*H.Se)*F$40*$B$2/1000</f>
        <v>-196.11949098150004</v>
      </c>
      <c r="G41" s="10">
        <f t="shared" ca="1" si="10"/>
        <v>-198.397467205</v>
      </c>
      <c r="H41" s="10">
        <f t="shared" ca="1" si="10"/>
        <v>-200.78663878000003</v>
      </c>
      <c r="I41" s="10">
        <f t="shared" ca="1" si="10"/>
        <v>-203.46759387499998</v>
      </c>
      <c r="J41" s="10">
        <f t="shared" ca="1" si="10"/>
        <v>-206.58539279999999</v>
      </c>
      <c r="K41" s="10">
        <f t="shared" ca="1" si="10"/>
        <v>-221.89000602720003</v>
      </c>
      <c r="L41" s="10">
        <f t="shared" ca="1" si="10"/>
        <v>-226.18992120690001</v>
      </c>
      <c r="M41" s="10">
        <f t="shared" ca="1" si="10"/>
        <v>-230.66250942825005</v>
      </c>
      <c r="N41" s="10">
        <f t="shared" ca="1" si="10"/>
        <v>-235.45992992135001</v>
      </c>
      <c r="O41" s="10">
        <f t="shared" ca="1" si="10"/>
        <v>-240.56048849280003</v>
      </c>
      <c r="P41" s="10">
        <f t="shared" ca="1" si="10"/>
        <v>-246.24508525925</v>
      </c>
      <c r="Q41" s="10">
        <f t="shared" ca="1" si="10"/>
        <v>-252.60719127540003</v>
      </c>
      <c r="R41" s="10">
        <f t="shared" ca="1" si="10"/>
        <v>-259.6765926832</v>
      </c>
      <c r="S41" s="10">
        <f t="shared" ca="1" si="10"/>
        <v>-267.28903764375002</v>
      </c>
      <c r="T41" s="10">
        <f t="shared" ca="1" si="10"/>
        <v>-275.34064839700005</v>
      </c>
      <c r="U41" s="10">
        <f t="shared" ca="1" si="10"/>
        <v>-283.77049268399998</v>
      </c>
      <c r="V41" s="10">
        <f t="shared" ca="1" si="10"/>
        <v>-292.5389726985</v>
      </c>
      <c r="W41" s="10">
        <f t="shared" ca="1" si="10"/>
        <v>-301.40925545099998</v>
      </c>
      <c r="X41" s="10">
        <f t="shared" ca="1" si="10"/>
        <v>-310.61590046955001</v>
      </c>
      <c r="Y41" s="10">
        <f t="shared" ca="1" si="10"/>
        <v>-319.81605685229999</v>
      </c>
      <c r="Z41" s="10">
        <f t="shared" ca="1" si="10"/>
        <v>-329.17872096900004</v>
      </c>
      <c r="AA41" s="10">
        <f t="shared" ca="1" si="10"/>
        <v>-338.64572707200006</v>
      </c>
      <c r="AB41" s="10">
        <f t="shared" ca="1" si="10"/>
        <v>-377.72133089495003</v>
      </c>
      <c r="AC41" s="10">
        <f t="shared" ca="1" si="10"/>
        <v>-418.59590760770004</v>
      </c>
      <c r="AD41" s="10">
        <f t="shared" ca="1" si="10"/>
        <v>-463.07222123490004</v>
      </c>
      <c r="AE41" s="10">
        <f t="shared" ca="1" si="10"/>
        <v>-474.98924276100007</v>
      </c>
      <c r="AF41" s="10">
        <f t="shared" ca="1" si="10"/>
        <v>-487.07690526495003</v>
      </c>
      <c r="AG41" s="10">
        <f t="shared" ca="1" si="10"/>
        <v>-499.3361274990001</v>
      </c>
      <c r="AH41" s="10">
        <f t="shared" ca="1" si="10"/>
        <v>-511.75167231044998</v>
      </c>
      <c r="AI41" s="10">
        <f t="shared" ca="1" si="10"/>
        <v>-524.15688219840001</v>
      </c>
      <c r="AJ41" s="10">
        <f t="shared" ca="1" si="10"/>
        <v>-536.89519340549998</v>
      </c>
      <c r="AK41" s="10">
        <f t="shared" ca="1" si="10"/>
        <v>-549.71426362825002</v>
      </c>
      <c r="AL41" s="10">
        <f t="shared" ca="1" si="10"/>
        <v>-562.48701100000005</v>
      </c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</row>
    <row r="42" spans="1:87" ht="176.25" customHeight="1" outlineLevel="1" x14ac:dyDescent="0.35"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8"/>
      <c r="AH42" s="48"/>
      <c r="AI42" s="48"/>
      <c r="AJ42" s="48"/>
      <c r="AK42" s="48"/>
      <c r="AL42" s="48"/>
    </row>
    <row r="43" spans="1:87" ht="21" customHeight="1" x14ac:dyDescent="0.35"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48"/>
      <c r="AH43" s="48"/>
      <c r="AI43" s="48"/>
      <c r="AJ43" s="48"/>
      <c r="AK43" s="48"/>
      <c r="AL43" s="48"/>
    </row>
    <row r="44" spans="1:87" ht="21" customHeight="1" thickBot="1" x14ac:dyDescent="0.45">
      <c r="A44" s="66"/>
      <c r="B44" s="66"/>
      <c r="C44" s="66"/>
      <c r="D44" s="66"/>
      <c r="E44" s="65" t="s">
        <v>20</v>
      </c>
      <c r="F44" s="66"/>
      <c r="G44" s="66"/>
      <c r="H44" s="66"/>
      <c r="I44" s="66"/>
      <c r="J44" s="66"/>
      <c r="K44" s="66"/>
      <c r="L44" s="66"/>
      <c r="M44" s="66"/>
      <c r="N44" s="66"/>
      <c r="O44" s="66"/>
      <c r="P44" s="66"/>
      <c r="Q44" s="66"/>
      <c r="R44" s="66"/>
      <c r="S44" s="66"/>
      <c r="T44" s="66"/>
      <c r="U44" s="66"/>
      <c r="V44" s="66"/>
      <c r="W44" s="66"/>
      <c r="X44" s="66"/>
      <c r="Y44" s="66"/>
      <c r="Z44" s="66"/>
      <c r="AA44" s="66"/>
      <c r="AB44" s="66"/>
      <c r="AC44" s="66"/>
      <c r="AD44" s="66"/>
      <c r="AE44" s="66"/>
      <c r="AF44" s="66"/>
      <c r="AG44" s="66"/>
      <c r="AH44" s="66"/>
      <c r="AI44" s="66"/>
      <c r="AJ44" s="66"/>
      <c r="AK44" s="66"/>
      <c r="AL44" s="66"/>
      <c r="AM44" s="66"/>
      <c r="AN44" s="66"/>
      <c r="AO44" s="66"/>
      <c r="AP44" s="66"/>
      <c r="AQ44" s="66"/>
      <c r="AR44" s="66"/>
      <c r="AS44" s="66"/>
      <c r="AT44" s="66"/>
      <c r="AU44" s="66"/>
      <c r="AV44" s="66"/>
      <c r="AW44" s="66"/>
      <c r="AX44" s="66"/>
      <c r="AY44" s="66"/>
      <c r="AZ44" s="66"/>
      <c r="BA44" s="66"/>
      <c r="BB44" s="66"/>
      <c r="BC44" s="66"/>
      <c r="BD44" s="66"/>
      <c r="BE44" s="66"/>
      <c r="BF44" s="66"/>
      <c r="BG44" s="66"/>
      <c r="BH44" s="66"/>
      <c r="BI44" s="66"/>
      <c r="BJ44" s="66"/>
      <c r="BK44" s="66"/>
      <c r="BL44" s="66"/>
      <c r="BM44" s="66"/>
      <c r="BN44" s="66"/>
      <c r="BO44" s="66"/>
      <c r="BP44" s="66"/>
      <c r="BQ44" s="66"/>
      <c r="BR44" s="66"/>
      <c r="BS44" s="66"/>
      <c r="BT44" s="66"/>
      <c r="BU44" s="66"/>
      <c r="BV44" s="66"/>
      <c r="BW44" s="66"/>
      <c r="BX44" s="66"/>
      <c r="BY44" s="66"/>
      <c r="BZ44" s="66"/>
      <c r="CA44" s="66"/>
      <c r="CB44" s="66"/>
      <c r="CC44" s="66"/>
      <c r="CD44" s="66"/>
      <c r="CE44" s="66"/>
      <c r="CF44" s="66"/>
      <c r="CG44" s="66"/>
      <c r="CH44" s="66"/>
      <c r="CI44" s="66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AL45" si="11">E3</f>
        <v>Temperature,К</v>
      </c>
      <c r="F45" s="3">
        <f t="shared" si="11"/>
        <v>273.10000000000002</v>
      </c>
      <c r="G45" s="3">
        <f t="shared" si="11"/>
        <v>289.7</v>
      </c>
      <c r="H45" s="3">
        <f t="shared" si="11"/>
        <v>306.2</v>
      </c>
      <c r="I45" s="3">
        <f t="shared" si="11"/>
        <v>322.7</v>
      </c>
      <c r="J45" s="3">
        <f t="shared" si="11"/>
        <v>339.2</v>
      </c>
      <c r="K45" s="3">
        <f t="shared" si="11"/>
        <v>405.3</v>
      </c>
      <c r="L45" s="3">
        <f t="shared" si="11"/>
        <v>421.8</v>
      </c>
      <c r="M45" s="3">
        <f t="shared" si="11"/>
        <v>438.3</v>
      </c>
      <c r="N45" s="3">
        <f t="shared" si="11"/>
        <v>454.9</v>
      </c>
      <c r="O45" s="3">
        <f t="shared" si="11"/>
        <v>471.4</v>
      </c>
      <c r="P45" s="3">
        <f t="shared" si="11"/>
        <v>487.9</v>
      </c>
      <c r="Q45" s="3">
        <f t="shared" si="11"/>
        <v>504.4</v>
      </c>
      <c r="R45" s="3">
        <f t="shared" si="11"/>
        <v>520.9</v>
      </c>
      <c r="S45" s="3">
        <f t="shared" si="11"/>
        <v>537.5</v>
      </c>
      <c r="T45" s="3">
        <f t="shared" si="11"/>
        <v>554</v>
      </c>
      <c r="U45" s="3">
        <f t="shared" si="11"/>
        <v>570.5</v>
      </c>
      <c r="V45" s="3">
        <f t="shared" si="11"/>
        <v>587</v>
      </c>
      <c r="W45" s="3">
        <f t="shared" si="11"/>
        <v>603.5</v>
      </c>
      <c r="X45" s="3">
        <f t="shared" si="11"/>
        <v>620.1</v>
      </c>
      <c r="Y45" s="3">
        <f t="shared" si="11"/>
        <v>636.6</v>
      </c>
      <c r="Z45" s="3">
        <f t="shared" si="11"/>
        <v>653.1</v>
      </c>
      <c r="AA45" s="3">
        <f t="shared" si="11"/>
        <v>669.6</v>
      </c>
      <c r="AB45" s="3">
        <f t="shared" si="11"/>
        <v>735.7</v>
      </c>
      <c r="AC45" s="3">
        <f t="shared" si="11"/>
        <v>801.8</v>
      </c>
      <c r="AD45" s="3">
        <f t="shared" si="11"/>
        <v>867.8</v>
      </c>
      <c r="AE45" s="3">
        <f t="shared" si="11"/>
        <v>884.4</v>
      </c>
      <c r="AF45" s="3">
        <f t="shared" si="11"/>
        <v>900.9</v>
      </c>
      <c r="AG45" s="3">
        <f t="shared" si="11"/>
        <v>917.4</v>
      </c>
      <c r="AH45" s="3">
        <f t="shared" si="11"/>
        <v>933.9</v>
      </c>
      <c r="AI45" s="3">
        <f t="shared" si="11"/>
        <v>950.4</v>
      </c>
      <c r="AJ45" s="3">
        <f t="shared" si="11"/>
        <v>967</v>
      </c>
      <c r="AK45" s="3">
        <f t="shared" si="11"/>
        <v>983.5</v>
      </c>
      <c r="AL45" s="3">
        <f t="shared" si="11"/>
        <v>1000</v>
      </c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</row>
    <row r="46" spans="1:87" ht="21" customHeight="1" outlineLevel="1" thickTop="1" thickBot="1" x14ac:dyDescent="0.4">
      <c r="A46" s="5">
        <f t="shared" ref="A46:E55" si="12">A4</f>
        <v>0</v>
      </c>
      <c r="B46" s="5">
        <f t="shared" si="12"/>
        <v>1</v>
      </c>
      <c r="C46" s="5">
        <f t="shared" si="12"/>
        <v>0</v>
      </c>
      <c r="D46" s="5">
        <f t="shared" si="12"/>
        <v>0</v>
      </c>
      <c r="E46" s="6" t="str">
        <f t="shared" si="12"/>
        <v>*Se[M]</v>
      </c>
      <c r="F46" s="14">
        <f t="shared" ref="F46:U55" ca="1" si="13">$A46*H.Ar + $B46*H.Se + $C46*H.Ge + $D46*H.Ga</f>
        <v>-23.56</v>
      </c>
      <c r="G46" s="14">
        <f t="shared" ca="1" si="13"/>
        <v>-22.54</v>
      </c>
      <c r="H46" s="14">
        <f t="shared" ca="1" si="13"/>
        <v>-21.78</v>
      </c>
      <c r="I46" s="14">
        <f t="shared" ca="1" si="13"/>
        <v>-21.32</v>
      </c>
      <c r="J46" s="14">
        <f t="shared" ca="1" si="13"/>
        <v>-21.15</v>
      </c>
      <c r="K46" s="14">
        <f t="shared" ca="1" si="13"/>
        <v>-21.73</v>
      </c>
      <c r="L46" s="14">
        <f t="shared" ca="1" si="13"/>
        <v>-21.95</v>
      </c>
      <c r="M46" s="14">
        <f t="shared" ca="1" si="13"/>
        <v>-22.15</v>
      </c>
      <c r="N46" s="14">
        <f t="shared" ca="1" si="13"/>
        <v>-22.32</v>
      </c>
      <c r="O46" s="14">
        <f t="shared" ca="1" si="13"/>
        <v>-22.46</v>
      </c>
      <c r="P46" s="14">
        <f t="shared" ca="1" si="13"/>
        <v>-22.6</v>
      </c>
      <c r="Q46" s="14">
        <f t="shared" ca="1" si="13"/>
        <v>-22.76</v>
      </c>
      <c r="R46" s="14">
        <f t="shared" ca="1" si="13"/>
        <v>-22.95</v>
      </c>
      <c r="S46" s="14">
        <f t="shared" ca="1" si="13"/>
        <v>-23.15</v>
      </c>
      <c r="T46" s="14">
        <f t="shared" ca="1" si="13"/>
        <v>-23.37</v>
      </c>
      <c r="U46" s="14">
        <f t="shared" ca="1" si="13"/>
        <v>-23.6</v>
      </c>
      <c r="V46" s="14">
        <f t="shared" ref="G46:AL54" ca="1" si="14">$A46*H.Ar + $B46*H.Se + $C46*H.Ge + $D46*H.Ga</f>
        <v>-23.84</v>
      </c>
      <c r="W46" s="14">
        <f t="shared" ca="1" si="14"/>
        <v>-24.07</v>
      </c>
      <c r="X46" s="14">
        <f t="shared" ca="1" si="14"/>
        <v>-24.31</v>
      </c>
      <c r="Y46" s="14">
        <f t="shared" ca="1" si="14"/>
        <v>-24.54</v>
      </c>
      <c r="Z46" s="14">
        <f t="shared" ca="1" si="14"/>
        <v>-24.77</v>
      </c>
      <c r="AA46" s="14">
        <f t="shared" ca="1" si="14"/>
        <v>-25</v>
      </c>
      <c r="AB46" s="14">
        <f t="shared" ca="1" si="14"/>
        <v>-25.9</v>
      </c>
      <c r="AC46" s="14">
        <f t="shared" ca="1" si="14"/>
        <v>-26.75</v>
      </c>
      <c r="AD46" s="14">
        <f t="shared" ca="1" si="14"/>
        <v>-27.55</v>
      </c>
      <c r="AE46" s="14">
        <f t="shared" ca="1" si="14"/>
        <v>-27.75</v>
      </c>
      <c r="AF46" s="14">
        <f t="shared" ca="1" si="14"/>
        <v>-27.95</v>
      </c>
      <c r="AG46" s="14">
        <f t="shared" ca="1" si="14"/>
        <v>-28.15</v>
      </c>
      <c r="AH46" s="14">
        <f t="shared" ca="1" si="14"/>
        <v>-28.35</v>
      </c>
      <c r="AI46" s="14">
        <f t="shared" ca="1" si="14"/>
        <v>-28.54</v>
      </c>
      <c r="AJ46" s="14">
        <f t="shared" ca="1" si="14"/>
        <v>-28.74</v>
      </c>
      <c r="AK46" s="14">
        <f t="shared" ca="1" si="14"/>
        <v>-28.94</v>
      </c>
      <c r="AL46" s="14">
        <f t="shared" ca="1" si="14"/>
        <v>-29.13</v>
      </c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14"/>
    </row>
    <row r="47" spans="1:87" ht="21" customHeight="1" outlineLevel="1" thickBot="1" x14ac:dyDescent="0.4">
      <c r="A47" s="5">
        <f t="shared" si="12"/>
        <v>0</v>
      </c>
      <c r="B47" s="5">
        <f t="shared" si="12"/>
        <v>1</v>
      </c>
      <c r="C47" s="5">
        <f t="shared" si="12"/>
        <v>1</v>
      </c>
      <c r="D47" s="5">
        <f t="shared" si="12"/>
        <v>0</v>
      </c>
      <c r="E47" s="6" t="str">
        <f t="shared" si="12"/>
        <v>*GeSe</v>
      </c>
      <c r="F47" s="14">
        <f t="shared" ca="1" si="13"/>
        <v>-40.65</v>
      </c>
      <c r="G47" s="14">
        <f t="shared" ca="1" si="14"/>
        <v>-38.869999999999997</v>
      </c>
      <c r="H47" s="14">
        <f t="shared" ca="1" si="14"/>
        <v>-37.270000000000003</v>
      </c>
      <c r="I47" s="14">
        <f t="shared" ca="1" si="14"/>
        <v>-35.82</v>
      </c>
      <c r="J47" s="14">
        <f t="shared" ca="1" si="14"/>
        <v>-34.53</v>
      </c>
      <c r="K47" s="14">
        <f t="shared" ca="1" si="14"/>
        <v>-30.672000000000001</v>
      </c>
      <c r="L47" s="14">
        <f t="shared" ca="1" si="14"/>
        <v>-29.969000000000001</v>
      </c>
      <c r="M47" s="14">
        <f t="shared" ca="1" si="14"/>
        <v>-29.364999999999998</v>
      </c>
      <c r="N47" s="14">
        <f t="shared" ca="1" si="14"/>
        <v>-28.877000000000002</v>
      </c>
      <c r="O47" s="14">
        <f t="shared" ca="1" si="14"/>
        <v>-28.516000000000002</v>
      </c>
      <c r="P47" s="14">
        <f t="shared" ca="1" si="14"/>
        <v>-28.305</v>
      </c>
      <c r="Q47" s="14">
        <f t="shared" ca="1" si="14"/>
        <v>-28.243000000000002</v>
      </c>
      <c r="R47" s="14">
        <f t="shared" ca="1" si="14"/>
        <v>-28.314</v>
      </c>
      <c r="S47" s="14">
        <f t="shared" ca="1" si="14"/>
        <v>-28.468999999999998</v>
      </c>
      <c r="T47" s="14">
        <f t="shared" ca="1" si="14"/>
        <v>-28.689</v>
      </c>
      <c r="U47" s="14">
        <f t="shared" ca="1" si="14"/>
        <v>-28.944000000000003</v>
      </c>
      <c r="V47" s="14">
        <f t="shared" ca="1" si="14"/>
        <v>-29.219000000000001</v>
      </c>
      <c r="W47" s="14">
        <f t="shared" ca="1" si="14"/>
        <v>-29.488</v>
      </c>
      <c r="X47" s="14">
        <f t="shared" ca="1" si="14"/>
        <v>-29.768999999999998</v>
      </c>
      <c r="Y47" s="14">
        <f t="shared" ca="1" si="14"/>
        <v>-30.038999999999998</v>
      </c>
      <c r="Z47" s="14">
        <f t="shared" ca="1" si="14"/>
        <v>-30.31</v>
      </c>
      <c r="AA47" s="14">
        <f t="shared" ca="1" si="14"/>
        <v>-30.58</v>
      </c>
      <c r="AB47" s="14">
        <f t="shared" ca="1" si="14"/>
        <v>-31.643000000000001</v>
      </c>
      <c r="AC47" s="14">
        <f t="shared" ca="1" si="14"/>
        <v>-32.667000000000002</v>
      </c>
      <c r="AD47" s="14">
        <f t="shared" ca="1" si="14"/>
        <v>-33.676000000000002</v>
      </c>
      <c r="AE47" s="14">
        <f t="shared" ca="1" si="14"/>
        <v>-33.924999999999997</v>
      </c>
      <c r="AF47" s="14">
        <f t="shared" ca="1" si="14"/>
        <v>-34.170999999999999</v>
      </c>
      <c r="AG47" s="14">
        <f t="shared" ca="1" si="14"/>
        <v>-34.412999999999997</v>
      </c>
      <c r="AH47" s="14">
        <f t="shared" ca="1" si="14"/>
        <v>-34.652999999999999</v>
      </c>
      <c r="AI47" s="14">
        <f t="shared" ca="1" si="14"/>
        <v>-34.881999999999998</v>
      </c>
      <c r="AJ47" s="14">
        <f t="shared" ca="1" si="14"/>
        <v>-35.119</v>
      </c>
      <c r="AK47" s="14">
        <f t="shared" ca="1" si="14"/>
        <v>-35.356000000000002</v>
      </c>
      <c r="AL47" s="14">
        <f t="shared" ca="1" si="14"/>
        <v>-35.582000000000001</v>
      </c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  <c r="BL47" s="14"/>
      <c r="BM47" s="14"/>
      <c r="BN47" s="14"/>
      <c r="BO47" s="14"/>
      <c r="BP47" s="14"/>
      <c r="BQ47" s="14"/>
      <c r="BR47" s="14"/>
      <c r="BS47" s="14"/>
    </row>
    <row r="48" spans="1:87" ht="21" customHeight="1" outlineLevel="1" thickBot="1" x14ac:dyDescent="0.4">
      <c r="A48" s="5">
        <f t="shared" si="12"/>
        <v>1</v>
      </c>
      <c r="B48" s="5">
        <f t="shared" si="12"/>
        <v>0</v>
      </c>
      <c r="C48" s="5">
        <f t="shared" si="12"/>
        <v>0</v>
      </c>
      <c r="D48" s="5">
        <f t="shared" si="12"/>
        <v>0</v>
      </c>
      <c r="E48" s="6" t="str">
        <f t="shared" si="12"/>
        <v>Ar</v>
      </c>
      <c r="F48" s="14">
        <f t="shared" ca="1" si="13"/>
        <v>-18.62</v>
      </c>
      <c r="G48" s="14">
        <f t="shared" ca="1" si="14"/>
        <v>-18.61</v>
      </c>
      <c r="H48" s="14">
        <f t="shared" ca="1" si="14"/>
        <v>-18.61</v>
      </c>
      <c r="I48" s="14">
        <f t="shared" ca="1" si="14"/>
        <v>-18.62</v>
      </c>
      <c r="J48" s="14">
        <f t="shared" ca="1" si="14"/>
        <v>-18.63</v>
      </c>
      <c r="K48" s="14">
        <f t="shared" ca="1" si="14"/>
        <v>-18.72</v>
      </c>
      <c r="L48" s="14">
        <f t="shared" ca="1" si="14"/>
        <v>-18.75</v>
      </c>
      <c r="M48" s="14">
        <f t="shared" ca="1" si="14"/>
        <v>-18.78</v>
      </c>
      <c r="N48" s="14">
        <f t="shared" ca="1" si="14"/>
        <v>-18.809999999999999</v>
      </c>
      <c r="O48" s="14">
        <f t="shared" ca="1" si="14"/>
        <v>-18.84</v>
      </c>
      <c r="P48" s="14">
        <f t="shared" ca="1" si="14"/>
        <v>-18.87</v>
      </c>
      <c r="Q48" s="14">
        <f t="shared" ca="1" si="14"/>
        <v>-18.899999999999999</v>
      </c>
      <c r="R48" s="14">
        <f t="shared" ca="1" si="14"/>
        <v>-18.940000000000001</v>
      </c>
      <c r="S48" s="14">
        <f t="shared" ca="1" si="14"/>
        <v>-18.97</v>
      </c>
      <c r="T48" s="14">
        <f t="shared" ca="1" si="14"/>
        <v>-19.010000000000002</v>
      </c>
      <c r="U48" s="14">
        <f t="shared" ca="1" si="14"/>
        <v>-19.04</v>
      </c>
      <c r="V48" s="14">
        <f t="shared" ca="1" si="14"/>
        <v>-19.07</v>
      </c>
      <c r="W48" s="14">
        <f t="shared" ca="1" si="14"/>
        <v>-19.11</v>
      </c>
      <c r="X48" s="14">
        <f t="shared" ca="1" si="14"/>
        <v>-19.14</v>
      </c>
      <c r="Y48" s="14">
        <f t="shared" ca="1" si="14"/>
        <v>-19.18</v>
      </c>
      <c r="Z48" s="14">
        <f t="shared" ca="1" si="14"/>
        <v>-19.21</v>
      </c>
      <c r="AA48" s="14">
        <f t="shared" ca="1" si="14"/>
        <v>-19.25</v>
      </c>
      <c r="AB48" s="14">
        <f t="shared" ca="1" si="14"/>
        <v>-19.38</v>
      </c>
      <c r="AC48" s="14">
        <f t="shared" ca="1" si="14"/>
        <v>-19.510000000000002</v>
      </c>
      <c r="AD48" s="14">
        <f t="shared" ca="1" si="14"/>
        <v>-19.64</v>
      </c>
      <c r="AE48" s="14">
        <f t="shared" ca="1" si="14"/>
        <v>-19.670000000000002</v>
      </c>
      <c r="AF48" s="14">
        <f t="shared" ca="1" si="14"/>
        <v>-19.7</v>
      </c>
      <c r="AG48" s="14">
        <f t="shared" ca="1" si="14"/>
        <v>-19.73</v>
      </c>
      <c r="AH48" s="14">
        <f t="shared" ca="1" si="14"/>
        <v>-19.760000000000002</v>
      </c>
      <c r="AI48" s="14">
        <f t="shared" ca="1" si="14"/>
        <v>-19.79</v>
      </c>
      <c r="AJ48" s="14">
        <f t="shared" ca="1" si="14"/>
        <v>-19.82</v>
      </c>
      <c r="AK48" s="14">
        <f t="shared" ca="1" si="14"/>
        <v>-19.850000000000001</v>
      </c>
      <c r="AL48" s="14">
        <f t="shared" ca="1" si="14"/>
        <v>-19.88</v>
      </c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  <c r="BH48" s="14"/>
      <c r="BI48" s="14"/>
      <c r="BJ48" s="14"/>
      <c r="BK48" s="14"/>
      <c r="BL48" s="14"/>
      <c r="BM48" s="14"/>
      <c r="BN48" s="14"/>
      <c r="BO48" s="14"/>
      <c r="BP48" s="14"/>
      <c r="BQ48" s="14"/>
      <c r="BR48" s="14"/>
      <c r="BS48" s="14"/>
    </row>
    <row r="49" spans="1:71" ht="21" customHeight="1" outlineLevel="1" thickBot="1" x14ac:dyDescent="0.4">
      <c r="A49" s="5">
        <f t="shared" si="12"/>
        <v>0</v>
      </c>
      <c r="B49" s="5">
        <f t="shared" si="12"/>
        <v>2</v>
      </c>
      <c r="C49" s="5">
        <f t="shared" si="12"/>
        <v>1</v>
      </c>
      <c r="D49" s="5">
        <f t="shared" si="12"/>
        <v>0</v>
      </c>
      <c r="E49" s="6" t="str">
        <f t="shared" si="12"/>
        <v>(DGeSe2</v>
      </c>
      <c r="F49" s="14">
        <f t="shared" ca="1" si="13"/>
        <v>-64.209999999999994</v>
      </c>
      <c r="G49" s="14">
        <f t="shared" ca="1" si="14"/>
        <v>-61.41</v>
      </c>
      <c r="H49" s="14">
        <f t="shared" ca="1" si="14"/>
        <v>-59.050000000000004</v>
      </c>
      <c r="I49" s="14">
        <f t="shared" ca="1" si="14"/>
        <v>-57.14</v>
      </c>
      <c r="J49" s="14">
        <f t="shared" ca="1" si="14"/>
        <v>-55.68</v>
      </c>
      <c r="K49" s="14">
        <f t="shared" ca="1" si="14"/>
        <v>-52.402000000000001</v>
      </c>
      <c r="L49" s="14">
        <f t="shared" ca="1" si="14"/>
        <v>-51.918999999999997</v>
      </c>
      <c r="M49" s="14">
        <f t="shared" ca="1" si="14"/>
        <v>-51.515000000000001</v>
      </c>
      <c r="N49" s="14">
        <f t="shared" ca="1" si="14"/>
        <v>-51.197000000000003</v>
      </c>
      <c r="O49" s="14">
        <f t="shared" ca="1" si="14"/>
        <v>-50.975999999999999</v>
      </c>
      <c r="P49" s="14">
        <f t="shared" ca="1" si="14"/>
        <v>-50.905000000000001</v>
      </c>
      <c r="Q49" s="14">
        <f t="shared" ca="1" si="14"/>
        <v>-51.003</v>
      </c>
      <c r="R49" s="14">
        <f t="shared" ca="1" si="14"/>
        <v>-51.263999999999996</v>
      </c>
      <c r="S49" s="14">
        <f t="shared" ca="1" si="14"/>
        <v>-51.619</v>
      </c>
      <c r="T49" s="14">
        <f t="shared" ca="1" si="14"/>
        <v>-52.059000000000005</v>
      </c>
      <c r="U49" s="14">
        <f t="shared" ca="1" si="14"/>
        <v>-52.544000000000004</v>
      </c>
      <c r="V49" s="14">
        <f t="shared" ca="1" si="14"/>
        <v>-53.058999999999997</v>
      </c>
      <c r="W49" s="14">
        <f t="shared" ca="1" si="14"/>
        <v>-53.558</v>
      </c>
      <c r="X49" s="14">
        <f t="shared" ca="1" si="14"/>
        <v>-54.078999999999994</v>
      </c>
      <c r="Y49" s="14">
        <f t="shared" ca="1" si="14"/>
        <v>-54.579000000000001</v>
      </c>
      <c r="Z49" s="14">
        <f t="shared" ca="1" si="14"/>
        <v>-55.08</v>
      </c>
      <c r="AA49" s="14">
        <f t="shared" ca="1" si="14"/>
        <v>-55.58</v>
      </c>
      <c r="AB49" s="14">
        <f t="shared" ca="1" si="14"/>
        <v>-57.542999999999999</v>
      </c>
      <c r="AC49" s="14">
        <f t="shared" ca="1" si="14"/>
        <v>-59.417000000000002</v>
      </c>
      <c r="AD49" s="14">
        <f t="shared" ca="1" si="14"/>
        <v>-61.225999999999999</v>
      </c>
      <c r="AE49" s="14">
        <f t="shared" ca="1" si="14"/>
        <v>-61.674999999999997</v>
      </c>
      <c r="AF49" s="14">
        <f t="shared" ca="1" si="14"/>
        <v>-62.120999999999995</v>
      </c>
      <c r="AG49" s="14">
        <f t="shared" ca="1" si="14"/>
        <v>-62.562999999999995</v>
      </c>
      <c r="AH49" s="14">
        <f t="shared" ca="1" si="14"/>
        <v>-63.003</v>
      </c>
      <c r="AI49" s="14">
        <f t="shared" ca="1" si="14"/>
        <v>-63.421999999999997</v>
      </c>
      <c r="AJ49" s="14">
        <f t="shared" ca="1" si="14"/>
        <v>-63.858999999999995</v>
      </c>
      <c r="AK49" s="14">
        <f t="shared" ca="1" si="14"/>
        <v>-64.296000000000006</v>
      </c>
      <c r="AL49" s="14">
        <f t="shared" ca="1" si="14"/>
        <v>-64.712000000000003</v>
      </c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14"/>
    </row>
    <row r="50" spans="1:71" ht="21" customHeight="1" outlineLevel="1" thickBot="1" x14ac:dyDescent="0.4">
      <c r="A50" s="5">
        <f t="shared" si="12"/>
        <v>0</v>
      </c>
      <c r="B50" s="5">
        <f t="shared" si="12"/>
        <v>1</v>
      </c>
      <c r="C50" s="5">
        <f t="shared" si="12"/>
        <v>1</v>
      </c>
      <c r="D50" s="5">
        <f t="shared" si="12"/>
        <v>0</v>
      </c>
      <c r="E50" s="6" t="str">
        <f t="shared" si="12"/>
        <v>(DGeSe</v>
      </c>
      <c r="F50" s="14">
        <f t="shared" ca="1" si="13"/>
        <v>-40.65</v>
      </c>
      <c r="G50" s="14">
        <f t="shared" ca="1" si="14"/>
        <v>-38.869999999999997</v>
      </c>
      <c r="H50" s="14">
        <f t="shared" ca="1" si="14"/>
        <v>-37.270000000000003</v>
      </c>
      <c r="I50" s="14">
        <f t="shared" ca="1" si="14"/>
        <v>-35.82</v>
      </c>
      <c r="J50" s="14">
        <f t="shared" ca="1" si="14"/>
        <v>-34.53</v>
      </c>
      <c r="K50" s="14">
        <f t="shared" ca="1" si="14"/>
        <v>-30.672000000000001</v>
      </c>
      <c r="L50" s="14">
        <f t="shared" ca="1" si="14"/>
        <v>-29.969000000000001</v>
      </c>
      <c r="M50" s="14">
        <f t="shared" ca="1" si="14"/>
        <v>-29.364999999999998</v>
      </c>
      <c r="N50" s="14">
        <f t="shared" ca="1" si="14"/>
        <v>-28.877000000000002</v>
      </c>
      <c r="O50" s="14">
        <f t="shared" ca="1" si="14"/>
        <v>-28.516000000000002</v>
      </c>
      <c r="P50" s="14">
        <f t="shared" ca="1" si="14"/>
        <v>-28.305</v>
      </c>
      <c r="Q50" s="14">
        <f t="shared" ca="1" si="14"/>
        <v>-28.243000000000002</v>
      </c>
      <c r="R50" s="14">
        <f t="shared" ca="1" si="14"/>
        <v>-28.314</v>
      </c>
      <c r="S50" s="14">
        <f t="shared" ca="1" si="14"/>
        <v>-28.468999999999998</v>
      </c>
      <c r="T50" s="14">
        <f t="shared" ca="1" si="14"/>
        <v>-28.689</v>
      </c>
      <c r="U50" s="14">
        <f t="shared" ca="1" si="14"/>
        <v>-28.944000000000003</v>
      </c>
      <c r="V50" s="14">
        <f t="shared" ca="1" si="14"/>
        <v>-29.219000000000001</v>
      </c>
      <c r="W50" s="14">
        <f t="shared" ca="1" si="14"/>
        <v>-29.488</v>
      </c>
      <c r="X50" s="14">
        <f t="shared" ca="1" si="14"/>
        <v>-29.768999999999998</v>
      </c>
      <c r="Y50" s="14">
        <f t="shared" ca="1" si="14"/>
        <v>-30.038999999999998</v>
      </c>
      <c r="Z50" s="14">
        <f t="shared" ca="1" si="14"/>
        <v>-30.31</v>
      </c>
      <c r="AA50" s="14">
        <f t="shared" ca="1" si="14"/>
        <v>-30.58</v>
      </c>
      <c r="AB50" s="14">
        <f t="shared" ca="1" si="14"/>
        <v>-31.643000000000001</v>
      </c>
      <c r="AC50" s="14">
        <f t="shared" ca="1" si="14"/>
        <v>-32.667000000000002</v>
      </c>
      <c r="AD50" s="14">
        <f t="shared" ca="1" si="14"/>
        <v>-33.676000000000002</v>
      </c>
      <c r="AE50" s="14">
        <f t="shared" ca="1" si="14"/>
        <v>-33.924999999999997</v>
      </c>
      <c r="AF50" s="14">
        <f t="shared" ca="1" si="14"/>
        <v>-34.170999999999999</v>
      </c>
      <c r="AG50" s="14">
        <f t="shared" ca="1" si="14"/>
        <v>-34.412999999999997</v>
      </c>
      <c r="AH50" s="14">
        <f t="shared" ca="1" si="14"/>
        <v>-34.652999999999999</v>
      </c>
      <c r="AI50" s="14">
        <f t="shared" ca="1" si="14"/>
        <v>-34.881999999999998</v>
      </c>
      <c r="AJ50" s="14">
        <f t="shared" ca="1" si="14"/>
        <v>-35.119</v>
      </c>
      <c r="AK50" s="14">
        <f t="shared" ca="1" si="14"/>
        <v>-35.356000000000002</v>
      </c>
      <c r="AL50" s="14">
        <f t="shared" ca="1" si="14"/>
        <v>-35.582000000000001</v>
      </c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</row>
    <row r="51" spans="1:71" ht="21" customHeight="1" outlineLevel="1" thickBot="1" x14ac:dyDescent="0.4">
      <c r="A51" s="5">
        <f t="shared" si="12"/>
        <v>0</v>
      </c>
      <c r="B51" s="5">
        <f t="shared" si="12"/>
        <v>1</v>
      </c>
      <c r="C51" s="5">
        <f t="shared" si="12"/>
        <v>0</v>
      </c>
      <c r="D51" s="5">
        <f t="shared" si="12"/>
        <v>2</v>
      </c>
      <c r="E51" s="6" t="str">
        <f t="shared" si="12"/>
        <v>(DGa2Sej</v>
      </c>
      <c r="F51" s="14">
        <f t="shared" ca="1" si="13"/>
        <v>-156.52000000000001</v>
      </c>
      <c r="G51" s="14">
        <f t="shared" ca="1" si="14"/>
        <v>-148.28</v>
      </c>
      <c r="H51" s="14">
        <f t="shared" ca="1" si="14"/>
        <v>-140.68</v>
      </c>
      <c r="I51" s="14">
        <f t="shared" ca="1" si="14"/>
        <v>-133.47999999999999</v>
      </c>
      <c r="J51" s="14">
        <f t="shared" ca="1" si="14"/>
        <v>-126.57</v>
      </c>
      <c r="K51" s="14">
        <f t="shared" ca="1" si="14"/>
        <v>-102.39</v>
      </c>
      <c r="L51" s="14">
        <f t="shared" ca="1" si="14"/>
        <v>-97.41</v>
      </c>
      <c r="M51" s="14">
        <f t="shared" ca="1" si="14"/>
        <v>-92.830000000000013</v>
      </c>
      <c r="N51" s="14">
        <f t="shared" ca="1" si="14"/>
        <v>-88.66</v>
      </c>
      <c r="O51" s="14">
        <f t="shared" ca="1" si="14"/>
        <v>-84.86</v>
      </c>
      <c r="P51" s="14">
        <f t="shared" ca="1" si="14"/>
        <v>-81.38</v>
      </c>
      <c r="Q51" s="14">
        <f t="shared" ca="1" si="14"/>
        <v>-78.14</v>
      </c>
      <c r="R51" s="14">
        <f t="shared" ca="1" si="14"/>
        <v>-75.11</v>
      </c>
      <c r="S51" s="14">
        <f t="shared" ca="1" si="14"/>
        <v>-72.289999999999992</v>
      </c>
      <c r="T51" s="14">
        <f t="shared" ca="1" si="14"/>
        <v>-69.67</v>
      </c>
      <c r="U51" s="14">
        <f t="shared" ca="1" si="14"/>
        <v>-67.28</v>
      </c>
      <c r="V51" s="14">
        <f t="shared" ca="1" si="14"/>
        <v>-65.12</v>
      </c>
      <c r="W51" s="14">
        <f t="shared" ca="1" si="14"/>
        <v>-63.13</v>
      </c>
      <c r="X51" s="14">
        <f t="shared" ca="1" si="14"/>
        <v>-61.31</v>
      </c>
      <c r="Y51" s="14">
        <f t="shared" ca="1" si="14"/>
        <v>-59.6</v>
      </c>
      <c r="Z51" s="14">
        <f t="shared" ca="1" si="14"/>
        <v>-58.010000000000005</v>
      </c>
      <c r="AA51" s="14">
        <f t="shared" ca="1" si="14"/>
        <v>-56.480000000000004</v>
      </c>
      <c r="AB51" s="14">
        <f t="shared" ca="1" si="14"/>
        <v>-51.14</v>
      </c>
      <c r="AC51" s="14">
        <f t="shared" ca="1" si="14"/>
        <v>-46.989999999999995</v>
      </c>
      <c r="AD51" s="14">
        <f t="shared" ca="1" si="14"/>
        <v>-45.268000000000001</v>
      </c>
      <c r="AE51" s="14">
        <f t="shared" ca="1" si="14"/>
        <v>-45.269999999999996</v>
      </c>
      <c r="AF51" s="14">
        <f t="shared" ca="1" si="14"/>
        <v>-45.378</v>
      </c>
      <c r="AG51" s="14">
        <f t="shared" ca="1" si="14"/>
        <v>-45.552</v>
      </c>
      <c r="AH51" s="14">
        <f t="shared" ca="1" si="14"/>
        <v>-45.766000000000005</v>
      </c>
      <c r="AI51" s="14">
        <f t="shared" ca="1" si="14"/>
        <v>-45.995999999999995</v>
      </c>
      <c r="AJ51" s="14">
        <f t="shared" ca="1" si="14"/>
        <v>-46.247999999999998</v>
      </c>
      <c r="AK51" s="14">
        <f t="shared" ca="1" si="14"/>
        <v>-46.510000000000005</v>
      </c>
      <c r="AL51" s="14">
        <f t="shared" ca="1" si="14"/>
        <v>-46.765999999999998</v>
      </c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</row>
    <row r="52" spans="1:71" ht="21" customHeight="1" outlineLevel="1" thickBot="1" x14ac:dyDescent="0.4">
      <c r="A52" s="5">
        <f t="shared" si="12"/>
        <v>0</v>
      </c>
      <c r="B52" s="5">
        <f t="shared" si="12"/>
        <v>1</v>
      </c>
      <c r="C52" s="5">
        <f t="shared" si="12"/>
        <v>0</v>
      </c>
      <c r="D52" s="5">
        <f t="shared" si="12"/>
        <v>1</v>
      </c>
      <c r="E52" s="6" t="str">
        <f t="shared" si="12"/>
        <v>(DGaSe</v>
      </c>
      <c r="F52" s="14">
        <f t="shared" ca="1" si="13"/>
        <v>-90.04</v>
      </c>
      <c r="G52" s="14">
        <f t="shared" ca="1" si="14"/>
        <v>-85.41</v>
      </c>
      <c r="H52" s="14">
        <f t="shared" ca="1" si="14"/>
        <v>-81.23</v>
      </c>
      <c r="I52" s="14">
        <f t="shared" ca="1" si="14"/>
        <v>-77.400000000000006</v>
      </c>
      <c r="J52" s="14">
        <f t="shared" ca="1" si="14"/>
        <v>-73.86</v>
      </c>
      <c r="K52" s="14">
        <f t="shared" ca="1" si="14"/>
        <v>-62.06</v>
      </c>
      <c r="L52" s="14">
        <f t="shared" ca="1" si="14"/>
        <v>-59.679999999999993</v>
      </c>
      <c r="M52" s="14">
        <f t="shared" ca="1" si="14"/>
        <v>-57.49</v>
      </c>
      <c r="N52" s="14">
        <f t="shared" ca="1" si="14"/>
        <v>-55.49</v>
      </c>
      <c r="O52" s="14">
        <f t="shared" ca="1" si="14"/>
        <v>-53.66</v>
      </c>
      <c r="P52" s="14">
        <f t="shared" ca="1" si="14"/>
        <v>-51.99</v>
      </c>
      <c r="Q52" s="14">
        <f t="shared" ca="1" si="14"/>
        <v>-50.45</v>
      </c>
      <c r="R52" s="14">
        <f t="shared" ca="1" si="14"/>
        <v>-49.03</v>
      </c>
      <c r="S52" s="14">
        <f t="shared" ca="1" si="14"/>
        <v>-47.72</v>
      </c>
      <c r="T52" s="14">
        <f t="shared" ca="1" si="14"/>
        <v>-46.519999999999996</v>
      </c>
      <c r="U52" s="14">
        <f t="shared" ca="1" si="14"/>
        <v>-45.44</v>
      </c>
      <c r="V52" s="14">
        <f t="shared" ca="1" si="14"/>
        <v>-44.480000000000004</v>
      </c>
      <c r="W52" s="14">
        <f t="shared" ca="1" si="14"/>
        <v>-43.6</v>
      </c>
      <c r="X52" s="14">
        <f t="shared" ca="1" si="14"/>
        <v>-42.81</v>
      </c>
      <c r="Y52" s="14">
        <f t="shared" ca="1" si="14"/>
        <v>-42.07</v>
      </c>
      <c r="Z52" s="14">
        <f t="shared" ca="1" si="14"/>
        <v>-41.39</v>
      </c>
      <c r="AA52" s="14">
        <f t="shared" ca="1" si="14"/>
        <v>-40.74</v>
      </c>
      <c r="AB52" s="14">
        <f t="shared" ca="1" si="14"/>
        <v>-38.519999999999996</v>
      </c>
      <c r="AC52" s="14">
        <f t="shared" ca="1" si="14"/>
        <v>-36.869999999999997</v>
      </c>
      <c r="AD52" s="14">
        <f t="shared" ca="1" si="14"/>
        <v>-36.408999999999999</v>
      </c>
      <c r="AE52" s="14">
        <f t="shared" ca="1" si="14"/>
        <v>-36.51</v>
      </c>
      <c r="AF52" s="14">
        <f t="shared" ca="1" si="14"/>
        <v>-36.664000000000001</v>
      </c>
      <c r="AG52" s="14">
        <f t="shared" ca="1" si="14"/>
        <v>-36.850999999999999</v>
      </c>
      <c r="AH52" s="14">
        <f t="shared" ca="1" si="14"/>
        <v>-37.058</v>
      </c>
      <c r="AI52" s="14">
        <f t="shared" ca="1" si="14"/>
        <v>-37.268000000000001</v>
      </c>
      <c r="AJ52" s="14">
        <f t="shared" ca="1" si="14"/>
        <v>-37.494</v>
      </c>
      <c r="AK52" s="14">
        <f t="shared" ca="1" si="14"/>
        <v>-37.725000000000001</v>
      </c>
      <c r="AL52" s="14">
        <f t="shared" ca="1" si="14"/>
        <v>-37.948</v>
      </c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</row>
    <row r="53" spans="1:71" ht="21" customHeight="1" outlineLevel="1" thickBot="1" x14ac:dyDescent="0.4">
      <c r="A53" s="5">
        <f t="shared" si="12"/>
        <v>0</v>
      </c>
      <c r="B53" s="5">
        <f t="shared" si="12"/>
        <v>0</v>
      </c>
      <c r="C53" s="5">
        <f t="shared" si="12"/>
        <v>1</v>
      </c>
      <c r="D53" s="5">
        <f t="shared" si="12"/>
        <v>0</v>
      </c>
      <c r="E53" s="6" t="str">
        <f t="shared" si="12"/>
        <v>(DGe</v>
      </c>
      <c r="F53" s="14">
        <f t="shared" ca="1" si="13"/>
        <v>-17.09</v>
      </c>
      <c r="G53" s="14">
        <f t="shared" ca="1" si="14"/>
        <v>-16.329999999999998</v>
      </c>
      <c r="H53" s="14">
        <f t="shared" ca="1" si="14"/>
        <v>-15.49</v>
      </c>
      <c r="I53" s="14">
        <f t="shared" ca="1" si="14"/>
        <v>-14.5</v>
      </c>
      <c r="J53" s="14">
        <f t="shared" ca="1" si="14"/>
        <v>-13.38</v>
      </c>
      <c r="K53" s="14">
        <f t="shared" ca="1" si="14"/>
        <v>-8.9420000000000002</v>
      </c>
      <c r="L53" s="14">
        <f t="shared" ca="1" si="14"/>
        <v>-8.0190000000000001</v>
      </c>
      <c r="M53" s="14">
        <f t="shared" ca="1" si="14"/>
        <v>-7.2149999999999999</v>
      </c>
      <c r="N53" s="14">
        <f t="shared" ca="1" si="14"/>
        <v>-6.5570000000000004</v>
      </c>
      <c r="O53" s="14">
        <f t="shared" ca="1" si="14"/>
        <v>-6.056</v>
      </c>
      <c r="P53" s="14">
        <f t="shared" ca="1" si="14"/>
        <v>-5.7050000000000001</v>
      </c>
      <c r="Q53" s="14">
        <f t="shared" ca="1" si="14"/>
        <v>-5.4829999999999997</v>
      </c>
      <c r="R53" s="14">
        <f t="shared" ca="1" si="14"/>
        <v>-5.3639999999999999</v>
      </c>
      <c r="S53" s="14">
        <f t="shared" ca="1" si="14"/>
        <v>-5.319</v>
      </c>
      <c r="T53" s="14">
        <f t="shared" ca="1" si="14"/>
        <v>-5.319</v>
      </c>
      <c r="U53" s="14">
        <f t="shared" ca="1" si="14"/>
        <v>-5.3440000000000003</v>
      </c>
      <c r="V53" s="14">
        <f t="shared" ca="1" si="14"/>
        <v>-5.3789999999999996</v>
      </c>
      <c r="W53" s="14">
        <f t="shared" ca="1" si="14"/>
        <v>-5.4180000000000001</v>
      </c>
      <c r="X53" s="14">
        <f t="shared" ca="1" si="14"/>
        <v>-5.4589999999999996</v>
      </c>
      <c r="Y53" s="14">
        <f t="shared" ca="1" si="14"/>
        <v>-5.4989999999999997</v>
      </c>
      <c r="Z53" s="14">
        <f t="shared" ca="1" si="14"/>
        <v>-5.54</v>
      </c>
      <c r="AA53" s="14">
        <f t="shared" ca="1" si="14"/>
        <v>-5.58</v>
      </c>
      <c r="AB53" s="14">
        <f t="shared" ca="1" si="14"/>
        <v>-5.7430000000000003</v>
      </c>
      <c r="AC53" s="14">
        <f t="shared" ca="1" si="14"/>
        <v>-5.9169999999999998</v>
      </c>
      <c r="AD53" s="14">
        <f t="shared" ca="1" si="14"/>
        <v>-6.1260000000000003</v>
      </c>
      <c r="AE53" s="14">
        <f t="shared" ca="1" si="14"/>
        <v>-6.1749999999999998</v>
      </c>
      <c r="AF53" s="14">
        <f t="shared" ca="1" si="14"/>
        <v>-6.2210000000000001</v>
      </c>
      <c r="AG53" s="14">
        <f t="shared" ca="1" si="14"/>
        <v>-6.2629999999999999</v>
      </c>
      <c r="AH53" s="14">
        <f t="shared" ca="1" si="14"/>
        <v>-6.3029999999999999</v>
      </c>
      <c r="AI53" s="14">
        <f t="shared" ca="1" si="14"/>
        <v>-6.3419999999999996</v>
      </c>
      <c r="AJ53" s="14">
        <f t="shared" ca="1" si="14"/>
        <v>-6.3789999999999996</v>
      </c>
      <c r="AK53" s="14">
        <f t="shared" ca="1" si="14"/>
        <v>-6.4160000000000004</v>
      </c>
      <c r="AL53" s="14">
        <f t="shared" ca="1" si="14"/>
        <v>-6.452</v>
      </c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14"/>
      <c r="BR53" s="14"/>
      <c r="BS53" s="14"/>
    </row>
    <row r="54" spans="1:71" ht="21" customHeight="1" outlineLevel="1" thickBot="1" x14ac:dyDescent="0.4">
      <c r="A54" s="5">
        <f t="shared" si="12"/>
        <v>0</v>
      </c>
      <c r="B54" s="5">
        <f t="shared" si="12"/>
        <v>0</v>
      </c>
      <c r="C54" s="5">
        <f t="shared" si="12"/>
        <v>0</v>
      </c>
      <c r="D54" s="5">
        <f t="shared" si="12"/>
        <v>1</v>
      </c>
      <c r="E54" s="6" t="str">
        <f t="shared" si="12"/>
        <v>(DGa</v>
      </c>
      <c r="F54" s="14">
        <f t="shared" ca="1" si="13"/>
        <v>-66.48</v>
      </c>
      <c r="G54" s="14">
        <f t="shared" ca="1" si="14"/>
        <v>-62.87</v>
      </c>
      <c r="H54" s="14">
        <f t="shared" ca="1" si="14"/>
        <v>-59.45</v>
      </c>
      <c r="I54" s="14">
        <f t="shared" ca="1" si="14"/>
        <v>-56.08</v>
      </c>
      <c r="J54" s="14">
        <f t="shared" ca="1" si="14"/>
        <v>-52.71</v>
      </c>
      <c r="K54" s="14">
        <f t="shared" ca="1" si="14"/>
        <v>-40.33</v>
      </c>
      <c r="L54" s="14">
        <f t="shared" ca="1" si="14"/>
        <v>-37.729999999999997</v>
      </c>
      <c r="M54" s="14">
        <f t="shared" ca="1" si="14"/>
        <v>-35.340000000000003</v>
      </c>
      <c r="N54" s="14">
        <f t="shared" ca="1" si="14"/>
        <v>-33.17</v>
      </c>
      <c r="O54" s="14">
        <f t="shared" ca="1" si="14"/>
        <v>-31.2</v>
      </c>
      <c r="P54" s="14">
        <f t="shared" ca="1" si="14"/>
        <v>-29.39</v>
      </c>
      <c r="Q54" s="14">
        <f t="shared" ca="1" si="14"/>
        <v>-27.69</v>
      </c>
      <c r="R54" s="14">
        <f t="shared" ca="1" si="14"/>
        <v>-26.08</v>
      </c>
      <c r="S54" s="14">
        <f t="shared" ca="1" si="14"/>
        <v>-24.57</v>
      </c>
      <c r="T54" s="14">
        <f t="shared" ca="1" si="14"/>
        <v>-23.15</v>
      </c>
      <c r="U54" s="14">
        <f t="shared" ref="G54:AL62" ca="1" si="15">$A54*H.Ar + $B54*H.Se + $C54*H.Ge + $D54*H.Ga</f>
        <v>-21.84</v>
      </c>
      <c r="V54" s="14">
        <f t="shared" ca="1" si="15"/>
        <v>-20.64</v>
      </c>
      <c r="W54" s="14">
        <f t="shared" ca="1" si="15"/>
        <v>-19.53</v>
      </c>
      <c r="X54" s="14">
        <f t="shared" ca="1" si="15"/>
        <v>-18.5</v>
      </c>
      <c r="Y54" s="14">
        <f t="shared" ca="1" si="15"/>
        <v>-17.53</v>
      </c>
      <c r="Z54" s="14">
        <f t="shared" ca="1" si="15"/>
        <v>-16.62</v>
      </c>
      <c r="AA54" s="14">
        <f t="shared" ca="1" si="15"/>
        <v>-15.74</v>
      </c>
      <c r="AB54" s="14">
        <f t="shared" ca="1" si="15"/>
        <v>-12.62</v>
      </c>
      <c r="AC54" s="14">
        <f t="shared" ca="1" si="15"/>
        <v>-10.119999999999999</v>
      </c>
      <c r="AD54" s="14">
        <f t="shared" ca="1" si="15"/>
        <v>-8.859</v>
      </c>
      <c r="AE54" s="14">
        <f t="shared" ca="1" si="15"/>
        <v>-8.76</v>
      </c>
      <c r="AF54" s="14">
        <f t="shared" ca="1" si="15"/>
        <v>-8.7140000000000004</v>
      </c>
      <c r="AG54" s="14">
        <f t="shared" ca="1" si="15"/>
        <v>-8.7010000000000005</v>
      </c>
      <c r="AH54" s="14">
        <f t="shared" ca="1" si="15"/>
        <v>-8.7080000000000002</v>
      </c>
      <c r="AI54" s="14">
        <f t="shared" ca="1" si="15"/>
        <v>-8.7279999999999998</v>
      </c>
      <c r="AJ54" s="14">
        <f t="shared" ca="1" si="15"/>
        <v>-8.7539999999999996</v>
      </c>
      <c r="AK54" s="14">
        <f t="shared" ca="1" si="15"/>
        <v>-8.7850000000000001</v>
      </c>
      <c r="AL54" s="14">
        <f t="shared" ca="1" si="15"/>
        <v>-8.8179999999999996</v>
      </c>
      <c r="AM54" s="14"/>
      <c r="AN54" s="14"/>
      <c r="AO54" s="14"/>
      <c r="AP54" s="14"/>
      <c r="AQ54" s="14"/>
      <c r="AR54" s="14"/>
      <c r="AS54" s="14"/>
      <c r="AT54" s="14"/>
      <c r="AU54" s="14"/>
      <c r="AV54" s="14"/>
      <c r="AW54" s="14"/>
      <c r="AX54" s="14"/>
      <c r="AY54" s="14"/>
      <c r="AZ54" s="14"/>
      <c r="BA54" s="14"/>
      <c r="BB54" s="14"/>
      <c r="BC54" s="14"/>
      <c r="BD54" s="14"/>
      <c r="BE54" s="14"/>
      <c r="BF54" s="14"/>
      <c r="BG54" s="14"/>
      <c r="BH54" s="14"/>
      <c r="BI54" s="14"/>
      <c r="BJ54" s="14"/>
      <c r="BK54" s="14"/>
      <c r="BL54" s="14"/>
      <c r="BM54" s="14"/>
      <c r="BN54" s="14"/>
      <c r="BO54" s="14"/>
      <c r="BP54" s="14"/>
      <c r="BQ54" s="14"/>
      <c r="BR54" s="14"/>
      <c r="BS54" s="14"/>
    </row>
    <row r="55" spans="1:71" ht="21" customHeight="1" outlineLevel="1" thickBot="1" x14ac:dyDescent="0.4">
      <c r="A55" s="5">
        <f t="shared" si="12"/>
        <v>0</v>
      </c>
      <c r="B55" s="5">
        <f t="shared" si="12"/>
        <v>1</v>
      </c>
      <c r="C55" s="5">
        <f t="shared" si="12"/>
        <v>0</v>
      </c>
      <c r="D55" s="5">
        <f t="shared" si="12"/>
        <v>0</v>
      </c>
      <c r="E55" s="6" t="str">
        <f t="shared" si="12"/>
        <v>(1)Se[A]</v>
      </c>
      <c r="F55" s="14">
        <f t="shared" ca="1" si="13"/>
        <v>-23.56</v>
      </c>
      <c r="G55" s="14">
        <f t="shared" ca="1" si="15"/>
        <v>-22.54</v>
      </c>
      <c r="H55" s="14">
        <f t="shared" ca="1" si="15"/>
        <v>-21.78</v>
      </c>
      <c r="I55" s="14">
        <f t="shared" ca="1" si="15"/>
        <v>-21.32</v>
      </c>
      <c r="J55" s="14">
        <f t="shared" ca="1" si="15"/>
        <v>-21.15</v>
      </c>
      <c r="K55" s="14">
        <f t="shared" ca="1" si="15"/>
        <v>-21.73</v>
      </c>
      <c r="L55" s="14">
        <f t="shared" ca="1" si="15"/>
        <v>-21.95</v>
      </c>
      <c r="M55" s="14">
        <f t="shared" ca="1" si="15"/>
        <v>-22.15</v>
      </c>
      <c r="N55" s="14">
        <f t="shared" ca="1" si="15"/>
        <v>-22.32</v>
      </c>
      <c r="O55" s="14">
        <f t="shared" ca="1" si="15"/>
        <v>-22.46</v>
      </c>
      <c r="P55" s="14">
        <f t="shared" ca="1" si="15"/>
        <v>-22.6</v>
      </c>
      <c r="Q55" s="14">
        <f t="shared" ca="1" si="15"/>
        <v>-22.76</v>
      </c>
      <c r="R55" s="14">
        <f t="shared" ca="1" si="15"/>
        <v>-22.95</v>
      </c>
      <c r="S55" s="14">
        <f t="shared" ca="1" si="15"/>
        <v>-23.15</v>
      </c>
      <c r="T55" s="14">
        <f t="shared" ca="1" si="15"/>
        <v>-23.37</v>
      </c>
      <c r="U55" s="14">
        <f t="shared" ca="1" si="15"/>
        <v>-23.6</v>
      </c>
      <c r="V55" s="14">
        <f t="shared" ca="1" si="15"/>
        <v>-23.84</v>
      </c>
      <c r="W55" s="14">
        <f t="shared" ca="1" si="15"/>
        <v>-24.07</v>
      </c>
      <c r="X55" s="14">
        <f t="shared" ca="1" si="15"/>
        <v>-24.31</v>
      </c>
      <c r="Y55" s="14">
        <f t="shared" ca="1" si="15"/>
        <v>-24.54</v>
      </c>
      <c r="Z55" s="14">
        <f t="shared" ca="1" si="15"/>
        <v>-24.77</v>
      </c>
      <c r="AA55" s="14">
        <f t="shared" ca="1" si="15"/>
        <v>-25</v>
      </c>
      <c r="AB55" s="14">
        <f t="shared" ca="1" si="15"/>
        <v>-25.9</v>
      </c>
      <c r="AC55" s="14">
        <f t="shared" ca="1" si="15"/>
        <v>-26.75</v>
      </c>
      <c r="AD55" s="14">
        <f t="shared" ca="1" si="15"/>
        <v>-27.55</v>
      </c>
      <c r="AE55" s="14">
        <f t="shared" ca="1" si="15"/>
        <v>-27.75</v>
      </c>
      <c r="AF55" s="14">
        <f t="shared" ca="1" si="15"/>
        <v>-27.95</v>
      </c>
      <c r="AG55" s="14">
        <f t="shared" ca="1" si="15"/>
        <v>-28.15</v>
      </c>
      <c r="AH55" s="14">
        <f t="shared" ca="1" si="15"/>
        <v>-28.35</v>
      </c>
      <c r="AI55" s="14">
        <f t="shared" ca="1" si="15"/>
        <v>-28.54</v>
      </c>
      <c r="AJ55" s="14">
        <f t="shared" ca="1" si="15"/>
        <v>-28.74</v>
      </c>
      <c r="AK55" s="14">
        <f t="shared" ca="1" si="15"/>
        <v>-28.94</v>
      </c>
      <c r="AL55" s="14">
        <f t="shared" ca="1" si="15"/>
        <v>-29.13</v>
      </c>
      <c r="AM55" s="14"/>
      <c r="AN55" s="14"/>
      <c r="AO55" s="14"/>
      <c r="AP55" s="14"/>
      <c r="AQ55" s="14"/>
      <c r="AR55" s="14"/>
      <c r="AS55" s="14"/>
      <c r="AT55" s="14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4"/>
      <c r="BH55" s="14"/>
      <c r="BI55" s="14"/>
      <c r="BJ55" s="14"/>
      <c r="BK55" s="14"/>
      <c r="BL55" s="14"/>
      <c r="BM55" s="14"/>
      <c r="BN55" s="14"/>
      <c r="BO55" s="14"/>
      <c r="BP55" s="14"/>
      <c r="BQ55" s="14"/>
      <c r="BR55" s="14"/>
      <c r="BS55" s="14"/>
    </row>
    <row r="56" spans="1:71" ht="21" customHeight="1" outlineLevel="1" thickBot="1" x14ac:dyDescent="0.4">
      <c r="A56" s="5">
        <f t="shared" ref="A56:E65" si="16">A14</f>
        <v>0</v>
      </c>
      <c r="B56" s="5">
        <f t="shared" si="16"/>
        <v>1</v>
      </c>
      <c r="C56" s="5">
        <f t="shared" si="16"/>
        <v>0</v>
      </c>
      <c r="D56" s="5">
        <f t="shared" si="16"/>
        <v>0</v>
      </c>
      <c r="E56" s="6" t="str">
        <f t="shared" si="16"/>
        <v>(1)Se[M]</v>
      </c>
      <c r="F56" s="14">
        <f t="shared" ref="F56:U65" ca="1" si="17">$A56*H.Ar + $B56*H.Se + $C56*H.Ge + $D56*H.Ga</f>
        <v>-23.56</v>
      </c>
      <c r="G56" s="14">
        <f t="shared" ca="1" si="17"/>
        <v>-22.54</v>
      </c>
      <c r="H56" s="14">
        <f t="shared" ca="1" si="17"/>
        <v>-21.78</v>
      </c>
      <c r="I56" s="14">
        <f t="shared" ca="1" si="17"/>
        <v>-21.32</v>
      </c>
      <c r="J56" s="14">
        <f t="shared" ca="1" si="17"/>
        <v>-21.15</v>
      </c>
      <c r="K56" s="14">
        <f t="shared" ca="1" si="17"/>
        <v>-21.73</v>
      </c>
      <c r="L56" s="14">
        <f t="shared" ca="1" si="17"/>
        <v>-21.95</v>
      </c>
      <c r="M56" s="14">
        <f t="shared" ca="1" si="17"/>
        <v>-22.15</v>
      </c>
      <c r="N56" s="14">
        <f t="shared" ca="1" si="17"/>
        <v>-22.32</v>
      </c>
      <c r="O56" s="14">
        <f t="shared" ca="1" si="17"/>
        <v>-22.46</v>
      </c>
      <c r="P56" s="14">
        <f t="shared" ca="1" si="17"/>
        <v>-22.6</v>
      </c>
      <c r="Q56" s="14">
        <f t="shared" ca="1" si="17"/>
        <v>-22.76</v>
      </c>
      <c r="R56" s="14">
        <f t="shared" ca="1" si="17"/>
        <v>-22.95</v>
      </c>
      <c r="S56" s="14">
        <f t="shared" ca="1" si="17"/>
        <v>-23.15</v>
      </c>
      <c r="T56" s="14">
        <f t="shared" ca="1" si="17"/>
        <v>-23.37</v>
      </c>
      <c r="U56" s="14">
        <f t="shared" ca="1" si="17"/>
        <v>-23.6</v>
      </c>
      <c r="V56" s="14">
        <f t="shared" ca="1" si="15"/>
        <v>-23.84</v>
      </c>
      <c r="W56" s="14">
        <f t="shared" ca="1" si="15"/>
        <v>-24.07</v>
      </c>
      <c r="X56" s="14">
        <f t="shared" ca="1" si="15"/>
        <v>-24.31</v>
      </c>
      <c r="Y56" s="14">
        <f t="shared" ca="1" si="15"/>
        <v>-24.54</v>
      </c>
      <c r="Z56" s="14">
        <f t="shared" ca="1" si="15"/>
        <v>-24.77</v>
      </c>
      <c r="AA56" s="14">
        <f t="shared" ca="1" si="15"/>
        <v>-25</v>
      </c>
      <c r="AB56" s="14">
        <f t="shared" ca="1" si="15"/>
        <v>-25.9</v>
      </c>
      <c r="AC56" s="14">
        <f t="shared" ca="1" si="15"/>
        <v>-26.75</v>
      </c>
      <c r="AD56" s="14">
        <f t="shared" ca="1" si="15"/>
        <v>-27.55</v>
      </c>
      <c r="AE56" s="14">
        <f t="shared" ca="1" si="15"/>
        <v>-27.75</v>
      </c>
      <c r="AF56" s="14">
        <f t="shared" ca="1" si="15"/>
        <v>-27.95</v>
      </c>
      <c r="AG56" s="14">
        <f t="shared" ca="1" si="15"/>
        <v>-28.15</v>
      </c>
      <c r="AH56" s="14">
        <f t="shared" ca="1" si="15"/>
        <v>-28.35</v>
      </c>
      <c r="AI56" s="14">
        <f t="shared" ca="1" si="15"/>
        <v>-28.54</v>
      </c>
      <c r="AJ56" s="14">
        <f t="shared" ca="1" si="15"/>
        <v>-28.74</v>
      </c>
      <c r="AK56" s="14">
        <f t="shared" ca="1" si="15"/>
        <v>-28.94</v>
      </c>
      <c r="AL56" s="14">
        <f t="shared" ca="1" si="15"/>
        <v>-29.13</v>
      </c>
      <c r="AM56" s="14"/>
      <c r="AN56" s="14"/>
      <c r="AO56" s="14"/>
      <c r="AP56" s="14"/>
      <c r="AQ56" s="14"/>
      <c r="AR56" s="14"/>
      <c r="AS56" s="14"/>
      <c r="AT56" s="14"/>
      <c r="AU56" s="14"/>
      <c r="AV56" s="14"/>
      <c r="AW56" s="14"/>
      <c r="AX56" s="14"/>
      <c r="AY56" s="14"/>
      <c r="AZ56" s="14"/>
      <c r="BA56" s="14"/>
      <c r="BB56" s="14"/>
      <c r="BC56" s="14"/>
      <c r="BD56" s="14"/>
      <c r="BE56" s="14"/>
      <c r="BF56" s="14"/>
      <c r="BG56" s="14"/>
      <c r="BH56" s="14"/>
      <c r="BI56" s="14"/>
      <c r="BJ56" s="14"/>
      <c r="BK56" s="14"/>
      <c r="BL56" s="14"/>
      <c r="BM56" s="14"/>
      <c r="BN56" s="14"/>
      <c r="BO56" s="14"/>
      <c r="BP56" s="14"/>
      <c r="BQ56" s="14"/>
      <c r="BR56" s="14"/>
      <c r="BS56" s="14"/>
    </row>
    <row r="57" spans="1:71" ht="21" customHeight="1" outlineLevel="1" thickBot="1" x14ac:dyDescent="0.4">
      <c r="A57" s="5">
        <f t="shared" si="16"/>
        <v>0</v>
      </c>
      <c r="B57" s="5">
        <f t="shared" si="16"/>
        <v>1</v>
      </c>
      <c r="C57" s="5">
        <f t="shared" si="16"/>
        <v>0</v>
      </c>
      <c r="D57" s="5">
        <f t="shared" si="16"/>
        <v>0</v>
      </c>
      <c r="E57" s="6" t="str">
        <f t="shared" si="16"/>
        <v>(1)Se</v>
      </c>
      <c r="F57" s="14">
        <f t="shared" ca="1" si="17"/>
        <v>-23.56</v>
      </c>
      <c r="G57" s="14">
        <f t="shared" ca="1" si="15"/>
        <v>-22.54</v>
      </c>
      <c r="H57" s="14">
        <f t="shared" ca="1" si="15"/>
        <v>-21.78</v>
      </c>
      <c r="I57" s="14">
        <f t="shared" ca="1" si="15"/>
        <v>-21.32</v>
      </c>
      <c r="J57" s="14">
        <f t="shared" ca="1" si="15"/>
        <v>-21.15</v>
      </c>
      <c r="K57" s="14">
        <f t="shared" ca="1" si="15"/>
        <v>-21.73</v>
      </c>
      <c r="L57" s="14">
        <f t="shared" ca="1" si="15"/>
        <v>-21.95</v>
      </c>
      <c r="M57" s="14">
        <f t="shared" ca="1" si="15"/>
        <v>-22.15</v>
      </c>
      <c r="N57" s="14">
        <f t="shared" ca="1" si="15"/>
        <v>-22.32</v>
      </c>
      <c r="O57" s="14">
        <f t="shared" ca="1" si="15"/>
        <v>-22.46</v>
      </c>
      <c r="P57" s="14">
        <f t="shared" ca="1" si="15"/>
        <v>-22.6</v>
      </c>
      <c r="Q57" s="14">
        <f t="shared" ca="1" si="15"/>
        <v>-22.76</v>
      </c>
      <c r="R57" s="14">
        <f t="shared" ca="1" si="15"/>
        <v>-22.95</v>
      </c>
      <c r="S57" s="14">
        <f t="shared" ca="1" si="15"/>
        <v>-23.15</v>
      </c>
      <c r="T57" s="14">
        <f t="shared" ca="1" si="15"/>
        <v>-23.37</v>
      </c>
      <c r="U57" s="14">
        <f t="shared" ca="1" si="15"/>
        <v>-23.6</v>
      </c>
      <c r="V57" s="14">
        <f t="shared" ca="1" si="15"/>
        <v>-23.84</v>
      </c>
      <c r="W57" s="14">
        <f t="shared" ca="1" si="15"/>
        <v>-24.07</v>
      </c>
      <c r="X57" s="14">
        <f t="shared" ca="1" si="15"/>
        <v>-24.31</v>
      </c>
      <c r="Y57" s="14">
        <f t="shared" ca="1" si="15"/>
        <v>-24.54</v>
      </c>
      <c r="Z57" s="14">
        <f t="shared" ca="1" si="15"/>
        <v>-24.77</v>
      </c>
      <c r="AA57" s="14">
        <f t="shared" ca="1" si="15"/>
        <v>-25</v>
      </c>
      <c r="AB57" s="14">
        <f t="shared" ca="1" si="15"/>
        <v>-25.9</v>
      </c>
      <c r="AC57" s="14">
        <f t="shared" ca="1" si="15"/>
        <v>-26.75</v>
      </c>
      <c r="AD57" s="14">
        <f t="shared" ca="1" si="15"/>
        <v>-27.55</v>
      </c>
      <c r="AE57" s="14">
        <f t="shared" ca="1" si="15"/>
        <v>-27.75</v>
      </c>
      <c r="AF57" s="14">
        <f t="shared" ca="1" si="15"/>
        <v>-27.95</v>
      </c>
      <c r="AG57" s="14">
        <f t="shared" ca="1" si="15"/>
        <v>-28.15</v>
      </c>
      <c r="AH57" s="14">
        <f t="shared" ca="1" si="15"/>
        <v>-28.35</v>
      </c>
      <c r="AI57" s="14">
        <f t="shared" ca="1" si="15"/>
        <v>-28.54</v>
      </c>
      <c r="AJ57" s="14">
        <f t="shared" ca="1" si="15"/>
        <v>-28.74</v>
      </c>
      <c r="AK57" s="14">
        <f t="shared" ca="1" si="15"/>
        <v>-28.94</v>
      </c>
      <c r="AL57" s="14">
        <f t="shared" ca="1" si="15"/>
        <v>-29.13</v>
      </c>
      <c r="AM57" s="14"/>
      <c r="AN57" s="14"/>
      <c r="AO57" s="14"/>
      <c r="AP57" s="14"/>
      <c r="AQ57" s="14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4"/>
      <c r="BH57" s="14"/>
      <c r="BI57" s="14"/>
      <c r="BJ57" s="14"/>
      <c r="BK57" s="14"/>
      <c r="BL57" s="14"/>
      <c r="BM57" s="14"/>
      <c r="BN57" s="14"/>
      <c r="BO57" s="14"/>
      <c r="BP57" s="14"/>
      <c r="BQ57" s="14"/>
      <c r="BR57" s="14"/>
      <c r="BS57" s="14"/>
    </row>
    <row r="58" spans="1:71" ht="21" customHeight="1" outlineLevel="1" thickBot="1" x14ac:dyDescent="0.4">
      <c r="A58" s="5">
        <f t="shared" si="16"/>
        <v>0</v>
      </c>
      <c r="B58" s="5">
        <f t="shared" si="16"/>
        <v>0</v>
      </c>
      <c r="C58" s="5">
        <f t="shared" si="16"/>
        <v>0</v>
      </c>
      <c r="D58" s="5">
        <f t="shared" si="16"/>
        <v>1</v>
      </c>
      <c r="E58" s="6" t="str">
        <f t="shared" si="16"/>
        <v>(2)Ga[l]</v>
      </c>
      <c r="F58" s="14">
        <f t="shared" ca="1" si="17"/>
        <v>-66.48</v>
      </c>
      <c r="G58" s="14">
        <f t="shared" ca="1" si="15"/>
        <v>-62.87</v>
      </c>
      <c r="H58" s="14">
        <f t="shared" ca="1" si="15"/>
        <v>-59.45</v>
      </c>
      <c r="I58" s="14">
        <f t="shared" ca="1" si="15"/>
        <v>-56.08</v>
      </c>
      <c r="J58" s="14">
        <f t="shared" ca="1" si="15"/>
        <v>-52.71</v>
      </c>
      <c r="K58" s="14">
        <f t="shared" ca="1" si="15"/>
        <v>-40.33</v>
      </c>
      <c r="L58" s="14">
        <f t="shared" ca="1" si="15"/>
        <v>-37.729999999999997</v>
      </c>
      <c r="M58" s="14">
        <f t="shared" ca="1" si="15"/>
        <v>-35.340000000000003</v>
      </c>
      <c r="N58" s="14">
        <f t="shared" ca="1" si="15"/>
        <v>-33.17</v>
      </c>
      <c r="O58" s="14">
        <f t="shared" ca="1" si="15"/>
        <v>-31.2</v>
      </c>
      <c r="P58" s="14">
        <f t="shared" ca="1" si="15"/>
        <v>-29.39</v>
      </c>
      <c r="Q58" s="14">
        <f t="shared" ca="1" si="15"/>
        <v>-27.69</v>
      </c>
      <c r="R58" s="14">
        <f t="shared" ca="1" si="15"/>
        <v>-26.08</v>
      </c>
      <c r="S58" s="14">
        <f t="shared" ca="1" si="15"/>
        <v>-24.57</v>
      </c>
      <c r="T58" s="14">
        <f t="shared" ca="1" si="15"/>
        <v>-23.15</v>
      </c>
      <c r="U58" s="14">
        <f t="shared" ca="1" si="15"/>
        <v>-21.84</v>
      </c>
      <c r="V58" s="14">
        <f t="shared" ca="1" si="15"/>
        <v>-20.64</v>
      </c>
      <c r="W58" s="14">
        <f t="shared" ca="1" si="15"/>
        <v>-19.53</v>
      </c>
      <c r="X58" s="14">
        <f t="shared" ca="1" si="15"/>
        <v>-18.5</v>
      </c>
      <c r="Y58" s="14">
        <f t="shared" ca="1" si="15"/>
        <v>-17.53</v>
      </c>
      <c r="Z58" s="14">
        <f t="shared" ca="1" si="15"/>
        <v>-16.62</v>
      </c>
      <c r="AA58" s="14">
        <f t="shared" ca="1" si="15"/>
        <v>-15.74</v>
      </c>
      <c r="AB58" s="14">
        <f t="shared" ca="1" si="15"/>
        <v>-12.62</v>
      </c>
      <c r="AC58" s="14">
        <f t="shared" ca="1" si="15"/>
        <v>-10.119999999999999</v>
      </c>
      <c r="AD58" s="14">
        <f t="shared" ca="1" si="15"/>
        <v>-8.859</v>
      </c>
      <c r="AE58" s="14">
        <f t="shared" ca="1" si="15"/>
        <v>-8.76</v>
      </c>
      <c r="AF58" s="14">
        <f t="shared" ca="1" si="15"/>
        <v>-8.7140000000000004</v>
      </c>
      <c r="AG58" s="14">
        <f t="shared" ca="1" si="15"/>
        <v>-8.7010000000000005</v>
      </c>
      <c r="AH58" s="14">
        <f t="shared" ca="1" si="15"/>
        <v>-8.7080000000000002</v>
      </c>
      <c r="AI58" s="14">
        <f t="shared" ca="1" si="15"/>
        <v>-8.7279999999999998</v>
      </c>
      <c r="AJ58" s="14">
        <f t="shared" ca="1" si="15"/>
        <v>-8.7539999999999996</v>
      </c>
      <c r="AK58" s="14">
        <f t="shared" ca="1" si="15"/>
        <v>-8.7850000000000001</v>
      </c>
      <c r="AL58" s="14">
        <f t="shared" ca="1" si="15"/>
        <v>-8.8179999999999996</v>
      </c>
      <c r="AM58" s="14"/>
      <c r="AN58" s="14"/>
      <c r="AO58" s="14"/>
      <c r="AP58" s="14"/>
      <c r="AQ58" s="14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/>
      <c r="BL58" s="14"/>
      <c r="BM58" s="14"/>
      <c r="BN58" s="14"/>
      <c r="BO58" s="14"/>
      <c r="BP58" s="14"/>
      <c r="BQ58" s="14"/>
      <c r="BR58" s="14"/>
      <c r="BS58" s="14"/>
    </row>
    <row r="59" spans="1:71" ht="21" customHeight="1" outlineLevel="1" thickBot="1" x14ac:dyDescent="0.4">
      <c r="A59" s="5">
        <f t="shared" si="16"/>
        <v>1</v>
      </c>
      <c r="B59" s="5">
        <f t="shared" si="16"/>
        <v>0</v>
      </c>
      <c r="C59" s="5">
        <f t="shared" si="16"/>
        <v>0</v>
      </c>
      <c r="D59" s="5">
        <f t="shared" si="16"/>
        <v>0</v>
      </c>
      <c r="E59" s="6" t="str">
        <f t="shared" si="16"/>
        <v>H (Ar)</v>
      </c>
      <c r="F59" s="14">
        <f t="shared" ca="1" si="17"/>
        <v>-18.62</v>
      </c>
      <c r="G59" s="14">
        <f t="shared" ca="1" si="15"/>
        <v>-18.61</v>
      </c>
      <c r="H59" s="14">
        <f t="shared" ca="1" si="15"/>
        <v>-18.61</v>
      </c>
      <c r="I59" s="14">
        <f t="shared" ca="1" si="15"/>
        <v>-18.62</v>
      </c>
      <c r="J59" s="14">
        <f t="shared" ca="1" si="15"/>
        <v>-18.63</v>
      </c>
      <c r="K59" s="14">
        <f t="shared" ca="1" si="15"/>
        <v>-18.72</v>
      </c>
      <c r="L59" s="14">
        <f t="shared" ca="1" si="15"/>
        <v>-18.75</v>
      </c>
      <c r="M59" s="14">
        <f t="shared" ca="1" si="15"/>
        <v>-18.78</v>
      </c>
      <c r="N59" s="14">
        <f t="shared" ca="1" si="15"/>
        <v>-18.809999999999999</v>
      </c>
      <c r="O59" s="14">
        <f t="shared" ca="1" si="15"/>
        <v>-18.84</v>
      </c>
      <c r="P59" s="14">
        <f t="shared" ca="1" si="15"/>
        <v>-18.87</v>
      </c>
      <c r="Q59" s="14">
        <f t="shared" ca="1" si="15"/>
        <v>-18.899999999999999</v>
      </c>
      <c r="R59" s="14">
        <f t="shared" ca="1" si="15"/>
        <v>-18.940000000000001</v>
      </c>
      <c r="S59" s="14">
        <f t="shared" ca="1" si="15"/>
        <v>-18.97</v>
      </c>
      <c r="T59" s="14">
        <f t="shared" ca="1" si="15"/>
        <v>-19.010000000000002</v>
      </c>
      <c r="U59" s="14">
        <f t="shared" ca="1" si="15"/>
        <v>-19.04</v>
      </c>
      <c r="V59" s="14">
        <f t="shared" ca="1" si="15"/>
        <v>-19.07</v>
      </c>
      <c r="W59" s="14">
        <f t="shared" ca="1" si="15"/>
        <v>-19.11</v>
      </c>
      <c r="X59" s="14">
        <f t="shared" ca="1" si="15"/>
        <v>-19.14</v>
      </c>
      <c r="Y59" s="14">
        <f t="shared" ca="1" si="15"/>
        <v>-19.18</v>
      </c>
      <c r="Z59" s="14">
        <f t="shared" ca="1" si="15"/>
        <v>-19.21</v>
      </c>
      <c r="AA59" s="14">
        <f t="shared" ca="1" si="15"/>
        <v>-19.25</v>
      </c>
      <c r="AB59" s="14">
        <f t="shared" ca="1" si="15"/>
        <v>-19.38</v>
      </c>
      <c r="AC59" s="14">
        <f t="shared" ca="1" si="15"/>
        <v>-19.510000000000002</v>
      </c>
      <c r="AD59" s="14">
        <f t="shared" ca="1" si="15"/>
        <v>-19.64</v>
      </c>
      <c r="AE59" s="14">
        <f t="shared" ca="1" si="15"/>
        <v>-19.670000000000002</v>
      </c>
      <c r="AF59" s="14">
        <f t="shared" ca="1" si="15"/>
        <v>-19.7</v>
      </c>
      <c r="AG59" s="14">
        <f t="shared" ca="1" si="15"/>
        <v>-19.73</v>
      </c>
      <c r="AH59" s="14">
        <f t="shared" ca="1" si="15"/>
        <v>-19.760000000000002</v>
      </c>
      <c r="AI59" s="14">
        <f t="shared" ca="1" si="15"/>
        <v>-19.79</v>
      </c>
      <c r="AJ59" s="14">
        <f t="shared" ca="1" si="15"/>
        <v>-19.82</v>
      </c>
      <c r="AK59" s="14">
        <f t="shared" ca="1" si="15"/>
        <v>-19.850000000000001</v>
      </c>
      <c r="AL59" s="14">
        <f t="shared" ca="1" si="15"/>
        <v>-19.88</v>
      </c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</row>
    <row r="60" spans="1:71" ht="21" customHeight="1" outlineLevel="1" thickBot="1" x14ac:dyDescent="0.4">
      <c r="A60" s="5">
        <f t="shared" si="16"/>
        <v>0</v>
      </c>
      <c r="B60" s="5">
        <f t="shared" si="16"/>
        <v>0</v>
      </c>
      <c r="C60" s="5">
        <f t="shared" si="16"/>
        <v>0</v>
      </c>
      <c r="D60" s="5">
        <f t="shared" si="16"/>
        <v>1</v>
      </c>
      <c r="E60" s="6" t="str">
        <f t="shared" si="16"/>
        <v>H (Ga)</v>
      </c>
      <c r="F60" s="14">
        <f t="shared" ca="1" si="17"/>
        <v>-66.48</v>
      </c>
      <c r="G60" s="14">
        <f t="shared" ca="1" si="15"/>
        <v>-62.87</v>
      </c>
      <c r="H60" s="14">
        <f t="shared" ca="1" si="15"/>
        <v>-59.45</v>
      </c>
      <c r="I60" s="14">
        <f t="shared" ca="1" si="15"/>
        <v>-56.08</v>
      </c>
      <c r="J60" s="14">
        <f t="shared" ca="1" si="15"/>
        <v>-52.71</v>
      </c>
      <c r="K60" s="14">
        <f t="shared" ca="1" si="15"/>
        <v>-40.33</v>
      </c>
      <c r="L60" s="14">
        <f t="shared" ca="1" si="15"/>
        <v>-37.729999999999997</v>
      </c>
      <c r="M60" s="14">
        <f t="shared" ca="1" si="15"/>
        <v>-35.340000000000003</v>
      </c>
      <c r="N60" s="14">
        <f t="shared" ca="1" si="15"/>
        <v>-33.17</v>
      </c>
      <c r="O60" s="14">
        <f t="shared" ca="1" si="15"/>
        <v>-31.2</v>
      </c>
      <c r="P60" s="14">
        <f t="shared" ca="1" si="15"/>
        <v>-29.39</v>
      </c>
      <c r="Q60" s="14">
        <f t="shared" ca="1" si="15"/>
        <v>-27.69</v>
      </c>
      <c r="R60" s="14">
        <f t="shared" ca="1" si="15"/>
        <v>-26.08</v>
      </c>
      <c r="S60" s="14">
        <f t="shared" ca="1" si="15"/>
        <v>-24.57</v>
      </c>
      <c r="T60" s="14">
        <f t="shared" ca="1" si="15"/>
        <v>-23.15</v>
      </c>
      <c r="U60" s="14">
        <f t="shared" ca="1" si="15"/>
        <v>-21.84</v>
      </c>
      <c r="V60" s="14">
        <f t="shared" ca="1" si="15"/>
        <v>-20.64</v>
      </c>
      <c r="W60" s="14">
        <f t="shared" ca="1" si="15"/>
        <v>-19.53</v>
      </c>
      <c r="X60" s="14">
        <f t="shared" ca="1" si="15"/>
        <v>-18.5</v>
      </c>
      <c r="Y60" s="14">
        <f t="shared" ca="1" si="15"/>
        <v>-17.53</v>
      </c>
      <c r="Z60" s="14">
        <f t="shared" ca="1" si="15"/>
        <v>-16.62</v>
      </c>
      <c r="AA60" s="14">
        <f t="shared" ca="1" si="15"/>
        <v>-15.74</v>
      </c>
      <c r="AB60" s="14">
        <f t="shared" ca="1" si="15"/>
        <v>-12.62</v>
      </c>
      <c r="AC60" s="14">
        <f t="shared" ca="1" si="15"/>
        <v>-10.119999999999999</v>
      </c>
      <c r="AD60" s="14">
        <f t="shared" ca="1" si="15"/>
        <v>-8.859</v>
      </c>
      <c r="AE60" s="14">
        <f t="shared" ca="1" si="15"/>
        <v>-8.76</v>
      </c>
      <c r="AF60" s="14">
        <f t="shared" ca="1" si="15"/>
        <v>-8.7140000000000004</v>
      </c>
      <c r="AG60" s="14">
        <f t="shared" ca="1" si="15"/>
        <v>-8.7010000000000005</v>
      </c>
      <c r="AH60" s="14">
        <f t="shared" ca="1" si="15"/>
        <v>-8.7080000000000002</v>
      </c>
      <c r="AI60" s="14">
        <f t="shared" ca="1" si="15"/>
        <v>-8.7279999999999998</v>
      </c>
      <c r="AJ60" s="14">
        <f t="shared" ca="1" si="15"/>
        <v>-8.7539999999999996</v>
      </c>
      <c r="AK60" s="14">
        <f t="shared" ca="1" si="15"/>
        <v>-8.7850000000000001</v>
      </c>
      <c r="AL60" s="14">
        <f t="shared" ca="1" si="15"/>
        <v>-8.8179999999999996</v>
      </c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</row>
    <row r="61" spans="1:71" ht="21" customHeight="1" outlineLevel="1" thickBot="1" x14ac:dyDescent="0.4">
      <c r="A61" s="5">
        <f t="shared" si="16"/>
        <v>0</v>
      </c>
      <c r="B61" s="5">
        <f t="shared" si="16"/>
        <v>0</v>
      </c>
      <c r="C61" s="5">
        <f t="shared" si="16"/>
        <v>1</v>
      </c>
      <c r="D61" s="5">
        <f t="shared" si="16"/>
        <v>0</v>
      </c>
      <c r="E61" s="6" t="str">
        <f t="shared" si="16"/>
        <v>H (Ge)</v>
      </c>
      <c r="F61" s="14">
        <f t="shared" ca="1" si="17"/>
        <v>-17.09</v>
      </c>
      <c r="G61" s="14">
        <f t="shared" ca="1" si="15"/>
        <v>-16.329999999999998</v>
      </c>
      <c r="H61" s="14">
        <f t="shared" ca="1" si="15"/>
        <v>-15.49</v>
      </c>
      <c r="I61" s="14">
        <f t="shared" ca="1" si="15"/>
        <v>-14.5</v>
      </c>
      <c r="J61" s="14">
        <f t="shared" ca="1" si="15"/>
        <v>-13.38</v>
      </c>
      <c r="K61" s="14">
        <f t="shared" ca="1" si="15"/>
        <v>-8.9420000000000002</v>
      </c>
      <c r="L61" s="14">
        <f t="shared" ca="1" si="15"/>
        <v>-8.0190000000000001</v>
      </c>
      <c r="M61" s="14">
        <f t="shared" ca="1" si="15"/>
        <v>-7.2149999999999999</v>
      </c>
      <c r="N61" s="14">
        <f t="shared" ca="1" si="15"/>
        <v>-6.5570000000000004</v>
      </c>
      <c r="O61" s="14">
        <f t="shared" ca="1" si="15"/>
        <v>-6.056</v>
      </c>
      <c r="P61" s="14">
        <f t="shared" ca="1" si="15"/>
        <v>-5.7050000000000001</v>
      </c>
      <c r="Q61" s="14">
        <f t="shared" ca="1" si="15"/>
        <v>-5.4829999999999997</v>
      </c>
      <c r="R61" s="14">
        <f t="shared" ca="1" si="15"/>
        <v>-5.3639999999999999</v>
      </c>
      <c r="S61" s="14">
        <f t="shared" ca="1" si="15"/>
        <v>-5.319</v>
      </c>
      <c r="T61" s="14">
        <f t="shared" ca="1" si="15"/>
        <v>-5.319</v>
      </c>
      <c r="U61" s="14">
        <f t="shared" ca="1" si="15"/>
        <v>-5.3440000000000003</v>
      </c>
      <c r="V61" s="14">
        <f t="shared" ca="1" si="15"/>
        <v>-5.3789999999999996</v>
      </c>
      <c r="W61" s="14">
        <f t="shared" ca="1" si="15"/>
        <v>-5.4180000000000001</v>
      </c>
      <c r="X61" s="14">
        <f t="shared" ca="1" si="15"/>
        <v>-5.4589999999999996</v>
      </c>
      <c r="Y61" s="14">
        <f t="shared" ca="1" si="15"/>
        <v>-5.4989999999999997</v>
      </c>
      <c r="Z61" s="14">
        <f t="shared" ca="1" si="15"/>
        <v>-5.54</v>
      </c>
      <c r="AA61" s="14">
        <f t="shared" ca="1" si="15"/>
        <v>-5.58</v>
      </c>
      <c r="AB61" s="14">
        <f t="shared" ca="1" si="15"/>
        <v>-5.7430000000000003</v>
      </c>
      <c r="AC61" s="14">
        <f t="shared" ca="1" si="15"/>
        <v>-5.9169999999999998</v>
      </c>
      <c r="AD61" s="14">
        <f t="shared" ca="1" si="15"/>
        <v>-6.1260000000000003</v>
      </c>
      <c r="AE61" s="14">
        <f t="shared" ca="1" si="15"/>
        <v>-6.1749999999999998</v>
      </c>
      <c r="AF61" s="14">
        <f t="shared" ca="1" si="15"/>
        <v>-6.2210000000000001</v>
      </c>
      <c r="AG61" s="14">
        <f t="shared" ca="1" si="15"/>
        <v>-6.2629999999999999</v>
      </c>
      <c r="AH61" s="14">
        <f t="shared" ca="1" si="15"/>
        <v>-6.3029999999999999</v>
      </c>
      <c r="AI61" s="14">
        <f t="shared" ca="1" si="15"/>
        <v>-6.3419999999999996</v>
      </c>
      <c r="AJ61" s="14">
        <f t="shared" ca="1" si="15"/>
        <v>-6.3789999999999996</v>
      </c>
      <c r="AK61" s="14">
        <f t="shared" ca="1" si="15"/>
        <v>-6.4160000000000004</v>
      </c>
      <c r="AL61" s="14">
        <f t="shared" ca="1" si="15"/>
        <v>-6.452</v>
      </c>
      <c r="AM61" s="14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4"/>
      <c r="BK61" s="14"/>
      <c r="BL61" s="14"/>
      <c r="BM61" s="14"/>
      <c r="BN61" s="14"/>
      <c r="BO61" s="14"/>
      <c r="BP61" s="14"/>
      <c r="BQ61" s="14"/>
      <c r="BR61" s="14"/>
      <c r="BS61" s="14"/>
    </row>
    <row r="62" spans="1:71" ht="21" customHeight="1" outlineLevel="1" thickBot="1" x14ac:dyDescent="0.4">
      <c r="A62" s="5">
        <f t="shared" si="16"/>
        <v>0</v>
      </c>
      <c r="B62" s="5">
        <f t="shared" si="16"/>
        <v>1</v>
      </c>
      <c r="C62" s="5">
        <f t="shared" si="16"/>
        <v>0</v>
      </c>
      <c r="D62" s="5">
        <f t="shared" si="16"/>
        <v>0</v>
      </c>
      <c r="E62" s="6" t="str">
        <f t="shared" si="16"/>
        <v>H (Se)</v>
      </c>
      <c r="F62" s="14">
        <f t="shared" ca="1" si="17"/>
        <v>-23.56</v>
      </c>
      <c r="G62" s="14">
        <f t="shared" ca="1" si="15"/>
        <v>-22.54</v>
      </c>
      <c r="H62" s="14">
        <f t="shared" ca="1" si="15"/>
        <v>-21.78</v>
      </c>
      <c r="I62" s="14">
        <f t="shared" ca="1" si="15"/>
        <v>-21.32</v>
      </c>
      <c r="J62" s="14">
        <f t="shared" ca="1" si="15"/>
        <v>-21.15</v>
      </c>
      <c r="K62" s="14">
        <f t="shared" ca="1" si="15"/>
        <v>-21.73</v>
      </c>
      <c r="L62" s="14">
        <f t="shared" ca="1" si="15"/>
        <v>-21.95</v>
      </c>
      <c r="M62" s="14">
        <f t="shared" ca="1" si="15"/>
        <v>-22.15</v>
      </c>
      <c r="N62" s="14">
        <f t="shared" ca="1" si="15"/>
        <v>-22.32</v>
      </c>
      <c r="O62" s="14">
        <f t="shared" ca="1" si="15"/>
        <v>-22.46</v>
      </c>
      <c r="P62" s="14">
        <f t="shared" ca="1" si="15"/>
        <v>-22.6</v>
      </c>
      <c r="Q62" s="14">
        <f t="shared" ca="1" si="15"/>
        <v>-22.76</v>
      </c>
      <c r="R62" s="14">
        <f t="shared" ca="1" si="15"/>
        <v>-22.95</v>
      </c>
      <c r="S62" s="14">
        <f t="shared" ca="1" si="15"/>
        <v>-23.15</v>
      </c>
      <c r="T62" s="14">
        <f t="shared" ca="1" si="15"/>
        <v>-23.37</v>
      </c>
      <c r="U62" s="14">
        <f t="shared" ca="1" si="15"/>
        <v>-23.6</v>
      </c>
      <c r="V62" s="14">
        <f t="shared" ca="1" si="15"/>
        <v>-23.84</v>
      </c>
      <c r="W62" s="14">
        <f t="shared" ca="1" si="15"/>
        <v>-24.07</v>
      </c>
      <c r="X62" s="14">
        <f t="shared" ca="1" si="15"/>
        <v>-24.31</v>
      </c>
      <c r="Y62" s="14">
        <f t="shared" ca="1" si="15"/>
        <v>-24.54</v>
      </c>
      <c r="Z62" s="14">
        <f t="shared" ca="1" si="15"/>
        <v>-24.77</v>
      </c>
      <c r="AA62" s="14">
        <f t="shared" ca="1" si="15"/>
        <v>-25</v>
      </c>
      <c r="AB62" s="14">
        <f t="shared" ca="1" si="15"/>
        <v>-25.9</v>
      </c>
      <c r="AC62" s="14">
        <f t="shared" ca="1" si="15"/>
        <v>-26.75</v>
      </c>
      <c r="AD62" s="14">
        <f t="shared" ca="1" si="15"/>
        <v>-27.55</v>
      </c>
      <c r="AE62" s="14">
        <f t="shared" ca="1" si="15"/>
        <v>-27.75</v>
      </c>
      <c r="AF62" s="14">
        <f t="shared" ca="1" si="15"/>
        <v>-27.95</v>
      </c>
      <c r="AG62" s="14">
        <f t="shared" ca="1" si="15"/>
        <v>-28.15</v>
      </c>
      <c r="AH62" s="14">
        <f t="shared" ca="1" si="15"/>
        <v>-28.35</v>
      </c>
      <c r="AI62" s="14">
        <f t="shared" ref="G62:AL71" ca="1" si="18">$A62*H.Ar + $B62*H.Se + $C62*H.Ge + $D62*H.Ga</f>
        <v>-28.54</v>
      </c>
      <c r="AJ62" s="14">
        <f t="shared" ca="1" si="18"/>
        <v>-28.74</v>
      </c>
      <c r="AK62" s="14">
        <f t="shared" ca="1" si="18"/>
        <v>-28.94</v>
      </c>
      <c r="AL62" s="14">
        <f t="shared" ca="1" si="18"/>
        <v>-29.13</v>
      </c>
      <c r="AM62" s="14"/>
      <c r="AN62" s="14"/>
      <c r="AO62" s="14"/>
      <c r="AP62" s="14"/>
      <c r="AQ62" s="14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  <c r="BH62" s="14"/>
      <c r="BI62" s="14"/>
      <c r="BJ62" s="14"/>
      <c r="BK62" s="14"/>
      <c r="BL62" s="14"/>
      <c r="BM62" s="14"/>
      <c r="BN62" s="14"/>
      <c r="BO62" s="14"/>
      <c r="BP62" s="14"/>
      <c r="BQ62" s="14"/>
      <c r="BR62" s="14"/>
      <c r="BS62" s="14"/>
    </row>
    <row r="63" spans="1:71" ht="21" customHeight="1" outlineLevel="1" thickBot="1" x14ac:dyDescent="0.4">
      <c r="A63" s="5">
        <f t="shared" si="16"/>
        <v>0</v>
      </c>
      <c r="B63" s="5">
        <f t="shared" si="16"/>
        <v>0</v>
      </c>
      <c r="C63" s="5">
        <f t="shared" si="16"/>
        <v>0</v>
      </c>
      <c r="D63" s="5">
        <f t="shared" si="16"/>
        <v>0</v>
      </c>
      <c r="E63" s="6">
        <f t="shared" si="16"/>
        <v>0</v>
      </c>
      <c r="F63" s="14">
        <f t="shared" ca="1" si="17"/>
        <v>0</v>
      </c>
      <c r="G63" s="14">
        <f t="shared" ca="1" si="18"/>
        <v>0</v>
      </c>
      <c r="H63" s="14">
        <f t="shared" ca="1" si="18"/>
        <v>0</v>
      </c>
      <c r="I63" s="14">
        <f t="shared" ca="1" si="18"/>
        <v>0</v>
      </c>
      <c r="J63" s="14">
        <f t="shared" ca="1" si="18"/>
        <v>0</v>
      </c>
      <c r="K63" s="14">
        <f t="shared" ca="1" si="18"/>
        <v>0</v>
      </c>
      <c r="L63" s="14">
        <f t="shared" ca="1" si="18"/>
        <v>0</v>
      </c>
      <c r="M63" s="14">
        <f t="shared" ca="1" si="18"/>
        <v>0</v>
      </c>
      <c r="N63" s="14">
        <f t="shared" ca="1" si="18"/>
        <v>0</v>
      </c>
      <c r="O63" s="14">
        <f t="shared" ca="1" si="18"/>
        <v>0</v>
      </c>
      <c r="P63" s="14">
        <f t="shared" ca="1" si="18"/>
        <v>0</v>
      </c>
      <c r="Q63" s="14">
        <f t="shared" ca="1" si="18"/>
        <v>0</v>
      </c>
      <c r="R63" s="14">
        <f t="shared" ca="1" si="18"/>
        <v>0</v>
      </c>
      <c r="S63" s="14">
        <f t="shared" ca="1" si="18"/>
        <v>0</v>
      </c>
      <c r="T63" s="14">
        <f t="shared" ca="1" si="18"/>
        <v>0</v>
      </c>
      <c r="U63" s="14">
        <f t="shared" ca="1" si="18"/>
        <v>0</v>
      </c>
      <c r="V63" s="14">
        <f t="shared" ca="1" si="18"/>
        <v>0</v>
      </c>
      <c r="W63" s="14">
        <f t="shared" ca="1" si="18"/>
        <v>0</v>
      </c>
      <c r="X63" s="14">
        <f t="shared" ca="1" si="18"/>
        <v>0</v>
      </c>
      <c r="Y63" s="14">
        <f t="shared" ca="1" si="18"/>
        <v>0</v>
      </c>
      <c r="Z63" s="14">
        <f t="shared" ca="1" si="18"/>
        <v>0</v>
      </c>
      <c r="AA63" s="14">
        <f t="shared" ca="1" si="18"/>
        <v>0</v>
      </c>
      <c r="AB63" s="14">
        <f t="shared" ca="1" si="18"/>
        <v>0</v>
      </c>
      <c r="AC63" s="14">
        <f t="shared" ca="1" si="18"/>
        <v>0</v>
      </c>
      <c r="AD63" s="14">
        <f t="shared" ca="1" si="18"/>
        <v>0</v>
      </c>
      <c r="AE63" s="14">
        <f t="shared" ca="1" si="18"/>
        <v>0</v>
      </c>
      <c r="AF63" s="14">
        <f t="shared" ca="1" si="18"/>
        <v>0</v>
      </c>
      <c r="AG63" s="14">
        <f t="shared" ca="1" si="18"/>
        <v>0</v>
      </c>
      <c r="AH63" s="14">
        <f t="shared" ca="1" si="18"/>
        <v>0</v>
      </c>
      <c r="AI63" s="14">
        <f t="shared" ca="1" si="18"/>
        <v>0</v>
      </c>
      <c r="AJ63" s="14">
        <f t="shared" ca="1" si="18"/>
        <v>0</v>
      </c>
      <c r="AK63" s="14">
        <f t="shared" ca="1" si="18"/>
        <v>0</v>
      </c>
      <c r="AL63" s="14">
        <f t="shared" ca="1" si="18"/>
        <v>0</v>
      </c>
      <c r="AM63" s="14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</row>
    <row r="64" spans="1:71" ht="21" customHeight="1" outlineLevel="1" thickBot="1" x14ac:dyDescent="0.4">
      <c r="A64" s="5">
        <f t="shared" si="16"/>
        <v>0</v>
      </c>
      <c r="B64" s="5">
        <f t="shared" si="16"/>
        <v>0</v>
      </c>
      <c r="C64" s="5">
        <f t="shared" si="16"/>
        <v>0</v>
      </c>
      <c r="D64" s="5">
        <f t="shared" si="16"/>
        <v>0</v>
      </c>
      <c r="E64" s="6">
        <f t="shared" si="16"/>
        <v>0</v>
      </c>
      <c r="F64" s="14">
        <f t="shared" ca="1" si="17"/>
        <v>0</v>
      </c>
      <c r="G64" s="14">
        <f t="shared" ca="1" si="18"/>
        <v>0</v>
      </c>
      <c r="H64" s="14">
        <f t="shared" ca="1" si="18"/>
        <v>0</v>
      </c>
      <c r="I64" s="14">
        <f t="shared" ca="1" si="18"/>
        <v>0</v>
      </c>
      <c r="J64" s="14">
        <f t="shared" ca="1" si="18"/>
        <v>0</v>
      </c>
      <c r="K64" s="14">
        <f t="shared" ca="1" si="18"/>
        <v>0</v>
      </c>
      <c r="L64" s="14">
        <f t="shared" ca="1" si="18"/>
        <v>0</v>
      </c>
      <c r="M64" s="14">
        <f t="shared" ca="1" si="18"/>
        <v>0</v>
      </c>
      <c r="N64" s="14">
        <f t="shared" ca="1" si="18"/>
        <v>0</v>
      </c>
      <c r="O64" s="14">
        <f t="shared" ca="1" si="18"/>
        <v>0</v>
      </c>
      <c r="P64" s="14">
        <f t="shared" ca="1" si="18"/>
        <v>0</v>
      </c>
      <c r="Q64" s="14">
        <f t="shared" ca="1" si="18"/>
        <v>0</v>
      </c>
      <c r="R64" s="14">
        <f t="shared" ca="1" si="18"/>
        <v>0</v>
      </c>
      <c r="S64" s="14">
        <f t="shared" ca="1" si="18"/>
        <v>0</v>
      </c>
      <c r="T64" s="14">
        <f t="shared" ca="1" si="18"/>
        <v>0</v>
      </c>
      <c r="U64" s="14">
        <f t="shared" ca="1" si="18"/>
        <v>0</v>
      </c>
      <c r="V64" s="14">
        <f t="shared" ca="1" si="18"/>
        <v>0</v>
      </c>
      <c r="W64" s="14">
        <f t="shared" ca="1" si="18"/>
        <v>0</v>
      </c>
      <c r="X64" s="14">
        <f t="shared" ca="1" si="18"/>
        <v>0</v>
      </c>
      <c r="Y64" s="14">
        <f t="shared" ca="1" si="18"/>
        <v>0</v>
      </c>
      <c r="Z64" s="14">
        <f t="shared" ca="1" si="18"/>
        <v>0</v>
      </c>
      <c r="AA64" s="14">
        <f t="shared" ca="1" si="18"/>
        <v>0</v>
      </c>
      <c r="AB64" s="14">
        <f t="shared" ca="1" si="18"/>
        <v>0</v>
      </c>
      <c r="AC64" s="14">
        <f t="shared" ca="1" si="18"/>
        <v>0</v>
      </c>
      <c r="AD64" s="14">
        <f t="shared" ca="1" si="18"/>
        <v>0</v>
      </c>
      <c r="AE64" s="14">
        <f t="shared" ca="1" si="18"/>
        <v>0</v>
      </c>
      <c r="AF64" s="14">
        <f t="shared" ca="1" si="18"/>
        <v>0</v>
      </c>
      <c r="AG64" s="14">
        <f t="shared" ca="1" si="18"/>
        <v>0</v>
      </c>
      <c r="AH64" s="14">
        <f t="shared" ca="1" si="18"/>
        <v>0</v>
      </c>
      <c r="AI64" s="14">
        <f t="shared" ca="1" si="18"/>
        <v>0</v>
      </c>
      <c r="AJ64" s="14">
        <f t="shared" ca="1" si="18"/>
        <v>0</v>
      </c>
      <c r="AK64" s="14">
        <f t="shared" ca="1" si="18"/>
        <v>0</v>
      </c>
      <c r="AL64" s="14">
        <f t="shared" ca="1" si="18"/>
        <v>0</v>
      </c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</row>
    <row r="65" spans="1:87" ht="21" customHeight="1" outlineLevel="1" thickBot="1" x14ac:dyDescent="0.4">
      <c r="A65" s="5">
        <f t="shared" si="16"/>
        <v>0</v>
      </c>
      <c r="B65" s="5">
        <f t="shared" si="16"/>
        <v>0</v>
      </c>
      <c r="C65" s="5">
        <f t="shared" si="16"/>
        <v>0</v>
      </c>
      <c r="D65" s="5">
        <f t="shared" si="16"/>
        <v>0</v>
      </c>
      <c r="E65" s="6">
        <f t="shared" si="16"/>
        <v>0</v>
      </c>
      <c r="F65" s="14">
        <f t="shared" ca="1" si="17"/>
        <v>0</v>
      </c>
      <c r="G65" s="14">
        <f t="shared" ca="1" si="18"/>
        <v>0</v>
      </c>
      <c r="H65" s="14">
        <f t="shared" ca="1" si="18"/>
        <v>0</v>
      </c>
      <c r="I65" s="14">
        <f t="shared" ca="1" si="18"/>
        <v>0</v>
      </c>
      <c r="J65" s="14">
        <f t="shared" ca="1" si="18"/>
        <v>0</v>
      </c>
      <c r="K65" s="14">
        <f t="shared" ca="1" si="18"/>
        <v>0</v>
      </c>
      <c r="L65" s="14">
        <f t="shared" ca="1" si="18"/>
        <v>0</v>
      </c>
      <c r="M65" s="14">
        <f t="shared" ca="1" si="18"/>
        <v>0</v>
      </c>
      <c r="N65" s="14">
        <f t="shared" ca="1" si="18"/>
        <v>0</v>
      </c>
      <c r="O65" s="14">
        <f t="shared" ca="1" si="18"/>
        <v>0</v>
      </c>
      <c r="P65" s="14">
        <f t="shared" ca="1" si="18"/>
        <v>0</v>
      </c>
      <c r="Q65" s="14">
        <f t="shared" ca="1" si="18"/>
        <v>0</v>
      </c>
      <c r="R65" s="14">
        <f t="shared" ca="1" si="18"/>
        <v>0</v>
      </c>
      <c r="S65" s="14">
        <f t="shared" ca="1" si="18"/>
        <v>0</v>
      </c>
      <c r="T65" s="14">
        <f t="shared" ca="1" si="18"/>
        <v>0</v>
      </c>
      <c r="U65" s="14">
        <f t="shared" ca="1" si="18"/>
        <v>0</v>
      </c>
      <c r="V65" s="14">
        <f t="shared" ca="1" si="18"/>
        <v>0</v>
      </c>
      <c r="W65" s="14">
        <f t="shared" ca="1" si="18"/>
        <v>0</v>
      </c>
      <c r="X65" s="14">
        <f t="shared" ca="1" si="18"/>
        <v>0</v>
      </c>
      <c r="Y65" s="14">
        <f t="shared" ca="1" si="18"/>
        <v>0</v>
      </c>
      <c r="Z65" s="14">
        <f t="shared" ca="1" si="18"/>
        <v>0</v>
      </c>
      <c r="AA65" s="14">
        <f t="shared" ca="1" si="18"/>
        <v>0</v>
      </c>
      <c r="AB65" s="14">
        <f t="shared" ca="1" si="18"/>
        <v>0</v>
      </c>
      <c r="AC65" s="14">
        <f t="shared" ca="1" si="18"/>
        <v>0</v>
      </c>
      <c r="AD65" s="14">
        <f t="shared" ca="1" si="18"/>
        <v>0</v>
      </c>
      <c r="AE65" s="14">
        <f t="shared" ca="1" si="18"/>
        <v>0</v>
      </c>
      <c r="AF65" s="14">
        <f t="shared" ca="1" si="18"/>
        <v>0</v>
      </c>
      <c r="AG65" s="14">
        <f t="shared" ca="1" si="18"/>
        <v>0</v>
      </c>
      <c r="AH65" s="14">
        <f t="shared" ca="1" si="18"/>
        <v>0</v>
      </c>
      <c r="AI65" s="14">
        <f t="shared" ca="1" si="18"/>
        <v>0</v>
      </c>
      <c r="AJ65" s="14">
        <f t="shared" ca="1" si="18"/>
        <v>0</v>
      </c>
      <c r="AK65" s="14">
        <f t="shared" ca="1" si="18"/>
        <v>0</v>
      </c>
      <c r="AL65" s="14">
        <f t="shared" ca="1" si="18"/>
        <v>0</v>
      </c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</row>
    <row r="66" spans="1:87" ht="21" customHeight="1" outlineLevel="1" thickBot="1" x14ac:dyDescent="0.4">
      <c r="A66" s="5">
        <f t="shared" ref="A66:E75" si="19">A24</f>
        <v>0</v>
      </c>
      <c r="B66" s="5">
        <f t="shared" si="19"/>
        <v>0</v>
      </c>
      <c r="C66" s="5">
        <f t="shared" si="19"/>
        <v>0</v>
      </c>
      <c r="D66" s="5">
        <f t="shared" si="19"/>
        <v>0</v>
      </c>
      <c r="E66" s="6">
        <f t="shared" si="19"/>
        <v>0</v>
      </c>
      <c r="F66" s="14">
        <f t="shared" ref="F66:U74" ca="1" si="20">$A66*H.Ar + $B66*H.Se + $C66*H.Ge + $D66*H.Ga</f>
        <v>0</v>
      </c>
      <c r="G66" s="14">
        <f t="shared" ca="1" si="20"/>
        <v>0</v>
      </c>
      <c r="H66" s="14">
        <f t="shared" ca="1" si="20"/>
        <v>0</v>
      </c>
      <c r="I66" s="14">
        <f t="shared" ca="1" si="20"/>
        <v>0</v>
      </c>
      <c r="J66" s="14">
        <f t="shared" ca="1" si="20"/>
        <v>0</v>
      </c>
      <c r="K66" s="14">
        <f t="shared" ca="1" si="20"/>
        <v>0</v>
      </c>
      <c r="L66" s="14">
        <f t="shared" ca="1" si="20"/>
        <v>0</v>
      </c>
      <c r="M66" s="14">
        <f t="shared" ca="1" si="20"/>
        <v>0</v>
      </c>
      <c r="N66" s="14">
        <f t="shared" ca="1" si="20"/>
        <v>0</v>
      </c>
      <c r="O66" s="14">
        <f t="shared" ca="1" si="20"/>
        <v>0</v>
      </c>
      <c r="P66" s="14">
        <f t="shared" ca="1" si="20"/>
        <v>0</v>
      </c>
      <c r="Q66" s="14">
        <f t="shared" ca="1" si="20"/>
        <v>0</v>
      </c>
      <c r="R66" s="14">
        <f t="shared" ca="1" si="20"/>
        <v>0</v>
      </c>
      <c r="S66" s="14">
        <f t="shared" ca="1" si="20"/>
        <v>0</v>
      </c>
      <c r="T66" s="14">
        <f t="shared" ca="1" si="20"/>
        <v>0</v>
      </c>
      <c r="U66" s="14">
        <f t="shared" ca="1" si="20"/>
        <v>0</v>
      </c>
      <c r="V66" s="14">
        <f t="shared" ca="1" si="18"/>
        <v>0</v>
      </c>
      <c r="W66" s="14">
        <f t="shared" ca="1" si="18"/>
        <v>0</v>
      </c>
      <c r="X66" s="14">
        <f t="shared" ca="1" si="18"/>
        <v>0</v>
      </c>
      <c r="Y66" s="14">
        <f t="shared" ca="1" si="18"/>
        <v>0</v>
      </c>
      <c r="Z66" s="14">
        <f t="shared" ca="1" si="18"/>
        <v>0</v>
      </c>
      <c r="AA66" s="14">
        <f t="shared" ca="1" si="18"/>
        <v>0</v>
      </c>
      <c r="AB66" s="14">
        <f t="shared" ca="1" si="18"/>
        <v>0</v>
      </c>
      <c r="AC66" s="14">
        <f t="shared" ca="1" si="18"/>
        <v>0</v>
      </c>
      <c r="AD66" s="14">
        <f t="shared" ca="1" si="18"/>
        <v>0</v>
      </c>
      <c r="AE66" s="14">
        <f t="shared" ca="1" si="18"/>
        <v>0</v>
      </c>
      <c r="AF66" s="14">
        <f t="shared" ca="1" si="18"/>
        <v>0</v>
      </c>
      <c r="AG66" s="14">
        <f t="shared" ca="1" si="18"/>
        <v>0</v>
      </c>
      <c r="AH66" s="14">
        <f t="shared" ca="1" si="18"/>
        <v>0</v>
      </c>
      <c r="AI66" s="14">
        <f t="shared" ca="1" si="18"/>
        <v>0</v>
      </c>
      <c r="AJ66" s="14">
        <f t="shared" ca="1" si="18"/>
        <v>0</v>
      </c>
      <c r="AK66" s="14">
        <f t="shared" ca="1" si="18"/>
        <v>0</v>
      </c>
      <c r="AL66" s="14">
        <f t="shared" ca="1" si="18"/>
        <v>0</v>
      </c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</row>
    <row r="67" spans="1:87" ht="21" customHeight="1" outlineLevel="1" thickBot="1" x14ac:dyDescent="0.4">
      <c r="A67" s="5">
        <f t="shared" si="19"/>
        <v>0</v>
      </c>
      <c r="B67" s="5">
        <f t="shared" si="19"/>
        <v>0</v>
      </c>
      <c r="C67" s="5">
        <f t="shared" si="19"/>
        <v>0</v>
      </c>
      <c r="D67" s="5">
        <f t="shared" si="19"/>
        <v>0</v>
      </c>
      <c r="E67" s="6">
        <f t="shared" si="19"/>
        <v>0</v>
      </c>
      <c r="F67" s="14">
        <f t="shared" ca="1" si="20"/>
        <v>0</v>
      </c>
      <c r="G67" s="14">
        <f t="shared" ca="1" si="18"/>
        <v>0</v>
      </c>
      <c r="H67" s="14">
        <f t="shared" ca="1" si="18"/>
        <v>0</v>
      </c>
      <c r="I67" s="14">
        <f t="shared" ca="1" si="18"/>
        <v>0</v>
      </c>
      <c r="J67" s="14">
        <f t="shared" ca="1" si="18"/>
        <v>0</v>
      </c>
      <c r="K67" s="14">
        <f t="shared" ca="1" si="18"/>
        <v>0</v>
      </c>
      <c r="L67" s="14">
        <f t="shared" ca="1" si="18"/>
        <v>0</v>
      </c>
      <c r="M67" s="14">
        <f t="shared" ca="1" si="18"/>
        <v>0</v>
      </c>
      <c r="N67" s="14">
        <f t="shared" ca="1" si="18"/>
        <v>0</v>
      </c>
      <c r="O67" s="14">
        <f t="shared" ca="1" si="18"/>
        <v>0</v>
      </c>
      <c r="P67" s="14">
        <f t="shared" ca="1" si="18"/>
        <v>0</v>
      </c>
      <c r="Q67" s="14">
        <f t="shared" ca="1" si="18"/>
        <v>0</v>
      </c>
      <c r="R67" s="14">
        <f t="shared" ca="1" si="18"/>
        <v>0</v>
      </c>
      <c r="S67" s="14">
        <f t="shared" ca="1" si="18"/>
        <v>0</v>
      </c>
      <c r="T67" s="14">
        <f t="shared" ca="1" si="18"/>
        <v>0</v>
      </c>
      <c r="U67" s="14">
        <f t="shared" ca="1" si="18"/>
        <v>0</v>
      </c>
      <c r="V67" s="14">
        <f t="shared" ca="1" si="18"/>
        <v>0</v>
      </c>
      <c r="W67" s="14">
        <f t="shared" ca="1" si="18"/>
        <v>0</v>
      </c>
      <c r="X67" s="14">
        <f t="shared" ca="1" si="18"/>
        <v>0</v>
      </c>
      <c r="Y67" s="14">
        <f t="shared" ca="1" si="18"/>
        <v>0</v>
      </c>
      <c r="Z67" s="14">
        <f t="shared" ca="1" si="18"/>
        <v>0</v>
      </c>
      <c r="AA67" s="14">
        <f t="shared" ca="1" si="18"/>
        <v>0</v>
      </c>
      <c r="AB67" s="14">
        <f t="shared" ca="1" si="18"/>
        <v>0</v>
      </c>
      <c r="AC67" s="14">
        <f t="shared" ca="1" si="18"/>
        <v>0</v>
      </c>
      <c r="AD67" s="14">
        <f t="shared" ca="1" si="18"/>
        <v>0</v>
      </c>
      <c r="AE67" s="14">
        <f t="shared" ca="1" si="18"/>
        <v>0</v>
      </c>
      <c r="AF67" s="14">
        <f t="shared" ca="1" si="18"/>
        <v>0</v>
      </c>
      <c r="AG67" s="14">
        <f t="shared" ca="1" si="18"/>
        <v>0</v>
      </c>
      <c r="AH67" s="14">
        <f t="shared" ca="1" si="18"/>
        <v>0</v>
      </c>
      <c r="AI67" s="14">
        <f t="shared" ca="1" si="18"/>
        <v>0</v>
      </c>
      <c r="AJ67" s="14">
        <f t="shared" ca="1" si="18"/>
        <v>0</v>
      </c>
      <c r="AK67" s="14">
        <f t="shared" ca="1" si="18"/>
        <v>0</v>
      </c>
      <c r="AL67" s="14">
        <f t="shared" ca="1" si="18"/>
        <v>0</v>
      </c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</row>
    <row r="68" spans="1:87" ht="21" customHeight="1" outlineLevel="1" thickBot="1" x14ac:dyDescent="0.4">
      <c r="A68" s="5">
        <f t="shared" si="19"/>
        <v>0</v>
      </c>
      <c r="B68" s="5">
        <f t="shared" si="19"/>
        <v>0</v>
      </c>
      <c r="C68" s="5">
        <f t="shared" si="19"/>
        <v>0</v>
      </c>
      <c r="D68" s="5">
        <f t="shared" si="19"/>
        <v>0</v>
      </c>
      <c r="E68" s="6">
        <f t="shared" si="19"/>
        <v>0</v>
      </c>
      <c r="F68" s="14">
        <f t="shared" ca="1" si="20"/>
        <v>0</v>
      </c>
      <c r="G68" s="14">
        <f t="shared" ca="1" si="18"/>
        <v>0</v>
      </c>
      <c r="H68" s="14">
        <f t="shared" ca="1" si="18"/>
        <v>0</v>
      </c>
      <c r="I68" s="14">
        <f t="shared" ca="1" si="18"/>
        <v>0</v>
      </c>
      <c r="J68" s="14">
        <f t="shared" ca="1" si="18"/>
        <v>0</v>
      </c>
      <c r="K68" s="14">
        <f t="shared" ca="1" si="18"/>
        <v>0</v>
      </c>
      <c r="L68" s="14">
        <f t="shared" ca="1" si="18"/>
        <v>0</v>
      </c>
      <c r="M68" s="14">
        <f t="shared" ca="1" si="18"/>
        <v>0</v>
      </c>
      <c r="N68" s="14">
        <f t="shared" ca="1" si="18"/>
        <v>0</v>
      </c>
      <c r="O68" s="14">
        <f t="shared" ca="1" si="18"/>
        <v>0</v>
      </c>
      <c r="P68" s="14">
        <f t="shared" ca="1" si="18"/>
        <v>0</v>
      </c>
      <c r="Q68" s="14">
        <f t="shared" ca="1" si="18"/>
        <v>0</v>
      </c>
      <c r="R68" s="14">
        <f t="shared" ca="1" si="18"/>
        <v>0</v>
      </c>
      <c r="S68" s="14">
        <f t="shared" ca="1" si="18"/>
        <v>0</v>
      </c>
      <c r="T68" s="14">
        <f t="shared" ca="1" si="18"/>
        <v>0</v>
      </c>
      <c r="U68" s="14">
        <f t="shared" ca="1" si="18"/>
        <v>0</v>
      </c>
      <c r="V68" s="14">
        <f t="shared" ca="1" si="18"/>
        <v>0</v>
      </c>
      <c r="W68" s="14">
        <f t="shared" ca="1" si="18"/>
        <v>0</v>
      </c>
      <c r="X68" s="14">
        <f t="shared" ca="1" si="18"/>
        <v>0</v>
      </c>
      <c r="Y68" s="14">
        <f t="shared" ca="1" si="18"/>
        <v>0</v>
      </c>
      <c r="Z68" s="14">
        <f t="shared" ca="1" si="18"/>
        <v>0</v>
      </c>
      <c r="AA68" s="14">
        <f t="shared" ca="1" si="18"/>
        <v>0</v>
      </c>
      <c r="AB68" s="14">
        <f t="shared" ca="1" si="18"/>
        <v>0</v>
      </c>
      <c r="AC68" s="14">
        <f t="shared" ca="1" si="18"/>
        <v>0</v>
      </c>
      <c r="AD68" s="14">
        <f t="shared" ca="1" si="18"/>
        <v>0</v>
      </c>
      <c r="AE68" s="14">
        <f t="shared" ca="1" si="18"/>
        <v>0</v>
      </c>
      <c r="AF68" s="14">
        <f t="shared" ca="1" si="18"/>
        <v>0</v>
      </c>
      <c r="AG68" s="14">
        <f t="shared" ca="1" si="18"/>
        <v>0</v>
      </c>
      <c r="AH68" s="14">
        <f t="shared" ca="1" si="18"/>
        <v>0</v>
      </c>
      <c r="AI68" s="14">
        <f t="shared" ca="1" si="18"/>
        <v>0</v>
      </c>
      <c r="AJ68" s="14">
        <f t="shared" ca="1" si="18"/>
        <v>0</v>
      </c>
      <c r="AK68" s="14">
        <f t="shared" ca="1" si="18"/>
        <v>0</v>
      </c>
      <c r="AL68" s="14">
        <f t="shared" ca="1" si="18"/>
        <v>0</v>
      </c>
      <c r="AM68" s="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</row>
    <row r="69" spans="1:87" ht="21" customHeight="1" outlineLevel="1" thickBot="1" x14ac:dyDescent="0.4">
      <c r="A69" s="5">
        <f t="shared" si="19"/>
        <v>0</v>
      </c>
      <c r="B69" s="5">
        <f t="shared" si="19"/>
        <v>0</v>
      </c>
      <c r="C69" s="5">
        <f t="shared" si="19"/>
        <v>0</v>
      </c>
      <c r="D69" s="5">
        <f t="shared" si="19"/>
        <v>0</v>
      </c>
      <c r="E69" s="6">
        <f t="shared" si="19"/>
        <v>0</v>
      </c>
      <c r="F69" s="14">
        <f t="shared" ca="1" si="20"/>
        <v>0</v>
      </c>
      <c r="G69" s="14">
        <f t="shared" ca="1" si="18"/>
        <v>0</v>
      </c>
      <c r="H69" s="14">
        <f t="shared" ca="1" si="18"/>
        <v>0</v>
      </c>
      <c r="I69" s="14">
        <f t="shared" ca="1" si="18"/>
        <v>0</v>
      </c>
      <c r="J69" s="14">
        <f t="shared" ca="1" si="18"/>
        <v>0</v>
      </c>
      <c r="K69" s="14">
        <f t="shared" ca="1" si="18"/>
        <v>0</v>
      </c>
      <c r="L69" s="14">
        <f t="shared" ca="1" si="18"/>
        <v>0</v>
      </c>
      <c r="M69" s="14">
        <f t="shared" ca="1" si="18"/>
        <v>0</v>
      </c>
      <c r="N69" s="14">
        <f t="shared" ca="1" si="18"/>
        <v>0</v>
      </c>
      <c r="O69" s="14">
        <f t="shared" ca="1" si="18"/>
        <v>0</v>
      </c>
      <c r="P69" s="14">
        <f t="shared" ca="1" si="18"/>
        <v>0</v>
      </c>
      <c r="Q69" s="14">
        <f t="shared" ca="1" si="18"/>
        <v>0</v>
      </c>
      <c r="R69" s="14">
        <f t="shared" ca="1" si="18"/>
        <v>0</v>
      </c>
      <c r="S69" s="14">
        <f t="shared" ca="1" si="18"/>
        <v>0</v>
      </c>
      <c r="T69" s="14">
        <f t="shared" ca="1" si="18"/>
        <v>0</v>
      </c>
      <c r="U69" s="14">
        <f t="shared" ca="1" si="18"/>
        <v>0</v>
      </c>
      <c r="V69" s="14">
        <f t="shared" ca="1" si="18"/>
        <v>0</v>
      </c>
      <c r="W69" s="14">
        <f t="shared" ca="1" si="18"/>
        <v>0</v>
      </c>
      <c r="X69" s="14">
        <f t="shared" ca="1" si="18"/>
        <v>0</v>
      </c>
      <c r="Y69" s="14">
        <f t="shared" ca="1" si="18"/>
        <v>0</v>
      </c>
      <c r="Z69" s="14">
        <f t="shared" ca="1" si="18"/>
        <v>0</v>
      </c>
      <c r="AA69" s="14">
        <f t="shared" ca="1" si="18"/>
        <v>0</v>
      </c>
      <c r="AB69" s="14">
        <f t="shared" ca="1" si="18"/>
        <v>0</v>
      </c>
      <c r="AC69" s="14">
        <f t="shared" ca="1" si="18"/>
        <v>0</v>
      </c>
      <c r="AD69" s="14">
        <f t="shared" ca="1" si="18"/>
        <v>0</v>
      </c>
      <c r="AE69" s="14">
        <f t="shared" ca="1" si="18"/>
        <v>0</v>
      </c>
      <c r="AF69" s="14">
        <f t="shared" ca="1" si="18"/>
        <v>0</v>
      </c>
      <c r="AG69" s="14">
        <f t="shared" ca="1" si="18"/>
        <v>0</v>
      </c>
      <c r="AH69" s="14">
        <f t="shared" ca="1" si="18"/>
        <v>0</v>
      </c>
      <c r="AI69" s="14">
        <f t="shared" ca="1" si="18"/>
        <v>0</v>
      </c>
      <c r="AJ69" s="14">
        <f t="shared" ca="1" si="18"/>
        <v>0</v>
      </c>
      <c r="AK69" s="14">
        <f t="shared" ca="1" si="18"/>
        <v>0</v>
      </c>
      <c r="AL69" s="14">
        <f t="shared" ca="1" si="18"/>
        <v>0</v>
      </c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</row>
    <row r="70" spans="1:87" ht="21" customHeight="1" outlineLevel="1" thickBot="1" x14ac:dyDescent="0.4">
      <c r="A70" s="5">
        <f t="shared" si="19"/>
        <v>0</v>
      </c>
      <c r="B70" s="5">
        <f t="shared" si="19"/>
        <v>0</v>
      </c>
      <c r="C70" s="5">
        <f t="shared" si="19"/>
        <v>0</v>
      </c>
      <c r="D70" s="5">
        <f t="shared" si="19"/>
        <v>0</v>
      </c>
      <c r="E70" s="6">
        <f t="shared" si="19"/>
        <v>0</v>
      </c>
      <c r="F70" s="14">
        <f t="shared" ca="1" si="20"/>
        <v>0</v>
      </c>
      <c r="G70" s="14">
        <f t="shared" ca="1" si="18"/>
        <v>0</v>
      </c>
      <c r="H70" s="14">
        <f t="shared" ca="1" si="18"/>
        <v>0</v>
      </c>
      <c r="I70" s="14">
        <f t="shared" ca="1" si="18"/>
        <v>0</v>
      </c>
      <c r="J70" s="14">
        <f t="shared" ca="1" si="18"/>
        <v>0</v>
      </c>
      <c r="K70" s="14">
        <f t="shared" ca="1" si="18"/>
        <v>0</v>
      </c>
      <c r="L70" s="14">
        <f t="shared" ca="1" si="18"/>
        <v>0</v>
      </c>
      <c r="M70" s="14">
        <f t="shared" ca="1" si="18"/>
        <v>0</v>
      </c>
      <c r="N70" s="14">
        <f t="shared" ca="1" si="18"/>
        <v>0</v>
      </c>
      <c r="O70" s="14">
        <f t="shared" ca="1" si="18"/>
        <v>0</v>
      </c>
      <c r="P70" s="14">
        <f t="shared" ca="1" si="18"/>
        <v>0</v>
      </c>
      <c r="Q70" s="14">
        <f t="shared" ca="1" si="18"/>
        <v>0</v>
      </c>
      <c r="R70" s="14">
        <f t="shared" ca="1" si="18"/>
        <v>0</v>
      </c>
      <c r="S70" s="14">
        <f t="shared" ca="1" si="18"/>
        <v>0</v>
      </c>
      <c r="T70" s="14">
        <f t="shared" ca="1" si="18"/>
        <v>0</v>
      </c>
      <c r="U70" s="14">
        <f t="shared" ca="1" si="18"/>
        <v>0</v>
      </c>
      <c r="V70" s="14">
        <f t="shared" ca="1" si="18"/>
        <v>0</v>
      </c>
      <c r="W70" s="14">
        <f t="shared" ca="1" si="18"/>
        <v>0</v>
      </c>
      <c r="X70" s="14">
        <f t="shared" ca="1" si="18"/>
        <v>0</v>
      </c>
      <c r="Y70" s="14">
        <f t="shared" ca="1" si="18"/>
        <v>0</v>
      </c>
      <c r="Z70" s="14">
        <f t="shared" ca="1" si="18"/>
        <v>0</v>
      </c>
      <c r="AA70" s="14">
        <f t="shared" ca="1" si="18"/>
        <v>0</v>
      </c>
      <c r="AB70" s="14">
        <f t="shared" ca="1" si="18"/>
        <v>0</v>
      </c>
      <c r="AC70" s="14">
        <f t="shared" ca="1" si="18"/>
        <v>0</v>
      </c>
      <c r="AD70" s="14">
        <f t="shared" ca="1" si="18"/>
        <v>0</v>
      </c>
      <c r="AE70" s="14">
        <f t="shared" ca="1" si="18"/>
        <v>0</v>
      </c>
      <c r="AF70" s="14">
        <f t="shared" ca="1" si="18"/>
        <v>0</v>
      </c>
      <c r="AG70" s="14">
        <f t="shared" ca="1" si="18"/>
        <v>0</v>
      </c>
      <c r="AH70" s="14">
        <f t="shared" ca="1" si="18"/>
        <v>0</v>
      </c>
      <c r="AI70" s="14">
        <f t="shared" ca="1" si="18"/>
        <v>0</v>
      </c>
      <c r="AJ70" s="14">
        <f t="shared" ca="1" si="18"/>
        <v>0</v>
      </c>
      <c r="AK70" s="14">
        <f t="shared" ca="1" si="18"/>
        <v>0</v>
      </c>
      <c r="AL70" s="14">
        <f t="shared" ca="1" si="18"/>
        <v>0</v>
      </c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</row>
    <row r="71" spans="1:87" ht="21" customHeight="1" outlineLevel="1" thickBot="1" x14ac:dyDescent="0.4">
      <c r="A71" s="5">
        <f t="shared" si="19"/>
        <v>0</v>
      </c>
      <c r="B71" s="5">
        <f t="shared" si="19"/>
        <v>0</v>
      </c>
      <c r="C71" s="5">
        <f t="shared" si="19"/>
        <v>0</v>
      </c>
      <c r="D71" s="5">
        <f t="shared" si="19"/>
        <v>0</v>
      </c>
      <c r="E71" s="6">
        <f t="shared" si="19"/>
        <v>0</v>
      </c>
      <c r="F71" s="14">
        <f t="shared" ca="1" si="20"/>
        <v>0</v>
      </c>
      <c r="G71" s="14">
        <f t="shared" ca="1" si="18"/>
        <v>0</v>
      </c>
      <c r="H71" s="14">
        <f t="shared" ca="1" si="18"/>
        <v>0</v>
      </c>
      <c r="I71" s="14">
        <f t="shared" ca="1" si="18"/>
        <v>0</v>
      </c>
      <c r="J71" s="14">
        <f t="shared" ca="1" si="18"/>
        <v>0</v>
      </c>
      <c r="K71" s="14">
        <f t="shared" ca="1" si="18"/>
        <v>0</v>
      </c>
      <c r="L71" s="14">
        <f t="shared" ca="1" si="18"/>
        <v>0</v>
      </c>
      <c r="M71" s="14">
        <f t="shared" ca="1" si="18"/>
        <v>0</v>
      </c>
      <c r="N71" s="14">
        <f t="shared" ca="1" si="18"/>
        <v>0</v>
      </c>
      <c r="O71" s="14">
        <f t="shared" ca="1" si="18"/>
        <v>0</v>
      </c>
      <c r="P71" s="14">
        <f t="shared" ca="1" si="18"/>
        <v>0</v>
      </c>
      <c r="Q71" s="14">
        <f t="shared" ref="G71:AL74" ca="1" si="21">$A71*H.Ar + $B71*H.Se + $C71*H.Ge + $D71*H.Ga</f>
        <v>0</v>
      </c>
      <c r="R71" s="14">
        <f t="shared" ca="1" si="21"/>
        <v>0</v>
      </c>
      <c r="S71" s="14">
        <f t="shared" ca="1" si="21"/>
        <v>0</v>
      </c>
      <c r="T71" s="14">
        <f t="shared" ca="1" si="21"/>
        <v>0</v>
      </c>
      <c r="U71" s="14">
        <f t="shared" ca="1" si="21"/>
        <v>0</v>
      </c>
      <c r="V71" s="14">
        <f t="shared" ca="1" si="21"/>
        <v>0</v>
      </c>
      <c r="W71" s="14">
        <f t="shared" ca="1" si="21"/>
        <v>0</v>
      </c>
      <c r="X71" s="14">
        <f t="shared" ca="1" si="21"/>
        <v>0</v>
      </c>
      <c r="Y71" s="14">
        <f t="shared" ca="1" si="21"/>
        <v>0</v>
      </c>
      <c r="Z71" s="14">
        <f t="shared" ca="1" si="21"/>
        <v>0</v>
      </c>
      <c r="AA71" s="14">
        <f t="shared" ca="1" si="21"/>
        <v>0</v>
      </c>
      <c r="AB71" s="14">
        <f t="shared" ca="1" si="21"/>
        <v>0</v>
      </c>
      <c r="AC71" s="14">
        <f t="shared" ca="1" si="21"/>
        <v>0</v>
      </c>
      <c r="AD71" s="14">
        <f t="shared" ca="1" si="21"/>
        <v>0</v>
      </c>
      <c r="AE71" s="14">
        <f t="shared" ca="1" si="21"/>
        <v>0</v>
      </c>
      <c r="AF71" s="14">
        <f t="shared" ca="1" si="21"/>
        <v>0</v>
      </c>
      <c r="AG71" s="14">
        <f t="shared" ca="1" si="21"/>
        <v>0</v>
      </c>
      <c r="AH71" s="14">
        <f t="shared" ca="1" si="21"/>
        <v>0</v>
      </c>
      <c r="AI71" s="14">
        <f t="shared" ca="1" si="21"/>
        <v>0</v>
      </c>
      <c r="AJ71" s="14">
        <f t="shared" ca="1" si="21"/>
        <v>0</v>
      </c>
      <c r="AK71" s="14">
        <f t="shared" ca="1" si="21"/>
        <v>0</v>
      </c>
      <c r="AL71" s="14">
        <f t="shared" ca="1" si="21"/>
        <v>0</v>
      </c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</row>
    <row r="72" spans="1:87" ht="21" customHeight="1" outlineLevel="1" thickBot="1" x14ac:dyDescent="0.4">
      <c r="A72" s="5">
        <f t="shared" si="19"/>
        <v>0</v>
      </c>
      <c r="B72" s="5">
        <f t="shared" si="19"/>
        <v>0</v>
      </c>
      <c r="C72" s="5">
        <f t="shared" si="19"/>
        <v>0</v>
      </c>
      <c r="D72" s="5">
        <f t="shared" si="19"/>
        <v>0</v>
      </c>
      <c r="E72" s="6">
        <f t="shared" si="19"/>
        <v>0</v>
      </c>
      <c r="F72" s="14">
        <f t="shared" ca="1" si="20"/>
        <v>0</v>
      </c>
      <c r="G72" s="14">
        <f t="shared" ca="1" si="21"/>
        <v>0</v>
      </c>
      <c r="H72" s="14">
        <f t="shared" ca="1" si="21"/>
        <v>0</v>
      </c>
      <c r="I72" s="14">
        <f t="shared" ca="1" si="21"/>
        <v>0</v>
      </c>
      <c r="J72" s="14">
        <f t="shared" ca="1" si="21"/>
        <v>0</v>
      </c>
      <c r="K72" s="14">
        <f t="shared" ca="1" si="21"/>
        <v>0</v>
      </c>
      <c r="L72" s="14">
        <f t="shared" ca="1" si="21"/>
        <v>0</v>
      </c>
      <c r="M72" s="14">
        <f t="shared" ca="1" si="21"/>
        <v>0</v>
      </c>
      <c r="N72" s="14">
        <f t="shared" ca="1" si="21"/>
        <v>0</v>
      </c>
      <c r="O72" s="14">
        <f t="shared" ca="1" si="21"/>
        <v>0</v>
      </c>
      <c r="P72" s="14">
        <f t="shared" ca="1" si="21"/>
        <v>0</v>
      </c>
      <c r="Q72" s="14">
        <f t="shared" ca="1" si="21"/>
        <v>0</v>
      </c>
      <c r="R72" s="14">
        <f t="shared" ca="1" si="21"/>
        <v>0</v>
      </c>
      <c r="S72" s="14">
        <f t="shared" ca="1" si="21"/>
        <v>0</v>
      </c>
      <c r="T72" s="14">
        <f t="shared" ca="1" si="21"/>
        <v>0</v>
      </c>
      <c r="U72" s="14">
        <f t="shared" ca="1" si="21"/>
        <v>0</v>
      </c>
      <c r="V72" s="14">
        <f t="shared" ca="1" si="21"/>
        <v>0</v>
      </c>
      <c r="W72" s="14">
        <f t="shared" ca="1" si="21"/>
        <v>0</v>
      </c>
      <c r="X72" s="14">
        <f t="shared" ca="1" si="21"/>
        <v>0</v>
      </c>
      <c r="Y72" s="14">
        <f t="shared" ca="1" si="21"/>
        <v>0</v>
      </c>
      <c r="Z72" s="14">
        <f t="shared" ca="1" si="21"/>
        <v>0</v>
      </c>
      <c r="AA72" s="14">
        <f t="shared" ca="1" si="21"/>
        <v>0</v>
      </c>
      <c r="AB72" s="14">
        <f t="shared" ca="1" si="21"/>
        <v>0</v>
      </c>
      <c r="AC72" s="14">
        <f t="shared" ca="1" si="21"/>
        <v>0</v>
      </c>
      <c r="AD72" s="14">
        <f t="shared" ca="1" si="21"/>
        <v>0</v>
      </c>
      <c r="AE72" s="14">
        <f t="shared" ca="1" si="21"/>
        <v>0</v>
      </c>
      <c r="AF72" s="14">
        <f t="shared" ca="1" si="21"/>
        <v>0</v>
      </c>
      <c r="AG72" s="14">
        <f t="shared" ca="1" si="21"/>
        <v>0</v>
      </c>
      <c r="AH72" s="14">
        <f t="shared" ca="1" si="21"/>
        <v>0</v>
      </c>
      <c r="AI72" s="14">
        <f t="shared" ca="1" si="21"/>
        <v>0</v>
      </c>
      <c r="AJ72" s="14">
        <f t="shared" ca="1" si="21"/>
        <v>0</v>
      </c>
      <c r="AK72" s="14">
        <f t="shared" ca="1" si="21"/>
        <v>0</v>
      </c>
      <c r="AL72" s="14">
        <f t="shared" ca="1" si="21"/>
        <v>0</v>
      </c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</row>
    <row r="73" spans="1:87" ht="21" customHeight="1" outlineLevel="1" thickBot="1" x14ac:dyDescent="0.4">
      <c r="A73" s="5">
        <f t="shared" si="19"/>
        <v>0</v>
      </c>
      <c r="B73" s="5">
        <f t="shared" si="19"/>
        <v>0</v>
      </c>
      <c r="C73" s="5">
        <f t="shared" si="19"/>
        <v>0</v>
      </c>
      <c r="D73" s="5">
        <f t="shared" si="19"/>
        <v>0</v>
      </c>
      <c r="E73" s="6">
        <f t="shared" si="19"/>
        <v>0</v>
      </c>
      <c r="F73" s="14">
        <f t="shared" ca="1" si="20"/>
        <v>0</v>
      </c>
      <c r="G73" s="14">
        <f t="shared" ca="1" si="21"/>
        <v>0</v>
      </c>
      <c r="H73" s="14">
        <f t="shared" ca="1" si="21"/>
        <v>0</v>
      </c>
      <c r="I73" s="14">
        <f t="shared" ca="1" si="21"/>
        <v>0</v>
      </c>
      <c r="J73" s="14">
        <f t="shared" ca="1" si="21"/>
        <v>0</v>
      </c>
      <c r="K73" s="14">
        <f t="shared" ca="1" si="21"/>
        <v>0</v>
      </c>
      <c r="L73" s="14">
        <f t="shared" ca="1" si="21"/>
        <v>0</v>
      </c>
      <c r="M73" s="14">
        <f t="shared" ca="1" si="21"/>
        <v>0</v>
      </c>
      <c r="N73" s="14">
        <f t="shared" ca="1" si="21"/>
        <v>0</v>
      </c>
      <c r="O73" s="14">
        <f t="shared" ca="1" si="21"/>
        <v>0</v>
      </c>
      <c r="P73" s="14">
        <f t="shared" ca="1" si="21"/>
        <v>0</v>
      </c>
      <c r="Q73" s="14">
        <f t="shared" ca="1" si="21"/>
        <v>0</v>
      </c>
      <c r="R73" s="14">
        <f t="shared" ca="1" si="21"/>
        <v>0</v>
      </c>
      <c r="S73" s="14">
        <f t="shared" ca="1" si="21"/>
        <v>0</v>
      </c>
      <c r="T73" s="14">
        <f t="shared" ca="1" si="21"/>
        <v>0</v>
      </c>
      <c r="U73" s="14">
        <f t="shared" ca="1" si="21"/>
        <v>0</v>
      </c>
      <c r="V73" s="14">
        <f t="shared" ca="1" si="21"/>
        <v>0</v>
      </c>
      <c r="W73" s="14">
        <f t="shared" ca="1" si="21"/>
        <v>0</v>
      </c>
      <c r="X73" s="14">
        <f t="shared" ca="1" si="21"/>
        <v>0</v>
      </c>
      <c r="Y73" s="14">
        <f t="shared" ca="1" si="21"/>
        <v>0</v>
      </c>
      <c r="Z73" s="14">
        <f t="shared" ca="1" si="21"/>
        <v>0</v>
      </c>
      <c r="AA73" s="14">
        <f t="shared" ca="1" si="21"/>
        <v>0</v>
      </c>
      <c r="AB73" s="14">
        <f t="shared" ca="1" si="21"/>
        <v>0</v>
      </c>
      <c r="AC73" s="14">
        <f t="shared" ca="1" si="21"/>
        <v>0</v>
      </c>
      <c r="AD73" s="14">
        <f t="shared" ca="1" si="21"/>
        <v>0</v>
      </c>
      <c r="AE73" s="14">
        <f t="shared" ca="1" si="21"/>
        <v>0</v>
      </c>
      <c r="AF73" s="14">
        <f t="shared" ca="1" si="21"/>
        <v>0</v>
      </c>
      <c r="AG73" s="14">
        <f t="shared" ca="1" si="21"/>
        <v>0</v>
      </c>
      <c r="AH73" s="14">
        <f t="shared" ca="1" si="21"/>
        <v>0</v>
      </c>
      <c r="AI73" s="14">
        <f t="shared" ca="1" si="21"/>
        <v>0</v>
      </c>
      <c r="AJ73" s="14">
        <f t="shared" ca="1" si="21"/>
        <v>0</v>
      </c>
      <c r="AK73" s="14">
        <f t="shared" ca="1" si="21"/>
        <v>0</v>
      </c>
      <c r="AL73" s="14">
        <f t="shared" ca="1" si="21"/>
        <v>0</v>
      </c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</row>
    <row r="74" spans="1:87" ht="21" customHeight="1" outlineLevel="1" thickBot="1" x14ac:dyDescent="0.4">
      <c r="A74" s="5">
        <f t="shared" si="19"/>
        <v>0</v>
      </c>
      <c r="B74" s="5">
        <f t="shared" si="19"/>
        <v>0</v>
      </c>
      <c r="C74" s="5">
        <f t="shared" si="19"/>
        <v>0</v>
      </c>
      <c r="D74" s="5">
        <f t="shared" si="19"/>
        <v>0</v>
      </c>
      <c r="E74" s="6">
        <f t="shared" si="19"/>
        <v>0</v>
      </c>
      <c r="F74" s="14">
        <f t="shared" ca="1" si="20"/>
        <v>0</v>
      </c>
      <c r="G74" s="14">
        <f t="shared" ca="1" si="21"/>
        <v>0</v>
      </c>
      <c r="H74" s="14">
        <f t="shared" ca="1" si="21"/>
        <v>0</v>
      </c>
      <c r="I74" s="14">
        <f t="shared" ca="1" si="21"/>
        <v>0</v>
      </c>
      <c r="J74" s="14">
        <f t="shared" ca="1" si="21"/>
        <v>0</v>
      </c>
      <c r="K74" s="14">
        <f t="shared" ca="1" si="21"/>
        <v>0</v>
      </c>
      <c r="L74" s="14">
        <f t="shared" ca="1" si="21"/>
        <v>0</v>
      </c>
      <c r="M74" s="14">
        <f t="shared" ca="1" si="21"/>
        <v>0</v>
      </c>
      <c r="N74" s="14">
        <f t="shared" ca="1" si="21"/>
        <v>0</v>
      </c>
      <c r="O74" s="14">
        <f t="shared" ca="1" si="21"/>
        <v>0</v>
      </c>
      <c r="P74" s="14">
        <f t="shared" ca="1" si="21"/>
        <v>0</v>
      </c>
      <c r="Q74" s="14">
        <f t="shared" ca="1" si="21"/>
        <v>0</v>
      </c>
      <c r="R74" s="14">
        <f t="shared" ca="1" si="21"/>
        <v>0</v>
      </c>
      <c r="S74" s="14">
        <f t="shared" ca="1" si="21"/>
        <v>0</v>
      </c>
      <c r="T74" s="14">
        <f t="shared" ca="1" si="21"/>
        <v>0</v>
      </c>
      <c r="U74" s="14">
        <f t="shared" ca="1" si="21"/>
        <v>0</v>
      </c>
      <c r="V74" s="14">
        <f t="shared" ca="1" si="21"/>
        <v>0</v>
      </c>
      <c r="W74" s="14">
        <f t="shared" ca="1" si="21"/>
        <v>0</v>
      </c>
      <c r="X74" s="14">
        <f t="shared" ca="1" si="21"/>
        <v>0</v>
      </c>
      <c r="Y74" s="14">
        <f t="shared" ca="1" si="21"/>
        <v>0</v>
      </c>
      <c r="Z74" s="14">
        <f t="shared" ca="1" si="21"/>
        <v>0</v>
      </c>
      <c r="AA74" s="14">
        <f t="shared" ca="1" si="21"/>
        <v>0</v>
      </c>
      <c r="AB74" s="14">
        <f t="shared" ca="1" si="21"/>
        <v>0</v>
      </c>
      <c r="AC74" s="14">
        <f t="shared" ca="1" si="21"/>
        <v>0</v>
      </c>
      <c r="AD74" s="14">
        <f t="shared" ca="1" si="21"/>
        <v>0</v>
      </c>
      <c r="AE74" s="14">
        <f t="shared" ca="1" si="21"/>
        <v>0</v>
      </c>
      <c r="AF74" s="14">
        <f t="shared" ca="1" si="21"/>
        <v>0</v>
      </c>
      <c r="AG74" s="14">
        <f t="shared" ca="1" si="21"/>
        <v>0</v>
      </c>
      <c r="AH74" s="14">
        <f t="shared" ca="1" si="21"/>
        <v>0</v>
      </c>
      <c r="AI74" s="14">
        <f t="shared" ca="1" si="21"/>
        <v>0</v>
      </c>
      <c r="AJ74" s="14">
        <f t="shared" ca="1" si="21"/>
        <v>0</v>
      </c>
      <c r="AK74" s="14">
        <f t="shared" ca="1" si="21"/>
        <v>0</v>
      </c>
      <c r="AL74" s="14">
        <f t="shared" ca="1" si="21"/>
        <v>0</v>
      </c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</row>
    <row r="75" spans="1:87" ht="21" customHeight="1" outlineLevel="1" thickBot="1" x14ac:dyDescent="0.4">
      <c r="A75" s="5">
        <f t="shared" si="19"/>
        <v>0</v>
      </c>
      <c r="B75" s="5">
        <f t="shared" si="19"/>
        <v>0</v>
      </c>
      <c r="C75" s="5">
        <f t="shared" si="19"/>
        <v>0</v>
      </c>
      <c r="D75" s="5">
        <f t="shared" si="19"/>
        <v>0</v>
      </c>
      <c r="E75" s="6">
        <f t="shared" si="19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</row>
    <row r="76" spans="1:87" ht="21" customHeight="1" outlineLevel="1" x14ac:dyDescent="0.35">
      <c r="A76" s="48"/>
      <c r="B76" s="48"/>
      <c r="C76" s="48"/>
      <c r="D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  <c r="AA76" s="48"/>
      <c r="AB76" s="48"/>
      <c r="AC76" s="48"/>
      <c r="AD76" s="48"/>
      <c r="AE76" s="48"/>
      <c r="AF76" s="48"/>
      <c r="AG76" s="48"/>
      <c r="AH76" s="48"/>
      <c r="AI76" s="48"/>
      <c r="AJ76" s="48"/>
      <c r="AK76" s="48"/>
      <c r="AL76" s="48"/>
    </row>
    <row r="77" spans="1:87" ht="21" customHeight="1" x14ac:dyDescent="0.35"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  <c r="AA77" s="48"/>
      <c r="AB77" s="48"/>
      <c r="AC77" s="48"/>
      <c r="AD77" s="48"/>
      <c r="AE77" s="48"/>
      <c r="AF77" s="48"/>
      <c r="AG77" s="48"/>
      <c r="AH77" s="48"/>
      <c r="AI77" s="48"/>
      <c r="AJ77" s="48"/>
      <c r="AK77" s="48"/>
      <c r="AL77" s="48"/>
    </row>
    <row r="78" spans="1:87" ht="21" customHeight="1" thickBot="1" x14ac:dyDescent="0.45">
      <c r="A78" s="79"/>
      <c r="B78" s="79"/>
      <c r="C78" s="80">
        <f>E41</f>
        <v>4.166666666666667</v>
      </c>
      <c r="D78" s="66"/>
      <c r="E78" s="65" t="s">
        <v>42</v>
      </c>
      <c r="F78" s="66"/>
      <c r="G78" s="66"/>
      <c r="H78" s="66"/>
      <c r="I78" s="66"/>
      <c r="J78" s="66"/>
      <c r="K78" s="66"/>
      <c r="L78" s="66"/>
      <c r="M78" s="66"/>
      <c r="N78" s="66"/>
      <c r="O78" s="66"/>
      <c r="P78" s="66"/>
      <c r="Q78" s="66"/>
      <c r="R78" s="66"/>
      <c r="S78" s="66"/>
      <c r="T78" s="66"/>
      <c r="U78" s="66"/>
      <c r="V78" s="66"/>
      <c r="W78" s="66"/>
      <c r="X78" s="66"/>
      <c r="Y78" s="66"/>
      <c r="Z78" s="66"/>
      <c r="AA78" s="66"/>
      <c r="AB78" s="66"/>
      <c r="AC78" s="66"/>
      <c r="AD78" s="66"/>
      <c r="AE78" s="66"/>
      <c r="AF78" s="66"/>
      <c r="AG78" s="66"/>
      <c r="AH78" s="66"/>
      <c r="AI78" s="66"/>
      <c r="AJ78" s="66"/>
      <c r="AK78" s="66"/>
      <c r="AL78" s="66"/>
      <c r="AM78" s="66"/>
      <c r="AN78" s="66"/>
      <c r="AO78" s="66"/>
      <c r="AP78" s="66"/>
      <c r="AQ78" s="66"/>
      <c r="AR78" s="66"/>
      <c r="AS78" s="66"/>
      <c r="AT78" s="66"/>
      <c r="AU78" s="66"/>
      <c r="AV78" s="66"/>
      <c r="AW78" s="66"/>
      <c r="AX78" s="66"/>
      <c r="AY78" s="66"/>
      <c r="AZ78" s="66"/>
      <c r="BA78" s="66"/>
      <c r="BB78" s="66"/>
      <c r="BC78" s="66"/>
      <c r="BD78" s="66"/>
      <c r="BE78" s="66"/>
      <c r="BF78" s="66"/>
      <c r="BG78" s="66"/>
      <c r="BH78" s="66"/>
      <c r="BI78" s="66"/>
      <c r="BJ78" s="66"/>
      <c r="BK78" s="66"/>
      <c r="BL78" s="66"/>
      <c r="BM78" s="66"/>
      <c r="BN78" s="66"/>
      <c r="BO78" s="66"/>
      <c r="BP78" s="66"/>
      <c r="BQ78" s="66"/>
      <c r="BR78" s="66"/>
      <c r="BS78" s="66"/>
      <c r="BT78" s="66"/>
      <c r="BU78" s="66"/>
      <c r="BV78" s="66"/>
      <c r="BW78" s="66"/>
      <c r="BX78" s="66"/>
      <c r="BY78" s="66"/>
      <c r="BZ78" s="66"/>
      <c r="CA78" s="66"/>
      <c r="CB78" s="66"/>
      <c r="CC78" s="66"/>
      <c r="CD78" s="66"/>
      <c r="CE78" s="66"/>
      <c r="CF78" s="66"/>
      <c r="CG78" s="66"/>
      <c r="CH78" s="66"/>
      <c r="CI78" s="66"/>
    </row>
    <row r="79" spans="1:87" ht="2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2">E45</f>
        <v>Temperature,К</v>
      </c>
      <c r="F79" s="3">
        <f t="shared" ref="F79:AL79" si="23">F3</f>
        <v>273.10000000000002</v>
      </c>
      <c r="G79" s="3">
        <f t="shared" si="23"/>
        <v>289.7</v>
      </c>
      <c r="H79" s="3">
        <f t="shared" si="23"/>
        <v>306.2</v>
      </c>
      <c r="I79" s="3">
        <f t="shared" si="23"/>
        <v>322.7</v>
      </c>
      <c r="J79" s="3">
        <f t="shared" si="23"/>
        <v>339.2</v>
      </c>
      <c r="K79" s="3">
        <f t="shared" si="23"/>
        <v>405.3</v>
      </c>
      <c r="L79" s="3">
        <f t="shared" si="23"/>
        <v>421.8</v>
      </c>
      <c r="M79" s="3">
        <f t="shared" si="23"/>
        <v>438.3</v>
      </c>
      <c r="N79" s="3">
        <f t="shared" si="23"/>
        <v>454.9</v>
      </c>
      <c r="O79" s="3">
        <f t="shared" si="23"/>
        <v>471.4</v>
      </c>
      <c r="P79" s="3">
        <f t="shared" si="23"/>
        <v>487.9</v>
      </c>
      <c r="Q79" s="3">
        <f t="shared" si="23"/>
        <v>504.4</v>
      </c>
      <c r="R79" s="3">
        <f t="shared" si="23"/>
        <v>520.9</v>
      </c>
      <c r="S79" s="3">
        <f t="shared" si="23"/>
        <v>537.5</v>
      </c>
      <c r="T79" s="3">
        <f t="shared" si="23"/>
        <v>554</v>
      </c>
      <c r="U79" s="3">
        <f t="shared" si="23"/>
        <v>570.5</v>
      </c>
      <c r="V79" s="3">
        <f t="shared" si="23"/>
        <v>587</v>
      </c>
      <c r="W79" s="3">
        <f t="shared" si="23"/>
        <v>603.5</v>
      </c>
      <c r="X79" s="3">
        <f t="shared" si="23"/>
        <v>620.1</v>
      </c>
      <c r="Y79" s="3">
        <f t="shared" si="23"/>
        <v>636.6</v>
      </c>
      <c r="Z79" s="3">
        <f t="shared" si="23"/>
        <v>653.1</v>
      </c>
      <c r="AA79" s="3">
        <f t="shared" si="23"/>
        <v>669.6</v>
      </c>
      <c r="AB79" s="3">
        <f t="shared" si="23"/>
        <v>735.7</v>
      </c>
      <c r="AC79" s="3">
        <f t="shared" si="23"/>
        <v>801.8</v>
      </c>
      <c r="AD79" s="3">
        <f t="shared" si="23"/>
        <v>867.8</v>
      </c>
      <c r="AE79" s="3">
        <f t="shared" si="23"/>
        <v>884.4</v>
      </c>
      <c r="AF79" s="3">
        <f t="shared" si="23"/>
        <v>900.9</v>
      </c>
      <c r="AG79" s="3">
        <f t="shared" si="23"/>
        <v>917.4</v>
      </c>
      <c r="AH79" s="3">
        <f t="shared" si="23"/>
        <v>933.9</v>
      </c>
      <c r="AI79" s="3">
        <f t="shared" si="23"/>
        <v>950.4</v>
      </c>
      <c r="AJ79" s="3">
        <f t="shared" si="23"/>
        <v>967</v>
      </c>
      <c r="AK79" s="3">
        <f t="shared" si="23"/>
        <v>983.5</v>
      </c>
      <c r="AL79" s="3">
        <f t="shared" si="23"/>
        <v>1000</v>
      </c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</row>
    <row r="80" spans="1:87" ht="21" customHeight="1" outlineLevel="1" thickTop="1" thickBot="1" x14ac:dyDescent="0.4">
      <c r="A80" s="5">
        <f>A46</f>
        <v>0</v>
      </c>
      <c r="B80" s="5">
        <f t="shared" ref="B80:D80" si="24">B46</f>
        <v>1</v>
      </c>
      <c r="C80" s="5">
        <f t="shared" si="24"/>
        <v>0</v>
      </c>
      <c r="D80" s="5">
        <f t="shared" si="24"/>
        <v>0</v>
      </c>
      <c r="E80" s="6" t="str">
        <f t="shared" si="22"/>
        <v>*Se[M]</v>
      </c>
      <c r="F80" s="14">
        <f t="shared" ref="F80:AL80" si="25">F4*$C$78</f>
        <v>0</v>
      </c>
      <c r="G80" s="14">
        <f t="shared" si="25"/>
        <v>5.1383333333333341E-32</v>
      </c>
      <c r="H80" s="14">
        <f t="shared" si="25"/>
        <v>1.1170416666666668E-22</v>
      </c>
      <c r="I80" s="14">
        <f t="shared" si="25"/>
        <v>5.4404166666666673E-19</v>
      </c>
      <c r="J80" s="14">
        <f t="shared" si="25"/>
        <v>2.063666666666667E-17</v>
      </c>
      <c r="K80" s="14">
        <f t="shared" si="25"/>
        <v>2.6988749999999999E-15</v>
      </c>
      <c r="L80" s="14">
        <f t="shared" si="25"/>
        <v>2.2968750000000003E-14</v>
      </c>
      <c r="M80" s="14">
        <f t="shared" si="25"/>
        <v>8.7791666666666672E-13</v>
      </c>
      <c r="N80" s="14">
        <f t="shared" si="25"/>
        <v>1.3945833333333336E-10</v>
      </c>
      <c r="O80" s="14">
        <f t="shared" si="25"/>
        <v>7.3362500000000006E-9</v>
      </c>
      <c r="P80" s="14">
        <f t="shared" si="25"/>
        <v>2.271541666666667E-8</v>
      </c>
      <c r="Q80" s="14">
        <f t="shared" si="25"/>
        <v>3.3713750000000006E-8</v>
      </c>
      <c r="R80" s="14">
        <f t="shared" si="25"/>
        <v>4.2866666666666667E-8</v>
      </c>
      <c r="S80" s="14">
        <f t="shared" si="25"/>
        <v>6.8937500000000004E-8</v>
      </c>
      <c r="T80" s="14">
        <f t="shared" si="25"/>
        <v>7.7866666666666676E-8</v>
      </c>
      <c r="U80" s="14">
        <f t="shared" si="25"/>
        <v>6.7845833333333339E-8</v>
      </c>
      <c r="V80" s="14">
        <f t="shared" si="25"/>
        <v>5.1091666666666669E-8</v>
      </c>
      <c r="W80" s="14">
        <f t="shared" si="25"/>
        <v>6.402083333333333E-8</v>
      </c>
      <c r="X80" s="14">
        <f t="shared" si="25"/>
        <v>7.3766666666666672E-8</v>
      </c>
      <c r="Y80" s="14">
        <f t="shared" si="25"/>
        <v>7.8712500000000011E-8</v>
      </c>
      <c r="Z80" s="14">
        <f t="shared" si="25"/>
        <v>8.0270833333333347E-8</v>
      </c>
      <c r="AA80" s="14">
        <f t="shared" si="25"/>
        <v>8.0266666666666671E-8</v>
      </c>
      <c r="AB80" s="14">
        <f t="shared" si="25"/>
        <v>8.1366666666666674E-8</v>
      </c>
      <c r="AC80" s="14">
        <f t="shared" si="25"/>
        <v>6.1883333333333342E-8</v>
      </c>
      <c r="AD80" s="14">
        <f t="shared" si="25"/>
        <v>7.6858333333333328E-8</v>
      </c>
      <c r="AE80" s="14">
        <f t="shared" si="25"/>
        <v>1.0007916666666668E-7</v>
      </c>
      <c r="AF80" s="14">
        <f t="shared" si="25"/>
        <v>1.193875E-7</v>
      </c>
      <c r="AG80" s="14">
        <f t="shared" si="25"/>
        <v>7.98E-8</v>
      </c>
      <c r="AH80" s="14">
        <f t="shared" si="25"/>
        <v>8.6758333333333331E-8</v>
      </c>
      <c r="AI80" s="14">
        <f t="shared" si="25"/>
        <v>9.2170833333333341E-8</v>
      </c>
      <c r="AJ80" s="14">
        <f t="shared" si="25"/>
        <v>9.6354166666666675E-8</v>
      </c>
      <c r="AK80" s="14">
        <f t="shared" si="25"/>
        <v>9.8916666666666669E-8</v>
      </c>
      <c r="AL80" s="14">
        <f t="shared" si="25"/>
        <v>1.0025416666666668E-7</v>
      </c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</row>
    <row r="81" spans="1:71" ht="21" customHeight="1" outlineLevel="1" thickBot="1" x14ac:dyDescent="0.4">
      <c r="A81" s="5">
        <f t="shared" ref="A81:D96" si="26">A47</f>
        <v>0</v>
      </c>
      <c r="B81" s="5">
        <f t="shared" si="26"/>
        <v>1</v>
      </c>
      <c r="C81" s="5">
        <f t="shared" si="26"/>
        <v>1</v>
      </c>
      <c r="D81" s="5">
        <f t="shared" si="26"/>
        <v>0</v>
      </c>
      <c r="E81" s="6" t="str">
        <f t="shared" si="22"/>
        <v>*GeSe</v>
      </c>
      <c r="F81" s="14">
        <f t="shared" ref="F81:AL81" si="27">F5*$C$78</f>
        <v>2.1010833333333334E-10</v>
      </c>
      <c r="G81" s="14">
        <f t="shared" si="27"/>
        <v>1.4961249999999999E-9</v>
      </c>
      <c r="H81" s="14">
        <f t="shared" si="27"/>
        <v>2.0829583333333337E-8</v>
      </c>
      <c r="I81" s="14">
        <f t="shared" si="27"/>
        <v>4.740416666666667E-8</v>
      </c>
      <c r="J81" s="14">
        <f t="shared" si="27"/>
        <v>6.4516666666666679E-8</v>
      </c>
      <c r="K81" s="14">
        <f t="shared" si="27"/>
        <v>1.1085833333333334E-7</v>
      </c>
      <c r="L81" s="14">
        <f t="shared" si="27"/>
        <v>9.730416666666668E-8</v>
      </c>
      <c r="M81" s="14">
        <f t="shared" si="27"/>
        <v>6.5295833333333333E-8</v>
      </c>
      <c r="N81" s="14">
        <f t="shared" si="27"/>
        <v>2.9454583333333336E-8</v>
      </c>
      <c r="O81" s="14">
        <f t="shared" si="27"/>
        <v>2.0219166666666671E-9</v>
      </c>
      <c r="P81" s="14">
        <f t="shared" si="27"/>
        <v>1.025125E-12</v>
      </c>
      <c r="Q81" s="14">
        <f t="shared" si="27"/>
        <v>5.7891666666666673E-18</v>
      </c>
      <c r="R81" s="14">
        <f t="shared" si="27"/>
        <v>9.3820833333333341E-25</v>
      </c>
      <c r="S81" s="14">
        <f t="shared" si="27"/>
        <v>6.3645833333333338E-32</v>
      </c>
      <c r="T81" s="14">
        <f t="shared" si="27"/>
        <v>0</v>
      </c>
      <c r="U81" s="14">
        <f t="shared" si="27"/>
        <v>0</v>
      </c>
      <c r="V81" s="14">
        <f t="shared" si="27"/>
        <v>0</v>
      </c>
      <c r="W81" s="14">
        <f t="shared" si="27"/>
        <v>0</v>
      </c>
      <c r="X81" s="14">
        <f t="shared" si="27"/>
        <v>0</v>
      </c>
      <c r="Y81" s="14">
        <f t="shared" si="27"/>
        <v>0</v>
      </c>
      <c r="Z81" s="14">
        <f t="shared" si="27"/>
        <v>0</v>
      </c>
      <c r="AA81" s="14">
        <f t="shared" si="27"/>
        <v>0</v>
      </c>
      <c r="AB81" s="14">
        <f t="shared" si="27"/>
        <v>0</v>
      </c>
      <c r="AC81" s="14">
        <f t="shared" si="27"/>
        <v>0</v>
      </c>
      <c r="AD81" s="14">
        <f t="shared" si="27"/>
        <v>0</v>
      </c>
      <c r="AE81" s="14">
        <f t="shared" si="27"/>
        <v>0</v>
      </c>
      <c r="AF81" s="14">
        <f t="shared" si="27"/>
        <v>0</v>
      </c>
      <c r="AG81" s="14">
        <f t="shared" si="27"/>
        <v>0</v>
      </c>
      <c r="AH81" s="14">
        <f t="shared" si="27"/>
        <v>0</v>
      </c>
      <c r="AI81" s="14">
        <f t="shared" si="27"/>
        <v>0</v>
      </c>
      <c r="AJ81" s="14">
        <f t="shared" si="27"/>
        <v>0</v>
      </c>
      <c r="AK81" s="14">
        <f t="shared" si="27"/>
        <v>0</v>
      </c>
      <c r="AL81" s="14">
        <f t="shared" si="27"/>
        <v>0</v>
      </c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</row>
    <row r="82" spans="1:71" ht="21" customHeight="1" outlineLevel="1" thickBot="1" x14ac:dyDescent="0.4">
      <c r="A82" s="5">
        <f t="shared" si="26"/>
        <v>1</v>
      </c>
      <c r="B82" s="5">
        <f t="shared" si="26"/>
        <v>0</v>
      </c>
      <c r="C82" s="5">
        <f t="shared" si="26"/>
        <v>0</v>
      </c>
      <c r="D82" s="5">
        <f t="shared" si="26"/>
        <v>0</v>
      </c>
      <c r="E82" s="6" t="str">
        <f t="shared" si="22"/>
        <v>Ar</v>
      </c>
      <c r="F82" s="14">
        <f t="shared" ref="F82:AL82" si="28">F6*$C$78</f>
        <v>0.83333333333333348</v>
      </c>
      <c r="G82" s="14">
        <f t="shared" si="28"/>
        <v>0.83333333333333348</v>
      </c>
      <c r="H82" s="14">
        <f t="shared" si="28"/>
        <v>0.83333333333333348</v>
      </c>
      <c r="I82" s="14">
        <f t="shared" si="28"/>
        <v>0.83333333333333348</v>
      </c>
      <c r="J82" s="14">
        <f t="shared" si="28"/>
        <v>0.83333333333333348</v>
      </c>
      <c r="K82" s="14">
        <f t="shared" si="28"/>
        <v>0.83333333333333348</v>
      </c>
      <c r="L82" s="14">
        <f t="shared" si="28"/>
        <v>0.83333333333333348</v>
      </c>
      <c r="M82" s="14">
        <f t="shared" si="28"/>
        <v>0.83333333333333348</v>
      </c>
      <c r="N82" s="14">
        <f t="shared" si="28"/>
        <v>0.83333333333333348</v>
      </c>
      <c r="O82" s="14">
        <f t="shared" si="28"/>
        <v>0.83333333333333348</v>
      </c>
      <c r="P82" s="14">
        <f t="shared" si="28"/>
        <v>0.83333333333333348</v>
      </c>
      <c r="Q82" s="14">
        <f t="shared" si="28"/>
        <v>0.83333333333333348</v>
      </c>
      <c r="R82" s="14">
        <f t="shared" si="28"/>
        <v>0.83333333333333348</v>
      </c>
      <c r="S82" s="14">
        <f t="shared" si="28"/>
        <v>0.83333333333333348</v>
      </c>
      <c r="T82" s="14">
        <f t="shared" si="28"/>
        <v>0.83333333333333348</v>
      </c>
      <c r="U82" s="14">
        <f t="shared" si="28"/>
        <v>0.83333333333333348</v>
      </c>
      <c r="V82" s="14">
        <f t="shared" si="28"/>
        <v>0.83333333333333348</v>
      </c>
      <c r="W82" s="14">
        <f t="shared" si="28"/>
        <v>0.83333333333333348</v>
      </c>
      <c r="X82" s="14">
        <f t="shared" si="28"/>
        <v>0.83333333333333348</v>
      </c>
      <c r="Y82" s="14">
        <f t="shared" si="28"/>
        <v>0.83333333333333348</v>
      </c>
      <c r="Z82" s="14">
        <f t="shared" si="28"/>
        <v>0.83333333333333348</v>
      </c>
      <c r="AA82" s="14">
        <f t="shared" si="28"/>
        <v>0.83333333333333348</v>
      </c>
      <c r="AB82" s="14">
        <f t="shared" si="28"/>
        <v>0.83333333333333348</v>
      </c>
      <c r="AC82" s="14">
        <f t="shared" si="28"/>
        <v>0.83333333333333348</v>
      </c>
      <c r="AD82" s="14">
        <f t="shared" si="28"/>
        <v>0.83333333333333348</v>
      </c>
      <c r="AE82" s="14">
        <f t="shared" si="28"/>
        <v>0.83333333333333348</v>
      </c>
      <c r="AF82" s="14">
        <f t="shared" si="28"/>
        <v>0.83333333333333348</v>
      </c>
      <c r="AG82" s="14">
        <f t="shared" si="28"/>
        <v>0.83333333333333348</v>
      </c>
      <c r="AH82" s="14">
        <f t="shared" si="28"/>
        <v>0.83333333333333348</v>
      </c>
      <c r="AI82" s="14">
        <f t="shared" si="28"/>
        <v>0.83333333333333348</v>
      </c>
      <c r="AJ82" s="14">
        <f t="shared" si="28"/>
        <v>0.83333333333333348</v>
      </c>
      <c r="AK82" s="14">
        <f t="shared" si="28"/>
        <v>0.83333333333333348</v>
      </c>
      <c r="AL82" s="14">
        <f t="shared" si="28"/>
        <v>0.83333333333333348</v>
      </c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  <c r="BJ82" s="14"/>
      <c r="BK82" s="14"/>
      <c r="BL82" s="14"/>
      <c r="BM82" s="14"/>
      <c r="BN82" s="14"/>
      <c r="BO82" s="14"/>
      <c r="BP82" s="14"/>
      <c r="BQ82" s="14"/>
      <c r="BR82" s="14"/>
      <c r="BS82" s="14"/>
    </row>
    <row r="83" spans="1:71" ht="21" customHeight="1" outlineLevel="1" thickBot="1" x14ac:dyDescent="0.4">
      <c r="A83" s="5">
        <f t="shared" si="26"/>
        <v>0</v>
      </c>
      <c r="B83" s="5">
        <f t="shared" si="26"/>
        <v>2</v>
      </c>
      <c r="C83" s="5">
        <f t="shared" si="26"/>
        <v>1</v>
      </c>
      <c r="D83" s="5">
        <f t="shared" si="26"/>
        <v>0</v>
      </c>
      <c r="E83" s="6" t="str">
        <f t="shared" si="22"/>
        <v>(DGeSe2</v>
      </c>
      <c r="F83" s="14">
        <f t="shared" ref="F83:AL83" si="29">F7*$C$78</f>
        <v>0.49050000000000005</v>
      </c>
      <c r="G83" s="14">
        <f t="shared" si="29"/>
        <v>0.46775000000000005</v>
      </c>
      <c r="H83" s="14">
        <f t="shared" si="29"/>
        <v>0.41190416666666668</v>
      </c>
      <c r="I83" s="14">
        <f t="shared" si="29"/>
        <v>0.31455416666666669</v>
      </c>
      <c r="J83" s="14">
        <f t="shared" si="29"/>
        <v>0.1995166666666667</v>
      </c>
      <c r="K83" s="14">
        <f t="shared" si="29"/>
        <v>1.1693750000000001E-2</v>
      </c>
      <c r="L83" s="14">
        <f t="shared" si="29"/>
        <v>5.7483333333333336E-3</v>
      </c>
      <c r="M83" s="14">
        <f t="shared" si="29"/>
        <v>2.9233750000000002E-3</v>
      </c>
      <c r="N83" s="14">
        <f t="shared" si="29"/>
        <v>1.5220416666666668E-3</v>
      </c>
      <c r="O83" s="14">
        <f t="shared" si="29"/>
        <v>7.8695833333333341E-4</v>
      </c>
      <c r="P83" s="14">
        <f t="shared" si="29"/>
        <v>3.8651666666666669E-4</v>
      </c>
      <c r="Q83" s="14">
        <f t="shared" si="29"/>
        <v>1.7349166666666668E-4</v>
      </c>
      <c r="R83" s="14">
        <f t="shared" si="29"/>
        <v>7.030416666666667E-5</v>
      </c>
      <c r="S83" s="14">
        <f t="shared" si="29"/>
        <v>2.6242916666666669E-5</v>
      </c>
      <c r="T83" s="14">
        <f t="shared" si="29"/>
        <v>9.3641666666666675E-6</v>
      </c>
      <c r="U83" s="14">
        <f t="shared" si="29"/>
        <v>3.3054166666666669E-6</v>
      </c>
      <c r="V83" s="14">
        <f t="shared" si="29"/>
        <v>1.180625E-6</v>
      </c>
      <c r="W83" s="14">
        <f t="shared" si="29"/>
        <v>4.3187500000000005E-7</v>
      </c>
      <c r="X83" s="14">
        <f t="shared" si="29"/>
        <v>1.6264166666666667E-7</v>
      </c>
      <c r="Y83" s="14">
        <f t="shared" si="29"/>
        <v>6.3154166666666682E-8</v>
      </c>
      <c r="Z83" s="14">
        <f t="shared" si="29"/>
        <v>2.5277916666666671E-8</v>
      </c>
      <c r="AA83" s="14">
        <f t="shared" si="29"/>
        <v>1.0419166666666667E-8</v>
      </c>
      <c r="AB83" s="14">
        <f t="shared" si="29"/>
        <v>3.9238333333333334E-10</v>
      </c>
      <c r="AC83" s="14">
        <f t="shared" si="29"/>
        <v>2.1605833333333335E-11</v>
      </c>
      <c r="AD83" s="14">
        <f t="shared" si="29"/>
        <v>1.6735833333333333E-12</v>
      </c>
      <c r="AE83" s="14">
        <f t="shared" si="29"/>
        <v>9.1212500000000001E-13</v>
      </c>
      <c r="AF83" s="14">
        <f t="shared" si="29"/>
        <v>5.0145833333333345E-13</v>
      </c>
      <c r="AG83" s="14">
        <f t="shared" si="29"/>
        <v>2.7815000000000003E-13</v>
      </c>
      <c r="AH83" s="14">
        <f t="shared" si="29"/>
        <v>1.5577500000000001E-13</v>
      </c>
      <c r="AI83" s="14">
        <f t="shared" si="29"/>
        <v>8.8108333333333346E-14</v>
      </c>
      <c r="AJ83" s="14">
        <f t="shared" si="29"/>
        <v>5.0341666666666673E-14</v>
      </c>
      <c r="AK83" s="14">
        <f t="shared" si="29"/>
        <v>2.9048750000000004E-14</v>
      </c>
      <c r="AL83" s="14">
        <f t="shared" si="29"/>
        <v>1.6925833333333333E-14</v>
      </c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  <c r="BJ83" s="14"/>
      <c r="BK83" s="14"/>
      <c r="BL83" s="14"/>
      <c r="BM83" s="14"/>
      <c r="BN83" s="14"/>
      <c r="BO83" s="14"/>
      <c r="BP83" s="14"/>
      <c r="BQ83" s="14"/>
      <c r="BR83" s="14"/>
      <c r="BS83" s="14"/>
    </row>
    <row r="84" spans="1:71" ht="21" customHeight="1" outlineLevel="1" thickBot="1" x14ac:dyDescent="0.4">
      <c r="A84" s="5">
        <f t="shared" si="26"/>
        <v>0</v>
      </c>
      <c r="B84" s="5">
        <f t="shared" si="26"/>
        <v>1</v>
      </c>
      <c r="C84" s="5">
        <f t="shared" si="26"/>
        <v>1</v>
      </c>
      <c r="D84" s="5">
        <f t="shared" si="26"/>
        <v>0</v>
      </c>
      <c r="E84" s="6" t="str">
        <f t="shared" si="22"/>
        <v>(DGeSe</v>
      </c>
      <c r="F84" s="14">
        <f t="shared" ref="F84:AL84" si="30">F8*$C$78</f>
        <v>0.50950000000000006</v>
      </c>
      <c r="G84" s="14">
        <f t="shared" si="30"/>
        <v>0.53225</v>
      </c>
      <c r="H84" s="14">
        <f t="shared" si="30"/>
        <v>0.58808333333333329</v>
      </c>
      <c r="I84" s="14">
        <f t="shared" si="30"/>
        <v>0.68541666666666679</v>
      </c>
      <c r="J84" s="14">
        <f t="shared" si="30"/>
        <v>0.80037500000000006</v>
      </c>
      <c r="K84" s="14">
        <f t="shared" si="30"/>
        <v>0.97795833333333337</v>
      </c>
      <c r="L84" s="14">
        <f t="shared" si="30"/>
        <v>0.96687500000000004</v>
      </c>
      <c r="M84" s="14">
        <f t="shared" si="30"/>
        <v>0.9321666666666667</v>
      </c>
      <c r="N84" s="14">
        <f t="shared" si="30"/>
        <v>0.86254166666666676</v>
      </c>
      <c r="O84" s="14">
        <f t="shared" si="30"/>
        <v>0.7503333333333333</v>
      </c>
      <c r="P84" s="14">
        <f t="shared" si="30"/>
        <v>0.60033333333333339</v>
      </c>
      <c r="Q84" s="14">
        <f t="shared" si="30"/>
        <v>0.43441666666666673</v>
      </c>
      <c r="R84" s="14">
        <f t="shared" si="30"/>
        <v>0.28425000000000006</v>
      </c>
      <c r="S84" s="14">
        <f t="shared" si="30"/>
        <v>0.17168333333333333</v>
      </c>
      <c r="T84" s="14">
        <f t="shared" si="30"/>
        <v>9.882500000000001E-2</v>
      </c>
      <c r="U84" s="14">
        <f t="shared" si="30"/>
        <v>5.5791666666666677E-2</v>
      </c>
      <c r="V84" s="14">
        <f t="shared" si="30"/>
        <v>3.1487500000000002E-2</v>
      </c>
      <c r="W84" s="14">
        <f t="shared" si="30"/>
        <v>1.7953750000000001E-2</v>
      </c>
      <c r="X84" s="14">
        <f t="shared" si="30"/>
        <v>1.0393333333333334E-2</v>
      </c>
      <c r="Y84" s="14">
        <f t="shared" si="30"/>
        <v>6.1200000000000004E-3</v>
      </c>
      <c r="Z84" s="14">
        <f t="shared" si="30"/>
        <v>3.6670833333333334E-3</v>
      </c>
      <c r="AA84" s="14">
        <f t="shared" si="30"/>
        <v>2.235166666666667E-3</v>
      </c>
      <c r="AB84" s="14">
        <f t="shared" si="30"/>
        <v>3.6070833333333338E-4</v>
      </c>
      <c r="AC84" s="14">
        <f t="shared" si="30"/>
        <v>7.2675000000000005E-5</v>
      </c>
      <c r="AD84" s="14">
        <f t="shared" si="30"/>
        <v>1.7807916666666666E-5</v>
      </c>
      <c r="AE84" s="14">
        <f t="shared" si="30"/>
        <v>1.2776250000000002E-5</v>
      </c>
      <c r="AF84" s="14">
        <f t="shared" si="30"/>
        <v>9.2162500000000001E-6</v>
      </c>
      <c r="AG84" s="14">
        <f t="shared" si="30"/>
        <v>6.6858333333333338E-6</v>
      </c>
      <c r="AH84" s="14">
        <f t="shared" si="30"/>
        <v>4.8783333333333338E-6</v>
      </c>
      <c r="AI84" s="14">
        <f t="shared" si="30"/>
        <v>3.5807083333333336E-6</v>
      </c>
      <c r="AJ84" s="14">
        <f t="shared" si="30"/>
        <v>2.6439166666666665E-6</v>
      </c>
      <c r="AK84" s="14">
        <f t="shared" si="30"/>
        <v>1.9637083333333333E-6</v>
      </c>
      <c r="AL84" s="14">
        <f t="shared" si="30"/>
        <v>1.4667916666666667E-6</v>
      </c>
      <c r="AM84" s="14"/>
      <c r="AN84" s="14"/>
      <c r="AO84" s="14"/>
      <c r="AP84" s="14"/>
      <c r="AQ84" s="14"/>
      <c r="AR84" s="14"/>
      <c r="AS84" s="14"/>
      <c r="AT84" s="14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4"/>
      <c r="BF84" s="14"/>
      <c r="BG84" s="14"/>
      <c r="BH84" s="14"/>
      <c r="BI84" s="14"/>
      <c r="BJ84" s="14"/>
      <c r="BK84" s="14"/>
      <c r="BL84" s="14"/>
      <c r="BM84" s="14"/>
      <c r="BN84" s="14"/>
      <c r="BO84" s="14"/>
      <c r="BP84" s="14"/>
      <c r="BQ84" s="14"/>
      <c r="BR84" s="14"/>
      <c r="BS84" s="14"/>
    </row>
    <row r="85" spans="1:71" ht="21" customHeight="1" outlineLevel="1" thickBot="1" x14ac:dyDescent="0.4">
      <c r="A85" s="5">
        <f t="shared" si="26"/>
        <v>0</v>
      </c>
      <c r="B85" s="5">
        <f t="shared" si="26"/>
        <v>1</v>
      </c>
      <c r="C85" s="5">
        <f t="shared" si="26"/>
        <v>0</v>
      </c>
      <c r="D85" s="5">
        <f t="shared" si="26"/>
        <v>2</v>
      </c>
      <c r="E85" s="6" t="str">
        <f t="shared" si="22"/>
        <v>(DGa2Sej</v>
      </c>
      <c r="F85" s="14">
        <f t="shared" ref="F85:AL85" si="31">F9*$C$78</f>
        <v>0.16666250000000002</v>
      </c>
      <c r="G85" s="14">
        <f t="shared" si="31"/>
        <v>0.16665416666666666</v>
      </c>
      <c r="H85" s="14">
        <f t="shared" si="31"/>
        <v>0.16664583333333335</v>
      </c>
      <c r="I85" s="14">
        <f t="shared" si="31"/>
        <v>0.166625</v>
      </c>
      <c r="J85" s="14">
        <f t="shared" si="31"/>
        <v>0.166575</v>
      </c>
      <c r="K85" s="14">
        <f t="shared" si="31"/>
        <v>0.16493333333333335</v>
      </c>
      <c r="L85" s="14">
        <f t="shared" si="31"/>
        <v>0.16342500000000001</v>
      </c>
      <c r="M85" s="14">
        <f t="shared" si="31"/>
        <v>0.16088750000000002</v>
      </c>
      <c r="N85" s="14">
        <f t="shared" si="31"/>
        <v>0.15682916666666669</v>
      </c>
      <c r="O85" s="14">
        <f t="shared" si="31"/>
        <v>0.15057916666666668</v>
      </c>
      <c r="P85" s="14">
        <f t="shared" si="31"/>
        <v>0.14124583333333335</v>
      </c>
      <c r="Q85" s="14">
        <f t="shared" si="31"/>
        <v>0.12785000000000002</v>
      </c>
      <c r="R85" s="14">
        <f t="shared" si="31"/>
        <v>0.10984166666666667</v>
      </c>
      <c r="S85" s="14">
        <f t="shared" si="31"/>
        <v>8.7845833333333345E-2</v>
      </c>
      <c r="T85" s="14">
        <f t="shared" si="31"/>
        <v>6.4195833333333341E-2</v>
      </c>
      <c r="U85" s="14">
        <f t="shared" si="31"/>
        <v>4.2454166666666668E-2</v>
      </c>
      <c r="V85" s="14">
        <f t="shared" si="31"/>
        <v>2.5626250000000003E-2</v>
      </c>
      <c r="W85" s="14">
        <f t="shared" si="31"/>
        <v>1.4488333333333336E-2</v>
      </c>
      <c r="X85" s="14">
        <f t="shared" si="31"/>
        <v>7.9145833333333342E-3</v>
      </c>
      <c r="Y85" s="14">
        <f t="shared" si="31"/>
        <v>4.2812500000000003E-3</v>
      </c>
      <c r="Z85" s="14">
        <f t="shared" si="31"/>
        <v>2.3276666666666667E-3</v>
      </c>
      <c r="AA85" s="14">
        <f t="shared" si="31"/>
        <v>1.2817500000000001E-3</v>
      </c>
      <c r="AB85" s="14">
        <f t="shared" si="31"/>
        <v>1.3715833333333334E-4</v>
      </c>
      <c r="AC85" s="14">
        <f t="shared" si="31"/>
        <v>1.4116666666666668E-5</v>
      </c>
      <c r="AD85" s="14">
        <f t="shared" si="31"/>
        <v>3.4583750000000002E-7</v>
      </c>
      <c r="AE85" s="14">
        <f t="shared" si="31"/>
        <v>9.8729166666666681E-8</v>
      </c>
      <c r="AF85" s="14">
        <f t="shared" si="31"/>
        <v>2.6227083333333333E-8</v>
      </c>
      <c r="AG85" s="14">
        <f t="shared" si="31"/>
        <v>6.7237500000000001E-9</v>
      </c>
      <c r="AH85" s="14">
        <f t="shared" si="31"/>
        <v>1.7084166666666667E-9</v>
      </c>
      <c r="AI85" s="14">
        <f t="shared" si="31"/>
        <v>4.3762500000000003E-10</v>
      </c>
      <c r="AJ85" s="14">
        <f t="shared" si="31"/>
        <v>1.1412500000000001E-10</v>
      </c>
      <c r="AK85" s="14">
        <f t="shared" si="31"/>
        <v>3.0463749999999997E-11</v>
      </c>
      <c r="AL85" s="14">
        <f t="shared" si="31"/>
        <v>8.3441666666666667E-12</v>
      </c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  <c r="BH85" s="14"/>
      <c r="BI85" s="14"/>
      <c r="BJ85" s="14"/>
      <c r="BK85" s="14"/>
      <c r="BL85" s="14"/>
      <c r="BM85" s="14"/>
      <c r="BN85" s="14"/>
      <c r="BO85" s="14"/>
      <c r="BP85" s="14"/>
      <c r="BQ85" s="14"/>
      <c r="BR85" s="14"/>
      <c r="BS85" s="14"/>
    </row>
    <row r="86" spans="1:71" ht="21" customHeight="1" outlineLevel="1" thickBot="1" x14ac:dyDescent="0.4">
      <c r="A86" s="5">
        <f t="shared" si="26"/>
        <v>0</v>
      </c>
      <c r="B86" s="5">
        <f t="shared" si="26"/>
        <v>1</v>
      </c>
      <c r="C86" s="5">
        <f t="shared" si="26"/>
        <v>0</v>
      </c>
      <c r="D86" s="5">
        <f t="shared" si="26"/>
        <v>1</v>
      </c>
      <c r="E86" s="6" t="str">
        <f t="shared" si="22"/>
        <v>(DGaSe</v>
      </c>
      <c r="F86" s="14">
        <f t="shared" ref="F86:AL86" si="32">F10*$C$78</f>
        <v>1.1267916666666668E-5</v>
      </c>
      <c r="G86" s="14">
        <f t="shared" si="32"/>
        <v>2.1422916666666668E-5</v>
      </c>
      <c r="H86" s="14">
        <f t="shared" si="32"/>
        <v>4.1469166666666673E-5</v>
      </c>
      <c r="I86" s="14">
        <f t="shared" si="32"/>
        <v>8.5166666666666672E-5</v>
      </c>
      <c r="J86" s="14">
        <f t="shared" si="32"/>
        <v>1.8417500000000002E-4</v>
      </c>
      <c r="K86" s="14">
        <f t="shared" si="32"/>
        <v>3.4665833333333332E-3</v>
      </c>
      <c r="L86" s="14">
        <f t="shared" si="32"/>
        <v>6.4820833333333336E-3</v>
      </c>
      <c r="M86" s="14">
        <f t="shared" si="32"/>
        <v>1.1555833333333335E-2</v>
      </c>
      <c r="N86" s="14">
        <f t="shared" si="32"/>
        <v>1.9675000000000002E-2</v>
      </c>
      <c r="O86" s="14">
        <f t="shared" si="32"/>
        <v>3.2173750000000001E-2</v>
      </c>
      <c r="P86" s="14">
        <f t="shared" si="32"/>
        <v>5.0841666666666667E-2</v>
      </c>
      <c r="Q86" s="14">
        <f t="shared" si="32"/>
        <v>7.7633333333333332E-2</v>
      </c>
      <c r="R86" s="14">
        <f t="shared" si="32"/>
        <v>0.11365416666666667</v>
      </c>
      <c r="S86" s="14">
        <f t="shared" si="32"/>
        <v>0.15764166666666668</v>
      </c>
      <c r="T86" s="14">
        <f t="shared" si="32"/>
        <v>0.20494166666666669</v>
      </c>
      <c r="U86" s="14">
        <f t="shared" si="32"/>
        <v>0.24842083333333334</v>
      </c>
      <c r="V86" s="14">
        <f t="shared" si="32"/>
        <v>0.28207916666666666</v>
      </c>
      <c r="W86" s="14">
        <f t="shared" si="32"/>
        <v>0.3043541666666667</v>
      </c>
      <c r="X86" s="14">
        <f t="shared" si="32"/>
        <v>0.31749583333333337</v>
      </c>
      <c r="Y86" s="14">
        <f t="shared" si="32"/>
        <v>0.32474999999999998</v>
      </c>
      <c r="Z86" s="14">
        <f t="shared" si="32"/>
        <v>0.328625</v>
      </c>
      <c r="AA86" s="14">
        <f t="shared" si="32"/>
        <v>0.33063750000000003</v>
      </c>
      <c r="AB86" s="14">
        <f t="shared" si="32"/>
        <v>0.32950833333333335</v>
      </c>
      <c r="AC86" s="14">
        <f t="shared" si="32"/>
        <v>0.28154999999999997</v>
      </c>
      <c r="AD86" s="14">
        <f t="shared" si="32"/>
        <v>0.10609583333333333</v>
      </c>
      <c r="AE86" s="14">
        <f t="shared" si="32"/>
        <v>6.962083333333334E-2</v>
      </c>
      <c r="AF86" s="14">
        <f t="shared" si="32"/>
        <v>4.3829166666666669E-2</v>
      </c>
      <c r="AG86" s="14">
        <f t="shared" si="32"/>
        <v>2.6966250000000001E-2</v>
      </c>
      <c r="AH86" s="14">
        <f t="shared" si="32"/>
        <v>1.6437500000000001E-2</v>
      </c>
      <c r="AI86" s="14">
        <f t="shared" si="32"/>
        <v>1.0014583333333334E-2</v>
      </c>
      <c r="AJ86" s="14">
        <f t="shared" si="32"/>
        <v>6.1308333333333345E-3</v>
      </c>
      <c r="AK86" s="14">
        <f t="shared" si="32"/>
        <v>3.7818750000000001E-3</v>
      </c>
      <c r="AL86" s="14">
        <f t="shared" si="32"/>
        <v>2.3542916666666669E-3</v>
      </c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14"/>
      <c r="BK86" s="14"/>
      <c r="BL86" s="14"/>
      <c r="BM86" s="14"/>
      <c r="BN86" s="14"/>
      <c r="BO86" s="14"/>
      <c r="BP86" s="14"/>
      <c r="BQ86" s="14"/>
      <c r="BR86" s="14"/>
      <c r="BS86" s="14"/>
    </row>
    <row r="87" spans="1:71" ht="21" customHeight="1" outlineLevel="1" thickBot="1" x14ac:dyDescent="0.4">
      <c r="A87" s="5">
        <f t="shared" si="26"/>
        <v>0</v>
      </c>
      <c r="B87" s="5">
        <f t="shared" si="26"/>
        <v>0</v>
      </c>
      <c r="C87" s="5">
        <f t="shared" si="26"/>
        <v>1</v>
      </c>
      <c r="D87" s="5">
        <f t="shared" si="26"/>
        <v>0</v>
      </c>
      <c r="E87" s="6" t="str">
        <f t="shared" si="22"/>
        <v>(DGe</v>
      </c>
      <c r="F87" s="14">
        <f t="shared" ref="F87:AL87" si="33">F11*$C$78</f>
        <v>1.8989166666666666E-6</v>
      </c>
      <c r="G87" s="14">
        <f t="shared" si="33"/>
        <v>4.0809166666666669E-6</v>
      </c>
      <c r="H87" s="14">
        <f t="shared" si="33"/>
        <v>9.9041666666666674E-6</v>
      </c>
      <c r="I87" s="14">
        <f t="shared" si="33"/>
        <v>2.9070833333333336E-5</v>
      </c>
      <c r="J87" s="14">
        <f t="shared" si="33"/>
        <v>9.8062500000000005E-5</v>
      </c>
      <c r="K87" s="14">
        <f t="shared" si="33"/>
        <v>1.0361666666666667E-2</v>
      </c>
      <c r="L87" s="14">
        <f t="shared" si="33"/>
        <v>2.7358750000000001E-2</v>
      </c>
      <c r="M87" s="14">
        <f t="shared" si="33"/>
        <v>6.492500000000001E-2</v>
      </c>
      <c r="N87" s="14">
        <f t="shared" si="33"/>
        <v>0.13593750000000002</v>
      </c>
      <c r="O87" s="14">
        <f t="shared" si="33"/>
        <v>0.24886666666666671</v>
      </c>
      <c r="P87" s="14">
        <f t="shared" si="33"/>
        <v>0.39929166666666671</v>
      </c>
      <c r="Q87" s="14">
        <f t="shared" si="33"/>
        <v>0.56541666666666668</v>
      </c>
      <c r="R87" s="14">
        <f t="shared" si="33"/>
        <v>0.71566666666666667</v>
      </c>
      <c r="S87" s="14">
        <f t="shared" si="33"/>
        <v>0.82829166666666665</v>
      </c>
      <c r="T87" s="14">
        <f t="shared" si="33"/>
        <v>0.90116666666666678</v>
      </c>
      <c r="U87" s="14">
        <f t="shared" si="33"/>
        <v>0.94420833333333343</v>
      </c>
      <c r="V87" s="14">
        <f t="shared" si="33"/>
        <v>0.96850000000000014</v>
      </c>
      <c r="W87" s="14">
        <f t="shared" si="33"/>
        <v>0.98204166666666681</v>
      </c>
      <c r="X87" s="14">
        <f t="shared" si="33"/>
        <v>0.98962500000000009</v>
      </c>
      <c r="Y87" s="14">
        <f t="shared" si="33"/>
        <v>0.99387500000000006</v>
      </c>
      <c r="Z87" s="14">
        <f t="shared" si="33"/>
        <v>0.9963333333333334</v>
      </c>
      <c r="AA87" s="14">
        <f t="shared" si="33"/>
        <v>0.99775000000000014</v>
      </c>
      <c r="AB87" s="14">
        <f t="shared" si="33"/>
        <v>0.9996250000000001</v>
      </c>
      <c r="AC87" s="14">
        <f t="shared" si="33"/>
        <v>0.99991666666666679</v>
      </c>
      <c r="AD87" s="14">
        <f t="shared" si="33"/>
        <v>1</v>
      </c>
      <c r="AE87" s="14">
        <f t="shared" si="33"/>
        <v>1</v>
      </c>
      <c r="AF87" s="14">
        <f t="shared" si="33"/>
        <v>1</v>
      </c>
      <c r="AG87" s="14">
        <f t="shared" si="33"/>
        <v>1</v>
      </c>
      <c r="AH87" s="14">
        <f t="shared" si="33"/>
        <v>1</v>
      </c>
      <c r="AI87" s="14">
        <f t="shared" si="33"/>
        <v>1</v>
      </c>
      <c r="AJ87" s="14">
        <f t="shared" si="33"/>
        <v>1</v>
      </c>
      <c r="AK87" s="14">
        <f t="shared" si="33"/>
        <v>1</v>
      </c>
      <c r="AL87" s="14">
        <f t="shared" si="33"/>
        <v>1</v>
      </c>
      <c r="AM87" s="14"/>
      <c r="AN87" s="14"/>
      <c r="AO87" s="14"/>
      <c r="AP87" s="14"/>
      <c r="AQ87" s="14"/>
      <c r="AR87" s="14"/>
      <c r="AS87" s="14"/>
      <c r="AT87" s="14"/>
      <c r="AU87" s="14"/>
      <c r="AV87" s="14"/>
      <c r="AW87" s="14"/>
      <c r="AX87" s="14"/>
      <c r="AY87" s="14"/>
      <c r="AZ87" s="14"/>
      <c r="BA87" s="14"/>
      <c r="BB87" s="14"/>
      <c r="BC87" s="14"/>
      <c r="BD87" s="14"/>
      <c r="BE87" s="14"/>
      <c r="BF87" s="14"/>
      <c r="BG87" s="14"/>
      <c r="BH87" s="14"/>
      <c r="BI87" s="14"/>
      <c r="BJ87" s="14"/>
      <c r="BK87" s="14"/>
      <c r="BL87" s="14"/>
      <c r="BM87" s="14"/>
      <c r="BN87" s="14"/>
      <c r="BO87" s="14"/>
      <c r="BP87" s="14"/>
      <c r="BQ87" s="14"/>
      <c r="BR87" s="14"/>
      <c r="BS87" s="14"/>
    </row>
    <row r="88" spans="1:71" ht="21" customHeight="1" outlineLevel="1" thickBot="1" x14ac:dyDescent="0.4">
      <c r="A88" s="5">
        <f t="shared" si="26"/>
        <v>0</v>
      </c>
      <c r="B88" s="5">
        <f t="shared" si="26"/>
        <v>0</v>
      </c>
      <c r="C88" s="5">
        <f t="shared" si="26"/>
        <v>0</v>
      </c>
      <c r="D88" s="5">
        <f t="shared" si="26"/>
        <v>1</v>
      </c>
      <c r="E88" s="6" t="str">
        <f t="shared" si="22"/>
        <v>(DGa</v>
      </c>
      <c r="F88" s="14">
        <f t="shared" ref="F88:AL88" si="34">F12*$C$78</f>
        <v>2.1561666666666668E-27</v>
      </c>
      <c r="G88" s="14">
        <f t="shared" si="34"/>
        <v>8.0637500000000001E-26</v>
      </c>
      <c r="H88" s="14">
        <f t="shared" si="34"/>
        <v>2.5739583333333335E-24</v>
      </c>
      <c r="I88" s="14">
        <f t="shared" si="34"/>
        <v>8.1425000000000005E-23</v>
      </c>
      <c r="J88" s="14">
        <f t="shared" si="34"/>
        <v>2.6112083333333332E-21</v>
      </c>
      <c r="K88" s="14">
        <f t="shared" si="34"/>
        <v>7.8525000000000009E-16</v>
      </c>
      <c r="L88" s="14">
        <f t="shared" si="34"/>
        <v>1.1218333333333335E-14</v>
      </c>
      <c r="M88" s="14">
        <f t="shared" si="34"/>
        <v>1.3020000000000002E-13</v>
      </c>
      <c r="N88" s="14">
        <f t="shared" si="34"/>
        <v>1.2367916666666668E-12</v>
      </c>
      <c r="O88" s="14">
        <f t="shared" si="34"/>
        <v>9.8570833333333335E-12</v>
      </c>
      <c r="P88" s="14">
        <f t="shared" si="34"/>
        <v>6.8375000000000009E-11</v>
      </c>
      <c r="Q88" s="14">
        <f t="shared" si="34"/>
        <v>4.2504166666666671E-10</v>
      </c>
      <c r="R88" s="14">
        <f t="shared" si="34"/>
        <v>2.3917083333333332E-9</v>
      </c>
      <c r="S88" s="14">
        <f t="shared" si="34"/>
        <v>1.21125E-8</v>
      </c>
      <c r="T88" s="14">
        <f t="shared" si="34"/>
        <v>5.4595833333333337E-8</v>
      </c>
      <c r="U88" s="14">
        <f t="shared" si="34"/>
        <v>2.1758333333333334E-7</v>
      </c>
      <c r="V88" s="14">
        <f t="shared" si="34"/>
        <v>7.7054166666666673E-7</v>
      </c>
      <c r="W88" s="14">
        <f t="shared" si="34"/>
        <v>2.4639166666666669E-6</v>
      </c>
      <c r="X88" s="14">
        <f t="shared" si="34"/>
        <v>7.2583333333333339E-6</v>
      </c>
      <c r="Y88" s="14">
        <f t="shared" si="34"/>
        <v>2.0037500000000003E-5</v>
      </c>
      <c r="Z88" s="14">
        <f t="shared" si="34"/>
        <v>5.2462500000000008E-5</v>
      </c>
      <c r="AA88" s="14">
        <f t="shared" si="34"/>
        <v>1.3129999999999999E-4</v>
      </c>
      <c r="AB88" s="14">
        <f t="shared" si="34"/>
        <v>3.5500833333333335E-3</v>
      </c>
      <c r="AC88" s="14">
        <f t="shared" si="34"/>
        <v>5.1758333333333337E-2</v>
      </c>
      <c r="AD88" s="14">
        <f t="shared" si="34"/>
        <v>0.22723333333333334</v>
      </c>
      <c r="AE88" s="14">
        <f t="shared" si="34"/>
        <v>0.26371250000000002</v>
      </c>
      <c r="AF88" s="14">
        <f t="shared" si="34"/>
        <v>0.28950416666666667</v>
      </c>
      <c r="AG88" s="14">
        <f t="shared" si="34"/>
        <v>0.30636666666666668</v>
      </c>
      <c r="AH88" s="14">
        <f t="shared" si="34"/>
        <v>0.31689583333333332</v>
      </c>
      <c r="AI88" s="14">
        <f t="shared" si="34"/>
        <v>0.3233166666666667</v>
      </c>
      <c r="AJ88" s="14">
        <f t="shared" si="34"/>
        <v>0.32720416666666668</v>
      </c>
      <c r="AK88" s="14">
        <f t="shared" si="34"/>
        <v>0.32955000000000001</v>
      </c>
      <c r="AL88" s="14">
        <f t="shared" si="34"/>
        <v>0.33097916666666671</v>
      </c>
      <c r="AM88" s="14"/>
      <c r="AN88" s="14"/>
      <c r="AO88" s="14"/>
      <c r="AP88" s="14"/>
      <c r="AQ88" s="14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  <c r="BH88" s="14"/>
      <c r="BI88" s="14"/>
      <c r="BJ88" s="14"/>
      <c r="BK88" s="14"/>
      <c r="BL88" s="14"/>
      <c r="BM88" s="14"/>
      <c r="BN88" s="14"/>
      <c r="BO88" s="14"/>
      <c r="BP88" s="14"/>
      <c r="BQ88" s="14"/>
      <c r="BR88" s="14"/>
      <c r="BS88" s="14"/>
    </row>
    <row r="89" spans="1:71" ht="21" customHeight="1" outlineLevel="1" thickBot="1" x14ac:dyDescent="0.4">
      <c r="A89" s="5">
        <f t="shared" si="26"/>
        <v>0</v>
      </c>
      <c r="B89" s="5">
        <f t="shared" si="26"/>
        <v>1</v>
      </c>
      <c r="C89" s="5">
        <f t="shared" si="26"/>
        <v>0</v>
      </c>
      <c r="D89" s="5">
        <f t="shared" si="26"/>
        <v>0</v>
      </c>
      <c r="E89" s="6" t="str">
        <f t="shared" si="22"/>
        <v>(1)Se[A]</v>
      </c>
      <c r="F89" s="14">
        <f t="shared" ref="F89:AL89" si="35">F13*$C$78</f>
        <v>2.5872916666666667E-9</v>
      </c>
      <c r="G89" s="14">
        <f t="shared" si="35"/>
        <v>8.2233333333333329E-9</v>
      </c>
      <c r="H89" s="14">
        <f t="shared" si="35"/>
        <v>2.0567500000000002E-8</v>
      </c>
      <c r="I89" s="14">
        <f t="shared" si="35"/>
        <v>3.8991250000000002E-8</v>
      </c>
      <c r="J89" s="14">
        <f t="shared" si="35"/>
        <v>5.6141666666666671E-8</v>
      </c>
      <c r="K89" s="14">
        <f t="shared" si="35"/>
        <v>5.3304166666666677E-8</v>
      </c>
      <c r="L89" s="14">
        <f t="shared" si="35"/>
        <v>4.7916666666666669E-8</v>
      </c>
      <c r="M89" s="14">
        <f t="shared" si="35"/>
        <v>4.4279166666666667E-8</v>
      </c>
      <c r="N89" s="14">
        <f t="shared" si="35"/>
        <v>4.2808333333333338E-8</v>
      </c>
      <c r="O89" s="14">
        <f t="shared" si="35"/>
        <v>4.3183333333333333E-8</v>
      </c>
      <c r="P89" s="14">
        <f t="shared" si="35"/>
        <v>4.4354166666666673E-8</v>
      </c>
      <c r="Q89" s="14">
        <f t="shared" si="35"/>
        <v>4.4945833333333333E-8</v>
      </c>
      <c r="R89" s="14">
        <f t="shared" si="35"/>
        <v>4.3916666666666673E-8</v>
      </c>
      <c r="S89" s="14">
        <f t="shared" si="35"/>
        <v>4.1160416666666671E-8</v>
      </c>
      <c r="T89" s="14">
        <f t="shared" si="35"/>
        <v>3.7274166666666671E-8</v>
      </c>
      <c r="U89" s="14">
        <f t="shared" si="35"/>
        <v>3.2951250000000002E-8</v>
      </c>
      <c r="V89" s="14">
        <f t="shared" si="35"/>
        <v>2.866625E-8</v>
      </c>
      <c r="W89" s="14">
        <f t="shared" si="35"/>
        <v>2.4683333333333333E-8</v>
      </c>
      <c r="X89" s="14">
        <f t="shared" si="35"/>
        <v>2.1124166666666669E-8</v>
      </c>
      <c r="Y89" s="14">
        <f t="shared" si="35"/>
        <v>1.8020000000000002E-8</v>
      </c>
      <c r="Z89" s="14">
        <f t="shared" si="35"/>
        <v>1.5349583333333334E-8</v>
      </c>
      <c r="AA89" s="14">
        <f t="shared" si="35"/>
        <v>1.3069166666666667E-8</v>
      </c>
      <c r="AB89" s="14">
        <f t="shared" si="35"/>
        <v>6.9062500000000002E-9</v>
      </c>
      <c r="AC89" s="14">
        <f t="shared" si="35"/>
        <v>3.7915000000000004E-9</v>
      </c>
      <c r="AD89" s="14">
        <f t="shared" si="35"/>
        <v>2.2590416666666667E-9</v>
      </c>
      <c r="AE89" s="14">
        <f t="shared" si="35"/>
        <v>1.9782916666666669E-9</v>
      </c>
      <c r="AF89" s="14">
        <f t="shared" si="35"/>
        <v>1.72375E-9</v>
      </c>
      <c r="AG89" s="14">
        <f t="shared" si="35"/>
        <v>1.4960833333333334E-9</v>
      </c>
      <c r="AH89" s="14">
        <f t="shared" si="35"/>
        <v>1.2951666666666667E-9</v>
      </c>
      <c r="AI89" s="14">
        <f t="shared" si="35"/>
        <v>1.1197083333333334E-9</v>
      </c>
      <c r="AJ89" s="14">
        <f t="shared" si="35"/>
        <v>9.6745833333333344E-10</v>
      </c>
      <c r="AK89" s="14">
        <f t="shared" si="35"/>
        <v>8.3583333333333339E-10</v>
      </c>
      <c r="AL89" s="14">
        <f t="shared" si="35"/>
        <v>7.2225000000000006E-10</v>
      </c>
      <c r="AM89" s="14"/>
      <c r="AN89" s="14"/>
      <c r="AO89" s="14"/>
      <c r="AP89" s="14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4"/>
      <c r="BN89" s="14"/>
      <c r="BO89" s="14"/>
      <c r="BP89" s="14"/>
      <c r="BQ89" s="14"/>
      <c r="BR89" s="14"/>
      <c r="BS89" s="14"/>
    </row>
    <row r="90" spans="1:71" ht="21" customHeight="1" outlineLevel="1" thickBot="1" x14ac:dyDescent="0.4">
      <c r="A90" s="5">
        <f t="shared" si="26"/>
        <v>0</v>
      </c>
      <c r="B90" s="5">
        <f t="shared" si="26"/>
        <v>1</v>
      </c>
      <c r="C90" s="5">
        <f t="shared" si="26"/>
        <v>0</v>
      </c>
      <c r="D90" s="5">
        <f t="shared" si="26"/>
        <v>0</v>
      </c>
      <c r="E90" s="6" t="str">
        <f t="shared" si="22"/>
        <v>(1)Se[M]</v>
      </c>
      <c r="F90" s="14">
        <f t="shared" ref="F90:AL90" si="36">F14*$C$78</f>
        <v>9.5029166666666682E-3</v>
      </c>
      <c r="G90" s="14">
        <f t="shared" si="36"/>
        <v>3.2273333333333334E-2</v>
      </c>
      <c r="H90" s="14">
        <f t="shared" si="36"/>
        <v>8.8124999999999995E-2</v>
      </c>
      <c r="I90" s="14">
        <f t="shared" si="36"/>
        <v>0.18551666666666669</v>
      </c>
      <c r="J90" s="14">
        <f t="shared" si="36"/>
        <v>0.30067500000000003</v>
      </c>
      <c r="K90" s="14">
        <f t="shared" si="36"/>
        <v>0.50041666666666673</v>
      </c>
      <c r="L90" s="14">
        <f t="shared" si="36"/>
        <v>0.52483333333333337</v>
      </c>
      <c r="M90" s="14">
        <f t="shared" si="36"/>
        <v>0.56779166666666669</v>
      </c>
      <c r="N90" s="14">
        <f t="shared" si="36"/>
        <v>0.6442500000000001</v>
      </c>
      <c r="O90" s="14">
        <f t="shared" si="36"/>
        <v>0.76416666666666677</v>
      </c>
      <c r="P90" s="14">
        <f t="shared" si="36"/>
        <v>0.92433333333333345</v>
      </c>
      <c r="Q90" s="14">
        <f t="shared" si="36"/>
        <v>1.1040416666666666</v>
      </c>
      <c r="R90" s="14">
        <f t="shared" si="36"/>
        <v>1.2724166666666668</v>
      </c>
      <c r="S90" s="14">
        <f t="shared" si="36"/>
        <v>1.4070833333333335</v>
      </c>
      <c r="T90" s="14">
        <f t="shared" si="36"/>
        <v>1.5036250000000002</v>
      </c>
      <c r="U90" s="14">
        <f t="shared" si="36"/>
        <v>1.5684166666666668</v>
      </c>
      <c r="V90" s="14">
        <f t="shared" si="36"/>
        <v>1.6095416666666669</v>
      </c>
      <c r="W90" s="14">
        <f t="shared" si="36"/>
        <v>1.6342083333333335</v>
      </c>
      <c r="X90" s="14">
        <f t="shared" si="36"/>
        <v>1.6483750000000001</v>
      </c>
      <c r="Y90" s="14">
        <f t="shared" si="36"/>
        <v>1.6562916666666667</v>
      </c>
      <c r="Z90" s="14">
        <f t="shared" si="36"/>
        <v>1.6607083333333335</v>
      </c>
      <c r="AA90" s="14">
        <f t="shared" si="36"/>
        <v>1.6632916666666668</v>
      </c>
      <c r="AB90" s="14">
        <f t="shared" si="36"/>
        <v>1.6697083333333333</v>
      </c>
      <c r="AC90" s="14">
        <f t="shared" si="36"/>
        <v>1.7183333333333335</v>
      </c>
      <c r="AD90" s="14">
        <f t="shared" si="36"/>
        <v>1.8938750000000002</v>
      </c>
      <c r="AE90" s="14">
        <f t="shared" si="36"/>
        <v>1.930375</v>
      </c>
      <c r="AF90" s="14">
        <f t="shared" si="36"/>
        <v>1.9561666666666668</v>
      </c>
      <c r="AG90" s="14">
        <f t="shared" si="36"/>
        <v>1.9730416666666668</v>
      </c>
      <c r="AH90" s="14">
        <f t="shared" si="36"/>
        <v>1.9835416666666668</v>
      </c>
      <c r="AI90" s="14">
        <f t="shared" si="36"/>
        <v>1.9900000000000002</v>
      </c>
      <c r="AJ90" s="14">
        <f t="shared" si="36"/>
        <v>1.9938750000000003</v>
      </c>
      <c r="AK90" s="14">
        <f t="shared" si="36"/>
        <v>1.9962083333333336</v>
      </c>
      <c r="AL90" s="14">
        <f t="shared" si="36"/>
        <v>1.9976250000000002</v>
      </c>
      <c r="AM90" s="14"/>
      <c r="AN90" s="14"/>
      <c r="AO90" s="14"/>
      <c r="AP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  <c r="BH90" s="14"/>
      <c r="BI90" s="14"/>
      <c r="BJ90" s="14"/>
      <c r="BK90" s="14"/>
      <c r="BL90" s="14"/>
      <c r="BM90" s="14"/>
      <c r="BN90" s="14"/>
      <c r="BO90" s="14"/>
      <c r="BP90" s="14"/>
      <c r="BQ90" s="14"/>
      <c r="BR90" s="14"/>
      <c r="BS90" s="14"/>
    </row>
    <row r="91" spans="1:71" ht="21" customHeight="1" outlineLevel="1" thickBot="1" x14ac:dyDescent="0.4">
      <c r="A91" s="5">
        <f t="shared" si="26"/>
        <v>0</v>
      </c>
      <c r="B91" s="5">
        <f t="shared" si="26"/>
        <v>1</v>
      </c>
      <c r="C91" s="5">
        <f t="shared" si="26"/>
        <v>0</v>
      </c>
      <c r="D91" s="5">
        <f t="shared" si="26"/>
        <v>0</v>
      </c>
      <c r="E91" s="6" t="str">
        <f t="shared" si="22"/>
        <v>(1)Se</v>
      </c>
      <c r="F91" s="14">
        <f t="shared" ref="F91:AL91" si="37">F15*$C$78</f>
        <v>1.1259166666666668E-8</v>
      </c>
      <c r="G91" s="14">
        <f t="shared" si="37"/>
        <v>3.157666666666667E-8</v>
      </c>
      <c r="H91" s="14">
        <f t="shared" si="37"/>
        <v>7.0579166666666671E-8</v>
      </c>
      <c r="I91" s="14">
        <f t="shared" si="37"/>
        <v>1.2087916666666668E-7</v>
      </c>
      <c r="J91" s="14">
        <f t="shared" si="37"/>
        <v>1.5872083333333336E-7</v>
      </c>
      <c r="K91" s="14">
        <f t="shared" si="37"/>
        <v>1.1201666666666667E-7</v>
      </c>
      <c r="L91" s="14">
        <f t="shared" si="37"/>
        <v>9.4829166666666666E-8</v>
      </c>
      <c r="M91" s="14">
        <f t="shared" si="37"/>
        <v>8.2891666666666669E-8</v>
      </c>
      <c r="N91" s="14">
        <f t="shared" si="37"/>
        <v>7.6108333333333338E-8</v>
      </c>
      <c r="O91" s="14">
        <f t="shared" si="37"/>
        <v>7.3170833333333343E-8</v>
      </c>
      <c r="P91" s="14">
        <f t="shared" si="37"/>
        <v>7.1870833333333337E-8</v>
      </c>
      <c r="Q91" s="14">
        <f t="shared" si="37"/>
        <v>7.253750000000001E-8</v>
      </c>
      <c r="R91" s="14">
        <f t="shared" si="37"/>
        <v>7.1479166666666672E-8</v>
      </c>
      <c r="S91" s="14">
        <f t="shared" si="37"/>
        <v>6.7591666666666671E-8</v>
      </c>
      <c r="T91" s="14">
        <f t="shared" si="37"/>
        <v>6.1779166666666671E-8</v>
      </c>
      <c r="U91" s="14">
        <f t="shared" si="37"/>
        <v>5.5137500000000007E-8</v>
      </c>
      <c r="V91" s="14">
        <f t="shared" si="37"/>
        <v>4.8437500000000006E-8</v>
      </c>
      <c r="W91" s="14">
        <f t="shared" si="37"/>
        <v>4.2120833333333332E-8</v>
      </c>
      <c r="X91" s="14">
        <f t="shared" si="37"/>
        <v>3.6408750000000005E-8</v>
      </c>
      <c r="Y91" s="14">
        <f t="shared" si="37"/>
        <v>3.1371250000000004E-8</v>
      </c>
      <c r="Z91" s="14">
        <f t="shared" si="37"/>
        <v>2.6992083333333333E-8</v>
      </c>
      <c r="AA91" s="14">
        <f t="shared" si="37"/>
        <v>2.3214583333333335E-8</v>
      </c>
      <c r="AB91" s="14">
        <f t="shared" si="37"/>
        <v>1.2767916666666667E-8</v>
      </c>
      <c r="AC91" s="14">
        <f t="shared" si="37"/>
        <v>7.2883333333333339E-9</v>
      </c>
      <c r="AD91" s="14">
        <f t="shared" si="37"/>
        <v>4.5099999999999995E-9</v>
      </c>
      <c r="AE91" s="14">
        <f t="shared" si="37"/>
        <v>3.9863333333333335E-9</v>
      </c>
      <c r="AF91" s="14">
        <f t="shared" si="37"/>
        <v>3.5056250000000001E-9</v>
      </c>
      <c r="AG91" s="14">
        <f t="shared" si="37"/>
        <v>3.0705833333333337E-9</v>
      </c>
      <c r="AH91" s="14">
        <f t="shared" si="37"/>
        <v>2.6826250000000003E-9</v>
      </c>
      <c r="AI91" s="14">
        <f t="shared" si="37"/>
        <v>2.3403333333333332E-9</v>
      </c>
      <c r="AJ91" s="14">
        <f t="shared" si="37"/>
        <v>2.0404166666666666E-9</v>
      </c>
      <c r="AK91" s="14">
        <f t="shared" si="37"/>
        <v>1.7787083333333335E-9</v>
      </c>
      <c r="AL91" s="14">
        <f t="shared" si="37"/>
        <v>1.5507916666666666E-9</v>
      </c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/>
      <c r="BP91" s="14"/>
      <c r="BQ91" s="14"/>
      <c r="BR91" s="14"/>
      <c r="BS91" s="14"/>
    </row>
    <row r="92" spans="1:71" ht="21" customHeight="1" outlineLevel="1" thickBot="1" x14ac:dyDescent="0.4">
      <c r="A92" s="5">
        <f t="shared" si="26"/>
        <v>0</v>
      </c>
      <c r="B92" s="5">
        <f t="shared" si="26"/>
        <v>0</v>
      </c>
      <c r="C92" s="5">
        <f t="shared" si="26"/>
        <v>0</v>
      </c>
      <c r="D92" s="5">
        <f t="shared" si="26"/>
        <v>1</v>
      </c>
      <c r="E92" s="6" t="str">
        <f t="shared" si="22"/>
        <v>(2)Ga[l]</v>
      </c>
      <c r="F92" s="14">
        <f t="shared" ref="F92:AL92" si="38">F16*$C$78</f>
        <v>0</v>
      </c>
      <c r="G92" s="14">
        <f t="shared" si="38"/>
        <v>0</v>
      </c>
      <c r="H92" s="14">
        <f t="shared" si="38"/>
        <v>0</v>
      </c>
      <c r="I92" s="14">
        <f t="shared" si="38"/>
        <v>0</v>
      </c>
      <c r="J92" s="14">
        <f t="shared" si="38"/>
        <v>0</v>
      </c>
      <c r="K92" s="14">
        <f t="shared" si="38"/>
        <v>0</v>
      </c>
      <c r="L92" s="14">
        <f t="shared" si="38"/>
        <v>0</v>
      </c>
      <c r="M92" s="14">
        <f t="shared" si="38"/>
        <v>0</v>
      </c>
      <c r="N92" s="14">
        <f t="shared" si="38"/>
        <v>0</v>
      </c>
      <c r="O92" s="14">
        <f t="shared" si="38"/>
        <v>0</v>
      </c>
      <c r="P92" s="14">
        <f t="shared" si="38"/>
        <v>0</v>
      </c>
      <c r="Q92" s="14">
        <f t="shared" si="38"/>
        <v>0</v>
      </c>
      <c r="R92" s="14">
        <f t="shared" si="38"/>
        <v>0</v>
      </c>
      <c r="S92" s="14">
        <f t="shared" si="38"/>
        <v>0</v>
      </c>
      <c r="T92" s="14">
        <f t="shared" si="38"/>
        <v>0</v>
      </c>
      <c r="U92" s="14">
        <f t="shared" si="38"/>
        <v>0</v>
      </c>
      <c r="V92" s="14">
        <f t="shared" si="38"/>
        <v>0</v>
      </c>
      <c r="W92" s="14">
        <f t="shared" si="38"/>
        <v>0</v>
      </c>
      <c r="X92" s="14">
        <f t="shared" si="38"/>
        <v>0</v>
      </c>
      <c r="Y92" s="14">
        <f t="shared" si="38"/>
        <v>0</v>
      </c>
      <c r="Z92" s="14">
        <f t="shared" si="38"/>
        <v>0</v>
      </c>
      <c r="AA92" s="14">
        <f t="shared" si="38"/>
        <v>0</v>
      </c>
      <c r="AB92" s="14">
        <f t="shared" si="38"/>
        <v>0</v>
      </c>
      <c r="AC92" s="14">
        <f t="shared" si="38"/>
        <v>1.1142916666666668E-27</v>
      </c>
      <c r="AD92" s="14">
        <f t="shared" si="38"/>
        <v>1.0528333333333333E-13</v>
      </c>
      <c r="AE92" s="14">
        <f t="shared" si="38"/>
        <v>7.0275000000000001E-12</v>
      </c>
      <c r="AF92" s="14">
        <f t="shared" si="38"/>
        <v>1.2680833333333335E-10</v>
      </c>
      <c r="AG92" s="14">
        <f t="shared" si="38"/>
        <v>5.0716666666666672E-10</v>
      </c>
      <c r="AH92" s="14">
        <f t="shared" si="38"/>
        <v>2.4049166666666667E-9</v>
      </c>
      <c r="AI92" s="14">
        <f t="shared" si="38"/>
        <v>8.2483333333333347E-9</v>
      </c>
      <c r="AJ92" s="14">
        <f t="shared" si="38"/>
        <v>2.3317500000000003E-8</v>
      </c>
      <c r="AK92" s="14">
        <f t="shared" si="38"/>
        <v>5.8595833333333339E-8</v>
      </c>
      <c r="AL92" s="14">
        <f t="shared" si="38"/>
        <v>1.3698333333333335E-7</v>
      </c>
      <c r="AM92" s="14"/>
      <c r="AN92" s="14"/>
      <c r="AO92" s="14"/>
      <c r="AP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/>
      <c r="BN92" s="14"/>
      <c r="BO92" s="14"/>
      <c r="BP92" s="14"/>
      <c r="BQ92" s="14"/>
      <c r="BR92" s="14"/>
      <c r="BS92" s="14"/>
    </row>
    <row r="93" spans="1:71" ht="21" customHeight="1" outlineLevel="1" thickBot="1" x14ac:dyDescent="0.4">
      <c r="A93" s="5">
        <f t="shared" si="26"/>
        <v>1</v>
      </c>
      <c r="B93" s="5">
        <f t="shared" si="26"/>
        <v>0</v>
      </c>
      <c r="C93" s="5">
        <f t="shared" si="26"/>
        <v>0</v>
      </c>
      <c r="D93" s="5">
        <f t="shared" si="26"/>
        <v>0</v>
      </c>
      <c r="E93" s="6" t="str">
        <f t="shared" si="22"/>
        <v>H (Ar)</v>
      </c>
      <c r="F93" s="14">
        <f t="shared" ref="F93:AL93" si="39">F17*$C$78</f>
        <v>-77.583333333333343</v>
      </c>
      <c r="G93" s="14">
        <f t="shared" si="39"/>
        <v>-77.541666666666671</v>
      </c>
      <c r="H93" s="14">
        <f t="shared" si="39"/>
        <v>-77.541666666666671</v>
      </c>
      <c r="I93" s="14">
        <f t="shared" si="39"/>
        <v>-77.583333333333343</v>
      </c>
      <c r="J93" s="14">
        <f t="shared" si="39"/>
        <v>-77.625</v>
      </c>
      <c r="K93" s="14">
        <f t="shared" si="39"/>
        <v>-78</v>
      </c>
      <c r="L93" s="14">
        <f t="shared" si="39"/>
        <v>-78.125</v>
      </c>
      <c r="M93" s="14">
        <f t="shared" si="39"/>
        <v>-78.250000000000014</v>
      </c>
      <c r="N93" s="14">
        <f t="shared" si="39"/>
        <v>-78.375</v>
      </c>
      <c r="O93" s="14">
        <f t="shared" si="39"/>
        <v>-78.5</v>
      </c>
      <c r="P93" s="14">
        <f t="shared" si="39"/>
        <v>-78.625000000000014</v>
      </c>
      <c r="Q93" s="14">
        <f t="shared" si="39"/>
        <v>-78.75</v>
      </c>
      <c r="R93" s="14">
        <f t="shared" si="39"/>
        <v>-78.916666666666671</v>
      </c>
      <c r="S93" s="14">
        <f t="shared" si="39"/>
        <v>-79.041666666666671</v>
      </c>
      <c r="T93" s="14">
        <f t="shared" si="39"/>
        <v>-79.208333333333343</v>
      </c>
      <c r="U93" s="14">
        <f t="shared" si="39"/>
        <v>-79.333333333333329</v>
      </c>
      <c r="V93" s="14">
        <f t="shared" si="39"/>
        <v>-79.458333333333343</v>
      </c>
      <c r="W93" s="14">
        <f t="shared" si="39"/>
        <v>-79.625</v>
      </c>
      <c r="X93" s="14">
        <f t="shared" si="39"/>
        <v>-79.750000000000014</v>
      </c>
      <c r="Y93" s="14">
        <f t="shared" si="39"/>
        <v>-79.916666666666671</v>
      </c>
      <c r="Z93" s="14">
        <f t="shared" si="39"/>
        <v>-80.041666666666671</v>
      </c>
      <c r="AA93" s="14">
        <f t="shared" si="39"/>
        <v>-80.208333333333343</v>
      </c>
      <c r="AB93" s="14">
        <f t="shared" si="39"/>
        <v>-80.75</v>
      </c>
      <c r="AC93" s="14">
        <f t="shared" si="39"/>
        <v>-81.291666666666686</v>
      </c>
      <c r="AD93" s="14">
        <f t="shared" si="39"/>
        <v>-81.833333333333343</v>
      </c>
      <c r="AE93" s="14">
        <f t="shared" si="39"/>
        <v>-81.958333333333343</v>
      </c>
      <c r="AF93" s="14">
        <f t="shared" si="39"/>
        <v>-82.083333333333343</v>
      </c>
      <c r="AG93" s="14">
        <f t="shared" si="39"/>
        <v>-82.208333333333343</v>
      </c>
      <c r="AH93" s="14">
        <f t="shared" si="39"/>
        <v>-82.333333333333343</v>
      </c>
      <c r="AI93" s="14">
        <f t="shared" si="39"/>
        <v>-82.458333333333329</v>
      </c>
      <c r="AJ93" s="14">
        <f t="shared" si="39"/>
        <v>-82.583333333333343</v>
      </c>
      <c r="AK93" s="14">
        <f t="shared" si="39"/>
        <v>-82.708333333333343</v>
      </c>
      <c r="AL93" s="14">
        <f t="shared" si="39"/>
        <v>-82.833333333333329</v>
      </c>
      <c r="AM93" s="14"/>
      <c r="AN93" s="14"/>
      <c r="AO93" s="14"/>
      <c r="AP93" s="14"/>
      <c r="AQ93" s="14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  <c r="BH93" s="14"/>
      <c r="BI93" s="14"/>
      <c r="BJ93" s="14"/>
      <c r="BK93" s="14"/>
      <c r="BL93" s="14"/>
      <c r="BM93" s="14"/>
      <c r="BN93" s="14"/>
      <c r="BO93" s="14"/>
      <c r="BP93" s="14"/>
      <c r="BQ93" s="14"/>
      <c r="BR93" s="14"/>
      <c r="BS93" s="14"/>
    </row>
    <row r="94" spans="1:71" ht="21" customHeight="1" outlineLevel="1" thickBot="1" x14ac:dyDescent="0.4">
      <c r="A94" s="5">
        <f t="shared" si="26"/>
        <v>0</v>
      </c>
      <c r="B94" s="5">
        <f t="shared" si="26"/>
        <v>0</v>
      </c>
      <c r="C94" s="5">
        <f t="shared" si="26"/>
        <v>0</v>
      </c>
      <c r="D94" s="5">
        <f t="shared" si="26"/>
        <v>1</v>
      </c>
      <c r="E94" s="6" t="str">
        <f t="shared" si="22"/>
        <v>H (Ga)</v>
      </c>
      <c r="F94" s="14">
        <f t="shared" ref="F94:AL94" si="40">F18*$C$78</f>
        <v>-277.00000000000006</v>
      </c>
      <c r="G94" s="14">
        <f t="shared" si="40"/>
        <v>-261.95833333333331</v>
      </c>
      <c r="H94" s="14">
        <f t="shared" si="40"/>
        <v>-247.70833333333337</v>
      </c>
      <c r="I94" s="14">
        <f t="shared" si="40"/>
        <v>-233.66666666666669</v>
      </c>
      <c r="J94" s="14">
        <f t="shared" si="40"/>
        <v>-219.62500000000003</v>
      </c>
      <c r="K94" s="14">
        <f t="shared" si="40"/>
        <v>-168.04166666666669</v>
      </c>
      <c r="L94" s="14">
        <f t="shared" si="40"/>
        <v>-157.20833333333334</v>
      </c>
      <c r="M94" s="14">
        <f t="shared" si="40"/>
        <v>-147.25000000000003</v>
      </c>
      <c r="N94" s="14">
        <f t="shared" si="40"/>
        <v>-138.20833333333334</v>
      </c>
      <c r="O94" s="14">
        <f t="shared" si="40"/>
        <v>-130</v>
      </c>
      <c r="P94" s="14">
        <f t="shared" si="40"/>
        <v>-122.45833333333334</v>
      </c>
      <c r="Q94" s="14">
        <f t="shared" si="40"/>
        <v>-115.37500000000001</v>
      </c>
      <c r="R94" s="14">
        <f t="shared" si="40"/>
        <v>-108.66666666666667</v>
      </c>
      <c r="S94" s="14">
        <f t="shared" si="40"/>
        <v>-102.37500000000001</v>
      </c>
      <c r="T94" s="14">
        <f t="shared" si="40"/>
        <v>-96.458333333333329</v>
      </c>
      <c r="U94" s="14">
        <f t="shared" si="40"/>
        <v>-91</v>
      </c>
      <c r="V94" s="14">
        <f t="shared" si="40"/>
        <v>-86.000000000000014</v>
      </c>
      <c r="W94" s="14">
        <f t="shared" si="40"/>
        <v>-81.375000000000014</v>
      </c>
      <c r="X94" s="14">
        <f t="shared" si="40"/>
        <v>-77.083333333333343</v>
      </c>
      <c r="Y94" s="14">
        <f t="shared" si="40"/>
        <v>-73.041666666666671</v>
      </c>
      <c r="Z94" s="14">
        <f t="shared" si="40"/>
        <v>-69.250000000000014</v>
      </c>
      <c r="AA94" s="14">
        <f t="shared" si="40"/>
        <v>-65.583333333333343</v>
      </c>
      <c r="AB94" s="14">
        <f t="shared" si="40"/>
        <v>-52.583333333333336</v>
      </c>
      <c r="AC94" s="14">
        <f t="shared" si="40"/>
        <v>-42.166666666666664</v>
      </c>
      <c r="AD94" s="14">
        <f t="shared" si="40"/>
        <v>-36.912500000000001</v>
      </c>
      <c r="AE94" s="14">
        <f t="shared" si="40"/>
        <v>-36.5</v>
      </c>
      <c r="AF94" s="14">
        <f t="shared" si="40"/>
        <v>-36.308333333333337</v>
      </c>
      <c r="AG94" s="14">
        <f t="shared" si="40"/>
        <v>-36.25416666666667</v>
      </c>
      <c r="AH94" s="14">
        <f t="shared" si="40"/>
        <v>-36.283333333333339</v>
      </c>
      <c r="AI94" s="14">
        <f t="shared" si="40"/>
        <v>-36.366666666666667</v>
      </c>
      <c r="AJ94" s="14">
        <f t="shared" si="40"/>
        <v>-36.475000000000001</v>
      </c>
      <c r="AK94" s="14">
        <f t="shared" si="40"/>
        <v>-36.604166666666671</v>
      </c>
      <c r="AL94" s="14">
        <f t="shared" si="40"/>
        <v>-36.741666666666667</v>
      </c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/>
      <c r="BP94" s="14"/>
      <c r="BQ94" s="14"/>
      <c r="BR94" s="14"/>
      <c r="BS94" s="14"/>
    </row>
    <row r="95" spans="1:71" ht="21" customHeight="1" outlineLevel="1" thickBot="1" x14ac:dyDescent="0.4">
      <c r="A95" s="5">
        <f t="shared" si="26"/>
        <v>0</v>
      </c>
      <c r="B95" s="5">
        <f t="shared" si="26"/>
        <v>0</v>
      </c>
      <c r="C95" s="5">
        <f t="shared" si="26"/>
        <v>1</v>
      </c>
      <c r="D95" s="5">
        <f t="shared" si="26"/>
        <v>0</v>
      </c>
      <c r="E95" s="6" t="str">
        <f t="shared" si="22"/>
        <v>H (Ge)</v>
      </c>
      <c r="F95" s="14">
        <f t="shared" ref="F95:AL95" si="41">F19*$C$78</f>
        <v>-71.208333333333343</v>
      </c>
      <c r="G95" s="14">
        <f t="shared" si="41"/>
        <v>-68.041666666666671</v>
      </c>
      <c r="H95" s="14">
        <f t="shared" si="41"/>
        <v>-64.541666666666671</v>
      </c>
      <c r="I95" s="14">
        <f t="shared" si="41"/>
        <v>-60.416666666666671</v>
      </c>
      <c r="J95" s="14">
        <f t="shared" si="41"/>
        <v>-55.750000000000007</v>
      </c>
      <c r="K95" s="14">
        <f t="shared" si="41"/>
        <v>-37.25833333333334</v>
      </c>
      <c r="L95" s="14">
        <f t="shared" si="41"/>
        <v>-33.412500000000001</v>
      </c>
      <c r="M95" s="14">
        <f t="shared" si="41"/>
        <v>-30.0625</v>
      </c>
      <c r="N95" s="14">
        <f t="shared" si="41"/>
        <v>-27.320833333333336</v>
      </c>
      <c r="O95" s="14">
        <f t="shared" si="41"/>
        <v>-25.233333333333334</v>
      </c>
      <c r="P95" s="14">
        <f t="shared" si="41"/>
        <v>-23.770833333333336</v>
      </c>
      <c r="Q95" s="14">
        <f t="shared" si="41"/>
        <v>-22.845833333333335</v>
      </c>
      <c r="R95" s="14">
        <f t="shared" si="41"/>
        <v>-22.35</v>
      </c>
      <c r="S95" s="14">
        <f t="shared" si="41"/>
        <v>-22.162500000000001</v>
      </c>
      <c r="T95" s="14">
        <f t="shared" si="41"/>
        <v>-22.162500000000001</v>
      </c>
      <c r="U95" s="14">
        <f t="shared" si="41"/>
        <v>-22.266666666666669</v>
      </c>
      <c r="V95" s="14">
        <f t="shared" si="41"/>
        <v>-22.412500000000001</v>
      </c>
      <c r="W95" s="14">
        <f t="shared" si="41"/>
        <v>-22.575000000000003</v>
      </c>
      <c r="X95" s="14">
        <f t="shared" si="41"/>
        <v>-22.745833333333334</v>
      </c>
      <c r="Y95" s="14">
        <f t="shared" si="41"/>
        <v>-22.912500000000001</v>
      </c>
      <c r="Z95" s="14">
        <f t="shared" si="41"/>
        <v>-23.083333333333336</v>
      </c>
      <c r="AA95" s="14">
        <f t="shared" si="41"/>
        <v>-23.250000000000004</v>
      </c>
      <c r="AB95" s="14">
        <f t="shared" si="41"/>
        <v>-23.929166666666671</v>
      </c>
      <c r="AC95" s="14">
        <f t="shared" si="41"/>
        <v>-24.654166666666669</v>
      </c>
      <c r="AD95" s="14">
        <f t="shared" si="41"/>
        <v>-25.525000000000002</v>
      </c>
      <c r="AE95" s="14">
        <f t="shared" si="41"/>
        <v>-25.729166666666668</v>
      </c>
      <c r="AF95" s="14">
        <f t="shared" si="41"/>
        <v>-25.920833333333334</v>
      </c>
      <c r="AG95" s="14">
        <f t="shared" si="41"/>
        <v>-26.095833333333335</v>
      </c>
      <c r="AH95" s="14">
        <f t="shared" si="41"/>
        <v>-26.262500000000003</v>
      </c>
      <c r="AI95" s="14">
        <f t="shared" si="41"/>
        <v>-26.425000000000001</v>
      </c>
      <c r="AJ95" s="14">
        <f t="shared" si="41"/>
        <v>-26.579166666666666</v>
      </c>
      <c r="AK95" s="14">
        <f t="shared" si="41"/>
        <v>-26.733333333333338</v>
      </c>
      <c r="AL95" s="14">
        <f t="shared" si="41"/>
        <v>-26.883333333333336</v>
      </c>
      <c r="AM95" s="14"/>
      <c r="AN95" s="14"/>
      <c r="AO95" s="14"/>
      <c r="AP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4"/>
      <c r="BH95" s="14"/>
      <c r="BI95" s="14"/>
      <c r="BJ95" s="14"/>
      <c r="BK95" s="14"/>
      <c r="BL95" s="14"/>
      <c r="BM95" s="14"/>
      <c r="BN95" s="14"/>
      <c r="BO95" s="14"/>
      <c r="BP95" s="14"/>
      <c r="BQ95" s="14"/>
      <c r="BR95" s="14"/>
      <c r="BS95" s="14"/>
    </row>
    <row r="96" spans="1:71" ht="21" customHeight="1" outlineLevel="1" thickBot="1" x14ac:dyDescent="0.4">
      <c r="A96" s="5">
        <f t="shared" si="26"/>
        <v>0</v>
      </c>
      <c r="B96" s="5">
        <f t="shared" si="26"/>
        <v>1</v>
      </c>
      <c r="C96" s="5">
        <f t="shared" si="26"/>
        <v>0</v>
      </c>
      <c r="D96" s="5">
        <f t="shared" si="26"/>
        <v>0</v>
      </c>
      <c r="E96" s="6" t="str">
        <f t="shared" si="22"/>
        <v>H (Se)</v>
      </c>
      <c r="F96" s="14">
        <f t="shared" ref="F96:AL96" si="42">F20*$C$78</f>
        <v>-98.166666666666671</v>
      </c>
      <c r="G96" s="14">
        <f t="shared" si="42"/>
        <v>-93.916666666666671</v>
      </c>
      <c r="H96" s="14">
        <f t="shared" si="42"/>
        <v>-90.750000000000014</v>
      </c>
      <c r="I96" s="14">
        <f t="shared" si="42"/>
        <v>-88.833333333333343</v>
      </c>
      <c r="J96" s="14">
        <f t="shared" si="42"/>
        <v>-88.125</v>
      </c>
      <c r="K96" s="14">
        <f t="shared" si="42"/>
        <v>-90.541666666666671</v>
      </c>
      <c r="L96" s="14">
        <f t="shared" si="42"/>
        <v>-91.458333333333343</v>
      </c>
      <c r="M96" s="14">
        <f t="shared" si="42"/>
        <v>-92.291666666666671</v>
      </c>
      <c r="N96" s="14">
        <f t="shared" si="42"/>
        <v>-93.000000000000014</v>
      </c>
      <c r="O96" s="14">
        <f t="shared" si="42"/>
        <v>-93.583333333333343</v>
      </c>
      <c r="P96" s="14">
        <f t="shared" si="42"/>
        <v>-94.166666666666686</v>
      </c>
      <c r="Q96" s="14">
        <f t="shared" si="42"/>
        <v>-94.833333333333343</v>
      </c>
      <c r="R96" s="14">
        <f t="shared" si="42"/>
        <v>-95.625</v>
      </c>
      <c r="S96" s="14">
        <f t="shared" si="42"/>
        <v>-96.458333333333329</v>
      </c>
      <c r="T96" s="14">
        <f t="shared" si="42"/>
        <v>-97.375000000000014</v>
      </c>
      <c r="U96" s="14">
        <f t="shared" si="42"/>
        <v>-98.333333333333343</v>
      </c>
      <c r="V96" s="14">
        <f t="shared" si="42"/>
        <v>-99.333333333333343</v>
      </c>
      <c r="W96" s="14">
        <f t="shared" si="42"/>
        <v>-100.29166666666667</v>
      </c>
      <c r="X96" s="14">
        <f t="shared" si="42"/>
        <v>-101.29166666666667</v>
      </c>
      <c r="Y96" s="14">
        <f t="shared" si="42"/>
        <v>-102.25</v>
      </c>
      <c r="Z96" s="14">
        <f t="shared" si="42"/>
        <v>-103.20833333333334</v>
      </c>
      <c r="AA96" s="14">
        <f t="shared" si="42"/>
        <v>-104.16666666666667</v>
      </c>
      <c r="AB96" s="14">
        <f t="shared" si="42"/>
        <v>-107.91666666666667</v>
      </c>
      <c r="AC96" s="14">
        <f t="shared" si="42"/>
        <v>-111.45833333333334</v>
      </c>
      <c r="AD96" s="14">
        <f t="shared" si="42"/>
        <v>-114.79166666666667</v>
      </c>
      <c r="AE96" s="14">
        <f t="shared" si="42"/>
        <v>-115.62500000000001</v>
      </c>
      <c r="AF96" s="14">
        <f t="shared" si="42"/>
        <v>-116.45833333333334</v>
      </c>
      <c r="AG96" s="14">
        <f t="shared" si="42"/>
        <v>-117.29166666666667</v>
      </c>
      <c r="AH96" s="14">
        <f t="shared" si="42"/>
        <v>-118.12500000000001</v>
      </c>
      <c r="AI96" s="14">
        <f t="shared" si="42"/>
        <v>-118.91666666666667</v>
      </c>
      <c r="AJ96" s="14">
        <f t="shared" si="42"/>
        <v>-119.75</v>
      </c>
      <c r="AK96" s="14">
        <f t="shared" si="42"/>
        <v>-120.58333333333334</v>
      </c>
      <c r="AL96" s="14">
        <f t="shared" si="42"/>
        <v>-121.375</v>
      </c>
      <c r="AM96" s="14"/>
      <c r="AN96" s="14"/>
      <c r="AO96" s="14"/>
      <c r="AP96" s="14"/>
      <c r="AQ96" s="14"/>
      <c r="AR96" s="14"/>
      <c r="AS96" s="14"/>
      <c r="AT96" s="14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4"/>
      <c r="BH96" s="14"/>
      <c r="BI96" s="14"/>
      <c r="BJ96" s="14"/>
      <c r="BK96" s="14"/>
      <c r="BL96" s="14"/>
      <c r="BM96" s="14"/>
      <c r="BN96" s="14"/>
      <c r="BO96" s="14"/>
      <c r="BP96" s="14"/>
      <c r="BQ96" s="14"/>
      <c r="BR96" s="14"/>
      <c r="BS96" s="14"/>
    </row>
    <row r="97" spans="1:87" ht="21" customHeight="1" outlineLevel="1" thickBot="1" x14ac:dyDescent="0.4">
      <c r="A97" s="5">
        <f t="shared" ref="A97:D109" si="43">A63</f>
        <v>0</v>
      </c>
      <c r="B97" s="5">
        <f t="shared" si="43"/>
        <v>0</v>
      </c>
      <c r="C97" s="5">
        <f t="shared" si="43"/>
        <v>0</v>
      </c>
      <c r="D97" s="5">
        <f t="shared" si="43"/>
        <v>0</v>
      </c>
      <c r="E97" s="6">
        <f t="shared" si="22"/>
        <v>0</v>
      </c>
      <c r="F97" s="14">
        <f t="shared" ref="F97:AL97" si="44">F21*$C$78</f>
        <v>0</v>
      </c>
      <c r="G97" s="14">
        <f t="shared" si="44"/>
        <v>0</v>
      </c>
      <c r="H97" s="14">
        <f t="shared" si="44"/>
        <v>0</v>
      </c>
      <c r="I97" s="14">
        <f t="shared" si="44"/>
        <v>0</v>
      </c>
      <c r="J97" s="14">
        <f t="shared" si="44"/>
        <v>0</v>
      </c>
      <c r="K97" s="14">
        <f t="shared" si="44"/>
        <v>0</v>
      </c>
      <c r="L97" s="14">
        <f t="shared" si="44"/>
        <v>0</v>
      </c>
      <c r="M97" s="14">
        <f t="shared" si="44"/>
        <v>0</v>
      </c>
      <c r="N97" s="14">
        <f t="shared" si="44"/>
        <v>0</v>
      </c>
      <c r="O97" s="14">
        <f t="shared" si="44"/>
        <v>0</v>
      </c>
      <c r="P97" s="14">
        <f t="shared" si="44"/>
        <v>0</v>
      </c>
      <c r="Q97" s="14">
        <f t="shared" si="44"/>
        <v>0</v>
      </c>
      <c r="R97" s="14">
        <f t="shared" si="44"/>
        <v>0</v>
      </c>
      <c r="S97" s="14">
        <f t="shared" si="44"/>
        <v>0</v>
      </c>
      <c r="T97" s="14">
        <f t="shared" si="44"/>
        <v>0</v>
      </c>
      <c r="U97" s="14">
        <f t="shared" si="44"/>
        <v>0</v>
      </c>
      <c r="V97" s="14">
        <f t="shared" si="44"/>
        <v>0</v>
      </c>
      <c r="W97" s="14">
        <f t="shared" si="44"/>
        <v>0</v>
      </c>
      <c r="X97" s="14">
        <f t="shared" si="44"/>
        <v>0</v>
      </c>
      <c r="Y97" s="14">
        <f t="shared" si="44"/>
        <v>0</v>
      </c>
      <c r="Z97" s="14">
        <f t="shared" si="44"/>
        <v>0</v>
      </c>
      <c r="AA97" s="14">
        <f t="shared" si="44"/>
        <v>0</v>
      </c>
      <c r="AB97" s="14">
        <f t="shared" si="44"/>
        <v>0</v>
      </c>
      <c r="AC97" s="14">
        <f t="shared" si="44"/>
        <v>0</v>
      </c>
      <c r="AD97" s="14">
        <f t="shared" si="44"/>
        <v>0</v>
      </c>
      <c r="AE97" s="14">
        <f t="shared" si="44"/>
        <v>0</v>
      </c>
      <c r="AF97" s="14">
        <f t="shared" si="44"/>
        <v>0</v>
      </c>
      <c r="AG97" s="14">
        <f t="shared" si="44"/>
        <v>0</v>
      </c>
      <c r="AH97" s="14">
        <f t="shared" si="44"/>
        <v>0</v>
      </c>
      <c r="AI97" s="14">
        <f t="shared" si="44"/>
        <v>0</v>
      </c>
      <c r="AJ97" s="14">
        <f t="shared" si="44"/>
        <v>0</v>
      </c>
      <c r="AK97" s="14">
        <f t="shared" si="44"/>
        <v>0</v>
      </c>
      <c r="AL97" s="14">
        <f t="shared" si="44"/>
        <v>0</v>
      </c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  <c r="BI97" s="14"/>
      <c r="BJ97" s="14"/>
      <c r="BK97" s="14"/>
      <c r="BL97" s="14"/>
      <c r="BM97" s="14"/>
      <c r="BN97" s="14"/>
      <c r="BO97" s="14"/>
      <c r="BP97" s="14"/>
      <c r="BQ97" s="14"/>
      <c r="BR97" s="14"/>
      <c r="BS97" s="14"/>
    </row>
    <row r="98" spans="1:87" ht="21" customHeight="1" outlineLevel="1" thickBot="1" x14ac:dyDescent="0.4">
      <c r="A98" s="5">
        <f t="shared" si="43"/>
        <v>0</v>
      </c>
      <c r="B98" s="5">
        <f t="shared" si="43"/>
        <v>0</v>
      </c>
      <c r="C98" s="5">
        <f t="shared" si="43"/>
        <v>0</v>
      </c>
      <c r="D98" s="5">
        <f t="shared" si="43"/>
        <v>0</v>
      </c>
      <c r="E98" s="6">
        <f t="shared" si="22"/>
        <v>0</v>
      </c>
      <c r="F98" s="14">
        <f t="shared" ref="F98:AL98" si="45">F22*$C$78</f>
        <v>0</v>
      </c>
      <c r="G98" s="14">
        <f t="shared" si="45"/>
        <v>0</v>
      </c>
      <c r="H98" s="14">
        <f t="shared" si="45"/>
        <v>0</v>
      </c>
      <c r="I98" s="14">
        <f t="shared" si="45"/>
        <v>0</v>
      </c>
      <c r="J98" s="14">
        <f t="shared" si="45"/>
        <v>0</v>
      </c>
      <c r="K98" s="14">
        <f t="shared" si="45"/>
        <v>0</v>
      </c>
      <c r="L98" s="14">
        <f t="shared" si="45"/>
        <v>0</v>
      </c>
      <c r="M98" s="14">
        <f t="shared" si="45"/>
        <v>0</v>
      </c>
      <c r="N98" s="14">
        <f t="shared" si="45"/>
        <v>0</v>
      </c>
      <c r="O98" s="14">
        <f t="shared" si="45"/>
        <v>0</v>
      </c>
      <c r="P98" s="14">
        <f t="shared" si="45"/>
        <v>0</v>
      </c>
      <c r="Q98" s="14">
        <f t="shared" si="45"/>
        <v>0</v>
      </c>
      <c r="R98" s="14">
        <f t="shared" si="45"/>
        <v>0</v>
      </c>
      <c r="S98" s="14">
        <f t="shared" si="45"/>
        <v>0</v>
      </c>
      <c r="T98" s="14">
        <f t="shared" si="45"/>
        <v>0</v>
      </c>
      <c r="U98" s="14">
        <f t="shared" si="45"/>
        <v>0</v>
      </c>
      <c r="V98" s="14">
        <f t="shared" si="45"/>
        <v>0</v>
      </c>
      <c r="W98" s="14">
        <f t="shared" si="45"/>
        <v>0</v>
      </c>
      <c r="X98" s="14">
        <f t="shared" si="45"/>
        <v>0</v>
      </c>
      <c r="Y98" s="14">
        <f t="shared" si="45"/>
        <v>0</v>
      </c>
      <c r="Z98" s="14">
        <f t="shared" si="45"/>
        <v>0</v>
      </c>
      <c r="AA98" s="14">
        <f t="shared" si="45"/>
        <v>0</v>
      </c>
      <c r="AB98" s="14">
        <f t="shared" si="45"/>
        <v>0</v>
      </c>
      <c r="AC98" s="14">
        <f t="shared" si="45"/>
        <v>0</v>
      </c>
      <c r="AD98" s="14">
        <f t="shared" si="45"/>
        <v>0</v>
      </c>
      <c r="AE98" s="14">
        <f t="shared" si="45"/>
        <v>0</v>
      </c>
      <c r="AF98" s="14">
        <f t="shared" si="45"/>
        <v>0</v>
      </c>
      <c r="AG98" s="14">
        <f t="shared" si="45"/>
        <v>0</v>
      </c>
      <c r="AH98" s="14">
        <f t="shared" si="45"/>
        <v>0</v>
      </c>
      <c r="AI98" s="14">
        <f t="shared" si="45"/>
        <v>0</v>
      </c>
      <c r="AJ98" s="14">
        <f t="shared" si="45"/>
        <v>0</v>
      </c>
      <c r="AK98" s="14">
        <f t="shared" si="45"/>
        <v>0</v>
      </c>
      <c r="AL98" s="14">
        <f t="shared" si="45"/>
        <v>0</v>
      </c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4"/>
      <c r="BM98" s="14"/>
      <c r="BN98" s="14"/>
      <c r="BO98" s="14"/>
      <c r="BP98" s="14"/>
      <c r="BQ98" s="14"/>
      <c r="BR98" s="14"/>
      <c r="BS98" s="14"/>
    </row>
    <row r="99" spans="1:87" ht="21" customHeight="1" outlineLevel="1" thickBot="1" x14ac:dyDescent="0.4">
      <c r="A99" s="5">
        <f t="shared" si="43"/>
        <v>0</v>
      </c>
      <c r="B99" s="5">
        <f t="shared" si="43"/>
        <v>0</v>
      </c>
      <c r="C99" s="5">
        <f t="shared" si="43"/>
        <v>0</v>
      </c>
      <c r="D99" s="5">
        <f t="shared" si="43"/>
        <v>0</v>
      </c>
      <c r="E99" s="6">
        <f t="shared" si="22"/>
        <v>0</v>
      </c>
      <c r="F99" s="14">
        <f t="shared" ref="F99:AL99" si="46">F23*$C$78</f>
        <v>0</v>
      </c>
      <c r="G99" s="14">
        <f t="shared" si="46"/>
        <v>0</v>
      </c>
      <c r="H99" s="14">
        <f t="shared" si="46"/>
        <v>0</v>
      </c>
      <c r="I99" s="14">
        <f t="shared" si="46"/>
        <v>0</v>
      </c>
      <c r="J99" s="14">
        <f t="shared" si="46"/>
        <v>0</v>
      </c>
      <c r="K99" s="14">
        <f t="shared" si="46"/>
        <v>0</v>
      </c>
      <c r="L99" s="14">
        <f t="shared" si="46"/>
        <v>0</v>
      </c>
      <c r="M99" s="14">
        <f t="shared" si="46"/>
        <v>0</v>
      </c>
      <c r="N99" s="14">
        <f t="shared" si="46"/>
        <v>0</v>
      </c>
      <c r="O99" s="14">
        <f t="shared" si="46"/>
        <v>0</v>
      </c>
      <c r="P99" s="14">
        <f t="shared" si="46"/>
        <v>0</v>
      </c>
      <c r="Q99" s="14">
        <f t="shared" si="46"/>
        <v>0</v>
      </c>
      <c r="R99" s="14">
        <f t="shared" si="46"/>
        <v>0</v>
      </c>
      <c r="S99" s="14">
        <f t="shared" si="46"/>
        <v>0</v>
      </c>
      <c r="T99" s="14">
        <f t="shared" si="46"/>
        <v>0</v>
      </c>
      <c r="U99" s="14">
        <f t="shared" si="46"/>
        <v>0</v>
      </c>
      <c r="V99" s="14">
        <f t="shared" si="46"/>
        <v>0</v>
      </c>
      <c r="W99" s="14">
        <f t="shared" si="46"/>
        <v>0</v>
      </c>
      <c r="X99" s="14">
        <f t="shared" si="46"/>
        <v>0</v>
      </c>
      <c r="Y99" s="14">
        <f t="shared" si="46"/>
        <v>0</v>
      </c>
      <c r="Z99" s="14">
        <f t="shared" si="46"/>
        <v>0</v>
      </c>
      <c r="AA99" s="14">
        <f t="shared" si="46"/>
        <v>0</v>
      </c>
      <c r="AB99" s="14">
        <f t="shared" si="46"/>
        <v>0</v>
      </c>
      <c r="AC99" s="14">
        <f t="shared" si="46"/>
        <v>0</v>
      </c>
      <c r="AD99" s="14">
        <f t="shared" si="46"/>
        <v>0</v>
      </c>
      <c r="AE99" s="14">
        <f t="shared" si="46"/>
        <v>0</v>
      </c>
      <c r="AF99" s="14">
        <f t="shared" si="46"/>
        <v>0</v>
      </c>
      <c r="AG99" s="14">
        <f t="shared" si="46"/>
        <v>0</v>
      </c>
      <c r="AH99" s="14">
        <f t="shared" si="46"/>
        <v>0</v>
      </c>
      <c r="AI99" s="14">
        <f t="shared" si="46"/>
        <v>0</v>
      </c>
      <c r="AJ99" s="14">
        <f t="shared" si="46"/>
        <v>0</v>
      </c>
      <c r="AK99" s="14">
        <f t="shared" si="46"/>
        <v>0</v>
      </c>
      <c r="AL99" s="14">
        <f t="shared" si="46"/>
        <v>0</v>
      </c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4"/>
      <c r="BH99" s="14"/>
      <c r="BI99" s="14"/>
      <c r="BJ99" s="14"/>
      <c r="BK99" s="14"/>
      <c r="BL99" s="14"/>
      <c r="BM99" s="14"/>
      <c r="BN99" s="14"/>
      <c r="BO99" s="14"/>
      <c r="BP99" s="14"/>
      <c r="BQ99" s="14"/>
      <c r="BR99" s="14"/>
      <c r="BS99" s="14"/>
    </row>
    <row r="100" spans="1:87" ht="21" customHeight="1" outlineLevel="1" thickBot="1" x14ac:dyDescent="0.4">
      <c r="A100" s="5">
        <f t="shared" si="43"/>
        <v>0</v>
      </c>
      <c r="B100" s="5">
        <f t="shared" si="43"/>
        <v>0</v>
      </c>
      <c r="C100" s="5">
        <f t="shared" si="43"/>
        <v>0</v>
      </c>
      <c r="D100" s="5">
        <f t="shared" si="43"/>
        <v>0</v>
      </c>
      <c r="E100" s="6">
        <f t="shared" si="22"/>
        <v>0</v>
      </c>
      <c r="F100" s="14">
        <f t="shared" ref="F100:AL100" si="47">F24*$C$78</f>
        <v>0</v>
      </c>
      <c r="G100" s="14">
        <f t="shared" si="47"/>
        <v>0</v>
      </c>
      <c r="H100" s="14">
        <f t="shared" si="47"/>
        <v>0</v>
      </c>
      <c r="I100" s="14">
        <f t="shared" si="47"/>
        <v>0</v>
      </c>
      <c r="J100" s="14">
        <f t="shared" si="47"/>
        <v>0</v>
      </c>
      <c r="K100" s="14">
        <f t="shared" si="47"/>
        <v>0</v>
      </c>
      <c r="L100" s="14">
        <f t="shared" si="47"/>
        <v>0</v>
      </c>
      <c r="M100" s="14">
        <f t="shared" si="47"/>
        <v>0</v>
      </c>
      <c r="N100" s="14">
        <f t="shared" si="47"/>
        <v>0</v>
      </c>
      <c r="O100" s="14">
        <f t="shared" si="47"/>
        <v>0</v>
      </c>
      <c r="P100" s="14">
        <f t="shared" si="47"/>
        <v>0</v>
      </c>
      <c r="Q100" s="14">
        <f t="shared" si="47"/>
        <v>0</v>
      </c>
      <c r="R100" s="14">
        <f t="shared" si="47"/>
        <v>0</v>
      </c>
      <c r="S100" s="14">
        <f t="shared" si="47"/>
        <v>0</v>
      </c>
      <c r="T100" s="14">
        <f t="shared" si="47"/>
        <v>0</v>
      </c>
      <c r="U100" s="14">
        <f t="shared" si="47"/>
        <v>0</v>
      </c>
      <c r="V100" s="14">
        <f t="shared" si="47"/>
        <v>0</v>
      </c>
      <c r="W100" s="14">
        <f t="shared" si="47"/>
        <v>0</v>
      </c>
      <c r="X100" s="14">
        <f t="shared" si="47"/>
        <v>0</v>
      </c>
      <c r="Y100" s="14">
        <f t="shared" si="47"/>
        <v>0</v>
      </c>
      <c r="Z100" s="14">
        <f t="shared" si="47"/>
        <v>0</v>
      </c>
      <c r="AA100" s="14">
        <f t="shared" si="47"/>
        <v>0</v>
      </c>
      <c r="AB100" s="14">
        <f t="shared" si="47"/>
        <v>0</v>
      </c>
      <c r="AC100" s="14">
        <f t="shared" si="47"/>
        <v>0</v>
      </c>
      <c r="AD100" s="14">
        <f t="shared" si="47"/>
        <v>0</v>
      </c>
      <c r="AE100" s="14">
        <f t="shared" si="47"/>
        <v>0</v>
      </c>
      <c r="AF100" s="14">
        <f t="shared" si="47"/>
        <v>0</v>
      </c>
      <c r="AG100" s="14">
        <f t="shared" si="47"/>
        <v>0</v>
      </c>
      <c r="AH100" s="14">
        <f t="shared" si="47"/>
        <v>0</v>
      </c>
      <c r="AI100" s="14">
        <f t="shared" si="47"/>
        <v>0</v>
      </c>
      <c r="AJ100" s="14">
        <f t="shared" si="47"/>
        <v>0</v>
      </c>
      <c r="AK100" s="14">
        <f t="shared" si="47"/>
        <v>0</v>
      </c>
      <c r="AL100" s="14">
        <f t="shared" si="47"/>
        <v>0</v>
      </c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  <c r="BH100" s="14"/>
      <c r="BI100" s="14"/>
      <c r="BJ100" s="14"/>
      <c r="BK100" s="14"/>
      <c r="BL100" s="14"/>
      <c r="BM100" s="14"/>
      <c r="BN100" s="14"/>
      <c r="BO100" s="14"/>
      <c r="BP100" s="14"/>
      <c r="BQ100" s="14"/>
      <c r="BR100" s="14"/>
      <c r="BS100" s="14"/>
    </row>
    <row r="101" spans="1:87" ht="21" customHeight="1" outlineLevel="1" thickBot="1" x14ac:dyDescent="0.4">
      <c r="A101" s="5">
        <f t="shared" si="43"/>
        <v>0</v>
      </c>
      <c r="B101" s="5">
        <f t="shared" si="43"/>
        <v>0</v>
      </c>
      <c r="C101" s="5">
        <f t="shared" si="43"/>
        <v>0</v>
      </c>
      <c r="D101" s="5">
        <f t="shared" si="43"/>
        <v>0</v>
      </c>
      <c r="E101" s="6">
        <f t="shared" si="22"/>
        <v>0</v>
      </c>
      <c r="F101" s="14">
        <f t="shared" ref="F101:AL101" si="48">F25*$C$78</f>
        <v>0</v>
      </c>
      <c r="G101" s="14">
        <f t="shared" si="48"/>
        <v>0</v>
      </c>
      <c r="H101" s="14">
        <f t="shared" si="48"/>
        <v>0</v>
      </c>
      <c r="I101" s="14">
        <f t="shared" si="48"/>
        <v>0</v>
      </c>
      <c r="J101" s="14">
        <f t="shared" si="48"/>
        <v>0</v>
      </c>
      <c r="K101" s="14">
        <f t="shared" si="48"/>
        <v>0</v>
      </c>
      <c r="L101" s="14">
        <f t="shared" si="48"/>
        <v>0</v>
      </c>
      <c r="M101" s="14">
        <f t="shared" si="48"/>
        <v>0</v>
      </c>
      <c r="N101" s="14">
        <f t="shared" si="48"/>
        <v>0</v>
      </c>
      <c r="O101" s="14">
        <f t="shared" si="48"/>
        <v>0</v>
      </c>
      <c r="P101" s="14">
        <f t="shared" si="48"/>
        <v>0</v>
      </c>
      <c r="Q101" s="14">
        <f t="shared" si="48"/>
        <v>0</v>
      </c>
      <c r="R101" s="14">
        <f t="shared" si="48"/>
        <v>0</v>
      </c>
      <c r="S101" s="14">
        <f t="shared" si="48"/>
        <v>0</v>
      </c>
      <c r="T101" s="14">
        <f t="shared" si="48"/>
        <v>0</v>
      </c>
      <c r="U101" s="14">
        <f t="shared" si="48"/>
        <v>0</v>
      </c>
      <c r="V101" s="14">
        <f t="shared" si="48"/>
        <v>0</v>
      </c>
      <c r="W101" s="14">
        <f t="shared" si="48"/>
        <v>0</v>
      </c>
      <c r="X101" s="14">
        <f t="shared" si="48"/>
        <v>0</v>
      </c>
      <c r="Y101" s="14">
        <f t="shared" si="48"/>
        <v>0</v>
      </c>
      <c r="Z101" s="14">
        <f t="shared" si="48"/>
        <v>0</v>
      </c>
      <c r="AA101" s="14">
        <f t="shared" si="48"/>
        <v>0</v>
      </c>
      <c r="AB101" s="14">
        <f t="shared" si="48"/>
        <v>0</v>
      </c>
      <c r="AC101" s="14">
        <f t="shared" si="48"/>
        <v>0</v>
      </c>
      <c r="AD101" s="14">
        <f t="shared" si="48"/>
        <v>0</v>
      </c>
      <c r="AE101" s="14">
        <f t="shared" si="48"/>
        <v>0</v>
      </c>
      <c r="AF101" s="14">
        <f t="shared" si="48"/>
        <v>0</v>
      </c>
      <c r="AG101" s="14">
        <f t="shared" si="48"/>
        <v>0</v>
      </c>
      <c r="AH101" s="14">
        <f t="shared" si="48"/>
        <v>0</v>
      </c>
      <c r="AI101" s="14">
        <f t="shared" si="48"/>
        <v>0</v>
      </c>
      <c r="AJ101" s="14">
        <f t="shared" si="48"/>
        <v>0</v>
      </c>
      <c r="AK101" s="14">
        <f t="shared" si="48"/>
        <v>0</v>
      </c>
      <c r="AL101" s="14">
        <f t="shared" si="48"/>
        <v>0</v>
      </c>
      <c r="AM101" s="14"/>
      <c r="AN101" s="14"/>
      <c r="AO101" s="14"/>
      <c r="AP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  <c r="BH101" s="14"/>
      <c r="BI101" s="14"/>
      <c r="BJ101" s="14"/>
      <c r="BK101" s="14"/>
      <c r="BL101" s="14"/>
      <c r="BM101" s="14"/>
      <c r="BN101" s="14"/>
      <c r="BO101" s="14"/>
      <c r="BP101" s="14"/>
      <c r="BQ101" s="14"/>
      <c r="BR101" s="14"/>
      <c r="BS101" s="14"/>
    </row>
    <row r="102" spans="1:87" ht="21" customHeight="1" outlineLevel="1" thickBot="1" x14ac:dyDescent="0.4">
      <c r="A102" s="5">
        <f t="shared" si="43"/>
        <v>0</v>
      </c>
      <c r="B102" s="5">
        <f t="shared" si="43"/>
        <v>0</v>
      </c>
      <c r="C102" s="5">
        <f t="shared" si="43"/>
        <v>0</v>
      </c>
      <c r="D102" s="5">
        <f t="shared" si="43"/>
        <v>0</v>
      </c>
      <c r="E102" s="6">
        <f t="shared" si="22"/>
        <v>0</v>
      </c>
      <c r="F102" s="14">
        <f t="shared" ref="F102:AL102" si="49">F26*$C$78</f>
        <v>0</v>
      </c>
      <c r="G102" s="14">
        <f t="shared" si="49"/>
        <v>0</v>
      </c>
      <c r="H102" s="14">
        <f t="shared" si="49"/>
        <v>0</v>
      </c>
      <c r="I102" s="14">
        <f t="shared" si="49"/>
        <v>0</v>
      </c>
      <c r="J102" s="14">
        <f t="shared" si="49"/>
        <v>0</v>
      </c>
      <c r="K102" s="14">
        <f t="shared" si="49"/>
        <v>0</v>
      </c>
      <c r="L102" s="14">
        <f t="shared" si="49"/>
        <v>0</v>
      </c>
      <c r="M102" s="14">
        <f t="shared" si="49"/>
        <v>0</v>
      </c>
      <c r="N102" s="14">
        <f t="shared" si="49"/>
        <v>0</v>
      </c>
      <c r="O102" s="14">
        <f t="shared" si="49"/>
        <v>0</v>
      </c>
      <c r="P102" s="14">
        <f t="shared" si="49"/>
        <v>0</v>
      </c>
      <c r="Q102" s="14">
        <f t="shared" si="49"/>
        <v>0</v>
      </c>
      <c r="R102" s="14">
        <f t="shared" si="49"/>
        <v>0</v>
      </c>
      <c r="S102" s="14">
        <f t="shared" si="49"/>
        <v>0</v>
      </c>
      <c r="T102" s="14">
        <f t="shared" si="49"/>
        <v>0</v>
      </c>
      <c r="U102" s="14">
        <f t="shared" si="49"/>
        <v>0</v>
      </c>
      <c r="V102" s="14">
        <f t="shared" si="49"/>
        <v>0</v>
      </c>
      <c r="W102" s="14">
        <f t="shared" si="49"/>
        <v>0</v>
      </c>
      <c r="X102" s="14">
        <f t="shared" si="49"/>
        <v>0</v>
      </c>
      <c r="Y102" s="14">
        <f t="shared" si="49"/>
        <v>0</v>
      </c>
      <c r="Z102" s="14">
        <f t="shared" si="49"/>
        <v>0</v>
      </c>
      <c r="AA102" s="14">
        <f t="shared" si="49"/>
        <v>0</v>
      </c>
      <c r="AB102" s="14">
        <f t="shared" si="49"/>
        <v>0</v>
      </c>
      <c r="AC102" s="14">
        <f t="shared" si="49"/>
        <v>0</v>
      </c>
      <c r="AD102" s="14">
        <f t="shared" si="49"/>
        <v>0</v>
      </c>
      <c r="AE102" s="14">
        <f t="shared" si="49"/>
        <v>0</v>
      </c>
      <c r="AF102" s="14">
        <f t="shared" si="49"/>
        <v>0</v>
      </c>
      <c r="AG102" s="14">
        <f t="shared" si="49"/>
        <v>0</v>
      </c>
      <c r="AH102" s="14">
        <f t="shared" si="49"/>
        <v>0</v>
      </c>
      <c r="AI102" s="14">
        <f t="shared" si="49"/>
        <v>0</v>
      </c>
      <c r="AJ102" s="14">
        <f t="shared" si="49"/>
        <v>0</v>
      </c>
      <c r="AK102" s="14">
        <f t="shared" si="49"/>
        <v>0</v>
      </c>
      <c r="AL102" s="14">
        <f t="shared" si="49"/>
        <v>0</v>
      </c>
      <c r="AM102" s="14"/>
      <c r="AN102" s="14"/>
      <c r="AO102" s="14"/>
      <c r="AP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  <c r="BH102" s="14"/>
      <c r="BI102" s="14"/>
      <c r="BJ102" s="14"/>
      <c r="BK102" s="14"/>
      <c r="BL102" s="14"/>
      <c r="BM102" s="14"/>
      <c r="BN102" s="14"/>
      <c r="BO102" s="14"/>
      <c r="BP102" s="14"/>
      <c r="BQ102" s="14"/>
      <c r="BR102" s="14"/>
      <c r="BS102" s="14"/>
    </row>
    <row r="103" spans="1:87" ht="21" customHeight="1" outlineLevel="1" thickBot="1" x14ac:dyDescent="0.4">
      <c r="A103" s="5">
        <f t="shared" si="43"/>
        <v>0</v>
      </c>
      <c r="B103" s="5">
        <f t="shared" si="43"/>
        <v>0</v>
      </c>
      <c r="C103" s="5">
        <f t="shared" si="43"/>
        <v>0</v>
      </c>
      <c r="D103" s="5">
        <f t="shared" si="43"/>
        <v>0</v>
      </c>
      <c r="E103" s="6">
        <f t="shared" si="22"/>
        <v>0</v>
      </c>
      <c r="F103" s="14">
        <f t="shared" ref="F103:AL103" si="50">F27*$C$78</f>
        <v>0</v>
      </c>
      <c r="G103" s="14">
        <f t="shared" si="50"/>
        <v>0</v>
      </c>
      <c r="H103" s="14">
        <f t="shared" si="50"/>
        <v>0</v>
      </c>
      <c r="I103" s="14">
        <f t="shared" si="50"/>
        <v>0</v>
      </c>
      <c r="J103" s="14">
        <f t="shared" si="50"/>
        <v>0</v>
      </c>
      <c r="K103" s="14">
        <f t="shared" si="50"/>
        <v>0</v>
      </c>
      <c r="L103" s="14">
        <f t="shared" si="50"/>
        <v>0</v>
      </c>
      <c r="M103" s="14">
        <f t="shared" si="50"/>
        <v>0</v>
      </c>
      <c r="N103" s="14">
        <f t="shared" si="50"/>
        <v>0</v>
      </c>
      <c r="O103" s="14">
        <f t="shared" si="50"/>
        <v>0</v>
      </c>
      <c r="P103" s="14">
        <f t="shared" si="50"/>
        <v>0</v>
      </c>
      <c r="Q103" s="14">
        <f t="shared" si="50"/>
        <v>0</v>
      </c>
      <c r="R103" s="14">
        <f t="shared" si="50"/>
        <v>0</v>
      </c>
      <c r="S103" s="14">
        <f t="shared" si="50"/>
        <v>0</v>
      </c>
      <c r="T103" s="14">
        <f t="shared" si="50"/>
        <v>0</v>
      </c>
      <c r="U103" s="14">
        <f t="shared" si="50"/>
        <v>0</v>
      </c>
      <c r="V103" s="14">
        <f t="shared" si="50"/>
        <v>0</v>
      </c>
      <c r="W103" s="14">
        <f t="shared" si="50"/>
        <v>0</v>
      </c>
      <c r="X103" s="14">
        <f t="shared" si="50"/>
        <v>0</v>
      </c>
      <c r="Y103" s="14">
        <f t="shared" si="50"/>
        <v>0</v>
      </c>
      <c r="Z103" s="14">
        <f t="shared" si="50"/>
        <v>0</v>
      </c>
      <c r="AA103" s="14">
        <f t="shared" si="50"/>
        <v>0</v>
      </c>
      <c r="AB103" s="14">
        <f t="shared" si="50"/>
        <v>0</v>
      </c>
      <c r="AC103" s="14">
        <f t="shared" si="50"/>
        <v>0</v>
      </c>
      <c r="AD103" s="14">
        <f t="shared" si="50"/>
        <v>0</v>
      </c>
      <c r="AE103" s="14">
        <f t="shared" si="50"/>
        <v>0</v>
      </c>
      <c r="AF103" s="14">
        <f t="shared" si="50"/>
        <v>0</v>
      </c>
      <c r="AG103" s="14">
        <f t="shared" si="50"/>
        <v>0</v>
      </c>
      <c r="AH103" s="14">
        <f t="shared" si="50"/>
        <v>0</v>
      </c>
      <c r="AI103" s="14">
        <f t="shared" si="50"/>
        <v>0</v>
      </c>
      <c r="AJ103" s="14">
        <f t="shared" si="50"/>
        <v>0</v>
      </c>
      <c r="AK103" s="14">
        <f t="shared" si="50"/>
        <v>0</v>
      </c>
      <c r="AL103" s="14">
        <f t="shared" si="50"/>
        <v>0</v>
      </c>
      <c r="AM103" s="14"/>
      <c r="AN103" s="14"/>
      <c r="AO103" s="14"/>
      <c r="AP103" s="14"/>
      <c r="AQ103" s="14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4"/>
      <c r="BH103" s="14"/>
      <c r="BI103" s="14"/>
      <c r="BJ103" s="14"/>
      <c r="BK103" s="14"/>
      <c r="BL103" s="14"/>
      <c r="BM103" s="14"/>
      <c r="BN103" s="14"/>
      <c r="BO103" s="14"/>
      <c r="BP103" s="14"/>
      <c r="BQ103" s="14"/>
      <c r="BR103" s="14"/>
      <c r="BS103" s="14"/>
    </row>
    <row r="104" spans="1:87" ht="21" customHeight="1" outlineLevel="1" thickBot="1" x14ac:dyDescent="0.4">
      <c r="A104" s="5">
        <f t="shared" si="43"/>
        <v>0</v>
      </c>
      <c r="B104" s="5">
        <f t="shared" si="43"/>
        <v>0</v>
      </c>
      <c r="C104" s="5">
        <f t="shared" si="43"/>
        <v>0</v>
      </c>
      <c r="D104" s="5">
        <f t="shared" si="43"/>
        <v>0</v>
      </c>
      <c r="E104" s="6">
        <f t="shared" si="22"/>
        <v>0</v>
      </c>
      <c r="F104" s="14">
        <f t="shared" ref="F104:AL104" si="51">F28*$C$78</f>
        <v>0</v>
      </c>
      <c r="G104" s="14">
        <f t="shared" si="51"/>
        <v>0</v>
      </c>
      <c r="H104" s="14">
        <f t="shared" si="51"/>
        <v>0</v>
      </c>
      <c r="I104" s="14">
        <f t="shared" si="51"/>
        <v>0</v>
      </c>
      <c r="J104" s="14">
        <f t="shared" si="51"/>
        <v>0</v>
      </c>
      <c r="K104" s="14">
        <f t="shared" si="51"/>
        <v>0</v>
      </c>
      <c r="L104" s="14">
        <f t="shared" si="51"/>
        <v>0</v>
      </c>
      <c r="M104" s="14">
        <f t="shared" si="51"/>
        <v>0</v>
      </c>
      <c r="N104" s="14">
        <f t="shared" si="51"/>
        <v>0</v>
      </c>
      <c r="O104" s="14">
        <f t="shared" si="51"/>
        <v>0</v>
      </c>
      <c r="P104" s="14">
        <f t="shared" si="51"/>
        <v>0</v>
      </c>
      <c r="Q104" s="14">
        <f t="shared" si="51"/>
        <v>0</v>
      </c>
      <c r="R104" s="14">
        <f t="shared" si="51"/>
        <v>0</v>
      </c>
      <c r="S104" s="14">
        <f t="shared" si="51"/>
        <v>0</v>
      </c>
      <c r="T104" s="14">
        <f t="shared" si="51"/>
        <v>0</v>
      </c>
      <c r="U104" s="14">
        <f t="shared" si="51"/>
        <v>0</v>
      </c>
      <c r="V104" s="14">
        <f t="shared" si="51"/>
        <v>0</v>
      </c>
      <c r="W104" s="14">
        <f t="shared" si="51"/>
        <v>0</v>
      </c>
      <c r="X104" s="14">
        <f t="shared" si="51"/>
        <v>0</v>
      </c>
      <c r="Y104" s="14">
        <f t="shared" si="51"/>
        <v>0</v>
      </c>
      <c r="Z104" s="14">
        <f t="shared" si="51"/>
        <v>0</v>
      </c>
      <c r="AA104" s="14">
        <f t="shared" si="51"/>
        <v>0</v>
      </c>
      <c r="AB104" s="14">
        <f t="shared" si="51"/>
        <v>0</v>
      </c>
      <c r="AC104" s="14">
        <f t="shared" si="51"/>
        <v>0</v>
      </c>
      <c r="AD104" s="14">
        <f t="shared" si="51"/>
        <v>0</v>
      </c>
      <c r="AE104" s="14">
        <f t="shared" si="51"/>
        <v>0</v>
      </c>
      <c r="AF104" s="14">
        <f t="shared" si="51"/>
        <v>0</v>
      </c>
      <c r="AG104" s="14">
        <f t="shared" si="51"/>
        <v>0</v>
      </c>
      <c r="AH104" s="14">
        <f t="shared" si="51"/>
        <v>0</v>
      </c>
      <c r="AI104" s="14">
        <f t="shared" si="51"/>
        <v>0</v>
      </c>
      <c r="AJ104" s="14">
        <f t="shared" si="51"/>
        <v>0</v>
      </c>
      <c r="AK104" s="14">
        <f t="shared" si="51"/>
        <v>0</v>
      </c>
      <c r="AL104" s="14">
        <f t="shared" si="51"/>
        <v>0</v>
      </c>
      <c r="AM104" s="14"/>
      <c r="AN104" s="14"/>
      <c r="AO104" s="14"/>
      <c r="AP104" s="14"/>
      <c r="AQ104" s="14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  <c r="BD104" s="14"/>
      <c r="BE104" s="14"/>
      <c r="BF104" s="14"/>
      <c r="BG104" s="14"/>
      <c r="BH104" s="14"/>
      <c r="BI104" s="14"/>
      <c r="BJ104" s="14"/>
      <c r="BK104" s="14"/>
      <c r="BL104" s="14"/>
      <c r="BM104" s="14"/>
      <c r="BN104" s="14"/>
      <c r="BO104" s="14"/>
      <c r="BP104" s="14"/>
      <c r="BQ104" s="14"/>
      <c r="BR104" s="14"/>
      <c r="BS104" s="14"/>
    </row>
    <row r="105" spans="1:87" ht="21" customHeight="1" outlineLevel="1" thickBot="1" x14ac:dyDescent="0.4">
      <c r="A105" s="5">
        <f t="shared" si="43"/>
        <v>0</v>
      </c>
      <c r="B105" s="5">
        <f t="shared" si="43"/>
        <v>0</v>
      </c>
      <c r="C105" s="5">
        <f t="shared" si="43"/>
        <v>0</v>
      </c>
      <c r="D105" s="5">
        <f t="shared" si="43"/>
        <v>0</v>
      </c>
      <c r="E105" s="6">
        <f t="shared" si="22"/>
        <v>0</v>
      </c>
      <c r="F105" s="14">
        <f t="shared" ref="F105:AL105" si="52">F29*$C$78</f>
        <v>0</v>
      </c>
      <c r="G105" s="14">
        <f t="shared" si="52"/>
        <v>0</v>
      </c>
      <c r="H105" s="14">
        <f t="shared" si="52"/>
        <v>0</v>
      </c>
      <c r="I105" s="14">
        <f t="shared" si="52"/>
        <v>0</v>
      </c>
      <c r="J105" s="14">
        <f t="shared" si="52"/>
        <v>0</v>
      </c>
      <c r="K105" s="14">
        <f t="shared" si="52"/>
        <v>0</v>
      </c>
      <c r="L105" s="14">
        <f t="shared" si="52"/>
        <v>0</v>
      </c>
      <c r="M105" s="14">
        <f t="shared" si="52"/>
        <v>0</v>
      </c>
      <c r="N105" s="14">
        <f t="shared" si="52"/>
        <v>0</v>
      </c>
      <c r="O105" s="14">
        <f t="shared" si="52"/>
        <v>0</v>
      </c>
      <c r="P105" s="14">
        <f t="shared" si="52"/>
        <v>0</v>
      </c>
      <c r="Q105" s="14">
        <f t="shared" si="52"/>
        <v>0</v>
      </c>
      <c r="R105" s="14">
        <f t="shared" si="52"/>
        <v>0</v>
      </c>
      <c r="S105" s="14">
        <f t="shared" si="52"/>
        <v>0</v>
      </c>
      <c r="T105" s="14">
        <f t="shared" si="52"/>
        <v>0</v>
      </c>
      <c r="U105" s="14">
        <f t="shared" si="52"/>
        <v>0</v>
      </c>
      <c r="V105" s="14">
        <f t="shared" si="52"/>
        <v>0</v>
      </c>
      <c r="W105" s="14">
        <f t="shared" si="52"/>
        <v>0</v>
      </c>
      <c r="X105" s="14">
        <f t="shared" si="52"/>
        <v>0</v>
      </c>
      <c r="Y105" s="14">
        <f t="shared" si="52"/>
        <v>0</v>
      </c>
      <c r="Z105" s="14">
        <f t="shared" si="52"/>
        <v>0</v>
      </c>
      <c r="AA105" s="14">
        <f t="shared" si="52"/>
        <v>0</v>
      </c>
      <c r="AB105" s="14">
        <f t="shared" si="52"/>
        <v>0</v>
      </c>
      <c r="AC105" s="14">
        <f t="shared" si="52"/>
        <v>0</v>
      </c>
      <c r="AD105" s="14">
        <f t="shared" si="52"/>
        <v>0</v>
      </c>
      <c r="AE105" s="14">
        <f t="shared" si="52"/>
        <v>0</v>
      </c>
      <c r="AF105" s="14">
        <f t="shared" si="52"/>
        <v>0</v>
      </c>
      <c r="AG105" s="14">
        <f t="shared" si="52"/>
        <v>0</v>
      </c>
      <c r="AH105" s="14">
        <f t="shared" si="52"/>
        <v>0</v>
      </c>
      <c r="AI105" s="14">
        <f t="shared" si="52"/>
        <v>0</v>
      </c>
      <c r="AJ105" s="14">
        <f t="shared" si="52"/>
        <v>0</v>
      </c>
      <c r="AK105" s="14">
        <f t="shared" si="52"/>
        <v>0</v>
      </c>
      <c r="AL105" s="14">
        <f t="shared" si="52"/>
        <v>0</v>
      </c>
      <c r="AM105" s="14"/>
      <c r="AN105" s="14"/>
      <c r="AO105" s="14"/>
      <c r="AP105" s="14"/>
      <c r="AQ105" s="14"/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/>
      <c r="BC105" s="14"/>
      <c r="BD105" s="14"/>
      <c r="BE105" s="14"/>
      <c r="BF105" s="14"/>
      <c r="BG105" s="14"/>
      <c r="BH105" s="14"/>
      <c r="BI105" s="14"/>
      <c r="BJ105" s="14"/>
      <c r="BK105" s="14"/>
      <c r="BL105" s="14"/>
      <c r="BM105" s="14"/>
      <c r="BN105" s="14"/>
      <c r="BO105" s="14"/>
      <c r="BP105" s="14"/>
      <c r="BQ105" s="14"/>
      <c r="BR105" s="14"/>
      <c r="BS105" s="14"/>
    </row>
    <row r="106" spans="1:87" ht="21" customHeight="1" outlineLevel="1" thickBot="1" x14ac:dyDescent="0.4">
      <c r="A106" s="5">
        <f t="shared" si="43"/>
        <v>0</v>
      </c>
      <c r="B106" s="5">
        <f t="shared" si="43"/>
        <v>0</v>
      </c>
      <c r="C106" s="5">
        <f t="shared" si="43"/>
        <v>0</v>
      </c>
      <c r="D106" s="5">
        <f t="shared" si="43"/>
        <v>0</v>
      </c>
      <c r="E106" s="6">
        <f t="shared" si="22"/>
        <v>0</v>
      </c>
      <c r="F106" s="14">
        <f t="shared" ref="F106:AL106" si="53">F30*$C$78</f>
        <v>0</v>
      </c>
      <c r="G106" s="14">
        <f t="shared" si="53"/>
        <v>0</v>
      </c>
      <c r="H106" s="14">
        <f t="shared" si="53"/>
        <v>0</v>
      </c>
      <c r="I106" s="14">
        <f t="shared" si="53"/>
        <v>0</v>
      </c>
      <c r="J106" s="14">
        <f t="shared" si="53"/>
        <v>0</v>
      </c>
      <c r="K106" s="14">
        <f t="shared" si="53"/>
        <v>0</v>
      </c>
      <c r="L106" s="14">
        <f t="shared" si="53"/>
        <v>0</v>
      </c>
      <c r="M106" s="14">
        <f t="shared" si="53"/>
        <v>0</v>
      </c>
      <c r="N106" s="14">
        <f t="shared" si="53"/>
        <v>0</v>
      </c>
      <c r="O106" s="14">
        <f t="shared" si="53"/>
        <v>0</v>
      </c>
      <c r="P106" s="14">
        <f t="shared" si="53"/>
        <v>0</v>
      </c>
      <c r="Q106" s="14">
        <f t="shared" si="53"/>
        <v>0</v>
      </c>
      <c r="R106" s="14">
        <f t="shared" si="53"/>
        <v>0</v>
      </c>
      <c r="S106" s="14">
        <f t="shared" si="53"/>
        <v>0</v>
      </c>
      <c r="T106" s="14">
        <f t="shared" si="53"/>
        <v>0</v>
      </c>
      <c r="U106" s="14">
        <f t="shared" si="53"/>
        <v>0</v>
      </c>
      <c r="V106" s="14">
        <f t="shared" si="53"/>
        <v>0</v>
      </c>
      <c r="W106" s="14">
        <f t="shared" si="53"/>
        <v>0</v>
      </c>
      <c r="X106" s="14">
        <f t="shared" si="53"/>
        <v>0</v>
      </c>
      <c r="Y106" s="14">
        <f t="shared" si="53"/>
        <v>0</v>
      </c>
      <c r="Z106" s="14">
        <f t="shared" si="53"/>
        <v>0</v>
      </c>
      <c r="AA106" s="14">
        <f t="shared" si="53"/>
        <v>0</v>
      </c>
      <c r="AB106" s="14">
        <f t="shared" si="53"/>
        <v>0</v>
      </c>
      <c r="AC106" s="14">
        <f t="shared" si="53"/>
        <v>0</v>
      </c>
      <c r="AD106" s="14">
        <f t="shared" si="53"/>
        <v>0</v>
      </c>
      <c r="AE106" s="14">
        <f t="shared" si="53"/>
        <v>0</v>
      </c>
      <c r="AF106" s="14">
        <f t="shared" si="53"/>
        <v>0</v>
      </c>
      <c r="AG106" s="14">
        <f t="shared" si="53"/>
        <v>0</v>
      </c>
      <c r="AH106" s="14">
        <f t="shared" si="53"/>
        <v>0</v>
      </c>
      <c r="AI106" s="14">
        <f t="shared" si="53"/>
        <v>0</v>
      </c>
      <c r="AJ106" s="14">
        <f t="shared" si="53"/>
        <v>0</v>
      </c>
      <c r="AK106" s="14">
        <f t="shared" si="53"/>
        <v>0</v>
      </c>
      <c r="AL106" s="14">
        <f t="shared" si="53"/>
        <v>0</v>
      </c>
      <c r="AM106" s="14"/>
      <c r="AN106" s="14"/>
      <c r="AO106" s="14"/>
      <c r="AP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4"/>
      <c r="BH106" s="14"/>
      <c r="BI106" s="14"/>
      <c r="BJ106" s="14"/>
      <c r="BK106" s="14"/>
      <c r="BL106" s="14"/>
      <c r="BM106" s="14"/>
      <c r="BN106" s="14"/>
      <c r="BO106" s="14"/>
      <c r="BP106" s="14"/>
      <c r="BQ106" s="14"/>
      <c r="BR106" s="14"/>
      <c r="BS106" s="14"/>
    </row>
    <row r="107" spans="1:87" ht="21" customHeight="1" outlineLevel="1" thickBot="1" x14ac:dyDescent="0.4">
      <c r="A107" s="5">
        <f t="shared" si="43"/>
        <v>0</v>
      </c>
      <c r="B107" s="5">
        <f t="shared" si="43"/>
        <v>0</v>
      </c>
      <c r="C107" s="5">
        <f t="shared" si="43"/>
        <v>0</v>
      </c>
      <c r="D107" s="5">
        <f t="shared" si="43"/>
        <v>0</v>
      </c>
      <c r="E107" s="6">
        <f t="shared" si="22"/>
        <v>0</v>
      </c>
      <c r="F107" s="14">
        <f t="shared" ref="F107:AL107" si="54">F31*$C$78</f>
        <v>0</v>
      </c>
      <c r="G107" s="14">
        <f t="shared" si="54"/>
        <v>0</v>
      </c>
      <c r="H107" s="14">
        <f t="shared" si="54"/>
        <v>0</v>
      </c>
      <c r="I107" s="14">
        <f t="shared" si="54"/>
        <v>0</v>
      </c>
      <c r="J107" s="14">
        <f t="shared" si="54"/>
        <v>0</v>
      </c>
      <c r="K107" s="14">
        <f t="shared" si="54"/>
        <v>0</v>
      </c>
      <c r="L107" s="14">
        <f t="shared" si="54"/>
        <v>0</v>
      </c>
      <c r="M107" s="14">
        <f t="shared" si="54"/>
        <v>0</v>
      </c>
      <c r="N107" s="14">
        <f t="shared" si="54"/>
        <v>0</v>
      </c>
      <c r="O107" s="14">
        <f t="shared" si="54"/>
        <v>0</v>
      </c>
      <c r="P107" s="14">
        <f t="shared" si="54"/>
        <v>0</v>
      </c>
      <c r="Q107" s="14">
        <f t="shared" si="54"/>
        <v>0</v>
      </c>
      <c r="R107" s="14">
        <f t="shared" si="54"/>
        <v>0</v>
      </c>
      <c r="S107" s="14">
        <f t="shared" si="54"/>
        <v>0</v>
      </c>
      <c r="T107" s="14">
        <f t="shared" si="54"/>
        <v>0</v>
      </c>
      <c r="U107" s="14">
        <f t="shared" si="54"/>
        <v>0</v>
      </c>
      <c r="V107" s="14">
        <f t="shared" si="54"/>
        <v>0</v>
      </c>
      <c r="W107" s="14">
        <f t="shared" si="54"/>
        <v>0</v>
      </c>
      <c r="X107" s="14">
        <f t="shared" si="54"/>
        <v>0</v>
      </c>
      <c r="Y107" s="14">
        <f t="shared" si="54"/>
        <v>0</v>
      </c>
      <c r="Z107" s="14">
        <f t="shared" si="54"/>
        <v>0</v>
      </c>
      <c r="AA107" s="14">
        <f t="shared" si="54"/>
        <v>0</v>
      </c>
      <c r="AB107" s="14">
        <f t="shared" si="54"/>
        <v>0</v>
      </c>
      <c r="AC107" s="14">
        <f t="shared" si="54"/>
        <v>0</v>
      </c>
      <c r="AD107" s="14">
        <f t="shared" si="54"/>
        <v>0</v>
      </c>
      <c r="AE107" s="14">
        <f t="shared" si="54"/>
        <v>0</v>
      </c>
      <c r="AF107" s="14">
        <f t="shared" si="54"/>
        <v>0</v>
      </c>
      <c r="AG107" s="14">
        <f t="shared" si="54"/>
        <v>0</v>
      </c>
      <c r="AH107" s="14">
        <f t="shared" si="54"/>
        <v>0</v>
      </c>
      <c r="AI107" s="14">
        <f t="shared" si="54"/>
        <v>0</v>
      </c>
      <c r="AJ107" s="14">
        <f t="shared" si="54"/>
        <v>0</v>
      </c>
      <c r="AK107" s="14">
        <f t="shared" si="54"/>
        <v>0</v>
      </c>
      <c r="AL107" s="14">
        <f t="shared" si="54"/>
        <v>0</v>
      </c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14"/>
      <c r="BG107" s="14"/>
      <c r="BH107" s="14"/>
      <c r="BI107" s="14"/>
      <c r="BJ107" s="14"/>
      <c r="BK107" s="14"/>
      <c r="BL107" s="14"/>
      <c r="BM107" s="14"/>
      <c r="BN107" s="14"/>
      <c r="BO107" s="14"/>
      <c r="BP107" s="14"/>
      <c r="BQ107" s="14"/>
      <c r="BR107" s="14"/>
      <c r="BS107" s="14"/>
    </row>
    <row r="108" spans="1:87" ht="21" customHeight="1" outlineLevel="1" thickBot="1" x14ac:dyDescent="0.4">
      <c r="A108" s="5">
        <f t="shared" si="43"/>
        <v>0</v>
      </c>
      <c r="B108" s="5">
        <f t="shared" si="43"/>
        <v>0</v>
      </c>
      <c r="C108" s="5">
        <f t="shared" si="43"/>
        <v>0</v>
      </c>
      <c r="D108" s="5">
        <f t="shared" si="43"/>
        <v>0</v>
      </c>
      <c r="E108" s="6">
        <f t="shared" si="22"/>
        <v>0</v>
      </c>
      <c r="F108" s="14">
        <f t="shared" ref="F108:AL108" si="55">F32*$C$78</f>
        <v>0</v>
      </c>
      <c r="G108" s="14">
        <f t="shared" si="55"/>
        <v>0</v>
      </c>
      <c r="H108" s="14">
        <f t="shared" si="55"/>
        <v>0</v>
      </c>
      <c r="I108" s="14">
        <f t="shared" si="55"/>
        <v>0</v>
      </c>
      <c r="J108" s="14">
        <f t="shared" si="55"/>
        <v>0</v>
      </c>
      <c r="K108" s="14">
        <f t="shared" si="55"/>
        <v>0</v>
      </c>
      <c r="L108" s="14">
        <f t="shared" si="55"/>
        <v>0</v>
      </c>
      <c r="M108" s="14">
        <f t="shared" si="55"/>
        <v>0</v>
      </c>
      <c r="N108" s="14">
        <f t="shared" si="55"/>
        <v>0</v>
      </c>
      <c r="O108" s="14">
        <f t="shared" si="55"/>
        <v>0</v>
      </c>
      <c r="P108" s="14">
        <f t="shared" si="55"/>
        <v>0</v>
      </c>
      <c r="Q108" s="14">
        <f t="shared" si="55"/>
        <v>0</v>
      </c>
      <c r="R108" s="14">
        <f t="shared" si="55"/>
        <v>0</v>
      </c>
      <c r="S108" s="14">
        <f t="shared" si="55"/>
        <v>0</v>
      </c>
      <c r="T108" s="14">
        <f t="shared" si="55"/>
        <v>0</v>
      </c>
      <c r="U108" s="14">
        <f t="shared" si="55"/>
        <v>0</v>
      </c>
      <c r="V108" s="14">
        <f t="shared" si="55"/>
        <v>0</v>
      </c>
      <c r="W108" s="14">
        <f t="shared" si="55"/>
        <v>0</v>
      </c>
      <c r="X108" s="14">
        <f t="shared" si="55"/>
        <v>0</v>
      </c>
      <c r="Y108" s="14">
        <f t="shared" si="55"/>
        <v>0</v>
      </c>
      <c r="Z108" s="14">
        <f t="shared" si="55"/>
        <v>0</v>
      </c>
      <c r="AA108" s="14">
        <f t="shared" si="55"/>
        <v>0</v>
      </c>
      <c r="AB108" s="14">
        <f t="shared" si="55"/>
        <v>0</v>
      </c>
      <c r="AC108" s="14">
        <f t="shared" si="55"/>
        <v>0</v>
      </c>
      <c r="AD108" s="14">
        <f t="shared" si="55"/>
        <v>0</v>
      </c>
      <c r="AE108" s="14">
        <f t="shared" si="55"/>
        <v>0</v>
      </c>
      <c r="AF108" s="14">
        <f t="shared" si="55"/>
        <v>0</v>
      </c>
      <c r="AG108" s="14">
        <f t="shared" si="55"/>
        <v>0</v>
      </c>
      <c r="AH108" s="14">
        <f t="shared" si="55"/>
        <v>0</v>
      </c>
      <c r="AI108" s="14">
        <f t="shared" si="55"/>
        <v>0</v>
      </c>
      <c r="AJ108" s="14">
        <f t="shared" si="55"/>
        <v>0</v>
      </c>
      <c r="AK108" s="14">
        <f t="shared" si="55"/>
        <v>0</v>
      </c>
      <c r="AL108" s="14">
        <f t="shared" si="55"/>
        <v>0</v>
      </c>
      <c r="AM108" s="14"/>
      <c r="AN108" s="14"/>
      <c r="AO108" s="14"/>
      <c r="AP108" s="14"/>
      <c r="AQ108" s="14"/>
      <c r="AR108" s="14"/>
      <c r="AS108" s="14"/>
      <c r="AT108" s="14"/>
      <c r="AU108" s="14"/>
      <c r="AV108" s="14"/>
      <c r="AW108" s="14"/>
      <c r="AX108" s="14"/>
      <c r="AY108" s="14"/>
      <c r="AZ108" s="14"/>
      <c r="BA108" s="14"/>
      <c r="BB108" s="14"/>
      <c r="BC108" s="14"/>
      <c r="BD108" s="14"/>
      <c r="BE108" s="14"/>
      <c r="BF108" s="14"/>
      <c r="BG108" s="14"/>
      <c r="BH108" s="14"/>
      <c r="BI108" s="14"/>
      <c r="BJ108" s="14"/>
      <c r="BK108" s="14"/>
      <c r="BL108" s="14"/>
      <c r="BM108" s="14"/>
      <c r="BN108" s="14"/>
      <c r="BO108" s="14"/>
      <c r="BP108" s="14"/>
      <c r="BQ108" s="14"/>
      <c r="BR108" s="14"/>
      <c r="BS108" s="14"/>
    </row>
    <row r="109" spans="1:87" ht="21" customHeight="1" outlineLevel="1" thickBot="1" x14ac:dyDescent="0.4">
      <c r="A109" s="5">
        <f t="shared" si="43"/>
        <v>0</v>
      </c>
      <c r="B109" s="5">
        <f t="shared" si="43"/>
        <v>0</v>
      </c>
      <c r="C109" s="5">
        <f t="shared" si="43"/>
        <v>0</v>
      </c>
      <c r="D109" s="5">
        <f t="shared" si="43"/>
        <v>0</v>
      </c>
      <c r="E109" s="6">
        <f t="shared" si="22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</row>
    <row r="110" spans="1:87" ht="21" customHeight="1" outlineLevel="1" x14ac:dyDescent="0.35"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  <c r="AA110" s="48"/>
      <c r="AB110" s="48"/>
      <c r="AC110" s="48"/>
      <c r="AD110" s="48"/>
      <c r="AE110" s="48"/>
      <c r="AF110" s="48"/>
      <c r="AG110" s="48"/>
      <c r="AH110" s="48"/>
      <c r="AI110" s="48"/>
      <c r="AJ110" s="48"/>
      <c r="AK110" s="48"/>
      <c r="AL110" s="48"/>
    </row>
    <row r="111" spans="1:87" ht="21" customHeight="1" x14ac:dyDescent="0.35"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  <c r="AA111" s="48"/>
      <c r="AB111" s="48"/>
      <c r="AC111" s="48"/>
      <c r="AD111" s="48"/>
      <c r="AE111" s="48"/>
      <c r="AF111" s="48"/>
      <c r="AG111" s="48"/>
      <c r="AH111" s="48"/>
      <c r="AI111" s="48"/>
      <c r="AJ111" s="48"/>
      <c r="AK111" s="48"/>
      <c r="AL111" s="48"/>
    </row>
    <row r="112" spans="1:87" ht="21" customHeight="1" thickBot="1" x14ac:dyDescent="0.45">
      <c r="A112" s="66"/>
      <c r="B112" s="66"/>
      <c r="C112" s="66"/>
      <c r="D112" s="66"/>
      <c r="E112" s="65" t="s">
        <v>41</v>
      </c>
      <c r="F112" s="66"/>
      <c r="G112" s="66"/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6"/>
      <c r="V112" s="66"/>
      <c r="W112" s="66"/>
      <c r="X112" s="66"/>
      <c r="Y112" s="66"/>
      <c r="Z112" s="66"/>
      <c r="AA112" s="66"/>
      <c r="AB112" s="66"/>
      <c r="AC112" s="66"/>
      <c r="AD112" s="66"/>
      <c r="AE112" s="66"/>
      <c r="AF112" s="66"/>
      <c r="AG112" s="66"/>
      <c r="AH112" s="66"/>
      <c r="AI112" s="66"/>
      <c r="AJ112" s="66"/>
      <c r="AK112" s="66"/>
      <c r="AL112" s="66"/>
      <c r="AM112" s="66"/>
      <c r="AN112" s="66"/>
      <c r="AO112" s="66"/>
      <c r="AP112" s="66"/>
      <c r="AQ112" s="66"/>
      <c r="AR112" s="66"/>
      <c r="AS112" s="66"/>
      <c r="AT112" s="66"/>
      <c r="AU112" s="66"/>
      <c r="AV112" s="66"/>
      <c r="AW112" s="66"/>
      <c r="AX112" s="66"/>
      <c r="AY112" s="66"/>
      <c r="AZ112" s="66"/>
      <c r="BA112" s="66"/>
      <c r="BB112" s="66"/>
      <c r="BC112" s="66"/>
      <c r="BD112" s="66"/>
      <c r="BE112" s="66"/>
      <c r="BF112" s="66"/>
      <c r="BG112" s="66"/>
      <c r="BH112" s="66"/>
      <c r="BI112" s="66"/>
      <c r="BJ112" s="66"/>
      <c r="BK112" s="66"/>
      <c r="BL112" s="66"/>
      <c r="BM112" s="66"/>
      <c r="BN112" s="66"/>
      <c r="BO112" s="66"/>
      <c r="BP112" s="66"/>
      <c r="BQ112" s="66"/>
      <c r="BR112" s="66"/>
      <c r="BS112" s="66"/>
      <c r="BT112" s="66"/>
      <c r="BU112" s="66"/>
      <c r="BV112" s="66"/>
      <c r="BW112" s="66"/>
      <c r="BX112" s="66"/>
      <c r="BY112" s="66"/>
      <c r="BZ112" s="66"/>
      <c r="CA112" s="66"/>
      <c r="CB112" s="66"/>
      <c r="CC112" s="66"/>
      <c r="CD112" s="66"/>
      <c r="CE112" s="66"/>
      <c r="CF112" s="66"/>
      <c r="CG112" s="66"/>
      <c r="CH112" s="66"/>
      <c r="CI112" s="66"/>
    </row>
    <row r="113" spans="1:71" ht="21" customHeight="1" outlineLevel="1" thickTop="1" thickBot="1" x14ac:dyDescent="0.4">
      <c r="A113" s="101"/>
      <c r="B113" s="101"/>
      <c r="C113" s="21" t="s">
        <v>10</v>
      </c>
      <c r="D113" s="15" t="s">
        <v>11</v>
      </c>
      <c r="E113" s="15"/>
      <c r="F113" s="4">
        <f t="shared" ref="F113:AL113" si="56">F3</f>
        <v>273.10000000000002</v>
      </c>
      <c r="G113" s="4">
        <f t="shared" si="56"/>
        <v>289.7</v>
      </c>
      <c r="H113" s="4">
        <f t="shared" si="56"/>
        <v>306.2</v>
      </c>
      <c r="I113" s="4">
        <f t="shared" si="56"/>
        <v>322.7</v>
      </c>
      <c r="J113" s="4">
        <f t="shared" si="56"/>
        <v>339.2</v>
      </c>
      <c r="K113" s="4">
        <f t="shared" si="56"/>
        <v>405.3</v>
      </c>
      <c r="L113" s="4">
        <f t="shared" si="56"/>
        <v>421.8</v>
      </c>
      <c r="M113" s="4">
        <f t="shared" si="56"/>
        <v>438.3</v>
      </c>
      <c r="N113" s="4">
        <f t="shared" si="56"/>
        <v>454.9</v>
      </c>
      <c r="O113" s="4">
        <f t="shared" si="56"/>
        <v>471.4</v>
      </c>
      <c r="P113" s="4">
        <f t="shared" si="56"/>
        <v>487.9</v>
      </c>
      <c r="Q113" s="4">
        <f t="shared" si="56"/>
        <v>504.4</v>
      </c>
      <c r="R113" s="4">
        <f t="shared" si="56"/>
        <v>520.9</v>
      </c>
      <c r="S113" s="4">
        <f t="shared" si="56"/>
        <v>537.5</v>
      </c>
      <c r="T113" s="4">
        <f t="shared" si="56"/>
        <v>554</v>
      </c>
      <c r="U113" s="4">
        <f t="shared" si="56"/>
        <v>570.5</v>
      </c>
      <c r="V113" s="4">
        <f t="shared" si="56"/>
        <v>587</v>
      </c>
      <c r="W113" s="4">
        <f t="shared" si="56"/>
        <v>603.5</v>
      </c>
      <c r="X113" s="4">
        <f t="shared" si="56"/>
        <v>620.1</v>
      </c>
      <c r="Y113" s="4">
        <f t="shared" si="56"/>
        <v>636.6</v>
      </c>
      <c r="Z113" s="4">
        <f t="shared" si="56"/>
        <v>653.1</v>
      </c>
      <c r="AA113" s="4">
        <f t="shared" si="56"/>
        <v>669.6</v>
      </c>
      <c r="AB113" s="4">
        <f t="shared" si="56"/>
        <v>735.7</v>
      </c>
      <c r="AC113" s="4">
        <f t="shared" si="56"/>
        <v>801.8</v>
      </c>
      <c r="AD113" s="4">
        <f t="shared" si="56"/>
        <v>867.8</v>
      </c>
      <c r="AE113" s="4">
        <f t="shared" si="56"/>
        <v>884.4</v>
      </c>
      <c r="AF113" s="4">
        <f t="shared" si="56"/>
        <v>900.9</v>
      </c>
      <c r="AG113" s="4">
        <f t="shared" si="56"/>
        <v>917.4</v>
      </c>
      <c r="AH113" s="4">
        <f t="shared" si="56"/>
        <v>933.9</v>
      </c>
      <c r="AI113" s="4">
        <f t="shared" si="56"/>
        <v>950.4</v>
      </c>
      <c r="AJ113" s="4">
        <f t="shared" si="56"/>
        <v>967</v>
      </c>
      <c r="AK113" s="4">
        <f t="shared" si="56"/>
        <v>983.5</v>
      </c>
      <c r="AL113" s="4">
        <f t="shared" si="56"/>
        <v>1000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</row>
    <row r="114" spans="1:71" ht="21" customHeight="1" outlineLevel="1" thickTop="1" thickBot="1" x14ac:dyDescent="0.4">
      <c r="A114" s="48"/>
      <c r="B114" s="48"/>
      <c r="C114" s="22">
        <f>COUNTA(E114:E121)+1</f>
        <v>7</v>
      </c>
      <c r="E114" s="17" t="s">
        <v>33</v>
      </c>
      <c r="F114" s="47">
        <f t="shared" ref="F114:AL114" ca="1" si="57">F$113*$B$2*SUMPRODUCT(F$85:F$94,F$51:F$60)/1000</f>
        <v>45035.163076896933</v>
      </c>
      <c r="G114" s="47">
        <f t="shared" ca="1" si="57"/>
        <v>43084.438823650293</v>
      </c>
      <c r="H114" s="47">
        <f t="shared" ca="1" si="57"/>
        <v>41100.865952540378</v>
      </c>
      <c r="I114" s="47">
        <f t="shared" ca="1" si="57"/>
        <v>38964.960938897711</v>
      </c>
      <c r="J114" s="47">
        <f t="shared" ca="1" si="57"/>
        <v>36649.884179689114</v>
      </c>
      <c r="K114" s="47">
        <f t="shared" ca="1" si="57"/>
        <v>27663.94816426449</v>
      </c>
      <c r="L114" s="47">
        <f t="shared" ca="1" si="57"/>
        <v>25840.931347318052</v>
      </c>
      <c r="M114" s="47">
        <f t="shared" ca="1" si="57"/>
        <v>24214.936925192625</v>
      </c>
      <c r="N114" s="47">
        <f t="shared" ca="1" si="57"/>
        <v>22800.774078640603</v>
      </c>
      <c r="O114" s="47">
        <f t="shared" ca="1" si="57"/>
        <v>21563.922325722251</v>
      </c>
      <c r="P114" s="47">
        <f t="shared" ca="1" si="57"/>
        <v>20467.388033819512</v>
      </c>
      <c r="Q114" s="47">
        <f t="shared" ca="1" si="57"/>
        <v>19463.472698155692</v>
      </c>
      <c r="R114" s="47">
        <f t="shared" ca="1" si="57"/>
        <v>18544.768788421999</v>
      </c>
      <c r="S114" s="47">
        <f t="shared" ca="1" si="57"/>
        <v>17714.93845170943</v>
      </c>
      <c r="T114" s="47">
        <f t="shared" ca="1" si="57"/>
        <v>16973.145922402829</v>
      </c>
      <c r="U114" s="47">
        <f t="shared" ca="1" si="57"/>
        <v>16325.633770374245</v>
      </c>
      <c r="V114" s="47">
        <f t="shared" ca="1" si="57"/>
        <v>15776.643544754774</v>
      </c>
      <c r="W114" s="47">
        <f t="shared" ca="1" si="57"/>
        <v>15314.563042152575</v>
      </c>
      <c r="X114" s="47">
        <f t="shared" ca="1" si="57"/>
        <v>14915.301301910924</v>
      </c>
      <c r="Y114" s="47">
        <f t="shared" ca="1" si="57"/>
        <v>14572.683288449716</v>
      </c>
      <c r="Z114" s="47">
        <f t="shared" ca="1" si="57"/>
        <v>14271.338158437318</v>
      </c>
      <c r="AA114" s="47">
        <f t="shared" ca="1" si="57"/>
        <v>14005.311545067188</v>
      </c>
      <c r="AB114" s="47">
        <f t="shared" ca="1" si="57"/>
        <v>13254.303241512376</v>
      </c>
      <c r="AC114" s="47">
        <f t="shared" ca="1" si="57"/>
        <v>12999.403589559466</v>
      </c>
      <c r="AD114" s="47">
        <f t="shared" ca="1" si="57"/>
        <v>13492.916320878125</v>
      </c>
      <c r="AE114" s="47">
        <f t="shared" ca="1" si="57"/>
        <v>13730.645390747521</v>
      </c>
      <c r="AF114" s="47">
        <f t="shared" ca="1" si="57"/>
        <v>13995.363873404125</v>
      </c>
      <c r="AG114" s="47">
        <f t="shared" ca="1" si="57"/>
        <v>14278.748076094591</v>
      </c>
      <c r="AH114" s="47">
        <f t="shared" ca="1" si="57"/>
        <v>14574.403978390386</v>
      </c>
      <c r="AI114" s="47">
        <f t="shared" ca="1" si="57"/>
        <v>14879.078572034932</v>
      </c>
      <c r="AJ114" s="47">
        <f t="shared" ca="1" si="57"/>
        <v>15190.415691597851</v>
      </c>
      <c r="AK114" s="47">
        <f t="shared" ca="1" si="57"/>
        <v>15505.031484043324</v>
      </c>
      <c r="AL114" s="47">
        <f t="shared" ca="1" si="57"/>
        <v>15823.025219400333</v>
      </c>
      <c r="AM114" s="47"/>
      <c r="AN114" s="47"/>
      <c r="AO114" s="47"/>
      <c r="AP114" s="47"/>
      <c r="AQ114" s="47"/>
      <c r="AR114" s="47"/>
      <c r="AS114" s="47"/>
      <c r="AT114" s="47"/>
      <c r="AU114" s="47"/>
      <c r="AV114" s="47"/>
      <c r="AW114" s="47"/>
      <c r="AX114" s="47"/>
      <c r="AY114" s="47"/>
      <c r="AZ114" s="47"/>
      <c r="BA114" s="47"/>
      <c r="BB114" s="47"/>
      <c r="BC114" s="47"/>
      <c r="BD114" s="47"/>
      <c r="BE114" s="47"/>
      <c r="BF114" s="47"/>
      <c r="BG114" s="47"/>
      <c r="BH114" s="47"/>
      <c r="BI114" s="47"/>
      <c r="BJ114" s="47"/>
      <c r="BK114" s="47"/>
      <c r="BL114" s="47"/>
      <c r="BM114" s="47"/>
      <c r="BN114" s="47"/>
      <c r="BO114" s="47"/>
      <c r="BP114" s="47"/>
      <c r="BQ114" s="47"/>
      <c r="BR114" s="47"/>
      <c r="BS114" s="47"/>
    </row>
    <row r="115" spans="1:71" ht="21" customHeight="1" outlineLevel="1" thickBot="1" x14ac:dyDescent="0.4">
      <c r="A115" s="48"/>
      <c r="B115" s="48"/>
      <c r="C115" s="23">
        <f xml:space="preserve"> COUNTIF(F113:AL113,"&lt;&gt;"&amp;0)</f>
        <v>33</v>
      </c>
      <c r="E115" s="17" t="s">
        <v>35</v>
      </c>
      <c r="F115" s="14">
        <f t="shared" ref="F115:AL115" ca="1" si="58">F$113*$B$2*SUMPRODUCT(F$100:F$101,F$65:F$66)/1000</f>
        <v>0</v>
      </c>
      <c r="G115" s="14">
        <f t="shared" ca="1" si="58"/>
        <v>0</v>
      </c>
      <c r="H115" s="14">
        <f t="shared" ca="1" si="58"/>
        <v>0</v>
      </c>
      <c r="I115" s="14">
        <f t="shared" ca="1" si="58"/>
        <v>0</v>
      </c>
      <c r="J115" s="14">
        <f t="shared" ca="1" si="58"/>
        <v>0</v>
      </c>
      <c r="K115" s="14">
        <f t="shared" ca="1" si="58"/>
        <v>0</v>
      </c>
      <c r="L115" s="14">
        <f t="shared" ca="1" si="58"/>
        <v>0</v>
      </c>
      <c r="M115" s="14">
        <f t="shared" ca="1" si="58"/>
        <v>0</v>
      </c>
      <c r="N115" s="14">
        <f t="shared" ca="1" si="58"/>
        <v>0</v>
      </c>
      <c r="O115" s="14">
        <f t="shared" ca="1" si="58"/>
        <v>0</v>
      </c>
      <c r="P115" s="14">
        <f t="shared" ca="1" si="58"/>
        <v>0</v>
      </c>
      <c r="Q115" s="14">
        <f t="shared" ca="1" si="58"/>
        <v>0</v>
      </c>
      <c r="R115" s="14">
        <f t="shared" ca="1" si="58"/>
        <v>0</v>
      </c>
      <c r="S115" s="14">
        <f t="shared" ca="1" si="58"/>
        <v>0</v>
      </c>
      <c r="T115" s="14">
        <f t="shared" ca="1" si="58"/>
        <v>0</v>
      </c>
      <c r="U115" s="14">
        <f t="shared" ca="1" si="58"/>
        <v>0</v>
      </c>
      <c r="V115" s="14">
        <f t="shared" ca="1" si="58"/>
        <v>0</v>
      </c>
      <c r="W115" s="14">
        <f t="shared" ca="1" si="58"/>
        <v>0</v>
      </c>
      <c r="X115" s="14">
        <f t="shared" ca="1" si="58"/>
        <v>0</v>
      </c>
      <c r="Y115" s="14">
        <f t="shared" ca="1" si="58"/>
        <v>0</v>
      </c>
      <c r="Z115" s="14">
        <f t="shared" ca="1" si="58"/>
        <v>0</v>
      </c>
      <c r="AA115" s="14">
        <f t="shared" ca="1" si="58"/>
        <v>0</v>
      </c>
      <c r="AB115" s="14">
        <f t="shared" ca="1" si="58"/>
        <v>0</v>
      </c>
      <c r="AC115" s="14">
        <f t="shared" ca="1" si="58"/>
        <v>0</v>
      </c>
      <c r="AD115" s="14">
        <f t="shared" ca="1" si="58"/>
        <v>0</v>
      </c>
      <c r="AE115" s="14">
        <f t="shared" ca="1" si="58"/>
        <v>0</v>
      </c>
      <c r="AF115" s="14">
        <f t="shared" ca="1" si="58"/>
        <v>0</v>
      </c>
      <c r="AG115" s="14">
        <f t="shared" ca="1" si="58"/>
        <v>0</v>
      </c>
      <c r="AH115" s="14">
        <f t="shared" ca="1" si="58"/>
        <v>0</v>
      </c>
      <c r="AI115" s="14">
        <f t="shared" ca="1" si="58"/>
        <v>0</v>
      </c>
      <c r="AJ115" s="14">
        <f t="shared" ca="1" si="58"/>
        <v>0</v>
      </c>
      <c r="AK115" s="14">
        <f t="shared" ca="1" si="58"/>
        <v>0</v>
      </c>
      <c r="AL115" s="14">
        <f t="shared" ca="1" si="58"/>
        <v>0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</row>
    <row r="116" spans="1:71" ht="21" customHeight="1" outlineLevel="1" thickBot="1" x14ac:dyDescent="0.4">
      <c r="E116" s="17" t="s">
        <v>13</v>
      </c>
      <c r="F116" s="14">
        <f t="shared" ref="F116:AL116" ca="1" si="59">F$113*$B$2*SUMPRODUCT(F$82:F$83,F$48:F$49)/1000</f>
        <v>-106.74893038619977</v>
      </c>
      <c r="G116" s="14">
        <f t="shared" ca="1" si="59"/>
        <v>-106.54416296921787</v>
      </c>
      <c r="H116" s="14">
        <f t="shared" ca="1" si="59"/>
        <v>-101.40643744818507</v>
      </c>
      <c r="I116" s="14">
        <f t="shared" ca="1" si="59"/>
        <v>-89.857438424759536</v>
      </c>
      <c r="J116" s="14">
        <f t="shared" ca="1" si="59"/>
        <v>-75.115543090099223</v>
      </c>
      <c r="K116" s="14">
        <f t="shared" ca="1" si="59"/>
        <v>-54.63489600976559</v>
      </c>
      <c r="L116" s="14">
        <f t="shared" ca="1" si="59"/>
        <v>-55.844424453612014</v>
      </c>
      <c r="M116" s="14">
        <f t="shared" ca="1" si="59"/>
        <v>-57.581254561064171</v>
      </c>
      <c r="N116" s="14">
        <f t="shared" ca="1" si="59"/>
        <v>-59.581749509403402</v>
      </c>
      <c r="O116" s="14">
        <f t="shared" ca="1" si="59"/>
        <v>-61.692681031781348</v>
      </c>
      <c r="P116" s="14">
        <f t="shared" ca="1" si="59"/>
        <v>-63.870552589675917</v>
      </c>
      <c r="Q116" s="14">
        <f t="shared" ca="1" si="59"/>
        <v>-66.08999188878559</v>
      </c>
      <c r="R116" s="14">
        <f t="shared" ca="1" si="59"/>
        <v>-68.373589794870682</v>
      </c>
      <c r="S116" s="14">
        <f t="shared" ca="1" si="59"/>
        <v>-70.654187195908023</v>
      </c>
      <c r="T116" s="14">
        <f t="shared" ca="1" si="59"/>
        <v>-72.97265326362141</v>
      </c>
      <c r="U116" s="14">
        <f t="shared" ca="1" si="59"/>
        <v>-75.263123536690955</v>
      </c>
      <c r="V116" s="14">
        <f t="shared" ca="1" si="59"/>
        <v>-77.561356822581629</v>
      </c>
      <c r="W116" s="14">
        <f t="shared" ca="1" si="59"/>
        <v>-79.908593007294044</v>
      </c>
      <c r="X116" s="14">
        <f t="shared" ca="1" si="59"/>
        <v>-82.235397475520841</v>
      </c>
      <c r="Y116" s="14">
        <f t="shared" ca="1" si="59"/>
        <v>-84.599972599432363</v>
      </c>
      <c r="Z116" s="14">
        <f t="shared" ca="1" si="59"/>
        <v>-86.928458426758937</v>
      </c>
      <c r="AA116" s="14">
        <f t="shared" ca="1" si="59"/>
        <v>-89.310204974059971</v>
      </c>
      <c r="AB116" s="14">
        <f t="shared" ca="1" si="59"/>
        <v>-98.789189185614731</v>
      </c>
      <c r="AC116" s="14">
        <f t="shared" ca="1" si="59"/>
        <v>-108.38725385105826</v>
      </c>
      <c r="AD116" s="14">
        <f t="shared" ca="1" si="59"/>
        <v>-118.09078807073938</v>
      </c>
      <c r="AE116" s="14">
        <f t="shared" ca="1" si="59"/>
        <v>-120.53356045541368</v>
      </c>
      <c r="AF116" s="14">
        <f t="shared" ca="1" si="59"/>
        <v>-122.96958423773334</v>
      </c>
      <c r="AG116" s="14">
        <f t="shared" ca="1" si="59"/>
        <v>-125.41246748263276</v>
      </c>
      <c r="AH116" s="14">
        <f t="shared" ca="1" si="59"/>
        <v>-127.86221019007625</v>
      </c>
      <c r="AI116" s="14">
        <f t="shared" ca="1" si="59"/>
        <v>-130.31881236004415</v>
      </c>
      <c r="AJ116" s="14">
        <f t="shared" ca="1" si="59"/>
        <v>-132.79600677502586</v>
      </c>
      <c r="AK116" s="14">
        <f t="shared" ca="1" si="59"/>
        <v>-135.26634865626534</v>
      </c>
      <c r="AL116" s="14">
        <f t="shared" ca="1" si="59"/>
        <v>-137.74355000000912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</row>
    <row r="117" spans="1:71" ht="21" customHeight="1" outlineLevel="1" thickBot="1" x14ac:dyDescent="0.4">
      <c r="E117" s="17" t="s">
        <v>34</v>
      </c>
      <c r="F117" s="14">
        <f ca="1">F116+F114</f>
        <v>44928.414146510731</v>
      </c>
      <c r="G117" s="14">
        <f t="shared" ref="G117:AL117" ca="1" si="60">G116+G114</f>
        <v>42977.894660681071</v>
      </c>
      <c r="H117" s="14">
        <f t="shared" ca="1" si="60"/>
        <v>40999.459515092196</v>
      </c>
      <c r="I117" s="14">
        <f t="shared" ca="1" si="60"/>
        <v>38875.103500472949</v>
      </c>
      <c r="J117" s="14">
        <f t="shared" ca="1" si="60"/>
        <v>36574.768636599016</v>
      </c>
      <c r="K117" s="14">
        <f t="shared" ca="1" si="60"/>
        <v>27609.313268254726</v>
      </c>
      <c r="L117" s="14">
        <f t="shared" ca="1" si="60"/>
        <v>25785.086922864441</v>
      </c>
      <c r="M117" s="14">
        <f t="shared" ca="1" si="60"/>
        <v>24157.355670631561</v>
      </c>
      <c r="N117" s="14">
        <f t="shared" ca="1" si="60"/>
        <v>22741.192329131198</v>
      </c>
      <c r="O117" s="14">
        <f t="shared" ca="1" si="60"/>
        <v>21502.229644690469</v>
      </c>
      <c r="P117" s="14">
        <f t="shared" ca="1" si="60"/>
        <v>20403.517481229836</v>
      </c>
      <c r="Q117" s="14">
        <f t="shared" ca="1" si="60"/>
        <v>19397.382706266908</v>
      </c>
      <c r="R117" s="14">
        <f t="shared" ca="1" si="60"/>
        <v>18476.395198627128</v>
      </c>
      <c r="S117" s="14">
        <f t="shared" ca="1" si="60"/>
        <v>17644.284264513521</v>
      </c>
      <c r="T117" s="14">
        <f t="shared" ca="1" si="60"/>
        <v>16900.173269139206</v>
      </c>
      <c r="U117" s="14">
        <f t="shared" ca="1" si="60"/>
        <v>16250.370646837553</v>
      </c>
      <c r="V117" s="14">
        <f t="shared" ca="1" si="60"/>
        <v>15699.082187932192</v>
      </c>
      <c r="W117" s="14">
        <f t="shared" ca="1" si="60"/>
        <v>15234.654449145281</v>
      </c>
      <c r="X117" s="14">
        <f t="shared" ca="1" si="60"/>
        <v>14833.065904435403</v>
      </c>
      <c r="Y117" s="14">
        <f t="shared" ca="1" si="60"/>
        <v>14488.083315850285</v>
      </c>
      <c r="Z117" s="14">
        <f t="shared" ca="1" si="60"/>
        <v>14184.409700010559</v>
      </c>
      <c r="AA117" s="14">
        <f t="shared" ca="1" si="60"/>
        <v>13916.001340093129</v>
      </c>
      <c r="AB117" s="14">
        <f t="shared" ca="1" si="60"/>
        <v>13155.514052326762</v>
      </c>
      <c r="AC117" s="14">
        <f t="shared" ca="1" si="60"/>
        <v>12891.016335708407</v>
      </c>
      <c r="AD117" s="14">
        <f t="shared" ca="1" si="60"/>
        <v>13374.825532807385</v>
      </c>
      <c r="AE117" s="14">
        <f t="shared" ca="1" si="60"/>
        <v>13610.111830292108</v>
      </c>
      <c r="AF117" s="14">
        <f t="shared" ca="1" si="60"/>
        <v>13872.394289166392</v>
      </c>
      <c r="AG117" s="14">
        <f t="shared" ca="1" si="60"/>
        <v>14153.335608611958</v>
      </c>
      <c r="AH117" s="14">
        <f t="shared" ca="1" si="60"/>
        <v>14446.54176820031</v>
      </c>
      <c r="AI117" s="14">
        <f t="shared" ca="1" si="60"/>
        <v>14748.759759674887</v>
      </c>
      <c r="AJ117" s="14">
        <f t="shared" ca="1" si="60"/>
        <v>15057.619684822825</v>
      </c>
      <c r="AK117" s="14">
        <f t="shared" ca="1" si="60"/>
        <v>15369.765135387059</v>
      </c>
      <c r="AL117" s="14">
        <f t="shared" ca="1" si="60"/>
        <v>15685.281669400325</v>
      </c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14"/>
    </row>
    <row r="118" spans="1:71" ht="21" customHeight="1" outlineLevel="1" thickBot="1" x14ac:dyDescent="0.4">
      <c r="E118" s="17" t="s">
        <v>36</v>
      </c>
      <c r="F118" s="14">
        <f ca="1">F116+F115</f>
        <v>-106.74893038619977</v>
      </c>
      <c r="G118" s="14">
        <f t="shared" ref="G118:AL118" ca="1" si="61">G116+G115</f>
        <v>-106.54416296921787</v>
      </c>
      <c r="H118" s="14">
        <f t="shared" ca="1" si="61"/>
        <v>-101.40643744818507</v>
      </c>
      <c r="I118" s="14">
        <f t="shared" ca="1" si="61"/>
        <v>-89.857438424759536</v>
      </c>
      <c r="J118" s="14">
        <f t="shared" ca="1" si="61"/>
        <v>-75.115543090099223</v>
      </c>
      <c r="K118" s="14">
        <f t="shared" ca="1" si="61"/>
        <v>-54.63489600976559</v>
      </c>
      <c r="L118" s="14">
        <f t="shared" ca="1" si="61"/>
        <v>-55.844424453612014</v>
      </c>
      <c r="M118" s="14">
        <f t="shared" ca="1" si="61"/>
        <v>-57.581254561064171</v>
      </c>
      <c r="N118" s="14">
        <f t="shared" ca="1" si="61"/>
        <v>-59.581749509403402</v>
      </c>
      <c r="O118" s="14">
        <f t="shared" ca="1" si="61"/>
        <v>-61.692681031781348</v>
      </c>
      <c r="P118" s="14">
        <f t="shared" ca="1" si="61"/>
        <v>-63.870552589675917</v>
      </c>
      <c r="Q118" s="14">
        <f t="shared" ca="1" si="61"/>
        <v>-66.08999188878559</v>
      </c>
      <c r="R118" s="14">
        <f t="shared" ca="1" si="61"/>
        <v>-68.373589794870682</v>
      </c>
      <c r="S118" s="14">
        <f t="shared" ca="1" si="61"/>
        <v>-70.654187195908023</v>
      </c>
      <c r="T118" s="14">
        <f t="shared" ca="1" si="61"/>
        <v>-72.97265326362141</v>
      </c>
      <c r="U118" s="14">
        <f t="shared" ca="1" si="61"/>
        <v>-75.263123536690955</v>
      </c>
      <c r="V118" s="14">
        <f t="shared" ca="1" si="61"/>
        <v>-77.561356822581629</v>
      </c>
      <c r="W118" s="14">
        <f t="shared" ca="1" si="61"/>
        <v>-79.908593007294044</v>
      </c>
      <c r="X118" s="14">
        <f t="shared" ca="1" si="61"/>
        <v>-82.235397475520841</v>
      </c>
      <c r="Y118" s="14">
        <f t="shared" ca="1" si="61"/>
        <v>-84.599972599432363</v>
      </c>
      <c r="Z118" s="14">
        <f t="shared" ca="1" si="61"/>
        <v>-86.928458426758937</v>
      </c>
      <c r="AA118" s="14">
        <f t="shared" ca="1" si="61"/>
        <v>-89.310204974059971</v>
      </c>
      <c r="AB118" s="14">
        <f t="shared" ca="1" si="61"/>
        <v>-98.789189185614731</v>
      </c>
      <c r="AC118" s="14">
        <f t="shared" ca="1" si="61"/>
        <v>-108.38725385105826</v>
      </c>
      <c r="AD118" s="14">
        <f t="shared" ca="1" si="61"/>
        <v>-118.09078807073938</v>
      </c>
      <c r="AE118" s="14">
        <f t="shared" ca="1" si="61"/>
        <v>-120.53356045541368</v>
      </c>
      <c r="AF118" s="14">
        <f t="shared" ca="1" si="61"/>
        <v>-122.96958423773334</v>
      </c>
      <c r="AG118" s="14">
        <f t="shared" ca="1" si="61"/>
        <v>-125.41246748263276</v>
      </c>
      <c r="AH118" s="14">
        <f t="shared" ca="1" si="61"/>
        <v>-127.86221019007625</v>
      </c>
      <c r="AI118" s="14">
        <f t="shared" ca="1" si="61"/>
        <v>-130.31881236004415</v>
      </c>
      <c r="AJ118" s="14">
        <f t="shared" ca="1" si="61"/>
        <v>-132.79600677502586</v>
      </c>
      <c r="AK118" s="14">
        <f t="shared" ca="1" si="61"/>
        <v>-135.26634865626534</v>
      </c>
      <c r="AL118" s="14">
        <f t="shared" ca="1" si="61"/>
        <v>-137.74355000000912</v>
      </c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  <c r="BF118" s="14"/>
      <c r="BG118" s="14"/>
      <c r="BH118" s="14"/>
      <c r="BI118" s="14"/>
      <c r="BJ118" s="14"/>
      <c r="BK118" s="14"/>
      <c r="BL118" s="14"/>
      <c r="BM118" s="14"/>
      <c r="BN118" s="14"/>
      <c r="BO118" s="14"/>
      <c r="BP118" s="14"/>
      <c r="BQ118" s="14"/>
      <c r="BR118" s="14"/>
      <c r="BS118" s="14"/>
    </row>
    <row r="119" spans="1:71" ht="21" customHeight="1" outlineLevel="1" x14ac:dyDescent="0.35">
      <c r="E119" s="81" t="s">
        <v>38</v>
      </c>
      <c r="F119" s="82">
        <f ca="1">SUM(F114:F116)</f>
        <v>44928.414146510731</v>
      </c>
      <c r="G119" s="82">
        <f t="shared" ref="G119:AL119" ca="1" si="62">SUM(G114:G116)</f>
        <v>42977.894660681071</v>
      </c>
      <c r="H119" s="82">
        <f t="shared" ca="1" si="62"/>
        <v>40999.459515092196</v>
      </c>
      <c r="I119" s="82">
        <f t="shared" ca="1" si="62"/>
        <v>38875.103500472949</v>
      </c>
      <c r="J119" s="82">
        <f t="shared" ca="1" si="62"/>
        <v>36574.768636599016</v>
      </c>
      <c r="K119" s="82">
        <f t="shared" ca="1" si="62"/>
        <v>27609.313268254726</v>
      </c>
      <c r="L119" s="82">
        <f t="shared" ca="1" si="62"/>
        <v>25785.086922864441</v>
      </c>
      <c r="M119" s="82">
        <f t="shared" ca="1" si="62"/>
        <v>24157.355670631561</v>
      </c>
      <c r="N119" s="82">
        <f t="shared" ca="1" si="62"/>
        <v>22741.192329131198</v>
      </c>
      <c r="O119" s="82">
        <f t="shared" ca="1" si="62"/>
        <v>21502.229644690469</v>
      </c>
      <c r="P119" s="82">
        <f t="shared" ca="1" si="62"/>
        <v>20403.517481229836</v>
      </c>
      <c r="Q119" s="82">
        <f t="shared" ca="1" si="62"/>
        <v>19397.382706266908</v>
      </c>
      <c r="R119" s="82">
        <f t="shared" ca="1" si="62"/>
        <v>18476.395198627128</v>
      </c>
      <c r="S119" s="82">
        <f t="shared" ca="1" si="62"/>
        <v>17644.284264513521</v>
      </c>
      <c r="T119" s="82">
        <f t="shared" ca="1" si="62"/>
        <v>16900.173269139206</v>
      </c>
      <c r="U119" s="82">
        <f t="shared" ca="1" si="62"/>
        <v>16250.370646837553</v>
      </c>
      <c r="V119" s="82">
        <f t="shared" ca="1" si="62"/>
        <v>15699.082187932192</v>
      </c>
      <c r="W119" s="82">
        <f t="shared" ca="1" si="62"/>
        <v>15234.654449145281</v>
      </c>
      <c r="X119" s="82">
        <f t="shared" ca="1" si="62"/>
        <v>14833.065904435403</v>
      </c>
      <c r="Y119" s="82">
        <f t="shared" ca="1" si="62"/>
        <v>14488.083315850285</v>
      </c>
      <c r="Z119" s="82">
        <f t="shared" ca="1" si="62"/>
        <v>14184.409700010559</v>
      </c>
      <c r="AA119" s="82">
        <f t="shared" ca="1" si="62"/>
        <v>13916.001340093129</v>
      </c>
      <c r="AB119" s="82">
        <f t="shared" ca="1" si="62"/>
        <v>13155.514052326762</v>
      </c>
      <c r="AC119" s="82">
        <f t="shared" ca="1" si="62"/>
        <v>12891.016335708407</v>
      </c>
      <c r="AD119" s="82">
        <f t="shared" ca="1" si="62"/>
        <v>13374.825532807385</v>
      </c>
      <c r="AE119" s="82">
        <f t="shared" ca="1" si="62"/>
        <v>13610.111830292108</v>
      </c>
      <c r="AF119" s="82">
        <f t="shared" ca="1" si="62"/>
        <v>13872.394289166392</v>
      </c>
      <c r="AG119" s="82">
        <f t="shared" ca="1" si="62"/>
        <v>14153.335608611958</v>
      </c>
      <c r="AH119" s="82">
        <f t="shared" ca="1" si="62"/>
        <v>14446.54176820031</v>
      </c>
      <c r="AI119" s="82">
        <f t="shared" ca="1" si="62"/>
        <v>14748.759759674887</v>
      </c>
      <c r="AJ119" s="82">
        <f t="shared" ca="1" si="62"/>
        <v>15057.619684822825</v>
      </c>
      <c r="AK119" s="82">
        <f t="shared" ca="1" si="62"/>
        <v>15369.765135387059</v>
      </c>
      <c r="AL119" s="82">
        <f t="shared" ca="1" si="62"/>
        <v>15685.281669400325</v>
      </c>
      <c r="AM119" s="82"/>
      <c r="AN119" s="82"/>
      <c r="AO119" s="82"/>
      <c r="AP119" s="82"/>
      <c r="AQ119" s="82"/>
      <c r="AR119" s="82"/>
      <c r="AS119" s="82"/>
      <c r="AT119" s="82"/>
      <c r="AU119" s="82"/>
      <c r="AV119" s="82"/>
      <c r="AW119" s="82"/>
      <c r="AX119" s="82"/>
      <c r="AY119" s="82"/>
      <c r="AZ119" s="82"/>
      <c r="BA119" s="82"/>
      <c r="BB119" s="82"/>
      <c r="BC119" s="82"/>
      <c r="BD119" s="82"/>
      <c r="BE119" s="82"/>
      <c r="BF119" s="82"/>
      <c r="BG119" s="82"/>
      <c r="BH119" s="82"/>
      <c r="BI119" s="82"/>
      <c r="BJ119" s="82"/>
      <c r="BK119" s="82"/>
      <c r="BL119" s="82"/>
      <c r="BM119" s="82"/>
      <c r="BN119" s="82"/>
      <c r="BO119" s="82"/>
      <c r="BP119" s="82"/>
      <c r="BQ119" s="82"/>
      <c r="BR119" s="82"/>
      <c r="BS119" s="82"/>
    </row>
    <row r="120" spans="1:71" ht="21" customHeight="1" outlineLevel="1" x14ac:dyDescent="0.35"/>
    <row r="121" spans="1:71" ht="21" customHeight="1" outlineLevel="1" thickBot="1" x14ac:dyDescent="0.4">
      <c r="E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  <c r="AA121" s="48"/>
      <c r="AB121" s="48"/>
      <c r="AC121" s="48"/>
      <c r="AD121" s="48"/>
      <c r="AE121" s="48"/>
      <c r="AF121" s="48"/>
      <c r="AG121" s="48"/>
      <c r="AH121" s="48"/>
      <c r="AI121" s="48"/>
      <c r="AJ121" s="48"/>
      <c r="AK121" s="48"/>
      <c r="AL121" s="48"/>
    </row>
    <row r="122" spans="1:71" ht="21" customHeight="1" outlineLevel="1" thickTop="1" thickBot="1" x14ac:dyDescent="0.4">
      <c r="E122" s="4">
        <f t="array" aca="1" ref="E122:AL135" ca="1">OFFSET(E113,0,0,C114,C115+1)</f>
        <v>0</v>
      </c>
      <c r="F122" s="4">
        <f ca="1"/>
        <v>273.10000000000002</v>
      </c>
      <c r="G122" s="4">
        <f ca="1"/>
        <v>289.7</v>
      </c>
      <c r="H122" s="4">
        <f ca="1"/>
        <v>306.2</v>
      </c>
      <c r="I122" s="4">
        <f ca="1"/>
        <v>322.7</v>
      </c>
      <c r="J122" s="4">
        <f ca="1"/>
        <v>339.2</v>
      </c>
      <c r="K122" s="4">
        <f ca="1"/>
        <v>405.3</v>
      </c>
      <c r="L122" s="4">
        <f ca="1"/>
        <v>421.8</v>
      </c>
      <c r="M122" s="4">
        <f ca="1"/>
        <v>438.3</v>
      </c>
      <c r="N122" s="4">
        <f ca="1"/>
        <v>454.9</v>
      </c>
      <c r="O122" s="4">
        <f ca="1"/>
        <v>471.4</v>
      </c>
      <c r="P122" s="4">
        <f ca="1"/>
        <v>487.9</v>
      </c>
      <c r="Q122" s="4">
        <f ca="1"/>
        <v>504.4</v>
      </c>
      <c r="R122" s="4">
        <f ca="1"/>
        <v>520.9</v>
      </c>
      <c r="S122" s="4">
        <f ca="1"/>
        <v>537.5</v>
      </c>
      <c r="T122" s="20">
        <f ca="1"/>
        <v>554</v>
      </c>
      <c r="U122" s="56">
        <f ca="1"/>
        <v>570.5</v>
      </c>
      <c r="V122" s="57">
        <f ca="1"/>
        <v>587</v>
      </c>
      <c r="W122" s="59">
        <f ca="1"/>
        <v>603.5</v>
      </c>
      <c r="X122" s="54">
        <f ca="1"/>
        <v>620.1</v>
      </c>
      <c r="Y122" s="4">
        <f ca="1"/>
        <v>636.6</v>
      </c>
      <c r="Z122" s="4">
        <f ca="1"/>
        <v>653.1</v>
      </c>
      <c r="AA122" s="4">
        <f ca="1"/>
        <v>669.6</v>
      </c>
      <c r="AB122" s="4">
        <f ca="1"/>
        <v>735.7</v>
      </c>
      <c r="AC122" s="4">
        <f ca="1"/>
        <v>801.8</v>
      </c>
      <c r="AD122" s="4">
        <f ca="1"/>
        <v>867.8</v>
      </c>
      <c r="AE122" s="4">
        <f ca="1"/>
        <v>884.4</v>
      </c>
      <c r="AF122" s="4">
        <f ca="1"/>
        <v>900.9</v>
      </c>
      <c r="AG122" s="4">
        <f ca="1"/>
        <v>917.4</v>
      </c>
      <c r="AH122" s="4">
        <f ca="1"/>
        <v>933.9</v>
      </c>
      <c r="AI122" s="4">
        <f ca="1"/>
        <v>950.4</v>
      </c>
      <c r="AJ122" s="4">
        <f ca="1"/>
        <v>967</v>
      </c>
      <c r="AK122" s="4">
        <f ca="1"/>
        <v>983.5</v>
      </c>
      <c r="AL122" s="4">
        <f ca="1"/>
        <v>1000</v>
      </c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</row>
    <row r="123" spans="1:71" ht="21" customHeight="1" outlineLevel="1" thickTop="1" thickBot="1" x14ac:dyDescent="0.4">
      <c r="E123" s="17" t="str">
        <f ca="1"/>
        <v xml:space="preserve">Раствор 1(тв): </v>
      </c>
      <c r="F123" s="48">
        <f ca="1"/>
        <v>45035.163076896933</v>
      </c>
      <c r="G123" s="48">
        <f ca="1"/>
        <v>43084.438823650293</v>
      </c>
      <c r="H123" s="48">
        <f ca="1"/>
        <v>41100.865952540378</v>
      </c>
      <c r="I123" s="48">
        <f ca="1"/>
        <v>38964.960938897711</v>
      </c>
      <c r="J123" s="48">
        <f ca="1"/>
        <v>36649.884179689114</v>
      </c>
      <c r="K123" s="48">
        <f ca="1"/>
        <v>27663.94816426449</v>
      </c>
      <c r="L123" s="48">
        <f ca="1"/>
        <v>25840.931347318052</v>
      </c>
      <c r="M123" s="48">
        <f ca="1"/>
        <v>24214.936925192625</v>
      </c>
      <c r="N123" s="48">
        <f ca="1"/>
        <v>22800.774078640603</v>
      </c>
      <c r="O123" s="48">
        <f ca="1"/>
        <v>21563.922325722251</v>
      </c>
      <c r="P123" s="48">
        <f ca="1"/>
        <v>20467.388033819512</v>
      </c>
      <c r="Q123" s="48">
        <f ca="1"/>
        <v>19463.472698155692</v>
      </c>
      <c r="R123" s="48">
        <f ca="1"/>
        <v>18544.768788421999</v>
      </c>
      <c r="S123" s="48">
        <f ca="1"/>
        <v>17714.93845170943</v>
      </c>
      <c r="T123" s="48">
        <f ca="1"/>
        <v>16973.145922402829</v>
      </c>
      <c r="U123" s="48">
        <f ca="1"/>
        <v>16325.633770374245</v>
      </c>
      <c r="V123" s="48">
        <f ca="1"/>
        <v>15776.643544754774</v>
      </c>
      <c r="W123" s="48">
        <f ca="1"/>
        <v>15314.563042152575</v>
      </c>
      <c r="X123" s="48">
        <f ca="1"/>
        <v>14915.301301910924</v>
      </c>
      <c r="Y123" s="48">
        <f ca="1"/>
        <v>14572.683288449716</v>
      </c>
      <c r="Z123" s="48">
        <f ca="1"/>
        <v>14271.338158437318</v>
      </c>
      <c r="AA123" s="48">
        <f ca="1"/>
        <v>14005.311545067188</v>
      </c>
      <c r="AB123" s="48">
        <f ca="1"/>
        <v>13254.303241512376</v>
      </c>
      <c r="AC123" s="48">
        <f ca="1"/>
        <v>12999.403589559466</v>
      </c>
      <c r="AD123" s="48">
        <f ca="1"/>
        <v>13492.916320878125</v>
      </c>
      <c r="AE123" s="48">
        <f ca="1"/>
        <v>13730.645390747521</v>
      </c>
      <c r="AF123" s="48">
        <f ca="1"/>
        <v>13995.363873404125</v>
      </c>
      <c r="AG123" s="48">
        <f ca="1"/>
        <v>14278.748076094591</v>
      </c>
      <c r="AH123" s="48">
        <f ca="1"/>
        <v>14574.403978390386</v>
      </c>
      <c r="AI123" s="48">
        <f ca="1"/>
        <v>14879.078572034932</v>
      </c>
      <c r="AJ123" s="48">
        <f ca="1"/>
        <v>15190.415691597851</v>
      </c>
      <c r="AK123" s="48">
        <f ca="1"/>
        <v>15505.031484043324</v>
      </c>
      <c r="AL123" s="48">
        <f ca="1"/>
        <v>15823.025219400333</v>
      </c>
    </row>
    <row r="124" spans="1:71" ht="21" customHeight="1" outlineLevel="1" thickBot="1" x14ac:dyDescent="0.4">
      <c r="E124" s="17" t="str">
        <f ca="1"/>
        <v xml:space="preserve">Раствор 3 (жид): </v>
      </c>
      <c r="F124" s="48">
        <f ca="1"/>
        <v>0</v>
      </c>
      <c r="G124" s="48">
        <f ca="1"/>
        <v>0</v>
      </c>
      <c r="H124" s="48">
        <f ca="1"/>
        <v>0</v>
      </c>
      <c r="I124" s="48">
        <f ca="1"/>
        <v>0</v>
      </c>
      <c r="J124" s="48">
        <f ca="1"/>
        <v>0</v>
      </c>
      <c r="K124" s="48">
        <f ca="1"/>
        <v>0</v>
      </c>
      <c r="L124" s="48">
        <f ca="1"/>
        <v>0</v>
      </c>
      <c r="M124" s="48">
        <f ca="1"/>
        <v>0</v>
      </c>
      <c r="N124" s="48">
        <f ca="1"/>
        <v>0</v>
      </c>
      <c r="O124" s="48">
        <f ca="1"/>
        <v>0</v>
      </c>
      <c r="P124" s="48">
        <f ca="1"/>
        <v>0</v>
      </c>
      <c r="Q124" s="48">
        <f ca="1"/>
        <v>0</v>
      </c>
      <c r="R124" s="48">
        <f ca="1"/>
        <v>0</v>
      </c>
      <c r="S124" s="48">
        <f ca="1"/>
        <v>0</v>
      </c>
      <c r="T124" s="48">
        <f ca="1"/>
        <v>0</v>
      </c>
      <c r="U124" s="48">
        <f ca="1"/>
        <v>0</v>
      </c>
      <c r="V124" s="48">
        <f ca="1"/>
        <v>0</v>
      </c>
      <c r="W124" s="48">
        <f ca="1"/>
        <v>0</v>
      </c>
      <c r="X124" s="48">
        <f ca="1"/>
        <v>0</v>
      </c>
      <c r="Y124" s="48">
        <f ca="1"/>
        <v>0</v>
      </c>
      <c r="Z124" s="48">
        <f ca="1"/>
        <v>0</v>
      </c>
      <c r="AA124" s="48">
        <f ca="1"/>
        <v>0</v>
      </c>
      <c r="AB124" s="48">
        <f ca="1"/>
        <v>0</v>
      </c>
      <c r="AC124" s="48">
        <f ca="1"/>
        <v>0</v>
      </c>
      <c r="AD124" s="48">
        <f ca="1"/>
        <v>0</v>
      </c>
      <c r="AE124" s="48">
        <f ca="1"/>
        <v>0</v>
      </c>
      <c r="AF124" s="48">
        <f ca="1"/>
        <v>0</v>
      </c>
      <c r="AG124" s="48">
        <f ca="1"/>
        <v>0</v>
      </c>
      <c r="AH124" s="48">
        <f ca="1"/>
        <v>0</v>
      </c>
      <c r="AI124" s="48">
        <f ca="1"/>
        <v>0</v>
      </c>
      <c r="AJ124" s="48">
        <f ca="1"/>
        <v>0</v>
      </c>
      <c r="AK124" s="48">
        <f ca="1"/>
        <v>0</v>
      </c>
      <c r="AL124" s="48">
        <f ca="1"/>
        <v>0</v>
      </c>
    </row>
    <row r="125" spans="1:71" ht="21" customHeight="1" outlineLevel="1" thickBot="1" x14ac:dyDescent="0.4">
      <c r="E125" s="17" t="str">
        <f ca="1"/>
        <v xml:space="preserve">Газовая без Ar: </v>
      </c>
      <c r="F125" s="48">
        <f ca="1"/>
        <v>-106.74893038619977</v>
      </c>
      <c r="G125" s="48">
        <f ca="1"/>
        <v>-106.54416296921787</v>
      </c>
      <c r="H125" s="48">
        <f ca="1"/>
        <v>-101.40643744818507</v>
      </c>
      <c r="I125" s="48">
        <f ca="1"/>
        <v>-89.857438424759536</v>
      </c>
      <c r="J125" s="48">
        <f ca="1"/>
        <v>-75.115543090099223</v>
      </c>
      <c r="K125" s="48">
        <f ca="1"/>
        <v>-54.63489600976559</v>
      </c>
      <c r="L125" s="48">
        <f ca="1"/>
        <v>-55.844424453612014</v>
      </c>
      <c r="M125" s="48">
        <f ca="1"/>
        <v>-57.581254561064171</v>
      </c>
      <c r="N125" s="48">
        <f ca="1"/>
        <v>-59.581749509403402</v>
      </c>
      <c r="O125" s="48">
        <f ca="1"/>
        <v>-61.692681031781348</v>
      </c>
      <c r="P125" s="48">
        <f ca="1"/>
        <v>-63.870552589675917</v>
      </c>
      <c r="Q125" s="48">
        <f ca="1"/>
        <v>-66.08999188878559</v>
      </c>
      <c r="R125" s="48">
        <f ca="1"/>
        <v>-68.373589794870682</v>
      </c>
      <c r="S125" s="48">
        <f ca="1"/>
        <v>-70.654187195908023</v>
      </c>
      <c r="T125" s="48">
        <f ca="1"/>
        <v>-72.97265326362141</v>
      </c>
      <c r="U125" s="48">
        <f ca="1"/>
        <v>-75.263123536690955</v>
      </c>
      <c r="V125" s="48">
        <f ca="1"/>
        <v>-77.561356822581629</v>
      </c>
      <c r="W125" s="48">
        <f ca="1"/>
        <v>-79.908593007294044</v>
      </c>
      <c r="X125" s="48">
        <f ca="1"/>
        <v>-82.235397475520841</v>
      </c>
      <c r="Y125" s="48">
        <f ca="1"/>
        <v>-84.599972599432363</v>
      </c>
      <c r="Z125" s="48">
        <f ca="1"/>
        <v>-86.928458426758937</v>
      </c>
      <c r="AA125" s="48">
        <f ca="1"/>
        <v>-89.310204974059971</v>
      </c>
      <c r="AB125" s="48">
        <f ca="1"/>
        <v>-98.789189185614731</v>
      </c>
      <c r="AC125" s="48">
        <f ca="1"/>
        <v>-108.38725385105826</v>
      </c>
      <c r="AD125" s="48">
        <f ca="1"/>
        <v>-118.09078807073938</v>
      </c>
      <c r="AE125" s="48">
        <f ca="1"/>
        <v>-120.53356045541368</v>
      </c>
      <c r="AF125" s="48">
        <f ca="1"/>
        <v>-122.96958423773334</v>
      </c>
      <c r="AG125" s="48">
        <f ca="1"/>
        <v>-125.41246748263276</v>
      </c>
      <c r="AH125" s="48">
        <f ca="1"/>
        <v>-127.86221019007625</v>
      </c>
      <c r="AI125" s="48">
        <f ca="1"/>
        <v>-130.31881236004415</v>
      </c>
      <c r="AJ125" s="48">
        <f ca="1"/>
        <v>-132.79600677502586</v>
      </c>
      <c r="AK125" s="48">
        <f ca="1"/>
        <v>-135.26634865626534</v>
      </c>
      <c r="AL125" s="48">
        <f ca="1"/>
        <v>-137.74355000000912</v>
      </c>
    </row>
    <row r="126" spans="1:71" ht="21" customHeight="1" outlineLevel="1" thickBot="1" x14ac:dyDescent="0.4">
      <c r="E126" s="17" t="str">
        <f ca="1"/>
        <v xml:space="preserve">Раствор 1 + газовая без Ar: </v>
      </c>
      <c r="F126" s="48">
        <f ca="1"/>
        <v>44928.414146510731</v>
      </c>
      <c r="G126" s="48">
        <f ca="1"/>
        <v>42977.894660681071</v>
      </c>
      <c r="H126" s="48">
        <f ca="1"/>
        <v>40999.459515092196</v>
      </c>
      <c r="I126" s="48">
        <f ca="1"/>
        <v>38875.103500472949</v>
      </c>
      <c r="J126" s="48">
        <f ca="1"/>
        <v>36574.768636599016</v>
      </c>
      <c r="K126" s="48">
        <f ca="1"/>
        <v>27609.313268254726</v>
      </c>
      <c r="L126" s="48">
        <f ca="1"/>
        <v>25785.086922864441</v>
      </c>
      <c r="M126" s="48">
        <f ca="1"/>
        <v>24157.355670631561</v>
      </c>
      <c r="N126" s="48">
        <f ca="1"/>
        <v>22741.192329131198</v>
      </c>
      <c r="O126" s="48">
        <f ca="1"/>
        <v>21502.229644690469</v>
      </c>
      <c r="P126" s="48">
        <f ca="1"/>
        <v>20403.517481229836</v>
      </c>
      <c r="Q126" s="48">
        <f ca="1"/>
        <v>19397.382706266908</v>
      </c>
      <c r="R126" s="48">
        <f ca="1"/>
        <v>18476.395198627128</v>
      </c>
      <c r="S126" s="48">
        <f ca="1"/>
        <v>17644.284264513521</v>
      </c>
      <c r="T126" s="48">
        <f ca="1"/>
        <v>16900.173269139206</v>
      </c>
      <c r="U126" s="48">
        <f ca="1"/>
        <v>16250.370646837553</v>
      </c>
      <c r="V126" s="48">
        <f ca="1"/>
        <v>15699.082187932192</v>
      </c>
      <c r="W126" s="48">
        <f ca="1"/>
        <v>15234.654449145281</v>
      </c>
      <c r="X126" s="48">
        <f ca="1"/>
        <v>14833.065904435403</v>
      </c>
      <c r="Y126" s="48">
        <f ca="1"/>
        <v>14488.083315850285</v>
      </c>
      <c r="Z126" s="48">
        <f ca="1"/>
        <v>14184.409700010559</v>
      </c>
      <c r="AA126" s="48">
        <f ca="1"/>
        <v>13916.001340093129</v>
      </c>
      <c r="AB126" s="48">
        <f ca="1"/>
        <v>13155.514052326762</v>
      </c>
      <c r="AC126" s="48">
        <f ca="1"/>
        <v>12891.016335708407</v>
      </c>
      <c r="AD126" s="48">
        <f ca="1"/>
        <v>13374.825532807385</v>
      </c>
      <c r="AE126" s="48">
        <f ca="1"/>
        <v>13610.111830292108</v>
      </c>
      <c r="AF126" s="48">
        <f ca="1"/>
        <v>13872.394289166392</v>
      </c>
      <c r="AG126" s="48">
        <f ca="1"/>
        <v>14153.335608611958</v>
      </c>
      <c r="AH126" s="48">
        <f ca="1"/>
        <v>14446.54176820031</v>
      </c>
      <c r="AI126" s="48">
        <f ca="1"/>
        <v>14748.759759674887</v>
      </c>
      <c r="AJ126" s="48">
        <f ca="1"/>
        <v>15057.619684822825</v>
      </c>
      <c r="AK126" s="48">
        <f ca="1"/>
        <v>15369.765135387059</v>
      </c>
      <c r="AL126" s="48">
        <f ca="1"/>
        <v>15685.281669400325</v>
      </c>
    </row>
    <row r="127" spans="1:71" ht="21" customHeight="1" outlineLevel="1" thickBot="1" x14ac:dyDescent="0.4">
      <c r="E127" s="17" t="str">
        <f ca="1"/>
        <v xml:space="preserve">Раствор 3 + газовая без Ar: </v>
      </c>
      <c r="F127" s="48">
        <f ca="1"/>
        <v>-106.74893038619977</v>
      </c>
      <c r="G127" s="48">
        <f ca="1"/>
        <v>-106.54416296921787</v>
      </c>
      <c r="H127" s="48">
        <f ca="1"/>
        <v>-101.40643744818507</v>
      </c>
      <c r="I127" s="48">
        <f ca="1"/>
        <v>-89.857438424759536</v>
      </c>
      <c r="J127" s="48">
        <f ca="1"/>
        <v>-75.115543090099223</v>
      </c>
      <c r="K127" s="48">
        <f ca="1"/>
        <v>-54.63489600976559</v>
      </c>
      <c r="L127" s="48">
        <f ca="1"/>
        <v>-55.844424453612014</v>
      </c>
      <c r="M127" s="48">
        <f ca="1"/>
        <v>-57.581254561064171</v>
      </c>
      <c r="N127" s="48">
        <f ca="1"/>
        <v>-59.581749509403402</v>
      </c>
      <c r="O127" s="48">
        <f ca="1"/>
        <v>-61.692681031781348</v>
      </c>
      <c r="P127" s="48">
        <f ca="1"/>
        <v>-63.870552589675917</v>
      </c>
      <c r="Q127" s="48">
        <f ca="1"/>
        <v>-66.08999188878559</v>
      </c>
      <c r="R127" s="48">
        <f ca="1"/>
        <v>-68.373589794870682</v>
      </c>
      <c r="S127" s="48">
        <f ca="1"/>
        <v>-70.654187195908023</v>
      </c>
      <c r="T127" s="48">
        <f ca="1"/>
        <v>-72.97265326362141</v>
      </c>
      <c r="U127" s="48">
        <f ca="1"/>
        <v>-75.263123536690955</v>
      </c>
      <c r="V127" s="48">
        <f ca="1"/>
        <v>-77.561356822581629</v>
      </c>
      <c r="W127" s="48">
        <f ca="1"/>
        <v>-79.908593007294044</v>
      </c>
      <c r="X127" s="48">
        <f ca="1"/>
        <v>-82.235397475520841</v>
      </c>
      <c r="Y127" s="48">
        <f ca="1"/>
        <v>-84.599972599432363</v>
      </c>
      <c r="Z127" s="48">
        <f ca="1"/>
        <v>-86.928458426758937</v>
      </c>
      <c r="AA127" s="48">
        <f ca="1"/>
        <v>-89.310204974059971</v>
      </c>
      <c r="AB127" s="48">
        <f ca="1"/>
        <v>-98.789189185614731</v>
      </c>
      <c r="AC127" s="48">
        <f ca="1"/>
        <v>-108.38725385105826</v>
      </c>
      <c r="AD127" s="48">
        <f ca="1"/>
        <v>-118.09078807073938</v>
      </c>
      <c r="AE127" s="48">
        <f ca="1"/>
        <v>-120.53356045541368</v>
      </c>
      <c r="AF127" s="48">
        <f ca="1"/>
        <v>-122.96958423773334</v>
      </c>
      <c r="AG127" s="48">
        <f ca="1"/>
        <v>-125.41246748263276</v>
      </c>
      <c r="AH127" s="48">
        <f ca="1"/>
        <v>-127.86221019007625</v>
      </c>
      <c r="AI127" s="48">
        <f ca="1"/>
        <v>-130.31881236004415</v>
      </c>
      <c r="AJ127" s="48">
        <f ca="1"/>
        <v>-132.79600677502586</v>
      </c>
      <c r="AK127" s="48">
        <f ca="1"/>
        <v>-135.26634865626534</v>
      </c>
      <c r="AL127" s="48">
        <f ca="1"/>
        <v>-137.74355000000912</v>
      </c>
    </row>
    <row r="128" spans="1:71" ht="21" customHeight="1" outlineLevel="1" thickBot="1" x14ac:dyDescent="0.4">
      <c r="E128" s="17" t="str">
        <f ca="1"/>
        <v>Р1+Р3+газ без Ar</v>
      </c>
      <c r="F128" s="48">
        <f ca="1"/>
        <v>44928.414146510731</v>
      </c>
      <c r="G128" s="48">
        <f ca="1"/>
        <v>42977.894660681071</v>
      </c>
      <c r="H128" s="48">
        <f ca="1"/>
        <v>40999.459515092196</v>
      </c>
      <c r="I128" s="48">
        <f ca="1"/>
        <v>38875.103500472949</v>
      </c>
      <c r="J128" s="48">
        <f ca="1"/>
        <v>36574.768636599016</v>
      </c>
      <c r="K128" s="48">
        <f ca="1"/>
        <v>27609.313268254726</v>
      </c>
      <c r="L128" s="48">
        <f ca="1"/>
        <v>25785.086922864441</v>
      </c>
      <c r="M128" s="48">
        <f ca="1"/>
        <v>24157.355670631561</v>
      </c>
      <c r="N128" s="48">
        <f ca="1"/>
        <v>22741.192329131198</v>
      </c>
      <c r="O128" s="48">
        <f ca="1"/>
        <v>21502.229644690469</v>
      </c>
      <c r="P128" s="48">
        <f ca="1"/>
        <v>20403.517481229836</v>
      </c>
      <c r="Q128" s="48">
        <f ca="1"/>
        <v>19397.382706266908</v>
      </c>
      <c r="R128" s="48">
        <f ca="1"/>
        <v>18476.395198627128</v>
      </c>
      <c r="S128" s="48">
        <f ca="1"/>
        <v>17644.284264513521</v>
      </c>
      <c r="T128" s="48">
        <f ca="1"/>
        <v>16900.173269139206</v>
      </c>
      <c r="U128" s="48">
        <f ca="1"/>
        <v>16250.370646837553</v>
      </c>
      <c r="V128" s="48">
        <f ca="1"/>
        <v>15699.082187932192</v>
      </c>
      <c r="W128" s="48">
        <f ca="1"/>
        <v>15234.654449145281</v>
      </c>
      <c r="X128" s="48">
        <f ca="1"/>
        <v>14833.065904435403</v>
      </c>
      <c r="Y128" s="48">
        <f ca="1"/>
        <v>14488.083315850285</v>
      </c>
      <c r="Z128" s="48">
        <f ca="1"/>
        <v>14184.409700010559</v>
      </c>
      <c r="AA128" s="48">
        <f ca="1"/>
        <v>13916.001340093129</v>
      </c>
      <c r="AB128" s="48">
        <f ca="1"/>
        <v>13155.514052326762</v>
      </c>
      <c r="AC128" s="48">
        <f ca="1"/>
        <v>12891.016335708407</v>
      </c>
      <c r="AD128" s="48">
        <f ca="1"/>
        <v>13374.825532807385</v>
      </c>
      <c r="AE128" s="48">
        <f ca="1"/>
        <v>13610.111830292108</v>
      </c>
      <c r="AF128" s="48">
        <f ca="1"/>
        <v>13872.394289166392</v>
      </c>
      <c r="AG128" s="48">
        <f ca="1"/>
        <v>14153.335608611958</v>
      </c>
      <c r="AH128" s="48">
        <f ca="1"/>
        <v>14446.54176820031</v>
      </c>
      <c r="AI128" s="48">
        <f ca="1"/>
        <v>14748.759759674887</v>
      </c>
      <c r="AJ128" s="48">
        <f ca="1"/>
        <v>15057.619684822825</v>
      </c>
      <c r="AK128" s="48">
        <f ca="1"/>
        <v>15369.765135387059</v>
      </c>
      <c r="AL128" s="48">
        <f ca="1"/>
        <v>15685.281669400325</v>
      </c>
    </row>
    <row r="129" spans="5:38" ht="21" customHeight="1" outlineLevel="1" thickBot="1" x14ac:dyDescent="0.4">
      <c r="E129" s="17" t="e">
        <f ca="1"/>
        <v>#N/A</v>
      </c>
      <c r="F129" s="48" t="e">
        <f ca="1"/>
        <v>#N/A</v>
      </c>
      <c r="G129" s="48" t="e">
        <f ca="1"/>
        <v>#N/A</v>
      </c>
      <c r="H129" s="48" t="e">
        <f ca="1"/>
        <v>#N/A</v>
      </c>
      <c r="I129" s="48" t="e">
        <f ca="1"/>
        <v>#N/A</v>
      </c>
      <c r="J129" s="48" t="e">
        <f ca="1"/>
        <v>#N/A</v>
      </c>
      <c r="K129" s="48" t="e">
        <f ca="1"/>
        <v>#N/A</v>
      </c>
      <c r="L129" s="48" t="e">
        <f ca="1"/>
        <v>#N/A</v>
      </c>
      <c r="M129" s="48" t="e">
        <f ca="1"/>
        <v>#N/A</v>
      </c>
      <c r="N129" s="48" t="e">
        <f ca="1"/>
        <v>#N/A</v>
      </c>
      <c r="O129" s="48" t="e">
        <f ca="1"/>
        <v>#N/A</v>
      </c>
      <c r="P129" s="48" t="e">
        <f ca="1"/>
        <v>#N/A</v>
      </c>
      <c r="Q129" s="48" t="e">
        <f ca="1"/>
        <v>#N/A</v>
      </c>
      <c r="R129" s="48" t="e">
        <f ca="1"/>
        <v>#N/A</v>
      </c>
      <c r="S129" s="48" t="e">
        <f ca="1"/>
        <v>#N/A</v>
      </c>
      <c r="T129" s="48" t="e">
        <f ca="1"/>
        <v>#N/A</v>
      </c>
      <c r="U129" s="48" t="e">
        <f ca="1"/>
        <v>#N/A</v>
      </c>
      <c r="V129" s="48" t="e">
        <f ca="1"/>
        <v>#N/A</v>
      </c>
      <c r="W129" s="48" t="e">
        <f ca="1"/>
        <v>#N/A</v>
      </c>
      <c r="X129" s="48" t="e">
        <f ca="1"/>
        <v>#N/A</v>
      </c>
      <c r="Y129" s="48" t="e">
        <f ca="1"/>
        <v>#N/A</v>
      </c>
      <c r="Z129" s="48" t="e">
        <f ca="1"/>
        <v>#N/A</v>
      </c>
      <c r="AA129" s="48" t="e">
        <f ca="1"/>
        <v>#N/A</v>
      </c>
      <c r="AB129" s="48" t="e">
        <f ca="1"/>
        <v>#N/A</v>
      </c>
      <c r="AC129" s="48" t="e">
        <f ca="1"/>
        <v>#N/A</v>
      </c>
      <c r="AD129" s="48" t="e">
        <f ca="1"/>
        <v>#N/A</v>
      </c>
      <c r="AE129" s="48" t="e">
        <f ca="1"/>
        <v>#N/A</v>
      </c>
      <c r="AF129" s="48" t="e">
        <f ca="1"/>
        <v>#N/A</v>
      </c>
      <c r="AG129" s="48" t="e">
        <f ca="1"/>
        <v>#N/A</v>
      </c>
      <c r="AH129" s="48" t="e">
        <f ca="1"/>
        <v>#N/A</v>
      </c>
      <c r="AI129" s="48" t="e">
        <f ca="1"/>
        <v>#N/A</v>
      </c>
      <c r="AJ129" s="48" t="e">
        <f ca="1"/>
        <v>#N/A</v>
      </c>
      <c r="AK129" s="48" t="e">
        <f ca="1"/>
        <v>#N/A</v>
      </c>
      <c r="AL129" s="48" t="e">
        <f ca="1"/>
        <v>#N/A</v>
      </c>
    </row>
    <row r="130" spans="5:38" ht="21" customHeight="1" outlineLevel="1" thickBot="1" x14ac:dyDescent="0.4">
      <c r="E130" s="17" t="e">
        <f ca="1"/>
        <v>#N/A</v>
      </c>
      <c r="F130" s="48" t="e">
        <f ca="1"/>
        <v>#N/A</v>
      </c>
      <c r="G130" s="48" t="e">
        <f ca="1"/>
        <v>#N/A</v>
      </c>
      <c r="H130" s="48" t="e">
        <f ca="1"/>
        <v>#N/A</v>
      </c>
      <c r="I130" s="48" t="e">
        <f ca="1"/>
        <v>#N/A</v>
      </c>
      <c r="J130" s="48" t="e">
        <f ca="1"/>
        <v>#N/A</v>
      </c>
      <c r="K130" s="48" t="e">
        <f ca="1"/>
        <v>#N/A</v>
      </c>
      <c r="L130" s="48" t="e">
        <f ca="1"/>
        <v>#N/A</v>
      </c>
      <c r="M130" s="48" t="e">
        <f ca="1"/>
        <v>#N/A</v>
      </c>
      <c r="N130" s="48" t="e">
        <f ca="1"/>
        <v>#N/A</v>
      </c>
      <c r="O130" s="48" t="e">
        <f ca="1"/>
        <v>#N/A</v>
      </c>
      <c r="P130" s="48" t="e">
        <f ca="1"/>
        <v>#N/A</v>
      </c>
      <c r="Q130" s="48" t="e">
        <f ca="1"/>
        <v>#N/A</v>
      </c>
      <c r="R130" s="48" t="e">
        <f ca="1"/>
        <v>#N/A</v>
      </c>
      <c r="S130" s="48" t="e">
        <f ca="1"/>
        <v>#N/A</v>
      </c>
      <c r="T130" s="48" t="e">
        <f ca="1"/>
        <v>#N/A</v>
      </c>
      <c r="U130" s="48" t="e">
        <f ca="1"/>
        <v>#N/A</v>
      </c>
      <c r="V130" s="48" t="e">
        <f ca="1"/>
        <v>#N/A</v>
      </c>
      <c r="W130" s="48" t="e">
        <f ca="1"/>
        <v>#N/A</v>
      </c>
      <c r="X130" s="48" t="e">
        <f ca="1"/>
        <v>#N/A</v>
      </c>
      <c r="Y130" s="48" t="e">
        <f ca="1"/>
        <v>#N/A</v>
      </c>
      <c r="Z130" s="48" t="e">
        <f ca="1"/>
        <v>#N/A</v>
      </c>
      <c r="AA130" s="48" t="e">
        <f ca="1"/>
        <v>#N/A</v>
      </c>
      <c r="AB130" s="48" t="e">
        <f ca="1"/>
        <v>#N/A</v>
      </c>
      <c r="AC130" s="48" t="e">
        <f ca="1"/>
        <v>#N/A</v>
      </c>
      <c r="AD130" s="48" t="e">
        <f ca="1"/>
        <v>#N/A</v>
      </c>
      <c r="AE130" s="48" t="e">
        <f ca="1"/>
        <v>#N/A</v>
      </c>
      <c r="AF130" s="48" t="e">
        <f ca="1"/>
        <v>#N/A</v>
      </c>
      <c r="AG130" s="48" t="e">
        <f ca="1"/>
        <v>#N/A</v>
      </c>
      <c r="AH130" s="48" t="e">
        <f ca="1"/>
        <v>#N/A</v>
      </c>
      <c r="AI130" s="48" t="e">
        <f ca="1"/>
        <v>#N/A</v>
      </c>
      <c r="AJ130" s="48" t="e">
        <f ca="1"/>
        <v>#N/A</v>
      </c>
      <c r="AK130" s="48" t="e">
        <f ca="1"/>
        <v>#N/A</v>
      </c>
      <c r="AL130" s="48" t="e">
        <f ca="1"/>
        <v>#N/A</v>
      </c>
    </row>
    <row r="131" spans="5:38" ht="21" customHeight="1" outlineLevel="1" thickBot="1" x14ac:dyDescent="0.4">
      <c r="E131" s="17" t="e">
        <f ca="1"/>
        <v>#N/A</v>
      </c>
      <c r="F131" s="48" t="e">
        <f ca="1"/>
        <v>#N/A</v>
      </c>
      <c r="G131" s="48" t="e">
        <f ca="1"/>
        <v>#N/A</v>
      </c>
      <c r="H131" s="48" t="e">
        <f ca="1"/>
        <v>#N/A</v>
      </c>
      <c r="I131" s="48" t="e">
        <f ca="1"/>
        <v>#N/A</v>
      </c>
      <c r="J131" s="48" t="e">
        <f ca="1"/>
        <v>#N/A</v>
      </c>
      <c r="K131" s="48" t="e">
        <f ca="1"/>
        <v>#N/A</v>
      </c>
      <c r="L131" s="48" t="e">
        <f ca="1"/>
        <v>#N/A</v>
      </c>
      <c r="M131" s="48" t="e">
        <f ca="1"/>
        <v>#N/A</v>
      </c>
      <c r="N131" s="48" t="e">
        <f ca="1"/>
        <v>#N/A</v>
      </c>
      <c r="O131" s="48" t="e">
        <f ca="1"/>
        <v>#N/A</v>
      </c>
      <c r="P131" s="48" t="e">
        <f ca="1"/>
        <v>#N/A</v>
      </c>
      <c r="Q131" s="48" t="e">
        <f ca="1"/>
        <v>#N/A</v>
      </c>
      <c r="R131" s="48" t="e">
        <f ca="1"/>
        <v>#N/A</v>
      </c>
      <c r="S131" s="48" t="e">
        <f ca="1"/>
        <v>#N/A</v>
      </c>
      <c r="T131" s="48" t="e">
        <f ca="1"/>
        <v>#N/A</v>
      </c>
      <c r="U131" s="48" t="e">
        <f ca="1"/>
        <v>#N/A</v>
      </c>
      <c r="V131" s="48" t="e">
        <f ca="1"/>
        <v>#N/A</v>
      </c>
      <c r="W131" s="48" t="e">
        <f ca="1"/>
        <v>#N/A</v>
      </c>
      <c r="X131" s="48" t="e">
        <f ca="1"/>
        <v>#N/A</v>
      </c>
      <c r="Y131" s="48" t="e">
        <f ca="1"/>
        <v>#N/A</v>
      </c>
      <c r="Z131" s="48" t="e">
        <f ca="1"/>
        <v>#N/A</v>
      </c>
      <c r="AA131" s="48" t="e">
        <f ca="1"/>
        <v>#N/A</v>
      </c>
      <c r="AB131" s="48" t="e">
        <f ca="1"/>
        <v>#N/A</v>
      </c>
      <c r="AC131" s="48" t="e">
        <f ca="1"/>
        <v>#N/A</v>
      </c>
      <c r="AD131" s="48" t="e">
        <f ca="1"/>
        <v>#N/A</v>
      </c>
      <c r="AE131" s="48" t="e">
        <f ca="1"/>
        <v>#N/A</v>
      </c>
      <c r="AF131" s="48" t="e">
        <f ca="1"/>
        <v>#N/A</v>
      </c>
      <c r="AG131" s="48" t="e">
        <f ca="1"/>
        <v>#N/A</v>
      </c>
      <c r="AH131" s="48" t="e">
        <f ca="1"/>
        <v>#N/A</v>
      </c>
      <c r="AI131" s="48" t="e">
        <f ca="1"/>
        <v>#N/A</v>
      </c>
      <c r="AJ131" s="48" t="e">
        <f ca="1"/>
        <v>#N/A</v>
      </c>
      <c r="AK131" s="48" t="e">
        <f ca="1"/>
        <v>#N/A</v>
      </c>
      <c r="AL131" s="48" t="e">
        <f ca="1"/>
        <v>#N/A</v>
      </c>
    </row>
    <row r="132" spans="5:38" ht="21" customHeight="1" outlineLevel="1" thickBot="1" x14ac:dyDescent="0.4">
      <c r="E132" s="17" t="e">
        <f ca="1"/>
        <v>#N/A</v>
      </c>
      <c r="F132" s="48" t="e">
        <f ca="1"/>
        <v>#N/A</v>
      </c>
      <c r="G132" s="48" t="e">
        <f ca="1"/>
        <v>#N/A</v>
      </c>
      <c r="H132" s="48" t="e">
        <f ca="1"/>
        <v>#N/A</v>
      </c>
      <c r="I132" s="48" t="e">
        <f ca="1"/>
        <v>#N/A</v>
      </c>
      <c r="J132" s="48" t="e">
        <f ca="1"/>
        <v>#N/A</v>
      </c>
      <c r="K132" s="48" t="e">
        <f ca="1"/>
        <v>#N/A</v>
      </c>
      <c r="L132" s="48" t="e">
        <f ca="1"/>
        <v>#N/A</v>
      </c>
      <c r="M132" s="48" t="e">
        <f ca="1"/>
        <v>#N/A</v>
      </c>
      <c r="N132" s="48" t="e">
        <f ca="1"/>
        <v>#N/A</v>
      </c>
      <c r="O132" s="48" t="e">
        <f ca="1"/>
        <v>#N/A</v>
      </c>
      <c r="P132" s="48" t="e">
        <f ca="1"/>
        <v>#N/A</v>
      </c>
      <c r="Q132" s="48" t="e">
        <f ca="1"/>
        <v>#N/A</v>
      </c>
      <c r="R132" s="48" t="e">
        <f ca="1"/>
        <v>#N/A</v>
      </c>
      <c r="S132" s="48" t="e">
        <f ca="1"/>
        <v>#N/A</v>
      </c>
      <c r="T132" s="48" t="e">
        <f ca="1"/>
        <v>#N/A</v>
      </c>
      <c r="U132" s="48" t="e">
        <f ca="1"/>
        <v>#N/A</v>
      </c>
      <c r="V132" s="48" t="e">
        <f ca="1"/>
        <v>#N/A</v>
      </c>
      <c r="W132" s="48" t="e">
        <f ca="1"/>
        <v>#N/A</v>
      </c>
      <c r="X132" s="48" t="e">
        <f ca="1"/>
        <v>#N/A</v>
      </c>
      <c r="Y132" s="48" t="e">
        <f ca="1"/>
        <v>#N/A</v>
      </c>
      <c r="Z132" s="48" t="e">
        <f ca="1"/>
        <v>#N/A</v>
      </c>
      <c r="AA132" s="48" t="e">
        <f ca="1"/>
        <v>#N/A</v>
      </c>
      <c r="AB132" s="48" t="e">
        <f ca="1"/>
        <v>#N/A</v>
      </c>
      <c r="AC132" s="48" t="e">
        <f ca="1"/>
        <v>#N/A</v>
      </c>
      <c r="AD132" s="48" t="e">
        <f ca="1"/>
        <v>#N/A</v>
      </c>
      <c r="AE132" s="48" t="e">
        <f ca="1"/>
        <v>#N/A</v>
      </c>
      <c r="AF132" s="48" t="e">
        <f ca="1"/>
        <v>#N/A</v>
      </c>
      <c r="AG132" s="48" t="e">
        <f ca="1"/>
        <v>#N/A</v>
      </c>
      <c r="AH132" s="48" t="e">
        <f ca="1"/>
        <v>#N/A</v>
      </c>
      <c r="AI132" s="48" t="e">
        <f ca="1"/>
        <v>#N/A</v>
      </c>
      <c r="AJ132" s="48" t="e">
        <f ca="1"/>
        <v>#N/A</v>
      </c>
      <c r="AK132" s="48" t="e">
        <f ca="1"/>
        <v>#N/A</v>
      </c>
      <c r="AL132" s="48" t="e">
        <f ca="1"/>
        <v>#N/A</v>
      </c>
    </row>
    <row r="133" spans="5:38" ht="21" customHeight="1" outlineLevel="1" thickBot="1" x14ac:dyDescent="0.4">
      <c r="E133" s="17" t="e">
        <f ca="1"/>
        <v>#N/A</v>
      </c>
      <c r="F133" s="48" t="e">
        <f ca="1"/>
        <v>#N/A</v>
      </c>
      <c r="G133" s="48" t="e">
        <f ca="1"/>
        <v>#N/A</v>
      </c>
      <c r="H133" s="48" t="e">
        <f ca="1"/>
        <v>#N/A</v>
      </c>
      <c r="I133" s="48" t="e">
        <f ca="1"/>
        <v>#N/A</v>
      </c>
      <c r="J133" s="48" t="e">
        <f ca="1"/>
        <v>#N/A</v>
      </c>
      <c r="K133" s="48" t="e">
        <f ca="1"/>
        <v>#N/A</v>
      </c>
      <c r="L133" s="48" t="e">
        <f ca="1"/>
        <v>#N/A</v>
      </c>
      <c r="M133" s="48" t="e">
        <f ca="1"/>
        <v>#N/A</v>
      </c>
      <c r="N133" s="48" t="e">
        <f ca="1"/>
        <v>#N/A</v>
      </c>
      <c r="O133" s="48" t="e">
        <f ca="1"/>
        <v>#N/A</v>
      </c>
      <c r="P133" s="48" t="e">
        <f ca="1"/>
        <v>#N/A</v>
      </c>
      <c r="Q133" s="48" t="e">
        <f ca="1"/>
        <v>#N/A</v>
      </c>
      <c r="R133" s="48" t="e">
        <f ca="1"/>
        <v>#N/A</v>
      </c>
      <c r="S133" s="48" t="e">
        <f ca="1"/>
        <v>#N/A</v>
      </c>
      <c r="T133" s="48" t="e">
        <f ca="1"/>
        <v>#N/A</v>
      </c>
      <c r="U133" s="48" t="e">
        <f ca="1"/>
        <v>#N/A</v>
      </c>
      <c r="V133" s="48" t="e">
        <f ca="1"/>
        <v>#N/A</v>
      </c>
      <c r="W133" s="48" t="e">
        <f ca="1"/>
        <v>#N/A</v>
      </c>
      <c r="X133" s="48" t="e">
        <f ca="1"/>
        <v>#N/A</v>
      </c>
      <c r="Y133" s="48" t="e">
        <f ca="1"/>
        <v>#N/A</v>
      </c>
      <c r="Z133" s="48" t="e">
        <f ca="1"/>
        <v>#N/A</v>
      </c>
      <c r="AA133" s="48" t="e">
        <f ca="1"/>
        <v>#N/A</v>
      </c>
      <c r="AB133" s="48" t="e">
        <f ca="1"/>
        <v>#N/A</v>
      </c>
      <c r="AC133" s="48" t="e">
        <f ca="1"/>
        <v>#N/A</v>
      </c>
      <c r="AD133" s="48" t="e">
        <f ca="1"/>
        <v>#N/A</v>
      </c>
      <c r="AE133" s="48" t="e">
        <f ca="1"/>
        <v>#N/A</v>
      </c>
      <c r="AF133" s="48" t="e">
        <f ca="1"/>
        <v>#N/A</v>
      </c>
      <c r="AG133" s="48" t="e">
        <f ca="1"/>
        <v>#N/A</v>
      </c>
      <c r="AH133" s="48" t="e">
        <f ca="1"/>
        <v>#N/A</v>
      </c>
      <c r="AI133" s="48" t="e">
        <f ca="1"/>
        <v>#N/A</v>
      </c>
      <c r="AJ133" s="48" t="e">
        <f ca="1"/>
        <v>#N/A</v>
      </c>
      <c r="AK133" s="48" t="e">
        <f ca="1"/>
        <v>#N/A</v>
      </c>
      <c r="AL133" s="48" t="e">
        <f ca="1"/>
        <v>#N/A</v>
      </c>
    </row>
    <row r="134" spans="5:38" ht="21" customHeight="1" outlineLevel="1" thickBot="1" x14ac:dyDescent="0.4">
      <c r="E134" s="17" t="e">
        <f ca="1"/>
        <v>#N/A</v>
      </c>
      <c r="F134" s="48" t="e">
        <f ca="1"/>
        <v>#N/A</v>
      </c>
      <c r="G134" s="48" t="e">
        <f ca="1"/>
        <v>#N/A</v>
      </c>
      <c r="H134" s="48" t="e">
        <f ca="1"/>
        <v>#N/A</v>
      </c>
      <c r="I134" s="48" t="e">
        <f ca="1"/>
        <v>#N/A</v>
      </c>
      <c r="J134" s="48" t="e">
        <f ca="1"/>
        <v>#N/A</v>
      </c>
      <c r="K134" s="48" t="e">
        <f ca="1"/>
        <v>#N/A</v>
      </c>
      <c r="L134" s="48" t="e">
        <f ca="1"/>
        <v>#N/A</v>
      </c>
      <c r="M134" s="48" t="e">
        <f ca="1"/>
        <v>#N/A</v>
      </c>
      <c r="N134" s="48" t="e">
        <f ca="1"/>
        <v>#N/A</v>
      </c>
      <c r="O134" s="48" t="e">
        <f ca="1"/>
        <v>#N/A</v>
      </c>
      <c r="P134" s="48" t="e">
        <f ca="1"/>
        <v>#N/A</v>
      </c>
      <c r="Q134" s="48" t="e">
        <f ca="1"/>
        <v>#N/A</v>
      </c>
      <c r="R134" s="48" t="e">
        <f ca="1"/>
        <v>#N/A</v>
      </c>
      <c r="S134" s="48" t="e">
        <f ca="1"/>
        <v>#N/A</v>
      </c>
      <c r="T134" s="48" t="e">
        <f ca="1"/>
        <v>#N/A</v>
      </c>
      <c r="U134" s="48" t="e">
        <f ca="1"/>
        <v>#N/A</v>
      </c>
      <c r="V134" s="48" t="e">
        <f ca="1"/>
        <v>#N/A</v>
      </c>
      <c r="W134" s="48" t="e">
        <f ca="1"/>
        <v>#N/A</v>
      </c>
      <c r="X134" s="48" t="e">
        <f ca="1"/>
        <v>#N/A</v>
      </c>
      <c r="Y134" s="48" t="e">
        <f ca="1"/>
        <v>#N/A</v>
      </c>
      <c r="Z134" s="48" t="e">
        <f ca="1"/>
        <v>#N/A</v>
      </c>
      <c r="AA134" s="48" t="e">
        <f ca="1"/>
        <v>#N/A</v>
      </c>
      <c r="AB134" s="48" t="e">
        <f ca="1"/>
        <v>#N/A</v>
      </c>
      <c r="AC134" s="48" t="e">
        <f ca="1"/>
        <v>#N/A</v>
      </c>
      <c r="AD134" s="48" t="e">
        <f ca="1"/>
        <v>#N/A</v>
      </c>
      <c r="AE134" s="48" t="e">
        <f ca="1"/>
        <v>#N/A</v>
      </c>
      <c r="AF134" s="48" t="e">
        <f ca="1"/>
        <v>#N/A</v>
      </c>
      <c r="AG134" s="48" t="e">
        <f ca="1"/>
        <v>#N/A</v>
      </c>
      <c r="AH134" s="48" t="e">
        <f ca="1"/>
        <v>#N/A</v>
      </c>
      <c r="AI134" s="48" t="e">
        <f ca="1"/>
        <v>#N/A</v>
      </c>
      <c r="AJ134" s="48" t="e">
        <f ca="1"/>
        <v>#N/A</v>
      </c>
      <c r="AK134" s="48" t="e">
        <f ca="1"/>
        <v>#N/A</v>
      </c>
      <c r="AL134" s="48" t="e">
        <f ca="1"/>
        <v>#N/A</v>
      </c>
    </row>
    <row r="135" spans="5:38" ht="21" customHeight="1" outlineLevel="1" thickBot="1" x14ac:dyDescent="0.4">
      <c r="E135" s="17" t="e">
        <f ca="1"/>
        <v>#N/A</v>
      </c>
      <c r="F135" s="48" t="e">
        <f ca="1"/>
        <v>#N/A</v>
      </c>
      <c r="G135" s="48" t="e">
        <f ca="1"/>
        <v>#N/A</v>
      </c>
      <c r="H135" s="48" t="e">
        <f ca="1"/>
        <v>#N/A</v>
      </c>
      <c r="I135" s="48" t="e">
        <f ca="1"/>
        <v>#N/A</v>
      </c>
      <c r="J135" s="48" t="e">
        <f ca="1"/>
        <v>#N/A</v>
      </c>
      <c r="K135" s="48" t="e">
        <f ca="1"/>
        <v>#N/A</v>
      </c>
      <c r="L135" s="48" t="e">
        <f ca="1"/>
        <v>#N/A</v>
      </c>
      <c r="M135" s="48" t="e">
        <f ca="1"/>
        <v>#N/A</v>
      </c>
      <c r="N135" s="48" t="e">
        <f ca="1"/>
        <v>#N/A</v>
      </c>
      <c r="O135" s="48" t="e">
        <f ca="1"/>
        <v>#N/A</v>
      </c>
      <c r="P135" s="48" t="e">
        <f ca="1"/>
        <v>#N/A</v>
      </c>
      <c r="Q135" s="48" t="e">
        <f ca="1"/>
        <v>#N/A</v>
      </c>
      <c r="R135" s="48" t="e">
        <f ca="1"/>
        <v>#N/A</v>
      </c>
      <c r="S135" s="48" t="e">
        <f ca="1"/>
        <v>#N/A</v>
      </c>
      <c r="T135" s="48" t="e">
        <f ca="1"/>
        <v>#N/A</v>
      </c>
      <c r="U135" s="48" t="e">
        <f ca="1"/>
        <v>#N/A</v>
      </c>
      <c r="V135" s="48" t="e">
        <f ca="1"/>
        <v>#N/A</v>
      </c>
      <c r="W135" s="48" t="e">
        <f ca="1"/>
        <v>#N/A</v>
      </c>
      <c r="X135" s="48" t="e">
        <f ca="1"/>
        <v>#N/A</v>
      </c>
      <c r="Y135" s="48" t="e">
        <f ca="1"/>
        <v>#N/A</v>
      </c>
      <c r="Z135" s="48" t="e">
        <f ca="1"/>
        <v>#N/A</v>
      </c>
      <c r="AA135" s="48" t="e">
        <f ca="1"/>
        <v>#N/A</v>
      </c>
      <c r="AB135" s="48" t="e">
        <f ca="1"/>
        <v>#N/A</v>
      </c>
      <c r="AC135" s="48" t="e">
        <f ca="1"/>
        <v>#N/A</v>
      </c>
      <c r="AD135" s="48" t="e">
        <f ca="1"/>
        <v>#N/A</v>
      </c>
      <c r="AE135" s="48" t="e">
        <f ca="1"/>
        <v>#N/A</v>
      </c>
      <c r="AF135" s="48" t="e">
        <f ca="1"/>
        <v>#N/A</v>
      </c>
      <c r="AG135" s="48" t="e">
        <f ca="1"/>
        <v>#N/A</v>
      </c>
      <c r="AH135" s="48" t="e">
        <f ca="1"/>
        <v>#N/A</v>
      </c>
      <c r="AI135" s="48" t="e">
        <f ca="1"/>
        <v>#N/A</v>
      </c>
      <c r="AJ135" s="48" t="e">
        <f ca="1"/>
        <v>#N/A</v>
      </c>
      <c r="AK135" s="48" t="e">
        <f ca="1"/>
        <v>#N/A</v>
      </c>
      <c r="AL135" s="48" t="e">
        <f ca="1"/>
        <v>#N/A</v>
      </c>
    </row>
    <row r="136" spans="5:38" ht="21" customHeight="1" outlineLevel="1" thickBot="1" x14ac:dyDescent="0.4">
      <c r="E136" s="18">
        <v>1</v>
      </c>
      <c r="F136">
        <v>0</v>
      </c>
      <c r="G136" s="48">
        <v>0</v>
      </c>
      <c r="H136" s="48">
        <v>0</v>
      </c>
      <c r="I136" s="48">
        <v>0</v>
      </c>
      <c r="J136" s="48">
        <v>0</v>
      </c>
      <c r="K136" s="48">
        <v>0</v>
      </c>
      <c r="L136" s="48">
        <v>0</v>
      </c>
      <c r="M136" s="48">
        <v>0</v>
      </c>
      <c r="N136" s="48">
        <v>0</v>
      </c>
      <c r="O136" s="48">
        <v>0</v>
      </c>
      <c r="P136" s="48">
        <v>0</v>
      </c>
      <c r="Q136" s="48">
        <v>0</v>
      </c>
      <c r="R136" s="48">
        <v>0</v>
      </c>
      <c r="S136" s="48">
        <v>0</v>
      </c>
      <c r="T136" s="48">
        <v>0</v>
      </c>
      <c r="U136" s="48">
        <v>0</v>
      </c>
      <c r="V136" s="48">
        <v>0</v>
      </c>
      <c r="W136" s="48">
        <v>0</v>
      </c>
      <c r="X136" s="48">
        <v>0</v>
      </c>
      <c r="Y136" s="48">
        <v>0</v>
      </c>
      <c r="Z136" s="48">
        <v>0</v>
      </c>
      <c r="AA136" s="48">
        <v>0</v>
      </c>
      <c r="AB136" s="48">
        <v>0</v>
      </c>
      <c r="AC136" s="48">
        <v>0</v>
      </c>
      <c r="AD136" s="48">
        <v>0</v>
      </c>
      <c r="AE136" s="48">
        <v>0</v>
      </c>
      <c r="AF136" s="48">
        <v>0</v>
      </c>
      <c r="AG136" s="48">
        <v>0</v>
      </c>
      <c r="AH136" s="48">
        <v>0</v>
      </c>
      <c r="AI136" s="48">
        <v>0</v>
      </c>
      <c r="AJ136" s="48">
        <v>0</v>
      </c>
      <c r="AK136" s="48">
        <v>0</v>
      </c>
      <c r="AL136" s="48">
        <v>0</v>
      </c>
    </row>
  </sheetData>
  <mergeCells count="1">
    <mergeCell ref="A113:B113"/>
  </mergeCells>
  <conditionalFormatting sqref="A4:D33">
    <cfRule type="cellIs" dxfId="15" priority="113" operator="equal">
      <formula>0</formula>
    </cfRule>
  </conditionalFormatting>
  <conditionalFormatting sqref="A80:D109">
    <cfRule type="cellIs" dxfId="14" priority="112" operator="equal">
      <formula>0</formula>
    </cfRule>
  </conditionalFormatting>
  <conditionalFormatting sqref="A46:D75">
    <cfRule type="cellIs" dxfId="13" priority="49" operator="equal">
      <formula>0</formula>
    </cfRule>
  </conditionalFormatting>
  <conditionalFormatting sqref="F32:AK32">
    <cfRule type="colorScale" priority="48">
      <colorScale>
        <cfvo type="min"/>
        <cfvo type="max"/>
        <color rgb="FFFFEF9C"/>
        <color rgb="FF63BE7B"/>
      </colorScale>
    </cfRule>
  </conditionalFormatting>
  <conditionalFormatting sqref="F31:AK31">
    <cfRule type="colorScale" priority="47">
      <colorScale>
        <cfvo type="min"/>
        <cfvo type="max"/>
        <color rgb="FFFFEF9C"/>
        <color rgb="FF63BE7B"/>
      </colorScale>
    </cfRule>
  </conditionalFormatting>
  <conditionalFormatting sqref="F30:AK30">
    <cfRule type="colorScale" priority="46">
      <colorScale>
        <cfvo type="min"/>
        <cfvo type="max"/>
        <color rgb="FFFFEF9C"/>
        <color rgb="FF63BE7B"/>
      </colorScale>
    </cfRule>
  </conditionalFormatting>
  <conditionalFormatting sqref="BS29:BS32 F29:BR29 AL30:BR32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2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2:G22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1:G21">
    <cfRule type="colorScale" priority="38">
      <colorScale>
        <cfvo type="min"/>
        <cfvo type="max"/>
        <color rgb="FFFFEF9C"/>
        <color rgb="FF63BE7B"/>
      </colorScale>
    </cfRule>
  </conditionalFormatting>
  <conditionalFormatting sqref="F20:G20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9:G19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8:G18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7:G17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6:G16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5:G15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4:G14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3:G13">
    <cfRule type="colorScale" priority="30">
      <colorScale>
        <cfvo type="min"/>
        <cfvo type="max"/>
        <color rgb="FFFFEF9C"/>
        <color rgb="FF63BE7B"/>
      </colorScale>
    </cfRule>
  </conditionalFormatting>
  <conditionalFormatting sqref="F12:G12">
    <cfRule type="colorScale" priority="29">
      <colorScale>
        <cfvo type="min"/>
        <cfvo type="max"/>
        <color rgb="FFFFEF9C"/>
        <color rgb="FF63BE7B"/>
      </colorScale>
    </cfRule>
  </conditionalFormatting>
  <conditionalFormatting sqref="F11:G11">
    <cfRule type="colorScale" priority="28">
      <colorScale>
        <cfvo type="min"/>
        <cfvo type="max"/>
        <color rgb="FFFFEF9C"/>
        <color rgb="FF63BE7B"/>
      </colorScale>
    </cfRule>
  </conditionalFormatting>
  <conditionalFormatting sqref="F10:G10">
    <cfRule type="colorScale" priority="27">
      <colorScale>
        <cfvo type="min"/>
        <cfvo type="max"/>
        <color rgb="FFFFEF9C"/>
        <color rgb="FF63BE7B"/>
      </colorScale>
    </cfRule>
  </conditionalFormatting>
  <conditionalFormatting sqref="F9:G9">
    <cfRule type="colorScale" priority="26">
      <colorScale>
        <cfvo type="min"/>
        <cfvo type="max"/>
        <color rgb="FFFFEF9C"/>
        <color rgb="FF63BE7B"/>
      </colorScale>
    </cfRule>
  </conditionalFormatting>
  <conditionalFormatting sqref="F8:G8">
    <cfRule type="colorScale" priority="25">
      <colorScale>
        <cfvo type="min"/>
        <cfvo type="max"/>
        <color rgb="FFFFEF9C"/>
        <color rgb="FF63BE7B"/>
      </colorScale>
    </cfRule>
  </conditionalFormatting>
  <conditionalFormatting sqref="F7:G7">
    <cfRule type="colorScale" priority="24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3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0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2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1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19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1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10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9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8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7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6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5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3">
      <colorScale>
        <cfvo type="min"/>
        <cfvo type="max"/>
        <color rgb="FFFFEF9C"/>
        <color rgb="FF63BE7B"/>
      </colorScale>
    </cfRule>
  </conditionalFormatting>
  <conditionalFormatting sqref="B34:B37">
    <cfRule type="cellIs" dxfId="12" priority="1" operator="equal">
      <formula>1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32F75-9D00-4AD7-BED2-8BC0BE90563D}">
  <dimension ref="A1:AH20"/>
  <sheetViews>
    <sheetView topLeftCell="U1" zoomScale="130" zoomScaleNormal="130" workbookViewId="0">
      <selection sqref="A1:AH18"/>
    </sheetView>
  </sheetViews>
  <sheetFormatPr defaultRowHeight="21" x14ac:dyDescent="0.35"/>
  <sheetData>
    <row r="1" spans="1:34" x14ac:dyDescent="0.35">
      <c r="A1" s="120" t="s">
        <v>57</v>
      </c>
      <c r="B1" s="121">
        <v>273.10000000000002</v>
      </c>
      <c r="C1" s="122">
        <v>289.7</v>
      </c>
      <c r="D1" s="123">
        <v>306.2</v>
      </c>
      <c r="E1" s="121">
        <v>322.7</v>
      </c>
      <c r="F1" s="122">
        <v>339.2</v>
      </c>
      <c r="G1" s="123">
        <v>405.3</v>
      </c>
      <c r="H1" s="121">
        <v>421.8</v>
      </c>
      <c r="I1" s="122">
        <v>438.3</v>
      </c>
      <c r="J1" s="123">
        <v>454.9</v>
      </c>
      <c r="K1" s="121">
        <v>471.4</v>
      </c>
      <c r="L1" s="122">
        <v>487.9</v>
      </c>
      <c r="M1" s="123">
        <v>504.4</v>
      </c>
      <c r="N1" s="121">
        <v>520.9</v>
      </c>
      <c r="O1" s="122">
        <v>537.5</v>
      </c>
      <c r="P1" s="123">
        <v>554</v>
      </c>
      <c r="Q1" s="121">
        <v>570.5</v>
      </c>
      <c r="R1" s="123">
        <v>587</v>
      </c>
      <c r="S1" s="123">
        <v>603.5</v>
      </c>
      <c r="T1" s="121">
        <v>620.1</v>
      </c>
      <c r="U1" s="122">
        <v>636.6</v>
      </c>
      <c r="V1" s="123">
        <v>653.1</v>
      </c>
      <c r="W1" s="121">
        <v>669.6</v>
      </c>
      <c r="X1" s="122">
        <v>735.7</v>
      </c>
      <c r="Y1" s="123">
        <v>801.8</v>
      </c>
      <c r="Z1" s="121">
        <v>867.8</v>
      </c>
      <c r="AA1" s="122">
        <v>884.4</v>
      </c>
      <c r="AB1" s="123">
        <v>900.9</v>
      </c>
      <c r="AC1" s="121">
        <v>917.4</v>
      </c>
      <c r="AD1" s="122">
        <v>933.9</v>
      </c>
      <c r="AE1" s="123">
        <v>950.4</v>
      </c>
      <c r="AF1" s="127">
        <v>967</v>
      </c>
      <c r="AG1" s="122">
        <v>983.5</v>
      </c>
      <c r="AH1" s="123">
        <v>1000</v>
      </c>
    </row>
    <row r="2" spans="1:34" x14ac:dyDescent="0.35">
      <c r="A2" s="125" t="s">
        <v>51</v>
      </c>
      <c r="B2" s="128">
        <v>0</v>
      </c>
      <c r="C2" s="128">
        <v>1.2332000000000001E-32</v>
      </c>
      <c r="D2" s="128">
        <v>2.6809000000000002E-23</v>
      </c>
      <c r="E2" s="128">
        <v>1.3057000000000001E-19</v>
      </c>
      <c r="F2" s="128">
        <v>4.9528000000000003E-18</v>
      </c>
      <c r="G2" s="128">
        <v>6.4772999999999998E-16</v>
      </c>
      <c r="H2" s="128">
        <v>5.5125000000000003E-15</v>
      </c>
      <c r="I2" s="128">
        <v>2.107E-13</v>
      </c>
      <c r="J2" s="128">
        <v>3.3470000000000002E-11</v>
      </c>
      <c r="K2" s="128">
        <v>1.7606999999999999E-9</v>
      </c>
      <c r="L2" s="128">
        <v>5.4517000000000001E-9</v>
      </c>
      <c r="M2" s="128">
        <v>8.0913000000000008E-9</v>
      </c>
      <c r="N2" s="128">
        <v>1.0287999999999999E-8</v>
      </c>
      <c r="O2" s="128">
        <v>1.6545E-8</v>
      </c>
      <c r="P2" s="129">
        <v>1.8688000000000002E-8</v>
      </c>
      <c r="Q2" s="128">
        <v>1.6283000000000001E-8</v>
      </c>
      <c r="R2" s="128">
        <v>1.2261999999999999E-8</v>
      </c>
      <c r="S2" s="128">
        <v>1.5364999999999999E-8</v>
      </c>
      <c r="T2" s="128">
        <v>1.7704000000000001E-8</v>
      </c>
      <c r="U2" s="128">
        <v>1.8891E-8</v>
      </c>
      <c r="V2" s="128">
        <v>1.9265000000000001E-8</v>
      </c>
      <c r="W2" s="128">
        <v>1.9264E-8</v>
      </c>
      <c r="X2" s="128">
        <v>1.9528000000000001E-8</v>
      </c>
      <c r="Y2" s="128">
        <v>1.4852E-8</v>
      </c>
      <c r="Z2" s="128">
        <v>1.8445999999999999E-8</v>
      </c>
      <c r="AA2" s="128">
        <v>2.4019000000000002E-8</v>
      </c>
      <c r="AB2" s="128">
        <v>2.8652999999999999E-8</v>
      </c>
      <c r="AC2" s="128">
        <v>1.9151999999999998E-8</v>
      </c>
      <c r="AD2" s="128">
        <v>2.0821999999999999E-8</v>
      </c>
      <c r="AE2" s="128">
        <v>2.2121E-8</v>
      </c>
      <c r="AF2" s="128">
        <v>2.3125E-8</v>
      </c>
      <c r="AG2" s="128">
        <v>2.3739999999999999E-8</v>
      </c>
      <c r="AH2" s="128">
        <v>2.4061E-8</v>
      </c>
    </row>
    <row r="3" spans="1:34" x14ac:dyDescent="0.35">
      <c r="A3" s="120" t="s">
        <v>55</v>
      </c>
      <c r="B3" s="130">
        <v>5.0425999999999999E-11</v>
      </c>
      <c r="C3" s="130">
        <v>3.5906999999999998E-10</v>
      </c>
      <c r="D3" s="130">
        <v>4.9991000000000002E-9</v>
      </c>
      <c r="E3" s="130">
        <v>1.1377E-8</v>
      </c>
      <c r="F3" s="130">
        <v>1.5484000000000002E-8</v>
      </c>
      <c r="G3" s="130">
        <v>2.6606E-8</v>
      </c>
      <c r="H3" s="130">
        <v>2.3353000000000001E-8</v>
      </c>
      <c r="I3" s="130">
        <v>1.5670999999999999E-8</v>
      </c>
      <c r="J3" s="130">
        <v>7.0690999999999999E-9</v>
      </c>
      <c r="K3" s="130">
        <v>4.8526000000000004E-10</v>
      </c>
      <c r="L3" s="130">
        <v>2.4603000000000001E-13</v>
      </c>
      <c r="M3" s="130">
        <v>1.3894000000000001E-18</v>
      </c>
      <c r="N3" s="130">
        <v>2.2517000000000001E-25</v>
      </c>
      <c r="O3" s="130">
        <v>1.5275000000000001E-32</v>
      </c>
      <c r="P3" s="131">
        <v>0</v>
      </c>
      <c r="Q3" s="130">
        <v>0</v>
      </c>
      <c r="R3" s="130">
        <v>0</v>
      </c>
      <c r="S3" s="130">
        <v>0</v>
      </c>
      <c r="T3" s="130">
        <v>0</v>
      </c>
      <c r="U3" s="130">
        <v>0</v>
      </c>
      <c r="V3" s="130">
        <v>0</v>
      </c>
      <c r="W3" s="130">
        <v>0</v>
      </c>
      <c r="X3" s="130">
        <v>0</v>
      </c>
      <c r="Y3" s="130">
        <v>0</v>
      </c>
      <c r="Z3" s="130">
        <v>0</v>
      </c>
      <c r="AA3" s="130">
        <v>0</v>
      </c>
      <c r="AB3" s="130">
        <v>0</v>
      </c>
      <c r="AC3" s="130">
        <v>0</v>
      </c>
      <c r="AD3" s="130">
        <v>0</v>
      </c>
      <c r="AE3" s="130">
        <v>0</v>
      </c>
      <c r="AF3" s="130">
        <v>0</v>
      </c>
      <c r="AG3" s="130">
        <v>0</v>
      </c>
      <c r="AH3" s="130">
        <v>0</v>
      </c>
    </row>
    <row r="4" spans="1:34" x14ac:dyDescent="0.35">
      <c r="A4" s="120" t="s">
        <v>1</v>
      </c>
      <c r="B4" s="130">
        <v>0.2</v>
      </c>
      <c r="C4" s="130">
        <v>0.2</v>
      </c>
      <c r="D4" s="130">
        <v>0.2</v>
      </c>
      <c r="E4" s="130">
        <v>0.2</v>
      </c>
      <c r="F4" s="130">
        <v>0.2</v>
      </c>
      <c r="G4" s="130">
        <v>0.2</v>
      </c>
      <c r="H4" s="130">
        <v>0.2</v>
      </c>
      <c r="I4" s="130">
        <v>0.2</v>
      </c>
      <c r="J4" s="130">
        <v>0.2</v>
      </c>
      <c r="K4" s="130">
        <v>0.2</v>
      </c>
      <c r="L4" s="130">
        <v>0.2</v>
      </c>
      <c r="M4" s="130">
        <v>0.2</v>
      </c>
      <c r="N4" s="130">
        <v>0.2</v>
      </c>
      <c r="O4" s="130">
        <v>0.2</v>
      </c>
      <c r="P4" s="131">
        <v>0.2</v>
      </c>
      <c r="Q4" s="130">
        <v>0.2</v>
      </c>
      <c r="R4" s="130">
        <v>0.2</v>
      </c>
      <c r="S4" s="130">
        <v>0.2</v>
      </c>
      <c r="T4" s="130">
        <v>0.2</v>
      </c>
      <c r="U4" s="130">
        <v>0.2</v>
      </c>
      <c r="V4" s="130">
        <v>0.2</v>
      </c>
      <c r="W4" s="130">
        <v>0.2</v>
      </c>
      <c r="X4" s="130">
        <v>0.2</v>
      </c>
      <c r="Y4" s="130">
        <v>0.2</v>
      </c>
      <c r="Z4" s="130">
        <v>0.2</v>
      </c>
      <c r="AA4" s="130">
        <v>0.2</v>
      </c>
      <c r="AB4" s="130">
        <v>0.2</v>
      </c>
      <c r="AC4" s="130">
        <v>0.2</v>
      </c>
      <c r="AD4" s="130">
        <v>0.2</v>
      </c>
      <c r="AE4" s="130">
        <v>0.2</v>
      </c>
      <c r="AF4" s="130">
        <v>0.2</v>
      </c>
      <c r="AG4" s="130">
        <v>0.2</v>
      </c>
      <c r="AH4" s="130">
        <v>0.2</v>
      </c>
    </row>
    <row r="5" spans="1:34" x14ac:dyDescent="0.35">
      <c r="A5" s="120" t="s">
        <v>78</v>
      </c>
      <c r="B5" s="130">
        <v>0.11772000000000001</v>
      </c>
      <c r="C5" s="130">
        <v>0.11226</v>
      </c>
      <c r="D5" s="130">
        <v>9.8857E-2</v>
      </c>
      <c r="E5" s="130">
        <v>7.5493000000000005E-2</v>
      </c>
      <c r="F5" s="130">
        <v>4.7884000000000003E-2</v>
      </c>
      <c r="G5" s="130">
        <v>2.8065E-3</v>
      </c>
      <c r="H5" s="130">
        <v>1.3795999999999999E-3</v>
      </c>
      <c r="I5" s="130">
        <v>7.0160999999999997E-4</v>
      </c>
      <c r="J5" s="130">
        <v>3.6528999999999999E-4</v>
      </c>
      <c r="K5" s="130">
        <v>1.8887E-4</v>
      </c>
      <c r="L5" s="130">
        <v>9.2763999999999995E-5</v>
      </c>
      <c r="M5" s="130">
        <v>4.1637999999999997E-5</v>
      </c>
      <c r="N5" s="130">
        <v>1.6872999999999999E-5</v>
      </c>
      <c r="O5" s="130">
        <v>6.2983000000000003E-6</v>
      </c>
      <c r="P5" s="131">
        <v>2.2473999999999999E-6</v>
      </c>
      <c r="Q5" s="130">
        <v>7.9329999999999999E-7</v>
      </c>
      <c r="R5" s="130">
        <v>2.8335000000000001E-7</v>
      </c>
      <c r="S5" s="130">
        <v>1.0365E-7</v>
      </c>
      <c r="T5" s="130">
        <v>3.9033999999999997E-8</v>
      </c>
      <c r="U5" s="130">
        <v>1.5157000000000001E-8</v>
      </c>
      <c r="V5" s="130">
        <v>6.0667000000000002E-9</v>
      </c>
      <c r="W5" s="130">
        <v>2.5005999999999998E-9</v>
      </c>
      <c r="X5" s="130">
        <v>9.4172000000000001E-11</v>
      </c>
      <c r="Y5" s="130">
        <v>5.1854000000000001E-12</v>
      </c>
      <c r="Z5" s="130">
        <v>4.0165999999999998E-13</v>
      </c>
      <c r="AA5" s="130">
        <v>2.1891E-13</v>
      </c>
      <c r="AB5" s="130">
        <v>1.2035000000000001E-13</v>
      </c>
      <c r="AC5" s="130">
        <v>6.6755999999999998E-14</v>
      </c>
      <c r="AD5" s="130">
        <v>3.7386E-14</v>
      </c>
      <c r="AE5" s="130">
        <v>2.1146000000000001E-14</v>
      </c>
      <c r="AF5" s="130">
        <v>1.2082E-14</v>
      </c>
      <c r="AG5" s="130">
        <v>6.9717000000000001E-15</v>
      </c>
      <c r="AH5" s="130">
        <v>4.0621999999999996E-15</v>
      </c>
    </row>
    <row r="6" spans="1:34" x14ac:dyDescent="0.35">
      <c r="A6" s="120" t="s">
        <v>71</v>
      </c>
      <c r="B6" s="130">
        <v>0.12228</v>
      </c>
      <c r="C6" s="130">
        <v>0.12773999999999999</v>
      </c>
      <c r="D6" s="130">
        <v>0.14113999999999999</v>
      </c>
      <c r="E6" s="130">
        <v>0.16450000000000001</v>
      </c>
      <c r="F6" s="130">
        <v>0.19209000000000001</v>
      </c>
      <c r="G6" s="130">
        <v>0.23471</v>
      </c>
      <c r="H6" s="130">
        <v>0.23205000000000001</v>
      </c>
      <c r="I6" s="130">
        <v>0.22372</v>
      </c>
      <c r="J6" s="130">
        <v>0.20701</v>
      </c>
      <c r="K6" s="130">
        <v>0.18007999999999999</v>
      </c>
      <c r="L6" s="130">
        <v>0.14408000000000001</v>
      </c>
      <c r="M6" s="130">
        <v>0.10426000000000001</v>
      </c>
      <c r="N6" s="130">
        <v>6.8220000000000003E-2</v>
      </c>
      <c r="O6" s="130">
        <v>4.1203999999999998E-2</v>
      </c>
      <c r="P6" s="131">
        <v>2.3717999999999999E-2</v>
      </c>
      <c r="Q6" s="130">
        <v>1.3390000000000001E-2</v>
      </c>
      <c r="R6" s="130">
        <v>7.5570000000000003E-3</v>
      </c>
      <c r="S6" s="130">
        <v>4.3089000000000001E-3</v>
      </c>
      <c r="T6" s="130">
        <v>2.4943999999999999E-3</v>
      </c>
      <c r="U6" s="130">
        <v>1.4687999999999999E-3</v>
      </c>
      <c r="V6" s="130">
        <v>8.8009999999999998E-4</v>
      </c>
      <c r="W6" s="130">
        <v>5.3644000000000001E-4</v>
      </c>
      <c r="X6" s="130">
        <v>8.6570000000000006E-5</v>
      </c>
      <c r="Y6" s="130">
        <v>1.7442E-5</v>
      </c>
      <c r="Z6" s="130">
        <v>4.2738999999999999E-6</v>
      </c>
      <c r="AA6" s="130">
        <v>3.0663000000000002E-6</v>
      </c>
      <c r="AB6" s="130">
        <v>2.2118999999999999E-6</v>
      </c>
      <c r="AC6" s="130">
        <v>1.6046000000000001E-6</v>
      </c>
      <c r="AD6" s="130">
        <v>1.1708000000000001E-6</v>
      </c>
      <c r="AE6" s="130">
        <v>8.5937E-7</v>
      </c>
      <c r="AF6" s="130">
        <v>6.3453999999999996E-7</v>
      </c>
      <c r="AG6" s="130">
        <v>4.7128999999999998E-7</v>
      </c>
      <c r="AH6" s="130">
        <v>3.5203000000000001E-7</v>
      </c>
    </row>
    <row r="7" spans="1:34" x14ac:dyDescent="0.35">
      <c r="A7" s="120" t="s">
        <v>79</v>
      </c>
      <c r="B7" s="130">
        <v>3.9999E-2</v>
      </c>
      <c r="C7" s="130">
        <v>3.9996999999999998E-2</v>
      </c>
      <c r="D7" s="130">
        <v>3.9995000000000003E-2</v>
      </c>
      <c r="E7" s="130">
        <v>3.9989999999999998E-2</v>
      </c>
      <c r="F7" s="130">
        <v>3.9978E-2</v>
      </c>
      <c r="G7" s="130">
        <v>3.9584000000000001E-2</v>
      </c>
      <c r="H7" s="130">
        <v>3.9222E-2</v>
      </c>
      <c r="I7" s="130">
        <v>3.8613000000000001E-2</v>
      </c>
      <c r="J7" s="130">
        <v>3.7638999999999999E-2</v>
      </c>
      <c r="K7" s="130">
        <v>3.6138999999999998E-2</v>
      </c>
      <c r="L7" s="130">
        <v>3.3898999999999999E-2</v>
      </c>
      <c r="M7" s="130">
        <v>3.0683999999999999E-2</v>
      </c>
      <c r="N7" s="130">
        <v>2.6362E-2</v>
      </c>
      <c r="O7" s="130">
        <v>2.1083000000000001E-2</v>
      </c>
      <c r="P7" s="131">
        <v>1.5407000000000001E-2</v>
      </c>
      <c r="Q7" s="130">
        <v>1.0189E-2</v>
      </c>
      <c r="R7" s="130">
        <v>6.1503E-3</v>
      </c>
      <c r="S7" s="130">
        <v>3.4772000000000002E-3</v>
      </c>
      <c r="T7" s="130">
        <v>1.8994999999999999E-3</v>
      </c>
      <c r="U7" s="130">
        <v>1.0275E-3</v>
      </c>
      <c r="V7" s="130">
        <v>5.5864E-4</v>
      </c>
      <c r="W7" s="130">
        <v>3.0761999999999999E-4</v>
      </c>
      <c r="X7" s="130">
        <v>3.2917999999999999E-5</v>
      </c>
      <c r="Y7" s="130">
        <v>3.388E-6</v>
      </c>
      <c r="Z7" s="130">
        <v>8.3001000000000003E-8</v>
      </c>
      <c r="AA7" s="130">
        <v>2.3695000000000001E-8</v>
      </c>
      <c r="AB7" s="130">
        <v>6.2944999999999997E-9</v>
      </c>
      <c r="AC7" s="132">
        <v>1.6136999999999999E-9</v>
      </c>
      <c r="AD7" s="132">
        <v>4.1002E-10</v>
      </c>
      <c r="AE7" s="132">
        <v>1.0503E-10</v>
      </c>
      <c r="AF7" s="130">
        <v>2.7389999999999999E-11</v>
      </c>
      <c r="AG7" s="130">
        <v>7.3112999999999994E-12</v>
      </c>
      <c r="AH7" s="130">
        <v>2.0026E-12</v>
      </c>
    </row>
    <row r="8" spans="1:34" x14ac:dyDescent="0.35">
      <c r="A8" s="120" t="s">
        <v>72</v>
      </c>
      <c r="B8" s="130">
        <v>2.7043000000000001E-6</v>
      </c>
      <c r="C8" s="130">
        <v>5.1414999999999998E-6</v>
      </c>
      <c r="D8" s="130">
        <v>9.9526000000000002E-6</v>
      </c>
      <c r="E8" s="130">
        <v>2.0440000000000001E-5</v>
      </c>
      <c r="F8" s="130">
        <v>4.4202000000000001E-5</v>
      </c>
      <c r="G8" s="130">
        <v>8.3197999999999996E-4</v>
      </c>
      <c r="H8" s="130">
        <v>1.5556999999999999E-3</v>
      </c>
      <c r="I8" s="130">
        <v>2.7734000000000001E-3</v>
      </c>
      <c r="J8" s="130">
        <v>4.7219999999999996E-3</v>
      </c>
      <c r="K8" s="132">
        <v>7.7216999999999997E-3</v>
      </c>
      <c r="L8" s="132">
        <v>1.2201999999999999E-2</v>
      </c>
      <c r="M8" s="132">
        <v>1.8631999999999999E-2</v>
      </c>
      <c r="N8" s="130">
        <v>2.7276999999999999E-2</v>
      </c>
      <c r="O8" s="130">
        <v>3.7834E-2</v>
      </c>
      <c r="P8" s="131">
        <v>4.9186000000000001E-2</v>
      </c>
      <c r="Q8" s="130">
        <v>5.9621E-2</v>
      </c>
      <c r="R8" s="130">
        <v>6.7698999999999995E-2</v>
      </c>
      <c r="S8" s="130">
        <v>7.3044999999999999E-2</v>
      </c>
      <c r="T8" s="130">
        <v>7.6199000000000003E-2</v>
      </c>
      <c r="U8" s="130">
        <v>7.7939999999999995E-2</v>
      </c>
      <c r="V8" s="130">
        <v>7.8869999999999996E-2</v>
      </c>
      <c r="W8" s="130">
        <v>7.9353000000000007E-2</v>
      </c>
      <c r="X8" s="130">
        <v>7.9082E-2</v>
      </c>
      <c r="Y8" s="130">
        <v>6.7571999999999993E-2</v>
      </c>
      <c r="Z8" s="130">
        <v>2.5463E-2</v>
      </c>
      <c r="AA8" s="130">
        <v>1.6709000000000002E-2</v>
      </c>
      <c r="AB8" s="130">
        <v>1.0519000000000001E-2</v>
      </c>
      <c r="AC8" s="130">
        <v>6.4719E-3</v>
      </c>
      <c r="AD8" s="130">
        <v>3.9449999999999997E-3</v>
      </c>
      <c r="AE8" s="130">
        <v>2.4034999999999998E-3</v>
      </c>
      <c r="AF8" s="130">
        <v>1.4714000000000001E-3</v>
      </c>
      <c r="AG8" s="130">
        <v>9.0764999999999997E-4</v>
      </c>
      <c r="AH8" s="130">
        <v>5.6503E-4</v>
      </c>
    </row>
    <row r="9" spans="1:34" x14ac:dyDescent="0.35">
      <c r="A9" s="126" t="s">
        <v>73</v>
      </c>
      <c r="B9" s="132">
        <v>4.5573999999999998E-7</v>
      </c>
      <c r="C9" s="132">
        <v>9.7942000000000002E-7</v>
      </c>
      <c r="D9" s="132">
        <v>2.3769999999999999E-6</v>
      </c>
      <c r="E9" s="132">
        <v>6.9770000000000003E-6</v>
      </c>
      <c r="F9" s="132">
        <v>2.3535000000000001E-5</v>
      </c>
      <c r="G9" s="132">
        <v>2.4867999999999999E-3</v>
      </c>
      <c r="H9" s="132">
        <v>6.5661000000000001E-3</v>
      </c>
      <c r="I9" s="132">
        <v>1.5582E-2</v>
      </c>
      <c r="J9" s="132">
        <v>3.2625000000000001E-2</v>
      </c>
      <c r="K9" s="132">
        <v>5.9728000000000003E-2</v>
      </c>
      <c r="L9" s="132">
        <v>9.5829999999999999E-2</v>
      </c>
      <c r="M9" s="132">
        <v>0.13569999999999999</v>
      </c>
      <c r="N9" s="132">
        <v>0.17176</v>
      </c>
      <c r="O9" s="132">
        <v>0.19878999999999999</v>
      </c>
      <c r="P9" s="133">
        <v>0.21628</v>
      </c>
      <c r="Q9" s="132">
        <v>0.22661000000000001</v>
      </c>
      <c r="R9" s="132">
        <v>0.23244000000000001</v>
      </c>
      <c r="S9" s="132">
        <v>0.23569000000000001</v>
      </c>
      <c r="T9" s="132">
        <v>0.23751</v>
      </c>
      <c r="U9" s="132">
        <v>0.23852999999999999</v>
      </c>
      <c r="V9" s="132">
        <v>0.23912</v>
      </c>
      <c r="W9" s="132">
        <v>0.23946000000000001</v>
      </c>
      <c r="X9" s="132">
        <v>0.23991000000000001</v>
      </c>
      <c r="Y9" s="132">
        <v>0.23998</v>
      </c>
      <c r="Z9" s="132">
        <v>0.24</v>
      </c>
      <c r="AA9" s="132">
        <v>0.24</v>
      </c>
      <c r="AB9" s="132">
        <v>0.24</v>
      </c>
      <c r="AC9" s="132">
        <v>0.24</v>
      </c>
      <c r="AD9" s="132">
        <v>0.24</v>
      </c>
      <c r="AE9" s="132">
        <v>0.24</v>
      </c>
      <c r="AF9" s="132">
        <v>0.24</v>
      </c>
      <c r="AG9" s="132">
        <v>0.24</v>
      </c>
      <c r="AH9" s="132">
        <v>0.24</v>
      </c>
    </row>
    <row r="10" spans="1:34" x14ac:dyDescent="0.35">
      <c r="A10" s="126" t="s">
        <v>74</v>
      </c>
      <c r="B10" s="132">
        <v>5.1747999999999996E-28</v>
      </c>
      <c r="C10" s="132">
        <v>1.9352999999999999E-26</v>
      </c>
      <c r="D10" s="132">
        <v>6.1775000000000004E-25</v>
      </c>
      <c r="E10" s="132">
        <v>1.9541999999999999E-23</v>
      </c>
      <c r="F10" s="132">
        <v>6.2668999999999996E-22</v>
      </c>
      <c r="G10" s="132">
        <v>1.8846000000000001E-16</v>
      </c>
      <c r="H10" s="132">
        <v>2.6924000000000001E-15</v>
      </c>
      <c r="I10" s="132">
        <v>3.1248E-14</v>
      </c>
      <c r="J10" s="132">
        <v>2.9683000000000001E-13</v>
      </c>
      <c r="K10" s="132">
        <v>2.3656999999999999E-12</v>
      </c>
      <c r="L10" s="132">
        <v>1.6410000000000001E-11</v>
      </c>
      <c r="M10" s="132">
        <v>1.0201E-10</v>
      </c>
      <c r="N10" s="132">
        <v>5.7400999999999996E-10</v>
      </c>
      <c r="O10" s="132">
        <v>2.907E-9</v>
      </c>
      <c r="P10" s="133">
        <v>1.3103E-8</v>
      </c>
      <c r="Q10" s="132">
        <v>5.222E-8</v>
      </c>
      <c r="R10" s="132">
        <v>1.8493E-7</v>
      </c>
      <c r="S10" s="132">
        <v>5.9134E-7</v>
      </c>
      <c r="T10" s="132">
        <v>1.742E-6</v>
      </c>
      <c r="U10" s="132">
        <v>4.809E-6</v>
      </c>
      <c r="V10" s="132">
        <v>1.2591E-5</v>
      </c>
      <c r="W10" s="132">
        <v>3.1511999999999999E-5</v>
      </c>
      <c r="X10" s="132">
        <v>8.5201999999999999E-4</v>
      </c>
      <c r="Y10" s="132">
        <v>1.2422000000000001E-2</v>
      </c>
      <c r="Z10" s="132">
        <v>5.4536000000000001E-2</v>
      </c>
      <c r="AA10" s="132">
        <v>6.3291E-2</v>
      </c>
      <c r="AB10" s="132">
        <v>6.9481000000000001E-2</v>
      </c>
      <c r="AC10" s="132">
        <v>7.3527999999999996E-2</v>
      </c>
      <c r="AD10" s="132">
        <v>7.6054999999999998E-2</v>
      </c>
      <c r="AE10" s="132">
        <v>7.7595999999999998E-2</v>
      </c>
      <c r="AF10" s="132">
        <v>7.8529000000000002E-2</v>
      </c>
      <c r="AG10" s="132">
        <v>7.9091999999999996E-2</v>
      </c>
      <c r="AH10" s="132">
        <v>7.9435000000000006E-2</v>
      </c>
    </row>
    <row r="11" spans="1:34" x14ac:dyDescent="0.35">
      <c r="A11" s="126" t="s">
        <v>80</v>
      </c>
      <c r="B11" s="132">
        <v>6.2095000000000001E-10</v>
      </c>
      <c r="C11" s="132">
        <v>1.9735999999999999E-9</v>
      </c>
      <c r="D11" s="132">
        <v>4.9362000000000004E-9</v>
      </c>
      <c r="E11" s="132">
        <v>9.3578999999999997E-9</v>
      </c>
      <c r="F11" s="132">
        <v>1.3474E-8</v>
      </c>
      <c r="G11" s="132">
        <v>1.2793000000000001E-8</v>
      </c>
      <c r="H11" s="132">
        <v>1.15E-8</v>
      </c>
      <c r="I11" s="132">
        <v>1.0627E-8</v>
      </c>
      <c r="J11" s="132">
        <v>1.0274E-8</v>
      </c>
      <c r="K11" s="132">
        <v>1.0363999999999999E-8</v>
      </c>
      <c r="L11" s="132">
        <v>1.0645E-8</v>
      </c>
      <c r="M11" s="132">
        <v>1.0786999999999999E-8</v>
      </c>
      <c r="N11" s="132">
        <v>1.054E-8</v>
      </c>
      <c r="O11" s="132">
        <v>9.8784999999999997E-9</v>
      </c>
      <c r="P11" s="133">
        <v>8.9458000000000003E-9</v>
      </c>
      <c r="Q11" s="132">
        <v>7.9083000000000001E-9</v>
      </c>
      <c r="R11" s="132">
        <v>6.8798999999999998E-9</v>
      </c>
      <c r="S11" s="132">
        <v>5.9239999999999998E-9</v>
      </c>
      <c r="T11" s="132">
        <v>5.0698E-9</v>
      </c>
      <c r="U11" s="132">
        <v>4.3247999999999998E-9</v>
      </c>
      <c r="V11" s="132">
        <v>3.6839000000000001E-9</v>
      </c>
      <c r="W11" s="132">
        <v>3.1366000000000001E-9</v>
      </c>
      <c r="X11" s="132">
        <v>1.6574999999999999E-9</v>
      </c>
      <c r="Y11" s="132">
        <v>9.0996000000000003E-10</v>
      </c>
      <c r="Z11" s="132">
        <v>5.4217E-10</v>
      </c>
      <c r="AA11" s="132">
        <v>4.7478999999999997E-10</v>
      </c>
      <c r="AB11" s="132">
        <v>4.1369999999999998E-10</v>
      </c>
      <c r="AC11" s="132">
        <v>3.5906E-10</v>
      </c>
      <c r="AD11" s="132">
        <v>3.1083999999999998E-10</v>
      </c>
      <c r="AE11" s="132">
        <v>2.6873000000000001E-10</v>
      </c>
      <c r="AF11" s="132">
        <v>2.3219E-10</v>
      </c>
      <c r="AG11" s="132">
        <v>2.0060000000000001E-10</v>
      </c>
      <c r="AH11" s="132">
        <v>1.7333999999999999E-10</v>
      </c>
    </row>
    <row r="12" spans="1:34" x14ac:dyDescent="0.35">
      <c r="A12" s="120" t="s">
        <v>75</v>
      </c>
      <c r="B12" s="130">
        <v>2.2807000000000001E-3</v>
      </c>
      <c r="C12" s="130">
        <v>7.7456000000000001E-3</v>
      </c>
      <c r="D12" s="130">
        <v>2.1149999999999999E-2</v>
      </c>
      <c r="E12" s="130">
        <v>4.4524000000000001E-2</v>
      </c>
      <c r="F12" s="130">
        <v>7.2162000000000004E-2</v>
      </c>
      <c r="G12" s="130">
        <v>0.1201</v>
      </c>
      <c r="H12" s="130">
        <v>0.12595999999999999</v>
      </c>
      <c r="I12" s="130">
        <v>0.13627</v>
      </c>
      <c r="J12" s="130">
        <v>0.15462000000000001</v>
      </c>
      <c r="K12" s="130">
        <v>0.18340000000000001</v>
      </c>
      <c r="L12" s="130">
        <v>0.22184000000000001</v>
      </c>
      <c r="M12" s="130">
        <v>0.26496999999999998</v>
      </c>
      <c r="N12" s="130">
        <v>0.30537999999999998</v>
      </c>
      <c r="O12" s="130">
        <v>0.3377</v>
      </c>
      <c r="P12" s="131">
        <v>0.36087000000000002</v>
      </c>
      <c r="Q12" s="130">
        <v>0.37641999999999998</v>
      </c>
      <c r="R12" s="130">
        <v>0.38629000000000002</v>
      </c>
      <c r="S12" s="130">
        <v>0.39221</v>
      </c>
      <c r="T12" s="130">
        <v>0.39561000000000002</v>
      </c>
      <c r="U12" s="130">
        <v>0.39750999999999997</v>
      </c>
      <c r="V12" s="130">
        <v>0.39856999999999998</v>
      </c>
      <c r="W12" s="130">
        <v>0.39918999999999999</v>
      </c>
      <c r="X12" s="130">
        <v>0.40072999999999998</v>
      </c>
      <c r="Y12" s="130">
        <v>0.41239999999999999</v>
      </c>
      <c r="Z12" s="130">
        <v>0.45452999999999999</v>
      </c>
      <c r="AA12" s="130">
        <v>0.46328999999999998</v>
      </c>
      <c r="AB12" s="130">
        <v>0.46948000000000001</v>
      </c>
      <c r="AC12" s="130">
        <v>0.47353000000000001</v>
      </c>
      <c r="AD12" s="130">
        <v>0.47604999999999997</v>
      </c>
      <c r="AE12" s="130">
        <v>0.47760000000000002</v>
      </c>
      <c r="AF12" s="130">
        <v>0.47853000000000001</v>
      </c>
      <c r="AG12" s="130">
        <v>0.47909000000000002</v>
      </c>
      <c r="AH12" s="130">
        <v>0.47943000000000002</v>
      </c>
    </row>
    <row r="13" spans="1:34" x14ac:dyDescent="0.35">
      <c r="A13" s="120" t="s">
        <v>76</v>
      </c>
      <c r="B13" s="130">
        <v>2.7022E-9</v>
      </c>
      <c r="C13" s="130">
        <v>7.5784000000000002E-9</v>
      </c>
      <c r="D13" s="130">
        <v>1.6939E-8</v>
      </c>
      <c r="E13" s="130">
        <v>2.9011000000000001E-8</v>
      </c>
      <c r="F13" s="130">
        <v>3.8093000000000002E-8</v>
      </c>
      <c r="G13" s="130">
        <v>2.6884000000000001E-8</v>
      </c>
      <c r="H13" s="130">
        <v>2.2758999999999999E-8</v>
      </c>
      <c r="I13" s="130">
        <v>1.9893999999999999E-8</v>
      </c>
      <c r="J13" s="130">
        <v>1.8266E-8</v>
      </c>
      <c r="K13" s="130">
        <v>1.7561000000000001E-8</v>
      </c>
      <c r="L13" s="130">
        <v>1.7249000000000001E-8</v>
      </c>
      <c r="M13" s="130">
        <v>1.7409000000000001E-8</v>
      </c>
      <c r="N13" s="132">
        <v>1.7155E-8</v>
      </c>
      <c r="O13" s="132">
        <v>1.6222000000000001E-8</v>
      </c>
      <c r="P13" s="133">
        <v>1.4826999999999999E-8</v>
      </c>
      <c r="Q13" s="130">
        <v>1.3233E-8</v>
      </c>
      <c r="R13" s="130">
        <v>1.1625E-8</v>
      </c>
      <c r="S13" s="130">
        <v>1.0109E-8</v>
      </c>
      <c r="T13" s="130">
        <v>8.7381000000000007E-9</v>
      </c>
      <c r="U13" s="130">
        <v>7.5290999999999996E-9</v>
      </c>
      <c r="V13" s="130">
        <v>6.4780999999999998E-9</v>
      </c>
      <c r="W13" s="130">
        <v>5.5714999999999996E-9</v>
      </c>
      <c r="X13" s="130">
        <v>3.0642999999999999E-9</v>
      </c>
      <c r="Y13" s="130">
        <v>1.7491999999999999E-9</v>
      </c>
      <c r="Z13" s="132">
        <v>1.0823999999999999E-9</v>
      </c>
      <c r="AA13" s="132">
        <v>9.5671999999999998E-10</v>
      </c>
      <c r="AB13" s="132">
        <v>8.4134999999999999E-10</v>
      </c>
      <c r="AC13" s="130">
        <v>7.3694000000000004E-10</v>
      </c>
      <c r="AD13" s="130">
        <v>6.4383000000000004E-10</v>
      </c>
      <c r="AE13" s="130">
        <v>5.6167999999999997E-10</v>
      </c>
      <c r="AF13" s="130">
        <v>4.8969999999999997E-10</v>
      </c>
      <c r="AG13" s="130">
        <v>4.2689000000000001E-10</v>
      </c>
      <c r="AH13" s="130">
        <v>3.7218999999999998E-10</v>
      </c>
    </row>
    <row r="14" spans="1:34" x14ac:dyDescent="0.35">
      <c r="A14" s="120" t="s">
        <v>81</v>
      </c>
      <c r="B14" s="130">
        <v>0</v>
      </c>
      <c r="C14" s="130">
        <v>0</v>
      </c>
      <c r="D14" s="130">
        <v>0</v>
      </c>
      <c r="E14" s="130">
        <v>0</v>
      </c>
      <c r="F14" s="130">
        <v>0</v>
      </c>
      <c r="G14" s="130">
        <v>0</v>
      </c>
      <c r="H14" s="130">
        <v>0</v>
      </c>
      <c r="I14" s="130">
        <v>0</v>
      </c>
      <c r="J14" s="130">
        <v>0</v>
      </c>
      <c r="K14" s="130">
        <v>0</v>
      </c>
      <c r="L14" s="130">
        <v>0</v>
      </c>
      <c r="M14" s="130">
        <v>0</v>
      </c>
      <c r="N14" s="130">
        <v>0</v>
      </c>
      <c r="O14" s="130">
        <v>0</v>
      </c>
      <c r="P14" s="131">
        <v>0</v>
      </c>
      <c r="Q14" s="130">
        <v>0</v>
      </c>
      <c r="R14" s="130">
        <v>0</v>
      </c>
      <c r="S14" s="130">
        <v>0</v>
      </c>
      <c r="T14" s="130">
        <v>0</v>
      </c>
      <c r="U14" s="130">
        <v>0</v>
      </c>
      <c r="V14" s="130">
        <v>0</v>
      </c>
      <c r="W14" s="130">
        <v>0</v>
      </c>
      <c r="X14" s="130">
        <v>0</v>
      </c>
      <c r="Y14" s="130">
        <v>2.6743000000000002E-28</v>
      </c>
      <c r="Z14" s="130">
        <v>2.5268E-14</v>
      </c>
      <c r="AA14" s="130">
        <v>1.6865999999999999E-12</v>
      </c>
      <c r="AB14" s="130">
        <v>3.0434000000000001E-11</v>
      </c>
      <c r="AC14" s="130">
        <v>1.2171999999999999E-10</v>
      </c>
      <c r="AD14" s="130">
        <v>5.7717999999999997E-10</v>
      </c>
      <c r="AE14" s="130">
        <v>1.9796000000000001E-9</v>
      </c>
      <c r="AF14" s="130">
        <v>5.5962000000000002E-9</v>
      </c>
      <c r="AG14" s="130">
        <v>1.4063E-8</v>
      </c>
      <c r="AH14" s="130">
        <v>3.2876000000000003E-8</v>
      </c>
    </row>
    <row r="15" spans="1:34" x14ac:dyDescent="0.35">
      <c r="A15" s="120" t="s">
        <v>26</v>
      </c>
      <c r="B15" s="130">
        <v>-18.62</v>
      </c>
      <c r="C15" s="130">
        <v>-18.61</v>
      </c>
      <c r="D15" s="130">
        <v>-18.61</v>
      </c>
      <c r="E15" s="130">
        <v>-18.62</v>
      </c>
      <c r="F15" s="130">
        <v>-18.63</v>
      </c>
      <c r="G15" s="130">
        <v>-18.72</v>
      </c>
      <c r="H15" s="130">
        <v>-18.75</v>
      </c>
      <c r="I15" s="130">
        <v>-18.78</v>
      </c>
      <c r="J15" s="130">
        <v>-18.809999999999999</v>
      </c>
      <c r="K15" s="130">
        <v>-18.84</v>
      </c>
      <c r="L15" s="130">
        <v>-18.87</v>
      </c>
      <c r="M15" s="130">
        <v>-18.899999999999999</v>
      </c>
      <c r="N15" s="130">
        <v>-18.940000000000001</v>
      </c>
      <c r="O15" s="130">
        <v>-18.97</v>
      </c>
      <c r="P15" s="131">
        <v>-19.010000000000002</v>
      </c>
      <c r="Q15" s="130">
        <v>-19.04</v>
      </c>
      <c r="R15" s="130">
        <v>-19.07</v>
      </c>
      <c r="S15" s="130">
        <v>-19.11</v>
      </c>
      <c r="T15" s="130">
        <v>-19.14</v>
      </c>
      <c r="U15" s="130">
        <v>-19.18</v>
      </c>
      <c r="V15" s="130">
        <v>-19.21</v>
      </c>
      <c r="W15" s="130">
        <v>-19.25</v>
      </c>
      <c r="X15" s="130">
        <v>-19.38</v>
      </c>
      <c r="Y15" s="130">
        <v>-19.510000000000002</v>
      </c>
      <c r="Z15" s="130">
        <v>-19.64</v>
      </c>
      <c r="AA15" s="130">
        <v>-19.670000000000002</v>
      </c>
      <c r="AB15" s="130">
        <v>-19.7</v>
      </c>
      <c r="AC15" s="130">
        <v>-19.73</v>
      </c>
      <c r="AD15" s="130">
        <v>-19.760000000000002</v>
      </c>
      <c r="AE15" s="130">
        <v>-19.79</v>
      </c>
      <c r="AF15" s="130">
        <v>-19.82</v>
      </c>
      <c r="AG15" s="130">
        <v>-19.850000000000001</v>
      </c>
      <c r="AH15" s="130">
        <v>-19.88</v>
      </c>
    </row>
    <row r="16" spans="1:34" x14ac:dyDescent="0.35">
      <c r="A16" s="120" t="s">
        <v>5</v>
      </c>
      <c r="B16" s="130">
        <v>-66.48</v>
      </c>
      <c r="C16" s="130">
        <v>-62.87</v>
      </c>
      <c r="D16" s="130">
        <v>-59.45</v>
      </c>
      <c r="E16" s="130">
        <v>-56.08</v>
      </c>
      <c r="F16" s="130">
        <v>-52.71</v>
      </c>
      <c r="G16" s="130">
        <v>-40.33</v>
      </c>
      <c r="H16" s="130">
        <v>-37.729999999999997</v>
      </c>
      <c r="I16" s="130">
        <v>-35.340000000000003</v>
      </c>
      <c r="J16" s="130">
        <v>-33.17</v>
      </c>
      <c r="K16" s="130">
        <v>-31.2</v>
      </c>
      <c r="L16" s="130">
        <v>-29.39</v>
      </c>
      <c r="M16" s="130">
        <v>-27.69</v>
      </c>
      <c r="N16" s="130">
        <v>-26.08</v>
      </c>
      <c r="O16" s="130">
        <v>-24.57</v>
      </c>
      <c r="P16" s="131">
        <v>-23.15</v>
      </c>
      <c r="Q16" s="130">
        <v>-21.84</v>
      </c>
      <c r="R16" s="130">
        <v>-20.64</v>
      </c>
      <c r="S16" s="130">
        <v>-19.53</v>
      </c>
      <c r="T16" s="130">
        <v>-18.5</v>
      </c>
      <c r="U16" s="130">
        <v>-17.53</v>
      </c>
      <c r="V16" s="130">
        <v>-16.62</v>
      </c>
      <c r="W16" s="130">
        <v>-15.74</v>
      </c>
      <c r="X16" s="130">
        <v>-12.62</v>
      </c>
      <c r="Y16" s="130">
        <v>-10.119999999999999</v>
      </c>
      <c r="Z16" s="130">
        <v>-8.859</v>
      </c>
      <c r="AA16" s="130">
        <v>-8.76</v>
      </c>
      <c r="AB16" s="130">
        <v>-8.7140000000000004</v>
      </c>
      <c r="AC16" s="130">
        <v>-8.7010000000000005</v>
      </c>
      <c r="AD16" s="130">
        <v>-8.7080000000000002</v>
      </c>
      <c r="AE16" s="130">
        <v>-8.7279999999999998</v>
      </c>
      <c r="AF16" s="130">
        <v>-8.7539999999999996</v>
      </c>
      <c r="AG16" s="130">
        <v>-8.7850000000000001</v>
      </c>
      <c r="AH16" s="130">
        <v>-8.8179999999999996</v>
      </c>
    </row>
    <row r="17" spans="1:34" x14ac:dyDescent="0.35">
      <c r="A17" s="120" t="s">
        <v>6</v>
      </c>
      <c r="B17" s="130">
        <v>-17.09</v>
      </c>
      <c r="C17" s="130">
        <v>-16.329999999999998</v>
      </c>
      <c r="D17" s="130">
        <v>-15.49</v>
      </c>
      <c r="E17" s="130">
        <v>-14.5</v>
      </c>
      <c r="F17" s="130">
        <v>-13.38</v>
      </c>
      <c r="G17" s="130">
        <v>-8.9420000000000002</v>
      </c>
      <c r="H17" s="130">
        <v>-8.0190000000000001</v>
      </c>
      <c r="I17" s="130">
        <v>-7.2149999999999999</v>
      </c>
      <c r="J17" s="130">
        <v>-6.5570000000000004</v>
      </c>
      <c r="K17" s="130">
        <v>-6.056</v>
      </c>
      <c r="L17" s="130">
        <v>-5.7050000000000001</v>
      </c>
      <c r="M17" s="130">
        <v>-5.4829999999999997</v>
      </c>
      <c r="N17" s="130">
        <v>-5.3639999999999999</v>
      </c>
      <c r="O17" s="130">
        <v>-5.319</v>
      </c>
      <c r="P17" s="131">
        <v>-5.319</v>
      </c>
      <c r="Q17" s="130">
        <v>-5.3440000000000003</v>
      </c>
      <c r="R17" s="130">
        <v>-5.3789999999999996</v>
      </c>
      <c r="S17" s="130">
        <v>-5.4180000000000001</v>
      </c>
      <c r="T17" s="130">
        <v>-5.4589999999999996</v>
      </c>
      <c r="U17" s="130">
        <v>-5.4989999999999997</v>
      </c>
      <c r="V17" s="130">
        <v>-5.54</v>
      </c>
      <c r="W17" s="130">
        <v>-5.58</v>
      </c>
      <c r="X17" s="130">
        <v>-5.7430000000000003</v>
      </c>
      <c r="Y17" s="130">
        <v>-5.9169999999999998</v>
      </c>
      <c r="Z17" s="130">
        <v>-6.1260000000000003</v>
      </c>
      <c r="AA17" s="130">
        <v>-6.1749999999999998</v>
      </c>
      <c r="AB17" s="130">
        <v>-6.2210000000000001</v>
      </c>
      <c r="AC17" s="130">
        <v>-6.2629999999999999</v>
      </c>
      <c r="AD17" s="130">
        <v>-6.3029999999999999</v>
      </c>
      <c r="AE17" s="130">
        <v>-6.3419999999999996</v>
      </c>
      <c r="AF17" s="130">
        <v>-6.3789999999999996</v>
      </c>
      <c r="AG17" s="130">
        <v>-6.4160000000000004</v>
      </c>
      <c r="AH17" s="130">
        <v>-6.452</v>
      </c>
    </row>
    <row r="18" spans="1:34" x14ac:dyDescent="0.35">
      <c r="A18" s="120" t="s">
        <v>7</v>
      </c>
      <c r="B18" s="130">
        <v>-23.56</v>
      </c>
      <c r="C18" s="130">
        <v>-22.54</v>
      </c>
      <c r="D18" s="130">
        <v>-21.78</v>
      </c>
      <c r="E18" s="130">
        <v>-21.32</v>
      </c>
      <c r="F18" s="130">
        <v>-21.15</v>
      </c>
      <c r="G18" s="130">
        <v>-21.73</v>
      </c>
      <c r="H18" s="130">
        <v>-21.95</v>
      </c>
      <c r="I18" s="130">
        <v>-22.15</v>
      </c>
      <c r="J18" s="130">
        <v>-22.32</v>
      </c>
      <c r="K18" s="130">
        <v>-22.46</v>
      </c>
      <c r="L18" s="130">
        <v>-22.6</v>
      </c>
      <c r="M18" s="130">
        <v>-22.76</v>
      </c>
      <c r="N18" s="130">
        <v>-22.95</v>
      </c>
      <c r="O18" s="130">
        <v>-23.15</v>
      </c>
      <c r="P18" s="131">
        <v>-23.37</v>
      </c>
      <c r="Q18" s="130">
        <v>-23.6</v>
      </c>
      <c r="R18" s="130">
        <v>-23.84</v>
      </c>
      <c r="S18" s="130">
        <v>-24.07</v>
      </c>
      <c r="T18" s="130">
        <v>-24.31</v>
      </c>
      <c r="U18" s="130">
        <v>-24.54</v>
      </c>
      <c r="V18" s="130">
        <v>-24.77</v>
      </c>
      <c r="W18" s="130">
        <v>-25</v>
      </c>
      <c r="X18" s="130">
        <v>-25.9</v>
      </c>
      <c r="Y18" s="130">
        <v>-26.75</v>
      </c>
      <c r="Z18" s="130">
        <v>-27.55</v>
      </c>
      <c r="AA18" s="130">
        <v>-27.75</v>
      </c>
      <c r="AB18" s="130">
        <v>-27.95</v>
      </c>
      <c r="AC18" s="130">
        <v>-28.15</v>
      </c>
      <c r="AD18" s="130">
        <v>-28.35</v>
      </c>
      <c r="AE18" s="130">
        <v>-28.54</v>
      </c>
      <c r="AF18" s="130">
        <v>-28.74</v>
      </c>
      <c r="AG18" s="130">
        <v>-28.94</v>
      </c>
      <c r="AH18" s="130">
        <v>-29.13</v>
      </c>
    </row>
    <row r="19" spans="1:34" x14ac:dyDescent="0.35">
      <c r="A19" s="120" t="s">
        <v>56</v>
      </c>
      <c r="B19" s="130">
        <v>0.2</v>
      </c>
      <c r="C19" s="130">
        <v>0.2</v>
      </c>
      <c r="D19" s="130">
        <v>0.2</v>
      </c>
      <c r="E19" s="130">
        <v>0.2</v>
      </c>
      <c r="F19" s="130">
        <v>0.2</v>
      </c>
      <c r="G19" s="130">
        <v>0.2</v>
      </c>
      <c r="H19" s="130">
        <v>0.2</v>
      </c>
      <c r="I19" s="130">
        <v>0.2</v>
      </c>
      <c r="J19" s="130">
        <v>0.2</v>
      </c>
      <c r="K19" s="130">
        <v>0.2</v>
      </c>
      <c r="L19" s="130">
        <v>0.2</v>
      </c>
      <c r="M19" s="130">
        <v>0.2</v>
      </c>
      <c r="N19" s="130">
        <v>0.2</v>
      </c>
      <c r="O19" s="130">
        <v>0.2</v>
      </c>
      <c r="P19" s="131">
        <v>0.2</v>
      </c>
      <c r="Q19" s="130">
        <v>0.2</v>
      </c>
      <c r="R19" s="130">
        <v>0.2</v>
      </c>
      <c r="S19" s="130">
        <v>0.2</v>
      </c>
      <c r="T19" s="130">
        <v>0.2</v>
      </c>
      <c r="U19" s="130">
        <v>0.2</v>
      </c>
      <c r="V19" s="130">
        <v>0.2</v>
      </c>
      <c r="W19" s="130">
        <v>0.2</v>
      </c>
      <c r="X19" s="130">
        <v>0.2</v>
      </c>
      <c r="Y19" s="130">
        <v>0.2</v>
      </c>
      <c r="Z19" s="130">
        <v>0.2</v>
      </c>
      <c r="AA19" s="130">
        <v>0.2</v>
      </c>
      <c r="AB19" s="130">
        <v>0.2</v>
      </c>
      <c r="AC19" s="130">
        <v>0.2</v>
      </c>
      <c r="AD19" s="130">
        <v>0.2</v>
      </c>
      <c r="AE19" s="130">
        <v>0.2</v>
      </c>
      <c r="AF19" s="130">
        <v>0.2</v>
      </c>
      <c r="AG19" s="130">
        <v>0.2</v>
      </c>
      <c r="AH19" s="130">
        <v>0.2</v>
      </c>
    </row>
    <row r="20" spans="1:34" x14ac:dyDescent="0.35">
      <c r="A20" s="124" t="s">
        <v>62</v>
      </c>
      <c r="B20" s="134">
        <v>0.28227999999999998</v>
      </c>
      <c r="C20" s="134">
        <v>0.28775000000000001</v>
      </c>
      <c r="D20" s="134">
        <v>0.30115999999999998</v>
      </c>
      <c r="E20" s="134">
        <v>0.32452999999999999</v>
      </c>
      <c r="F20" s="134">
        <v>0.35217999999999999</v>
      </c>
      <c r="G20" s="134">
        <v>0.40050999999999998</v>
      </c>
      <c r="H20" s="134">
        <v>0.40673999999999999</v>
      </c>
      <c r="I20" s="134">
        <v>0.41765000000000002</v>
      </c>
      <c r="J20" s="134">
        <v>0.43697999999999998</v>
      </c>
      <c r="K20" s="134">
        <v>0.46726000000000001</v>
      </c>
      <c r="L20" s="134">
        <v>0.50793999999999995</v>
      </c>
      <c r="M20" s="134">
        <v>0.55428999999999995</v>
      </c>
      <c r="N20" s="134">
        <v>0.59902</v>
      </c>
      <c r="O20" s="134">
        <v>0.63661999999999996</v>
      </c>
      <c r="P20" s="135">
        <v>0.66546000000000005</v>
      </c>
      <c r="Q20" s="134">
        <v>0.68623000000000001</v>
      </c>
      <c r="R20" s="134">
        <v>0.70013999999999998</v>
      </c>
      <c r="S20" s="134">
        <v>0.70874000000000004</v>
      </c>
      <c r="T20" s="134">
        <v>0.71370999999999996</v>
      </c>
      <c r="U20" s="134">
        <v>0.71648000000000001</v>
      </c>
      <c r="V20" s="134">
        <v>0.71801999999999999</v>
      </c>
      <c r="W20" s="134">
        <v>0.71887999999999996</v>
      </c>
      <c r="X20" s="134">
        <v>0.72070000000000001</v>
      </c>
      <c r="Y20" s="134">
        <v>0.73240000000000005</v>
      </c>
      <c r="Z20" s="134">
        <v>0.77453000000000005</v>
      </c>
      <c r="AA20" s="134">
        <v>0.78329000000000004</v>
      </c>
      <c r="AB20" s="134">
        <v>0.78947999999999996</v>
      </c>
      <c r="AC20" s="134">
        <v>0.79352999999999996</v>
      </c>
      <c r="AD20" s="134">
        <v>0.79605000000000004</v>
      </c>
      <c r="AE20" s="134">
        <v>0.79759999999999998</v>
      </c>
      <c r="AF20" s="134">
        <v>0.79852999999999996</v>
      </c>
      <c r="AG20" s="134">
        <v>0.79908999999999997</v>
      </c>
      <c r="AH20" s="134">
        <v>0.79942999999999997</v>
      </c>
    </row>
  </sheetData>
  <conditionalFormatting sqref="B1:AH20">
    <cfRule type="expression" dxfId="1" priority="1">
      <formula>ISNUMBER(B1)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DBF91-2C81-43F3-9AC4-CBDAA5C31E4D}">
  <sheetPr codeName="Лист3">
    <tabColor rgb="FF00B050"/>
  </sheetPr>
  <dimension ref="A1:CI137"/>
  <sheetViews>
    <sheetView zoomScale="85" zoomScaleNormal="85" zoomScaleSheetLayoutView="25" workbookViewId="0">
      <selection activeCell="BS7" sqref="BS7"/>
    </sheetView>
  </sheetViews>
  <sheetFormatPr defaultRowHeight="21" customHeight="1" outlineLevelRow="1" x14ac:dyDescent="0.35"/>
  <cols>
    <col min="1" max="4" width="5.6328125" style="48" customWidth="1"/>
    <col min="5" max="5" width="11.6328125" style="48" customWidth="1"/>
    <col min="6" max="6" width="8.90625" style="48" customWidth="1"/>
    <col min="7" max="20" width="8.6328125" style="48" hidden="1" customWidth="1"/>
    <col min="21" max="21" width="8.6328125" style="26" hidden="1" customWidth="1"/>
    <col min="22" max="22" width="8.6328125" style="27" hidden="1" customWidth="1"/>
    <col min="23" max="23" width="8.6328125" style="58" hidden="1" customWidth="1"/>
    <col min="24" max="69" width="8.6328125" style="48" hidden="1" customWidth="1"/>
    <col min="70" max="70" width="3" style="48" customWidth="1"/>
    <col min="71" max="71" width="6.6328125" style="48" customWidth="1"/>
    <col min="72" max="16384" width="8.7265625" style="48"/>
  </cols>
  <sheetData>
    <row r="1" spans="1:87" ht="29.25" customHeight="1" thickBot="1" x14ac:dyDescent="0.4">
      <c r="A1" s="102" t="s">
        <v>0</v>
      </c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  <c r="AS1" s="102"/>
      <c r="AT1" s="102"/>
      <c r="AU1" s="102"/>
      <c r="AV1" s="102"/>
      <c r="AW1" s="102"/>
      <c r="AX1" s="102"/>
      <c r="AY1" s="102"/>
      <c r="AZ1" s="102"/>
      <c r="BA1" s="102"/>
      <c r="BB1" s="102"/>
      <c r="BC1" s="102"/>
      <c r="BD1" s="102"/>
      <c r="BE1" s="102"/>
      <c r="BF1" s="102"/>
      <c r="BG1" s="102"/>
      <c r="BH1" s="102"/>
      <c r="BI1" s="102"/>
      <c r="BJ1" s="102"/>
      <c r="BK1" s="102"/>
      <c r="BL1" s="102"/>
      <c r="BM1" s="102"/>
      <c r="BN1" s="102"/>
      <c r="BO1" s="102"/>
      <c r="BP1" s="102"/>
      <c r="BQ1" s="102"/>
      <c r="BR1" s="102"/>
      <c r="BS1" s="102"/>
      <c r="BT1" s="102"/>
      <c r="BU1" s="102"/>
      <c r="BV1" s="102"/>
      <c r="BW1" s="102"/>
      <c r="BX1" s="102"/>
      <c r="BY1" s="102"/>
      <c r="BZ1" s="102"/>
      <c r="CA1" s="102"/>
      <c r="CB1" s="102"/>
      <c r="CC1" s="102"/>
      <c r="CD1" s="102"/>
      <c r="CE1" s="102"/>
      <c r="CF1" s="102"/>
      <c r="CG1" s="102"/>
      <c r="CH1" s="102"/>
      <c r="CI1" s="102"/>
    </row>
    <row r="2" spans="1:87" ht="21" customHeight="1" thickBot="1" x14ac:dyDescent="0.45">
      <c r="A2" s="76">
        <f>Values!B1</f>
        <v>700</v>
      </c>
      <c r="B2" s="77">
        <v>8.3145000000000007</v>
      </c>
      <c r="C2" s="66"/>
      <c r="D2" s="66"/>
      <c r="E2" s="65" t="s">
        <v>18</v>
      </c>
      <c r="F2" s="66"/>
      <c r="G2" s="65"/>
      <c r="H2" s="65"/>
      <c r="I2" s="65"/>
      <c r="J2" s="65"/>
      <c r="K2" s="67"/>
      <c r="L2" s="67"/>
      <c r="M2" s="67"/>
      <c r="N2" s="67"/>
      <c r="O2" s="67"/>
      <c r="P2" s="67"/>
      <c r="Q2" s="67"/>
      <c r="R2" s="67"/>
      <c r="S2" s="67"/>
      <c r="T2" s="67"/>
      <c r="U2" s="68"/>
      <c r="V2" s="69"/>
      <c r="W2" s="70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7"/>
      <c r="AM2" s="67"/>
      <c r="AN2" s="67"/>
      <c r="AO2" s="67"/>
      <c r="AP2" s="67"/>
      <c r="AQ2" s="67"/>
      <c r="AR2" s="67"/>
      <c r="AS2" s="67"/>
      <c r="AT2" s="67"/>
      <c r="AU2" s="67"/>
      <c r="AV2" s="67"/>
      <c r="AW2" s="67"/>
      <c r="AX2" s="67"/>
      <c r="AY2" s="67"/>
      <c r="AZ2" s="67"/>
      <c r="BA2" s="67"/>
      <c r="BB2" s="67"/>
      <c r="BC2" s="67"/>
      <c r="BD2" s="67"/>
      <c r="BE2" s="67"/>
      <c r="BF2" s="67"/>
      <c r="BG2" s="67"/>
      <c r="BH2" s="67"/>
      <c r="BI2" s="67"/>
      <c r="BJ2" s="67"/>
      <c r="BK2" s="67"/>
      <c r="BL2" s="67"/>
      <c r="BM2" s="67"/>
      <c r="BN2" s="67"/>
      <c r="BO2" s="67"/>
      <c r="BP2" s="67"/>
      <c r="BQ2" s="67"/>
      <c r="BR2" s="67"/>
      <c r="BS2" s="67"/>
      <c r="BT2" s="71"/>
      <c r="BU2" s="75"/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8"/>
    </row>
    <row r="3" spans="1:87" ht="21" customHeight="1" outlineLevel="1" thickTop="1" thickBot="1" x14ac:dyDescent="0.4">
      <c r="A3" s="40" t="s">
        <v>1</v>
      </c>
      <c r="B3" s="40" t="s">
        <v>2</v>
      </c>
      <c r="C3" s="40" t="s">
        <v>3</v>
      </c>
      <c r="D3" s="41" t="s">
        <v>4</v>
      </c>
      <c r="E3" s="4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</row>
    <row r="4" spans="1:87" ht="21" customHeight="1" outlineLevel="1" thickTop="1" thickBot="1" x14ac:dyDescent="0.4">
      <c r="A4" s="42">
        <f>IF( ISNUMBER( FIND(A$3,$E4,1)),   IF( ISNUMBER( VALUE(MID($E4,FIND(A$3,$E4,1)+2,1)) ), VALUE( MID($E4,FIND(A$3,$E4,1)+2,1) ),1),0)</f>
        <v>0</v>
      </c>
      <c r="B4" s="42">
        <f t="shared" ref="B4:D19" si="0">IF( ISNUMBER( FIND(B$3,$E4,1)),   IF( ISNUMBER( VALUE(MID($E4,FIND(B$3,$E4,1)+2,1)) ), VALUE( MID($E4,FIND(B$3,$E4,1)+2,1) ),1),0)</f>
        <v>0</v>
      </c>
      <c r="C4" s="42">
        <f t="shared" si="0"/>
        <v>0</v>
      </c>
      <c r="D4" s="42">
        <f t="shared" si="0"/>
        <v>0</v>
      </c>
      <c r="E4" s="46"/>
      <c r="F4" s="86"/>
      <c r="G4" s="86"/>
      <c r="H4" s="86"/>
      <c r="I4" s="86"/>
      <c r="J4" s="86"/>
      <c r="K4" s="86"/>
      <c r="L4" s="86"/>
      <c r="M4" s="86"/>
      <c r="N4" s="86"/>
      <c r="O4" s="86"/>
      <c r="P4" s="86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86"/>
      <c r="AV4" s="86"/>
      <c r="AW4" s="86"/>
      <c r="AX4" s="86"/>
      <c r="AY4" s="86"/>
      <c r="AZ4" s="86"/>
      <c r="BA4" s="86"/>
      <c r="BB4" s="86"/>
      <c r="BC4" s="86"/>
      <c r="BD4" s="86"/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</row>
    <row r="5" spans="1:87" ht="21" customHeight="1" outlineLevel="1" thickBot="1" x14ac:dyDescent="0.4">
      <c r="A5" s="42">
        <f t="shared" ref="A5:D27" si="1">IF( ISNUMBER( FIND(A$3,$E5,1)),   IF( ISNUMBER( VALUE(MID($E5,FIND(A$3,$E5,1)+2,1)) ), VALUE( MID($E5,FIND(A$3,$E5,1)+2,1) ),1),0)</f>
        <v>0</v>
      </c>
      <c r="B5" s="42">
        <f t="shared" si="0"/>
        <v>0</v>
      </c>
      <c r="C5" s="42">
        <f t="shared" si="0"/>
        <v>0</v>
      </c>
      <c r="D5" s="42">
        <f t="shared" si="0"/>
        <v>0</v>
      </c>
      <c r="E5" s="4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2">
        <f t="shared" si="1"/>
        <v>0</v>
      </c>
      <c r="B6" s="42">
        <f t="shared" si="0"/>
        <v>0</v>
      </c>
      <c r="C6" s="42">
        <f t="shared" si="0"/>
        <v>0</v>
      </c>
      <c r="D6" s="42">
        <f t="shared" si="0"/>
        <v>0</v>
      </c>
      <c r="E6" s="46"/>
      <c r="F6" s="86"/>
      <c r="G6" s="86"/>
      <c r="H6" s="86"/>
      <c r="I6" s="86"/>
      <c r="J6" s="86"/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6"/>
      <c r="AV6" s="86"/>
      <c r="AW6" s="86"/>
      <c r="AX6" s="86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2">
        <f t="shared" si="1"/>
        <v>0</v>
      </c>
      <c r="B7" s="42">
        <f t="shared" si="0"/>
        <v>0</v>
      </c>
      <c r="C7" s="42">
        <f t="shared" si="0"/>
        <v>0</v>
      </c>
      <c r="D7" s="42">
        <f t="shared" si="0"/>
        <v>0</v>
      </c>
      <c r="E7" s="46"/>
      <c r="F7" s="86"/>
      <c r="G7" s="86"/>
      <c r="H7" s="86"/>
      <c r="I7" s="86"/>
      <c r="J7" s="86"/>
      <c r="K7" s="86"/>
      <c r="L7" s="86"/>
      <c r="M7" s="86"/>
      <c r="N7" s="86"/>
      <c r="O7" s="86"/>
      <c r="P7" s="86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86"/>
      <c r="AR7" s="86"/>
      <c r="AS7" s="86"/>
      <c r="AT7" s="86"/>
      <c r="AU7" s="86"/>
      <c r="AV7" s="86"/>
      <c r="AW7" s="86"/>
      <c r="AX7" s="86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2">
        <f t="shared" si="1"/>
        <v>0</v>
      </c>
      <c r="B8" s="42">
        <f t="shared" si="0"/>
        <v>0</v>
      </c>
      <c r="C8" s="42">
        <f t="shared" si="0"/>
        <v>0</v>
      </c>
      <c r="D8" s="42">
        <f t="shared" si="0"/>
        <v>0</v>
      </c>
      <c r="E8" s="46"/>
      <c r="F8" s="86"/>
      <c r="G8" s="86"/>
      <c r="H8" s="86"/>
      <c r="I8" s="86"/>
      <c r="J8" s="86"/>
      <c r="K8" s="86"/>
      <c r="L8" s="86"/>
      <c r="M8" s="86"/>
      <c r="N8" s="86"/>
      <c r="O8" s="86"/>
      <c r="P8" s="86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6"/>
      <c r="AP8" s="86"/>
      <c r="AQ8" s="86"/>
      <c r="AR8" s="86"/>
      <c r="AS8" s="86"/>
      <c r="AT8" s="86"/>
      <c r="AU8" s="86"/>
      <c r="AV8" s="86"/>
      <c r="AW8" s="86"/>
      <c r="AX8" s="86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2">
        <f t="shared" si="1"/>
        <v>0</v>
      </c>
      <c r="B9" s="42">
        <f t="shared" si="0"/>
        <v>0</v>
      </c>
      <c r="C9" s="42">
        <f t="shared" si="0"/>
        <v>0</v>
      </c>
      <c r="D9" s="42">
        <f t="shared" si="0"/>
        <v>0</v>
      </c>
      <c r="E9" s="46"/>
      <c r="F9" s="86"/>
      <c r="G9" s="86"/>
      <c r="H9" s="86"/>
      <c r="I9" s="86"/>
      <c r="J9" s="86"/>
      <c r="K9" s="86"/>
      <c r="L9" s="86"/>
      <c r="M9" s="86"/>
      <c r="N9" s="86"/>
      <c r="O9" s="86"/>
      <c r="P9" s="86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6"/>
      <c r="AV9" s="86"/>
      <c r="AW9" s="86"/>
      <c r="AX9" s="86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2">
        <f t="shared" si="1"/>
        <v>0</v>
      </c>
      <c r="B10" s="42">
        <f t="shared" si="0"/>
        <v>0</v>
      </c>
      <c r="C10" s="42">
        <f t="shared" si="0"/>
        <v>0</v>
      </c>
      <c r="D10" s="42">
        <f t="shared" si="0"/>
        <v>0</v>
      </c>
      <c r="E10" s="46"/>
      <c r="F10" s="86"/>
      <c r="G10" s="86"/>
      <c r="H10" s="86"/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6"/>
      <c r="AW10" s="86"/>
      <c r="AX10" s="86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2">
        <f t="shared" si="1"/>
        <v>0</v>
      </c>
      <c r="B11" s="42">
        <f t="shared" si="0"/>
        <v>0</v>
      </c>
      <c r="C11" s="42">
        <f t="shared" si="0"/>
        <v>0</v>
      </c>
      <c r="D11" s="42">
        <f t="shared" si="0"/>
        <v>0</v>
      </c>
      <c r="E11" s="46"/>
      <c r="F11" s="86"/>
      <c r="G11" s="86"/>
      <c r="H11" s="86"/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2">
        <f t="shared" si="1"/>
        <v>0</v>
      </c>
      <c r="B12" s="42">
        <f t="shared" si="0"/>
        <v>0</v>
      </c>
      <c r="C12" s="42">
        <f t="shared" si="0"/>
        <v>0</v>
      </c>
      <c r="D12" s="42">
        <f t="shared" si="0"/>
        <v>0</v>
      </c>
      <c r="E12" s="46"/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2">
        <f t="shared" si="1"/>
        <v>0</v>
      </c>
      <c r="B13" s="42">
        <f t="shared" si="0"/>
        <v>0</v>
      </c>
      <c r="C13" s="42">
        <f t="shared" si="0"/>
        <v>0</v>
      </c>
      <c r="D13" s="42">
        <f t="shared" si="0"/>
        <v>0</v>
      </c>
      <c r="E13" s="4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/>
      <c r="AC13" s="86"/>
      <c r="AD13" s="86"/>
      <c r="AE13" s="86"/>
      <c r="AF13" s="86"/>
      <c r="AG13" s="86"/>
      <c r="AH13" s="86"/>
      <c r="AI13" s="86"/>
      <c r="AJ13" s="86"/>
      <c r="AK13" s="86"/>
      <c r="AL13" s="86"/>
      <c r="AM13" s="86"/>
      <c r="AN13" s="86"/>
      <c r="AO13" s="86"/>
      <c r="AP13" s="86"/>
      <c r="AQ13" s="86"/>
      <c r="AR13" s="86"/>
      <c r="AS13" s="86"/>
      <c r="AT13" s="86"/>
      <c r="AU13" s="86"/>
      <c r="AV13" s="86"/>
      <c r="AW13" s="86"/>
      <c r="AX13" s="86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2">
        <f t="shared" si="1"/>
        <v>0</v>
      </c>
      <c r="B14" s="42">
        <f t="shared" si="0"/>
        <v>0</v>
      </c>
      <c r="C14" s="42">
        <f t="shared" si="0"/>
        <v>0</v>
      </c>
      <c r="D14" s="42">
        <f t="shared" si="0"/>
        <v>0</v>
      </c>
      <c r="E14" s="4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/>
      <c r="AC14" s="86"/>
      <c r="AD14" s="86"/>
      <c r="AE14" s="86"/>
      <c r="AF14" s="86"/>
      <c r="AG14" s="86"/>
      <c r="AH14" s="86"/>
      <c r="AI14" s="86"/>
      <c r="AJ14" s="86"/>
      <c r="AK14" s="86"/>
      <c r="AL14" s="86"/>
      <c r="AM14" s="86"/>
      <c r="AN14" s="86"/>
      <c r="AO14" s="86"/>
      <c r="AP14" s="86"/>
      <c r="AQ14" s="86"/>
      <c r="AR14" s="86"/>
      <c r="AS14" s="86"/>
      <c r="AT14" s="86"/>
      <c r="AU14" s="86"/>
      <c r="AV14" s="86"/>
      <c r="AW14" s="86"/>
      <c r="AX14" s="86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2">
        <f t="shared" si="1"/>
        <v>0</v>
      </c>
      <c r="B15" s="42">
        <f t="shared" si="0"/>
        <v>0</v>
      </c>
      <c r="C15" s="42">
        <f t="shared" si="0"/>
        <v>0</v>
      </c>
      <c r="D15" s="42">
        <f t="shared" si="0"/>
        <v>0</v>
      </c>
      <c r="E15" s="4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  <c r="X15" s="86"/>
      <c r="Y15" s="86"/>
      <c r="Z15" s="86"/>
      <c r="AA15" s="86"/>
      <c r="AB15" s="86"/>
      <c r="AC15" s="86"/>
      <c r="AD15" s="86"/>
      <c r="AE15" s="86"/>
      <c r="AF15" s="86"/>
      <c r="AG15" s="86"/>
      <c r="AH15" s="86"/>
      <c r="AI15" s="86"/>
      <c r="AJ15" s="86"/>
      <c r="AK15" s="86"/>
      <c r="AL15" s="86"/>
      <c r="AM15" s="86"/>
      <c r="AN15" s="86"/>
      <c r="AO15" s="86"/>
      <c r="AP15" s="86"/>
      <c r="AQ15" s="86"/>
      <c r="AR15" s="86"/>
      <c r="AS15" s="86"/>
      <c r="AT15" s="86"/>
      <c r="AU15" s="86"/>
      <c r="AV15" s="86"/>
      <c r="AW15" s="86"/>
      <c r="AX15" s="86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2">
        <f t="shared" si="1"/>
        <v>0</v>
      </c>
      <c r="B16" s="42">
        <f t="shared" si="0"/>
        <v>0</v>
      </c>
      <c r="C16" s="42">
        <f t="shared" si="0"/>
        <v>0</v>
      </c>
      <c r="D16" s="42">
        <f t="shared" si="0"/>
        <v>0</v>
      </c>
      <c r="E16" s="46"/>
      <c r="F16" s="86"/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/>
      <c r="AC16" s="86"/>
      <c r="AD16" s="86"/>
      <c r="AE16" s="86"/>
      <c r="AF16" s="86"/>
      <c r="AG16" s="86"/>
      <c r="AH16" s="86"/>
      <c r="AI16" s="86"/>
      <c r="AJ16" s="86"/>
      <c r="AK16" s="86"/>
      <c r="AL16" s="86"/>
      <c r="AM16" s="86"/>
      <c r="AN16" s="86"/>
      <c r="AO16" s="86"/>
      <c r="AP16" s="86"/>
      <c r="AQ16" s="86"/>
      <c r="AR16" s="86"/>
      <c r="AS16" s="86"/>
      <c r="AT16" s="86"/>
      <c r="AU16" s="86"/>
      <c r="AV16" s="86"/>
      <c r="AW16" s="86"/>
      <c r="AX16" s="86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2">
        <f t="shared" si="1"/>
        <v>0</v>
      </c>
      <c r="B17" s="42">
        <f t="shared" si="0"/>
        <v>0</v>
      </c>
      <c r="C17" s="42">
        <f t="shared" si="0"/>
        <v>0</v>
      </c>
      <c r="D17" s="42">
        <f t="shared" si="0"/>
        <v>0</v>
      </c>
      <c r="E17" s="46"/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86"/>
      <c r="AD17" s="86"/>
      <c r="AE17" s="86"/>
      <c r="AF17" s="86"/>
      <c r="AG17" s="86"/>
      <c r="AH17" s="86"/>
      <c r="AI17" s="86"/>
      <c r="AJ17" s="86"/>
      <c r="AK17" s="86"/>
      <c r="AL17" s="86"/>
      <c r="AM17" s="86"/>
      <c r="AN17" s="86"/>
      <c r="AO17" s="86"/>
      <c r="AP17" s="86"/>
      <c r="AQ17" s="86"/>
      <c r="AR17" s="86"/>
      <c r="AS17" s="86"/>
      <c r="AT17" s="86"/>
      <c r="AU17" s="86"/>
      <c r="AV17" s="86"/>
      <c r="AW17" s="86"/>
      <c r="AX17" s="86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2">
        <f t="shared" si="1"/>
        <v>0</v>
      </c>
      <c r="B18" s="42">
        <f t="shared" si="0"/>
        <v>0</v>
      </c>
      <c r="C18" s="42">
        <f t="shared" si="0"/>
        <v>0</v>
      </c>
      <c r="D18" s="42">
        <f t="shared" si="0"/>
        <v>0</v>
      </c>
      <c r="E18" s="4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6"/>
      <c r="AP18" s="86"/>
      <c r="AQ18" s="86"/>
      <c r="AR18" s="86"/>
      <c r="AS18" s="86"/>
      <c r="AT18" s="86"/>
      <c r="AU18" s="86"/>
      <c r="AV18" s="86"/>
      <c r="AW18" s="86"/>
      <c r="AX18" s="86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2">
        <f t="shared" si="1"/>
        <v>0</v>
      </c>
      <c r="B19" s="42">
        <f t="shared" si="0"/>
        <v>0</v>
      </c>
      <c r="C19" s="42">
        <f t="shared" si="0"/>
        <v>0</v>
      </c>
      <c r="D19" s="42">
        <f t="shared" si="0"/>
        <v>0</v>
      </c>
      <c r="E19" s="4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  <c r="AF19" s="86"/>
      <c r="AG19" s="86"/>
      <c r="AH19" s="86"/>
      <c r="AI19" s="86"/>
      <c r="AJ19" s="86"/>
      <c r="AK19" s="86"/>
      <c r="AL19" s="86"/>
      <c r="AM19" s="86"/>
      <c r="AN19" s="86"/>
      <c r="AO19" s="86"/>
      <c r="AP19" s="86"/>
      <c r="AQ19" s="86"/>
      <c r="AR19" s="86"/>
      <c r="AS19" s="86"/>
      <c r="AT19" s="86"/>
      <c r="AU19" s="86"/>
      <c r="AV19" s="86"/>
      <c r="AW19" s="86"/>
      <c r="AX19" s="86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2">
        <f t="shared" si="1"/>
        <v>0</v>
      </c>
      <c r="B20" s="42">
        <f t="shared" si="1"/>
        <v>0</v>
      </c>
      <c r="C20" s="42">
        <f t="shared" si="1"/>
        <v>0</v>
      </c>
      <c r="D20" s="42">
        <f t="shared" si="1"/>
        <v>0</v>
      </c>
      <c r="E20" s="46"/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6"/>
      <c r="Z20" s="86"/>
      <c r="AA20" s="86"/>
      <c r="AB20" s="86"/>
      <c r="AC20" s="86"/>
      <c r="AD20" s="86"/>
      <c r="AE20" s="86"/>
      <c r="AF20" s="86"/>
      <c r="AG20" s="86"/>
      <c r="AH20" s="86"/>
      <c r="AI20" s="86"/>
      <c r="AJ20" s="86"/>
      <c r="AK20" s="86"/>
      <c r="AL20" s="86"/>
      <c r="AM20" s="86"/>
      <c r="AN20" s="86"/>
      <c r="AO20" s="86"/>
      <c r="AP20" s="86"/>
      <c r="AQ20" s="86"/>
      <c r="AR20" s="86"/>
      <c r="AS20" s="86"/>
      <c r="AT20" s="86"/>
      <c r="AU20" s="86"/>
      <c r="AV20" s="86"/>
      <c r="AW20" s="86"/>
      <c r="AX20" s="86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2">
        <f t="shared" si="1"/>
        <v>0</v>
      </c>
      <c r="B21" s="42">
        <f t="shared" si="1"/>
        <v>0</v>
      </c>
      <c r="C21" s="42">
        <f t="shared" si="1"/>
        <v>0</v>
      </c>
      <c r="D21" s="42">
        <f t="shared" si="1"/>
        <v>0</v>
      </c>
      <c r="E21" s="4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AH21" s="86"/>
      <c r="AI21" s="86"/>
      <c r="AJ21" s="86"/>
      <c r="AK21" s="86"/>
      <c r="AL21" s="86"/>
      <c r="AM21" s="86"/>
      <c r="AN21" s="86"/>
      <c r="AO21" s="86"/>
      <c r="AP21" s="86"/>
      <c r="AQ21" s="86"/>
      <c r="AR21" s="86"/>
      <c r="AS21" s="86"/>
      <c r="AT21" s="86"/>
      <c r="AU21" s="86"/>
      <c r="AV21" s="86"/>
      <c r="AW21" s="86"/>
      <c r="AX21" s="86"/>
      <c r="AY21" s="86"/>
      <c r="AZ21" s="86"/>
      <c r="BA21" s="86"/>
      <c r="BB21" s="86"/>
      <c r="BC21" s="86"/>
      <c r="BD21" s="86"/>
      <c r="BE21" s="86"/>
      <c r="BF21" s="86"/>
      <c r="BG21" s="86"/>
      <c r="BH21" s="86"/>
      <c r="BI21" s="86"/>
      <c r="BJ21" s="86"/>
      <c r="BK21" s="86"/>
      <c r="BL21" s="86"/>
      <c r="BM21" s="86"/>
      <c r="BN21" s="86"/>
      <c r="BO21" s="86"/>
      <c r="BP21" s="86"/>
      <c r="BQ21" s="86"/>
      <c r="BR21" s="86"/>
      <c r="BS21" s="86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2">
        <f t="shared" si="1"/>
        <v>0</v>
      </c>
      <c r="B22" s="42">
        <f t="shared" si="1"/>
        <v>0</v>
      </c>
      <c r="C22" s="42">
        <f t="shared" si="1"/>
        <v>0</v>
      </c>
      <c r="D22" s="42">
        <f t="shared" si="1"/>
        <v>0</v>
      </c>
      <c r="E22" s="46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86"/>
      <c r="AD22" s="86"/>
      <c r="AE22" s="86"/>
      <c r="AF22" s="86"/>
      <c r="AG22" s="86"/>
      <c r="AH22" s="86"/>
      <c r="AI22" s="86"/>
      <c r="AJ22" s="86"/>
      <c r="AK22" s="86"/>
      <c r="AL22" s="86"/>
      <c r="AM22" s="86"/>
      <c r="AN22" s="86"/>
      <c r="AO22" s="86"/>
      <c r="AP22" s="86"/>
      <c r="AQ22" s="86"/>
      <c r="AR22" s="86"/>
      <c r="AS22" s="86"/>
      <c r="AT22" s="86"/>
      <c r="AU22" s="86"/>
      <c r="AV22" s="86"/>
      <c r="AW22" s="86"/>
      <c r="AX22" s="86"/>
      <c r="AY22" s="86"/>
      <c r="AZ22" s="86"/>
      <c r="BA22" s="86"/>
      <c r="BB22" s="86"/>
      <c r="BC22" s="86"/>
      <c r="BD22" s="86"/>
      <c r="BE22" s="86"/>
      <c r="BF22" s="86"/>
      <c r="BG22" s="86"/>
      <c r="BH22" s="86"/>
      <c r="BI22" s="86"/>
      <c r="BJ22" s="86"/>
      <c r="BK22" s="86"/>
      <c r="BL22" s="86"/>
      <c r="BM22" s="86"/>
      <c r="BN22" s="86"/>
      <c r="BO22" s="86"/>
      <c r="BP22" s="86"/>
      <c r="BQ22" s="86"/>
      <c r="BR22" s="86"/>
      <c r="BS22" s="86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2">
        <f t="shared" si="1"/>
        <v>0</v>
      </c>
      <c r="B23" s="42">
        <f t="shared" si="1"/>
        <v>0</v>
      </c>
      <c r="C23" s="42">
        <f t="shared" si="1"/>
        <v>0</v>
      </c>
      <c r="D23" s="42">
        <f t="shared" si="1"/>
        <v>0</v>
      </c>
      <c r="E23" s="39"/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86"/>
      <c r="AD23" s="86"/>
      <c r="AE23" s="86"/>
      <c r="AF23" s="86"/>
      <c r="AG23" s="86"/>
      <c r="AH23" s="86"/>
      <c r="AI23" s="86"/>
      <c r="AJ23" s="86"/>
      <c r="AK23" s="86"/>
      <c r="AL23" s="86"/>
      <c r="AM23" s="86"/>
      <c r="AN23" s="86"/>
      <c r="AO23" s="86"/>
      <c r="AP23" s="86"/>
      <c r="AQ23" s="86"/>
      <c r="AR23" s="86"/>
      <c r="AS23" s="86"/>
      <c r="AT23" s="86"/>
      <c r="AU23" s="86"/>
      <c r="AV23" s="86"/>
      <c r="AW23" s="86"/>
      <c r="AX23" s="86"/>
      <c r="AY23" s="86"/>
      <c r="AZ23" s="86"/>
      <c r="BA23" s="86"/>
      <c r="BB23" s="86"/>
      <c r="BC23" s="86"/>
      <c r="BD23" s="86"/>
      <c r="BE23" s="86"/>
      <c r="BF23" s="86"/>
      <c r="BG23" s="86"/>
      <c r="BH23" s="86"/>
      <c r="BI23" s="86"/>
      <c r="BJ23" s="86"/>
      <c r="BK23" s="86"/>
      <c r="BL23" s="86"/>
      <c r="BM23" s="86"/>
      <c r="BN23" s="86"/>
      <c r="BO23" s="86"/>
      <c r="BP23" s="86"/>
      <c r="BQ23" s="86"/>
      <c r="BR23" s="86"/>
      <c r="BS23" s="86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2">
        <f t="shared" si="1"/>
        <v>0</v>
      </c>
      <c r="B24" s="42">
        <f t="shared" si="1"/>
        <v>0</v>
      </c>
      <c r="C24" s="42">
        <f t="shared" si="1"/>
        <v>0</v>
      </c>
      <c r="D24" s="42">
        <f t="shared" si="1"/>
        <v>0</v>
      </c>
      <c r="E24" s="39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AH24" s="86"/>
      <c r="AI24" s="86"/>
      <c r="AJ24" s="86"/>
      <c r="AK24" s="86"/>
      <c r="AL24" s="86"/>
      <c r="AM24" s="86"/>
      <c r="AN24" s="86"/>
      <c r="AO24" s="86"/>
      <c r="AP24" s="86"/>
      <c r="AQ24" s="86"/>
      <c r="AR24" s="86"/>
      <c r="AS24" s="86"/>
      <c r="AT24" s="86"/>
      <c r="AU24" s="86"/>
      <c r="AV24" s="86"/>
      <c r="AW24" s="86"/>
      <c r="AX24" s="86"/>
      <c r="AY24" s="86"/>
      <c r="AZ24" s="86"/>
      <c r="BA24" s="86"/>
      <c r="BB24" s="86"/>
      <c r="BC24" s="86"/>
      <c r="BD24" s="86"/>
      <c r="BE24" s="86"/>
      <c r="BF24" s="86"/>
      <c r="BG24" s="86"/>
      <c r="BH24" s="86"/>
      <c r="BI24" s="86"/>
      <c r="BJ24" s="86"/>
      <c r="BK24" s="86"/>
      <c r="BL24" s="86"/>
      <c r="BM24" s="86"/>
      <c r="BN24" s="86"/>
      <c r="BO24" s="86"/>
      <c r="BP24" s="86"/>
      <c r="BQ24" s="86"/>
      <c r="BR24" s="86"/>
      <c r="BS24" s="86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2">
        <f t="shared" si="1"/>
        <v>0</v>
      </c>
      <c r="B25" s="42">
        <f t="shared" si="1"/>
        <v>0</v>
      </c>
      <c r="C25" s="42">
        <f t="shared" si="1"/>
        <v>0</v>
      </c>
      <c r="D25" s="42">
        <f t="shared" si="1"/>
        <v>0</v>
      </c>
      <c r="E25" s="39"/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  <c r="R25" s="86"/>
      <c r="S25" s="86"/>
      <c r="T25" s="86"/>
      <c r="U25" s="86"/>
      <c r="V25" s="86"/>
      <c r="W25" s="86"/>
      <c r="X25" s="86"/>
      <c r="Y25" s="86"/>
      <c r="Z25" s="86"/>
      <c r="AA25" s="86"/>
      <c r="AB25" s="86"/>
      <c r="AC25" s="86"/>
      <c r="AD25" s="86"/>
      <c r="AE25" s="86"/>
      <c r="AF25" s="86"/>
      <c r="AG25" s="86"/>
      <c r="AH25" s="86"/>
      <c r="AI25" s="86"/>
      <c r="AJ25" s="86"/>
      <c r="AK25" s="86"/>
      <c r="AL25" s="86"/>
      <c r="AM25" s="86"/>
      <c r="AN25" s="86"/>
      <c r="AO25" s="86"/>
      <c r="AP25" s="86"/>
      <c r="AQ25" s="86"/>
      <c r="AR25" s="86"/>
      <c r="AS25" s="86"/>
      <c r="AT25" s="86"/>
      <c r="AU25" s="86"/>
      <c r="AV25" s="86"/>
      <c r="AW25" s="86"/>
      <c r="AX25" s="86"/>
      <c r="AY25" s="86"/>
      <c r="AZ25" s="86"/>
      <c r="BA25" s="86"/>
      <c r="BB25" s="86"/>
      <c r="BC25" s="86"/>
      <c r="BD25" s="86"/>
      <c r="BE25" s="86"/>
      <c r="BF25" s="86"/>
      <c r="BG25" s="86"/>
      <c r="BH25" s="86"/>
      <c r="BI25" s="86"/>
      <c r="BJ25" s="86"/>
      <c r="BK25" s="86"/>
      <c r="BL25" s="86"/>
      <c r="BM25" s="86"/>
      <c r="BN25" s="86"/>
      <c r="BO25" s="86"/>
      <c r="BP25" s="86"/>
      <c r="BQ25" s="86"/>
      <c r="BR25" s="86"/>
      <c r="BS25" s="86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2">
        <f t="shared" si="1"/>
        <v>0</v>
      </c>
      <c r="B26" s="42">
        <f t="shared" si="1"/>
        <v>0</v>
      </c>
      <c r="C26" s="42">
        <f t="shared" si="1"/>
        <v>0</v>
      </c>
      <c r="D26" s="42">
        <f t="shared" si="1"/>
        <v>0</v>
      </c>
      <c r="E26" s="39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86"/>
      <c r="W26" s="86"/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  <c r="AJ26" s="86"/>
      <c r="AK26" s="86"/>
      <c r="AL26" s="86"/>
      <c r="AM26" s="86"/>
      <c r="AN26" s="86"/>
      <c r="AO26" s="86"/>
      <c r="AP26" s="86"/>
      <c r="AQ26" s="86"/>
      <c r="AR26" s="86"/>
      <c r="AS26" s="86"/>
      <c r="AT26" s="86"/>
      <c r="AU26" s="86"/>
      <c r="AV26" s="86"/>
      <c r="AW26" s="86"/>
      <c r="AX26" s="86"/>
      <c r="AY26" s="86"/>
      <c r="AZ26" s="86"/>
      <c r="BA26" s="86"/>
      <c r="BB26" s="86"/>
      <c r="BC26" s="86"/>
      <c r="BD26" s="86"/>
      <c r="BE26" s="86"/>
      <c r="BF26" s="86"/>
      <c r="BG26" s="86"/>
      <c r="BH26" s="86"/>
      <c r="BI26" s="86"/>
      <c r="BJ26" s="86"/>
      <c r="BK26" s="86"/>
      <c r="BL26" s="86"/>
      <c r="BM26" s="86"/>
      <c r="BN26" s="86"/>
      <c r="BO26" s="86"/>
      <c r="BP26" s="86"/>
      <c r="BQ26" s="86"/>
      <c r="BR26" s="86"/>
      <c r="BS26" s="86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2">
        <f t="shared" si="1"/>
        <v>0</v>
      </c>
      <c r="B27" s="42">
        <f t="shared" si="1"/>
        <v>0</v>
      </c>
      <c r="C27" s="42">
        <f t="shared" si="1"/>
        <v>0</v>
      </c>
      <c r="D27" s="42">
        <f t="shared" si="1"/>
        <v>0</v>
      </c>
      <c r="E27" s="39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  <c r="X27" s="86"/>
      <c r="Y27" s="86"/>
      <c r="Z27" s="86"/>
      <c r="AA27" s="86"/>
      <c r="AB27" s="86"/>
      <c r="AC27" s="86"/>
      <c r="AD27" s="86"/>
      <c r="AE27" s="86"/>
      <c r="AF27" s="86"/>
      <c r="AG27" s="86"/>
      <c r="AH27" s="86"/>
      <c r="AI27" s="86"/>
      <c r="AJ27" s="86"/>
      <c r="AK27" s="86"/>
      <c r="AL27" s="86"/>
      <c r="AM27" s="86"/>
      <c r="AN27" s="86"/>
      <c r="AO27" s="86"/>
      <c r="AP27" s="86"/>
      <c r="AQ27" s="86"/>
      <c r="AR27" s="86"/>
      <c r="AS27" s="86"/>
      <c r="AT27" s="86"/>
      <c r="AU27" s="86"/>
      <c r="AV27" s="86"/>
      <c r="AW27" s="86"/>
      <c r="AX27" s="86"/>
      <c r="AY27" s="86"/>
      <c r="AZ27" s="86"/>
      <c r="BA27" s="86"/>
      <c r="BB27" s="86"/>
      <c r="BC27" s="86"/>
      <c r="BD27" s="86"/>
      <c r="BE27" s="86"/>
      <c r="BF27" s="86"/>
      <c r="BG27" s="86"/>
      <c r="BH27" s="86"/>
      <c r="BI27" s="86"/>
      <c r="BJ27" s="86"/>
      <c r="BK27" s="86"/>
      <c r="BL27" s="86"/>
      <c r="BM27" s="86"/>
      <c r="BN27" s="86"/>
      <c r="BO27" s="86"/>
      <c r="BP27" s="86"/>
      <c r="BQ27" s="86"/>
      <c r="BR27" s="86"/>
      <c r="BS27" s="86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2">
        <f t="shared" ref="A28:D33" si="2">IF( ISNUMBER( FIND(A$3,$E28,1)),   IF( ISNUMBER( VALUE(MID($E28,FIND(A$3,$E28,1)+2,1)) ), VALUE( MID($E28,FIND(A$3,$E28,1)+2,1) ),1),0)</f>
        <v>0</v>
      </c>
      <c r="B28" s="42">
        <f t="shared" si="2"/>
        <v>0</v>
      </c>
      <c r="C28" s="42">
        <f t="shared" si="2"/>
        <v>0</v>
      </c>
      <c r="D28" s="42">
        <f t="shared" si="2"/>
        <v>0</v>
      </c>
      <c r="E28" s="39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  <c r="X28" s="86"/>
      <c r="Y28" s="86"/>
      <c r="Z28" s="86"/>
      <c r="AA28" s="86"/>
      <c r="AB28" s="86"/>
      <c r="AC28" s="86"/>
      <c r="AD28" s="86"/>
      <c r="AE28" s="86"/>
      <c r="AF28" s="86"/>
      <c r="AG28" s="86"/>
      <c r="AH28" s="86"/>
      <c r="AI28" s="86"/>
      <c r="AJ28" s="86"/>
      <c r="AK28" s="86"/>
      <c r="AL28" s="86"/>
      <c r="AM28" s="86"/>
      <c r="AN28" s="86"/>
      <c r="AO28" s="86"/>
      <c r="AP28" s="86"/>
      <c r="AQ28" s="86"/>
      <c r="AR28" s="86"/>
      <c r="AS28" s="86"/>
      <c r="AT28" s="86"/>
      <c r="AU28" s="86"/>
      <c r="AV28" s="86"/>
      <c r="AW28" s="86"/>
      <c r="AX28" s="86"/>
      <c r="AY28" s="86"/>
      <c r="AZ28" s="86"/>
      <c r="BA28" s="86"/>
      <c r="BB28" s="86"/>
      <c r="BC28" s="86"/>
      <c r="BD28" s="86"/>
      <c r="BE28" s="86"/>
      <c r="BF28" s="86"/>
      <c r="BG28" s="86"/>
      <c r="BH28" s="86"/>
      <c r="BI28" s="86"/>
      <c r="BJ28" s="86"/>
      <c r="BK28" s="86"/>
      <c r="BL28" s="86"/>
      <c r="BM28" s="86"/>
      <c r="BN28" s="86"/>
      <c r="BO28" s="86"/>
      <c r="BP28" s="86"/>
      <c r="BQ28" s="86"/>
      <c r="BR28" s="86"/>
      <c r="BS28" s="86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2">
        <f t="shared" si="2"/>
        <v>0</v>
      </c>
      <c r="B29" s="42">
        <f t="shared" si="2"/>
        <v>0</v>
      </c>
      <c r="C29" s="42">
        <f t="shared" si="2"/>
        <v>0</v>
      </c>
      <c r="D29" s="42">
        <f t="shared" si="2"/>
        <v>0</v>
      </c>
      <c r="E29" s="39"/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86"/>
      <c r="S29" s="86"/>
      <c r="T29" s="86"/>
      <c r="U29" s="86"/>
      <c r="V29" s="86"/>
      <c r="W29" s="86"/>
      <c r="X29" s="86"/>
      <c r="Y29" s="86"/>
      <c r="Z29" s="86"/>
      <c r="AA29" s="86"/>
      <c r="AB29" s="86"/>
      <c r="AC29" s="86"/>
      <c r="AD29" s="86"/>
      <c r="AE29" s="86"/>
      <c r="AF29" s="86"/>
      <c r="AG29" s="86"/>
      <c r="AH29" s="86"/>
      <c r="AI29" s="86"/>
      <c r="AJ29" s="86"/>
      <c r="AK29" s="86"/>
      <c r="AL29" s="86"/>
      <c r="AM29" s="86"/>
      <c r="AN29" s="86"/>
      <c r="AO29" s="86"/>
      <c r="AP29" s="86"/>
      <c r="AQ29" s="86"/>
      <c r="AR29" s="86"/>
      <c r="AS29" s="86"/>
      <c r="AT29" s="86"/>
      <c r="AU29" s="86"/>
      <c r="AV29" s="86"/>
      <c r="AW29" s="86"/>
      <c r="AX29" s="86"/>
      <c r="AY29" s="86"/>
      <c r="AZ29" s="86"/>
      <c r="BA29" s="86"/>
      <c r="BB29" s="86"/>
      <c r="BC29" s="86"/>
      <c r="BD29" s="86"/>
      <c r="BE29" s="86"/>
      <c r="BF29" s="86"/>
      <c r="BG29" s="86"/>
      <c r="BH29" s="86"/>
      <c r="BI29" s="86"/>
      <c r="BJ29" s="86"/>
      <c r="BK29" s="86"/>
      <c r="BL29" s="86"/>
      <c r="BM29" s="86"/>
      <c r="BN29" s="86"/>
      <c r="BO29" s="86"/>
      <c r="BP29" s="86"/>
      <c r="BQ29" s="86"/>
      <c r="BR29" s="86"/>
      <c r="BS29" s="86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2">
        <f t="shared" si="2"/>
        <v>0</v>
      </c>
      <c r="B30" s="42">
        <f t="shared" si="2"/>
        <v>0</v>
      </c>
      <c r="C30" s="42">
        <f t="shared" si="2"/>
        <v>0</v>
      </c>
      <c r="D30" s="42">
        <f t="shared" si="2"/>
        <v>0</v>
      </c>
      <c r="E30" s="39"/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  <c r="S30" s="86"/>
      <c r="T30" s="86"/>
      <c r="U30" s="86"/>
      <c r="V30" s="86"/>
      <c r="W30" s="86"/>
      <c r="X30" s="86"/>
      <c r="Y30" s="86"/>
      <c r="Z30" s="86"/>
      <c r="AA30" s="86"/>
      <c r="AB30" s="86"/>
      <c r="AC30" s="86"/>
      <c r="AD30" s="86"/>
      <c r="AE30" s="86"/>
      <c r="AF30" s="86"/>
      <c r="AG30" s="86"/>
      <c r="AH30" s="86"/>
      <c r="AI30" s="86"/>
      <c r="AJ30" s="86"/>
      <c r="AK30" s="86"/>
      <c r="AL30" s="86"/>
      <c r="AM30" s="86"/>
      <c r="AN30" s="86"/>
      <c r="AO30" s="86"/>
      <c r="AP30" s="86"/>
      <c r="AQ30" s="86"/>
      <c r="AR30" s="86"/>
      <c r="AS30" s="86"/>
      <c r="AT30" s="86"/>
      <c r="AU30" s="86"/>
      <c r="AV30" s="86"/>
      <c r="AW30" s="86"/>
      <c r="AX30" s="86"/>
      <c r="AY30" s="86"/>
      <c r="AZ30" s="86"/>
      <c r="BA30" s="86"/>
      <c r="BB30" s="86"/>
      <c r="BC30" s="86"/>
      <c r="BD30" s="86"/>
      <c r="BE30" s="86"/>
      <c r="BF30" s="86"/>
      <c r="BG30" s="86"/>
      <c r="BH30" s="86"/>
      <c r="BI30" s="86"/>
      <c r="BJ30" s="86"/>
      <c r="BK30" s="86"/>
      <c r="BL30" s="86"/>
      <c r="BM30" s="86"/>
      <c r="BN30" s="86"/>
      <c r="BO30" s="86"/>
      <c r="BP30" s="86"/>
      <c r="BQ30" s="86"/>
      <c r="BR30" s="86"/>
      <c r="BS30" s="86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2">
        <f t="shared" si="2"/>
        <v>0</v>
      </c>
      <c r="B31" s="42">
        <f t="shared" si="2"/>
        <v>0</v>
      </c>
      <c r="C31" s="42">
        <f t="shared" si="2"/>
        <v>0</v>
      </c>
      <c r="D31" s="42">
        <f t="shared" si="2"/>
        <v>0</v>
      </c>
      <c r="E31" s="39"/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86"/>
      <c r="S31" s="86"/>
      <c r="T31" s="86"/>
      <c r="U31" s="86"/>
      <c r="V31" s="86"/>
      <c r="W31" s="86"/>
      <c r="X31" s="86"/>
      <c r="Y31" s="86"/>
      <c r="Z31" s="86"/>
      <c r="AA31" s="86"/>
      <c r="AB31" s="86"/>
      <c r="AC31" s="86"/>
      <c r="AD31" s="86"/>
      <c r="AE31" s="86"/>
      <c r="AF31" s="86"/>
      <c r="AG31" s="86"/>
      <c r="AH31" s="86"/>
      <c r="AI31" s="86"/>
      <c r="AJ31" s="86"/>
      <c r="AK31" s="86"/>
      <c r="AL31" s="86"/>
      <c r="AM31" s="86"/>
      <c r="AN31" s="86"/>
      <c r="AO31" s="86"/>
      <c r="AP31" s="86"/>
      <c r="AQ31" s="86"/>
      <c r="AR31" s="86"/>
      <c r="AS31" s="86"/>
      <c r="AT31" s="86"/>
      <c r="AU31" s="86"/>
      <c r="AV31" s="86"/>
      <c r="AW31" s="86"/>
      <c r="AX31" s="86"/>
      <c r="AY31" s="86"/>
      <c r="AZ31" s="86"/>
      <c r="BA31" s="86"/>
      <c r="BB31" s="86"/>
      <c r="BC31" s="86"/>
      <c r="BD31" s="86"/>
      <c r="BE31" s="86"/>
      <c r="BF31" s="86"/>
      <c r="BG31" s="86"/>
      <c r="BH31" s="86"/>
      <c r="BI31" s="86"/>
      <c r="BJ31" s="86"/>
      <c r="BK31" s="86"/>
      <c r="BL31" s="86"/>
      <c r="BM31" s="86"/>
      <c r="BN31" s="86"/>
      <c r="BO31" s="86"/>
      <c r="BP31" s="86"/>
      <c r="BQ31" s="86"/>
      <c r="BR31" s="86"/>
      <c r="BS31" s="86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2">
        <f t="shared" si="2"/>
        <v>0</v>
      </c>
      <c r="B32" s="42">
        <f t="shared" si="2"/>
        <v>0</v>
      </c>
      <c r="C32" s="42">
        <f t="shared" si="2"/>
        <v>0</v>
      </c>
      <c r="D32" s="42">
        <f t="shared" si="2"/>
        <v>0</v>
      </c>
      <c r="E32" s="39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  <c r="S32" s="86"/>
      <c r="T32" s="86"/>
      <c r="U32" s="86"/>
      <c r="V32" s="86"/>
      <c r="W32" s="86"/>
      <c r="X32" s="86"/>
      <c r="Y32" s="86"/>
      <c r="Z32" s="86"/>
      <c r="AA32" s="86"/>
      <c r="AB32" s="86"/>
      <c r="AC32" s="86"/>
      <c r="AD32" s="86"/>
      <c r="AE32" s="86"/>
      <c r="AF32" s="86"/>
      <c r="AG32" s="86"/>
      <c r="AH32" s="86"/>
      <c r="AI32" s="86"/>
      <c r="AJ32" s="86"/>
      <c r="AK32" s="86"/>
      <c r="AL32" s="86"/>
      <c r="AM32" s="86"/>
      <c r="AN32" s="86"/>
      <c r="AO32" s="86"/>
      <c r="AP32" s="86"/>
      <c r="AQ32" s="86"/>
      <c r="AR32" s="86"/>
      <c r="AS32" s="86"/>
      <c r="AT32" s="86"/>
      <c r="AU32" s="86"/>
      <c r="AV32" s="86"/>
      <c r="AW32" s="86"/>
      <c r="AX32" s="86"/>
      <c r="AY32" s="86"/>
      <c r="AZ32" s="86"/>
      <c r="BA32" s="86"/>
      <c r="BB32" s="86"/>
      <c r="BC32" s="86"/>
      <c r="BD32" s="86"/>
      <c r="BE32" s="86"/>
      <c r="BF32" s="86"/>
      <c r="BG32" s="86"/>
      <c r="BH32" s="86"/>
      <c r="BI32" s="86"/>
      <c r="BJ32" s="86"/>
      <c r="BK32" s="86"/>
      <c r="BL32" s="86"/>
      <c r="BM32" s="86"/>
      <c r="BN32" s="86"/>
      <c r="BO32" s="86"/>
      <c r="BP32" s="86"/>
      <c r="BQ32" s="86"/>
      <c r="BR32" s="86"/>
      <c r="BS32" s="86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Bot="1" x14ac:dyDescent="0.4">
      <c r="A33" s="42">
        <f t="shared" si="2"/>
        <v>0</v>
      </c>
      <c r="B33" s="42">
        <f t="shared" si="2"/>
        <v>0</v>
      </c>
      <c r="C33" s="42">
        <f t="shared" si="2"/>
        <v>0</v>
      </c>
      <c r="D33" s="42">
        <f t="shared" si="2"/>
        <v>0</v>
      </c>
      <c r="E33" s="84">
        <v>1</v>
      </c>
      <c r="U33" s="48"/>
      <c r="V33" s="48"/>
      <c r="W33" s="48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8" t="e">
        <f ca="1">IF(E34=C34,1,0)</f>
        <v>#N/A</v>
      </c>
      <c r="C34" s="11" t="s">
        <v>26</v>
      </c>
      <c r="D34" s="45" t="e">
        <f t="shared" ref="D34:D37" si="3">MATCH(C34,$E$4:$E$33)</f>
        <v>#N/A</v>
      </c>
      <c r="E34" s="11" t="e">
        <f ca="1">OFFSET($E$3:$AL$3,$D34,0)</f>
        <v>#N/A</v>
      </c>
      <c r="F34" s="14" t="e">
        <f t="shared" ref="F34:AL37" ca="1" si="4">OFFSET($E$3:$AL$3,$D34,0)</f>
        <v>#N/A</v>
      </c>
      <c r="G34" s="14" t="e">
        <f t="shared" ca="1" si="4"/>
        <v>#N/A</v>
      </c>
      <c r="H34" s="14" t="e">
        <f t="shared" ca="1" si="4"/>
        <v>#N/A</v>
      </c>
      <c r="I34" s="14" t="e">
        <f t="shared" ca="1" si="4"/>
        <v>#N/A</v>
      </c>
      <c r="J34" s="14" t="e">
        <f t="shared" ca="1" si="4"/>
        <v>#N/A</v>
      </c>
      <c r="K34" s="14" t="e">
        <f t="shared" ca="1" si="4"/>
        <v>#N/A</v>
      </c>
      <c r="L34" s="14" t="e">
        <f t="shared" ca="1" si="4"/>
        <v>#N/A</v>
      </c>
      <c r="M34" s="14" t="e">
        <f t="shared" ca="1" si="4"/>
        <v>#N/A</v>
      </c>
      <c r="N34" s="14" t="e">
        <f t="shared" ca="1" si="4"/>
        <v>#N/A</v>
      </c>
      <c r="O34" s="14" t="e">
        <f t="shared" ca="1" si="4"/>
        <v>#N/A</v>
      </c>
      <c r="P34" s="14" t="e">
        <f t="shared" ca="1" si="4"/>
        <v>#N/A</v>
      </c>
      <c r="Q34" s="14" t="e">
        <f t="shared" ca="1" si="4"/>
        <v>#N/A</v>
      </c>
      <c r="R34" s="14" t="e">
        <f t="shared" ca="1" si="4"/>
        <v>#N/A</v>
      </c>
      <c r="S34" s="14" t="e">
        <f t="shared" ca="1" si="4"/>
        <v>#N/A</v>
      </c>
      <c r="T34" s="14" t="e">
        <f t="shared" ca="1" si="4"/>
        <v>#N/A</v>
      </c>
      <c r="U34" s="14" t="e">
        <f t="shared" ca="1" si="4"/>
        <v>#N/A</v>
      </c>
      <c r="V34" s="14" t="e">
        <f t="shared" ca="1" si="4"/>
        <v>#N/A</v>
      </c>
      <c r="W34" s="14" t="e">
        <f t="shared" ca="1" si="4"/>
        <v>#N/A</v>
      </c>
      <c r="X34" s="14" t="e">
        <f t="shared" ca="1" si="4"/>
        <v>#N/A</v>
      </c>
      <c r="Y34" s="14" t="e">
        <f t="shared" ca="1" si="4"/>
        <v>#N/A</v>
      </c>
      <c r="Z34" s="14" t="e">
        <f t="shared" ca="1" si="4"/>
        <v>#N/A</v>
      </c>
      <c r="AA34" s="14" t="e">
        <f t="shared" ca="1" si="4"/>
        <v>#N/A</v>
      </c>
      <c r="AB34" s="14" t="e">
        <f t="shared" ca="1" si="4"/>
        <v>#N/A</v>
      </c>
      <c r="AC34" s="14" t="e">
        <f t="shared" ca="1" si="4"/>
        <v>#N/A</v>
      </c>
      <c r="AD34" s="14" t="e">
        <f t="shared" ca="1" si="4"/>
        <v>#N/A</v>
      </c>
      <c r="AE34" s="14" t="e">
        <f t="shared" ca="1" si="4"/>
        <v>#N/A</v>
      </c>
      <c r="AF34" s="14" t="e">
        <f t="shared" ca="1" si="4"/>
        <v>#N/A</v>
      </c>
      <c r="AG34" s="14" t="e">
        <f t="shared" ca="1" si="4"/>
        <v>#N/A</v>
      </c>
      <c r="AH34" s="14" t="e">
        <f t="shared" ca="1" si="4"/>
        <v>#N/A</v>
      </c>
      <c r="AI34" s="14" t="e">
        <f t="shared" ca="1" si="4"/>
        <v>#N/A</v>
      </c>
      <c r="AJ34" s="14" t="e">
        <f t="shared" ca="1" si="4"/>
        <v>#N/A</v>
      </c>
      <c r="AK34" s="14" t="e">
        <f t="shared" ca="1" si="4"/>
        <v>#N/A</v>
      </c>
      <c r="AL34" s="14" t="e">
        <f t="shared" ca="1" si="4"/>
        <v>#N/A</v>
      </c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8" t="e">
        <f t="shared" ref="B35:B37" ca="1" si="5">IF(E35=C35,1,0)</f>
        <v>#N/A</v>
      </c>
      <c r="C35" s="11" t="s">
        <v>5</v>
      </c>
      <c r="D35" s="45" t="e">
        <f t="shared" si="3"/>
        <v>#N/A</v>
      </c>
      <c r="E35" s="11" t="e">
        <f t="shared" ref="E35:E37" ca="1" si="6">OFFSET($E$3:$AL$3,$D35,0)</f>
        <v>#N/A</v>
      </c>
      <c r="F35" s="14" t="e">
        <f t="shared" ca="1" si="4"/>
        <v>#N/A</v>
      </c>
      <c r="G35" s="14" t="e">
        <f t="shared" ca="1" si="4"/>
        <v>#N/A</v>
      </c>
      <c r="H35" s="14" t="e">
        <f t="shared" ca="1" si="4"/>
        <v>#N/A</v>
      </c>
      <c r="I35" s="14" t="e">
        <f t="shared" ca="1" si="4"/>
        <v>#N/A</v>
      </c>
      <c r="J35" s="14" t="e">
        <f t="shared" ca="1" si="4"/>
        <v>#N/A</v>
      </c>
      <c r="K35" s="14" t="e">
        <f t="shared" ca="1" si="4"/>
        <v>#N/A</v>
      </c>
      <c r="L35" s="14" t="e">
        <f t="shared" ca="1" si="4"/>
        <v>#N/A</v>
      </c>
      <c r="M35" s="14" t="e">
        <f t="shared" ca="1" si="4"/>
        <v>#N/A</v>
      </c>
      <c r="N35" s="14" t="e">
        <f t="shared" ca="1" si="4"/>
        <v>#N/A</v>
      </c>
      <c r="O35" s="14" t="e">
        <f t="shared" ca="1" si="4"/>
        <v>#N/A</v>
      </c>
      <c r="P35" s="14" t="e">
        <f t="shared" ca="1" si="4"/>
        <v>#N/A</v>
      </c>
      <c r="Q35" s="14" t="e">
        <f t="shared" ca="1" si="4"/>
        <v>#N/A</v>
      </c>
      <c r="R35" s="14" t="e">
        <f t="shared" ca="1" si="4"/>
        <v>#N/A</v>
      </c>
      <c r="S35" s="14" t="e">
        <f t="shared" ca="1" si="4"/>
        <v>#N/A</v>
      </c>
      <c r="T35" s="14" t="e">
        <f t="shared" ca="1" si="4"/>
        <v>#N/A</v>
      </c>
      <c r="U35" s="14" t="e">
        <f t="shared" ca="1" si="4"/>
        <v>#N/A</v>
      </c>
      <c r="V35" s="14" t="e">
        <f t="shared" ca="1" si="4"/>
        <v>#N/A</v>
      </c>
      <c r="W35" s="14" t="e">
        <f t="shared" ca="1" si="4"/>
        <v>#N/A</v>
      </c>
      <c r="X35" s="14" t="e">
        <f t="shared" ca="1" si="4"/>
        <v>#N/A</v>
      </c>
      <c r="Y35" s="14" t="e">
        <f t="shared" ca="1" si="4"/>
        <v>#N/A</v>
      </c>
      <c r="Z35" s="14" t="e">
        <f t="shared" ca="1" si="4"/>
        <v>#N/A</v>
      </c>
      <c r="AA35" s="14" t="e">
        <f t="shared" ca="1" si="4"/>
        <v>#N/A</v>
      </c>
      <c r="AB35" s="14" t="e">
        <f t="shared" ca="1" si="4"/>
        <v>#N/A</v>
      </c>
      <c r="AC35" s="14" t="e">
        <f t="shared" ca="1" si="4"/>
        <v>#N/A</v>
      </c>
      <c r="AD35" s="14" t="e">
        <f t="shared" ca="1" si="4"/>
        <v>#N/A</v>
      </c>
      <c r="AE35" s="14" t="e">
        <f t="shared" ca="1" si="4"/>
        <v>#N/A</v>
      </c>
      <c r="AF35" s="14" t="e">
        <f t="shared" ca="1" si="4"/>
        <v>#N/A</v>
      </c>
      <c r="AG35" s="14" t="e">
        <f t="shared" ca="1" si="4"/>
        <v>#N/A</v>
      </c>
      <c r="AH35" s="14" t="e">
        <f t="shared" ca="1" si="4"/>
        <v>#N/A</v>
      </c>
      <c r="AI35" s="14" t="e">
        <f t="shared" ca="1" si="4"/>
        <v>#N/A</v>
      </c>
      <c r="AJ35" s="14" t="e">
        <f t="shared" ca="1" si="4"/>
        <v>#N/A</v>
      </c>
      <c r="AK35" s="14" t="e">
        <f t="shared" ca="1" si="4"/>
        <v>#N/A</v>
      </c>
      <c r="AL35" s="14" t="e">
        <f t="shared" ref="AL35:AL37" ca="1" si="7">OFFSET($E$3:$AL$3,$D35,0)</f>
        <v>#N/A</v>
      </c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8" t="e">
        <f t="shared" ca="1" si="5"/>
        <v>#N/A</v>
      </c>
      <c r="C36" s="11" t="s">
        <v>6</v>
      </c>
      <c r="D36" s="45" t="e">
        <f t="shared" si="3"/>
        <v>#N/A</v>
      </c>
      <c r="E36" s="11" t="e">
        <f t="shared" ca="1" si="6"/>
        <v>#N/A</v>
      </c>
      <c r="F36" s="14" t="e">
        <f t="shared" ca="1" si="4"/>
        <v>#N/A</v>
      </c>
      <c r="G36" s="14" t="e">
        <f t="shared" ca="1" si="4"/>
        <v>#N/A</v>
      </c>
      <c r="H36" s="14" t="e">
        <f t="shared" ca="1" si="4"/>
        <v>#N/A</v>
      </c>
      <c r="I36" s="14" t="e">
        <f t="shared" ca="1" si="4"/>
        <v>#N/A</v>
      </c>
      <c r="J36" s="14" t="e">
        <f t="shared" ca="1" si="4"/>
        <v>#N/A</v>
      </c>
      <c r="K36" s="14" t="e">
        <f t="shared" ca="1" si="4"/>
        <v>#N/A</v>
      </c>
      <c r="L36" s="14" t="e">
        <f t="shared" ca="1" si="4"/>
        <v>#N/A</v>
      </c>
      <c r="M36" s="14" t="e">
        <f t="shared" ca="1" si="4"/>
        <v>#N/A</v>
      </c>
      <c r="N36" s="14" t="e">
        <f t="shared" ca="1" si="4"/>
        <v>#N/A</v>
      </c>
      <c r="O36" s="14" t="e">
        <f t="shared" ca="1" si="4"/>
        <v>#N/A</v>
      </c>
      <c r="P36" s="14" t="e">
        <f t="shared" ca="1" si="4"/>
        <v>#N/A</v>
      </c>
      <c r="Q36" s="14" t="e">
        <f t="shared" ca="1" si="4"/>
        <v>#N/A</v>
      </c>
      <c r="R36" s="14" t="e">
        <f t="shared" ca="1" si="4"/>
        <v>#N/A</v>
      </c>
      <c r="S36" s="14" t="e">
        <f t="shared" ca="1" si="4"/>
        <v>#N/A</v>
      </c>
      <c r="T36" s="14" t="e">
        <f t="shared" ca="1" si="4"/>
        <v>#N/A</v>
      </c>
      <c r="U36" s="14" t="e">
        <f t="shared" ca="1" si="4"/>
        <v>#N/A</v>
      </c>
      <c r="V36" s="14" t="e">
        <f t="shared" ca="1" si="4"/>
        <v>#N/A</v>
      </c>
      <c r="W36" s="14" t="e">
        <f t="shared" ca="1" si="4"/>
        <v>#N/A</v>
      </c>
      <c r="X36" s="14" t="e">
        <f t="shared" ca="1" si="4"/>
        <v>#N/A</v>
      </c>
      <c r="Y36" s="14" t="e">
        <f t="shared" ca="1" si="4"/>
        <v>#N/A</v>
      </c>
      <c r="Z36" s="14" t="e">
        <f t="shared" ca="1" si="4"/>
        <v>#N/A</v>
      </c>
      <c r="AA36" s="14" t="e">
        <f t="shared" ca="1" si="4"/>
        <v>#N/A</v>
      </c>
      <c r="AB36" s="14" t="e">
        <f t="shared" ca="1" si="4"/>
        <v>#N/A</v>
      </c>
      <c r="AC36" s="14" t="e">
        <f t="shared" ca="1" si="4"/>
        <v>#N/A</v>
      </c>
      <c r="AD36" s="14" t="e">
        <f t="shared" ca="1" si="4"/>
        <v>#N/A</v>
      </c>
      <c r="AE36" s="14" t="e">
        <f t="shared" ca="1" si="4"/>
        <v>#N/A</v>
      </c>
      <c r="AF36" s="14" t="e">
        <f t="shared" ca="1" si="4"/>
        <v>#N/A</v>
      </c>
      <c r="AG36" s="14" t="e">
        <f t="shared" ca="1" si="4"/>
        <v>#N/A</v>
      </c>
      <c r="AH36" s="14" t="e">
        <f t="shared" ca="1" si="4"/>
        <v>#N/A</v>
      </c>
      <c r="AI36" s="14" t="e">
        <f t="shared" ca="1" si="4"/>
        <v>#N/A</v>
      </c>
      <c r="AJ36" s="14" t="e">
        <f t="shared" ca="1" si="4"/>
        <v>#N/A</v>
      </c>
      <c r="AK36" s="14" t="e">
        <f t="shared" ca="1" si="4"/>
        <v>#N/A</v>
      </c>
      <c r="AL36" s="14" t="e">
        <f t="shared" ca="1" si="7"/>
        <v>#N/A</v>
      </c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8" t="e">
        <f t="shared" ca="1" si="5"/>
        <v>#N/A</v>
      </c>
      <c r="C37" s="11" t="s">
        <v>7</v>
      </c>
      <c r="D37" s="45" t="e">
        <f t="shared" si="3"/>
        <v>#N/A</v>
      </c>
      <c r="E37" s="11" t="e">
        <f t="shared" ca="1" si="6"/>
        <v>#N/A</v>
      </c>
      <c r="F37" s="14" t="e">
        <f t="shared" ca="1" si="4"/>
        <v>#N/A</v>
      </c>
      <c r="G37" s="14" t="e">
        <f t="shared" ca="1" si="4"/>
        <v>#N/A</v>
      </c>
      <c r="H37" s="14" t="e">
        <f t="shared" ca="1" si="4"/>
        <v>#N/A</v>
      </c>
      <c r="I37" s="14" t="e">
        <f t="shared" ca="1" si="4"/>
        <v>#N/A</v>
      </c>
      <c r="J37" s="14" t="e">
        <f t="shared" ca="1" si="4"/>
        <v>#N/A</v>
      </c>
      <c r="K37" s="14" t="e">
        <f t="shared" ca="1" si="4"/>
        <v>#N/A</v>
      </c>
      <c r="L37" s="14" t="e">
        <f t="shared" ca="1" si="4"/>
        <v>#N/A</v>
      </c>
      <c r="M37" s="14" t="e">
        <f t="shared" ca="1" si="4"/>
        <v>#N/A</v>
      </c>
      <c r="N37" s="14" t="e">
        <f t="shared" ca="1" si="4"/>
        <v>#N/A</v>
      </c>
      <c r="O37" s="14" t="e">
        <f t="shared" ca="1" si="4"/>
        <v>#N/A</v>
      </c>
      <c r="P37" s="14" t="e">
        <f t="shared" ca="1" si="4"/>
        <v>#N/A</v>
      </c>
      <c r="Q37" s="14" t="e">
        <f t="shared" ca="1" si="4"/>
        <v>#N/A</v>
      </c>
      <c r="R37" s="14" t="e">
        <f t="shared" ca="1" si="4"/>
        <v>#N/A</v>
      </c>
      <c r="S37" s="14" t="e">
        <f t="shared" ca="1" si="4"/>
        <v>#N/A</v>
      </c>
      <c r="T37" s="14" t="e">
        <f t="shared" ca="1" si="4"/>
        <v>#N/A</v>
      </c>
      <c r="U37" s="14" t="e">
        <f t="shared" ca="1" si="4"/>
        <v>#N/A</v>
      </c>
      <c r="V37" s="14" t="e">
        <f t="shared" ca="1" si="4"/>
        <v>#N/A</v>
      </c>
      <c r="W37" s="14" t="e">
        <f t="shared" ca="1" si="4"/>
        <v>#N/A</v>
      </c>
      <c r="X37" s="14" t="e">
        <f t="shared" ca="1" si="4"/>
        <v>#N/A</v>
      </c>
      <c r="Y37" s="14" t="e">
        <f t="shared" ca="1" si="4"/>
        <v>#N/A</v>
      </c>
      <c r="Z37" s="14" t="e">
        <f t="shared" ca="1" si="4"/>
        <v>#N/A</v>
      </c>
      <c r="AA37" s="14" t="e">
        <f t="shared" ca="1" si="4"/>
        <v>#N/A</v>
      </c>
      <c r="AB37" s="14" t="e">
        <f t="shared" ca="1" si="4"/>
        <v>#N/A</v>
      </c>
      <c r="AC37" s="14" t="e">
        <f t="shared" ca="1" si="4"/>
        <v>#N/A</v>
      </c>
      <c r="AD37" s="14" t="e">
        <f t="shared" ca="1" si="4"/>
        <v>#N/A</v>
      </c>
      <c r="AE37" s="14" t="e">
        <f t="shared" ca="1" si="4"/>
        <v>#N/A</v>
      </c>
      <c r="AF37" s="14" t="e">
        <f t="shared" ca="1" si="4"/>
        <v>#N/A</v>
      </c>
      <c r="AG37" s="14" t="e">
        <f t="shared" ca="1" si="4"/>
        <v>#N/A</v>
      </c>
      <c r="AH37" s="14" t="e">
        <f t="shared" ca="1" si="4"/>
        <v>#N/A</v>
      </c>
      <c r="AI37" s="14" t="e">
        <f t="shared" ca="1" si="4"/>
        <v>#N/A</v>
      </c>
      <c r="AJ37" s="14" t="e">
        <f t="shared" ca="1" si="4"/>
        <v>#N/A</v>
      </c>
      <c r="AK37" s="14" t="e">
        <f t="shared" ca="1" si="4"/>
        <v>#N/A</v>
      </c>
      <c r="AL37" s="14" t="e">
        <f t="shared" ca="1" si="7"/>
        <v>#N/A</v>
      </c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U38" s="48"/>
      <c r="V38" s="48"/>
      <c r="W38" s="48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2" t="s">
        <v>8</v>
      </c>
      <c r="B39" s="73"/>
      <c r="C39" s="73"/>
      <c r="D39" s="74"/>
      <c r="E39" s="65" t="s">
        <v>19</v>
      </c>
      <c r="F39" s="66"/>
      <c r="G39" s="66"/>
      <c r="H39" s="66"/>
      <c r="I39" s="66"/>
      <c r="J39" s="66"/>
      <c r="K39" s="66"/>
      <c r="L39" s="66"/>
      <c r="M39" s="66"/>
      <c r="N39" s="66"/>
      <c r="O39" s="66"/>
      <c r="P39" s="66"/>
      <c r="Q39" s="66"/>
      <c r="R39" s="66"/>
      <c r="S39" s="66"/>
      <c r="T39" s="66"/>
      <c r="U39" s="66"/>
      <c r="V39" s="66"/>
      <c r="W39" s="66"/>
      <c r="X39" s="66"/>
      <c r="Y39" s="66"/>
      <c r="Z39" s="66"/>
      <c r="AA39" s="66"/>
      <c r="AB39" s="66"/>
      <c r="AC39" s="66"/>
      <c r="AD39" s="66"/>
      <c r="AE39" s="66"/>
      <c r="AF39" s="66"/>
      <c r="AG39" s="66"/>
      <c r="AH39" s="66"/>
      <c r="AI39" s="66"/>
      <c r="AJ39" s="66"/>
      <c r="AK39" s="66"/>
      <c r="AL39" s="66"/>
      <c r="AM39" s="66"/>
      <c r="AN39" s="66"/>
      <c r="AO39" s="66"/>
      <c r="AP39" s="66"/>
      <c r="AQ39" s="66"/>
      <c r="AR39" s="66"/>
      <c r="AS39" s="66"/>
      <c r="AT39" s="66"/>
      <c r="AU39" s="66"/>
      <c r="AV39" s="66"/>
      <c r="AW39" s="66"/>
      <c r="AX39" s="66"/>
      <c r="AY39" s="66"/>
      <c r="AZ39" s="66"/>
      <c r="BA39" s="66"/>
      <c r="BB39" s="66"/>
      <c r="BC39" s="66"/>
      <c r="BD39" s="66"/>
      <c r="BE39" s="66"/>
      <c r="BF39" s="66"/>
      <c r="BG39" s="66"/>
      <c r="BH39" s="66"/>
      <c r="BI39" s="66"/>
      <c r="BJ39" s="66"/>
      <c r="BK39" s="66"/>
      <c r="BL39" s="66"/>
      <c r="BM39" s="66"/>
      <c r="BN39" s="66"/>
      <c r="BO39" s="66"/>
      <c r="BP39" s="66"/>
      <c r="BQ39" s="66"/>
      <c r="BR39" s="66"/>
      <c r="BS39" s="66"/>
      <c r="BT39" s="66"/>
      <c r="BU39" s="66"/>
      <c r="BV39" s="66"/>
      <c r="BW39" s="66"/>
      <c r="BX39" s="66"/>
      <c r="BY39" s="66"/>
      <c r="BZ39" s="66"/>
      <c r="CA39" s="66"/>
      <c r="CB39" s="66"/>
      <c r="CC39" s="66"/>
      <c r="CD39" s="66"/>
      <c r="CE39" s="66"/>
      <c r="CF39" s="66"/>
      <c r="CG39" s="66"/>
      <c r="CH39" s="66"/>
      <c r="CI39" s="66"/>
    </row>
    <row r="40" spans="1:87" ht="2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0</v>
      </c>
      <c r="G40" s="8">
        <f t="shared" ref="G40:AK40" si="8">G3</f>
        <v>0</v>
      </c>
      <c r="H40" s="8">
        <f t="shared" si="8"/>
        <v>0</v>
      </c>
      <c r="I40" s="8">
        <f t="shared" si="8"/>
        <v>0</v>
      </c>
      <c r="J40" s="8">
        <f t="shared" si="8"/>
        <v>0</v>
      </c>
      <c r="K40" s="8">
        <f t="shared" si="8"/>
        <v>0</v>
      </c>
      <c r="L40" s="8">
        <f t="shared" si="8"/>
        <v>0</v>
      </c>
      <c r="M40" s="8">
        <f t="shared" si="8"/>
        <v>0</v>
      </c>
      <c r="N40" s="8">
        <f t="shared" si="8"/>
        <v>0</v>
      </c>
      <c r="O40" s="8">
        <f t="shared" si="8"/>
        <v>0</v>
      </c>
      <c r="P40" s="8">
        <f t="shared" si="8"/>
        <v>0</v>
      </c>
      <c r="Q40" s="8">
        <f t="shared" si="8"/>
        <v>0</v>
      </c>
      <c r="R40" s="8">
        <f t="shared" si="8"/>
        <v>0</v>
      </c>
      <c r="S40" s="8">
        <f t="shared" si="8"/>
        <v>0</v>
      </c>
      <c r="T40" s="8">
        <f t="shared" si="8"/>
        <v>0</v>
      </c>
      <c r="U40" s="8">
        <f t="shared" si="8"/>
        <v>0</v>
      </c>
      <c r="V40" s="8">
        <f t="shared" si="8"/>
        <v>0</v>
      </c>
      <c r="W40" s="8">
        <f t="shared" si="8"/>
        <v>0</v>
      </c>
      <c r="X40" s="8">
        <f t="shared" si="8"/>
        <v>0</v>
      </c>
      <c r="Y40" s="8">
        <f t="shared" si="8"/>
        <v>0</v>
      </c>
      <c r="Z40" s="8">
        <f t="shared" si="8"/>
        <v>0</v>
      </c>
      <c r="AA40" s="8">
        <f t="shared" si="8"/>
        <v>0</v>
      </c>
      <c r="AB40" s="8">
        <f t="shared" si="8"/>
        <v>0</v>
      </c>
      <c r="AC40" s="8">
        <f t="shared" si="8"/>
        <v>0</v>
      </c>
      <c r="AD40" s="8">
        <f t="shared" si="8"/>
        <v>0</v>
      </c>
      <c r="AE40" s="8">
        <f t="shared" si="8"/>
        <v>0</v>
      </c>
      <c r="AF40" s="8">
        <f t="shared" si="8"/>
        <v>0</v>
      </c>
      <c r="AG40" s="8">
        <f t="shared" si="8"/>
        <v>0</v>
      </c>
      <c r="AH40" s="8">
        <f t="shared" si="8"/>
        <v>0</v>
      </c>
      <c r="AI40" s="8">
        <f t="shared" si="8"/>
        <v>0</v>
      </c>
      <c r="AJ40" s="8">
        <f t="shared" si="8"/>
        <v>0</v>
      </c>
      <c r="AK40" s="8">
        <f t="shared" si="8"/>
        <v>0</v>
      </c>
      <c r="AL40" s="8">
        <f t="shared" ref="AL40" si="9">AL3</f>
        <v>0</v>
      </c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9"/>
    </row>
    <row r="41" spans="1:87" ht="21" customHeight="1" outlineLevel="1" thickTop="1" x14ac:dyDescent="0.35">
      <c r="A41" s="9">
        <f>Values!D3/Values!$E$3</f>
        <v>0.83333333333333337</v>
      </c>
      <c r="B41" s="9">
        <f>Values!E3/Values!$E$3</f>
        <v>1</v>
      </c>
      <c r="C41" s="9">
        <f>Values!F3/Values!$E$3</f>
        <v>0.33333333333333331</v>
      </c>
      <c r="D41" s="9">
        <f>Values!G3/Values!$E$3</f>
        <v>2</v>
      </c>
      <c r="E41" s="9">
        <f>SUM(A41:D41)</f>
        <v>4.166666666666667</v>
      </c>
      <c r="F41" s="10" t="e">
        <f t="shared" ref="F41:AL41" ca="1" si="10">($B$41*H.Ge+$C$41*H.Ga+$D$41*H.Se)*F$40*$B$2/1000</f>
        <v>#N/A</v>
      </c>
      <c r="G41" s="10" t="e">
        <f t="shared" ca="1" si="10"/>
        <v>#N/A</v>
      </c>
      <c r="H41" s="10" t="e">
        <f t="shared" ca="1" si="10"/>
        <v>#N/A</v>
      </c>
      <c r="I41" s="10" t="e">
        <f t="shared" ca="1" si="10"/>
        <v>#N/A</v>
      </c>
      <c r="J41" s="10" t="e">
        <f t="shared" ca="1" si="10"/>
        <v>#N/A</v>
      </c>
      <c r="K41" s="10" t="e">
        <f t="shared" ca="1" si="10"/>
        <v>#N/A</v>
      </c>
      <c r="L41" s="10" t="e">
        <f t="shared" ca="1" si="10"/>
        <v>#N/A</v>
      </c>
      <c r="M41" s="10" t="e">
        <f t="shared" ca="1" si="10"/>
        <v>#N/A</v>
      </c>
      <c r="N41" s="10" t="e">
        <f t="shared" ca="1" si="10"/>
        <v>#N/A</v>
      </c>
      <c r="O41" s="10" t="e">
        <f t="shared" ca="1" si="10"/>
        <v>#N/A</v>
      </c>
      <c r="P41" s="10" t="e">
        <f t="shared" ca="1" si="10"/>
        <v>#N/A</v>
      </c>
      <c r="Q41" s="10" t="e">
        <f t="shared" ca="1" si="10"/>
        <v>#N/A</v>
      </c>
      <c r="R41" s="10" t="e">
        <f t="shared" ca="1" si="10"/>
        <v>#N/A</v>
      </c>
      <c r="S41" s="10" t="e">
        <f t="shared" ca="1" si="10"/>
        <v>#N/A</v>
      </c>
      <c r="T41" s="10" t="e">
        <f t="shared" ca="1" si="10"/>
        <v>#N/A</v>
      </c>
      <c r="U41" s="10" t="e">
        <f t="shared" ca="1" si="10"/>
        <v>#N/A</v>
      </c>
      <c r="V41" s="10" t="e">
        <f t="shared" ca="1" si="10"/>
        <v>#N/A</v>
      </c>
      <c r="W41" s="10" t="e">
        <f t="shared" ca="1" si="10"/>
        <v>#N/A</v>
      </c>
      <c r="X41" s="10" t="e">
        <f t="shared" ca="1" si="10"/>
        <v>#N/A</v>
      </c>
      <c r="Y41" s="10" t="e">
        <f t="shared" ca="1" si="10"/>
        <v>#N/A</v>
      </c>
      <c r="Z41" s="10" t="e">
        <f t="shared" ca="1" si="10"/>
        <v>#N/A</v>
      </c>
      <c r="AA41" s="10" t="e">
        <f t="shared" ca="1" si="10"/>
        <v>#N/A</v>
      </c>
      <c r="AB41" s="10" t="e">
        <f t="shared" ca="1" si="10"/>
        <v>#N/A</v>
      </c>
      <c r="AC41" s="10" t="e">
        <f t="shared" ca="1" si="10"/>
        <v>#N/A</v>
      </c>
      <c r="AD41" s="10" t="e">
        <f t="shared" ca="1" si="10"/>
        <v>#N/A</v>
      </c>
      <c r="AE41" s="10" t="e">
        <f t="shared" ca="1" si="10"/>
        <v>#N/A</v>
      </c>
      <c r="AF41" s="10" t="e">
        <f t="shared" ca="1" si="10"/>
        <v>#N/A</v>
      </c>
      <c r="AG41" s="10" t="e">
        <f t="shared" ca="1" si="10"/>
        <v>#N/A</v>
      </c>
      <c r="AH41" s="10" t="e">
        <f t="shared" ca="1" si="10"/>
        <v>#N/A</v>
      </c>
      <c r="AI41" s="10" t="e">
        <f t="shared" ca="1" si="10"/>
        <v>#N/A</v>
      </c>
      <c r="AJ41" s="10" t="e">
        <f t="shared" ca="1" si="10"/>
        <v>#N/A</v>
      </c>
      <c r="AK41" s="10" t="e">
        <f t="shared" ca="1" si="10"/>
        <v>#N/A</v>
      </c>
      <c r="AL41" s="10" t="e">
        <f t="shared" ca="1" si="10"/>
        <v>#N/A</v>
      </c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</row>
    <row r="42" spans="1:87" ht="176.25" customHeight="1" outlineLevel="1" x14ac:dyDescent="0.35">
      <c r="U42" s="48"/>
      <c r="V42" s="48"/>
      <c r="W42" s="48"/>
    </row>
    <row r="43" spans="1:87" ht="21" customHeight="1" x14ac:dyDescent="0.35">
      <c r="U43" s="48"/>
      <c r="V43" s="48"/>
      <c r="W43" s="48"/>
    </row>
    <row r="44" spans="1:87" ht="21" customHeight="1" thickBot="1" x14ac:dyDescent="0.45">
      <c r="A44" s="66"/>
      <c r="B44" s="66"/>
      <c r="C44" s="66"/>
      <c r="D44" s="66"/>
      <c r="E44" s="65" t="s">
        <v>20</v>
      </c>
      <c r="F44" s="66"/>
      <c r="G44" s="66"/>
      <c r="H44" s="66"/>
      <c r="I44" s="66"/>
      <c r="J44" s="66"/>
      <c r="K44" s="66"/>
      <c r="L44" s="66"/>
      <c r="M44" s="66"/>
      <c r="N44" s="66"/>
      <c r="O44" s="66"/>
      <c r="P44" s="66"/>
      <c r="Q44" s="66"/>
      <c r="R44" s="66"/>
      <c r="S44" s="66"/>
      <c r="T44" s="66"/>
      <c r="U44" s="66"/>
      <c r="V44" s="66"/>
      <c r="W44" s="66"/>
      <c r="X44" s="66"/>
      <c r="Y44" s="66"/>
      <c r="Z44" s="66"/>
      <c r="AA44" s="66"/>
      <c r="AB44" s="66"/>
      <c r="AC44" s="66"/>
      <c r="AD44" s="66"/>
      <c r="AE44" s="66"/>
      <c r="AF44" s="66"/>
      <c r="AG44" s="66"/>
      <c r="AH44" s="66"/>
      <c r="AI44" s="66"/>
      <c r="AJ44" s="66"/>
      <c r="AK44" s="66"/>
      <c r="AL44" s="66"/>
      <c r="AM44" s="66"/>
      <c r="AN44" s="66"/>
      <c r="AO44" s="66"/>
      <c r="AP44" s="66"/>
      <c r="AQ44" s="66"/>
      <c r="AR44" s="66"/>
      <c r="AS44" s="66"/>
      <c r="AT44" s="66"/>
      <c r="AU44" s="66"/>
      <c r="AV44" s="66"/>
      <c r="AW44" s="66"/>
      <c r="AX44" s="66"/>
      <c r="AY44" s="66"/>
      <c r="AZ44" s="66"/>
      <c r="BA44" s="66"/>
      <c r="BB44" s="66"/>
      <c r="BC44" s="66"/>
      <c r="BD44" s="66"/>
      <c r="BE44" s="66"/>
      <c r="BF44" s="66"/>
      <c r="BG44" s="66"/>
      <c r="BH44" s="66"/>
      <c r="BI44" s="66"/>
      <c r="BJ44" s="66"/>
      <c r="BK44" s="66"/>
      <c r="BL44" s="66"/>
      <c r="BM44" s="66"/>
      <c r="BN44" s="66"/>
      <c r="BO44" s="66"/>
      <c r="BP44" s="66"/>
      <c r="BQ44" s="66"/>
      <c r="BR44" s="66"/>
      <c r="BS44" s="66"/>
      <c r="BT44" s="66"/>
      <c r="BU44" s="66"/>
      <c r="BV44" s="66"/>
      <c r="BW44" s="66"/>
      <c r="BX44" s="66"/>
      <c r="BY44" s="66"/>
      <c r="BZ44" s="66"/>
      <c r="CA44" s="66"/>
      <c r="CB44" s="66"/>
      <c r="CC44" s="66"/>
      <c r="CD44" s="66"/>
      <c r="CE44" s="66"/>
      <c r="CF44" s="66"/>
      <c r="CG44" s="66"/>
      <c r="CH44" s="66"/>
      <c r="CI44" s="66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>
        <f t="shared" ref="E45:AL45" si="11">E3</f>
        <v>0</v>
      </c>
      <c r="F45" s="3">
        <f t="shared" si="11"/>
        <v>0</v>
      </c>
      <c r="G45" s="3">
        <f t="shared" si="11"/>
        <v>0</v>
      </c>
      <c r="H45" s="3">
        <f t="shared" si="11"/>
        <v>0</v>
      </c>
      <c r="I45" s="3">
        <f t="shared" si="11"/>
        <v>0</v>
      </c>
      <c r="J45" s="3">
        <f t="shared" si="11"/>
        <v>0</v>
      </c>
      <c r="K45" s="3">
        <f t="shared" si="11"/>
        <v>0</v>
      </c>
      <c r="L45" s="3">
        <f t="shared" si="11"/>
        <v>0</v>
      </c>
      <c r="M45" s="3">
        <f t="shared" si="11"/>
        <v>0</v>
      </c>
      <c r="N45" s="3">
        <f t="shared" si="11"/>
        <v>0</v>
      </c>
      <c r="O45" s="3">
        <f t="shared" si="11"/>
        <v>0</v>
      </c>
      <c r="P45" s="3">
        <f t="shared" si="11"/>
        <v>0</v>
      </c>
      <c r="Q45" s="3">
        <f t="shared" si="11"/>
        <v>0</v>
      </c>
      <c r="R45" s="3">
        <f t="shared" si="11"/>
        <v>0</v>
      </c>
      <c r="S45" s="3">
        <f t="shared" si="11"/>
        <v>0</v>
      </c>
      <c r="T45" s="3">
        <f t="shared" si="11"/>
        <v>0</v>
      </c>
      <c r="U45" s="3">
        <f t="shared" si="11"/>
        <v>0</v>
      </c>
      <c r="V45" s="3">
        <f t="shared" si="11"/>
        <v>0</v>
      </c>
      <c r="W45" s="3">
        <f t="shared" si="11"/>
        <v>0</v>
      </c>
      <c r="X45" s="3">
        <f t="shared" si="11"/>
        <v>0</v>
      </c>
      <c r="Y45" s="3">
        <f t="shared" si="11"/>
        <v>0</v>
      </c>
      <c r="Z45" s="3">
        <f t="shared" si="11"/>
        <v>0</v>
      </c>
      <c r="AA45" s="3">
        <f t="shared" si="11"/>
        <v>0</v>
      </c>
      <c r="AB45" s="3">
        <f t="shared" si="11"/>
        <v>0</v>
      </c>
      <c r="AC45" s="3">
        <f t="shared" si="11"/>
        <v>0</v>
      </c>
      <c r="AD45" s="3">
        <f t="shared" si="11"/>
        <v>0</v>
      </c>
      <c r="AE45" s="3">
        <f t="shared" si="11"/>
        <v>0</v>
      </c>
      <c r="AF45" s="3">
        <f t="shared" si="11"/>
        <v>0</v>
      </c>
      <c r="AG45" s="3">
        <f t="shared" si="11"/>
        <v>0</v>
      </c>
      <c r="AH45" s="3">
        <f t="shared" si="11"/>
        <v>0</v>
      </c>
      <c r="AI45" s="3">
        <f t="shared" si="11"/>
        <v>0</v>
      </c>
      <c r="AJ45" s="3">
        <f t="shared" si="11"/>
        <v>0</v>
      </c>
      <c r="AK45" s="3">
        <f t="shared" si="11"/>
        <v>0</v>
      </c>
      <c r="AL45" s="3">
        <f t="shared" si="11"/>
        <v>0</v>
      </c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</row>
    <row r="46" spans="1:87" ht="21" customHeight="1" outlineLevel="1" thickTop="1" thickBot="1" x14ac:dyDescent="0.4">
      <c r="A46" s="5">
        <f t="shared" ref="A46:E55" si="12">A4</f>
        <v>0</v>
      </c>
      <c r="B46" s="5">
        <f t="shared" si="12"/>
        <v>0</v>
      </c>
      <c r="C46" s="5">
        <f t="shared" si="12"/>
        <v>0</v>
      </c>
      <c r="D46" s="5">
        <f t="shared" si="12"/>
        <v>0</v>
      </c>
      <c r="E46" s="6">
        <f t="shared" si="12"/>
        <v>0</v>
      </c>
      <c r="F46" s="14" t="e">
        <f t="shared" ref="F46:U55" ca="1" si="13">$A46*H.Ar + $B46*H.Se + $C46*H.Ge + $D46*H.Ga</f>
        <v>#N/A</v>
      </c>
      <c r="G46" s="14" t="e">
        <f t="shared" ca="1" si="13"/>
        <v>#N/A</v>
      </c>
      <c r="H46" s="14" t="e">
        <f t="shared" ca="1" si="13"/>
        <v>#N/A</v>
      </c>
      <c r="I46" s="14" t="e">
        <f t="shared" ca="1" si="13"/>
        <v>#N/A</v>
      </c>
      <c r="J46" s="14" t="e">
        <f t="shared" ca="1" si="13"/>
        <v>#N/A</v>
      </c>
      <c r="K46" s="14" t="e">
        <f t="shared" ca="1" si="13"/>
        <v>#N/A</v>
      </c>
      <c r="L46" s="14" t="e">
        <f t="shared" ca="1" si="13"/>
        <v>#N/A</v>
      </c>
      <c r="M46" s="14" t="e">
        <f t="shared" ca="1" si="13"/>
        <v>#N/A</v>
      </c>
      <c r="N46" s="14" t="e">
        <f t="shared" ca="1" si="13"/>
        <v>#N/A</v>
      </c>
      <c r="O46" s="14" t="e">
        <f t="shared" ca="1" si="13"/>
        <v>#N/A</v>
      </c>
      <c r="P46" s="14" t="e">
        <f t="shared" ca="1" si="13"/>
        <v>#N/A</v>
      </c>
      <c r="Q46" s="14" t="e">
        <f t="shared" ca="1" si="13"/>
        <v>#N/A</v>
      </c>
      <c r="R46" s="14" t="e">
        <f t="shared" ca="1" si="13"/>
        <v>#N/A</v>
      </c>
      <c r="S46" s="14" t="e">
        <f t="shared" ca="1" si="13"/>
        <v>#N/A</v>
      </c>
      <c r="T46" s="14" t="e">
        <f t="shared" ca="1" si="13"/>
        <v>#N/A</v>
      </c>
      <c r="U46" s="14" t="e">
        <f t="shared" ca="1" si="13"/>
        <v>#N/A</v>
      </c>
      <c r="V46" s="14" t="e">
        <f t="shared" ref="V46:AL46" ca="1" si="14">$A46*H.Ar + $B46*H.Se + $C46*H.Ge + $D46*H.Ga</f>
        <v>#N/A</v>
      </c>
      <c r="W46" s="14" t="e">
        <f t="shared" ca="1" si="14"/>
        <v>#N/A</v>
      </c>
      <c r="X46" s="14" t="e">
        <f t="shared" ca="1" si="14"/>
        <v>#N/A</v>
      </c>
      <c r="Y46" s="14" t="e">
        <f t="shared" ca="1" si="14"/>
        <v>#N/A</v>
      </c>
      <c r="Z46" s="14" t="e">
        <f t="shared" ca="1" si="14"/>
        <v>#N/A</v>
      </c>
      <c r="AA46" s="14" t="e">
        <f t="shared" ca="1" si="14"/>
        <v>#N/A</v>
      </c>
      <c r="AB46" s="14" t="e">
        <f t="shared" ca="1" si="14"/>
        <v>#N/A</v>
      </c>
      <c r="AC46" s="14" t="e">
        <f t="shared" ca="1" si="14"/>
        <v>#N/A</v>
      </c>
      <c r="AD46" s="14" t="e">
        <f t="shared" ca="1" si="14"/>
        <v>#N/A</v>
      </c>
      <c r="AE46" s="14" t="e">
        <f t="shared" ca="1" si="14"/>
        <v>#N/A</v>
      </c>
      <c r="AF46" s="14" t="e">
        <f t="shared" ca="1" si="14"/>
        <v>#N/A</v>
      </c>
      <c r="AG46" s="14" t="e">
        <f t="shared" ca="1" si="14"/>
        <v>#N/A</v>
      </c>
      <c r="AH46" s="14" t="e">
        <f t="shared" ca="1" si="14"/>
        <v>#N/A</v>
      </c>
      <c r="AI46" s="14" t="e">
        <f t="shared" ca="1" si="14"/>
        <v>#N/A</v>
      </c>
      <c r="AJ46" s="14" t="e">
        <f t="shared" ca="1" si="14"/>
        <v>#N/A</v>
      </c>
      <c r="AK46" s="14" t="e">
        <f t="shared" ca="1" si="14"/>
        <v>#N/A</v>
      </c>
      <c r="AL46" s="14" t="e">
        <f t="shared" ca="1" si="14"/>
        <v>#N/A</v>
      </c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14"/>
    </row>
    <row r="47" spans="1:87" ht="21" customHeight="1" outlineLevel="1" thickBot="1" x14ac:dyDescent="0.4">
      <c r="A47" s="5">
        <f t="shared" si="12"/>
        <v>0</v>
      </c>
      <c r="B47" s="5">
        <f t="shared" si="12"/>
        <v>0</v>
      </c>
      <c r="C47" s="5">
        <f t="shared" si="12"/>
        <v>0</v>
      </c>
      <c r="D47" s="5">
        <f t="shared" si="12"/>
        <v>0</v>
      </c>
      <c r="E47" s="6">
        <f t="shared" si="12"/>
        <v>0</v>
      </c>
      <c r="F47" s="14" t="e">
        <f t="shared" ca="1" si="13"/>
        <v>#N/A</v>
      </c>
      <c r="G47" s="14" t="e">
        <f t="shared" ref="G47:AL54" ca="1" si="15">$A47*H.Ar + $B47*H.Se + $C47*H.Ge + $D47*H.Ga</f>
        <v>#N/A</v>
      </c>
      <c r="H47" s="14" t="e">
        <f t="shared" ca="1" si="15"/>
        <v>#N/A</v>
      </c>
      <c r="I47" s="14" t="e">
        <f t="shared" ca="1" si="15"/>
        <v>#N/A</v>
      </c>
      <c r="J47" s="14" t="e">
        <f t="shared" ca="1" si="15"/>
        <v>#N/A</v>
      </c>
      <c r="K47" s="14" t="e">
        <f t="shared" ca="1" si="15"/>
        <v>#N/A</v>
      </c>
      <c r="L47" s="14" t="e">
        <f t="shared" ca="1" si="15"/>
        <v>#N/A</v>
      </c>
      <c r="M47" s="14" t="e">
        <f t="shared" ca="1" si="15"/>
        <v>#N/A</v>
      </c>
      <c r="N47" s="14" t="e">
        <f t="shared" ca="1" si="15"/>
        <v>#N/A</v>
      </c>
      <c r="O47" s="14" t="e">
        <f t="shared" ca="1" si="15"/>
        <v>#N/A</v>
      </c>
      <c r="P47" s="14" t="e">
        <f t="shared" ca="1" si="15"/>
        <v>#N/A</v>
      </c>
      <c r="Q47" s="14" t="e">
        <f t="shared" ca="1" si="15"/>
        <v>#N/A</v>
      </c>
      <c r="R47" s="14" t="e">
        <f t="shared" ca="1" si="15"/>
        <v>#N/A</v>
      </c>
      <c r="S47" s="14" t="e">
        <f t="shared" ca="1" si="15"/>
        <v>#N/A</v>
      </c>
      <c r="T47" s="14" t="e">
        <f t="shared" ca="1" si="15"/>
        <v>#N/A</v>
      </c>
      <c r="U47" s="14" t="e">
        <f t="shared" ca="1" si="15"/>
        <v>#N/A</v>
      </c>
      <c r="V47" s="14" t="e">
        <f t="shared" ca="1" si="15"/>
        <v>#N/A</v>
      </c>
      <c r="W47" s="14" t="e">
        <f t="shared" ca="1" si="15"/>
        <v>#N/A</v>
      </c>
      <c r="X47" s="14" t="e">
        <f t="shared" ca="1" si="15"/>
        <v>#N/A</v>
      </c>
      <c r="Y47" s="14" t="e">
        <f t="shared" ca="1" si="15"/>
        <v>#N/A</v>
      </c>
      <c r="Z47" s="14" t="e">
        <f t="shared" ca="1" si="15"/>
        <v>#N/A</v>
      </c>
      <c r="AA47" s="14" t="e">
        <f t="shared" ca="1" si="15"/>
        <v>#N/A</v>
      </c>
      <c r="AB47" s="14" t="e">
        <f t="shared" ca="1" si="15"/>
        <v>#N/A</v>
      </c>
      <c r="AC47" s="14" t="e">
        <f t="shared" ca="1" si="15"/>
        <v>#N/A</v>
      </c>
      <c r="AD47" s="14" t="e">
        <f t="shared" ca="1" si="15"/>
        <v>#N/A</v>
      </c>
      <c r="AE47" s="14" t="e">
        <f t="shared" ca="1" si="15"/>
        <v>#N/A</v>
      </c>
      <c r="AF47" s="14" t="e">
        <f t="shared" ca="1" si="15"/>
        <v>#N/A</v>
      </c>
      <c r="AG47" s="14" t="e">
        <f t="shared" ca="1" si="15"/>
        <v>#N/A</v>
      </c>
      <c r="AH47" s="14" t="e">
        <f t="shared" ca="1" si="15"/>
        <v>#N/A</v>
      </c>
      <c r="AI47" s="14" t="e">
        <f t="shared" ca="1" si="15"/>
        <v>#N/A</v>
      </c>
      <c r="AJ47" s="14" t="e">
        <f t="shared" ca="1" si="15"/>
        <v>#N/A</v>
      </c>
      <c r="AK47" s="14" t="e">
        <f t="shared" ca="1" si="15"/>
        <v>#N/A</v>
      </c>
      <c r="AL47" s="14" t="e">
        <f t="shared" ca="1" si="15"/>
        <v>#N/A</v>
      </c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  <c r="BL47" s="14"/>
      <c r="BM47" s="14"/>
      <c r="BN47" s="14"/>
      <c r="BO47" s="14"/>
      <c r="BP47" s="14"/>
      <c r="BQ47" s="14"/>
      <c r="BR47" s="14"/>
      <c r="BS47" s="14"/>
    </row>
    <row r="48" spans="1:87" ht="21" customHeight="1" outlineLevel="1" thickBot="1" x14ac:dyDescent="0.4">
      <c r="A48" s="5">
        <f t="shared" si="12"/>
        <v>0</v>
      </c>
      <c r="B48" s="5">
        <f t="shared" si="12"/>
        <v>0</v>
      </c>
      <c r="C48" s="5">
        <f t="shared" si="12"/>
        <v>0</v>
      </c>
      <c r="D48" s="5">
        <f t="shared" si="12"/>
        <v>0</v>
      </c>
      <c r="E48" s="6">
        <f t="shared" si="12"/>
        <v>0</v>
      </c>
      <c r="F48" s="14" t="e">
        <f t="shared" ca="1" si="13"/>
        <v>#N/A</v>
      </c>
      <c r="G48" s="14" t="e">
        <f t="shared" ca="1" si="15"/>
        <v>#N/A</v>
      </c>
      <c r="H48" s="14" t="e">
        <f t="shared" ca="1" si="15"/>
        <v>#N/A</v>
      </c>
      <c r="I48" s="14" t="e">
        <f t="shared" ca="1" si="15"/>
        <v>#N/A</v>
      </c>
      <c r="J48" s="14" t="e">
        <f t="shared" ca="1" si="15"/>
        <v>#N/A</v>
      </c>
      <c r="K48" s="14" t="e">
        <f t="shared" ca="1" si="15"/>
        <v>#N/A</v>
      </c>
      <c r="L48" s="14" t="e">
        <f t="shared" ca="1" si="15"/>
        <v>#N/A</v>
      </c>
      <c r="M48" s="14" t="e">
        <f t="shared" ca="1" si="15"/>
        <v>#N/A</v>
      </c>
      <c r="N48" s="14" t="e">
        <f t="shared" ca="1" si="15"/>
        <v>#N/A</v>
      </c>
      <c r="O48" s="14" t="e">
        <f t="shared" ca="1" si="15"/>
        <v>#N/A</v>
      </c>
      <c r="P48" s="14" t="e">
        <f t="shared" ca="1" si="15"/>
        <v>#N/A</v>
      </c>
      <c r="Q48" s="14" t="e">
        <f t="shared" ca="1" si="15"/>
        <v>#N/A</v>
      </c>
      <c r="R48" s="14" t="e">
        <f t="shared" ca="1" si="15"/>
        <v>#N/A</v>
      </c>
      <c r="S48" s="14" t="e">
        <f t="shared" ca="1" si="15"/>
        <v>#N/A</v>
      </c>
      <c r="T48" s="14" t="e">
        <f t="shared" ca="1" si="15"/>
        <v>#N/A</v>
      </c>
      <c r="U48" s="14" t="e">
        <f t="shared" ca="1" si="15"/>
        <v>#N/A</v>
      </c>
      <c r="V48" s="14" t="e">
        <f t="shared" ca="1" si="15"/>
        <v>#N/A</v>
      </c>
      <c r="W48" s="14" t="e">
        <f t="shared" ca="1" si="15"/>
        <v>#N/A</v>
      </c>
      <c r="X48" s="14" t="e">
        <f t="shared" ca="1" si="15"/>
        <v>#N/A</v>
      </c>
      <c r="Y48" s="14" t="e">
        <f t="shared" ca="1" si="15"/>
        <v>#N/A</v>
      </c>
      <c r="Z48" s="14" t="e">
        <f t="shared" ca="1" si="15"/>
        <v>#N/A</v>
      </c>
      <c r="AA48" s="14" t="e">
        <f t="shared" ca="1" si="15"/>
        <v>#N/A</v>
      </c>
      <c r="AB48" s="14" t="e">
        <f t="shared" ca="1" si="15"/>
        <v>#N/A</v>
      </c>
      <c r="AC48" s="14" t="e">
        <f t="shared" ca="1" si="15"/>
        <v>#N/A</v>
      </c>
      <c r="AD48" s="14" t="e">
        <f t="shared" ca="1" si="15"/>
        <v>#N/A</v>
      </c>
      <c r="AE48" s="14" t="e">
        <f t="shared" ca="1" si="15"/>
        <v>#N/A</v>
      </c>
      <c r="AF48" s="14" t="e">
        <f t="shared" ca="1" si="15"/>
        <v>#N/A</v>
      </c>
      <c r="AG48" s="14" t="e">
        <f t="shared" ca="1" si="15"/>
        <v>#N/A</v>
      </c>
      <c r="AH48" s="14" t="e">
        <f t="shared" ca="1" si="15"/>
        <v>#N/A</v>
      </c>
      <c r="AI48" s="14" t="e">
        <f t="shared" ca="1" si="15"/>
        <v>#N/A</v>
      </c>
      <c r="AJ48" s="14" t="e">
        <f t="shared" ca="1" si="15"/>
        <v>#N/A</v>
      </c>
      <c r="AK48" s="14" t="e">
        <f t="shared" ca="1" si="15"/>
        <v>#N/A</v>
      </c>
      <c r="AL48" s="14" t="e">
        <f t="shared" ca="1" si="15"/>
        <v>#N/A</v>
      </c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  <c r="BH48" s="14"/>
      <c r="BI48" s="14"/>
      <c r="BJ48" s="14"/>
      <c r="BK48" s="14"/>
      <c r="BL48" s="14"/>
      <c r="BM48" s="14"/>
      <c r="BN48" s="14"/>
      <c r="BO48" s="14"/>
      <c r="BP48" s="14"/>
      <c r="BQ48" s="14"/>
      <c r="BR48" s="14"/>
      <c r="BS48" s="14"/>
    </row>
    <row r="49" spans="1:71" ht="21" customHeight="1" outlineLevel="1" thickBot="1" x14ac:dyDescent="0.4">
      <c r="A49" s="5">
        <f t="shared" si="12"/>
        <v>0</v>
      </c>
      <c r="B49" s="5">
        <f t="shared" si="12"/>
        <v>0</v>
      </c>
      <c r="C49" s="5">
        <f t="shared" si="12"/>
        <v>0</v>
      </c>
      <c r="D49" s="5">
        <f t="shared" si="12"/>
        <v>0</v>
      </c>
      <c r="E49" s="6">
        <f t="shared" si="12"/>
        <v>0</v>
      </c>
      <c r="F49" s="14" t="e">
        <f t="shared" ca="1" si="13"/>
        <v>#N/A</v>
      </c>
      <c r="G49" s="14" t="e">
        <f t="shared" ca="1" si="15"/>
        <v>#N/A</v>
      </c>
      <c r="H49" s="14" t="e">
        <f t="shared" ca="1" si="15"/>
        <v>#N/A</v>
      </c>
      <c r="I49" s="14" t="e">
        <f t="shared" ca="1" si="15"/>
        <v>#N/A</v>
      </c>
      <c r="J49" s="14" t="e">
        <f t="shared" ca="1" si="15"/>
        <v>#N/A</v>
      </c>
      <c r="K49" s="14" t="e">
        <f t="shared" ca="1" si="15"/>
        <v>#N/A</v>
      </c>
      <c r="L49" s="14" t="e">
        <f t="shared" ca="1" si="15"/>
        <v>#N/A</v>
      </c>
      <c r="M49" s="14" t="e">
        <f t="shared" ca="1" si="15"/>
        <v>#N/A</v>
      </c>
      <c r="N49" s="14" t="e">
        <f t="shared" ca="1" si="15"/>
        <v>#N/A</v>
      </c>
      <c r="O49" s="14" t="e">
        <f t="shared" ca="1" si="15"/>
        <v>#N/A</v>
      </c>
      <c r="P49" s="14" t="e">
        <f t="shared" ca="1" si="15"/>
        <v>#N/A</v>
      </c>
      <c r="Q49" s="14" t="e">
        <f t="shared" ca="1" si="15"/>
        <v>#N/A</v>
      </c>
      <c r="R49" s="14" t="e">
        <f t="shared" ca="1" si="15"/>
        <v>#N/A</v>
      </c>
      <c r="S49" s="14" t="e">
        <f t="shared" ca="1" si="15"/>
        <v>#N/A</v>
      </c>
      <c r="T49" s="14" t="e">
        <f t="shared" ca="1" si="15"/>
        <v>#N/A</v>
      </c>
      <c r="U49" s="14" t="e">
        <f t="shared" ca="1" si="15"/>
        <v>#N/A</v>
      </c>
      <c r="V49" s="14" t="e">
        <f t="shared" ca="1" si="15"/>
        <v>#N/A</v>
      </c>
      <c r="W49" s="14" t="e">
        <f t="shared" ca="1" si="15"/>
        <v>#N/A</v>
      </c>
      <c r="X49" s="14" t="e">
        <f t="shared" ca="1" si="15"/>
        <v>#N/A</v>
      </c>
      <c r="Y49" s="14" t="e">
        <f t="shared" ca="1" si="15"/>
        <v>#N/A</v>
      </c>
      <c r="Z49" s="14" t="e">
        <f t="shared" ca="1" si="15"/>
        <v>#N/A</v>
      </c>
      <c r="AA49" s="14" t="e">
        <f t="shared" ca="1" si="15"/>
        <v>#N/A</v>
      </c>
      <c r="AB49" s="14" t="e">
        <f t="shared" ca="1" si="15"/>
        <v>#N/A</v>
      </c>
      <c r="AC49" s="14" t="e">
        <f t="shared" ca="1" si="15"/>
        <v>#N/A</v>
      </c>
      <c r="AD49" s="14" t="e">
        <f t="shared" ca="1" si="15"/>
        <v>#N/A</v>
      </c>
      <c r="AE49" s="14" t="e">
        <f t="shared" ca="1" si="15"/>
        <v>#N/A</v>
      </c>
      <c r="AF49" s="14" t="e">
        <f t="shared" ca="1" si="15"/>
        <v>#N/A</v>
      </c>
      <c r="AG49" s="14" t="e">
        <f t="shared" ca="1" si="15"/>
        <v>#N/A</v>
      </c>
      <c r="AH49" s="14" t="e">
        <f t="shared" ca="1" si="15"/>
        <v>#N/A</v>
      </c>
      <c r="AI49" s="14" t="e">
        <f t="shared" ca="1" si="15"/>
        <v>#N/A</v>
      </c>
      <c r="AJ49" s="14" t="e">
        <f t="shared" ca="1" si="15"/>
        <v>#N/A</v>
      </c>
      <c r="AK49" s="14" t="e">
        <f t="shared" ca="1" si="15"/>
        <v>#N/A</v>
      </c>
      <c r="AL49" s="14" t="e">
        <f t="shared" ca="1" si="15"/>
        <v>#N/A</v>
      </c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14"/>
    </row>
    <row r="50" spans="1:71" ht="21" customHeight="1" outlineLevel="1" thickBot="1" x14ac:dyDescent="0.4">
      <c r="A50" s="5">
        <f t="shared" si="12"/>
        <v>0</v>
      </c>
      <c r="B50" s="5">
        <f t="shared" si="12"/>
        <v>0</v>
      </c>
      <c r="C50" s="5">
        <f t="shared" si="12"/>
        <v>0</v>
      </c>
      <c r="D50" s="5">
        <f t="shared" si="12"/>
        <v>0</v>
      </c>
      <c r="E50" s="6">
        <f t="shared" si="12"/>
        <v>0</v>
      </c>
      <c r="F50" s="14" t="e">
        <f t="shared" ca="1" si="13"/>
        <v>#N/A</v>
      </c>
      <c r="G50" s="14" t="e">
        <f t="shared" ca="1" si="15"/>
        <v>#N/A</v>
      </c>
      <c r="H50" s="14" t="e">
        <f t="shared" ca="1" si="15"/>
        <v>#N/A</v>
      </c>
      <c r="I50" s="14" t="e">
        <f t="shared" ca="1" si="15"/>
        <v>#N/A</v>
      </c>
      <c r="J50" s="14" t="e">
        <f t="shared" ca="1" si="15"/>
        <v>#N/A</v>
      </c>
      <c r="K50" s="14" t="e">
        <f t="shared" ca="1" si="15"/>
        <v>#N/A</v>
      </c>
      <c r="L50" s="14" t="e">
        <f t="shared" ca="1" si="15"/>
        <v>#N/A</v>
      </c>
      <c r="M50" s="14" t="e">
        <f t="shared" ca="1" si="15"/>
        <v>#N/A</v>
      </c>
      <c r="N50" s="14" t="e">
        <f t="shared" ca="1" si="15"/>
        <v>#N/A</v>
      </c>
      <c r="O50" s="14" t="e">
        <f t="shared" ca="1" si="15"/>
        <v>#N/A</v>
      </c>
      <c r="P50" s="14" t="e">
        <f t="shared" ca="1" si="15"/>
        <v>#N/A</v>
      </c>
      <c r="Q50" s="14" t="e">
        <f t="shared" ca="1" si="15"/>
        <v>#N/A</v>
      </c>
      <c r="R50" s="14" t="e">
        <f t="shared" ca="1" si="15"/>
        <v>#N/A</v>
      </c>
      <c r="S50" s="14" t="e">
        <f t="shared" ca="1" si="15"/>
        <v>#N/A</v>
      </c>
      <c r="T50" s="14" t="e">
        <f t="shared" ca="1" si="15"/>
        <v>#N/A</v>
      </c>
      <c r="U50" s="14" t="e">
        <f t="shared" ca="1" si="15"/>
        <v>#N/A</v>
      </c>
      <c r="V50" s="14" t="e">
        <f t="shared" ca="1" si="15"/>
        <v>#N/A</v>
      </c>
      <c r="W50" s="14" t="e">
        <f t="shared" ca="1" si="15"/>
        <v>#N/A</v>
      </c>
      <c r="X50" s="14" t="e">
        <f t="shared" ca="1" si="15"/>
        <v>#N/A</v>
      </c>
      <c r="Y50" s="14" t="e">
        <f t="shared" ca="1" si="15"/>
        <v>#N/A</v>
      </c>
      <c r="Z50" s="14" t="e">
        <f t="shared" ca="1" si="15"/>
        <v>#N/A</v>
      </c>
      <c r="AA50" s="14" t="e">
        <f t="shared" ca="1" si="15"/>
        <v>#N/A</v>
      </c>
      <c r="AB50" s="14" t="e">
        <f t="shared" ca="1" si="15"/>
        <v>#N/A</v>
      </c>
      <c r="AC50" s="14" t="e">
        <f t="shared" ca="1" si="15"/>
        <v>#N/A</v>
      </c>
      <c r="AD50" s="14" t="e">
        <f t="shared" ca="1" si="15"/>
        <v>#N/A</v>
      </c>
      <c r="AE50" s="14" t="e">
        <f t="shared" ca="1" si="15"/>
        <v>#N/A</v>
      </c>
      <c r="AF50" s="14" t="e">
        <f t="shared" ca="1" si="15"/>
        <v>#N/A</v>
      </c>
      <c r="AG50" s="14" t="e">
        <f t="shared" ca="1" si="15"/>
        <v>#N/A</v>
      </c>
      <c r="AH50" s="14" t="e">
        <f t="shared" ca="1" si="15"/>
        <v>#N/A</v>
      </c>
      <c r="AI50" s="14" t="e">
        <f t="shared" ca="1" si="15"/>
        <v>#N/A</v>
      </c>
      <c r="AJ50" s="14" t="e">
        <f t="shared" ca="1" si="15"/>
        <v>#N/A</v>
      </c>
      <c r="AK50" s="14" t="e">
        <f t="shared" ca="1" si="15"/>
        <v>#N/A</v>
      </c>
      <c r="AL50" s="14" t="e">
        <f t="shared" ca="1" si="15"/>
        <v>#N/A</v>
      </c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</row>
    <row r="51" spans="1:71" ht="21" customHeight="1" outlineLevel="1" thickBot="1" x14ac:dyDescent="0.4">
      <c r="A51" s="5">
        <f t="shared" si="12"/>
        <v>0</v>
      </c>
      <c r="B51" s="5">
        <f t="shared" si="12"/>
        <v>0</v>
      </c>
      <c r="C51" s="5">
        <f t="shared" si="12"/>
        <v>0</v>
      </c>
      <c r="D51" s="5">
        <f t="shared" si="12"/>
        <v>0</v>
      </c>
      <c r="E51" s="6">
        <f t="shared" si="12"/>
        <v>0</v>
      </c>
      <c r="F51" s="14" t="e">
        <f t="shared" ca="1" si="13"/>
        <v>#N/A</v>
      </c>
      <c r="G51" s="14" t="e">
        <f t="shared" ca="1" si="15"/>
        <v>#N/A</v>
      </c>
      <c r="H51" s="14" t="e">
        <f t="shared" ca="1" si="15"/>
        <v>#N/A</v>
      </c>
      <c r="I51" s="14" t="e">
        <f t="shared" ca="1" si="15"/>
        <v>#N/A</v>
      </c>
      <c r="J51" s="14" t="e">
        <f t="shared" ca="1" si="15"/>
        <v>#N/A</v>
      </c>
      <c r="K51" s="14" t="e">
        <f t="shared" ca="1" si="15"/>
        <v>#N/A</v>
      </c>
      <c r="L51" s="14" t="e">
        <f t="shared" ca="1" si="15"/>
        <v>#N/A</v>
      </c>
      <c r="M51" s="14" t="e">
        <f t="shared" ca="1" si="15"/>
        <v>#N/A</v>
      </c>
      <c r="N51" s="14" t="e">
        <f t="shared" ca="1" si="15"/>
        <v>#N/A</v>
      </c>
      <c r="O51" s="14" t="e">
        <f t="shared" ca="1" si="15"/>
        <v>#N/A</v>
      </c>
      <c r="P51" s="14" t="e">
        <f t="shared" ca="1" si="15"/>
        <v>#N/A</v>
      </c>
      <c r="Q51" s="14" t="e">
        <f t="shared" ca="1" si="15"/>
        <v>#N/A</v>
      </c>
      <c r="R51" s="14" t="e">
        <f t="shared" ca="1" si="15"/>
        <v>#N/A</v>
      </c>
      <c r="S51" s="14" t="e">
        <f t="shared" ca="1" si="15"/>
        <v>#N/A</v>
      </c>
      <c r="T51" s="14" t="e">
        <f t="shared" ca="1" si="15"/>
        <v>#N/A</v>
      </c>
      <c r="U51" s="14" t="e">
        <f t="shared" ca="1" si="15"/>
        <v>#N/A</v>
      </c>
      <c r="V51" s="14" t="e">
        <f t="shared" ca="1" si="15"/>
        <v>#N/A</v>
      </c>
      <c r="W51" s="14" t="e">
        <f t="shared" ca="1" si="15"/>
        <v>#N/A</v>
      </c>
      <c r="X51" s="14" t="e">
        <f t="shared" ca="1" si="15"/>
        <v>#N/A</v>
      </c>
      <c r="Y51" s="14" t="e">
        <f t="shared" ca="1" si="15"/>
        <v>#N/A</v>
      </c>
      <c r="Z51" s="14" t="e">
        <f t="shared" ca="1" si="15"/>
        <v>#N/A</v>
      </c>
      <c r="AA51" s="14" t="e">
        <f t="shared" ca="1" si="15"/>
        <v>#N/A</v>
      </c>
      <c r="AB51" s="14" t="e">
        <f t="shared" ca="1" si="15"/>
        <v>#N/A</v>
      </c>
      <c r="AC51" s="14" t="e">
        <f t="shared" ca="1" si="15"/>
        <v>#N/A</v>
      </c>
      <c r="AD51" s="14" t="e">
        <f t="shared" ca="1" si="15"/>
        <v>#N/A</v>
      </c>
      <c r="AE51" s="14" t="e">
        <f t="shared" ca="1" si="15"/>
        <v>#N/A</v>
      </c>
      <c r="AF51" s="14" t="e">
        <f t="shared" ca="1" si="15"/>
        <v>#N/A</v>
      </c>
      <c r="AG51" s="14" t="e">
        <f t="shared" ca="1" si="15"/>
        <v>#N/A</v>
      </c>
      <c r="AH51" s="14" t="e">
        <f t="shared" ca="1" si="15"/>
        <v>#N/A</v>
      </c>
      <c r="AI51" s="14" t="e">
        <f t="shared" ca="1" si="15"/>
        <v>#N/A</v>
      </c>
      <c r="AJ51" s="14" t="e">
        <f t="shared" ca="1" si="15"/>
        <v>#N/A</v>
      </c>
      <c r="AK51" s="14" t="e">
        <f t="shared" ca="1" si="15"/>
        <v>#N/A</v>
      </c>
      <c r="AL51" s="14" t="e">
        <f t="shared" ca="1" si="15"/>
        <v>#N/A</v>
      </c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</row>
    <row r="52" spans="1:71" ht="21" customHeight="1" outlineLevel="1" thickBot="1" x14ac:dyDescent="0.4">
      <c r="A52" s="5">
        <f t="shared" si="12"/>
        <v>0</v>
      </c>
      <c r="B52" s="5">
        <f t="shared" si="12"/>
        <v>0</v>
      </c>
      <c r="C52" s="5">
        <f t="shared" si="12"/>
        <v>0</v>
      </c>
      <c r="D52" s="5">
        <f t="shared" si="12"/>
        <v>0</v>
      </c>
      <c r="E52" s="6">
        <f t="shared" si="12"/>
        <v>0</v>
      </c>
      <c r="F52" s="14" t="e">
        <f t="shared" ca="1" si="13"/>
        <v>#N/A</v>
      </c>
      <c r="G52" s="14" t="e">
        <f t="shared" ca="1" si="15"/>
        <v>#N/A</v>
      </c>
      <c r="H52" s="14" t="e">
        <f t="shared" ca="1" si="15"/>
        <v>#N/A</v>
      </c>
      <c r="I52" s="14" t="e">
        <f t="shared" ca="1" si="15"/>
        <v>#N/A</v>
      </c>
      <c r="J52" s="14" t="e">
        <f t="shared" ca="1" si="15"/>
        <v>#N/A</v>
      </c>
      <c r="K52" s="14" t="e">
        <f t="shared" ca="1" si="15"/>
        <v>#N/A</v>
      </c>
      <c r="L52" s="14" t="e">
        <f t="shared" ca="1" si="15"/>
        <v>#N/A</v>
      </c>
      <c r="M52" s="14" t="e">
        <f t="shared" ca="1" si="15"/>
        <v>#N/A</v>
      </c>
      <c r="N52" s="14" t="e">
        <f t="shared" ca="1" si="15"/>
        <v>#N/A</v>
      </c>
      <c r="O52" s="14" t="e">
        <f t="shared" ca="1" si="15"/>
        <v>#N/A</v>
      </c>
      <c r="P52" s="14" t="e">
        <f t="shared" ca="1" si="15"/>
        <v>#N/A</v>
      </c>
      <c r="Q52" s="14" t="e">
        <f t="shared" ca="1" si="15"/>
        <v>#N/A</v>
      </c>
      <c r="R52" s="14" t="e">
        <f t="shared" ca="1" si="15"/>
        <v>#N/A</v>
      </c>
      <c r="S52" s="14" t="e">
        <f t="shared" ca="1" si="15"/>
        <v>#N/A</v>
      </c>
      <c r="T52" s="14" t="e">
        <f t="shared" ca="1" si="15"/>
        <v>#N/A</v>
      </c>
      <c r="U52" s="14" t="e">
        <f t="shared" ca="1" si="15"/>
        <v>#N/A</v>
      </c>
      <c r="V52" s="14" t="e">
        <f t="shared" ca="1" si="15"/>
        <v>#N/A</v>
      </c>
      <c r="W52" s="14" t="e">
        <f t="shared" ca="1" si="15"/>
        <v>#N/A</v>
      </c>
      <c r="X52" s="14" t="e">
        <f t="shared" ca="1" si="15"/>
        <v>#N/A</v>
      </c>
      <c r="Y52" s="14" t="e">
        <f t="shared" ca="1" si="15"/>
        <v>#N/A</v>
      </c>
      <c r="Z52" s="14" t="e">
        <f t="shared" ca="1" si="15"/>
        <v>#N/A</v>
      </c>
      <c r="AA52" s="14" t="e">
        <f t="shared" ca="1" si="15"/>
        <v>#N/A</v>
      </c>
      <c r="AB52" s="14" t="e">
        <f t="shared" ca="1" si="15"/>
        <v>#N/A</v>
      </c>
      <c r="AC52" s="14" t="e">
        <f t="shared" ca="1" si="15"/>
        <v>#N/A</v>
      </c>
      <c r="AD52" s="14" t="e">
        <f t="shared" ca="1" si="15"/>
        <v>#N/A</v>
      </c>
      <c r="AE52" s="14" t="e">
        <f t="shared" ca="1" si="15"/>
        <v>#N/A</v>
      </c>
      <c r="AF52" s="14" t="e">
        <f t="shared" ca="1" si="15"/>
        <v>#N/A</v>
      </c>
      <c r="AG52" s="14" t="e">
        <f t="shared" ca="1" si="15"/>
        <v>#N/A</v>
      </c>
      <c r="AH52" s="14" t="e">
        <f t="shared" ca="1" si="15"/>
        <v>#N/A</v>
      </c>
      <c r="AI52" s="14" t="e">
        <f t="shared" ca="1" si="15"/>
        <v>#N/A</v>
      </c>
      <c r="AJ52" s="14" t="e">
        <f t="shared" ca="1" si="15"/>
        <v>#N/A</v>
      </c>
      <c r="AK52" s="14" t="e">
        <f t="shared" ca="1" si="15"/>
        <v>#N/A</v>
      </c>
      <c r="AL52" s="14" t="e">
        <f t="shared" ca="1" si="15"/>
        <v>#N/A</v>
      </c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</row>
    <row r="53" spans="1:71" ht="21" customHeight="1" outlineLevel="1" thickBot="1" x14ac:dyDescent="0.4">
      <c r="A53" s="5">
        <f t="shared" si="12"/>
        <v>0</v>
      </c>
      <c r="B53" s="5">
        <f t="shared" si="12"/>
        <v>0</v>
      </c>
      <c r="C53" s="5">
        <f t="shared" si="12"/>
        <v>0</v>
      </c>
      <c r="D53" s="5">
        <f t="shared" si="12"/>
        <v>0</v>
      </c>
      <c r="E53" s="6">
        <f t="shared" si="12"/>
        <v>0</v>
      </c>
      <c r="F53" s="14" t="e">
        <f t="shared" ca="1" si="13"/>
        <v>#N/A</v>
      </c>
      <c r="G53" s="14" t="e">
        <f t="shared" ca="1" si="15"/>
        <v>#N/A</v>
      </c>
      <c r="H53" s="14" t="e">
        <f t="shared" ca="1" si="15"/>
        <v>#N/A</v>
      </c>
      <c r="I53" s="14" t="e">
        <f t="shared" ca="1" si="15"/>
        <v>#N/A</v>
      </c>
      <c r="J53" s="14" t="e">
        <f t="shared" ca="1" si="15"/>
        <v>#N/A</v>
      </c>
      <c r="K53" s="14" t="e">
        <f t="shared" ca="1" si="15"/>
        <v>#N/A</v>
      </c>
      <c r="L53" s="14" t="e">
        <f t="shared" ca="1" si="15"/>
        <v>#N/A</v>
      </c>
      <c r="M53" s="14" t="e">
        <f t="shared" ca="1" si="15"/>
        <v>#N/A</v>
      </c>
      <c r="N53" s="14" t="e">
        <f t="shared" ca="1" si="15"/>
        <v>#N/A</v>
      </c>
      <c r="O53" s="14" t="e">
        <f t="shared" ca="1" si="15"/>
        <v>#N/A</v>
      </c>
      <c r="P53" s="14" t="e">
        <f t="shared" ca="1" si="15"/>
        <v>#N/A</v>
      </c>
      <c r="Q53" s="14" t="e">
        <f t="shared" ca="1" si="15"/>
        <v>#N/A</v>
      </c>
      <c r="R53" s="14" t="e">
        <f t="shared" ca="1" si="15"/>
        <v>#N/A</v>
      </c>
      <c r="S53" s="14" t="e">
        <f t="shared" ca="1" si="15"/>
        <v>#N/A</v>
      </c>
      <c r="T53" s="14" t="e">
        <f t="shared" ca="1" si="15"/>
        <v>#N/A</v>
      </c>
      <c r="U53" s="14" t="e">
        <f t="shared" ca="1" si="15"/>
        <v>#N/A</v>
      </c>
      <c r="V53" s="14" t="e">
        <f t="shared" ca="1" si="15"/>
        <v>#N/A</v>
      </c>
      <c r="W53" s="14" t="e">
        <f t="shared" ca="1" si="15"/>
        <v>#N/A</v>
      </c>
      <c r="X53" s="14" t="e">
        <f t="shared" ca="1" si="15"/>
        <v>#N/A</v>
      </c>
      <c r="Y53" s="14" t="e">
        <f t="shared" ca="1" si="15"/>
        <v>#N/A</v>
      </c>
      <c r="Z53" s="14" t="e">
        <f t="shared" ca="1" si="15"/>
        <v>#N/A</v>
      </c>
      <c r="AA53" s="14" t="e">
        <f t="shared" ca="1" si="15"/>
        <v>#N/A</v>
      </c>
      <c r="AB53" s="14" t="e">
        <f t="shared" ca="1" si="15"/>
        <v>#N/A</v>
      </c>
      <c r="AC53" s="14" t="e">
        <f t="shared" ca="1" si="15"/>
        <v>#N/A</v>
      </c>
      <c r="AD53" s="14" t="e">
        <f t="shared" ca="1" si="15"/>
        <v>#N/A</v>
      </c>
      <c r="AE53" s="14" t="e">
        <f t="shared" ca="1" si="15"/>
        <v>#N/A</v>
      </c>
      <c r="AF53" s="14" t="e">
        <f t="shared" ca="1" si="15"/>
        <v>#N/A</v>
      </c>
      <c r="AG53" s="14" t="e">
        <f t="shared" ca="1" si="15"/>
        <v>#N/A</v>
      </c>
      <c r="AH53" s="14" t="e">
        <f t="shared" ca="1" si="15"/>
        <v>#N/A</v>
      </c>
      <c r="AI53" s="14" t="e">
        <f t="shared" ca="1" si="15"/>
        <v>#N/A</v>
      </c>
      <c r="AJ53" s="14" t="e">
        <f t="shared" ca="1" si="15"/>
        <v>#N/A</v>
      </c>
      <c r="AK53" s="14" t="e">
        <f t="shared" ca="1" si="15"/>
        <v>#N/A</v>
      </c>
      <c r="AL53" s="14" t="e">
        <f t="shared" ca="1" si="15"/>
        <v>#N/A</v>
      </c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14"/>
      <c r="BR53" s="14"/>
      <c r="BS53" s="14"/>
    </row>
    <row r="54" spans="1:71" ht="21" customHeight="1" outlineLevel="1" thickBot="1" x14ac:dyDescent="0.4">
      <c r="A54" s="5">
        <f t="shared" si="12"/>
        <v>0</v>
      </c>
      <c r="B54" s="5">
        <f t="shared" si="12"/>
        <v>0</v>
      </c>
      <c r="C54" s="5">
        <f t="shared" si="12"/>
        <v>0</v>
      </c>
      <c r="D54" s="5">
        <f t="shared" si="12"/>
        <v>0</v>
      </c>
      <c r="E54" s="6">
        <f t="shared" si="12"/>
        <v>0</v>
      </c>
      <c r="F54" s="14" t="e">
        <f t="shared" ca="1" si="13"/>
        <v>#N/A</v>
      </c>
      <c r="G54" s="14" t="e">
        <f t="shared" ca="1" si="15"/>
        <v>#N/A</v>
      </c>
      <c r="H54" s="14" t="e">
        <f t="shared" ca="1" si="15"/>
        <v>#N/A</v>
      </c>
      <c r="I54" s="14" t="e">
        <f t="shared" ca="1" si="15"/>
        <v>#N/A</v>
      </c>
      <c r="J54" s="14" t="e">
        <f t="shared" ca="1" si="15"/>
        <v>#N/A</v>
      </c>
      <c r="K54" s="14" t="e">
        <f t="shared" ca="1" si="15"/>
        <v>#N/A</v>
      </c>
      <c r="L54" s="14" t="e">
        <f t="shared" ca="1" si="15"/>
        <v>#N/A</v>
      </c>
      <c r="M54" s="14" t="e">
        <f t="shared" ca="1" si="15"/>
        <v>#N/A</v>
      </c>
      <c r="N54" s="14" t="e">
        <f t="shared" ca="1" si="15"/>
        <v>#N/A</v>
      </c>
      <c r="O54" s="14" t="e">
        <f t="shared" ca="1" si="15"/>
        <v>#N/A</v>
      </c>
      <c r="P54" s="14" t="e">
        <f t="shared" ca="1" si="15"/>
        <v>#N/A</v>
      </c>
      <c r="Q54" s="14" t="e">
        <f t="shared" ca="1" si="15"/>
        <v>#N/A</v>
      </c>
      <c r="R54" s="14" t="e">
        <f t="shared" ca="1" si="15"/>
        <v>#N/A</v>
      </c>
      <c r="S54" s="14" t="e">
        <f t="shared" ca="1" si="15"/>
        <v>#N/A</v>
      </c>
      <c r="T54" s="14" t="e">
        <f t="shared" ca="1" si="15"/>
        <v>#N/A</v>
      </c>
      <c r="U54" s="14" t="e">
        <f t="shared" ref="U54:AL54" ca="1" si="16">$A54*H.Ar + $B54*H.Se + $C54*H.Ge + $D54*H.Ga</f>
        <v>#N/A</v>
      </c>
      <c r="V54" s="14" t="e">
        <f t="shared" ca="1" si="16"/>
        <v>#N/A</v>
      </c>
      <c r="W54" s="14" t="e">
        <f t="shared" ca="1" si="16"/>
        <v>#N/A</v>
      </c>
      <c r="X54" s="14" t="e">
        <f t="shared" ca="1" si="16"/>
        <v>#N/A</v>
      </c>
      <c r="Y54" s="14" t="e">
        <f t="shared" ca="1" si="16"/>
        <v>#N/A</v>
      </c>
      <c r="Z54" s="14" t="e">
        <f t="shared" ca="1" si="16"/>
        <v>#N/A</v>
      </c>
      <c r="AA54" s="14" t="e">
        <f t="shared" ca="1" si="16"/>
        <v>#N/A</v>
      </c>
      <c r="AB54" s="14" t="e">
        <f t="shared" ca="1" si="16"/>
        <v>#N/A</v>
      </c>
      <c r="AC54" s="14" t="e">
        <f t="shared" ca="1" si="16"/>
        <v>#N/A</v>
      </c>
      <c r="AD54" s="14" t="e">
        <f t="shared" ca="1" si="16"/>
        <v>#N/A</v>
      </c>
      <c r="AE54" s="14" t="e">
        <f t="shared" ca="1" si="16"/>
        <v>#N/A</v>
      </c>
      <c r="AF54" s="14" t="e">
        <f t="shared" ca="1" si="16"/>
        <v>#N/A</v>
      </c>
      <c r="AG54" s="14" t="e">
        <f t="shared" ca="1" si="16"/>
        <v>#N/A</v>
      </c>
      <c r="AH54" s="14" t="e">
        <f t="shared" ca="1" si="16"/>
        <v>#N/A</v>
      </c>
      <c r="AI54" s="14" t="e">
        <f t="shared" ca="1" si="16"/>
        <v>#N/A</v>
      </c>
      <c r="AJ54" s="14" t="e">
        <f t="shared" ca="1" si="16"/>
        <v>#N/A</v>
      </c>
      <c r="AK54" s="14" t="e">
        <f t="shared" ca="1" si="16"/>
        <v>#N/A</v>
      </c>
      <c r="AL54" s="14" t="e">
        <f t="shared" ca="1" si="16"/>
        <v>#N/A</v>
      </c>
      <c r="AM54" s="14"/>
      <c r="AN54" s="14"/>
      <c r="AO54" s="14"/>
      <c r="AP54" s="14"/>
      <c r="AQ54" s="14"/>
      <c r="AR54" s="14"/>
      <c r="AS54" s="14"/>
      <c r="AT54" s="14"/>
      <c r="AU54" s="14"/>
      <c r="AV54" s="14"/>
      <c r="AW54" s="14"/>
      <c r="AX54" s="14"/>
      <c r="AY54" s="14"/>
      <c r="AZ54" s="14"/>
      <c r="BA54" s="14"/>
      <c r="BB54" s="14"/>
      <c r="BC54" s="14"/>
      <c r="BD54" s="14"/>
      <c r="BE54" s="14"/>
      <c r="BF54" s="14"/>
      <c r="BG54" s="14"/>
      <c r="BH54" s="14"/>
      <c r="BI54" s="14"/>
      <c r="BJ54" s="14"/>
      <c r="BK54" s="14"/>
      <c r="BL54" s="14"/>
      <c r="BM54" s="14"/>
      <c r="BN54" s="14"/>
      <c r="BO54" s="14"/>
      <c r="BP54" s="14"/>
      <c r="BQ54" s="14"/>
      <c r="BR54" s="14"/>
      <c r="BS54" s="14"/>
    </row>
    <row r="55" spans="1:71" ht="21" customHeight="1" outlineLevel="1" thickBot="1" x14ac:dyDescent="0.4">
      <c r="A55" s="5">
        <f t="shared" si="12"/>
        <v>0</v>
      </c>
      <c r="B55" s="5">
        <f t="shared" si="12"/>
        <v>0</v>
      </c>
      <c r="C55" s="5">
        <f t="shared" si="12"/>
        <v>0</v>
      </c>
      <c r="D55" s="5">
        <f t="shared" si="12"/>
        <v>0</v>
      </c>
      <c r="E55" s="6">
        <f t="shared" si="12"/>
        <v>0</v>
      </c>
      <c r="F55" s="14" t="e">
        <f t="shared" ca="1" si="13"/>
        <v>#N/A</v>
      </c>
      <c r="G55" s="14" t="e">
        <f t="shared" ref="G55:AL62" ca="1" si="17">$A55*H.Ar + $B55*H.Se + $C55*H.Ge + $D55*H.Ga</f>
        <v>#N/A</v>
      </c>
      <c r="H55" s="14" t="e">
        <f t="shared" ca="1" si="17"/>
        <v>#N/A</v>
      </c>
      <c r="I55" s="14" t="e">
        <f t="shared" ca="1" si="17"/>
        <v>#N/A</v>
      </c>
      <c r="J55" s="14" t="e">
        <f t="shared" ca="1" si="17"/>
        <v>#N/A</v>
      </c>
      <c r="K55" s="14" t="e">
        <f t="shared" ca="1" si="17"/>
        <v>#N/A</v>
      </c>
      <c r="L55" s="14" t="e">
        <f t="shared" ca="1" si="17"/>
        <v>#N/A</v>
      </c>
      <c r="M55" s="14" t="e">
        <f t="shared" ca="1" si="17"/>
        <v>#N/A</v>
      </c>
      <c r="N55" s="14" t="e">
        <f t="shared" ca="1" si="17"/>
        <v>#N/A</v>
      </c>
      <c r="O55" s="14" t="e">
        <f t="shared" ca="1" si="17"/>
        <v>#N/A</v>
      </c>
      <c r="P55" s="14" t="e">
        <f t="shared" ca="1" si="17"/>
        <v>#N/A</v>
      </c>
      <c r="Q55" s="14" t="e">
        <f t="shared" ca="1" si="17"/>
        <v>#N/A</v>
      </c>
      <c r="R55" s="14" t="e">
        <f t="shared" ca="1" si="17"/>
        <v>#N/A</v>
      </c>
      <c r="S55" s="14" t="e">
        <f t="shared" ca="1" si="17"/>
        <v>#N/A</v>
      </c>
      <c r="T55" s="14" t="e">
        <f t="shared" ca="1" si="17"/>
        <v>#N/A</v>
      </c>
      <c r="U55" s="14" t="e">
        <f t="shared" ca="1" si="17"/>
        <v>#N/A</v>
      </c>
      <c r="V55" s="14" t="e">
        <f t="shared" ca="1" si="17"/>
        <v>#N/A</v>
      </c>
      <c r="W55" s="14" t="e">
        <f t="shared" ca="1" si="17"/>
        <v>#N/A</v>
      </c>
      <c r="X55" s="14" t="e">
        <f t="shared" ca="1" si="17"/>
        <v>#N/A</v>
      </c>
      <c r="Y55" s="14" t="e">
        <f t="shared" ca="1" si="17"/>
        <v>#N/A</v>
      </c>
      <c r="Z55" s="14" t="e">
        <f t="shared" ca="1" si="17"/>
        <v>#N/A</v>
      </c>
      <c r="AA55" s="14" t="e">
        <f t="shared" ca="1" si="17"/>
        <v>#N/A</v>
      </c>
      <c r="AB55" s="14" t="e">
        <f t="shared" ca="1" si="17"/>
        <v>#N/A</v>
      </c>
      <c r="AC55" s="14" t="e">
        <f t="shared" ca="1" si="17"/>
        <v>#N/A</v>
      </c>
      <c r="AD55" s="14" t="e">
        <f t="shared" ca="1" si="17"/>
        <v>#N/A</v>
      </c>
      <c r="AE55" s="14" t="e">
        <f t="shared" ca="1" si="17"/>
        <v>#N/A</v>
      </c>
      <c r="AF55" s="14" t="e">
        <f t="shared" ca="1" si="17"/>
        <v>#N/A</v>
      </c>
      <c r="AG55" s="14" t="e">
        <f t="shared" ca="1" si="17"/>
        <v>#N/A</v>
      </c>
      <c r="AH55" s="14" t="e">
        <f t="shared" ca="1" si="17"/>
        <v>#N/A</v>
      </c>
      <c r="AI55" s="14" t="e">
        <f t="shared" ca="1" si="17"/>
        <v>#N/A</v>
      </c>
      <c r="AJ55" s="14" t="e">
        <f t="shared" ca="1" si="17"/>
        <v>#N/A</v>
      </c>
      <c r="AK55" s="14" t="e">
        <f t="shared" ca="1" si="17"/>
        <v>#N/A</v>
      </c>
      <c r="AL55" s="14" t="e">
        <f t="shared" ca="1" si="17"/>
        <v>#N/A</v>
      </c>
      <c r="AM55" s="14"/>
      <c r="AN55" s="14"/>
      <c r="AO55" s="14"/>
      <c r="AP55" s="14"/>
      <c r="AQ55" s="14"/>
      <c r="AR55" s="14"/>
      <c r="AS55" s="14"/>
      <c r="AT55" s="14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4"/>
      <c r="BH55" s="14"/>
      <c r="BI55" s="14"/>
      <c r="BJ55" s="14"/>
      <c r="BK55" s="14"/>
      <c r="BL55" s="14"/>
      <c r="BM55" s="14"/>
      <c r="BN55" s="14"/>
      <c r="BO55" s="14"/>
      <c r="BP55" s="14"/>
      <c r="BQ55" s="14"/>
      <c r="BR55" s="14"/>
      <c r="BS55" s="14"/>
    </row>
    <row r="56" spans="1:71" ht="21" customHeight="1" outlineLevel="1" thickBot="1" x14ac:dyDescent="0.4">
      <c r="A56" s="5">
        <f t="shared" ref="A56:E65" si="18">A14</f>
        <v>0</v>
      </c>
      <c r="B56" s="5">
        <f t="shared" si="18"/>
        <v>0</v>
      </c>
      <c r="C56" s="5">
        <f t="shared" si="18"/>
        <v>0</v>
      </c>
      <c r="D56" s="5">
        <f t="shared" si="18"/>
        <v>0</v>
      </c>
      <c r="E56" s="6">
        <f t="shared" si="18"/>
        <v>0</v>
      </c>
      <c r="F56" s="14" t="e">
        <f t="shared" ref="F56:U65" ca="1" si="19">$A56*H.Ar + $B56*H.Se + $C56*H.Ge + $D56*H.Ga</f>
        <v>#N/A</v>
      </c>
      <c r="G56" s="14" t="e">
        <f t="shared" ca="1" si="19"/>
        <v>#N/A</v>
      </c>
      <c r="H56" s="14" t="e">
        <f t="shared" ca="1" si="19"/>
        <v>#N/A</v>
      </c>
      <c r="I56" s="14" t="e">
        <f t="shared" ca="1" si="19"/>
        <v>#N/A</v>
      </c>
      <c r="J56" s="14" t="e">
        <f t="shared" ca="1" si="19"/>
        <v>#N/A</v>
      </c>
      <c r="K56" s="14" t="e">
        <f t="shared" ca="1" si="19"/>
        <v>#N/A</v>
      </c>
      <c r="L56" s="14" t="e">
        <f t="shared" ca="1" si="19"/>
        <v>#N/A</v>
      </c>
      <c r="M56" s="14" t="e">
        <f t="shared" ca="1" si="19"/>
        <v>#N/A</v>
      </c>
      <c r="N56" s="14" t="e">
        <f t="shared" ca="1" si="19"/>
        <v>#N/A</v>
      </c>
      <c r="O56" s="14" t="e">
        <f t="shared" ca="1" si="19"/>
        <v>#N/A</v>
      </c>
      <c r="P56" s="14" t="e">
        <f t="shared" ca="1" si="19"/>
        <v>#N/A</v>
      </c>
      <c r="Q56" s="14" t="e">
        <f t="shared" ca="1" si="19"/>
        <v>#N/A</v>
      </c>
      <c r="R56" s="14" t="e">
        <f t="shared" ca="1" si="19"/>
        <v>#N/A</v>
      </c>
      <c r="S56" s="14" t="e">
        <f t="shared" ca="1" si="19"/>
        <v>#N/A</v>
      </c>
      <c r="T56" s="14" t="e">
        <f t="shared" ca="1" si="19"/>
        <v>#N/A</v>
      </c>
      <c r="U56" s="14" t="e">
        <f t="shared" ca="1" si="19"/>
        <v>#N/A</v>
      </c>
      <c r="V56" s="14" t="e">
        <f t="shared" ca="1" si="17"/>
        <v>#N/A</v>
      </c>
      <c r="W56" s="14" t="e">
        <f t="shared" ca="1" si="17"/>
        <v>#N/A</v>
      </c>
      <c r="X56" s="14" t="e">
        <f t="shared" ca="1" si="17"/>
        <v>#N/A</v>
      </c>
      <c r="Y56" s="14" t="e">
        <f t="shared" ca="1" si="17"/>
        <v>#N/A</v>
      </c>
      <c r="Z56" s="14" t="e">
        <f t="shared" ca="1" si="17"/>
        <v>#N/A</v>
      </c>
      <c r="AA56" s="14" t="e">
        <f t="shared" ca="1" si="17"/>
        <v>#N/A</v>
      </c>
      <c r="AB56" s="14" t="e">
        <f t="shared" ca="1" si="17"/>
        <v>#N/A</v>
      </c>
      <c r="AC56" s="14" t="e">
        <f t="shared" ca="1" si="17"/>
        <v>#N/A</v>
      </c>
      <c r="AD56" s="14" t="e">
        <f t="shared" ca="1" si="17"/>
        <v>#N/A</v>
      </c>
      <c r="AE56" s="14" t="e">
        <f t="shared" ca="1" si="17"/>
        <v>#N/A</v>
      </c>
      <c r="AF56" s="14" t="e">
        <f t="shared" ca="1" si="17"/>
        <v>#N/A</v>
      </c>
      <c r="AG56" s="14" t="e">
        <f t="shared" ca="1" si="17"/>
        <v>#N/A</v>
      </c>
      <c r="AH56" s="14" t="e">
        <f t="shared" ca="1" si="17"/>
        <v>#N/A</v>
      </c>
      <c r="AI56" s="14" t="e">
        <f t="shared" ca="1" si="17"/>
        <v>#N/A</v>
      </c>
      <c r="AJ56" s="14" t="e">
        <f t="shared" ca="1" si="17"/>
        <v>#N/A</v>
      </c>
      <c r="AK56" s="14" t="e">
        <f t="shared" ca="1" si="17"/>
        <v>#N/A</v>
      </c>
      <c r="AL56" s="14" t="e">
        <f t="shared" ca="1" si="17"/>
        <v>#N/A</v>
      </c>
      <c r="AM56" s="14"/>
      <c r="AN56" s="14"/>
      <c r="AO56" s="14"/>
      <c r="AP56" s="14"/>
      <c r="AQ56" s="14"/>
      <c r="AR56" s="14"/>
      <c r="AS56" s="14"/>
      <c r="AT56" s="14"/>
      <c r="AU56" s="14"/>
      <c r="AV56" s="14"/>
      <c r="AW56" s="14"/>
      <c r="AX56" s="14"/>
      <c r="AY56" s="14"/>
      <c r="AZ56" s="14"/>
      <c r="BA56" s="14"/>
      <c r="BB56" s="14"/>
      <c r="BC56" s="14"/>
      <c r="BD56" s="14"/>
      <c r="BE56" s="14"/>
      <c r="BF56" s="14"/>
      <c r="BG56" s="14"/>
      <c r="BH56" s="14"/>
      <c r="BI56" s="14"/>
      <c r="BJ56" s="14"/>
      <c r="BK56" s="14"/>
      <c r="BL56" s="14"/>
      <c r="BM56" s="14"/>
      <c r="BN56" s="14"/>
      <c r="BO56" s="14"/>
      <c r="BP56" s="14"/>
      <c r="BQ56" s="14"/>
      <c r="BR56" s="14"/>
      <c r="BS56" s="14"/>
    </row>
    <row r="57" spans="1:71" ht="21" customHeight="1" outlineLevel="1" thickBot="1" x14ac:dyDescent="0.4">
      <c r="A57" s="5">
        <f t="shared" si="18"/>
        <v>0</v>
      </c>
      <c r="B57" s="5">
        <f t="shared" si="18"/>
        <v>0</v>
      </c>
      <c r="C57" s="5">
        <f t="shared" si="18"/>
        <v>0</v>
      </c>
      <c r="D57" s="5">
        <f t="shared" si="18"/>
        <v>0</v>
      </c>
      <c r="E57" s="6">
        <f t="shared" si="18"/>
        <v>0</v>
      </c>
      <c r="F57" s="14" t="e">
        <f t="shared" ca="1" si="19"/>
        <v>#N/A</v>
      </c>
      <c r="G57" s="14" t="e">
        <f t="shared" ca="1" si="17"/>
        <v>#N/A</v>
      </c>
      <c r="H57" s="14" t="e">
        <f t="shared" ca="1" si="17"/>
        <v>#N/A</v>
      </c>
      <c r="I57" s="14" t="e">
        <f t="shared" ca="1" si="17"/>
        <v>#N/A</v>
      </c>
      <c r="J57" s="14" t="e">
        <f t="shared" ca="1" si="17"/>
        <v>#N/A</v>
      </c>
      <c r="K57" s="14" t="e">
        <f t="shared" ca="1" si="17"/>
        <v>#N/A</v>
      </c>
      <c r="L57" s="14" t="e">
        <f t="shared" ca="1" si="17"/>
        <v>#N/A</v>
      </c>
      <c r="M57" s="14" t="e">
        <f t="shared" ca="1" si="17"/>
        <v>#N/A</v>
      </c>
      <c r="N57" s="14" t="e">
        <f t="shared" ca="1" si="17"/>
        <v>#N/A</v>
      </c>
      <c r="O57" s="14" t="e">
        <f t="shared" ca="1" si="17"/>
        <v>#N/A</v>
      </c>
      <c r="P57" s="14" t="e">
        <f t="shared" ca="1" si="17"/>
        <v>#N/A</v>
      </c>
      <c r="Q57" s="14" t="e">
        <f t="shared" ca="1" si="17"/>
        <v>#N/A</v>
      </c>
      <c r="R57" s="14" t="e">
        <f t="shared" ca="1" si="17"/>
        <v>#N/A</v>
      </c>
      <c r="S57" s="14" t="e">
        <f t="shared" ca="1" si="17"/>
        <v>#N/A</v>
      </c>
      <c r="T57" s="14" t="e">
        <f t="shared" ca="1" si="17"/>
        <v>#N/A</v>
      </c>
      <c r="U57" s="14" t="e">
        <f t="shared" ca="1" si="17"/>
        <v>#N/A</v>
      </c>
      <c r="V57" s="14" t="e">
        <f t="shared" ca="1" si="17"/>
        <v>#N/A</v>
      </c>
      <c r="W57" s="14" t="e">
        <f t="shared" ca="1" si="17"/>
        <v>#N/A</v>
      </c>
      <c r="X57" s="14" t="e">
        <f t="shared" ca="1" si="17"/>
        <v>#N/A</v>
      </c>
      <c r="Y57" s="14" t="e">
        <f t="shared" ca="1" si="17"/>
        <v>#N/A</v>
      </c>
      <c r="Z57" s="14" t="e">
        <f t="shared" ca="1" si="17"/>
        <v>#N/A</v>
      </c>
      <c r="AA57" s="14" t="e">
        <f t="shared" ca="1" si="17"/>
        <v>#N/A</v>
      </c>
      <c r="AB57" s="14" t="e">
        <f t="shared" ca="1" si="17"/>
        <v>#N/A</v>
      </c>
      <c r="AC57" s="14" t="e">
        <f t="shared" ca="1" si="17"/>
        <v>#N/A</v>
      </c>
      <c r="AD57" s="14" t="e">
        <f t="shared" ca="1" si="17"/>
        <v>#N/A</v>
      </c>
      <c r="AE57" s="14" t="e">
        <f t="shared" ca="1" si="17"/>
        <v>#N/A</v>
      </c>
      <c r="AF57" s="14" t="e">
        <f t="shared" ca="1" si="17"/>
        <v>#N/A</v>
      </c>
      <c r="AG57" s="14" t="e">
        <f t="shared" ca="1" si="17"/>
        <v>#N/A</v>
      </c>
      <c r="AH57" s="14" t="e">
        <f t="shared" ca="1" si="17"/>
        <v>#N/A</v>
      </c>
      <c r="AI57" s="14" t="e">
        <f t="shared" ca="1" si="17"/>
        <v>#N/A</v>
      </c>
      <c r="AJ57" s="14" t="e">
        <f t="shared" ca="1" si="17"/>
        <v>#N/A</v>
      </c>
      <c r="AK57" s="14" t="e">
        <f t="shared" ca="1" si="17"/>
        <v>#N/A</v>
      </c>
      <c r="AL57" s="14" t="e">
        <f t="shared" ca="1" si="17"/>
        <v>#N/A</v>
      </c>
      <c r="AM57" s="14"/>
      <c r="AN57" s="14"/>
      <c r="AO57" s="14"/>
      <c r="AP57" s="14"/>
      <c r="AQ57" s="14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4"/>
      <c r="BH57" s="14"/>
      <c r="BI57" s="14"/>
      <c r="BJ57" s="14"/>
      <c r="BK57" s="14"/>
      <c r="BL57" s="14"/>
      <c r="BM57" s="14"/>
      <c r="BN57" s="14"/>
      <c r="BO57" s="14"/>
      <c r="BP57" s="14"/>
      <c r="BQ57" s="14"/>
      <c r="BR57" s="14"/>
      <c r="BS57" s="14"/>
    </row>
    <row r="58" spans="1:71" ht="21" customHeight="1" outlineLevel="1" thickBot="1" x14ac:dyDescent="0.4">
      <c r="A58" s="5">
        <f t="shared" si="18"/>
        <v>0</v>
      </c>
      <c r="B58" s="5">
        <f t="shared" si="18"/>
        <v>0</v>
      </c>
      <c r="C58" s="5">
        <f t="shared" si="18"/>
        <v>0</v>
      </c>
      <c r="D58" s="5">
        <f t="shared" si="18"/>
        <v>0</v>
      </c>
      <c r="E58" s="6">
        <f t="shared" si="18"/>
        <v>0</v>
      </c>
      <c r="F58" s="14" t="e">
        <f t="shared" ca="1" si="19"/>
        <v>#N/A</v>
      </c>
      <c r="G58" s="14" t="e">
        <f t="shared" ca="1" si="17"/>
        <v>#N/A</v>
      </c>
      <c r="H58" s="14" t="e">
        <f t="shared" ca="1" si="17"/>
        <v>#N/A</v>
      </c>
      <c r="I58" s="14" t="e">
        <f t="shared" ca="1" si="17"/>
        <v>#N/A</v>
      </c>
      <c r="J58" s="14" t="e">
        <f t="shared" ca="1" si="17"/>
        <v>#N/A</v>
      </c>
      <c r="K58" s="14" t="e">
        <f t="shared" ca="1" si="17"/>
        <v>#N/A</v>
      </c>
      <c r="L58" s="14" t="e">
        <f t="shared" ca="1" si="17"/>
        <v>#N/A</v>
      </c>
      <c r="M58" s="14" t="e">
        <f t="shared" ca="1" si="17"/>
        <v>#N/A</v>
      </c>
      <c r="N58" s="14" t="e">
        <f t="shared" ca="1" si="17"/>
        <v>#N/A</v>
      </c>
      <c r="O58" s="14" t="e">
        <f t="shared" ca="1" si="17"/>
        <v>#N/A</v>
      </c>
      <c r="P58" s="14" t="e">
        <f t="shared" ca="1" si="17"/>
        <v>#N/A</v>
      </c>
      <c r="Q58" s="14" t="e">
        <f t="shared" ca="1" si="17"/>
        <v>#N/A</v>
      </c>
      <c r="R58" s="14" t="e">
        <f t="shared" ca="1" si="17"/>
        <v>#N/A</v>
      </c>
      <c r="S58" s="14" t="e">
        <f t="shared" ca="1" si="17"/>
        <v>#N/A</v>
      </c>
      <c r="T58" s="14" t="e">
        <f t="shared" ca="1" si="17"/>
        <v>#N/A</v>
      </c>
      <c r="U58" s="14" t="e">
        <f t="shared" ca="1" si="17"/>
        <v>#N/A</v>
      </c>
      <c r="V58" s="14" t="e">
        <f t="shared" ca="1" si="17"/>
        <v>#N/A</v>
      </c>
      <c r="W58" s="14" t="e">
        <f t="shared" ca="1" si="17"/>
        <v>#N/A</v>
      </c>
      <c r="X58" s="14" t="e">
        <f t="shared" ca="1" si="17"/>
        <v>#N/A</v>
      </c>
      <c r="Y58" s="14" t="e">
        <f t="shared" ca="1" si="17"/>
        <v>#N/A</v>
      </c>
      <c r="Z58" s="14" t="e">
        <f t="shared" ca="1" si="17"/>
        <v>#N/A</v>
      </c>
      <c r="AA58" s="14" t="e">
        <f t="shared" ca="1" si="17"/>
        <v>#N/A</v>
      </c>
      <c r="AB58" s="14" t="e">
        <f t="shared" ca="1" si="17"/>
        <v>#N/A</v>
      </c>
      <c r="AC58" s="14" t="e">
        <f t="shared" ca="1" si="17"/>
        <v>#N/A</v>
      </c>
      <c r="AD58" s="14" t="e">
        <f t="shared" ca="1" si="17"/>
        <v>#N/A</v>
      </c>
      <c r="AE58" s="14" t="e">
        <f t="shared" ca="1" si="17"/>
        <v>#N/A</v>
      </c>
      <c r="AF58" s="14" t="e">
        <f t="shared" ca="1" si="17"/>
        <v>#N/A</v>
      </c>
      <c r="AG58" s="14" t="e">
        <f t="shared" ca="1" si="17"/>
        <v>#N/A</v>
      </c>
      <c r="AH58" s="14" t="e">
        <f t="shared" ca="1" si="17"/>
        <v>#N/A</v>
      </c>
      <c r="AI58" s="14" t="e">
        <f t="shared" ca="1" si="17"/>
        <v>#N/A</v>
      </c>
      <c r="AJ58" s="14" t="e">
        <f t="shared" ca="1" si="17"/>
        <v>#N/A</v>
      </c>
      <c r="AK58" s="14" t="e">
        <f t="shared" ca="1" si="17"/>
        <v>#N/A</v>
      </c>
      <c r="AL58" s="14" t="e">
        <f t="shared" ca="1" si="17"/>
        <v>#N/A</v>
      </c>
      <c r="AM58" s="14"/>
      <c r="AN58" s="14"/>
      <c r="AO58" s="14"/>
      <c r="AP58" s="14"/>
      <c r="AQ58" s="14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/>
      <c r="BL58" s="14"/>
      <c r="BM58" s="14"/>
      <c r="BN58" s="14"/>
      <c r="BO58" s="14"/>
      <c r="BP58" s="14"/>
      <c r="BQ58" s="14"/>
      <c r="BR58" s="14"/>
      <c r="BS58" s="14"/>
    </row>
    <row r="59" spans="1:71" ht="21" customHeight="1" outlineLevel="1" thickBot="1" x14ac:dyDescent="0.4">
      <c r="A59" s="5">
        <f t="shared" si="18"/>
        <v>0</v>
      </c>
      <c r="B59" s="5">
        <f t="shared" si="18"/>
        <v>0</v>
      </c>
      <c r="C59" s="5">
        <f t="shared" si="18"/>
        <v>0</v>
      </c>
      <c r="D59" s="5">
        <f t="shared" si="18"/>
        <v>0</v>
      </c>
      <c r="E59" s="6">
        <f t="shared" si="18"/>
        <v>0</v>
      </c>
      <c r="F59" s="14" t="e">
        <f t="shared" ca="1" si="19"/>
        <v>#N/A</v>
      </c>
      <c r="G59" s="14" t="e">
        <f t="shared" ca="1" si="17"/>
        <v>#N/A</v>
      </c>
      <c r="H59" s="14" t="e">
        <f t="shared" ca="1" si="17"/>
        <v>#N/A</v>
      </c>
      <c r="I59" s="14" t="e">
        <f t="shared" ca="1" si="17"/>
        <v>#N/A</v>
      </c>
      <c r="J59" s="14" t="e">
        <f t="shared" ca="1" si="17"/>
        <v>#N/A</v>
      </c>
      <c r="K59" s="14" t="e">
        <f t="shared" ca="1" si="17"/>
        <v>#N/A</v>
      </c>
      <c r="L59" s="14" t="e">
        <f t="shared" ca="1" si="17"/>
        <v>#N/A</v>
      </c>
      <c r="M59" s="14" t="e">
        <f t="shared" ca="1" si="17"/>
        <v>#N/A</v>
      </c>
      <c r="N59" s="14" t="e">
        <f t="shared" ca="1" si="17"/>
        <v>#N/A</v>
      </c>
      <c r="O59" s="14" t="e">
        <f t="shared" ca="1" si="17"/>
        <v>#N/A</v>
      </c>
      <c r="P59" s="14" t="e">
        <f t="shared" ca="1" si="17"/>
        <v>#N/A</v>
      </c>
      <c r="Q59" s="14" t="e">
        <f t="shared" ca="1" si="17"/>
        <v>#N/A</v>
      </c>
      <c r="R59" s="14" t="e">
        <f t="shared" ca="1" si="17"/>
        <v>#N/A</v>
      </c>
      <c r="S59" s="14" t="e">
        <f t="shared" ca="1" si="17"/>
        <v>#N/A</v>
      </c>
      <c r="T59" s="14" t="e">
        <f t="shared" ca="1" si="17"/>
        <v>#N/A</v>
      </c>
      <c r="U59" s="14" t="e">
        <f t="shared" ca="1" si="17"/>
        <v>#N/A</v>
      </c>
      <c r="V59" s="14" t="e">
        <f t="shared" ca="1" si="17"/>
        <v>#N/A</v>
      </c>
      <c r="W59" s="14" t="e">
        <f t="shared" ca="1" si="17"/>
        <v>#N/A</v>
      </c>
      <c r="X59" s="14" t="e">
        <f t="shared" ca="1" si="17"/>
        <v>#N/A</v>
      </c>
      <c r="Y59" s="14" t="e">
        <f t="shared" ca="1" si="17"/>
        <v>#N/A</v>
      </c>
      <c r="Z59" s="14" t="e">
        <f t="shared" ca="1" si="17"/>
        <v>#N/A</v>
      </c>
      <c r="AA59" s="14" t="e">
        <f t="shared" ca="1" si="17"/>
        <v>#N/A</v>
      </c>
      <c r="AB59" s="14" t="e">
        <f t="shared" ca="1" si="17"/>
        <v>#N/A</v>
      </c>
      <c r="AC59" s="14" t="e">
        <f t="shared" ca="1" si="17"/>
        <v>#N/A</v>
      </c>
      <c r="AD59" s="14" t="e">
        <f t="shared" ca="1" si="17"/>
        <v>#N/A</v>
      </c>
      <c r="AE59" s="14" t="e">
        <f t="shared" ca="1" si="17"/>
        <v>#N/A</v>
      </c>
      <c r="AF59" s="14" t="e">
        <f t="shared" ca="1" si="17"/>
        <v>#N/A</v>
      </c>
      <c r="AG59" s="14" t="e">
        <f t="shared" ca="1" si="17"/>
        <v>#N/A</v>
      </c>
      <c r="AH59" s="14" t="e">
        <f t="shared" ca="1" si="17"/>
        <v>#N/A</v>
      </c>
      <c r="AI59" s="14" t="e">
        <f t="shared" ca="1" si="17"/>
        <v>#N/A</v>
      </c>
      <c r="AJ59" s="14" t="e">
        <f t="shared" ca="1" si="17"/>
        <v>#N/A</v>
      </c>
      <c r="AK59" s="14" t="e">
        <f t="shared" ca="1" si="17"/>
        <v>#N/A</v>
      </c>
      <c r="AL59" s="14" t="e">
        <f t="shared" ca="1" si="17"/>
        <v>#N/A</v>
      </c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</row>
    <row r="60" spans="1:71" ht="21" customHeight="1" outlineLevel="1" thickBot="1" x14ac:dyDescent="0.4">
      <c r="A60" s="5">
        <f t="shared" si="18"/>
        <v>0</v>
      </c>
      <c r="B60" s="5">
        <f t="shared" si="18"/>
        <v>0</v>
      </c>
      <c r="C60" s="5">
        <f t="shared" si="18"/>
        <v>0</v>
      </c>
      <c r="D60" s="5">
        <f t="shared" si="18"/>
        <v>0</v>
      </c>
      <c r="E60" s="6">
        <f t="shared" si="18"/>
        <v>0</v>
      </c>
      <c r="F60" s="14" t="e">
        <f t="shared" ca="1" si="19"/>
        <v>#N/A</v>
      </c>
      <c r="G60" s="14" t="e">
        <f t="shared" ca="1" si="17"/>
        <v>#N/A</v>
      </c>
      <c r="H60" s="14" t="e">
        <f t="shared" ca="1" si="17"/>
        <v>#N/A</v>
      </c>
      <c r="I60" s="14" t="e">
        <f t="shared" ca="1" si="17"/>
        <v>#N/A</v>
      </c>
      <c r="J60" s="14" t="e">
        <f t="shared" ca="1" si="17"/>
        <v>#N/A</v>
      </c>
      <c r="K60" s="14" t="e">
        <f t="shared" ca="1" si="17"/>
        <v>#N/A</v>
      </c>
      <c r="L60" s="14" t="e">
        <f t="shared" ca="1" si="17"/>
        <v>#N/A</v>
      </c>
      <c r="M60" s="14" t="e">
        <f t="shared" ca="1" si="17"/>
        <v>#N/A</v>
      </c>
      <c r="N60" s="14" t="e">
        <f t="shared" ca="1" si="17"/>
        <v>#N/A</v>
      </c>
      <c r="O60" s="14" t="e">
        <f t="shared" ca="1" si="17"/>
        <v>#N/A</v>
      </c>
      <c r="P60" s="14" t="e">
        <f t="shared" ca="1" si="17"/>
        <v>#N/A</v>
      </c>
      <c r="Q60" s="14" t="e">
        <f t="shared" ca="1" si="17"/>
        <v>#N/A</v>
      </c>
      <c r="R60" s="14" t="e">
        <f t="shared" ca="1" si="17"/>
        <v>#N/A</v>
      </c>
      <c r="S60" s="14" t="e">
        <f t="shared" ca="1" si="17"/>
        <v>#N/A</v>
      </c>
      <c r="T60" s="14" t="e">
        <f t="shared" ca="1" si="17"/>
        <v>#N/A</v>
      </c>
      <c r="U60" s="14" t="e">
        <f t="shared" ca="1" si="17"/>
        <v>#N/A</v>
      </c>
      <c r="V60" s="14" t="e">
        <f t="shared" ca="1" si="17"/>
        <v>#N/A</v>
      </c>
      <c r="W60" s="14" t="e">
        <f t="shared" ca="1" si="17"/>
        <v>#N/A</v>
      </c>
      <c r="X60" s="14" t="e">
        <f t="shared" ca="1" si="17"/>
        <v>#N/A</v>
      </c>
      <c r="Y60" s="14" t="e">
        <f t="shared" ca="1" si="17"/>
        <v>#N/A</v>
      </c>
      <c r="Z60" s="14" t="e">
        <f t="shared" ca="1" si="17"/>
        <v>#N/A</v>
      </c>
      <c r="AA60" s="14" t="e">
        <f t="shared" ca="1" si="17"/>
        <v>#N/A</v>
      </c>
      <c r="AB60" s="14" t="e">
        <f t="shared" ca="1" si="17"/>
        <v>#N/A</v>
      </c>
      <c r="AC60" s="14" t="e">
        <f t="shared" ca="1" si="17"/>
        <v>#N/A</v>
      </c>
      <c r="AD60" s="14" t="e">
        <f t="shared" ca="1" si="17"/>
        <v>#N/A</v>
      </c>
      <c r="AE60" s="14" t="e">
        <f t="shared" ca="1" si="17"/>
        <v>#N/A</v>
      </c>
      <c r="AF60" s="14" t="e">
        <f t="shared" ca="1" si="17"/>
        <v>#N/A</v>
      </c>
      <c r="AG60" s="14" t="e">
        <f t="shared" ca="1" si="17"/>
        <v>#N/A</v>
      </c>
      <c r="AH60" s="14" t="e">
        <f t="shared" ca="1" si="17"/>
        <v>#N/A</v>
      </c>
      <c r="AI60" s="14" t="e">
        <f t="shared" ca="1" si="17"/>
        <v>#N/A</v>
      </c>
      <c r="AJ60" s="14" t="e">
        <f t="shared" ca="1" si="17"/>
        <v>#N/A</v>
      </c>
      <c r="AK60" s="14" t="e">
        <f t="shared" ca="1" si="17"/>
        <v>#N/A</v>
      </c>
      <c r="AL60" s="14" t="e">
        <f t="shared" ca="1" si="17"/>
        <v>#N/A</v>
      </c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</row>
    <row r="61" spans="1:71" ht="21" customHeight="1" outlineLevel="1" thickBot="1" x14ac:dyDescent="0.4">
      <c r="A61" s="5">
        <f t="shared" si="18"/>
        <v>0</v>
      </c>
      <c r="B61" s="5">
        <f t="shared" si="18"/>
        <v>0</v>
      </c>
      <c r="C61" s="5">
        <f t="shared" si="18"/>
        <v>0</v>
      </c>
      <c r="D61" s="5">
        <f t="shared" si="18"/>
        <v>0</v>
      </c>
      <c r="E61" s="6">
        <f t="shared" si="18"/>
        <v>0</v>
      </c>
      <c r="F61" s="14" t="e">
        <f t="shared" ca="1" si="19"/>
        <v>#N/A</v>
      </c>
      <c r="G61" s="14" t="e">
        <f t="shared" ca="1" si="17"/>
        <v>#N/A</v>
      </c>
      <c r="H61" s="14" t="e">
        <f t="shared" ca="1" si="17"/>
        <v>#N/A</v>
      </c>
      <c r="I61" s="14" t="e">
        <f t="shared" ca="1" si="17"/>
        <v>#N/A</v>
      </c>
      <c r="J61" s="14" t="e">
        <f t="shared" ca="1" si="17"/>
        <v>#N/A</v>
      </c>
      <c r="K61" s="14" t="e">
        <f t="shared" ca="1" si="17"/>
        <v>#N/A</v>
      </c>
      <c r="L61" s="14" t="e">
        <f t="shared" ca="1" si="17"/>
        <v>#N/A</v>
      </c>
      <c r="M61" s="14" t="e">
        <f t="shared" ca="1" si="17"/>
        <v>#N/A</v>
      </c>
      <c r="N61" s="14" t="e">
        <f t="shared" ca="1" si="17"/>
        <v>#N/A</v>
      </c>
      <c r="O61" s="14" t="e">
        <f t="shared" ca="1" si="17"/>
        <v>#N/A</v>
      </c>
      <c r="P61" s="14" t="e">
        <f t="shared" ca="1" si="17"/>
        <v>#N/A</v>
      </c>
      <c r="Q61" s="14" t="e">
        <f t="shared" ca="1" si="17"/>
        <v>#N/A</v>
      </c>
      <c r="R61" s="14" t="e">
        <f t="shared" ca="1" si="17"/>
        <v>#N/A</v>
      </c>
      <c r="S61" s="14" t="e">
        <f t="shared" ca="1" si="17"/>
        <v>#N/A</v>
      </c>
      <c r="T61" s="14" t="e">
        <f t="shared" ca="1" si="17"/>
        <v>#N/A</v>
      </c>
      <c r="U61" s="14" t="e">
        <f t="shared" ca="1" si="17"/>
        <v>#N/A</v>
      </c>
      <c r="V61" s="14" t="e">
        <f t="shared" ca="1" si="17"/>
        <v>#N/A</v>
      </c>
      <c r="W61" s="14" t="e">
        <f t="shared" ca="1" si="17"/>
        <v>#N/A</v>
      </c>
      <c r="X61" s="14" t="e">
        <f t="shared" ca="1" si="17"/>
        <v>#N/A</v>
      </c>
      <c r="Y61" s="14" t="e">
        <f t="shared" ca="1" si="17"/>
        <v>#N/A</v>
      </c>
      <c r="Z61" s="14" t="e">
        <f t="shared" ca="1" si="17"/>
        <v>#N/A</v>
      </c>
      <c r="AA61" s="14" t="e">
        <f t="shared" ca="1" si="17"/>
        <v>#N/A</v>
      </c>
      <c r="AB61" s="14" t="e">
        <f t="shared" ca="1" si="17"/>
        <v>#N/A</v>
      </c>
      <c r="AC61" s="14" t="e">
        <f t="shared" ca="1" si="17"/>
        <v>#N/A</v>
      </c>
      <c r="AD61" s="14" t="e">
        <f t="shared" ca="1" si="17"/>
        <v>#N/A</v>
      </c>
      <c r="AE61" s="14" t="e">
        <f t="shared" ca="1" si="17"/>
        <v>#N/A</v>
      </c>
      <c r="AF61" s="14" t="e">
        <f t="shared" ca="1" si="17"/>
        <v>#N/A</v>
      </c>
      <c r="AG61" s="14" t="e">
        <f t="shared" ca="1" si="17"/>
        <v>#N/A</v>
      </c>
      <c r="AH61" s="14" t="e">
        <f t="shared" ca="1" si="17"/>
        <v>#N/A</v>
      </c>
      <c r="AI61" s="14" t="e">
        <f t="shared" ca="1" si="17"/>
        <v>#N/A</v>
      </c>
      <c r="AJ61" s="14" t="e">
        <f t="shared" ca="1" si="17"/>
        <v>#N/A</v>
      </c>
      <c r="AK61" s="14" t="e">
        <f t="shared" ca="1" si="17"/>
        <v>#N/A</v>
      </c>
      <c r="AL61" s="14" t="e">
        <f t="shared" ca="1" si="17"/>
        <v>#N/A</v>
      </c>
      <c r="AM61" s="14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4"/>
      <c r="BK61" s="14"/>
      <c r="BL61" s="14"/>
      <c r="BM61" s="14"/>
      <c r="BN61" s="14"/>
      <c r="BO61" s="14"/>
      <c r="BP61" s="14"/>
      <c r="BQ61" s="14"/>
      <c r="BR61" s="14"/>
      <c r="BS61" s="14"/>
    </row>
    <row r="62" spans="1:71" ht="21" customHeight="1" outlineLevel="1" thickBot="1" x14ac:dyDescent="0.4">
      <c r="A62" s="5">
        <f t="shared" si="18"/>
        <v>0</v>
      </c>
      <c r="B62" s="5">
        <f t="shared" si="18"/>
        <v>0</v>
      </c>
      <c r="C62" s="5">
        <f t="shared" si="18"/>
        <v>0</v>
      </c>
      <c r="D62" s="5">
        <f t="shared" si="18"/>
        <v>0</v>
      </c>
      <c r="E62" s="6">
        <f t="shared" si="18"/>
        <v>0</v>
      </c>
      <c r="F62" s="14" t="e">
        <f t="shared" ca="1" si="19"/>
        <v>#N/A</v>
      </c>
      <c r="G62" s="14" t="e">
        <f t="shared" ca="1" si="17"/>
        <v>#N/A</v>
      </c>
      <c r="H62" s="14" t="e">
        <f t="shared" ca="1" si="17"/>
        <v>#N/A</v>
      </c>
      <c r="I62" s="14" t="e">
        <f t="shared" ca="1" si="17"/>
        <v>#N/A</v>
      </c>
      <c r="J62" s="14" t="e">
        <f t="shared" ca="1" si="17"/>
        <v>#N/A</v>
      </c>
      <c r="K62" s="14" t="e">
        <f t="shared" ca="1" si="17"/>
        <v>#N/A</v>
      </c>
      <c r="L62" s="14" t="e">
        <f t="shared" ca="1" si="17"/>
        <v>#N/A</v>
      </c>
      <c r="M62" s="14" t="e">
        <f t="shared" ca="1" si="17"/>
        <v>#N/A</v>
      </c>
      <c r="N62" s="14" t="e">
        <f t="shared" ca="1" si="17"/>
        <v>#N/A</v>
      </c>
      <c r="O62" s="14" t="e">
        <f t="shared" ca="1" si="17"/>
        <v>#N/A</v>
      </c>
      <c r="P62" s="14" t="e">
        <f t="shared" ca="1" si="17"/>
        <v>#N/A</v>
      </c>
      <c r="Q62" s="14" t="e">
        <f t="shared" ca="1" si="17"/>
        <v>#N/A</v>
      </c>
      <c r="R62" s="14" t="e">
        <f t="shared" ca="1" si="17"/>
        <v>#N/A</v>
      </c>
      <c r="S62" s="14" t="e">
        <f t="shared" ca="1" si="17"/>
        <v>#N/A</v>
      </c>
      <c r="T62" s="14" t="e">
        <f t="shared" ca="1" si="17"/>
        <v>#N/A</v>
      </c>
      <c r="U62" s="14" t="e">
        <f t="shared" ca="1" si="17"/>
        <v>#N/A</v>
      </c>
      <c r="V62" s="14" t="e">
        <f t="shared" ca="1" si="17"/>
        <v>#N/A</v>
      </c>
      <c r="W62" s="14" t="e">
        <f t="shared" ca="1" si="17"/>
        <v>#N/A</v>
      </c>
      <c r="X62" s="14" t="e">
        <f t="shared" ca="1" si="17"/>
        <v>#N/A</v>
      </c>
      <c r="Y62" s="14" t="e">
        <f t="shared" ca="1" si="17"/>
        <v>#N/A</v>
      </c>
      <c r="Z62" s="14" t="e">
        <f t="shared" ca="1" si="17"/>
        <v>#N/A</v>
      </c>
      <c r="AA62" s="14" t="e">
        <f t="shared" ca="1" si="17"/>
        <v>#N/A</v>
      </c>
      <c r="AB62" s="14" t="e">
        <f t="shared" ca="1" si="17"/>
        <v>#N/A</v>
      </c>
      <c r="AC62" s="14" t="e">
        <f t="shared" ca="1" si="17"/>
        <v>#N/A</v>
      </c>
      <c r="AD62" s="14" t="e">
        <f t="shared" ca="1" si="17"/>
        <v>#N/A</v>
      </c>
      <c r="AE62" s="14" t="e">
        <f t="shared" ca="1" si="17"/>
        <v>#N/A</v>
      </c>
      <c r="AF62" s="14" t="e">
        <f t="shared" ca="1" si="17"/>
        <v>#N/A</v>
      </c>
      <c r="AG62" s="14" t="e">
        <f t="shared" ca="1" si="17"/>
        <v>#N/A</v>
      </c>
      <c r="AH62" s="14" t="e">
        <f t="shared" ca="1" si="17"/>
        <v>#N/A</v>
      </c>
      <c r="AI62" s="14" t="e">
        <f t="shared" ref="AI62:AL62" ca="1" si="20">$A62*H.Ar + $B62*H.Se + $C62*H.Ge + $D62*H.Ga</f>
        <v>#N/A</v>
      </c>
      <c r="AJ62" s="14" t="e">
        <f t="shared" ca="1" si="20"/>
        <v>#N/A</v>
      </c>
      <c r="AK62" s="14" t="e">
        <f t="shared" ca="1" si="20"/>
        <v>#N/A</v>
      </c>
      <c r="AL62" s="14" t="e">
        <f t="shared" ca="1" si="20"/>
        <v>#N/A</v>
      </c>
      <c r="AM62" s="14"/>
      <c r="AN62" s="14"/>
      <c r="AO62" s="14"/>
      <c r="AP62" s="14"/>
      <c r="AQ62" s="14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  <c r="BH62" s="14"/>
      <c r="BI62" s="14"/>
      <c r="BJ62" s="14"/>
      <c r="BK62" s="14"/>
      <c r="BL62" s="14"/>
      <c r="BM62" s="14"/>
      <c r="BN62" s="14"/>
      <c r="BO62" s="14"/>
      <c r="BP62" s="14"/>
      <c r="BQ62" s="14"/>
      <c r="BR62" s="14"/>
      <c r="BS62" s="14"/>
    </row>
    <row r="63" spans="1:71" ht="21" customHeight="1" outlineLevel="1" thickBot="1" x14ac:dyDescent="0.4">
      <c r="A63" s="5">
        <f t="shared" si="18"/>
        <v>0</v>
      </c>
      <c r="B63" s="5">
        <f t="shared" si="18"/>
        <v>0</v>
      </c>
      <c r="C63" s="5">
        <f t="shared" si="18"/>
        <v>0</v>
      </c>
      <c r="D63" s="5">
        <f t="shared" si="18"/>
        <v>0</v>
      </c>
      <c r="E63" s="6">
        <f t="shared" si="18"/>
        <v>0</v>
      </c>
      <c r="F63" s="14" t="e">
        <f t="shared" ca="1" si="19"/>
        <v>#N/A</v>
      </c>
      <c r="G63" s="14" t="e">
        <f t="shared" ref="G63:AL71" ca="1" si="21">$A63*H.Ar + $B63*H.Se + $C63*H.Ge + $D63*H.Ga</f>
        <v>#N/A</v>
      </c>
      <c r="H63" s="14" t="e">
        <f t="shared" ca="1" si="21"/>
        <v>#N/A</v>
      </c>
      <c r="I63" s="14" t="e">
        <f t="shared" ca="1" si="21"/>
        <v>#N/A</v>
      </c>
      <c r="J63" s="14" t="e">
        <f t="shared" ca="1" si="21"/>
        <v>#N/A</v>
      </c>
      <c r="K63" s="14" t="e">
        <f t="shared" ca="1" si="21"/>
        <v>#N/A</v>
      </c>
      <c r="L63" s="14" t="e">
        <f t="shared" ca="1" si="21"/>
        <v>#N/A</v>
      </c>
      <c r="M63" s="14" t="e">
        <f t="shared" ca="1" si="21"/>
        <v>#N/A</v>
      </c>
      <c r="N63" s="14" t="e">
        <f t="shared" ca="1" si="21"/>
        <v>#N/A</v>
      </c>
      <c r="O63" s="14" t="e">
        <f t="shared" ca="1" si="21"/>
        <v>#N/A</v>
      </c>
      <c r="P63" s="14" t="e">
        <f t="shared" ca="1" si="21"/>
        <v>#N/A</v>
      </c>
      <c r="Q63" s="14" t="e">
        <f t="shared" ca="1" si="21"/>
        <v>#N/A</v>
      </c>
      <c r="R63" s="14" t="e">
        <f t="shared" ca="1" si="21"/>
        <v>#N/A</v>
      </c>
      <c r="S63" s="14" t="e">
        <f t="shared" ca="1" si="21"/>
        <v>#N/A</v>
      </c>
      <c r="T63" s="14" t="e">
        <f t="shared" ca="1" si="21"/>
        <v>#N/A</v>
      </c>
      <c r="U63" s="14" t="e">
        <f t="shared" ca="1" si="21"/>
        <v>#N/A</v>
      </c>
      <c r="V63" s="14" t="e">
        <f t="shared" ca="1" si="21"/>
        <v>#N/A</v>
      </c>
      <c r="W63" s="14" t="e">
        <f t="shared" ca="1" si="21"/>
        <v>#N/A</v>
      </c>
      <c r="X63" s="14" t="e">
        <f t="shared" ca="1" si="21"/>
        <v>#N/A</v>
      </c>
      <c r="Y63" s="14" t="e">
        <f t="shared" ca="1" si="21"/>
        <v>#N/A</v>
      </c>
      <c r="Z63" s="14" t="e">
        <f t="shared" ca="1" si="21"/>
        <v>#N/A</v>
      </c>
      <c r="AA63" s="14" t="e">
        <f t="shared" ca="1" si="21"/>
        <v>#N/A</v>
      </c>
      <c r="AB63" s="14" t="e">
        <f t="shared" ca="1" si="21"/>
        <v>#N/A</v>
      </c>
      <c r="AC63" s="14" t="e">
        <f t="shared" ca="1" si="21"/>
        <v>#N/A</v>
      </c>
      <c r="AD63" s="14" t="e">
        <f t="shared" ca="1" si="21"/>
        <v>#N/A</v>
      </c>
      <c r="AE63" s="14" t="e">
        <f t="shared" ca="1" si="21"/>
        <v>#N/A</v>
      </c>
      <c r="AF63" s="14" t="e">
        <f t="shared" ca="1" si="21"/>
        <v>#N/A</v>
      </c>
      <c r="AG63" s="14" t="e">
        <f t="shared" ca="1" si="21"/>
        <v>#N/A</v>
      </c>
      <c r="AH63" s="14" t="e">
        <f t="shared" ca="1" si="21"/>
        <v>#N/A</v>
      </c>
      <c r="AI63" s="14" t="e">
        <f t="shared" ca="1" si="21"/>
        <v>#N/A</v>
      </c>
      <c r="AJ63" s="14" t="e">
        <f t="shared" ca="1" si="21"/>
        <v>#N/A</v>
      </c>
      <c r="AK63" s="14" t="e">
        <f t="shared" ca="1" si="21"/>
        <v>#N/A</v>
      </c>
      <c r="AL63" s="14" t="e">
        <f t="shared" ca="1" si="21"/>
        <v>#N/A</v>
      </c>
      <c r="AM63" s="14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</row>
    <row r="64" spans="1:71" ht="21" customHeight="1" outlineLevel="1" thickBot="1" x14ac:dyDescent="0.4">
      <c r="A64" s="5">
        <f t="shared" si="18"/>
        <v>0</v>
      </c>
      <c r="B64" s="5">
        <f t="shared" si="18"/>
        <v>0</v>
      </c>
      <c r="C64" s="5">
        <f t="shared" si="18"/>
        <v>0</v>
      </c>
      <c r="D64" s="5">
        <f t="shared" si="18"/>
        <v>0</v>
      </c>
      <c r="E64" s="6">
        <f t="shared" si="18"/>
        <v>0</v>
      </c>
      <c r="F64" s="14" t="e">
        <f t="shared" ca="1" si="19"/>
        <v>#N/A</v>
      </c>
      <c r="G64" s="14" t="e">
        <f t="shared" ca="1" si="21"/>
        <v>#N/A</v>
      </c>
      <c r="H64" s="14" t="e">
        <f t="shared" ca="1" si="21"/>
        <v>#N/A</v>
      </c>
      <c r="I64" s="14" t="e">
        <f t="shared" ca="1" si="21"/>
        <v>#N/A</v>
      </c>
      <c r="J64" s="14" t="e">
        <f t="shared" ca="1" si="21"/>
        <v>#N/A</v>
      </c>
      <c r="K64" s="14" t="e">
        <f t="shared" ca="1" si="21"/>
        <v>#N/A</v>
      </c>
      <c r="L64" s="14" t="e">
        <f t="shared" ca="1" si="21"/>
        <v>#N/A</v>
      </c>
      <c r="M64" s="14" t="e">
        <f t="shared" ca="1" si="21"/>
        <v>#N/A</v>
      </c>
      <c r="N64" s="14" t="e">
        <f t="shared" ca="1" si="21"/>
        <v>#N/A</v>
      </c>
      <c r="O64" s="14" t="e">
        <f t="shared" ca="1" si="21"/>
        <v>#N/A</v>
      </c>
      <c r="P64" s="14" t="e">
        <f t="shared" ca="1" si="21"/>
        <v>#N/A</v>
      </c>
      <c r="Q64" s="14" t="e">
        <f t="shared" ca="1" si="21"/>
        <v>#N/A</v>
      </c>
      <c r="R64" s="14" t="e">
        <f t="shared" ca="1" si="21"/>
        <v>#N/A</v>
      </c>
      <c r="S64" s="14" t="e">
        <f t="shared" ca="1" si="21"/>
        <v>#N/A</v>
      </c>
      <c r="T64" s="14" t="e">
        <f t="shared" ca="1" si="21"/>
        <v>#N/A</v>
      </c>
      <c r="U64" s="14" t="e">
        <f t="shared" ca="1" si="21"/>
        <v>#N/A</v>
      </c>
      <c r="V64" s="14" t="e">
        <f t="shared" ca="1" si="21"/>
        <v>#N/A</v>
      </c>
      <c r="W64" s="14" t="e">
        <f t="shared" ca="1" si="21"/>
        <v>#N/A</v>
      </c>
      <c r="X64" s="14" t="e">
        <f t="shared" ca="1" si="21"/>
        <v>#N/A</v>
      </c>
      <c r="Y64" s="14" t="e">
        <f t="shared" ca="1" si="21"/>
        <v>#N/A</v>
      </c>
      <c r="Z64" s="14" t="e">
        <f t="shared" ca="1" si="21"/>
        <v>#N/A</v>
      </c>
      <c r="AA64" s="14" t="e">
        <f t="shared" ca="1" si="21"/>
        <v>#N/A</v>
      </c>
      <c r="AB64" s="14" t="e">
        <f t="shared" ca="1" si="21"/>
        <v>#N/A</v>
      </c>
      <c r="AC64" s="14" t="e">
        <f t="shared" ca="1" si="21"/>
        <v>#N/A</v>
      </c>
      <c r="AD64" s="14" t="e">
        <f t="shared" ca="1" si="21"/>
        <v>#N/A</v>
      </c>
      <c r="AE64" s="14" t="e">
        <f t="shared" ca="1" si="21"/>
        <v>#N/A</v>
      </c>
      <c r="AF64" s="14" t="e">
        <f t="shared" ca="1" si="21"/>
        <v>#N/A</v>
      </c>
      <c r="AG64" s="14" t="e">
        <f t="shared" ca="1" si="21"/>
        <v>#N/A</v>
      </c>
      <c r="AH64" s="14" t="e">
        <f t="shared" ca="1" si="21"/>
        <v>#N/A</v>
      </c>
      <c r="AI64" s="14" t="e">
        <f t="shared" ca="1" si="21"/>
        <v>#N/A</v>
      </c>
      <c r="AJ64" s="14" t="e">
        <f t="shared" ca="1" si="21"/>
        <v>#N/A</v>
      </c>
      <c r="AK64" s="14" t="e">
        <f t="shared" ca="1" si="21"/>
        <v>#N/A</v>
      </c>
      <c r="AL64" s="14" t="e">
        <f t="shared" ca="1" si="21"/>
        <v>#N/A</v>
      </c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</row>
    <row r="65" spans="1:87" ht="21" customHeight="1" outlineLevel="1" thickBot="1" x14ac:dyDescent="0.4">
      <c r="A65" s="5">
        <f t="shared" si="18"/>
        <v>0</v>
      </c>
      <c r="B65" s="5">
        <f t="shared" si="18"/>
        <v>0</v>
      </c>
      <c r="C65" s="5">
        <f t="shared" si="18"/>
        <v>0</v>
      </c>
      <c r="D65" s="5">
        <f t="shared" si="18"/>
        <v>0</v>
      </c>
      <c r="E65" s="6">
        <f t="shared" si="18"/>
        <v>0</v>
      </c>
      <c r="F65" s="14" t="e">
        <f t="shared" ca="1" si="19"/>
        <v>#N/A</v>
      </c>
      <c r="G65" s="14" t="e">
        <f t="shared" ca="1" si="21"/>
        <v>#N/A</v>
      </c>
      <c r="H65" s="14" t="e">
        <f t="shared" ca="1" si="21"/>
        <v>#N/A</v>
      </c>
      <c r="I65" s="14" t="e">
        <f t="shared" ca="1" si="21"/>
        <v>#N/A</v>
      </c>
      <c r="J65" s="14" t="e">
        <f t="shared" ca="1" si="21"/>
        <v>#N/A</v>
      </c>
      <c r="K65" s="14" t="e">
        <f t="shared" ca="1" si="21"/>
        <v>#N/A</v>
      </c>
      <c r="L65" s="14" t="e">
        <f t="shared" ca="1" si="21"/>
        <v>#N/A</v>
      </c>
      <c r="M65" s="14" t="e">
        <f t="shared" ca="1" si="21"/>
        <v>#N/A</v>
      </c>
      <c r="N65" s="14" t="e">
        <f t="shared" ca="1" si="21"/>
        <v>#N/A</v>
      </c>
      <c r="O65" s="14" t="e">
        <f t="shared" ca="1" si="21"/>
        <v>#N/A</v>
      </c>
      <c r="P65" s="14" t="e">
        <f t="shared" ca="1" si="21"/>
        <v>#N/A</v>
      </c>
      <c r="Q65" s="14" t="e">
        <f t="shared" ca="1" si="21"/>
        <v>#N/A</v>
      </c>
      <c r="R65" s="14" t="e">
        <f t="shared" ca="1" si="21"/>
        <v>#N/A</v>
      </c>
      <c r="S65" s="14" t="e">
        <f t="shared" ca="1" si="21"/>
        <v>#N/A</v>
      </c>
      <c r="T65" s="14" t="e">
        <f t="shared" ca="1" si="21"/>
        <v>#N/A</v>
      </c>
      <c r="U65" s="14" t="e">
        <f t="shared" ca="1" si="21"/>
        <v>#N/A</v>
      </c>
      <c r="V65" s="14" t="e">
        <f t="shared" ca="1" si="21"/>
        <v>#N/A</v>
      </c>
      <c r="W65" s="14" t="e">
        <f t="shared" ca="1" si="21"/>
        <v>#N/A</v>
      </c>
      <c r="X65" s="14" t="e">
        <f t="shared" ca="1" si="21"/>
        <v>#N/A</v>
      </c>
      <c r="Y65" s="14" t="e">
        <f t="shared" ca="1" si="21"/>
        <v>#N/A</v>
      </c>
      <c r="Z65" s="14" t="e">
        <f t="shared" ca="1" si="21"/>
        <v>#N/A</v>
      </c>
      <c r="AA65" s="14" t="e">
        <f t="shared" ca="1" si="21"/>
        <v>#N/A</v>
      </c>
      <c r="AB65" s="14" t="e">
        <f t="shared" ca="1" si="21"/>
        <v>#N/A</v>
      </c>
      <c r="AC65" s="14" t="e">
        <f t="shared" ca="1" si="21"/>
        <v>#N/A</v>
      </c>
      <c r="AD65" s="14" t="e">
        <f t="shared" ca="1" si="21"/>
        <v>#N/A</v>
      </c>
      <c r="AE65" s="14" t="e">
        <f t="shared" ca="1" si="21"/>
        <v>#N/A</v>
      </c>
      <c r="AF65" s="14" t="e">
        <f t="shared" ca="1" si="21"/>
        <v>#N/A</v>
      </c>
      <c r="AG65" s="14" t="e">
        <f t="shared" ca="1" si="21"/>
        <v>#N/A</v>
      </c>
      <c r="AH65" s="14" t="e">
        <f t="shared" ca="1" si="21"/>
        <v>#N/A</v>
      </c>
      <c r="AI65" s="14" t="e">
        <f t="shared" ca="1" si="21"/>
        <v>#N/A</v>
      </c>
      <c r="AJ65" s="14" t="e">
        <f t="shared" ca="1" si="21"/>
        <v>#N/A</v>
      </c>
      <c r="AK65" s="14" t="e">
        <f t="shared" ca="1" si="21"/>
        <v>#N/A</v>
      </c>
      <c r="AL65" s="14" t="e">
        <f t="shared" ca="1" si="21"/>
        <v>#N/A</v>
      </c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</row>
    <row r="66" spans="1:87" ht="21" customHeight="1" outlineLevel="1" thickBot="1" x14ac:dyDescent="0.4">
      <c r="A66" s="5">
        <f t="shared" ref="A66:E75" si="22">A24</f>
        <v>0</v>
      </c>
      <c r="B66" s="5">
        <f t="shared" si="22"/>
        <v>0</v>
      </c>
      <c r="C66" s="5">
        <f t="shared" si="22"/>
        <v>0</v>
      </c>
      <c r="D66" s="5">
        <f t="shared" si="22"/>
        <v>0</v>
      </c>
      <c r="E66" s="6">
        <f t="shared" si="22"/>
        <v>0</v>
      </c>
      <c r="F66" s="14" t="e">
        <f t="shared" ref="F66:U74" ca="1" si="23">$A66*H.Ar + $B66*H.Se + $C66*H.Ge + $D66*H.Ga</f>
        <v>#N/A</v>
      </c>
      <c r="G66" s="14" t="e">
        <f t="shared" ca="1" si="23"/>
        <v>#N/A</v>
      </c>
      <c r="H66" s="14" t="e">
        <f t="shared" ca="1" si="23"/>
        <v>#N/A</v>
      </c>
      <c r="I66" s="14" t="e">
        <f t="shared" ca="1" si="23"/>
        <v>#N/A</v>
      </c>
      <c r="J66" s="14" t="e">
        <f t="shared" ca="1" si="23"/>
        <v>#N/A</v>
      </c>
      <c r="K66" s="14" t="e">
        <f t="shared" ca="1" si="23"/>
        <v>#N/A</v>
      </c>
      <c r="L66" s="14" t="e">
        <f t="shared" ca="1" si="23"/>
        <v>#N/A</v>
      </c>
      <c r="M66" s="14" t="e">
        <f t="shared" ca="1" si="23"/>
        <v>#N/A</v>
      </c>
      <c r="N66" s="14" t="e">
        <f t="shared" ca="1" si="23"/>
        <v>#N/A</v>
      </c>
      <c r="O66" s="14" t="e">
        <f t="shared" ca="1" si="23"/>
        <v>#N/A</v>
      </c>
      <c r="P66" s="14" t="e">
        <f t="shared" ca="1" si="23"/>
        <v>#N/A</v>
      </c>
      <c r="Q66" s="14" t="e">
        <f t="shared" ca="1" si="23"/>
        <v>#N/A</v>
      </c>
      <c r="R66" s="14" t="e">
        <f t="shared" ca="1" si="23"/>
        <v>#N/A</v>
      </c>
      <c r="S66" s="14" t="e">
        <f t="shared" ca="1" si="23"/>
        <v>#N/A</v>
      </c>
      <c r="T66" s="14" t="e">
        <f t="shared" ca="1" si="23"/>
        <v>#N/A</v>
      </c>
      <c r="U66" s="14" t="e">
        <f t="shared" ca="1" si="23"/>
        <v>#N/A</v>
      </c>
      <c r="V66" s="14" t="e">
        <f t="shared" ca="1" si="21"/>
        <v>#N/A</v>
      </c>
      <c r="W66" s="14" t="e">
        <f t="shared" ca="1" si="21"/>
        <v>#N/A</v>
      </c>
      <c r="X66" s="14" t="e">
        <f t="shared" ca="1" si="21"/>
        <v>#N/A</v>
      </c>
      <c r="Y66" s="14" t="e">
        <f t="shared" ca="1" si="21"/>
        <v>#N/A</v>
      </c>
      <c r="Z66" s="14" t="e">
        <f t="shared" ca="1" si="21"/>
        <v>#N/A</v>
      </c>
      <c r="AA66" s="14" t="e">
        <f t="shared" ca="1" si="21"/>
        <v>#N/A</v>
      </c>
      <c r="AB66" s="14" t="e">
        <f t="shared" ca="1" si="21"/>
        <v>#N/A</v>
      </c>
      <c r="AC66" s="14" t="e">
        <f t="shared" ca="1" si="21"/>
        <v>#N/A</v>
      </c>
      <c r="AD66" s="14" t="e">
        <f t="shared" ca="1" si="21"/>
        <v>#N/A</v>
      </c>
      <c r="AE66" s="14" t="e">
        <f t="shared" ca="1" si="21"/>
        <v>#N/A</v>
      </c>
      <c r="AF66" s="14" t="e">
        <f t="shared" ca="1" si="21"/>
        <v>#N/A</v>
      </c>
      <c r="AG66" s="14" t="e">
        <f t="shared" ca="1" si="21"/>
        <v>#N/A</v>
      </c>
      <c r="AH66" s="14" t="e">
        <f t="shared" ca="1" si="21"/>
        <v>#N/A</v>
      </c>
      <c r="AI66" s="14" t="e">
        <f t="shared" ca="1" si="21"/>
        <v>#N/A</v>
      </c>
      <c r="AJ66" s="14" t="e">
        <f t="shared" ca="1" si="21"/>
        <v>#N/A</v>
      </c>
      <c r="AK66" s="14" t="e">
        <f t="shared" ca="1" si="21"/>
        <v>#N/A</v>
      </c>
      <c r="AL66" s="14" t="e">
        <f t="shared" ca="1" si="21"/>
        <v>#N/A</v>
      </c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</row>
    <row r="67" spans="1:87" ht="21" customHeight="1" outlineLevel="1" thickBot="1" x14ac:dyDescent="0.4">
      <c r="A67" s="5">
        <f t="shared" si="22"/>
        <v>0</v>
      </c>
      <c r="B67" s="5">
        <f t="shared" si="22"/>
        <v>0</v>
      </c>
      <c r="C67" s="5">
        <f t="shared" si="22"/>
        <v>0</v>
      </c>
      <c r="D67" s="5">
        <f t="shared" si="22"/>
        <v>0</v>
      </c>
      <c r="E67" s="6">
        <f t="shared" si="22"/>
        <v>0</v>
      </c>
      <c r="F67" s="14" t="e">
        <f t="shared" ca="1" si="23"/>
        <v>#N/A</v>
      </c>
      <c r="G67" s="14" t="e">
        <f t="shared" ca="1" si="21"/>
        <v>#N/A</v>
      </c>
      <c r="H67" s="14" t="e">
        <f t="shared" ca="1" si="21"/>
        <v>#N/A</v>
      </c>
      <c r="I67" s="14" t="e">
        <f t="shared" ca="1" si="21"/>
        <v>#N/A</v>
      </c>
      <c r="J67" s="14" t="e">
        <f t="shared" ca="1" si="21"/>
        <v>#N/A</v>
      </c>
      <c r="K67" s="14" t="e">
        <f t="shared" ca="1" si="21"/>
        <v>#N/A</v>
      </c>
      <c r="L67" s="14" t="e">
        <f t="shared" ca="1" si="21"/>
        <v>#N/A</v>
      </c>
      <c r="M67" s="14" t="e">
        <f t="shared" ca="1" si="21"/>
        <v>#N/A</v>
      </c>
      <c r="N67" s="14" t="e">
        <f t="shared" ca="1" si="21"/>
        <v>#N/A</v>
      </c>
      <c r="O67" s="14" t="e">
        <f t="shared" ca="1" si="21"/>
        <v>#N/A</v>
      </c>
      <c r="P67" s="14" t="e">
        <f t="shared" ca="1" si="21"/>
        <v>#N/A</v>
      </c>
      <c r="Q67" s="14" t="e">
        <f t="shared" ca="1" si="21"/>
        <v>#N/A</v>
      </c>
      <c r="R67" s="14" t="e">
        <f t="shared" ca="1" si="21"/>
        <v>#N/A</v>
      </c>
      <c r="S67" s="14" t="e">
        <f t="shared" ca="1" si="21"/>
        <v>#N/A</v>
      </c>
      <c r="T67" s="14" t="e">
        <f t="shared" ca="1" si="21"/>
        <v>#N/A</v>
      </c>
      <c r="U67" s="14" t="e">
        <f t="shared" ca="1" si="21"/>
        <v>#N/A</v>
      </c>
      <c r="V67" s="14" t="e">
        <f t="shared" ca="1" si="21"/>
        <v>#N/A</v>
      </c>
      <c r="W67" s="14" t="e">
        <f t="shared" ca="1" si="21"/>
        <v>#N/A</v>
      </c>
      <c r="X67" s="14" t="e">
        <f t="shared" ca="1" si="21"/>
        <v>#N/A</v>
      </c>
      <c r="Y67" s="14" t="e">
        <f t="shared" ca="1" si="21"/>
        <v>#N/A</v>
      </c>
      <c r="Z67" s="14" t="e">
        <f t="shared" ca="1" si="21"/>
        <v>#N/A</v>
      </c>
      <c r="AA67" s="14" t="e">
        <f t="shared" ca="1" si="21"/>
        <v>#N/A</v>
      </c>
      <c r="AB67" s="14" t="e">
        <f t="shared" ca="1" si="21"/>
        <v>#N/A</v>
      </c>
      <c r="AC67" s="14" t="e">
        <f t="shared" ca="1" si="21"/>
        <v>#N/A</v>
      </c>
      <c r="AD67" s="14" t="e">
        <f t="shared" ca="1" si="21"/>
        <v>#N/A</v>
      </c>
      <c r="AE67" s="14" t="e">
        <f t="shared" ca="1" si="21"/>
        <v>#N/A</v>
      </c>
      <c r="AF67" s="14" t="e">
        <f t="shared" ca="1" si="21"/>
        <v>#N/A</v>
      </c>
      <c r="AG67" s="14" t="e">
        <f t="shared" ca="1" si="21"/>
        <v>#N/A</v>
      </c>
      <c r="AH67" s="14" t="e">
        <f t="shared" ca="1" si="21"/>
        <v>#N/A</v>
      </c>
      <c r="AI67" s="14" t="e">
        <f t="shared" ca="1" si="21"/>
        <v>#N/A</v>
      </c>
      <c r="AJ67" s="14" t="e">
        <f t="shared" ca="1" si="21"/>
        <v>#N/A</v>
      </c>
      <c r="AK67" s="14" t="e">
        <f t="shared" ca="1" si="21"/>
        <v>#N/A</v>
      </c>
      <c r="AL67" s="14" t="e">
        <f t="shared" ca="1" si="21"/>
        <v>#N/A</v>
      </c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</row>
    <row r="68" spans="1:87" ht="21" customHeight="1" outlineLevel="1" thickBot="1" x14ac:dyDescent="0.4">
      <c r="A68" s="5">
        <f t="shared" si="22"/>
        <v>0</v>
      </c>
      <c r="B68" s="5">
        <f t="shared" si="22"/>
        <v>0</v>
      </c>
      <c r="C68" s="5">
        <f t="shared" si="22"/>
        <v>0</v>
      </c>
      <c r="D68" s="5">
        <f t="shared" si="22"/>
        <v>0</v>
      </c>
      <c r="E68" s="6">
        <f t="shared" si="22"/>
        <v>0</v>
      </c>
      <c r="F68" s="14" t="e">
        <f t="shared" ca="1" si="23"/>
        <v>#N/A</v>
      </c>
      <c r="G68" s="14" t="e">
        <f t="shared" ca="1" si="21"/>
        <v>#N/A</v>
      </c>
      <c r="H68" s="14" t="e">
        <f t="shared" ca="1" si="21"/>
        <v>#N/A</v>
      </c>
      <c r="I68" s="14" t="e">
        <f t="shared" ca="1" si="21"/>
        <v>#N/A</v>
      </c>
      <c r="J68" s="14" t="e">
        <f t="shared" ca="1" si="21"/>
        <v>#N/A</v>
      </c>
      <c r="K68" s="14" t="e">
        <f t="shared" ca="1" si="21"/>
        <v>#N/A</v>
      </c>
      <c r="L68" s="14" t="e">
        <f t="shared" ca="1" si="21"/>
        <v>#N/A</v>
      </c>
      <c r="M68" s="14" t="e">
        <f t="shared" ca="1" si="21"/>
        <v>#N/A</v>
      </c>
      <c r="N68" s="14" t="e">
        <f t="shared" ca="1" si="21"/>
        <v>#N/A</v>
      </c>
      <c r="O68" s="14" t="e">
        <f t="shared" ca="1" si="21"/>
        <v>#N/A</v>
      </c>
      <c r="P68" s="14" t="e">
        <f t="shared" ca="1" si="21"/>
        <v>#N/A</v>
      </c>
      <c r="Q68" s="14" t="e">
        <f t="shared" ca="1" si="21"/>
        <v>#N/A</v>
      </c>
      <c r="R68" s="14" t="e">
        <f t="shared" ca="1" si="21"/>
        <v>#N/A</v>
      </c>
      <c r="S68" s="14" t="e">
        <f t="shared" ca="1" si="21"/>
        <v>#N/A</v>
      </c>
      <c r="T68" s="14" t="e">
        <f t="shared" ca="1" si="21"/>
        <v>#N/A</v>
      </c>
      <c r="U68" s="14" t="e">
        <f t="shared" ca="1" si="21"/>
        <v>#N/A</v>
      </c>
      <c r="V68" s="14" t="e">
        <f t="shared" ca="1" si="21"/>
        <v>#N/A</v>
      </c>
      <c r="W68" s="14" t="e">
        <f t="shared" ca="1" si="21"/>
        <v>#N/A</v>
      </c>
      <c r="X68" s="14" t="e">
        <f t="shared" ca="1" si="21"/>
        <v>#N/A</v>
      </c>
      <c r="Y68" s="14" t="e">
        <f t="shared" ca="1" si="21"/>
        <v>#N/A</v>
      </c>
      <c r="Z68" s="14" t="e">
        <f t="shared" ca="1" si="21"/>
        <v>#N/A</v>
      </c>
      <c r="AA68" s="14" t="e">
        <f t="shared" ca="1" si="21"/>
        <v>#N/A</v>
      </c>
      <c r="AB68" s="14" t="e">
        <f t="shared" ca="1" si="21"/>
        <v>#N/A</v>
      </c>
      <c r="AC68" s="14" t="e">
        <f t="shared" ca="1" si="21"/>
        <v>#N/A</v>
      </c>
      <c r="AD68" s="14" t="e">
        <f t="shared" ca="1" si="21"/>
        <v>#N/A</v>
      </c>
      <c r="AE68" s="14" t="e">
        <f t="shared" ca="1" si="21"/>
        <v>#N/A</v>
      </c>
      <c r="AF68" s="14" t="e">
        <f t="shared" ca="1" si="21"/>
        <v>#N/A</v>
      </c>
      <c r="AG68" s="14" t="e">
        <f t="shared" ca="1" si="21"/>
        <v>#N/A</v>
      </c>
      <c r="AH68" s="14" t="e">
        <f t="shared" ca="1" si="21"/>
        <v>#N/A</v>
      </c>
      <c r="AI68" s="14" t="e">
        <f t="shared" ca="1" si="21"/>
        <v>#N/A</v>
      </c>
      <c r="AJ68" s="14" t="e">
        <f t="shared" ca="1" si="21"/>
        <v>#N/A</v>
      </c>
      <c r="AK68" s="14" t="e">
        <f t="shared" ca="1" si="21"/>
        <v>#N/A</v>
      </c>
      <c r="AL68" s="14" t="e">
        <f t="shared" ca="1" si="21"/>
        <v>#N/A</v>
      </c>
      <c r="AM68" s="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</row>
    <row r="69" spans="1:87" ht="21" customHeight="1" outlineLevel="1" thickBot="1" x14ac:dyDescent="0.4">
      <c r="A69" s="5">
        <f t="shared" si="22"/>
        <v>0</v>
      </c>
      <c r="B69" s="5">
        <f t="shared" si="22"/>
        <v>0</v>
      </c>
      <c r="C69" s="5">
        <f t="shared" si="22"/>
        <v>0</v>
      </c>
      <c r="D69" s="5">
        <f t="shared" si="22"/>
        <v>0</v>
      </c>
      <c r="E69" s="6">
        <f t="shared" si="22"/>
        <v>0</v>
      </c>
      <c r="F69" s="14" t="e">
        <f t="shared" ca="1" si="23"/>
        <v>#N/A</v>
      </c>
      <c r="G69" s="14" t="e">
        <f t="shared" ca="1" si="21"/>
        <v>#N/A</v>
      </c>
      <c r="H69" s="14" t="e">
        <f t="shared" ca="1" si="21"/>
        <v>#N/A</v>
      </c>
      <c r="I69" s="14" t="e">
        <f t="shared" ca="1" si="21"/>
        <v>#N/A</v>
      </c>
      <c r="J69" s="14" t="e">
        <f t="shared" ca="1" si="21"/>
        <v>#N/A</v>
      </c>
      <c r="K69" s="14" t="e">
        <f t="shared" ca="1" si="21"/>
        <v>#N/A</v>
      </c>
      <c r="L69" s="14" t="e">
        <f t="shared" ca="1" si="21"/>
        <v>#N/A</v>
      </c>
      <c r="M69" s="14" t="e">
        <f t="shared" ca="1" si="21"/>
        <v>#N/A</v>
      </c>
      <c r="N69" s="14" t="e">
        <f t="shared" ca="1" si="21"/>
        <v>#N/A</v>
      </c>
      <c r="O69" s="14" t="e">
        <f t="shared" ca="1" si="21"/>
        <v>#N/A</v>
      </c>
      <c r="P69" s="14" t="e">
        <f t="shared" ca="1" si="21"/>
        <v>#N/A</v>
      </c>
      <c r="Q69" s="14" t="e">
        <f t="shared" ca="1" si="21"/>
        <v>#N/A</v>
      </c>
      <c r="R69" s="14" t="e">
        <f t="shared" ca="1" si="21"/>
        <v>#N/A</v>
      </c>
      <c r="S69" s="14" t="e">
        <f t="shared" ca="1" si="21"/>
        <v>#N/A</v>
      </c>
      <c r="T69" s="14" t="e">
        <f t="shared" ca="1" si="21"/>
        <v>#N/A</v>
      </c>
      <c r="U69" s="14" t="e">
        <f t="shared" ca="1" si="21"/>
        <v>#N/A</v>
      </c>
      <c r="V69" s="14" t="e">
        <f t="shared" ca="1" si="21"/>
        <v>#N/A</v>
      </c>
      <c r="W69" s="14" t="e">
        <f t="shared" ca="1" si="21"/>
        <v>#N/A</v>
      </c>
      <c r="X69" s="14" t="e">
        <f t="shared" ca="1" si="21"/>
        <v>#N/A</v>
      </c>
      <c r="Y69" s="14" t="e">
        <f t="shared" ca="1" si="21"/>
        <v>#N/A</v>
      </c>
      <c r="Z69" s="14" t="e">
        <f t="shared" ca="1" si="21"/>
        <v>#N/A</v>
      </c>
      <c r="AA69" s="14" t="e">
        <f t="shared" ca="1" si="21"/>
        <v>#N/A</v>
      </c>
      <c r="AB69" s="14" t="e">
        <f t="shared" ca="1" si="21"/>
        <v>#N/A</v>
      </c>
      <c r="AC69" s="14" t="e">
        <f t="shared" ca="1" si="21"/>
        <v>#N/A</v>
      </c>
      <c r="AD69" s="14" t="e">
        <f t="shared" ca="1" si="21"/>
        <v>#N/A</v>
      </c>
      <c r="AE69" s="14" t="e">
        <f t="shared" ca="1" si="21"/>
        <v>#N/A</v>
      </c>
      <c r="AF69" s="14" t="e">
        <f t="shared" ca="1" si="21"/>
        <v>#N/A</v>
      </c>
      <c r="AG69" s="14" t="e">
        <f t="shared" ca="1" si="21"/>
        <v>#N/A</v>
      </c>
      <c r="AH69" s="14" t="e">
        <f t="shared" ca="1" si="21"/>
        <v>#N/A</v>
      </c>
      <c r="AI69" s="14" t="e">
        <f t="shared" ca="1" si="21"/>
        <v>#N/A</v>
      </c>
      <c r="AJ69" s="14" t="e">
        <f t="shared" ca="1" si="21"/>
        <v>#N/A</v>
      </c>
      <c r="AK69" s="14" t="e">
        <f t="shared" ca="1" si="21"/>
        <v>#N/A</v>
      </c>
      <c r="AL69" s="14" t="e">
        <f t="shared" ca="1" si="21"/>
        <v>#N/A</v>
      </c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</row>
    <row r="70" spans="1:87" ht="21" customHeight="1" outlineLevel="1" thickBot="1" x14ac:dyDescent="0.4">
      <c r="A70" s="5">
        <f t="shared" si="22"/>
        <v>0</v>
      </c>
      <c r="B70" s="5">
        <f t="shared" si="22"/>
        <v>0</v>
      </c>
      <c r="C70" s="5">
        <f t="shared" si="22"/>
        <v>0</v>
      </c>
      <c r="D70" s="5">
        <f t="shared" si="22"/>
        <v>0</v>
      </c>
      <c r="E70" s="6">
        <f t="shared" si="22"/>
        <v>0</v>
      </c>
      <c r="F70" s="14" t="e">
        <f t="shared" ca="1" si="23"/>
        <v>#N/A</v>
      </c>
      <c r="G70" s="14" t="e">
        <f t="shared" ca="1" si="21"/>
        <v>#N/A</v>
      </c>
      <c r="H70" s="14" t="e">
        <f t="shared" ca="1" si="21"/>
        <v>#N/A</v>
      </c>
      <c r="I70" s="14" t="e">
        <f t="shared" ca="1" si="21"/>
        <v>#N/A</v>
      </c>
      <c r="J70" s="14" t="e">
        <f t="shared" ca="1" si="21"/>
        <v>#N/A</v>
      </c>
      <c r="K70" s="14" t="e">
        <f t="shared" ca="1" si="21"/>
        <v>#N/A</v>
      </c>
      <c r="L70" s="14" t="e">
        <f t="shared" ca="1" si="21"/>
        <v>#N/A</v>
      </c>
      <c r="M70" s="14" t="e">
        <f t="shared" ca="1" si="21"/>
        <v>#N/A</v>
      </c>
      <c r="N70" s="14" t="e">
        <f t="shared" ca="1" si="21"/>
        <v>#N/A</v>
      </c>
      <c r="O70" s="14" t="e">
        <f t="shared" ca="1" si="21"/>
        <v>#N/A</v>
      </c>
      <c r="P70" s="14" t="e">
        <f t="shared" ca="1" si="21"/>
        <v>#N/A</v>
      </c>
      <c r="Q70" s="14" t="e">
        <f t="shared" ca="1" si="21"/>
        <v>#N/A</v>
      </c>
      <c r="R70" s="14" t="e">
        <f t="shared" ca="1" si="21"/>
        <v>#N/A</v>
      </c>
      <c r="S70" s="14" t="e">
        <f t="shared" ca="1" si="21"/>
        <v>#N/A</v>
      </c>
      <c r="T70" s="14" t="e">
        <f t="shared" ca="1" si="21"/>
        <v>#N/A</v>
      </c>
      <c r="U70" s="14" t="e">
        <f t="shared" ca="1" si="21"/>
        <v>#N/A</v>
      </c>
      <c r="V70" s="14" t="e">
        <f t="shared" ca="1" si="21"/>
        <v>#N/A</v>
      </c>
      <c r="W70" s="14" t="e">
        <f t="shared" ca="1" si="21"/>
        <v>#N/A</v>
      </c>
      <c r="X70" s="14" t="e">
        <f t="shared" ca="1" si="21"/>
        <v>#N/A</v>
      </c>
      <c r="Y70" s="14" t="e">
        <f t="shared" ca="1" si="21"/>
        <v>#N/A</v>
      </c>
      <c r="Z70" s="14" t="e">
        <f t="shared" ca="1" si="21"/>
        <v>#N/A</v>
      </c>
      <c r="AA70" s="14" t="e">
        <f t="shared" ca="1" si="21"/>
        <v>#N/A</v>
      </c>
      <c r="AB70" s="14" t="e">
        <f t="shared" ca="1" si="21"/>
        <v>#N/A</v>
      </c>
      <c r="AC70" s="14" t="e">
        <f t="shared" ca="1" si="21"/>
        <v>#N/A</v>
      </c>
      <c r="AD70" s="14" t="e">
        <f t="shared" ca="1" si="21"/>
        <v>#N/A</v>
      </c>
      <c r="AE70" s="14" t="e">
        <f t="shared" ca="1" si="21"/>
        <v>#N/A</v>
      </c>
      <c r="AF70" s="14" t="e">
        <f t="shared" ca="1" si="21"/>
        <v>#N/A</v>
      </c>
      <c r="AG70" s="14" t="e">
        <f t="shared" ca="1" si="21"/>
        <v>#N/A</v>
      </c>
      <c r="AH70" s="14" t="e">
        <f t="shared" ca="1" si="21"/>
        <v>#N/A</v>
      </c>
      <c r="AI70" s="14" t="e">
        <f t="shared" ca="1" si="21"/>
        <v>#N/A</v>
      </c>
      <c r="AJ70" s="14" t="e">
        <f t="shared" ca="1" si="21"/>
        <v>#N/A</v>
      </c>
      <c r="AK70" s="14" t="e">
        <f t="shared" ca="1" si="21"/>
        <v>#N/A</v>
      </c>
      <c r="AL70" s="14" t="e">
        <f t="shared" ca="1" si="21"/>
        <v>#N/A</v>
      </c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</row>
    <row r="71" spans="1:87" ht="21" customHeight="1" outlineLevel="1" thickBot="1" x14ac:dyDescent="0.4">
      <c r="A71" s="5">
        <f t="shared" si="22"/>
        <v>0</v>
      </c>
      <c r="B71" s="5">
        <f t="shared" si="22"/>
        <v>0</v>
      </c>
      <c r="C71" s="5">
        <f t="shared" si="22"/>
        <v>0</v>
      </c>
      <c r="D71" s="5">
        <f t="shared" si="22"/>
        <v>0</v>
      </c>
      <c r="E71" s="6">
        <f t="shared" si="22"/>
        <v>0</v>
      </c>
      <c r="F71" s="14" t="e">
        <f t="shared" ca="1" si="23"/>
        <v>#N/A</v>
      </c>
      <c r="G71" s="14" t="e">
        <f t="shared" ca="1" si="21"/>
        <v>#N/A</v>
      </c>
      <c r="H71" s="14" t="e">
        <f t="shared" ca="1" si="21"/>
        <v>#N/A</v>
      </c>
      <c r="I71" s="14" t="e">
        <f t="shared" ca="1" si="21"/>
        <v>#N/A</v>
      </c>
      <c r="J71" s="14" t="e">
        <f t="shared" ca="1" si="21"/>
        <v>#N/A</v>
      </c>
      <c r="K71" s="14" t="e">
        <f t="shared" ca="1" si="21"/>
        <v>#N/A</v>
      </c>
      <c r="L71" s="14" t="e">
        <f t="shared" ca="1" si="21"/>
        <v>#N/A</v>
      </c>
      <c r="M71" s="14" t="e">
        <f t="shared" ca="1" si="21"/>
        <v>#N/A</v>
      </c>
      <c r="N71" s="14" t="e">
        <f t="shared" ca="1" si="21"/>
        <v>#N/A</v>
      </c>
      <c r="O71" s="14" t="e">
        <f t="shared" ca="1" si="21"/>
        <v>#N/A</v>
      </c>
      <c r="P71" s="14" t="e">
        <f t="shared" ca="1" si="21"/>
        <v>#N/A</v>
      </c>
      <c r="Q71" s="14" t="e">
        <f t="shared" ref="Q71:AL71" ca="1" si="24">$A71*H.Ar + $B71*H.Se + $C71*H.Ge + $D71*H.Ga</f>
        <v>#N/A</v>
      </c>
      <c r="R71" s="14" t="e">
        <f t="shared" ca="1" si="24"/>
        <v>#N/A</v>
      </c>
      <c r="S71" s="14" t="e">
        <f t="shared" ca="1" si="24"/>
        <v>#N/A</v>
      </c>
      <c r="T71" s="14" t="e">
        <f t="shared" ca="1" si="24"/>
        <v>#N/A</v>
      </c>
      <c r="U71" s="14" t="e">
        <f t="shared" ca="1" si="24"/>
        <v>#N/A</v>
      </c>
      <c r="V71" s="14" t="e">
        <f t="shared" ca="1" si="24"/>
        <v>#N/A</v>
      </c>
      <c r="W71" s="14" t="e">
        <f t="shared" ca="1" si="24"/>
        <v>#N/A</v>
      </c>
      <c r="X71" s="14" t="e">
        <f t="shared" ca="1" si="24"/>
        <v>#N/A</v>
      </c>
      <c r="Y71" s="14" t="e">
        <f t="shared" ca="1" si="24"/>
        <v>#N/A</v>
      </c>
      <c r="Z71" s="14" t="e">
        <f t="shared" ca="1" si="24"/>
        <v>#N/A</v>
      </c>
      <c r="AA71" s="14" t="e">
        <f t="shared" ca="1" si="24"/>
        <v>#N/A</v>
      </c>
      <c r="AB71" s="14" t="e">
        <f t="shared" ca="1" si="24"/>
        <v>#N/A</v>
      </c>
      <c r="AC71" s="14" t="e">
        <f t="shared" ca="1" si="24"/>
        <v>#N/A</v>
      </c>
      <c r="AD71" s="14" t="e">
        <f t="shared" ca="1" si="24"/>
        <v>#N/A</v>
      </c>
      <c r="AE71" s="14" t="e">
        <f t="shared" ca="1" si="24"/>
        <v>#N/A</v>
      </c>
      <c r="AF71" s="14" t="e">
        <f t="shared" ca="1" si="24"/>
        <v>#N/A</v>
      </c>
      <c r="AG71" s="14" t="e">
        <f t="shared" ca="1" si="24"/>
        <v>#N/A</v>
      </c>
      <c r="AH71" s="14" t="e">
        <f t="shared" ca="1" si="24"/>
        <v>#N/A</v>
      </c>
      <c r="AI71" s="14" t="e">
        <f t="shared" ca="1" si="24"/>
        <v>#N/A</v>
      </c>
      <c r="AJ71" s="14" t="e">
        <f t="shared" ca="1" si="24"/>
        <v>#N/A</v>
      </c>
      <c r="AK71" s="14" t="e">
        <f t="shared" ca="1" si="24"/>
        <v>#N/A</v>
      </c>
      <c r="AL71" s="14" t="e">
        <f t="shared" ca="1" si="24"/>
        <v>#N/A</v>
      </c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</row>
    <row r="72" spans="1:87" ht="21" customHeight="1" outlineLevel="1" thickBot="1" x14ac:dyDescent="0.4">
      <c r="A72" s="5">
        <f t="shared" si="22"/>
        <v>0</v>
      </c>
      <c r="B72" s="5">
        <f t="shared" si="22"/>
        <v>0</v>
      </c>
      <c r="C72" s="5">
        <f t="shared" si="22"/>
        <v>0</v>
      </c>
      <c r="D72" s="5">
        <f t="shared" si="22"/>
        <v>0</v>
      </c>
      <c r="E72" s="6">
        <f t="shared" si="22"/>
        <v>0</v>
      </c>
      <c r="F72" s="14" t="e">
        <f t="shared" ca="1" si="23"/>
        <v>#N/A</v>
      </c>
      <c r="G72" s="14" t="e">
        <f t="shared" ref="G72:AL74" ca="1" si="25">$A72*H.Ar + $B72*H.Se + $C72*H.Ge + $D72*H.Ga</f>
        <v>#N/A</v>
      </c>
      <c r="H72" s="14" t="e">
        <f t="shared" ca="1" si="25"/>
        <v>#N/A</v>
      </c>
      <c r="I72" s="14" t="e">
        <f t="shared" ca="1" si="25"/>
        <v>#N/A</v>
      </c>
      <c r="J72" s="14" t="e">
        <f t="shared" ca="1" si="25"/>
        <v>#N/A</v>
      </c>
      <c r="K72" s="14" t="e">
        <f t="shared" ca="1" si="25"/>
        <v>#N/A</v>
      </c>
      <c r="L72" s="14" t="e">
        <f t="shared" ca="1" si="25"/>
        <v>#N/A</v>
      </c>
      <c r="M72" s="14" t="e">
        <f t="shared" ca="1" si="25"/>
        <v>#N/A</v>
      </c>
      <c r="N72" s="14" t="e">
        <f t="shared" ca="1" si="25"/>
        <v>#N/A</v>
      </c>
      <c r="O72" s="14" t="e">
        <f t="shared" ca="1" si="25"/>
        <v>#N/A</v>
      </c>
      <c r="P72" s="14" t="e">
        <f t="shared" ca="1" si="25"/>
        <v>#N/A</v>
      </c>
      <c r="Q72" s="14" t="e">
        <f t="shared" ca="1" si="25"/>
        <v>#N/A</v>
      </c>
      <c r="R72" s="14" t="e">
        <f t="shared" ca="1" si="25"/>
        <v>#N/A</v>
      </c>
      <c r="S72" s="14" t="e">
        <f t="shared" ca="1" si="25"/>
        <v>#N/A</v>
      </c>
      <c r="T72" s="14" t="e">
        <f t="shared" ca="1" si="25"/>
        <v>#N/A</v>
      </c>
      <c r="U72" s="14" t="e">
        <f t="shared" ca="1" si="25"/>
        <v>#N/A</v>
      </c>
      <c r="V72" s="14" t="e">
        <f t="shared" ca="1" si="25"/>
        <v>#N/A</v>
      </c>
      <c r="W72" s="14" t="e">
        <f t="shared" ca="1" si="25"/>
        <v>#N/A</v>
      </c>
      <c r="X72" s="14" t="e">
        <f t="shared" ca="1" si="25"/>
        <v>#N/A</v>
      </c>
      <c r="Y72" s="14" t="e">
        <f t="shared" ca="1" si="25"/>
        <v>#N/A</v>
      </c>
      <c r="Z72" s="14" t="e">
        <f t="shared" ca="1" si="25"/>
        <v>#N/A</v>
      </c>
      <c r="AA72" s="14" t="e">
        <f t="shared" ca="1" si="25"/>
        <v>#N/A</v>
      </c>
      <c r="AB72" s="14" t="e">
        <f t="shared" ca="1" si="25"/>
        <v>#N/A</v>
      </c>
      <c r="AC72" s="14" t="e">
        <f t="shared" ca="1" si="25"/>
        <v>#N/A</v>
      </c>
      <c r="AD72" s="14" t="e">
        <f t="shared" ca="1" si="25"/>
        <v>#N/A</v>
      </c>
      <c r="AE72" s="14" t="e">
        <f t="shared" ca="1" si="25"/>
        <v>#N/A</v>
      </c>
      <c r="AF72" s="14" t="e">
        <f t="shared" ca="1" si="25"/>
        <v>#N/A</v>
      </c>
      <c r="AG72" s="14" t="e">
        <f t="shared" ca="1" si="25"/>
        <v>#N/A</v>
      </c>
      <c r="AH72" s="14" t="e">
        <f t="shared" ca="1" si="25"/>
        <v>#N/A</v>
      </c>
      <c r="AI72" s="14" t="e">
        <f t="shared" ca="1" si="25"/>
        <v>#N/A</v>
      </c>
      <c r="AJ72" s="14" t="e">
        <f t="shared" ca="1" si="25"/>
        <v>#N/A</v>
      </c>
      <c r="AK72" s="14" t="e">
        <f t="shared" ca="1" si="25"/>
        <v>#N/A</v>
      </c>
      <c r="AL72" s="14" t="e">
        <f t="shared" ca="1" si="25"/>
        <v>#N/A</v>
      </c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</row>
    <row r="73" spans="1:87" ht="21" customHeight="1" outlineLevel="1" thickBot="1" x14ac:dyDescent="0.4">
      <c r="A73" s="5">
        <f t="shared" si="22"/>
        <v>0</v>
      </c>
      <c r="B73" s="5">
        <f t="shared" si="22"/>
        <v>0</v>
      </c>
      <c r="C73" s="5">
        <f t="shared" si="22"/>
        <v>0</v>
      </c>
      <c r="D73" s="5">
        <f t="shared" si="22"/>
        <v>0</v>
      </c>
      <c r="E73" s="6">
        <f t="shared" si="22"/>
        <v>0</v>
      </c>
      <c r="F73" s="14" t="e">
        <f t="shared" ca="1" si="23"/>
        <v>#N/A</v>
      </c>
      <c r="G73" s="14" t="e">
        <f t="shared" ca="1" si="25"/>
        <v>#N/A</v>
      </c>
      <c r="H73" s="14" t="e">
        <f t="shared" ca="1" si="25"/>
        <v>#N/A</v>
      </c>
      <c r="I73" s="14" t="e">
        <f t="shared" ca="1" si="25"/>
        <v>#N/A</v>
      </c>
      <c r="J73" s="14" t="e">
        <f t="shared" ca="1" si="25"/>
        <v>#N/A</v>
      </c>
      <c r="K73" s="14" t="e">
        <f t="shared" ca="1" si="25"/>
        <v>#N/A</v>
      </c>
      <c r="L73" s="14" t="e">
        <f t="shared" ca="1" si="25"/>
        <v>#N/A</v>
      </c>
      <c r="M73" s="14" t="e">
        <f t="shared" ca="1" si="25"/>
        <v>#N/A</v>
      </c>
      <c r="N73" s="14" t="e">
        <f t="shared" ca="1" si="25"/>
        <v>#N/A</v>
      </c>
      <c r="O73" s="14" t="e">
        <f t="shared" ca="1" si="25"/>
        <v>#N/A</v>
      </c>
      <c r="P73" s="14" t="e">
        <f t="shared" ca="1" si="25"/>
        <v>#N/A</v>
      </c>
      <c r="Q73" s="14" t="e">
        <f t="shared" ca="1" si="25"/>
        <v>#N/A</v>
      </c>
      <c r="R73" s="14" t="e">
        <f t="shared" ca="1" si="25"/>
        <v>#N/A</v>
      </c>
      <c r="S73" s="14" t="e">
        <f t="shared" ca="1" si="25"/>
        <v>#N/A</v>
      </c>
      <c r="T73" s="14" t="e">
        <f t="shared" ca="1" si="25"/>
        <v>#N/A</v>
      </c>
      <c r="U73" s="14" t="e">
        <f t="shared" ca="1" si="25"/>
        <v>#N/A</v>
      </c>
      <c r="V73" s="14" t="e">
        <f t="shared" ca="1" si="25"/>
        <v>#N/A</v>
      </c>
      <c r="W73" s="14" t="e">
        <f t="shared" ca="1" si="25"/>
        <v>#N/A</v>
      </c>
      <c r="X73" s="14" t="e">
        <f t="shared" ca="1" si="25"/>
        <v>#N/A</v>
      </c>
      <c r="Y73" s="14" t="e">
        <f t="shared" ca="1" si="25"/>
        <v>#N/A</v>
      </c>
      <c r="Z73" s="14" t="e">
        <f t="shared" ca="1" si="25"/>
        <v>#N/A</v>
      </c>
      <c r="AA73" s="14" t="e">
        <f t="shared" ca="1" si="25"/>
        <v>#N/A</v>
      </c>
      <c r="AB73" s="14" t="e">
        <f t="shared" ca="1" si="25"/>
        <v>#N/A</v>
      </c>
      <c r="AC73" s="14" t="e">
        <f t="shared" ca="1" si="25"/>
        <v>#N/A</v>
      </c>
      <c r="AD73" s="14" t="e">
        <f t="shared" ca="1" si="25"/>
        <v>#N/A</v>
      </c>
      <c r="AE73" s="14" t="e">
        <f t="shared" ca="1" si="25"/>
        <v>#N/A</v>
      </c>
      <c r="AF73" s="14" t="e">
        <f t="shared" ca="1" si="25"/>
        <v>#N/A</v>
      </c>
      <c r="AG73" s="14" t="e">
        <f t="shared" ca="1" si="25"/>
        <v>#N/A</v>
      </c>
      <c r="AH73" s="14" t="e">
        <f t="shared" ca="1" si="25"/>
        <v>#N/A</v>
      </c>
      <c r="AI73" s="14" t="e">
        <f t="shared" ca="1" si="25"/>
        <v>#N/A</v>
      </c>
      <c r="AJ73" s="14" t="e">
        <f t="shared" ca="1" si="25"/>
        <v>#N/A</v>
      </c>
      <c r="AK73" s="14" t="e">
        <f t="shared" ca="1" si="25"/>
        <v>#N/A</v>
      </c>
      <c r="AL73" s="14" t="e">
        <f t="shared" ca="1" si="25"/>
        <v>#N/A</v>
      </c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</row>
    <row r="74" spans="1:87" ht="21" customHeight="1" outlineLevel="1" thickBot="1" x14ac:dyDescent="0.4">
      <c r="A74" s="5">
        <f t="shared" si="22"/>
        <v>0</v>
      </c>
      <c r="B74" s="5">
        <f t="shared" si="22"/>
        <v>0</v>
      </c>
      <c r="C74" s="5">
        <f t="shared" si="22"/>
        <v>0</v>
      </c>
      <c r="D74" s="5">
        <f t="shared" si="22"/>
        <v>0</v>
      </c>
      <c r="E74" s="6">
        <f t="shared" si="22"/>
        <v>0</v>
      </c>
      <c r="F74" s="14" t="e">
        <f t="shared" ca="1" si="23"/>
        <v>#N/A</v>
      </c>
      <c r="G74" s="14" t="e">
        <f t="shared" ca="1" si="25"/>
        <v>#N/A</v>
      </c>
      <c r="H74" s="14" t="e">
        <f t="shared" ca="1" si="25"/>
        <v>#N/A</v>
      </c>
      <c r="I74" s="14" t="e">
        <f t="shared" ca="1" si="25"/>
        <v>#N/A</v>
      </c>
      <c r="J74" s="14" t="e">
        <f t="shared" ca="1" si="25"/>
        <v>#N/A</v>
      </c>
      <c r="K74" s="14" t="e">
        <f t="shared" ca="1" si="25"/>
        <v>#N/A</v>
      </c>
      <c r="L74" s="14" t="e">
        <f t="shared" ca="1" si="25"/>
        <v>#N/A</v>
      </c>
      <c r="M74" s="14" t="e">
        <f t="shared" ca="1" si="25"/>
        <v>#N/A</v>
      </c>
      <c r="N74" s="14" t="e">
        <f t="shared" ca="1" si="25"/>
        <v>#N/A</v>
      </c>
      <c r="O74" s="14" t="e">
        <f t="shared" ca="1" si="25"/>
        <v>#N/A</v>
      </c>
      <c r="P74" s="14" t="e">
        <f t="shared" ca="1" si="25"/>
        <v>#N/A</v>
      </c>
      <c r="Q74" s="14" t="e">
        <f t="shared" ca="1" si="25"/>
        <v>#N/A</v>
      </c>
      <c r="R74" s="14" t="e">
        <f t="shared" ca="1" si="25"/>
        <v>#N/A</v>
      </c>
      <c r="S74" s="14" t="e">
        <f t="shared" ca="1" si="25"/>
        <v>#N/A</v>
      </c>
      <c r="T74" s="14" t="e">
        <f t="shared" ca="1" si="25"/>
        <v>#N/A</v>
      </c>
      <c r="U74" s="14" t="e">
        <f t="shared" ca="1" si="25"/>
        <v>#N/A</v>
      </c>
      <c r="V74" s="14" t="e">
        <f t="shared" ca="1" si="25"/>
        <v>#N/A</v>
      </c>
      <c r="W74" s="14" t="e">
        <f t="shared" ca="1" si="25"/>
        <v>#N/A</v>
      </c>
      <c r="X74" s="14" t="e">
        <f t="shared" ca="1" si="25"/>
        <v>#N/A</v>
      </c>
      <c r="Y74" s="14" t="e">
        <f t="shared" ca="1" si="25"/>
        <v>#N/A</v>
      </c>
      <c r="Z74" s="14" t="e">
        <f t="shared" ca="1" si="25"/>
        <v>#N/A</v>
      </c>
      <c r="AA74" s="14" t="e">
        <f t="shared" ca="1" si="25"/>
        <v>#N/A</v>
      </c>
      <c r="AB74" s="14" t="e">
        <f t="shared" ca="1" si="25"/>
        <v>#N/A</v>
      </c>
      <c r="AC74" s="14" t="e">
        <f t="shared" ca="1" si="25"/>
        <v>#N/A</v>
      </c>
      <c r="AD74" s="14" t="e">
        <f t="shared" ca="1" si="25"/>
        <v>#N/A</v>
      </c>
      <c r="AE74" s="14" t="e">
        <f t="shared" ca="1" si="25"/>
        <v>#N/A</v>
      </c>
      <c r="AF74" s="14" t="e">
        <f t="shared" ca="1" si="25"/>
        <v>#N/A</v>
      </c>
      <c r="AG74" s="14" t="e">
        <f t="shared" ca="1" si="25"/>
        <v>#N/A</v>
      </c>
      <c r="AH74" s="14" t="e">
        <f t="shared" ca="1" si="25"/>
        <v>#N/A</v>
      </c>
      <c r="AI74" s="14" t="e">
        <f t="shared" ca="1" si="25"/>
        <v>#N/A</v>
      </c>
      <c r="AJ74" s="14" t="e">
        <f t="shared" ca="1" si="25"/>
        <v>#N/A</v>
      </c>
      <c r="AK74" s="14" t="e">
        <f t="shared" ca="1" si="25"/>
        <v>#N/A</v>
      </c>
      <c r="AL74" s="14" t="e">
        <f t="shared" ca="1" si="25"/>
        <v>#N/A</v>
      </c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</row>
    <row r="75" spans="1:87" ht="21" customHeight="1" outlineLevel="1" thickBot="1" x14ac:dyDescent="0.4">
      <c r="A75" s="5">
        <f t="shared" si="22"/>
        <v>0</v>
      </c>
      <c r="B75" s="5">
        <f t="shared" si="22"/>
        <v>0</v>
      </c>
      <c r="C75" s="5">
        <f t="shared" si="22"/>
        <v>0</v>
      </c>
      <c r="D75" s="5">
        <f t="shared" si="22"/>
        <v>0</v>
      </c>
      <c r="E75" s="6">
        <f t="shared" si="22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</row>
    <row r="76" spans="1:87" ht="21" customHeight="1" outlineLevel="1" x14ac:dyDescent="0.35">
      <c r="U76" s="48"/>
      <c r="V76" s="48"/>
      <c r="W76" s="48"/>
    </row>
    <row r="77" spans="1:87" ht="21" customHeight="1" x14ac:dyDescent="0.35">
      <c r="U77" s="48"/>
      <c r="V77" s="48"/>
      <c r="W77" s="48"/>
    </row>
    <row r="78" spans="1:87" ht="21" customHeight="1" thickBot="1" x14ac:dyDescent="0.45">
      <c r="A78" s="79"/>
      <c r="B78" s="79"/>
      <c r="C78" s="80">
        <f>E41</f>
        <v>4.166666666666667</v>
      </c>
      <c r="D78" s="66"/>
      <c r="E78" s="65" t="s">
        <v>21</v>
      </c>
      <c r="F78" s="66"/>
      <c r="G78" s="66"/>
      <c r="H78" s="66"/>
      <c r="I78" s="66"/>
      <c r="J78" s="66"/>
      <c r="K78" s="66"/>
      <c r="L78" s="66"/>
      <c r="M78" s="66"/>
      <c r="N78" s="66"/>
      <c r="O78" s="66"/>
      <c r="P78" s="66"/>
      <c r="Q78" s="66"/>
      <c r="R78" s="66"/>
      <c r="S78" s="66"/>
      <c r="T78" s="66"/>
      <c r="U78" s="66"/>
      <c r="V78" s="66"/>
      <c r="W78" s="66"/>
      <c r="X78" s="66"/>
      <c r="Y78" s="66"/>
      <c r="Z78" s="66"/>
      <c r="AA78" s="66"/>
      <c r="AB78" s="66"/>
      <c r="AC78" s="66"/>
      <c r="AD78" s="66"/>
      <c r="AE78" s="66"/>
      <c r="AF78" s="66"/>
      <c r="AG78" s="66"/>
      <c r="AH78" s="66"/>
      <c r="AI78" s="66"/>
      <c r="AJ78" s="66"/>
      <c r="AK78" s="66"/>
      <c r="AL78" s="66"/>
      <c r="AM78" s="66"/>
      <c r="AN78" s="66"/>
      <c r="AO78" s="66"/>
      <c r="AP78" s="66"/>
      <c r="AQ78" s="66"/>
      <c r="AR78" s="66"/>
      <c r="AS78" s="66"/>
      <c r="AT78" s="66"/>
      <c r="AU78" s="66"/>
      <c r="AV78" s="66"/>
      <c r="AW78" s="66"/>
      <c r="AX78" s="66"/>
      <c r="AY78" s="66"/>
      <c r="AZ78" s="66"/>
      <c r="BA78" s="66"/>
      <c r="BB78" s="66"/>
      <c r="BC78" s="66"/>
      <c r="BD78" s="66"/>
      <c r="BE78" s="66"/>
      <c r="BF78" s="66"/>
      <c r="BG78" s="66"/>
      <c r="BH78" s="66"/>
      <c r="BI78" s="66"/>
      <c r="BJ78" s="66"/>
      <c r="BK78" s="66"/>
      <c r="BL78" s="66"/>
      <c r="BM78" s="66"/>
      <c r="BN78" s="66"/>
      <c r="BO78" s="66"/>
      <c r="BP78" s="66"/>
      <c r="BQ78" s="66"/>
      <c r="BR78" s="66"/>
      <c r="BS78" s="66"/>
      <c r="BT78" s="66"/>
      <c r="BU78" s="66"/>
      <c r="BV78" s="66"/>
      <c r="BW78" s="66"/>
      <c r="BX78" s="66"/>
      <c r="BY78" s="66"/>
      <c r="BZ78" s="66"/>
      <c r="CA78" s="66"/>
      <c r="CB78" s="66"/>
      <c r="CC78" s="66"/>
      <c r="CD78" s="66"/>
      <c r="CE78" s="66"/>
      <c r="CF78" s="66"/>
      <c r="CG78" s="66"/>
      <c r="CH78" s="66"/>
      <c r="CI78" s="66"/>
    </row>
    <row r="79" spans="1:87" ht="2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>
        <f t="shared" ref="E79:E109" si="26">E45</f>
        <v>0</v>
      </c>
      <c r="F79" s="3">
        <f t="shared" ref="F79:AL79" si="27">F3</f>
        <v>0</v>
      </c>
      <c r="G79" s="3">
        <f t="shared" si="27"/>
        <v>0</v>
      </c>
      <c r="H79" s="3">
        <f t="shared" si="27"/>
        <v>0</v>
      </c>
      <c r="I79" s="3">
        <f t="shared" si="27"/>
        <v>0</v>
      </c>
      <c r="J79" s="3">
        <f t="shared" si="27"/>
        <v>0</v>
      </c>
      <c r="K79" s="3">
        <f t="shared" si="27"/>
        <v>0</v>
      </c>
      <c r="L79" s="3">
        <f t="shared" si="27"/>
        <v>0</v>
      </c>
      <c r="M79" s="3">
        <f t="shared" si="27"/>
        <v>0</v>
      </c>
      <c r="N79" s="3">
        <f t="shared" si="27"/>
        <v>0</v>
      </c>
      <c r="O79" s="3">
        <f t="shared" si="27"/>
        <v>0</v>
      </c>
      <c r="P79" s="3">
        <f t="shared" si="27"/>
        <v>0</v>
      </c>
      <c r="Q79" s="3">
        <f t="shared" si="27"/>
        <v>0</v>
      </c>
      <c r="R79" s="3">
        <f t="shared" si="27"/>
        <v>0</v>
      </c>
      <c r="S79" s="3">
        <f t="shared" si="27"/>
        <v>0</v>
      </c>
      <c r="T79" s="3">
        <f t="shared" si="27"/>
        <v>0</v>
      </c>
      <c r="U79" s="3">
        <f t="shared" si="27"/>
        <v>0</v>
      </c>
      <c r="V79" s="3">
        <f t="shared" si="27"/>
        <v>0</v>
      </c>
      <c r="W79" s="3">
        <f t="shared" si="27"/>
        <v>0</v>
      </c>
      <c r="X79" s="3">
        <f t="shared" si="27"/>
        <v>0</v>
      </c>
      <c r="Y79" s="3">
        <f t="shared" si="27"/>
        <v>0</v>
      </c>
      <c r="Z79" s="3">
        <f t="shared" si="27"/>
        <v>0</v>
      </c>
      <c r="AA79" s="3">
        <f t="shared" si="27"/>
        <v>0</v>
      </c>
      <c r="AB79" s="3">
        <f t="shared" si="27"/>
        <v>0</v>
      </c>
      <c r="AC79" s="3">
        <f t="shared" si="27"/>
        <v>0</v>
      </c>
      <c r="AD79" s="3">
        <f t="shared" si="27"/>
        <v>0</v>
      </c>
      <c r="AE79" s="3">
        <f t="shared" si="27"/>
        <v>0</v>
      </c>
      <c r="AF79" s="3">
        <f t="shared" si="27"/>
        <v>0</v>
      </c>
      <c r="AG79" s="3">
        <f t="shared" si="27"/>
        <v>0</v>
      </c>
      <c r="AH79" s="3">
        <f t="shared" si="27"/>
        <v>0</v>
      </c>
      <c r="AI79" s="3">
        <f t="shared" si="27"/>
        <v>0</v>
      </c>
      <c r="AJ79" s="3">
        <f t="shared" si="27"/>
        <v>0</v>
      </c>
      <c r="AK79" s="3">
        <f t="shared" si="27"/>
        <v>0</v>
      </c>
      <c r="AL79" s="3">
        <f t="shared" si="27"/>
        <v>0</v>
      </c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</row>
    <row r="80" spans="1:87" ht="21" customHeight="1" outlineLevel="1" thickTop="1" thickBot="1" x14ac:dyDescent="0.4">
      <c r="A80" s="5">
        <f>A46</f>
        <v>0</v>
      </c>
      <c r="B80" s="5">
        <f t="shared" ref="B80:D80" si="28">B46</f>
        <v>0</v>
      </c>
      <c r="C80" s="5">
        <f t="shared" si="28"/>
        <v>0</v>
      </c>
      <c r="D80" s="5">
        <f t="shared" si="28"/>
        <v>0</v>
      </c>
      <c r="E80" s="6">
        <f t="shared" si="26"/>
        <v>0</v>
      </c>
      <c r="F80" s="14">
        <f t="shared" ref="F80:AL80" si="29">F4*$C$78</f>
        <v>0</v>
      </c>
      <c r="G80" s="14">
        <f t="shared" si="29"/>
        <v>0</v>
      </c>
      <c r="H80" s="14">
        <f t="shared" si="29"/>
        <v>0</v>
      </c>
      <c r="I80" s="14">
        <f t="shared" si="29"/>
        <v>0</v>
      </c>
      <c r="J80" s="14">
        <f t="shared" si="29"/>
        <v>0</v>
      </c>
      <c r="K80" s="14">
        <f t="shared" si="29"/>
        <v>0</v>
      </c>
      <c r="L80" s="14">
        <f t="shared" si="29"/>
        <v>0</v>
      </c>
      <c r="M80" s="14">
        <f t="shared" si="29"/>
        <v>0</v>
      </c>
      <c r="N80" s="14">
        <f t="shared" si="29"/>
        <v>0</v>
      </c>
      <c r="O80" s="14">
        <f t="shared" si="29"/>
        <v>0</v>
      </c>
      <c r="P80" s="14">
        <f t="shared" si="29"/>
        <v>0</v>
      </c>
      <c r="Q80" s="14">
        <f t="shared" si="29"/>
        <v>0</v>
      </c>
      <c r="R80" s="14">
        <f t="shared" si="29"/>
        <v>0</v>
      </c>
      <c r="S80" s="14">
        <f t="shared" si="29"/>
        <v>0</v>
      </c>
      <c r="T80" s="14">
        <f t="shared" si="29"/>
        <v>0</v>
      </c>
      <c r="U80" s="14">
        <f t="shared" si="29"/>
        <v>0</v>
      </c>
      <c r="V80" s="14">
        <f t="shared" si="29"/>
        <v>0</v>
      </c>
      <c r="W80" s="14">
        <f t="shared" si="29"/>
        <v>0</v>
      </c>
      <c r="X80" s="14">
        <f t="shared" si="29"/>
        <v>0</v>
      </c>
      <c r="Y80" s="14">
        <f t="shared" si="29"/>
        <v>0</v>
      </c>
      <c r="Z80" s="14">
        <f t="shared" si="29"/>
        <v>0</v>
      </c>
      <c r="AA80" s="14">
        <f t="shared" si="29"/>
        <v>0</v>
      </c>
      <c r="AB80" s="14">
        <f t="shared" si="29"/>
        <v>0</v>
      </c>
      <c r="AC80" s="14">
        <f t="shared" si="29"/>
        <v>0</v>
      </c>
      <c r="AD80" s="14">
        <f t="shared" si="29"/>
        <v>0</v>
      </c>
      <c r="AE80" s="14">
        <f t="shared" si="29"/>
        <v>0</v>
      </c>
      <c r="AF80" s="14">
        <f t="shared" si="29"/>
        <v>0</v>
      </c>
      <c r="AG80" s="14">
        <f t="shared" si="29"/>
        <v>0</v>
      </c>
      <c r="AH80" s="14">
        <f t="shared" si="29"/>
        <v>0</v>
      </c>
      <c r="AI80" s="14">
        <f t="shared" si="29"/>
        <v>0</v>
      </c>
      <c r="AJ80" s="14">
        <f t="shared" si="29"/>
        <v>0</v>
      </c>
      <c r="AK80" s="14">
        <f t="shared" si="29"/>
        <v>0</v>
      </c>
      <c r="AL80" s="14">
        <f t="shared" si="29"/>
        <v>0</v>
      </c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</row>
    <row r="81" spans="1:71" ht="21" customHeight="1" outlineLevel="1" thickBot="1" x14ac:dyDescent="0.4">
      <c r="A81" s="5">
        <f t="shared" ref="A81:D96" si="30">A47</f>
        <v>0</v>
      </c>
      <c r="B81" s="5">
        <f t="shared" si="30"/>
        <v>0</v>
      </c>
      <c r="C81" s="5">
        <f t="shared" si="30"/>
        <v>0</v>
      </c>
      <c r="D81" s="5">
        <f t="shared" si="30"/>
        <v>0</v>
      </c>
      <c r="E81" s="6">
        <f t="shared" si="26"/>
        <v>0</v>
      </c>
      <c r="F81" s="14">
        <f t="shared" ref="F81:AL81" si="31">F5*$C$78</f>
        <v>0</v>
      </c>
      <c r="G81" s="14">
        <f t="shared" si="31"/>
        <v>0</v>
      </c>
      <c r="H81" s="14">
        <f t="shared" si="31"/>
        <v>0</v>
      </c>
      <c r="I81" s="14">
        <f t="shared" si="31"/>
        <v>0</v>
      </c>
      <c r="J81" s="14">
        <f t="shared" si="31"/>
        <v>0</v>
      </c>
      <c r="K81" s="14">
        <f t="shared" si="31"/>
        <v>0</v>
      </c>
      <c r="L81" s="14">
        <f t="shared" si="31"/>
        <v>0</v>
      </c>
      <c r="M81" s="14">
        <f t="shared" si="31"/>
        <v>0</v>
      </c>
      <c r="N81" s="14">
        <f t="shared" si="31"/>
        <v>0</v>
      </c>
      <c r="O81" s="14">
        <f t="shared" si="31"/>
        <v>0</v>
      </c>
      <c r="P81" s="14">
        <f t="shared" si="31"/>
        <v>0</v>
      </c>
      <c r="Q81" s="14">
        <f t="shared" si="31"/>
        <v>0</v>
      </c>
      <c r="R81" s="14">
        <f t="shared" si="31"/>
        <v>0</v>
      </c>
      <c r="S81" s="14">
        <f t="shared" si="31"/>
        <v>0</v>
      </c>
      <c r="T81" s="14">
        <f t="shared" si="31"/>
        <v>0</v>
      </c>
      <c r="U81" s="14">
        <f t="shared" si="31"/>
        <v>0</v>
      </c>
      <c r="V81" s="14">
        <f t="shared" si="31"/>
        <v>0</v>
      </c>
      <c r="W81" s="14">
        <f t="shared" si="31"/>
        <v>0</v>
      </c>
      <c r="X81" s="14">
        <f t="shared" si="31"/>
        <v>0</v>
      </c>
      <c r="Y81" s="14">
        <f t="shared" si="31"/>
        <v>0</v>
      </c>
      <c r="Z81" s="14">
        <f t="shared" si="31"/>
        <v>0</v>
      </c>
      <c r="AA81" s="14">
        <f t="shared" si="31"/>
        <v>0</v>
      </c>
      <c r="AB81" s="14">
        <f t="shared" si="31"/>
        <v>0</v>
      </c>
      <c r="AC81" s="14">
        <f t="shared" si="31"/>
        <v>0</v>
      </c>
      <c r="AD81" s="14">
        <f t="shared" si="31"/>
        <v>0</v>
      </c>
      <c r="AE81" s="14">
        <f t="shared" si="31"/>
        <v>0</v>
      </c>
      <c r="AF81" s="14">
        <f t="shared" si="31"/>
        <v>0</v>
      </c>
      <c r="AG81" s="14">
        <f t="shared" si="31"/>
        <v>0</v>
      </c>
      <c r="AH81" s="14">
        <f t="shared" si="31"/>
        <v>0</v>
      </c>
      <c r="AI81" s="14">
        <f t="shared" si="31"/>
        <v>0</v>
      </c>
      <c r="AJ81" s="14">
        <f t="shared" si="31"/>
        <v>0</v>
      </c>
      <c r="AK81" s="14">
        <f t="shared" si="31"/>
        <v>0</v>
      </c>
      <c r="AL81" s="14">
        <f t="shared" si="31"/>
        <v>0</v>
      </c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</row>
    <row r="82" spans="1:71" ht="21" customHeight="1" outlineLevel="1" thickBot="1" x14ac:dyDescent="0.4">
      <c r="A82" s="5">
        <f t="shared" si="30"/>
        <v>0</v>
      </c>
      <c r="B82" s="5">
        <f t="shared" si="30"/>
        <v>0</v>
      </c>
      <c r="C82" s="5">
        <f t="shared" si="30"/>
        <v>0</v>
      </c>
      <c r="D82" s="5">
        <f t="shared" si="30"/>
        <v>0</v>
      </c>
      <c r="E82" s="6">
        <f t="shared" si="26"/>
        <v>0</v>
      </c>
      <c r="F82" s="14">
        <f t="shared" ref="F82:AL82" si="32">F6*$C$78</f>
        <v>0</v>
      </c>
      <c r="G82" s="14">
        <f t="shared" si="32"/>
        <v>0</v>
      </c>
      <c r="H82" s="14">
        <f t="shared" si="32"/>
        <v>0</v>
      </c>
      <c r="I82" s="14">
        <f t="shared" si="32"/>
        <v>0</v>
      </c>
      <c r="J82" s="14">
        <f t="shared" si="32"/>
        <v>0</v>
      </c>
      <c r="K82" s="14">
        <f t="shared" si="32"/>
        <v>0</v>
      </c>
      <c r="L82" s="14">
        <f t="shared" si="32"/>
        <v>0</v>
      </c>
      <c r="M82" s="14">
        <f t="shared" si="32"/>
        <v>0</v>
      </c>
      <c r="N82" s="14">
        <f t="shared" si="32"/>
        <v>0</v>
      </c>
      <c r="O82" s="14">
        <f t="shared" si="32"/>
        <v>0</v>
      </c>
      <c r="P82" s="14">
        <f t="shared" si="32"/>
        <v>0</v>
      </c>
      <c r="Q82" s="14">
        <f t="shared" si="32"/>
        <v>0</v>
      </c>
      <c r="R82" s="14">
        <f t="shared" si="32"/>
        <v>0</v>
      </c>
      <c r="S82" s="14">
        <f t="shared" si="32"/>
        <v>0</v>
      </c>
      <c r="T82" s="14">
        <f t="shared" si="32"/>
        <v>0</v>
      </c>
      <c r="U82" s="14">
        <f t="shared" si="32"/>
        <v>0</v>
      </c>
      <c r="V82" s="14">
        <f t="shared" si="32"/>
        <v>0</v>
      </c>
      <c r="W82" s="14">
        <f t="shared" si="32"/>
        <v>0</v>
      </c>
      <c r="X82" s="14">
        <f t="shared" si="32"/>
        <v>0</v>
      </c>
      <c r="Y82" s="14">
        <f t="shared" si="32"/>
        <v>0</v>
      </c>
      <c r="Z82" s="14">
        <f t="shared" si="32"/>
        <v>0</v>
      </c>
      <c r="AA82" s="14">
        <f t="shared" si="32"/>
        <v>0</v>
      </c>
      <c r="AB82" s="14">
        <f t="shared" si="32"/>
        <v>0</v>
      </c>
      <c r="AC82" s="14">
        <f t="shared" si="32"/>
        <v>0</v>
      </c>
      <c r="AD82" s="14">
        <f t="shared" si="32"/>
        <v>0</v>
      </c>
      <c r="AE82" s="14">
        <f t="shared" si="32"/>
        <v>0</v>
      </c>
      <c r="AF82" s="14">
        <f t="shared" si="32"/>
        <v>0</v>
      </c>
      <c r="AG82" s="14">
        <f t="shared" si="32"/>
        <v>0</v>
      </c>
      <c r="AH82" s="14">
        <f t="shared" si="32"/>
        <v>0</v>
      </c>
      <c r="AI82" s="14">
        <f t="shared" si="32"/>
        <v>0</v>
      </c>
      <c r="AJ82" s="14">
        <f t="shared" si="32"/>
        <v>0</v>
      </c>
      <c r="AK82" s="14">
        <f t="shared" si="32"/>
        <v>0</v>
      </c>
      <c r="AL82" s="14">
        <f t="shared" si="32"/>
        <v>0</v>
      </c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  <c r="BJ82" s="14"/>
      <c r="BK82" s="14"/>
      <c r="BL82" s="14"/>
      <c r="BM82" s="14"/>
      <c r="BN82" s="14"/>
      <c r="BO82" s="14"/>
      <c r="BP82" s="14"/>
      <c r="BQ82" s="14"/>
      <c r="BR82" s="14"/>
      <c r="BS82" s="14"/>
    </row>
    <row r="83" spans="1:71" ht="21" customHeight="1" outlineLevel="1" thickBot="1" x14ac:dyDescent="0.4">
      <c r="A83" s="5">
        <f t="shared" si="30"/>
        <v>0</v>
      </c>
      <c r="B83" s="5">
        <f t="shared" si="30"/>
        <v>0</v>
      </c>
      <c r="C83" s="5">
        <f t="shared" si="30"/>
        <v>0</v>
      </c>
      <c r="D83" s="5">
        <f t="shared" si="30"/>
        <v>0</v>
      </c>
      <c r="E83" s="6">
        <f t="shared" si="26"/>
        <v>0</v>
      </c>
      <c r="F83" s="14">
        <f t="shared" ref="F83:AL83" si="33">F7*$C$78</f>
        <v>0</v>
      </c>
      <c r="G83" s="14">
        <f t="shared" si="33"/>
        <v>0</v>
      </c>
      <c r="H83" s="14">
        <f t="shared" si="33"/>
        <v>0</v>
      </c>
      <c r="I83" s="14">
        <f t="shared" si="33"/>
        <v>0</v>
      </c>
      <c r="J83" s="14">
        <f t="shared" si="33"/>
        <v>0</v>
      </c>
      <c r="K83" s="14">
        <f t="shared" si="33"/>
        <v>0</v>
      </c>
      <c r="L83" s="14">
        <f t="shared" si="33"/>
        <v>0</v>
      </c>
      <c r="M83" s="14">
        <f t="shared" si="33"/>
        <v>0</v>
      </c>
      <c r="N83" s="14">
        <f t="shared" si="33"/>
        <v>0</v>
      </c>
      <c r="O83" s="14">
        <f t="shared" si="33"/>
        <v>0</v>
      </c>
      <c r="P83" s="14">
        <f t="shared" si="33"/>
        <v>0</v>
      </c>
      <c r="Q83" s="14">
        <f t="shared" si="33"/>
        <v>0</v>
      </c>
      <c r="R83" s="14">
        <f t="shared" si="33"/>
        <v>0</v>
      </c>
      <c r="S83" s="14">
        <f t="shared" si="33"/>
        <v>0</v>
      </c>
      <c r="T83" s="14">
        <f t="shared" si="33"/>
        <v>0</v>
      </c>
      <c r="U83" s="14">
        <f t="shared" si="33"/>
        <v>0</v>
      </c>
      <c r="V83" s="14">
        <f t="shared" si="33"/>
        <v>0</v>
      </c>
      <c r="W83" s="14">
        <f t="shared" si="33"/>
        <v>0</v>
      </c>
      <c r="X83" s="14">
        <f t="shared" si="33"/>
        <v>0</v>
      </c>
      <c r="Y83" s="14">
        <f t="shared" si="33"/>
        <v>0</v>
      </c>
      <c r="Z83" s="14">
        <f t="shared" si="33"/>
        <v>0</v>
      </c>
      <c r="AA83" s="14">
        <f t="shared" si="33"/>
        <v>0</v>
      </c>
      <c r="AB83" s="14">
        <f t="shared" si="33"/>
        <v>0</v>
      </c>
      <c r="AC83" s="14">
        <f t="shared" si="33"/>
        <v>0</v>
      </c>
      <c r="AD83" s="14">
        <f t="shared" si="33"/>
        <v>0</v>
      </c>
      <c r="AE83" s="14">
        <f t="shared" si="33"/>
        <v>0</v>
      </c>
      <c r="AF83" s="14">
        <f t="shared" si="33"/>
        <v>0</v>
      </c>
      <c r="AG83" s="14">
        <f t="shared" si="33"/>
        <v>0</v>
      </c>
      <c r="AH83" s="14">
        <f t="shared" si="33"/>
        <v>0</v>
      </c>
      <c r="AI83" s="14">
        <f t="shared" si="33"/>
        <v>0</v>
      </c>
      <c r="AJ83" s="14">
        <f t="shared" si="33"/>
        <v>0</v>
      </c>
      <c r="AK83" s="14">
        <f t="shared" si="33"/>
        <v>0</v>
      </c>
      <c r="AL83" s="14">
        <f t="shared" si="33"/>
        <v>0</v>
      </c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  <c r="BJ83" s="14"/>
      <c r="BK83" s="14"/>
      <c r="BL83" s="14"/>
      <c r="BM83" s="14"/>
      <c r="BN83" s="14"/>
      <c r="BO83" s="14"/>
      <c r="BP83" s="14"/>
      <c r="BQ83" s="14"/>
      <c r="BR83" s="14"/>
      <c r="BS83" s="14"/>
    </row>
    <row r="84" spans="1:71" ht="21" customHeight="1" outlineLevel="1" thickBot="1" x14ac:dyDescent="0.4">
      <c r="A84" s="5">
        <f t="shared" si="30"/>
        <v>0</v>
      </c>
      <c r="B84" s="5">
        <f t="shared" si="30"/>
        <v>0</v>
      </c>
      <c r="C84" s="5">
        <f t="shared" si="30"/>
        <v>0</v>
      </c>
      <c r="D84" s="5">
        <f t="shared" si="30"/>
        <v>0</v>
      </c>
      <c r="E84" s="6">
        <f t="shared" si="26"/>
        <v>0</v>
      </c>
      <c r="F84" s="14">
        <f t="shared" ref="F84:AL84" si="34">F8*$C$78</f>
        <v>0</v>
      </c>
      <c r="G84" s="14">
        <f t="shared" si="34"/>
        <v>0</v>
      </c>
      <c r="H84" s="14">
        <f t="shared" si="34"/>
        <v>0</v>
      </c>
      <c r="I84" s="14">
        <f t="shared" si="34"/>
        <v>0</v>
      </c>
      <c r="J84" s="14">
        <f t="shared" si="34"/>
        <v>0</v>
      </c>
      <c r="K84" s="14">
        <f t="shared" si="34"/>
        <v>0</v>
      </c>
      <c r="L84" s="14">
        <f t="shared" si="34"/>
        <v>0</v>
      </c>
      <c r="M84" s="14">
        <f t="shared" si="34"/>
        <v>0</v>
      </c>
      <c r="N84" s="14">
        <f t="shared" si="34"/>
        <v>0</v>
      </c>
      <c r="O84" s="14">
        <f t="shared" si="34"/>
        <v>0</v>
      </c>
      <c r="P84" s="14">
        <f t="shared" si="34"/>
        <v>0</v>
      </c>
      <c r="Q84" s="14">
        <f t="shared" si="34"/>
        <v>0</v>
      </c>
      <c r="R84" s="14">
        <f t="shared" si="34"/>
        <v>0</v>
      </c>
      <c r="S84" s="14">
        <f t="shared" si="34"/>
        <v>0</v>
      </c>
      <c r="T84" s="14">
        <f t="shared" si="34"/>
        <v>0</v>
      </c>
      <c r="U84" s="14">
        <f t="shared" si="34"/>
        <v>0</v>
      </c>
      <c r="V84" s="14">
        <f t="shared" si="34"/>
        <v>0</v>
      </c>
      <c r="W84" s="14">
        <f t="shared" si="34"/>
        <v>0</v>
      </c>
      <c r="X84" s="14">
        <f t="shared" si="34"/>
        <v>0</v>
      </c>
      <c r="Y84" s="14">
        <f t="shared" si="34"/>
        <v>0</v>
      </c>
      <c r="Z84" s="14">
        <f t="shared" si="34"/>
        <v>0</v>
      </c>
      <c r="AA84" s="14">
        <f t="shared" si="34"/>
        <v>0</v>
      </c>
      <c r="AB84" s="14">
        <f t="shared" si="34"/>
        <v>0</v>
      </c>
      <c r="AC84" s="14">
        <f t="shared" si="34"/>
        <v>0</v>
      </c>
      <c r="AD84" s="14">
        <f t="shared" si="34"/>
        <v>0</v>
      </c>
      <c r="AE84" s="14">
        <f t="shared" si="34"/>
        <v>0</v>
      </c>
      <c r="AF84" s="14">
        <f t="shared" si="34"/>
        <v>0</v>
      </c>
      <c r="AG84" s="14">
        <f t="shared" si="34"/>
        <v>0</v>
      </c>
      <c r="AH84" s="14">
        <f t="shared" si="34"/>
        <v>0</v>
      </c>
      <c r="AI84" s="14">
        <f t="shared" si="34"/>
        <v>0</v>
      </c>
      <c r="AJ84" s="14">
        <f t="shared" si="34"/>
        <v>0</v>
      </c>
      <c r="AK84" s="14">
        <f t="shared" si="34"/>
        <v>0</v>
      </c>
      <c r="AL84" s="14">
        <f t="shared" si="34"/>
        <v>0</v>
      </c>
      <c r="AM84" s="14"/>
      <c r="AN84" s="14"/>
      <c r="AO84" s="14"/>
      <c r="AP84" s="14"/>
      <c r="AQ84" s="14"/>
      <c r="AR84" s="14"/>
      <c r="AS84" s="14"/>
      <c r="AT84" s="14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4"/>
      <c r="BF84" s="14"/>
      <c r="BG84" s="14"/>
      <c r="BH84" s="14"/>
      <c r="BI84" s="14"/>
      <c r="BJ84" s="14"/>
      <c r="BK84" s="14"/>
      <c r="BL84" s="14"/>
      <c r="BM84" s="14"/>
      <c r="BN84" s="14"/>
      <c r="BO84" s="14"/>
      <c r="BP84" s="14"/>
      <c r="BQ84" s="14"/>
      <c r="BR84" s="14"/>
      <c r="BS84" s="14"/>
    </row>
    <row r="85" spans="1:71" ht="21" customHeight="1" outlineLevel="1" thickBot="1" x14ac:dyDescent="0.4">
      <c r="A85" s="5">
        <f t="shared" si="30"/>
        <v>0</v>
      </c>
      <c r="B85" s="5">
        <f t="shared" si="30"/>
        <v>0</v>
      </c>
      <c r="C85" s="5">
        <f t="shared" si="30"/>
        <v>0</v>
      </c>
      <c r="D85" s="5">
        <f t="shared" si="30"/>
        <v>0</v>
      </c>
      <c r="E85" s="6">
        <f t="shared" si="26"/>
        <v>0</v>
      </c>
      <c r="F85" s="14">
        <f t="shared" ref="F85:AL85" si="35">F9*$C$78</f>
        <v>0</v>
      </c>
      <c r="G85" s="14">
        <f t="shared" si="35"/>
        <v>0</v>
      </c>
      <c r="H85" s="14">
        <f t="shared" si="35"/>
        <v>0</v>
      </c>
      <c r="I85" s="14">
        <f t="shared" si="35"/>
        <v>0</v>
      </c>
      <c r="J85" s="14">
        <f t="shared" si="35"/>
        <v>0</v>
      </c>
      <c r="K85" s="14">
        <f t="shared" si="35"/>
        <v>0</v>
      </c>
      <c r="L85" s="14">
        <f t="shared" si="35"/>
        <v>0</v>
      </c>
      <c r="M85" s="14">
        <f t="shared" si="35"/>
        <v>0</v>
      </c>
      <c r="N85" s="14">
        <f t="shared" si="35"/>
        <v>0</v>
      </c>
      <c r="O85" s="14">
        <f t="shared" si="35"/>
        <v>0</v>
      </c>
      <c r="P85" s="14">
        <f t="shared" si="35"/>
        <v>0</v>
      </c>
      <c r="Q85" s="14">
        <f t="shared" si="35"/>
        <v>0</v>
      </c>
      <c r="R85" s="14">
        <f t="shared" si="35"/>
        <v>0</v>
      </c>
      <c r="S85" s="14">
        <f t="shared" si="35"/>
        <v>0</v>
      </c>
      <c r="T85" s="14">
        <f t="shared" si="35"/>
        <v>0</v>
      </c>
      <c r="U85" s="14">
        <f t="shared" si="35"/>
        <v>0</v>
      </c>
      <c r="V85" s="14">
        <f t="shared" si="35"/>
        <v>0</v>
      </c>
      <c r="W85" s="14">
        <f t="shared" si="35"/>
        <v>0</v>
      </c>
      <c r="X85" s="14">
        <f t="shared" si="35"/>
        <v>0</v>
      </c>
      <c r="Y85" s="14">
        <f t="shared" si="35"/>
        <v>0</v>
      </c>
      <c r="Z85" s="14">
        <f t="shared" si="35"/>
        <v>0</v>
      </c>
      <c r="AA85" s="14">
        <f t="shared" si="35"/>
        <v>0</v>
      </c>
      <c r="AB85" s="14">
        <f t="shared" si="35"/>
        <v>0</v>
      </c>
      <c r="AC85" s="14">
        <f t="shared" si="35"/>
        <v>0</v>
      </c>
      <c r="AD85" s="14">
        <f t="shared" si="35"/>
        <v>0</v>
      </c>
      <c r="AE85" s="14">
        <f t="shared" si="35"/>
        <v>0</v>
      </c>
      <c r="AF85" s="14">
        <f t="shared" si="35"/>
        <v>0</v>
      </c>
      <c r="AG85" s="14">
        <f t="shared" si="35"/>
        <v>0</v>
      </c>
      <c r="AH85" s="14">
        <f t="shared" si="35"/>
        <v>0</v>
      </c>
      <c r="AI85" s="14">
        <f t="shared" si="35"/>
        <v>0</v>
      </c>
      <c r="AJ85" s="14">
        <f t="shared" si="35"/>
        <v>0</v>
      </c>
      <c r="AK85" s="14">
        <f t="shared" si="35"/>
        <v>0</v>
      </c>
      <c r="AL85" s="14">
        <f t="shared" si="35"/>
        <v>0</v>
      </c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  <c r="BH85" s="14"/>
      <c r="BI85" s="14"/>
      <c r="BJ85" s="14"/>
      <c r="BK85" s="14"/>
      <c r="BL85" s="14"/>
      <c r="BM85" s="14"/>
      <c r="BN85" s="14"/>
      <c r="BO85" s="14"/>
      <c r="BP85" s="14"/>
      <c r="BQ85" s="14"/>
      <c r="BR85" s="14"/>
      <c r="BS85" s="14"/>
    </row>
    <row r="86" spans="1:71" ht="21" customHeight="1" outlineLevel="1" thickBot="1" x14ac:dyDescent="0.4">
      <c r="A86" s="5">
        <f t="shared" si="30"/>
        <v>0</v>
      </c>
      <c r="B86" s="5">
        <f t="shared" si="30"/>
        <v>0</v>
      </c>
      <c r="C86" s="5">
        <f t="shared" si="30"/>
        <v>0</v>
      </c>
      <c r="D86" s="5">
        <f t="shared" si="30"/>
        <v>0</v>
      </c>
      <c r="E86" s="6">
        <f t="shared" si="26"/>
        <v>0</v>
      </c>
      <c r="F86" s="14">
        <f t="shared" ref="F86:AL86" si="36">F10*$C$78</f>
        <v>0</v>
      </c>
      <c r="G86" s="14">
        <f t="shared" si="36"/>
        <v>0</v>
      </c>
      <c r="H86" s="14">
        <f t="shared" si="36"/>
        <v>0</v>
      </c>
      <c r="I86" s="14">
        <f t="shared" si="36"/>
        <v>0</v>
      </c>
      <c r="J86" s="14">
        <f t="shared" si="36"/>
        <v>0</v>
      </c>
      <c r="K86" s="14">
        <f t="shared" si="36"/>
        <v>0</v>
      </c>
      <c r="L86" s="14">
        <f t="shared" si="36"/>
        <v>0</v>
      </c>
      <c r="M86" s="14">
        <f t="shared" si="36"/>
        <v>0</v>
      </c>
      <c r="N86" s="14">
        <f t="shared" si="36"/>
        <v>0</v>
      </c>
      <c r="O86" s="14">
        <f t="shared" si="36"/>
        <v>0</v>
      </c>
      <c r="P86" s="14">
        <f t="shared" si="36"/>
        <v>0</v>
      </c>
      <c r="Q86" s="14">
        <f t="shared" si="36"/>
        <v>0</v>
      </c>
      <c r="R86" s="14">
        <f t="shared" si="36"/>
        <v>0</v>
      </c>
      <c r="S86" s="14">
        <f t="shared" si="36"/>
        <v>0</v>
      </c>
      <c r="T86" s="14">
        <f t="shared" si="36"/>
        <v>0</v>
      </c>
      <c r="U86" s="14">
        <f t="shared" si="36"/>
        <v>0</v>
      </c>
      <c r="V86" s="14">
        <f t="shared" si="36"/>
        <v>0</v>
      </c>
      <c r="W86" s="14">
        <f t="shared" si="36"/>
        <v>0</v>
      </c>
      <c r="X86" s="14">
        <f t="shared" si="36"/>
        <v>0</v>
      </c>
      <c r="Y86" s="14">
        <f t="shared" si="36"/>
        <v>0</v>
      </c>
      <c r="Z86" s="14">
        <f t="shared" si="36"/>
        <v>0</v>
      </c>
      <c r="AA86" s="14">
        <f t="shared" si="36"/>
        <v>0</v>
      </c>
      <c r="AB86" s="14">
        <f t="shared" si="36"/>
        <v>0</v>
      </c>
      <c r="AC86" s="14">
        <f t="shared" si="36"/>
        <v>0</v>
      </c>
      <c r="AD86" s="14">
        <f t="shared" si="36"/>
        <v>0</v>
      </c>
      <c r="AE86" s="14">
        <f t="shared" si="36"/>
        <v>0</v>
      </c>
      <c r="AF86" s="14">
        <f t="shared" si="36"/>
        <v>0</v>
      </c>
      <c r="AG86" s="14">
        <f t="shared" si="36"/>
        <v>0</v>
      </c>
      <c r="AH86" s="14">
        <f t="shared" si="36"/>
        <v>0</v>
      </c>
      <c r="AI86" s="14">
        <f t="shared" si="36"/>
        <v>0</v>
      </c>
      <c r="AJ86" s="14">
        <f t="shared" si="36"/>
        <v>0</v>
      </c>
      <c r="AK86" s="14">
        <f t="shared" si="36"/>
        <v>0</v>
      </c>
      <c r="AL86" s="14">
        <f t="shared" si="36"/>
        <v>0</v>
      </c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14"/>
      <c r="BK86" s="14"/>
      <c r="BL86" s="14"/>
      <c r="BM86" s="14"/>
      <c r="BN86" s="14"/>
      <c r="BO86" s="14"/>
      <c r="BP86" s="14"/>
      <c r="BQ86" s="14"/>
      <c r="BR86" s="14"/>
      <c r="BS86" s="14"/>
    </row>
    <row r="87" spans="1:71" ht="21" customHeight="1" outlineLevel="1" thickBot="1" x14ac:dyDescent="0.4">
      <c r="A87" s="5">
        <f t="shared" si="30"/>
        <v>0</v>
      </c>
      <c r="B87" s="5">
        <f t="shared" si="30"/>
        <v>0</v>
      </c>
      <c r="C87" s="5">
        <f t="shared" si="30"/>
        <v>0</v>
      </c>
      <c r="D87" s="5">
        <f t="shared" si="30"/>
        <v>0</v>
      </c>
      <c r="E87" s="6">
        <f t="shared" si="26"/>
        <v>0</v>
      </c>
      <c r="F87" s="14">
        <f t="shared" ref="F87:AL87" si="37">F11*$C$78</f>
        <v>0</v>
      </c>
      <c r="G87" s="14">
        <f t="shared" si="37"/>
        <v>0</v>
      </c>
      <c r="H87" s="14">
        <f t="shared" si="37"/>
        <v>0</v>
      </c>
      <c r="I87" s="14">
        <f t="shared" si="37"/>
        <v>0</v>
      </c>
      <c r="J87" s="14">
        <f t="shared" si="37"/>
        <v>0</v>
      </c>
      <c r="K87" s="14">
        <f t="shared" si="37"/>
        <v>0</v>
      </c>
      <c r="L87" s="14">
        <f t="shared" si="37"/>
        <v>0</v>
      </c>
      <c r="M87" s="14">
        <f t="shared" si="37"/>
        <v>0</v>
      </c>
      <c r="N87" s="14">
        <f t="shared" si="37"/>
        <v>0</v>
      </c>
      <c r="O87" s="14">
        <f t="shared" si="37"/>
        <v>0</v>
      </c>
      <c r="P87" s="14">
        <f t="shared" si="37"/>
        <v>0</v>
      </c>
      <c r="Q87" s="14">
        <f t="shared" si="37"/>
        <v>0</v>
      </c>
      <c r="R87" s="14">
        <f t="shared" si="37"/>
        <v>0</v>
      </c>
      <c r="S87" s="14">
        <f t="shared" si="37"/>
        <v>0</v>
      </c>
      <c r="T87" s="14">
        <f t="shared" si="37"/>
        <v>0</v>
      </c>
      <c r="U87" s="14">
        <f t="shared" si="37"/>
        <v>0</v>
      </c>
      <c r="V87" s="14">
        <f t="shared" si="37"/>
        <v>0</v>
      </c>
      <c r="W87" s="14">
        <f t="shared" si="37"/>
        <v>0</v>
      </c>
      <c r="X87" s="14">
        <f t="shared" si="37"/>
        <v>0</v>
      </c>
      <c r="Y87" s="14">
        <f t="shared" si="37"/>
        <v>0</v>
      </c>
      <c r="Z87" s="14">
        <f t="shared" si="37"/>
        <v>0</v>
      </c>
      <c r="AA87" s="14">
        <f t="shared" si="37"/>
        <v>0</v>
      </c>
      <c r="AB87" s="14">
        <f t="shared" si="37"/>
        <v>0</v>
      </c>
      <c r="AC87" s="14">
        <f t="shared" si="37"/>
        <v>0</v>
      </c>
      <c r="AD87" s="14">
        <f t="shared" si="37"/>
        <v>0</v>
      </c>
      <c r="AE87" s="14">
        <f t="shared" si="37"/>
        <v>0</v>
      </c>
      <c r="AF87" s="14">
        <f t="shared" si="37"/>
        <v>0</v>
      </c>
      <c r="AG87" s="14">
        <f t="shared" si="37"/>
        <v>0</v>
      </c>
      <c r="AH87" s="14">
        <f t="shared" si="37"/>
        <v>0</v>
      </c>
      <c r="AI87" s="14">
        <f t="shared" si="37"/>
        <v>0</v>
      </c>
      <c r="AJ87" s="14">
        <f t="shared" si="37"/>
        <v>0</v>
      </c>
      <c r="AK87" s="14">
        <f t="shared" si="37"/>
        <v>0</v>
      </c>
      <c r="AL87" s="14">
        <f t="shared" si="37"/>
        <v>0</v>
      </c>
      <c r="AM87" s="14"/>
      <c r="AN87" s="14"/>
      <c r="AO87" s="14"/>
      <c r="AP87" s="14"/>
      <c r="AQ87" s="14"/>
      <c r="AR87" s="14"/>
      <c r="AS87" s="14"/>
      <c r="AT87" s="14"/>
      <c r="AU87" s="14"/>
      <c r="AV87" s="14"/>
      <c r="AW87" s="14"/>
      <c r="AX87" s="14"/>
      <c r="AY87" s="14"/>
      <c r="AZ87" s="14"/>
      <c r="BA87" s="14"/>
      <c r="BB87" s="14"/>
      <c r="BC87" s="14"/>
      <c r="BD87" s="14"/>
      <c r="BE87" s="14"/>
      <c r="BF87" s="14"/>
      <c r="BG87" s="14"/>
      <c r="BH87" s="14"/>
      <c r="BI87" s="14"/>
      <c r="BJ87" s="14"/>
      <c r="BK87" s="14"/>
      <c r="BL87" s="14"/>
      <c r="BM87" s="14"/>
      <c r="BN87" s="14"/>
      <c r="BO87" s="14"/>
      <c r="BP87" s="14"/>
      <c r="BQ87" s="14"/>
      <c r="BR87" s="14"/>
      <c r="BS87" s="14"/>
    </row>
    <row r="88" spans="1:71" ht="21" customHeight="1" outlineLevel="1" thickBot="1" x14ac:dyDescent="0.4">
      <c r="A88" s="5">
        <f t="shared" si="30"/>
        <v>0</v>
      </c>
      <c r="B88" s="5">
        <f t="shared" si="30"/>
        <v>0</v>
      </c>
      <c r="C88" s="5">
        <f t="shared" si="30"/>
        <v>0</v>
      </c>
      <c r="D88" s="5">
        <f t="shared" si="30"/>
        <v>0</v>
      </c>
      <c r="E88" s="6">
        <f t="shared" si="26"/>
        <v>0</v>
      </c>
      <c r="F88" s="14">
        <f t="shared" ref="F88:AL88" si="38">F12*$C$78</f>
        <v>0</v>
      </c>
      <c r="G88" s="14">
        <f t="shared" si="38"/>
        <v>0</v>
      </c>
      <c r="H88" s="14">
        <f t="shared" si="38"/>
        <v>0</v>
      </c>
      <c r="I88" s="14">
        <f t="shared" si="38"/>
        <v>0</v>
      </c>
      <c r="J88" s="14">
        <f t="shared" si="38"/>
        <v>0</v>
      </c>
      <c r="K88" s="14">
        <f t="shared" si="38"/>
        <v>0</v>
      </c>
      <c r="L88" s="14">
        <f t="shared" si="38"/>
        <v>0</v>
      </c>
      <c r="M88" s="14">
        <f t="shared" si="38"/>
        <v>0</v>
      </c>
      <c r="N88" s="14">
        <f t="shared" si="38"/>
        <v>0</v>
      </c>
      <c r="O88" s="14">
        <f t="shared" si="38"/>
        <v>0</v>
      </c>
      <c r="P88" s="14">
        <f t="shared" si="38"/>
        <v>0</v>
      </c>
      <c r="Q88" s="14">
        <f t="shared" si="38"/>
        <v>0</v>
      </c>
      <c r="R88" s="14">
        <f t="shared" si="38"/>
        <v>0</v>
      </c>
      <c r="S88" s="14">
        <f t="shared" si="38"/>
        <v>0</v>
      </c>
      <c r="T88" s="14">
        <f t="shared" si="38"/>
        <v>0</v>
      </c>
      <c r="U88" s="14">
        <f t="shared" si="38"/>
        <v>0</v>
      </c>
      <c r="V88" s="14">
        <f t="shared" si="38"/>
        <v>0</v>
      </c>
      <c r="W88" s="14">
        <f t="shared" si="38"/>
        <v>0</v>
      </c>
      <c r="X88" s="14">
        <f t="shared" si="38"/>
        <v>0</v>
      </c>
      <c r="Y88" s="14">
        <f t="shared" si="38"/>
        <v>0</v>
      </c>
      <c r="Z88" s="14">
        <f t="shared" si="38"/>
        <v>0</v>
      </c>
      <c r="AA88" s="14">
        <f t="shared" si="38"/>
        <v>0</v>
      </c>
      <c r="AB88" s="14">
        <f t="shared" si="38"/>
        <v>0</v>
      </c>
      <c r="AC88" s="14">
        <f t="shared" si="38"/>
        <v>0</v>
      </c>
      <c r="AD88" s="14">
        <f t="shared" si="38"/>
        <v>0</v>
      </c>
      <c r="AE88" s="14">
        <f t="shared" si="38"/>
        <v>0</v>
      </c>
      <c r="AF88" s="14">
        <f t="shared" si="38"/>
        <v>0</v>
      </c>
      <c r="AG88" s="14">
        <f t="shared" si="38"/>
        <v>0</v>
      </c>
      <c r="AH88" s="14">
        <f t="shared" si="38"/>
        <v>0</v>
      </c>
      <c r="AI88" s="14">
        <f t="shared" si="38"/>
        <v>0</v>
      </c>
      <c r="AJ88" s="14">
        <f t="shared" si="38"/>
        <v>0</v>
      </c>
      <c r="AK88" s="14">
        <f t="shared" si="38"/>
        <v>0</v>
      </c>
      <c r="AL88" s="14">
        <f t="shared" si="38"/>
        <v>0</v>
      </c>
      <c r="AM88" s="14"/>
      <c r="AN88" s="14"/>
      <c r="AO88" s="14"/>
      <c r="AP88" s="14"/>
      <c r="AQ88" s="14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  <c r="BH88" s="14"/>
      <c r="BI88" s="14"/>
      <c r="BJ88" s="14"/>
      <c r="BK88" s="14"/>
      <c r="BL88" s="14"/>
      <c r="BM88" s="14"/>
      <c r="BN88" s="14"/>
      <c r="BO88" s="14"/>
      <c r="BP88" s="14"/>
      <c r="BQ88" s="14"/>
      <c r="BR88" s="14"/>
      <c r="BS88" s="14"/>
    </row>
    <row r="89" spans="1:71" ht="21" customHeight="1" outlineLevel="1" thickBot="1" x14ac:dyDescent="0.4">
      <c r="A89" s="5">
        <f t="shared" si="30"/>
        <v>0</v>
      </c>
      <c r="B89" s="5">
        <f t="shared" si="30"/>
        <v>0</v>
      </c>
      <c r="C89" s="5">
        <f t="shared" si="30"/>
        <v>0</v>
      </c>
      <c r="D89" s="5">
        <f t="shared" si="30"/>
        <v>0</v>
      </c>
      <c r="E89" s="6">
        <f t="shared" si="26"/>
        <v>0</v>
      </c>
      <c r="F89" s="14">
        <f t="shared" ref="F89:AL89" si="39">F13*$C$78</f>
        <v>0</v>
      </c>
      <c r="G89" s="14">
        <f t="shared" si="39"/>
        <v>0</v>
      </c>
      <c r="H89" s="14">
        <f t="shared" si="39"/>
        <v>0</v>
      </c>
      <c r="I89" s="14">
        <f t="shared" si="39"/>
        <v>0</v>
      </c>
      <c r="J89" s="14">
        <f t="shared" si="39"/>
        <v>0</v>
      </c>
      <c r="K89" s="14">
        <f t="shared" si="39"/>
        <v>0</v>
      </c>
      <c r="L89" s="14">
        <f t="shared" si="39"/>
        <v>0</v>
      </c>
      <c r="M89" s="14">
        <f t="shared" si="39"/>
        <v>0</v>
      </c>
      <c r="N89" s="14">
        <f t="shared" si="39"/>
        <v>0</v>
      </c>
      <c r="O89" s="14">
        <f t="shared" si="39"/>
        <v>0</v>
      </c>
      <c r="P89" s="14">
        <f t="shared" si="39"/>
        <v>0</v>
      </c>
      <c r="Q89" s="14">
        <f t="shared" si="39"/>
        <v>0</v>
      </c>
      <c r="R89" s="14">
        <f t="shared" si="39"/>
        <v>0</v>
      </c>
      <c r="S89" s="14">
        <f t="shared" si="39"/>
        <v>0</v>
      </c>
      <c r="T89" s="14">
        <f t="shared" si="39"/>
        <v>0</v>
      </c>
      <c r="U89" s="14">
        <f t="shared" si="39"/>
        <v>0</v>
      </c>
      <c r="V89" s="14">
        <f t="shared" si="39"/>
        <v>0</v>
      </c>
      <c r="W89" s="14">
        <f t="shared" si="39"/>
        <v>0</v>
      </c>
      <c r="X89" s="14">
        <f t="shared" si="39"/>
        <v>0</v>
      </c>
      <c r="Y89" s="14">
        <f t="shared" si="39"/>
        <v>0</v>
      </c>
      <c r="Z89" s="14">
        <f t="shared" si="39"/>
        <v>0</v>
      </c>
      <c r="AA89" s="14">
        <f t="shared" si="39"/>
        <v>0</v>
      </c>
      <c r="AB89" s="14">
        <f t="shared" si="39"/>
        <v>0</v>
      </c>
      <c r="AC89" s="14">
        <f t="shared" si="39"/>
        <v>0</v>
      </c>
      <c r="AD89" s="14">
        <f t="shared" si="39"/>
        <v>0</v>
      </c>
      <c r="AE89" s="14">
        <f t="shared" si="39"/>
        <v>0</v>
      </c>
      <c r="AF89" s="14">
        <f t="shared" si="39"/>
        <v>0</v>
      </c>
      <c r="AG89" s="14">
        <f t="shared" si="39"/>
        <v>0</v>
      </c>
      <c r="AH89" s="14">
        <f t="shared" si="39"/>
        <v>0</v>
      </c>
      <c r="AI89" s="14">
        <f t="shared" si="39"/>
        <v>0</v>
      </c>
      <c r="AJ89" s="14">
        <f t="shared" si="39"/>
        <v>0</v>
      </c>
      <c r="AK89" s="14">
        <f t="shared" si="39"/>
        <v>0</v>
      </c>
      <c r="AL89" s="14">
        <f t="shared" si="39"/>
        <v>0</v>
      </c>
      <c r="AM89" s="14"/>
      <c r="AN89" s="14"/>
      <c r="AO89" s="14"/>
      <c r="AP89" s="14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4"/>
      <c r="BN89" s="14"/>
      <c r="BO89" s="14"/>
      <c r="BP89" s="14"/>
      <c r="BQ89" s="14"/>
      <c r="BR89" s="14"/>
      <c r="BS89" s="14"/>
    </row>
    <row r="90" spans="1:71" ht="21" customHeight="1" outlineLevel="1" thickBot="1" x14ac:dyDescent="0.4">
      <c r="A90" s="5">
        <f t="shared" si="30"/>
        <v>0</v>
      </c>
      <c r="B90" s="5">
        <f t="shared" si="30"/>
        <v>0</v>
      </c>
      <c r="C90" s="5">
        <f t="shared" si="30"/>
        <v>0</v>
      </c>
      <c r="D90" s="5">
        <f t="shared" si="30"/>
        <v>0</v>
      </c>
      <c r="E90" s="6">
        <f t="shared" si="26"/>
        <v>0</v>
      </c>
      <c r="F90" s="14">
        <f t="shared" ref="F90:AL90" si="40">F14*$C$78</f>
        <v>0</v>
      </c>
      <c r="G90" s="14">
        <f t="shared" si="40"/>
        <v>0</v>
      </c>
      <c r="H90" s="14">
        <f t="shared" si="40"/>
        <v>0</v>
      </c>
      <c r="I90" s="14">
        <f t="shared" si="40"/>
        <v>0</v>
      </c>
      <c r="J90" s="14">
        <f t="shared" si="40"/>
        <v>0</v>
      </c>
      <c r="K90" s="14">
        <f t="shared" si="40"/>
        <v>0</v>
      </c>
      <c r="L90" s="14">
        <f t="shared" si="40"/>
        <v>0</v>
      </c>
      <c r="M90" s="14">
        <f t="shared" si="40"/>
        <v>0</v>
      </c>
      <c r="N90" s="14">
        <f t="shared" si="40"/>
        <v>0</v>
      </c>
      <c r="O90" s="14">
        <f t="shared" si="40"/>
        <v>0</v>
      </c>
      <c r="P90" s="14">
        <f t="shared" si="40"/>
        <v>0</v>
      </c>
      <c r="Q90" s="14">
        <f t="shared" si="40"/>
        <v>0</v>
      </c>
      <c r="R90" s="14">
        <f t="shared" si="40"/>
        <v>0</v>
      </c>
      <c r="S90" s="14">
        <f t="shared" si="40"/>
        <v>0</v>
      </c>
      <c r="T90" s="14">
        <f t="shared" si="40"/>
        <v>0</v>
      </c>
      <c r="U90" s="14">
        <f t="shared" si="40"/>
        <v>0</v>
      </c>
      <c r="V90" s="14">
        <f t="shared" si="40"/>
        <v>0</v>
      </c>
      <c r="W90" s="14">
        <f t="shared" si="40"/>
        <v>0</v>
      </c>
      <c r="X90" s="14">
        <f t="shared" si="40"/>
        <v>0</v>
      </c>
      <c r="Y90" s="14">
        <f t="shared" si="40"/>
        <v>0</v>
      </c>
      <c r="Z90" s="14">
        <f t="shared" si="40"/>
        <v>0</v>
      </c>
      <c r="AA90" s="14">
        <f t="shared" si="40"/>
        <v>0</v>
      </c>
      <c r="AB90" s="14">
        <f t="shared" si="40"/>
        <v>0</v>
      </c>
      <c r="AC90" s="14">
        <f t="shared" si="40"/>
        <v>0</v>
      </c>
      <c r="AD90" s="14">
        <f t="shared" si="40"/>
        <v>0</v>
      </c>
      <c r="AE90" s="14">
        <f t="shared" si="40"/>
        <v>0</v>
      </c>
      <c r="AF90" s="14">
        <f t="shared" si="40"/>
        <v>0</v>
      </c>
      <c r="AG90" s="14">
        <f t="shared" si="40"/>
        <v>0</v>
      </c>
      <c r="AH90" s="14">
        <f t="shared" si="40"/>
        <v>0</v>
      </c>
      <c r="AI90" s="14">
        <f t="shared" si="40"/>
        <v>0</v>
      </c>
      <c r="AJ90" s="14">
        <f t="shared" si="40"/>
        <v>0</v>
      </c>
      <c r="AK90" s="14">
        <f t="shared" si="40"/>
        <v>0</v>
      </c>
      <c r="AL90" s="14">
        <f t="shared" si="40"/>
        <v>0</v>
      </c>
      <c r="AM90" s="14"/>
      <c r="AN90" s="14"/>
      <c r="AO90" s="14"/>
      <c r="AP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  <c r="BH90" s="14"/>
      <c r="BI90" s="14"/>
      <c r="BJ90" s="14"/>
      <c r="BK90" s="14"/>
      <c r="BL90" s="14"/>
      <c r="BM90" s="14"/>
      <c r="BN90" s="14"/>
      <c r="BO90" s="14"/>
      <c r="BP90" s="14"/>
      <c r="BQ90" s="14"/>
      <c r="BR90" s="14"/>
      <c r="BS90" s="14"/>
    </row>
    <row r="91" spans="1:71" ht="21" customHeight="1" outlineLevel="1" thickBot="1" x14ac:dyDescent="0.4">
      <c r="A91" s="5">
        <f t="shared" si="30"/>
        <v>0</v>
      </c>
      <c r="B91" s="5">
        <f t="shared" si="30"/>
        <v>0</v>
      </c>
      <c r="C91" s="5">
        <f t="shared" si="30"/>
        <v>0</v>
      </c>
      <c r="D91" s="5">
        <f t="shared" si="30"/>
        <v>0</v>
      </c>
      <c r="E91" s="6">
        <f t="shared" si="26"/>
        <v>0</v>
      </c>
      <c r="F91" s="14">
        <f t="shared" ref="F91:AL91" si="41">F15*$C$78</f>
        <v>0</v>
      </c>
      <c r="G91" s="14">
        <f t="shared" si="41"/>
        <v>0</v>
      </c>
      <c r="H91" s="14">
        <f t="shared" si="41"/>
        <v>0</v>
      </c>
      <c r="I91" s="14">
        <f t="shared" si="41"/>
        <v>0</v>
      </c>
      <c r="J91" s="14">
        <f t="shared" si="41"/>
        <v>0</v>
      </c>
      <c r="K91" s="14">
        <f t="shared" si="41"/>
        <v>0</v>
      </c>
      <c r="L91" s="14">
        <f t="shared" si="41"/>
        <v>0</v>
      </c>
      <c r="M91" s="14">
        <f t="shared" si="41"/>
        <v>0</v>
      </c>
      <c r="N91" s="14">
        <f t="shared" si="41"/>
        <v>0</v>
      </c>
      <c r="O91" s="14">
        <f t="shared" si="41"/>
        <v>0</v>
      </c>
      <c r="P91" s="14">
        <f t="shared" si="41"/>
        <v>0</v>
      </c>
      <c r="Q91" s="14">
        <f t="shared" si="41"/>
        <v>0</v>
      </c>
      <c r="R91" s="14">
        <f t="shared" si="41"/>
        <v>0</v>
      </c>
      <c r="S91" s="14">
        <f t="shared" si="41"/>
        <v>0</v>
      </c>
      <c r="T91" s="14">
        <f t="shared" si="41"/>
        <v>0</v>
      </c>
      <c r="U91" s="14">
        <f t="shared" si="41"/>
        <v>0</v>
      </c>
      <c r="V91" s="14">
        <f t="shared" si="41"/>
        <v>0</v>
      </c>
      <c r="W91" s="14">
        <f t="shared" si="41"/>
        <v>0</v>
      </c>
      <c r="X91" s="14">
        <f t="shared" si="41"/>
        <v>0</v>
      </c>
      <c r="Y91" s="14">
        <f t="shared" si="41"/>
        <v>0</v>
      </c>
      <c r="Z91" s="14">
        <f t="shared" si="41"/>
        <v>0</v>
      </c>
      <c r="AA91" s="14">
        <f t="shared" si="41"/>
        <v>0</v>
      </c>
      <c r="AB91" s="14">
        <f t="shared" si="41"/>
        <v>0</v>
      </c>
      <c r="AC91" s="14">
        <f t="shared" si="41"/>
        <v>0</v>
      </c>
      <c r="AD91" s="14">
        <f t="shared" si="41"/>
        <v>0</v>
      </c>
      <c r="AE91" s="14">
        <f t="shared" si="41"/>
        <v>0</v>
      </c>
      <c r="AF91" s="14">
        <f t="shared" si="41"/>
        <v>0</v>
      </c>
      <c r="AG91" s="14">
        <f t="shared" si="41"/>
        <v>0</v>
      </c>
      <c r="AH91" s="14">
        <f t="shared" si="41"/>
        <v>0</v>
      </c>
      <c r="AI91" s="14">
        <f t="shared" si="41"/>
        <v>0</v>
      </c>
      <c r="AJ91" s="14">
        <f t="shared" si="41"/>
        <v>0</v>
      </c>
      <c r="AK91" s="14">
        <f t="shared" si="41"/>
        <v>0</v>
      </c>
      <c r="AL91" s="14">
        <f t="shared" si="41"/>
        <v>0</v>
      </c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/>
      <c r="BP91" s="14"/>
      <c r="BQ91" s="14"/>
      <c r="BR91" s="14"/>
      <c r="BS91" s="14"/>
    </row>
    <row r="92" spans="1:71" ht="21" customHeight="1" outlineLevel="1" thickBot="1" x14ac:dyDescent="0.4">
      <c r="A92" s="5">
        <f t="shared" si="30"/>
        <v>0</v>
      </c>
      <c r="B92" s="5">
        <f t="shared" si="30"/>
        <v>0</v>
      </c>
      <c r="C92" s="5">
        <f t="shared" si="30"/>
        <v>0</v>
      </c>
      <c r="D92" s="5">
        <f t="shared" si="30"/>
        <v>0</v>
      </c>
      <c r="E92" s="6">
        <f t="shared" si="26"/>
        <v>0</v>
      </c>
      <c r="F92" s="14">
        <f t="shared" ref="F92:AL92" si="42">F16*$C$78</f>
        <v>0</v>
      </c>
      <c r="G92" s="14">
        <f t="shared" si="42"/>
        <v>0</v>
      </c>
      <c r="H92" s="14">
        <f t="shared" si="42"/>
        <v>0</v>
      </c>
      <c r="I92" s="14">
        <f t="shared" si="42"/>
        <v>0</v>
      </c>
      <c r="J92" s="14">
        <f t="shared" si="42"/>
        <v>0</v>
      </c>
      <c r="K92" s="14">
        <f t="shared" si="42"/>
        <v>0</v>
      </c>
      <c r="L92" s="14">
        <f t="shared" si="42"/>
        <v>0</v>
      </c>
      <c r="M92" s="14">
        <f t="shared" si="42"/>
        <v>0</v>
      </c>
      <c r="N92" s="14">
        <f t="shared" si="42"/>
        <v>0</v>
      </c>
      <c r="O92" s="14">
        <f t="shared" si="42"/>
        <v>0</v>
      </c>
      <c r="P92" s="14">
        <f t="shared" si="42"/>
        <v>0</v>
      </c>
      <c r="Q92" s="14">
        <f t="shared" si="42"/>
        <v>0</v>
      </c>
      <c r="R92" s="14">
        <f t="shared" si="42"/>
        <v>0</v>
      </c>
      <c r="S92" s="14">
        <f t="shared" si="42"/>
        <v>0</v>
      </c>
      <c r="T92" s="14">
        <f t="shared" si="42"/>
        <v>0</v>
      </c>
      <c r="U92" s="14">
        <f t="shared" si="42"/>
        <v>0</v>
      </c>
      <c r="V92" s="14">
        <f t="shared" si="42"/>
        <v>0</v>
      </c>
      <c r="W92" s="14">
        <f t="shared" si="42"/>
        <v>0</v>
      </c>
      <c r="X92" s="14">
        <f t="shared" si="42"/>
        <v>0</v>
      </c>
      <c r="Y92" s="14">
        <f t="shared" si="42"/>
        <v>0</v>
      </c>
      <c r="Z92" s="14">
        <f t="shared" si="42"/>
        <v>0</v>
      </c>
      <c r="AA92" s="14">
        <f t="shared" si="42"/>
        <v>0</v>
      </c>
      <c r="AB92" s="14">
        <f t="shared" si="42"/>
        <v>0</v>
      </c>
      <c r="AC92" s="14">
        <f t="shared" si="42"/>
        <v>0</v>
      </c>
      <c r="AD92" s="14">
        <f t="shared" si="42"/>
        <v>0</v>
      </c>
      <c r="AE92" s="14">
        <f t="shared" si="42"/>
        <v>0</v>
      </c>
      <c r="AF92" s="14">
        <f t="shared" si="42"/>
        <v>0</v>
      </c>
      <c r="AG92" s="14">
        <f t="shared" si="42"/>
        <v>0</v>
      </c>
      <c r="AH92" s="14">
        <f t="shared" si="42"/>
        <v>0</v>
      </c>
      <c r="AI92" s="14">
        <f t="shared" si="42"/>
        <v>0</v>
      </c>
      <c r="AJ92" s="14">
        <f t="shared" si="42"/>
        <v>0</v>
      </c>
      <c r="AK92" s="14">
        <f t="shared" si="42"/>
        <v>0</v>
      </c>
      <c r="AL92" s="14">
        <f t="shared" si="42"/>
        <v>0</v>
      </c>
      <c r="AM92" s="14"/>
      <c r="AN92" s="14"/>
      <c r="AO92" s="14"/>
      <c r="AP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/>
      <c r="BN92" s="14"/>
      <c r="BO92" s="14"/>
      <c r="BP92" s="14"/>
      <c r="BQ92" s="14"/>
      <c r="BR92" s="14"/>
      <c r="BS92" s="14"/>
    </row>
    <row r="93" spans="1:71" ht="21" customHeight="1" outlineLevel="1" thickBot="1" x14ac:dyDescent="0.4">
      <c r="A93" s="5">
        <f t="shared" si="30"/>
        <v>0</v>
      </c>
      <c r="B93" s="5">
        <f t="shared" si="30"/>
        <v>0</v>
      </c>
      <c r="C93" s="5">
        <f t="shared" si="30"/>
        <v>0</v>
      </c>
      <c r="D93" s="5">
        <f t="shared" si="30"/>
        <v>0</v>
      </c>
      <c r="E93" s="6">
        <f t="shared" si="26"/>
        <v>0</v>
      </c>
      <c r="F93" s="14">
        <f t="shared" ref="F93:AL93" si="43">F17*$C$78</f>
        <v>0</v>
      </c>
      <c r="G93" s="14">
        <f t="shared" si="43"/>
        <v>0</v>
      </c>
      <c r="H93" s="14">
        <f t="shared" si="43"/>
        <v>0</v>
      </c>
      <c r="I93" s="14">
        <f t="shared" si="43"/>
        <v>0</v>
      </c>
      <c r="J93" s="14">
        <f t="shared" si="43"/>
        <v>0</v>
      </c>
      <c r="K93" s="14">
        <f t="shared" si="43"/>
        <v>0</v>
      </c>
      <c r="L93" s="14">
        <f t="shared" si="43"/>
        <v>0</v>
      </c>
      <c r="M93" s="14">
        <f t="shared" si="43"/>
        <v>0</v>
      </c>
      <c r="N93" s="14">
        <f t="shared" si="43"/>
        <v>0</v>
      </c>
      <c r="O93" s="14">
        <f t="shared" si="43"/>
        <v>0</v>
      </c>
      <c r="P93" s="14">
        <f t="shared" si="43"/>
        <v>0</v>
      </c>
      <c r="Q93" s="14">
        <f t="shared" si="43"/>
        <v>0</v>
      </c>
      <c r="R93" s="14">
        <f t="shared" si="43"/>
        <v>0</v>
      </c>
      <c r="S93" s="14">
        <f t="shared" si="43"/>
        <v>0</v>
      </c>
      <c r="T93" s="14">
        <f t="shared" si="43"/>
        <v>0</v>
      </c>
      <c r="U93" s="14">
        <f t="shared" si="43"/>
        <v>0</v>
      </c>
      <c r="V93" s="14">
        <f t="shared" si="43"/>
        <v>0</v>
      </c>
      <c r="W93" s="14">
        <f t="shared" si="43"/>
        <v>0</v>
      </c>
      <c r="X93" s="14">
        <f t="shared" si="43"/>
        <v>0</v>
      </c>
      <c r="Y93" s="14">
        <f t="shared" si="43"/>
        <v>0</v>
      </c>
      <c r="Z93" s="14">
        <f t="shared" si="43"/>
        <v>0</v>
      </c>
      <c r="AA93" s="14">
        <f t="shared" si="43"/>
        <v>0</v>
      </c>
      <c r="AB93" s="14">
        <f t="shared" si="43"/>
        <v>0</v>
      </c>
      <c r="AC93" s="14">
        <f t="shared" si="43"/>
        <v>0</v>
      </c>
      <c r="AD93" s="14">
        <f t="shared" si="43"/>
        <v>0</v>
      </c>
      <c r="AE93" s="14">
        <f t="shared" si="43"/>
        <v>0</v>
      </c>
      <c r="AF93" s="14">
        <f t="shared" si="43"/>
        <v>0</v>
      </c>
      <c r="AG93" s="14">
        <f t="shared" si="43"/>
        <v>0</v>
      </c>
      <c r="AH93" s="14">
        <f t="shared" si="43"/>
        <v>0</v>
      </c>
      <c r="AI93" s="14">
        <f t="shared" si="43"/>
        <v>0</v>
      </c>
      <c r="AJ93" s="14">
        <f t="shared" si="43"/>
        <v>0</v>
      </c>
      <c r="AK93" s="14">
        <f t="shared" si="43"/>
        <v>0</v>
      </c>
      <c r="AL93" s="14">
        <f t="shared" si="43"/>
        <v>0</v>
      </c>
      <c r="AM93" s="14"/>
      <c r="AN93" s="14"/>
      <c r="AO93" s="14"/>
      <c r="AP93" s="14"/>
      <c r="AQ93" s="14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  <c r="BH93" s="14"/>
      <c r="BI93" s="14"/>
      <c r="BJ93" s="14"/>
      <c r="BK93" s="14"/>
      <c r="BL93" s="14"/>
      <c r="BM93" s="14"/>
      <c r="BN93" s="14"/>
      <c r="BO93" s="14"/>
      <c r="BP93" s="14"/>
      <c r="BQ93" s="14"/>
      <c r="BR93" s="14"/>
      <c r="BS93" s="14"/>
    </row>
    <row r="94" spans="1:71" ht="21" customHeight="1" outlineLevel="1" thickBot="1" x14ac:dyDescent="0.4">
      <c r="A94" s="5">
        <f t="shared" si="30"/>
        <v>0</v>
      </c>
      <c r="B94" s="5">
        <f t="shared" si="30"/>
        <v>0</v>
      </c>
      <c r="C94" s="5">
        <f t="shared" si="30"/>
        <v>0</v>
      </c>
      <c r="D94" s="5">
        <f t="shared" si="30"/>
        <v>0</v>
      </c>
      <c r="E94" s="6">
        <f t="shared" si="26"/>
        <v>0</v>
      </c>
      <c r="F94" s="14">
        <f t="shared" ref="F94:AL94" si="44">F18*$C$78</f>
        <v>0</v>
      </c>
      <c r="G94" s="14">
        <f t="shared" si="44"/>
        <v>0</v>
      </c>
      <c r="H94" s="14">
        <f t="shared" si="44"/>
        <v>0</v>
      </c>
      <c r="I94" s="14">
        <f t="shared" si="44"/>
        <v>0</v>
      </c>
      <c r="J94" s="14">
        <f t="shared" si="44"/>
        <v>0</v>
      </c>
      <c r="K94" s="14">
        <f t="shared" si="44"/>
        <v>0</v>
      </c>
      <c r="L94" s="14">
        <f t="shared" si="44"/>
        <v>0</v>
      </c>
      <c r="M94" s="14">
        <f t="shared" si="44"/>
        <v>0</v>
      </c>
      <c r="N94" s="14">
        <f t="shared" si="44"/>
        <v>0</v>
      </c>
      <c r="O94" s="14">
        <f t="shared" si="44"/>
        <v>0</v>
      </c>
      <c r="P94" s="14">
        <f t="shared" si="44"/>
        <v>0</v>
      </c>
      <c r="Q94" s="14">
        <f t="shared" si="44"/>
        <v>0</v>
      </c>
      <c r="R94" s="14">
        <f t="shared" si="44"/>
        <v>0</v>
      </c>
      <c r="S94" s="14">
        <f t="shared" si="44"/>
        <v>0</v>
      </c>
      <c r="T94" s="14">
        <f t="shared" si="44"/>
        <v>0</v>
      </c>
      <c r="U94" s="14">
        <f t="shared" si="44"/>
        <v>0</v>
      </c>
      <c r="V94" s="14">
        <f t="shared" si="44"/>
        <v>0</v>
      </c>
      <c r="W94" s="14">
        <f t="shared" si="44"/>
        <v>0</v>
      </c>
      <c r="X94" s="14">
        <f t="shared" si="44"/>
        <v>0</v>
      </c>
      <c r="Y94" s="14">
        <f t="shared" si="44"/>
        <v>0</v>
      </c>
      <c r="Z94" s="14">
        <f t="shared" si="44"/>
        <v>0</v>
      </c>
      <c r="AA94" s="14">
        <f t="shared" si="44"/>
        <v>0</v>
      </c>
      <c r="AB94" s="14">
        <f t="shared" si="44"/>
        <v>0</v>
      </c>
      <c r="AC94" s="14">
        <f t="shared" si="44"/>
        <v>0</v>
      </c>
      <c r="AD94" s="14">
        <f t="shared" si="44"/>
        <v>0</v>
      </c>
      <c r="AE94" s="14">
        <f t="shared" si="44"/>
        <v>0</v>
      </c>
      <c r="AF94" s="14">
        <f t="shared" si="44"/>
        <v>0</v>
      </c>
      <c r="AG94" s="14">
        <f t="shared" si="44"/>
        <v>0</v>
      </c>
      <c r="AH94" s="14">
        <f t="shared" si="44"/>
        <v>0</v>
      </c>
      <c r="AI94" s="14">
        <f t="shared" si="44"/>
        <v>0</v>
      </c>
      <c r="AJ94" s="14">
        <f t="shared" si="44"/>
        <v>0</v>
      </c>
      <c r="AK94" s="14">
        <f t="shared" si="44"/>
        <v>0</v>
      </c>
      <c r="AL94" s="14">
        <f t="shared" si="44"/>
        <v>0</v>
      </c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/>
      <c r="BP94" s="14"/>
      <c r="BQ94" s="14"/>
      <c r="BR94" s="14"/>
      <c r="BS94" s="14"/>
    </row>
    <row r="95" spans="1:71" ht="21" customHeight="1" outlineLevel="1" thickBot="1" x14ac:dyDescent="0.4">
      <c r="A95" s="5">
        <f t="shared" si="30"/>
        <v>0</v>
      </c>
      <c r="B95" s="5">
        <f t="shared" si="30"/>
        <v>0</v>
      </c>
      <c r="C95" s="5">
        <f t="shared" si="30"/>
        <v>0</v>
      </c>
      <c r="D95" s="5">
        <f t="shared" si="30"/>
        <v>0</v>
      </c>
      <c r="E95" s="6">
        <f t="shared" si="26"/>
        <v>0</v>
      </c>
      <c r="F95" s="14">
        <f t="shared" ref="F95:AL95" si="45">F19*$C$78</f>
        <v>0</v>
      </c>
      <c r="G95" s="14">
        <f t="shared" si="45"/>
        <v>0</v>
      </c>
      <c r="H95" s="14">
        <f t="shared" si="45"/>
        <v>0</v>
      </c>
      <c r="I95" s="14">
        <f t="shared" si="45"/>
        <v>0</v>
      </c>
      <c r="J95" s="14">
        <f t="shared" si="45"/>
        <v>0</v>
      </c>
      <c r="K95" s="14">
        <f t="shared" si="45"/>
        <v>0</v>
      </c>
      <c r="L95" s="14">
        <f t="shared" si="45"/>
        <v>0</v>
      </c>
      <c r="M95" s="14">
        <f t="shared" si="45"/>
        <v>0</v>
      </c>
      <c r="N95" s="14">
        <f t="shared" si="45"/>
        <v>0</v>
      </c>
      <c r="O95" s="14">
        <f t="shared" si="45"/>
        <v>0</v>
      </c>
      <c r="P95" s="14">
        <f t="shared" si="45"/>
        <v>0</v>
      </c>
      <c r="Q95" s="14">
        <f t="shared" si="45"/>
        <v>0</v>
      </c>
      <c r="R95" s="14">
        <f t="shared" si="45"/>
        <v>0</v>
      </c>
      <c r="S95" s="14">
        <f t="shared" si="45"/>
        <v>0</v>
      </c>
      <c r="T95" s="14">
        <f t="shared" si="45"/>
        <v>0</v>
      </c>
      <c r="U95" s="14">
        <f t="shared" si="45"/>
        <v>0</v>
      </c>
      <c r="V95" s="14">
        <f t="shared" si="45"/>
        <v>0</v>
      </c>
      <c r="W95" s="14">
        <f t="shared" si="45"/>
        <v>0</v>
      </c>
      <c r="X95" s="14">
        <f t="shared" si="45"/>
        <v>0</v>
      </c>
      <c r="Y95" s="14">
        <f t="shared" si="45"/>
        <v>0</v>
      </c>
      <c r="Z95" s="14">
        <f t="shared" si="45"/>
        <v>0</v>
      </c>
      <c r="AA95" s="14">
        <f t="shared" si="45"/>
        <v>0</v>
      </c>
      <c r="AB95" s="14">
        <f t="shared" si="45"/>
        <v>0</v>
      </c>
      <c r="AC95" s="14">
        <f t="shared" si="45"/>
        <v>0</v>
      </c>
      <c r="AD95" s="14">
        <f t="shared" si="45"/>
        <v>0</v>
      </c>
      <c r="AE95" s="14">
        <f t="shared" si="45"/>
        <v>0</v>
      </c>
      <c r="AF95" s="14">
        <f t="shared" si="45"/>
        <v>0</v>
      </c>
      <c r="AG95" s="14">
        <f t="shared" si="45"/>
        <v>0</v>
      </c>
      <c r="AH95" s="14">
        <f t="shared" si="45"/>
        <v>0</v>
      </c>
      <c r="AI95" s="14">
        <f t="shared" si="45"/>
        <v>0</v>
      </c>
      <c r="AJ95" s="14">
        <f t="shared" si="45"/>
        <v>0</v>
      </c>
      <c r="AK95" s="14">
        <f t="shared" si="45"/>
        <v>0</v>
      </c>
      <c r="AL95" s="14">
        <f t="shared" si="45"/>
        <v>0</v>
      </c>
      <c r="AM95" s="14"/>
      <c r="AN95" s="14"/>
      <c r="AO95" s="14"/>
      <c r="AP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4"/>
      <c r="BH95" s="14"/>
      <c r="BI95" s="14"/>
      <c r="BJ95" s="14"/>
      <c r="BK95" s="14"/>
      <c r="BL95" s="14"/>
      <c r="BM95" s="14"/>
      <c r="BN95" s="14"/>
      <c r="BO95" s="14"/>
      <c r="BP95" s="14"/>
      <c r="BQ95" s="14"/>
      <c r="BR95" s="14"/>
      <c r="BS95" s="14"/>
    </row>
    <row r="96" spans="1:71" ht="21" customHeight="1" outlineLevel="1" thickBot="1" x14ac:dyDescent="0.4">
      <c r="A96" s="5">
        <f t="shared" si="30"/>
        <v>0</v>
      </c>
      <c r="B96" s="5">
        <f t="shared" si="30"/>
        <v>0</v>
      </c>
      <c r="C96" s="5">
        <f t="shared" si="30"/>
        <v>0</v>
      </c>
      <c r="D96" s="5">
        <f t="shared" si="30"/>
        <v>0</v>
      </c>
      <c r="E96" s="6">
        <f t="shared" si="26"/>
        <v>0</v>
      </c>
      <c r="F96" s="14">
        <f t="shared" ref="F96:AL96" si="46">F20*$C$78</f>
        <v>0</v>
      </c>
      <c r="G96" s="14">
        <f t="shared" si="46"/>
        <v>0</v>
      </c>
      <c r="H96" s="14">
        <f t="shared" si="46"/>
        <v>0</v>
      </c>
      <c r="I96" s="14">
        <f t="shared" si="46"/>
        <v>0</v>
      </c>
      <c r="J96" s="14">
        <f t="shared" si="46"/>
        <v>0</v>
      </c>
      <c r="K96" s="14">
        <f t="shared" si="46"/>
        <v>0</v>
      </c>
      <c r="L96" s="14">
        <f t="shared" si="46"/>
        <v>0</v>
      </c>
      <c r="M96" s="14">
        <f t="shared" si="46"/>
        <v>0</v>
      </c>
      <c r="N96" s="14">
        <f t="shared" si="46"/>
        <v>0</v>
      </c>
      <c r="O96" s="14">
        <f t="shared" si="46"/>
        <v>0</v>
      </c>
      <c r="P96" s="14">
        <f t="shared" si="46"/>
        <v>0</v>
      </c>
      <c r="Q96" s="14">
        <f t="shared" si="46"/>
        <v>0</v>
      </c>
      <c r="R96" s="14">
        <f t="shared" si="46"/>
        <v>0</v>
      </c>
      <c r="S96" s="14">
        <f t="shared" si="46"/>
        <v>0</v>
      </c>
      <c r="T96" s="14">
        <f t="shared" si="46"/>
        <v>0</v>
      </c>
      <c r="U96" s="14">
        <f t="shared" si="46"/>
        <v>0</v>
      </c>
      <c r="V96" s="14">
        <f t="shared" si="46"/>
        <v>0</v>
      </c>
      <c r="W96" s="14">
        <f t="shared" si="46"/>
        <v>0</v>
      </c>
      <c r="X96" s="14">
        <f t="shared" si="46"/>
        <v>0</v>
      </c>
      <c r="Y96" s="14">
        <f t="shared" si="46"/>
        <v>0</v>
      </c>
      <c r="Z96" s="14">
        <f t="shared" si="46"/>
        <v>0</v>
      </c>
      <c r="AA96" s="14">
        <f t="shared" si="46"/>
        <v>0</v>
      </c>
      <c r="AB96" s="14">
        <f t="shared" si="46"/>
        <v>0</v>
      </c>
      <c r="AC96" s="14">
        <f t="shared" si="46"/>
        <v>0</v>
      </c>
      <c r="AD96" s="14">
        <f t="shared" si="46"/>
        <v>0</v>
      </c>
      <c r="AE96" s="14">
        <f t="shared" si="46"/>
        <v>0</v>
      </c>
      <c r="AF96" s="14">
        <f t="shared" si="46"/>
        <v>0</v>
      </c>
      <c r="AG96" s="14">
        <f t="shared" si="46"/>
        <v>0</v>
      </c>
      <c r="AH96" s="14">
        <f t="shared" si="46"/>
        <v>0</v>
      </c>
      <c r="AI96" s="14">
        <f t="shared" si="46"/>
        <v>0</v>
      </c>
      <c r="AJ96" s="14">
        <f t="shared" si="46"/>
        <v>0</v>
      </c>
      <c r="AK96" s="14">
        <f t="shared" si="46"/>
        <v>0</v>
      </c>
      <c r="AL96" s="14">
        <f t="shared" si="46"/>
        <v>0</v>
      </c>
      <c r="AM96" s="14"/>
      <c r="AN96" s="14"/>
      <c r="AO96" s="14"/>
      <c r="AP96" s="14"/>
      <c r="AQ96" s="14"/>
      <c r="AR96" s="14"/>
      <c r="AS96" s="14"/>
      <c r="AT96" s="14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4"/>
      <c r="BH96" s="14"/>
      <c r="BI96" s="14"/>
      <c r="BJ96" s="14"/>
      <c r="BK96" s="14"/>
      <c r="BL96" s="14"/>
      <c r="BM96" s="14"/>
      <c r="BN96" s="14"/>
      <c r="BO96" s="14"/>
      <c r="BP96" s="14"/>
      <c r="BQ96" s="14"/>
      <c r="BR96" s="14"/>
      <c r="BS96" s="14"/>
    </row>
    <row r="97" spans="1:87" ht="21" customHeight="1" outlineLevel="1" thickBot="1" x14ac:dyDescent="0.4">
      <c r="A97" s="5">
        <f t="shared" ref="A97:D109" si="47">A63</f>
        <v>0</v>
      </c>
      <c r="B97" s="5">
        <f t="shared" si="47"/>
        <v>0</v>
      </c>
      <c r="C97" s="5">
        <f t="shared" si="47"/>
        <v>0</v>
      </c>
      <c r="D97" s="5">
        <f t="shared" si="47"/>
        <v>0</v>
      </c>
      <c r="E97" s="6">
        <f t="shared" si="26"/>
        <v>0</v>
      </c>
      <c r="F97" s="14">
        <f t="shared" ref="F97:AL97" si="48">F21*$C$78</f>
        <v>0</v>
      </c>
      <c r="G97" s="14">
        <f t="shared" si="48"/>
        <v>0</v>
      </c>
      <c r="H97" s="14">
        <f t="shared" si="48"/>
        <v>0</v>
      </c>
      <c r="I97" s="14">
        <f t="shared" si="48"/>
        <v>0</v>
      </c>
      <c r="J97" s="14">
        <f t="shared" si="48"/>
        <v>0</v>
      </c>
      <c r="K97" s="14">
        <f t="shared" si="48"/>
        <v>0</v>
      </c>
      <c r="L97" s="14">
        <f t="shared" si="48"/>
        <v>0</v>
      </c>
      <c r="M97" s="14">
        <f t="shared" si="48"/>
        <v>0</v>
      </c>
      <c r="N97" s="14">
        <f t="shared" si="48"/>
        <v>0</v>
      </c>
      <c r="O97" s="14">
        <f t="shared" si="48"/>
        <v>0</v>
      </c>
      <c r="P97" s="14">
        <f t="shared" si="48"/>
        <v>0</v>
      </c>
      <c r="Q97" s="14">
        <f t="shared" si="48"/>
        <v>0</v>
      </c>
      <c r="R97" s="14">
        <f t="shared" si="48"/>
        <v>0</v>
      </c>
      <c r="S97" s="14">
        <f t="shared" si="48"/>
        <v>0</v>
      </c>
      <c r="T97" s="14">
        <f t="shared" si="48"/>
        <v>0</v>
      </c>
      <c r="U97" s="14">
        <f t="shared" si="48"/>
        <v>0</v>
      </c>
      <c r="V97" s="14">
        <f t="shared" si="48"/>
        <v>0</v>
      </c>
      <c r="W97" s="14">
        <f t="shared" si="48"/>
        <v>0</v>
      </c>
      <c r="X97" s="14">
        <f t="shared" si="48"/>
        <v>0</v>
      </c>
      <c r="Y97" s="14">
        <f t="shared" si="48"/>
        <v>0</v>
      </c>
      <c r="Z97" s="14">
        <f t="shared" si="48"/>
        <v>0</v>
      </c>
      <c r="AA97" s="14">
        <f t="shared" si="48"/>
        <v>0</v>
      </c>
      <c r="AB97" s="14">
        <f t="shared" si="48"/>
        <v>0</v>
      </c>
      <c r="AC97" s="14">
        <f t="shared" si="48"/>
        <v>0</v>
      </c>
      <c r="AD97" s="14">
        <f t="shared" si="48"/>
        <v>0</v>
      </c>
      <c r="AE97" s="14">
        <f t="shared" si="48"/>
        <v>0</v>
      </c>
      <c r="AF97" s="14">
        <f t="shared" si="48"/>
        <v>0</v>
      </c>
      <c r="AG97" s="14">
        <f t="shared" si="48"/>
        <v>0</v>
      </c>
      <c r="AH97" s="14">
        <f t="shared" si="48"/>
        <v>0</v>
      </c>
      <c r="AI97" s="14">
        <f t="shared" si="48"/>
        <v>0</v>
      </c>
      <c r="AJ97" s="14">
        <f t="shared" si="48"/>
        <v>0</v>
      </c>
      <c r="AK97" s="14">
        <f t="shared" si="48"/>
        <v>0</v>
      </c>
      <c r="AL97" s="14">
        <f t="shared" si="48"/>
        <v>0</v>
      </c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  <c r="BI97" s="14"/>
      <c r="BJ97" s="14"/>
      <c r="BK97" s="14"/>
      <c r="BL97" s="14"/>
      <c r="BM97" s="14"/>
      <c r="BN97" s="14"/>
      <c r="BO97" s="14"/>
      <c r="BP97" s="14"/>
      <c r="BQ97" s="14"/>
      <c r="BR97" s="14"/>
      <c r="BS97" s="14"/>
    </row>
    <row r="98" spans="1:87" ht="21" customHeight="1" outlineLevel="1" thickBot="1" x14ac:dyDescent="0.4">
      <c r="A98" s="5">
        <f t="shared" si="47"/>
        <v>0</v>
      </c>
      <c r="B98" s="5">
        <f t="shared" si="47"/>
        <v>0</v>
      </c>
      <c r="C98" s="5">
        <f t="shared" si="47"/>
        <v>0</v>
      </c>
      <c r="D98" s="5">
        <f t="shared" si="47"/>
        <v>0</v>
      </c>
      <c r="E98" s="6">
        <f t="shared" si="26"/>
        <v>0</v>
      </c>
      <c r="F98" s="14">
        <f t="shared" ref="F98:AL98" si="49">F22*$C$78</f>
        <v>0</v>
      </c>
      <c r="G98" s="14">
        <f t="shared" si="49"/>
        <v>0</v>
      </c>
      <c r="H98" s="14">
        <f t="shared" si="49"/>
        <v>0</v>
      </c>
      <c r="I98" s="14">
        <f t="shared" si="49"/>
        <v>0</v>
      </c>
      <c r="J98" s="14">
        <f t="shared" si="49"/>
        <v>0</v>
      </c>
      <c r="K98" s="14">
        <f t="shared" si="49"/>
        <v>0</v>
      </c>
      <c r="L98" s="14">
        <f t="shared" si="49"/>
        <v>0</v>
      </c>
      <c r="M98" s="14">
        <f t="shared" si="49"/>
        <v>0</v>
      </c>
      <c r="N98" s="14">
        <f t="shared" si="49"/>
        <v>0</v>
      </c>
      <c r="O98" s="14">
        <f t="shared" si="49"/>
        <v>0</v>
      </c>
      <c r="P98" s="14">
        <f t="shared" si="49"/>
        <v>0</v>
      </c>
      <c r="Q98" s="14">
        <f t="shared" si="49"/>
        <v>0</v>
      </c>
      <c r="R98" s="14">
        <f t="shared" si="49"/>
        <v>0</v>
      </c>
      <c r="S98" s="14">
        <f t="shared" si="49"/>
        <v>0</v>
      </c>
      <c r="T98" s="14">
        <f t="shared" si="49"/>
        <v>0</v>
      </c>
      <c r="U98" s="14">
        <f t="shared" si="49"/>
        <v>0</v>
      </c>
      <c r="V98" s="14">
        <f t="shared" si="49"/>
        <v>0</v>
      </c>
      <c r="W98" s="14">
        <f t="shared" si="49"/>
        <v>0</v>
      </c>
      <c r="X98" s="14">
        <f t="shared" si="49"/>
        <v>0</v>
      </c>
      <c r="Y98" s="14">
        <f t="shared" si="49"/>
        <v>0</v>
      </c>
      <c r="Z98" s="14">
        <f t="shared" si="49"/>
        <v>0</v>
      </c>
      <c r="AA98" s="14">
        <f t="shared" si="49"/>
        <v>0</v>
      </c>
      <c r="AB98" s="14">
        <f t="shared" si="49"/>
        <v>0</v>
      </c>
      <c r="AC98" s="14">
        <f t="shared" si="49"/>
        <v>0</v>
      </c>
      <c r="AD98" s="14">
        <f t="shared" si="49"/>
        <v>0</v>
      </c>
      <c r="AE98" s="14">
        <f t="shared" si="49"/>
        <v>0</v>
      </c>
      <c r="AF98" s="14">
        <f t="shared" si="49"/>
        <v>0</v>
      </c>
      <c r="AG98" s="14">
        <f t="shared" si="49"/>
        <v>0</v>
      </c>
      <c r="AH98" s="14">
        <f t="shared" si="49"/>
        <v>0</v>
      </c>
      <c r="AI98" s="14">
        <f t="shared" si="49"/>
        <v>0</v>
      </c>
      <c r="AJ98" s="14">
        <f t="shared" si="49"/>
        <v>0</v>
      </c>
      <c r="AK98" s="14">
        <f t="shared" si="49"/>
        <v>0</v>
      </c>
      <c r="AL98" s="14">
        <f t="shared" si="49"/>
        <v>0</v>
      </c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4"/>
      <c r="BM98" s="14"/>
      <c r="BN98" s="14"/>
      <c r="BO98" s="14"/>
      <c r="BP98" s="14"/>
      <c r="BQ98" s="14"/>
      <c r="BR98" s="14"/>
      <c r="BS98" s="14"/>
    </row>
    <row r="99" spans="1:87" ht="21" customHeight="1" outlineLevel="1" thickBot="1" x14ac:dyDescent="0.4">
      <c r="A99" s="5">
        <f t="shared" si="47"/>
        <v>0</v>
      </c>
      <c r="B99" s="5">
        <f t="shared" si="47"/>
        <v>0</v>
      </c>
      <c r="C99" s="5">
        <f t="shared" si="47"/>
        <v>0</v>
      </c>
      <c r="D99" s="5">
        <f t="shared" si="47"/>
        <v>0</v>
      </c>
      <c r="E99" s="6">
        <f t="shared" si="26"/>
        <v>0</v>
      </c>
      <c r="F99" s="14">
        <f t="shared" ref="F99:AL99" si="50">F23*$C$78</f>
        <v>0</v>
      </c>
      <c r="G99" s="14">
        <f t="shared" si="50"/>
        <v>0</v>
      </c>
      <c r="H99" s="14">
        <f t="shared" si="50"/>
        <v>0</v>
      </c>
      <c r="I99" s="14">
        <f t="shared" si="50"/>
        <v>0</v>
      </c>
      <c r="J99" s="14">
        <f t="shared" si="50"/>
        <v>0</v>
      </c>
      <c r="K99" s="14">
        <f t="shared" si="50"/>
        <v>0</v>
      </c>
      <c r="L99" s="14">
        <f t="shared" si="50"/>
        <v>0</v>
      </c>
      <c r="M99" s="14">
        <f t="shared" si="50"/>
        <v>0</v>
      </c>
      <c r="N99" s="14">
        <f t="shared" si="50"/>
        <v>0</v>
      </c>
      <c r="O99" s="14">
        <f t="shared" si="50"/>
        <v>0</v>
      </c>
      <c r="P99" s="14">
        <f t="shared" si="50"/>
        <v>0</v>
      </c>
      <c r="Q99" s="14">
        <f t="shared" si="50"/>
        <v>0</v>
      </c>
      <c r="R99" s="14">
        <f t="shared" si="50"/>
        <v>0</v>
      </c>
      <c r="S99" s="14">
        <f t="shared" si="50"/>
        <v>0</v>
      </c>
      <c r="T99" s="14">
        <f t="shared" si="50"/>
        <v>0</v>
      </c>
      <c r="U99" s="14">
        <f t="shared" si="50"/>
        <v>0</v>
      </c>
      <c r="V99" s="14">
        <f t="shared" si="50"/>
        <v>0</v>
      </c>
      <c r="W99" s="14">
        <f t="shared" si="50"/>
        <v>0</v>
      </c>
      <c r="X99" s="14">
        <f t="shared" si="50"/>
        <v>0</v>
      </c>
      <c r="Y99" s="14">
        <f t="shared" si="50"/>
        <v>0</v>
      </c>
      <c r="Z99" s="14">
        <f t="shared" si="50"/>
        <v>0</v>
      </c>
      <c r="AA99" s="14">
        <f t="shared" si="50"/>
        <v>0</v>
      </c>
      <c r="AB99" s="14">
        <f t="shared" si="50"/>
        <v>0</v>
      </c>
      <c r="AC99" s="14">
        <f t="shared" si="50"/>
        <v>0</v>
      </c>
      <c r="AD99" s="14">
        <f t="shared" si="50"/>
        <v>0</v>
      </c>
      <c r="AE99" s="14">
        <f t="shared" si="50"/>
        <v>0</v>
      </c>
      <c r="AF99" s="14">
        <f t="shared" si="50"/>
        <v>0</v>
      </c>
      <c r="AG99" s="14">
        <f t="shared" si="50"/>
        <v>0</v>
      </c>
      <c r="AH99" s="14">
        <f t="shared" si="50"/>
        <v>0</v>
      </c>
      <c r="AI99" s="14">
        <f t="shared" si="50"/>
        <v>0</v>
      </c>
      <c r="AJ99" s="14">
        <f t="shared" si="50"/>
        <v>0</v>
      </c>
      <c r="AK99" s="14">
        <f t="shared" si="50"/>
        <v>0</v>
      </c>
      <c r="AL99" s="14">
        <f t="shared" si="50"/>
        <v>0</v>
      </c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4"/>
      <c r="BH99" s="14"/>
      <c r="BI99" s="14"/>
      <c r="BJ99" s="14"/>
      <c r="BK99" s="14"/>
      <c r="BL99" s="14"/>
      <c r="BM99" s="14"/>
      <c r="BN99" s="14"/>
      <c r="BO99" s="14"/>
      <c r="BP99" s="14"/>
      <c r="BQ99" s="14"/>
      <c r="BR99" s="14"/>
      <c r="BS99" s="14"/>
    </row>
    <row r="100" spans="1:87" ht="21" customHeight="1" outlineLevel="1" thickBot="1" x14ac:dyDescent="0.4">
      <c r="A100" s="5">
        <f t="shared" si="47"/>
        <v>0</v>
      </c>
      <c r="B100" s="5">
        <f t="shared" si="47"/>
        <v>0</v>
      </c>
      <c r="C100" s="5">
        <f t="shared" si="47"/>
        <v>0</v>
      </c>
      <c r="D100" s="5">
        <f t="shared" si="47"/>
        <v>0</v>
      </c>
      <c r="E100" s="6">
        <f t="shared" si="26"/>
        <v>0</v>
      </c>
      <c r="F100" s="14">
        <f t="shared" ref="F100:AL100" si="51">F24*$C$78</f>
        <v>0</v>
      </c>
      <c r="G100" s="14">
        <f t="shared" si="51"/>
        <v>0</v>
      </c>
      <c r="H100" s="14">
        <f t="shared" si="51"/>
        <v>0</v>
      </c>
      <c r="I100" s="14">
        <f t="shared" si="51"/>
        <v>0</v>
      </c>
      <c r="J100" s="14">
        <f t="shared" si="51"/>
        <v>0</v>
      </c>
      <c r="K100" s="14">
        <f t="shared" si="51"/>
        <v>0</v>
      </c>
      <c r="L100" s="14">
        <f t="shared" si="51"/>
        <v>0</v>
      </c>
      <c r="M100" s="14">
        <f t="shared" si="51"/>
        <v>0</v>
      </c>
      <c r="N100" s="14">
        <f t="shared" si="51"/>
        <v>0</v>
      </c>
      <c r="O100" s="14">
        <f t="shared" si="51"/>
        <v>0</v>
      </c>
      <c r="P100" s="14">
        <f t="shared" si="51"/>
        <v>0</v>
      </c>
      <c r="Q100" s="14">
        <f t="shared" si="51"/>
        <v>0</v>
      </c>
      <c r="R100" s="14">
        <f t="shared" si="51"/>
        <v>0</v>
      </c>
      <c r="S100" s="14">
        <f t="shared" si="51"/>
        <v>0</v>
      </c>
      <c r="T100" s="14">
        <f t="shared" si="51"/>
        <v>0</v>
      </c>
      <c r="U100" s="14">
        <f t="shared" si="51"/>
        <v>0</v>
      </c>
      <c r="V100" s="14">
        <f t="shared" si="51"/>
        <v>0</v>
      </c>
      <c r="W100" s="14">
        <f t="shared" si="51"/>
        <v>0</v>
      </c>
      <c r="X100" s="14">
        <f t="shared" si="51"/>
        <v>0</v>
      </c>
      <c r="Y100" s="14">
        <f t="shared" si="51"/>
        <v>0</v>
      </c>
      <c r="Z100" s="14">
        <f t="shared" si="51"/>
        <v>0</v>
      </c>
      <c r="AA100" s="14">
        <f t="shared" si="51"/>
        <v>0</v>
      </c>
      <c r="AB100" s="14">
        <f t="shared" si="51"/>
        <v>0</v>
      </c>
      <c r="AC100" s="14">
        <f t="shared" si="51"/>
        <v>0</v>
      </c>
      <c r="AD100" s="14">
        <f t="shared" si="51"/>
        <v>0</v>
      </c>
      <c r="AE100" s="14">
        <f t="shared" si="51"/>
        <v>0</v>
      </c>
      <c r="AF100" s="14">
        <f t="shared" si="51"/>
        <v>0</v>
      </c>
      <c r="AG100" s="14">
        <f t="shared" si="51"/>
        <v>0</v>
      </c>
      <c r="AH100" s="14">
        <f t="shared" si="51"/>
        <v>0</v>
      </c>
      <c r="AI100" s="14">
        <f t="shared" si="51"/>
        <v>0</v>
      </c>
      <c r="AJ100" s="14">
        <f t="shared" si="51"/>
        <v>0</v>
      </c>
      <c r="AK100" s="14">
        <f t="shared" si="51"/>
        <v>0</v>
      </c>
      <c r="AL100" s="14">
        <f t="shared" si="51"/>
        <v>0</v>
      </c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  <c r="BH100" s="14"/>
      <c r="BI100" s="14"/>
      <c r="BJ100" s="14"/>
      <c r="BK100" s="14"/>
      <c r="BL100" s="14"/>
      <c r="BM100" s="14"/>
      <c r="BN100" s="14"/>
      <c r="BO100" s="14"/>
      <c r="BP100" s="14"/>
      <c r="BQ100" s="14"/>
      <c r="BR100" s="14"/>
      <c r="BS100" s="14"/>
    </row>
    <row r="101" spans="1:87" ht="21" customHeight="1" outlineLevel="1" thickBot="1" x14ac:dyDescent="0.4">
      <c r="A101" s="5">
        <f t="shared" si="47"/>
        <v>0</v>
      </c>
      <c r="B101" s="5">
        <f t="shared" si="47"/>
        <v>0</v>
      </c>
      <c r="C101" s="5">
        <f t="shared" si="47"/>
        <v>0</v>
      </c>
      <c r="D101" s="5">
        <f t="shared" si="47"/>
        <v>0</v>
      </c>
      <c r="E101" s="6">
        <f t="shared" si="26"/>
        <v>0</v>
      </c>
      <c r="F101" s="14">
        <f t="shared" ref="F101:AL101" si="52">F25*$C$78</f>
        <v>0</v>
      </c>
      <c r="G101" s="14">
        <f t="shared" si="52"/>
        <v>0</v>
      </c>
      <c r="H101" s="14">
        <f t="shared" si="52"/>
        <v>0</v>
      </c>
      <c r="I101" s="14">
        <f t="shared" si="52"/>
        <v>0</v>
      </c>
      <c r="J101" s="14">
        <f t="shared" si="52"/>
        <v>0</v>
      </c>
      <c r="K101" s="14">
        <f t="shared" si="52"/>
        <v>0</v>
      </c>
      <c r="L101" s="14">
        <f t="shared" si="52"/>
        <v>0</v>
      </c>
      <c r="M101" s="14">
        <f t="shared" si="52"/>
        <v>0</v>
      </c>
      <c r="N101" s="14">
        <f t="shared" si="52"/>
        <v>0</v>
      </c>
      <c r="O101" s="14">
        <f t="shared" si="52"/>
        <v>0</v>
      </c>
      <c r="P101" s="14">
        <f t="shared" si="52"/>
        <v>0</v>
      </c>
      <c r="Q101" s="14">
        <f t="shared" si="52"/>
        <v>0</v>
      </c>
      <c r="R101" s="14">
        <f t="shared" si="52"/>
        <v>0</v>
      </c>
      <c r="S101" s="14">
        <f t="shared" si="52"/>
        <v>0</v>
      </c>
      <c r="T101" s="14">
        <f t="shared" si="52"/>
        <v>0</v>
      </c>
      <c r="U101" s="14">
        <f t="shared" si="52"/>
        <v>0</v>
      </c>
      <c r="V101" s="14">
        <f t="shared" si="52"/>
        <v>0</v>
      </c>
      <c r="W101" s="14">
        <f t="shared" si="52"/>
        <v>0</v>
      </c>
      <c r="X101" s="14">
        <f t="shared" si="52"/>
        <v>0</v>
      </c>
      <c r="Y101" s="14">
        <f t="shared" si="52"/>
        <v>0</v>
      </c>
      <c r="Z101" s="14">
        <f t="shared" si="52"/>
        <v>0</v>
      </c>
      <c r="AA101" s="14">
        <f t="shared" si="52"/>
        <v>0</v>
      </c>
      <c r="AB101" s="14">
        <f t="shared" si="52"/>
        <v>0</v>
      </c>
      <c r="AC101" s="14">
        <f t="shared" si="52"/>
        <v>0</v>
      </c>
      <c r="AD101" s="14">
        <f t="shared" si="52"/>
        <v>0</v>
      </c>
      <c r="AE101" s="14">
        <f t="shared" si="52"/>
        <v>0</v>
      </c>
      <c r="AF101" s="14">
        <f t="shared" si="52"/>
        <v>0</v>
      </c>
      <c r="AG101" s="14">
        <f t="shared" si="52"/>
        <v>0</v>
      </c>
      <c r="AH101" s="14">
        <f t="shared" si="52"/>
        <v>0</v>
      </c>
      <c r="AI101" s="14">
        <f t="shared" si="52"/>
        <v>0</v>
      </c>
      <c r="AJ101" s="14">
        <f t="shared" si="52"/>
        <v>0</v>
      </c>
      <c r="AK101" s="14">
        <f t="shared" si="52"/>
        <v>0</v>
      </c>
      <c r="AL101" s="14">
        <f t="shared" si="52"/>
        <v>0</v>
      </c>
      <c r="AM101" s="14"/>
      <c r="AN101" s="14"/>
      <c r="AO101" s="14"/>
      <c r="AP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  <c r="BH101" s="14"/>
      <c r="BI101" s="14"/>
      <c r="BJ101" s="14"/>
      <c r="BK101" s="14"/>
      <c r="BL101" s="14"/>
      <c r="BM101" s="14"/>
      <c r="BN101" s="14"/>
      <c r="BO101" s="14"/>
      <c r="BP101" s="14"/>
      <c r="BQ101" s="14"/>
      <c r="BR101" s="14"/>
      <c r="BS101" s="14"/>
    </row>
    <row r="102" spans="1:87" ht="21" customHeight="1" outlineLevel="1" thickBot="1" x14ac:dyDescent="0.4">
      <c r="A102" s="5">
        <f t="shared" si="47"/>
        <v>0</v>
      </c>
      <c r="B102" s="5">
        <f t="shared" si="47"/>
        <v>0</v>
      </c>
      <c r="C102" s="5">
        <f t="shared" si="47"/>
        <v>0</v>
      </c>
      <c r="D102" s="5">
        <f t="shared" si="47"/>
        <v>0</v>
      </c>
      <c r="E102" s="6">
        <f t="shared" si="26"/>
        <v>0</v>
      </c>
      <c r="F102" s="14">
        <f t="shared" ref="F102:AL102" si="53">F26*$C$78</f>
        <v>0</v>
      </c>
      <c r="G102" s="14">
        <f t="shared" si="53"/>
        <v>0</v>
      </c>
      <c r="H102" s="14">
        <f t="shared" si="53"/>
        <v>0</v>
      </c>
      <c r="I102" s="14">
        <f t="shared" si="53"/>
        <v>0</v>
      </c>
      <c r="J102" s="14">
        <f t="shared" si="53"/>
        <v>0</v>
      </c>
      <c r="K102" s="14">
        <f t="shared" si="53"/>
        <v>0</v>
      </c>
      <c r="L102" s="14">
        <f t="shared" si="53"/>
        <v>0</v>
      </c>
      <c r="M102" s="14">
        <f t="shared" si="53"/>
        <v>0</v>
      </c>
      <c r="N102" s="14">
        <f t="shared" si="53"/>
        <v>0</v>
      </c>
      <c r="O102" s="14">
        <f t="shared" si="53"/>
        <v>0</v>
      </c>
      <c r="P102" s="14">
        <f t="shared" si="53"/>
        <v>0</v>
      </c>
      <c r="Q102" s="14">
        <f t="shared" si="53"/>
        <v>0</v>
      </c>
      <c r="R102" s="14">
        <f t="shared" si="53"/>
        <v>0</v>
      </c>
      <c r="S102" s="14">
        <f t="shared" si="53"/>
        <v>0</v>
      </c>
      <c r="T102" s="14">
        <f t="shared" si="53"/>
        <v>0</v>
      </c>
      <c r="U102" s="14">
        <f t="shared" si="53"/>
        <v>0</v>
      </c>
      <c r="V102" s="14">
        <f t="shared" si="53"/>
        <v>0</v>
      </c>
      <c r="W102" s="14">
        <f t="shared" si="53"/>
        <v>0</v>
      </c>
      <c r="X102" s="14">
        <f t="shared" si="53"/>
        <v>0</v>
      </c>
      <c r="Y102" s="14">
        <f t="shared" si="53"/>
        <v>0</v>
      </c>
      <c r="Z102" s="14">
        <f t="shared" si="53"/>
        <v>0</v>
      </c>
      <c r="AA102" s="14">
        <f t="shared" si="53"/>
        <v>0</v>
      </c>
      <c r="AB102" s="14">
        <f t="shared" si="53"/>
        <v>0</v>
      </c>
      <c r="AC102" s="14">
        <f t="shared" si="53"/>
        <v>0</v>
      </c>
      <c r="AD102" s="14">
        <f t="shared" si="53"/>
        <v>0</v>
      </c>
      <c r="AE102" s="14">
        <f t="shared" si="53"/>
        <v>0</v>
      </c>
      <c r="AF102" s="14">
        <f t="shared" si="53"/>
        <v>0</v>
      </c>
      <c r="AG102" s="14">
        <f t="shared" si="53"/>
        <v>0</v>
      </c>
      <c r="AH102" s="14">
        <f t="shared" si="53"/>
        <v>0</v>
      </c>
      <c r="AI102" s="14">
        <f t="shared" si="53"/>
        <v>0</v>
      </c>
      <c r="AJ102" s="14">
        <f t="shared" si="53"/>
        <v>0</v>
      </c>
      <c r="AK102" s="14">
        <f t="shared" si="53"/>
        <v>0</v>
      </c>
      <c r="AL102" s="14">
        <f t="shared" si="53"/>
        <v>0</v>
      </c>
      <c r="AM102" s="14"/>
      <c r="AN102" s="14"/>
      <c r="AO102" s="14"/>
      <c r="AP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  <c r="BH102" s="14"/>
      <c r="BI102" s="14"/>
      <c r="BJ102" s="14"/>
      <c r="BK102" s="14"/>
      <c r="BL102" s="14"/>
      <c r="BM102" s="14"/>
      <c r="BN102" s="14"/>
      <c r="BO102" s="14"/>
      <c r="BP102" s="14"/>
      <c r="BQ102" s="14"/>
      <c r="BR102" s="14"/>
      <c r="BS102" s="14"/>
    </row>
    <row r="103" spans="1:87" ht="21" customHeight="1" outlineLevel="1" thickBot="1" x14ac:dyDescent="0.4">
      <c r="A103" s="5">
        <f t="shared" si="47"/>
        <v>0</v>
      </c>
      <c r="B103" s="5">
        <f t="shared" si="47"/>
        <v>0</v>
      </c>
      <c r="C103" s="5">
        <f t="shared" si="47"/>
        <v>0</v>
      </c>
      <c r="D103" s="5">
        <f t="shared" si="47"/>
        <v>0</v>
      </c>
      <c r="E103" s="6">
        <f t="shared" si="26"/>
        <v>0</v>
      </c>
      <c r="F103" s="14">
        <f t="shared" ref="F103:AL103" si="54">F27*$C$78</f>
        <v>0</v>
      </c>
      <c r="G103" s="14">
        <f t="shared" si="54"/>
        <v>0</v>
      </c>
      <c r="H103" s="14">
        <f t="shared" si="54"/>
        <v>0</v>
      </c>
      <c r="I103" s="14">
        <f t="shared" si="54"/>
        <v>0</v>
      </c>
      <c r="J103" s="14">
        <f t="shared" si="54"/>
        <v>0</v>
      </c>
      <c r="K103" s="14">
        <f t="shared" si="54"/>
        <v>0</v>
      </c>
      <c r="L103" s="14">
        <f t="shared" si="54"/>
        <v>0</v>
      </c>
      <c r="M103" s="14">
        <f t="shared" si="54"/>
        <v>0</v>
      </c>
      <c r="N103" s="14">
        <f t="shared" si="54"/>
        <v>0</v>
      </c>
      <c r="O103" s="14">
        <f t="shared" si="54"/>
        <v>0</v>
      </c>
      <c r="P103" s="14">
        <f t="shared" si="54"/>
        <v>0</v>
      </c>
      <c r="Q103" s="14">
        <f t="shared" si="54"/>
        <v>0</v>
      </c>
      <c r="R103" s="14">
        <f t="shared" si="54"/>
        <v>0</v>
      </c>
      <c r="S103" s="14">
        <f t="shared" si="54"/>
        <v>0</v>
      </c>
      <c r="T103" s="14">
        <f t="shared" si="54"/>
        <v>0</v>
      </c>
      <c r="U103" s="14">
        <f t="shared" si="54"/>
        <v>0</v>
      </c>
      <c r="V103" s="14">
        <f t="shared" si="54"/>
        <v>0</v>
      </c>
      <c r="W103" s="14">
        <f t="shared" si="54"/>
        <v>0</v>
      </c>
      <c r="X103" s="14">
        <f t="shared" si="54"/>
        <v>0</v>
      </c>
      <c r="Y103" s="14">
        <f t="shared" si="54"/>
        <v>0</v>
      </c>
      <c r="Z103" s="14">
        <f t="shared" si="54"/>
        <v>0</v>
      </c>
      <c r="AA103" s="14">
        <f t="shared" si="54"/>
        <v>0</v>
      </c>
      <c r="AB103" s="14">
        <f t="shared" si="54"/>
        <v>0</v>
      </c>
      <c r="AC103" s="14">
        <f t="shared" si="54"/>
        <v>0</v>
      </c>
      <c r="AD103" s="14">
        <f t="shared" si="54"/>
        <v>0</v>
      </c>
      <c r="AE103" s="14">
        <f t="shared" si="54"/>
        <v>0</v>
      </c>
      <c r="AF103" s="14">
        <f t="shared" si="54"/>
        <v>0</v>
      </c>
      <c r="AG103" s="14">
        <f t="shared" si="54"/>
        <v>0</v>
      </c>
      <c r="AH103" s="14">
        <f t="shared" si="54"/>
        <v>0</v>
      </c>
      <c r="AI103" s="14">
        <f t="shared" si="54"/>
        <v>0</v>
      </c>
      <c r="AJ103" s="14">
        <f t="shared" si="54"/>
        <v>0</v>
      </c>
      <c r="AK103" s="14">
        <f t="shared" si="54"/>
        <v>0</v>
      </c>
      <c r="AL103" s="14">
        <f t="shared" si="54"/>
        <v>0</v>
      </c>
      <c r="AM103" s="14"/>
      <c r="AN103" s="14"/>
      <c r="AO103" s="14"/>
      <c r="AP103" s="14"/>
      <c r="AQ103" s="14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4"/>
      <c r="BH103" s="14"/>
      <c r="BI103" s="14"/>
      <c r="BJ103" s="14"/>
      <c r="BK103" s="14"/>
      <c r="BL103" s="14"/>
      <c r="BM103" s="14"/>
      <c r="BN103" s="14"/>
      <c r="BO103" s="14"/>
      <c r="BP103" s="14"/>
      <c r="BQ103" s="14"/>
      <c r="BR103" s="14"/>
      <c r="BS103" s="14"/>
    </row>
    <row r="104" spans="1:87" ht="21" customHeight="1" outlineLevel="1" thickBot="1" x14ac:dyDescent="0.4">
      <c r="A104" s="5">
        <f t="shared" si="47"/>
        <v>0</v>
      </c>
      <c r="B104" s="5">
        <f t="shared" si="47"/>
        <v>0</v>
      </c>
      <c r="C104" s="5">
        <f t="shared" si="47"/>
        <v>0</v>
      </c>
      <c r="D104" s="5">
        <f t="shared" si="47"/>
        <v>0</v>
      </c>
      <c r="E104" s="6">
        <f t="shared" si="26"/>
        <v>0</v>
      </c>
      <c r="F104" s="14">
        <f t="shared" ref="F104:AL104" si="55">F28*$C$78</f>
        <v>0</v>
      </c>
      <c r="G104" s="14">
        <f t="shared" si="55"/>
        <v>0</v>
      </c>
      <c r="H104" s="14">
        <f t="shared" si="55"/>
        <v>0</v>
      </c>
      <c r="I104" s="14">
        <f t="shared" si="55"/>
        <v>0</v>
      </c>
      <c r="J104" s="14">
        <f t="shared" si="55"/>
        <v>0</v>
      </c>
      <c r="K104" s="14">
        <f t="shared" si="55"/>
        <v>0</v>
      </c>
      <c r="L104" s="14">
        <f t="shared" si="55"/>
        <v>0</v>
      </c>
      <c r="M104" s="14">
        <f t="shared" si="55"/>
        <v>0</v>
      </c>
      <c r="N104" s="14">
        <f t="shared" si="55"/>
        <v>0</v>
      </c>
      <c r="O104" s="14">
        <f t="shared" si="55"/>
        <v>0</v>
      </c>
      <c r="P104" s="14">
        <f t="shared" si="55"/>
        <v>0</v>
      </c>
      <c r="Q104" s="14">
        <f t="shared" si="55"/>
        <v>0</v>
      </c>
      <c r="R104" s="14">
        <f t="shared" si="55"/>
        <v>0</v>
      </c>
      <c r="S104" s="14">
        <f t="shared" si="55"/>
        <v>0</v>
      </c>
      <c r="T104" s="14">
        <f t="shared" si="55"/>
        <v>0</v>
      </c>
      <c r="U104" s="14">
        <f t="shared" si="55"/>
        <v>0</v>
      </c>
      <c r="V104" s="14">
        <f t="shared" si="55"/>
        <v>0</v>
      </c>
      <c r="W104" s="14">
        <f t="shared" si="55"/>
        <v>0</v>
      </c>
      <c r="X104" s="14">
        <f t="shared" si="55"/>
        <v>0</v>
      </c>
      <c r="Y104" s="14">
        <f t="shared" si="55"/>
        <v>0</v>
      </c>
      <c r="Z104" s="14">
        <f t="shared" si="55"/>
        <v>0</v>
      </c>
      <c r="AA104" s="14">
        <f t="shared" si="55"/>
        <v>0</v>
      </c>
      <c r="AB104" s="14">
        <f t="shared" si="55"/>
        <v>0</v>
      </c>
      <c r="AC104" s="14">
        <f t="shared" si="55"/>
        <v>0</v>
      </c>
      <c r="AD104" s="14">
        <f t="shared" si="55"/>
        <v>0</v>
      </c>
      <c r="AE104" s="14">
        <f t="shared" si="55"/>
        <v>0</v>
      </c>
      <c r="AF104" s="14">
        <f t="shared" si="55"/>
        <v>0</v>
      </c>
      <c r="AG104" s="14">
        <f t="shared" si="55"/>
        <v>0</v>
      </c>
      <c r="AH104" s="14">
        <f t="shared" si="55"/>
        <v>0</v>
      </c>
      <c r="AI104" s="14">
        <f t="shared" si="55"/>
        <v>0</v>
      </c>
      <c r="AJ104" s="14">
        <f t="shared" si="55"/>
        <v>0</v>
      </c>
      <c r="AK104" s="14">
        <f t="shared" si="55"/>
        <v>0</v>
      </c>
      <c r="AL104" s="14">
        <f t="shared" si="55"/>
        <v>0</v>
      </c>
      <c r="AM104" s="14"/>
      <c r="AN104" s="14"/>
      <c r="AO104" s="14"/>
      <c r="AP104" s="14"/>
      <c r="AQ104" s="14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  <c r="BD104" s="14"/>
      <c r="BE104" s="14"/>
      <c r="BF104" s="14"/>
      <c r="BG104" s="14"/>
      <c r="BH104" s="14"/>
      <c r="BI104" s="14"/>
      <c r="BJ104" s="14"/>
      <c r="BK104" s="14"/>
      <c r="BL104" s="14"/>
      <c r="BM104" s="14"/>
      <c r="BN104" s="14"/>
      <c r="BO104" s="14"/>
      <c r="BP104" s="14"/>
      <c r="BQ104" s="14"/>
      <c r="BR104" s="14"/>
      <c r="BS104" s="14"/>
    </row>
    <row r="105" spans="1:87" ht="21" customHeight="1" outlineLevel="1" thickBot="1" x14ac:dyDescent="0.4">
      <c r="A105" s="5">
        <f t="shared" si="47"/>
        <v>0</v>
      </c>
      <c r="B105" s="5">
        <f t="shared" si="47"/>
        <v>0</v>
      </c>
      <c r="C105" s="5">
        <f t="shared" si="47"/>
        <v>0</v>
      </c>
      <c r="D105" s="5">
        <f t="shared" si="47"/>
        <v>0</v>
      </c>
      <c r="E105" s="6">
        <f t="shared" si="26"/>
        <v>0</v>
      </c>
      <c r="F105" s="14">
        <f t="shared" ref="F105:AL105" si="56">F29*$C$78</f>
        <v>0</v>
      </c>
      <c r="G105" s="14">
        <f t="shared" si="56"/>
        <v>0</v>
      </c>
      <c r="H105" s="14">
        <f t="shared" si="56"/>
        <v>0</v>
      </c>
      <c r="I105" s="14">
        <f t="shared" si="56"/>
        <v>0</v>
      </c>
      <c r="J105" s="14">
        <f t="shared" si="56"/>
        <v>0</v>
      </c>
      <c r="K105" s="14">
        <f t="shared" si="56"/>
        <v>0</v>
      </c>
      <c r="L105" s="14">
        <f t="shared" si="56"/>
        <v>0</v>
      </c>
      <c r="M105" s="14">
        <f t="shared" si="56"/>
        <v>0</v>
      </c>
      <c r="N105" s="14">
        <f t="shared" si="56"/>
        <v>0</v>
      </c>
      <c r="O105" s="14">
        <f t="shared" si="56"/>
        <v>0</v>
      </c>
      <c r="P105" s="14">
        <f t="shared" si="56"/>
        <v>0</v>
      </c>
      <c r="Q105" s="14">
        <f t="shared" si="56"/>
        <v>0</v>
      </c>
      <c r="R105" s="14">
        <f t="shared" si="56"/>
        <v>0</v>
      </c>
      <c r="S105" s="14">
        <f t="shared" si="56"/>
        <v>0</v>
      </c>
      <c r="T105" s="14">
        <f t="shared" si="56"/>
        <v>0</v>
      </c>
      <c r="U105" s="14">
        <f t="shared" si="56"/>
        <v>0</v>
      </c>
      <c r="V105" s="14">
        <f t="shared" si="56"/>
        <v>0</v>
      </c>
      <c r="W105" s="14">
        <f t="shared" si="56"/>
        <v>0</v>
      </c>
      <c r="X105" s="14">
        <f t="shared" si="56"/>
        <v>0</v>
      </c>
      <c r="Y105" s="14">
        <f t="shared" si="56"/>
        <v>0</v>
      </c>
      <c r="Z105" s="14">
        <f t="shared" si="56"/>
        <v>0</v>
      </c>
      <c r="AA105" s="14">
        <f t="shared" si="56"/>
        <v>0</v>
      </c>
      <c r="AB105" s="14">
        <f t="shared" si="56"/>
        <v>0</v>
      </c>
      <c r="AC105" s="14">
        <f t="shared" si="56"/>
        <v>0</v>
      </c>
      <c r="AD105" s="14">
        <f t="shared" si="56"/>
        <v>0</v>
      </c>
      <c r="AE105" s="14">
        <f t="shared" si="56"/>
        <v>0</v>
      </c>
      <c r="AF105" s="14">
        <f t="shared" si="56"/>
        <v>0</v>
      </c>
      <c r="AG105" s="14">
        <f t="shared" si="56"/>
        <v>0</v>
      </c>
      <c r="AH105" s="14">
        <f t="shared" si="56"/>
        <v>0</v>
      </c>
      <c r="AI105" s="14">
        <f t="shared" si="56"/>
        <v>0</v>
      </c>
      <c r="AJ105" s="14">
        <f t="shared" si="56"/>
        <v>0</v>
      </c>
      <c r="AK105" s="14">
        <f t="shared" si="56"/>
        <v>0</v>
      </c>
      <c r="AL105" s="14">
        <f t="shared" si="56"/>
        <v>0</v>
      </c>
      <c r="AM105" s="14"/>
      <c r="AN105" s="14"/>
      <c r="AO105" s="14"/>
      <c r="AP105" s="14"/>
      <c r="AQ105" s="14"/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/>
      <c r="BC105" s="14"/>
      <c r="BD105" s="14"/>
      <c r="BE105" s="14"/>
      <c r="BF105" s="14"/>
      <c r="BG105" s="14"/>
      <c r="BH105" s="14"/>
      <c r="BI105" s="14"/>
      <c r="BJ105" s="14"/>
      <c r="BK105" s="14"/>
      <c r="BL105" s="14"/>
      <c r="BM105" s="14"/>
      <c r="BN105" s="14"/>
      <c r="BO105" s="14"/>
      <c r="BP105" s="14"/>
      <c r="BQ105" s="14"/>
      <c r="BR105" s="14"/>
      <c r="BS105" s="14"/>
    </row>
    <row r="106" spans="1:87" ht="21" customHeight="1" outlineLevel="1" thickBot="1" x14ac:dyDescent="0.4">
      <c r="A106" s="5">
        <f t="shared" si="47"/>
        <v>0</v>
      </c>
      <c r="B106" s="5">
        <f t="shared" si="47"/>
        <v>0</v>
      </c>
      <c r="C106" s="5">
        <f t="shared" si="47"/>
        <v>0</v>
      </c>
      <c r="D106" s="5">
        <f t="shared" si="47"/>
        <v>0</v>
      </c>
      <c r="E106" s="6">
        <f t="shared" si="26"/>
        <v>0</v>
      </c>
      <c r="F106" s="14">
        <f t="shared" ref="F106:AL106" si="57">F30*$C$78</f>
        <v>0</v>
      </c>
      <c r="G106" s="14">
        <f t="shared" si="57"/>
        <v>0</v>
      </c>
      <c r="H106" s="14">
        <f t="shared" si="57"/>
        <v>0</v>
      </c>
      <c r="I106" s="14">
        <f t="shared" si="57"/>
        <v>0</v>
      </c>
      <c r="J106" s="14">
        <f t="shared" si="57"/>
        <v>0</v>
      </c>
      <c r="K106" s="14">
        <f t="shared" si="57"/>
        <v>0</v>
      </c>
      <c r="L106" s="14">
        <f t="shared" si="57"/>
        <v>0</v>
      </c>
      <c r="M106" s="14">
        <f t="shared" si="57"/>
        <v>0</v>
      </c>
      <c r="N106" s="14">
        <f t="shared" si="57"/>
        <v>0</v>
      </c>
      <c r="O106" s="14">
        <f t="shared" si="57"/>
        <v>0</v>
      </c>
      <c r="P106" s="14">
        <f t="shared" si="57"/>
        <v>0</v>
      </c>
      <c r="Q106" s="14">
        <f t="shared" si="57"/>
        <v>0</v>
      </c>
      <c r="R106" s="14">
        <f t="shared" si="57"/>
        <v>0</v>
      </c>
      <c r="S106" s="14">
        <f t="shared" si="57"/>
        <v>0</v>
      </c>
      <c r="T106" s="14">
        <f t="shared" si="57"/>
        <v>0</v>
      </c>
      <c r="U106" s="14">
        <f t="shared" si="57"/>
        <v>0</v>
      </c>
      <c r="V106" s="14">
        <f t="shared" si="57"/>
        <v>0</v>
      </c>
      <c r="W106" s="14">
        <f t="shared" si="57"/>
        <v>0</v>
      </c>
      <c r="X106" s="14">
        <f t="shared" si="57"/>
        <v>0</v>
      </c>
      <c r="Y106" s="14">
        <f t="shared" si="57"/>
        <v>0</v>
      </c>
      <c r="Z106" s="14">
        <f t="shared" si="57"/>
        <v>0</v>
      </c>
      <c r="AA106" s="14">
        <f t="shared" si="57"/>
        <v>0</v>
      </c>
      <c r="AB106" s="14">
        <f t="shared" si="57"/>
        <v>0</v>
      </c>
      <c r="AC106" s="14">
        <f t="shared" si="57"/>
        <v>0</v>
      </c>
      <c r="AD106" s="14">
        <f t="shared" si="57"/>
        <v>0</v>
      </c>
      <c r="AE106" s="14">
        <f t="shared" si="57"/>
        <v>0</v>
      </c>
      <c r="AF106" s="14">
        <f t="shared" si="57"/>
        <v>0</v>
      </c>
      <c r="AG106" s="14">
        <f t="shared" si="57"/>
        <v>0</v>
      </c>
      <c r="AH106" s="14">
        <f t="shared" si="57"/>
        <v>0</v>
      </c>
      <c r="AI106" s="14">
        <f t="shared" si="57"/>
        <v>0</v>
      </c>
      <c r="AJ106" s="14">
        <f t="shared" si="57"/>
        <v>0</v>
      </c>
      <c r="AK106" s="14">
        <f t="shared" si="57"/>
        <v>0</v>
      </c>
      <c r="AL106" s="14">
        <f t="shared" si="57"/>
        <v>0</v>
      </c>
      <c r="AM106" s="14"/>
      <c r="AN106" s="14"/>
      <c r="AO106" s="14"/>
      <c r="AP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4"/>
      <c r="BH106" s="14"/>
      <c r="BI106" s="14"/>
      <c r="BJ106" s="14"/>
      <c r="BK106" s="14"/>
      <c r="BL106" s="14"/>
      <c r="BM106" s="14"/>
      <c r="BN106" s="14"/>
      <c r="BO106" s="14"/>
      <c r="BP106" s="14"/>
      <c r="BQ106" s="14"/>
      <c r="BR106" s="14"/>
      <c r="BS106" s="14"/>
    </row>
    <row r="107" spans="1:87" ht="21" customHeight="1" outlineLevel="1" thickBot="1" x14ac:dyDescent="0.4">
      <c r="A107" s="5">
        <f t="shared" si="47"/>
        <v>0</v>
      </c>
      <c r="B107" s="5">
        <f t="shared" si="47"/>
        <v>0</v>
      </c>
      <c r="C107" s="5">
        <f t="shared" si="47"/>
        <v>0</v>
      </c>
      <c r="D107" s="5">
        <f t="shared" si="47"/>
        <v>0</v>
      </c>
      <c r="E107" s="6">
        <f t="shared" si="26"/>
        <v>0</v>
      </c>
      <c r="F107" s="14">
        <f t="shared" ref="F107:AL107" si="58">F31*$C$78</f>
        <v>0</v>
      </c>
      <c r="G107" s="14">
        <f t="shared" si="58"/>
        <v>0</v>
      </c>
      <c r="H107" s="14">
        <f t="shared" si="58"/>
        <v>0</v>
      </c>
      <c r="I107" s="14">
        <f t="shared" si="58"/>
        <v>0</v>
      </c>
      <c r="J107" s="14">
        <f t="shared" si="58"/>
        <v>0</v>
      </c>
      <c r="K107" s="14">
        <f t="shared" si="58"/>
        <v>0</v>
      </c>
      <c r="L107" s="14">
        <f t="shared" si="58"/>
        <v>0</v>
      </c>
      <c r="M107" s="14">
        <f t="shared" si="58"/>
        <v>0</v>
      </c>
      <c r="N107" s="14">
        <f t="shared" si="58"/>
        <v>0</v>
      </c>
      <c r="O107" s="14">
        <f t="shared" si="58"/>
        <v>0</v>
      </c>
      <c r="P107" s="14">
        <f t="shared" si="58"/>
        <v>0</v>
      </c>
      <c r="Q107" s="14">
        <f t="shared" si="58"/>
        <v>0</v>
      </c>
      <c r="R107" s="14">
        <f t="shared" si="58"/>
        <v>0</v>
      </c>
      <c r="S107" s="14">
        <f t="shared" si="58"/>
        <v>0</v>
      </c>
      <c r="T107" s="14">
        <f t="shared" si="58"/>
        <v>0</v>
      </c>
      <c r="U107" s="14">
        <f t="shared" si="58"/>
        <v>0</v>
      </c>
      <c r="V107" s="14">
        <f t="shared" si="58"/>
        <v>0</v>
      </c>
      <c r="W107" s="14">
        <f t="shared" si="58"/>
        <v>0</v>
      </c>
      <c r="X107" s="14">
        <f t="shared" si="58"/>
        <v>0</v>
      </c>
      <c r="Y107" s="14">
        <f t="shared" si="58"/>
        <v>0</v>
      </c>
      <c r="Z107" s="14">
        <f t="shared" si="58"/>
        <v>0</v>
      </c>
      <c r="AA107" s="14">
        <f t="shared" si="58"/>
        <v>0</v>
      </c>
      <c r="AB107" s="14">
        <f t="shared" si="58"/>
        <v>0</v>
      </c>
      <c r="AC107" s="14">
        <f t="shared" si="58"/>
        <v>0</v>
      </c>
      <c r="AD107" s="14">
        <f t="shared" si="58"/>
        <v>0</v>
      </c>
      <c r="AE107" s="14">
        <f t="shared" si="58"/>
        <v>0</v>
      </c>
      <c r="AF107" s="14">
        <f t="shared" si="58"/>
        <v>0</v>
      </c>
      <c r="AG107" s="14">
        <f t="shared" si="58"/>
        <v>0</v>
      </c>
      <c r="AH107" s="14">
        <f t="shared" si="58"/>
        <v>0</v>
      </c>
      <c r="AI107" s="14">
        <f t="shared" si="58"/>
        <v>0</v>
      </c>
      <c r="AJ107" s="14">
        <f t="shared" si="58"/>
        <v>0</v>
      </c>
      <c r="AK107" s="14">
        <f t="shared" si="58"/>
        <v>0</v>
      </c>
      <c r="AL107" s="14">
        <f t="shared" si="58"/>
        <v>0</v>
      </c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14"/>
      <c r="BG107" s="14"/>
      <c r="BH107" s="14"/>
      <c r="BI107" s="14"/>
      <c r="BJ107" s="14"/>
      <c r="BK107" s="14"/>
      <c r="BL107" s="14"/>
      <c r="BM107" s="14"/>
      <c r="BN107" s="14"/>
      <c r="BO107" s="14"/>
      <c r="BP107" s="14"/>
      <c r="BQ107" s="14"/>
      <c r="BR107" s="14"/>
      <c r="BS107" s="14"/>
    </row>
    <row r="108" spans="1:87" ht="21" customHeight="1" outlineLevel="1" thickBot="1" x14ac:dyDescent="0.4">
      <c r="A108" s="5">
        <f t="shared" si="47"/>
        <v>0</v>
      </c>
      <c r="B108" s="5">
        <f t="shared" si="47"/>
        <v>0</v>
      </c>
      <c r="C108" s="5">
        <f t="shared" si="47"/>
        <v>0</v>
      </c>
      <c r="D108" s="5">
        <f t="shared" si="47"/>
        <v>0</v>
      </c>
      <c r="E108" s="6">
        <f t="shared" si="26"/>
        <v>0</v>
      </c>
      <c r="F108" s="14">
        <f t="shared" ref="F108:AL108" si="59">F32*$C$78</f>
        <v>0</v>
      </c>
      <c r="G108" s="14">
        <f t="shared" si="59"/>
        <v>0</v>
      </c>
      <c r="H108" s="14">
        <f t="shared" si="59"/>
        <v>0</v>
      </c>
      <c r="I108" s="14">
        <f t="shared" si="59"/>
        <v>0</v>
      </c>
      <c r="J108" s="14">
        <f t="shared" si="59"/>
        <v>0</v>
      </c>
      <c r="K108" s="14">
        <f t="shared" si="59"/>
        <v>0</v>
      </c>
      <c r="L108" s="14">
        <f t="shared" si="59"/>
        <v>0</v>
      </c>
      <c r="M108" s="14">
        <f t="shared" si="59"/>
        <v>0</v>
      </c>
      <c r="N108" s="14">
        <f t="shared" si="59"/>
        <v>0</v>
      </c>
      <c r="O108" s="14">
        <f t="shared" si="59"/>
        <v>0</v>
      </c>
      <c r="P108" s="14">
        <f t="shared" si="59"/>
        <v>0</v>
      </c>
      <c r="Q108" s="14">
        <f t="shared" si="59"/>
        <v>0</v>
      </c>
      <c r="R108" s="14">
        <f t="shared" si="59"/>
        <v>0</v>
      </c>
      <c r="S108" s="14">
        <f t="shared" si="59"/>
        <v>0</v>
      </c>
      <c r="T108" s="14">
        <f t="shared" si="59"/>
        <v>0</v>
      </c>
      <c r="U108" s="14">
        <f t="shared" si="59"/>
        <v>0</v>
      </c>
      <c r="V108" s="14">
        <f t="shared" si="59"/>
        <v>0</v>
      </c>
      <c r="W108" s="14">
        <f t="shared" si="59"/>
        <v>0</v>
      </c>
      <c r="X108" s="14">
        <f t="shared" si="59"/>
        <v>0</v>
      </c>
      <c r="Y108" s="14">
        <f t="shared" si="59"/>
        <v>0</v>
      </c>
      <c r="Z108" s="14">
        <f t="shared" si="59"/>
        <v>0</v>
      </c>
      <c r="AA108" s="14">
        <f t="shared" si="59"/>
        <v>0</v>
      </c>
      <c r="AB108" s="14">
        <f t="shared" si="59"/>
        <v>0</v>
      </c>
      <c r="AC108" s="14">
        <f t="shared" si="59"/>
        <v>0</v>
      </c>
      <c r="AD108" s="14">
        <f t="shared" si="59"/>
        <v>0</v>
      </c>
      <c r="AE108" s="14">
        <f t="shared" si="59"/>
        <v>0</v>
      </c>
      <c r="AF108" s="14">
        <f t="shared" si="59"/>
        <v>0</v>
      </c>
      <c r="AG108" s="14">
        <f t="shared" si="59"/>
        <v>0</v>
      </c>
      <c r="AH108" s="14">
        <f t="shared" si="59"/>
        <v>0</v>
      </c>
      <c r="AI108" s="14">
        <f t="shared" si="59"/>
        <v>0</v>
      </c>
      <c r="AJ108" s="14">
        <f t="shared" si="59"/>
        <v>0</v>
      </c>
      <c r="AK108" s="14">
        <f t="shared" si="59"/>
        <v>0</v>
      </c>
      <c r="AL108" s="14">
        <f t="shared" si="59"/>
        <v>0</v>
      </c>
      <c r="AM108" s="14"/>
      <c r="AN108" s="14"/>
      <c r="AO108" s="14"/>
      <c r="AP108" s="14"/>
      <c r="AQ108" s="14"/>
      <c r="AR108" s="14"/>
      <c r="AS108" s="14"/>
      <c r="AT108" s="14"/>
      <c r="AU108" s="14"/>
      <c r="AV108" s="14"/>
      <c r="AW108" s="14"/>
      <c r="AX108" s="14"/>
      <c r="AY108" s="14"/>
      <c r="AZ108" s="14"/>
      <c r="BA108" s="14"/>
      <c r="BB108" s="14"/>
      <c r="BC108" s="14"/>
      <c r="BD108" s="14"/>
      <c r="BE108" s="14"/>
      <c r="BF108" s="14"/>
      <c r="BG108" s="14"/>
      <c r="BH108" s="14"/>
      <c r="BI108" s="14"/>
      <c r="BJ108" s="14"/>
      <c r="BK108" s="14"/>
      <c r="BL108" s="14"/>
      <c r="BM108" s="14"/>
      <c r="BN108" s="14"/>
      <c r="BO108" s="14"/>
      <c r="BP108" s="14"/>
      <c r="BQ108" s="14"/>
      <c r="BR108" s="14"/>
      <c r="BS108" s="14"/>
    </row>
    <row r="109" spans="1:87" ht="21" customHeight="1" outlineLevel="1" thickBot="1" x14ac:dyDescent="0.4">
      <c r="A109" s="5">
        <f t="shared" si="47"/>
        <v>0</v>
      </c>
      <c r="B109" s="5">
        <f t="shared" si="47"/>
        <v>0</v>
      </c>
      <c r="C109" s="5">
        <f t="shared" si="47"/>
        <v>0</v>
      </c>
      <c r="D109" s="5">
        <f t="shared" si="47"/>
        <v>0</v>
      </c>
      <c r="E109" s="6">
        <f t="shared" si="26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</row>
    <row r="110" spans="1:87" ht="21" customHeight="1" outlineLevel="1" x14ac:dyDescent="0.35">
      <c r="U110" s="48"/>
      <c r="V110" s="48"/>
      <c r="W110" s="48"/>
    </row>
    <row r="111" spans="1:87" ht="21" customHeight="1" x14ac:dyDescent="0.35">
      <c r="U111" s="48"/>
      <c r="V111" s="48"/>
      <c r="W111" s="48"/>
    </row>
    <row r="112" spans="1:87" ht="21" customHeight="1" x14ac:dyDescent="0.4">
      <c r="A112" s="66"/>
      <c r="B112" s="66"/>
      <c r="C112" s="66"/>
      <c r="D112" s="66"/>
      <c r="E112" s="65" t="s">
        <v>22</v>
      </c>
      <c r="F112" s="66"/>
      <c r="G112" s="66"/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6"/>
      <c r="V112" s="66"/>
      <c r="W112" s="66"/>
      <c r="X112" s="66"/>
      <c r="Y112" s="66"/>
      <c r="Z112" s="66"/>
      <c r="AA112" s="66"/>
      <c r="AB112" s="66"/>
      <c r="AC112" s="66"/>
      <c r="AD112" s="66"/>
      <c r="AE112" s="66"/>
      <c r="AF112" s="66"/>
      <c r="AG112" s="66"/>
      <c r="AH112" s="66"/>
      <c r="AI112" s="66"/>
      <c r="AJ112" s="66"/>
      <c r="AK112" s="66"/>
      <c r="AL112" s="66"/>
      <c r="AM112" s="66"/>
      <c r="AN112" s="66"/>
      <c r="AO112" s="66"/>
      <c r="AP112" s="66"/>
      <c r="AQ112" s="66"/>
      <c r="AR112" s="66"/>
      <c r="AS112" s="66"/>
      <c r="AT112" s="66"/>
      <c r="AU112" s="66"/>
      <c r="AV112" s="66"/>
      <c r="AW112" s="66"/>
      <c r="AX112" s="66"/>
      <c r="AY112" s="66"/>
      <c r="AZ112" s="66"/>
      <c r="BA112" s="66"/>
      <c r="BB112" s="66"/>
      <c r="BC112" s="66"/>
      <c r="BD112" s="66"/>
      <c r="BE112" s="66"/>
      <c r="BF112" s="66"/>
      <c r="BG112" s="66"/>
      <c r="BH112" s="66"/>
      <c r="BI112" s="66"/>
      <c r="BJ112" s="66"/>
      <c r="BK112" s="66"/>
      <c r="BL112" s="66"/>
      <c r="BM112" s="66"/>
      <c r="BN112" s="66"/>
      <c r="BO112" s="66"/>
      <c r="BP112" s="66"/>
      <c r="BQ112" s="66"/>
      <c r="BR112" s="66"/>
      <c r="BS112" s="66"/>
      <c r="BT112" s="66"/>
      <c r="BU112" s="66"/>
      <c r="BV112" s="66"/>
      <c r="BW112" s="66"/>
      <c r="BX112" s="66"/>
      <c r="BY112" s="66"/>
      <c r="BZ112" s="66"/>
      <c r="CA112" s="66"/>
      <c r="CB112" s="66"/>
      <c r="CC112" s="66"/>
      <c r="CD112" s="66"/>
      <c r="CE112" s="66"/>
      <c r="CF112" s="66"/>
      <c r="CG112" s="66"/>
      <c r="CH112" s="66"/>
      <c r="CI112" s="66"/>
    </row>
    <row r="113" spans="1:71" ht="21" hidden="1" customHeight="1" outlineLevel="1" x14ac:dyDescent="0.35">
      <c r="A113" s="101"/>
      <c r="B113" s="101"/>
      <c r="C113" s="21" t="s">
        <v>10</v>
      </c>
      <c r="D113" s="15" t="s">
        <v>11</v>
      </c>
      <c r="E113" s="15"/>
      <c r="F113" s="4">
        <f t="shared" ref="F113:AL113" si="60">F3</f>
        <v>0</v>
      </c>
      <c r="G113" s="4">
        <f t="shared" si="60"/>
        <v>0</v>
      </c>
      <c r="H113" s="4">
        <f t="shared" si="60"/>
        <v>0</v>
      </c>
      <c r="I113" s="4">
        <f t="shared" si="60"/>
        <v>0</v>
      </c>
      <c r="J113" s="4">
        <f t="shared" si="60"/>
        <v>0</v>
      </c>
      <c r="K113" s="4">
        <f t="shared" si="60"/>
        <v>0</v>
      </c>
      <c r="L113" s="4">
        <f t="shared" si="60"/>
        <v>0</v>
      </c>
      <c r="M113" s="4">
        <f t="shared" si="60"/>
        <v>0</v>
      </c>
      <c r="N113" s="4">
        <f t="shared" si="60"/>
        <v>0</v>
      </c>
      <c r="O113" s="4">
        <f t="shared" si="60"/>
        <v>0</v>
      </c>
      <c r="P113" s="4">
        <f t="shared" si="60"/>
        <v>0</v>
      </c>
      <c r="Q113" s="4">
        <f t="shared" si="60"/>
        <v>0</v>
      </c>
      <c r="R113" s="4">
        <f t="shared" si="60"/>
        <v>0</v>
      </c>
      <c r="S113" s="4">
        <f t="shared" si="60"/>
        <v>0</v>
      </c>
      <c r="T113" s="4">
        <f t="shared" si="60"/>
        <v>0</v>
      </c>
      <c r="U113" s="4">
        <f t="shared" si="60"/>
        <v>0</v>
      </c>
      <c r="V113" s="4">
        <f t="shared" si="60"/>
        <v>0</v>
      </c>
      <c r="W113" s="4">
        <f t="shared" si="60"/>
        <v>0</v>
      </c>
      <c r="X113" s="4">
        <f t="shared" si="60"/>
        <v>0</v>
      </c>
      <c r="Y113" s="4">
        <f t="shared" si="60"/>
        <v>0</v>
      </c>
      <c r="Z113" s="4">
        <f t="shared" si="60"/>
        <v>0</v>
      </c>
      <c r="AA113" s="4">
        <f t="shared" si="60"/>
        <v>0</v>
      </c>
      <c r="AB113" s="4">
        <f t="shared" si="60"/>
        <v>0</v>
      </c>
      <c r="AC113" s="4">
        <f t="shared" si="60"/>
        <v>0</v>
      </c>
      <c r="AD113" s="4">
        <f t="shared" si="60"/>
        <v>0</v>
      </c>
      <c r="AE113" s="4">
        <f t="shared" si="60"/>
        <v>0</v>
      </c>
      <c r="AF113" s="4">
        <f t="shared" si="60"/>
        <v>0</v>
      </c>
      <c r="AG113" s="4">
        <f t="shared" si="60"/>
        <v>0</v>
      </c>
      <c r="AH113" s="4">
        <f t="shared" si="60"/>
        <v>0</v>
      </c>
      <c r="AI113" s="4">
        <f t="shared" si="60"/>
        <v>0</v>
      </c>
      <c r="AJ113" s="4">
        <f t="shared" si="60"/>
        <v>0</v>
      </c>
      <c r="AK113" s="4">
        <f t="shared" si="60"/>
        <v>0</v>
      </c>
      <c r="AL113" s="4">
        <f t="shared" si="60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</row>
    <row r="114" spans="1:71" ht="21" hidden="1" customHeight="1" outlineLevel="1" x14ac:dyDescent="0.35">
      <c r="C114" s="22">
        <f>COUNTA(E114:E121)+1</f>
        <v>4</v>
      </c>
      <c r="E114" s="17" t="s">
        <v>12</v>
      </c>
      <c r="F114" s="47" t="e">
        <f ca="1">F$113*$B$2*SUMPRODUCT(F$90:F$92,F$56:F$58)/1000</f>
        <v>#N/A</v>
      </c>
      <c r="G114" s="47" t="e">
        <f t="shared" ref="G114:AL114" ca="1" si="61">G$113*$B$2*SUMPRODUCT(G$90:G$92,G$56:G$58)/1000</f>
        <v>#N/A</v>
      </c>
      <c r="H114" s="47" t="e">
        <f t="shared" ca="1" si="61"/>
        <v>#N/A</v>
      </c>
      <c r="I114" s="47" t="e">
        <f t="shared" ca="1" si="61"/>
        <v>#N/A</v>
      </c>
      <c r="J114" s="47" t="e">
        <f t="shared" ca="1" si="61"/>
        <v>#N/A</v>
      </c>
      <c r="K114" s="47" t="e">
        <f t="shared" ca="1" si="61"/>
        <v>#N/A</v>
      </c>
      <c r="L114" s="47" t="e">
        <f t="shared" ca="1" si="61"/>
        <v>#N/A</v>
      </c>
      <c r="M114" s="47" t="e">
        <f t="shared" ca="1" si="61"/>
        <v>#N/A</v>
      </c>
      <c r="N114" s="47" t="e">
        <f t="shared" ca="1" si="61"/>
        <v>#N/A</v>
      </c>
      <c r="O114" s="47" t="e">
        <f t="shared" ca="1" si="61"/>
        <v>#N/A</v>
      </c>
      <c r="P114" s="47" t="e">
        <f t="shared" ca="1" si="61"/>
        <v>#N/A</v>
      </c>
      <c r="Q114" s="47" t="e">
        <f t="shared" ca="1" si="61"/>
        <v>#N/A</v>
      </c>
      <c r="R114" s="47" t="e">
        <f t="shared" ca="1" si="61"/>
        <v>#N/A</v>
      </c>
      <c r="S114" s="47" t="e">
        <f t="shared" ca="1" si="61"/>
        <v>#N/A</v>
      </c>
      <c r="T114" s="47" t="e">
        <f t="shared" ca="1" si="61"/>
        <v>#N/A</v>
      </c>
      <c r="U114" s="47" t="e">
        <f t="shared" ca="1" si="61"/>
        <v>#N/A</v>
      </c>
      <c r="V114" s="47" t="e">
        <f t="shared" ca="1" si="61"/>
        <v>#N/A</v>
      </c>
      <c r="W114" s="47" t="e">
        <f t="shared" ca="1" si="61"/>
        <v>#N/A</v>
      </c>
      <c r="X114" s="47" t="e">
        <f t="shared" ca="1" si="61"/>
        <v>#N/A</v>
      </c>
      <c r="Y114" s="47" t="e">
        <f t="shared" ca="1" si="61"/>
        <v>#N/A</v>
      </c>
      <c r="Z114" s="47" t="e">
        <f t="shared" ca="1" si="61"/>
        <v>#N/A</v>
      </c>
      <c r="AA114" s="47" t="e">
        <f t="shared" ca="1" si="61"/>
        <v>#N/A</v>
      </c>
      <c r="AB114" s="47" t="e">
        <f t="shared" ca="1" si="61"/>
        <v>#N/A</v>
      </c>
      <c r="AC114" s="47" t="e">
        <f t="shared" ca="1" si="61"/>
        <v>#N/A</v>
      </c>
      <c r="AD114" s="47" t="e">
        <f t="shared" ca="1" si="61"/>
        <v>#N/A</v>
      </c>
      <c r="AE114" s="47" t="e">
        <f t="shared" ca="1" si="61"/>
        <v>#N/A</v>
      </c>
      <c r="AF114" s="47" t="e">
        <f t="shared" ca="1" si="61"/>
        <v>#N/A</v>
      </c>
      <c r="AG114" s="47" t="e">
        <f t="shared" ca="1" si="61"/>
        <v>#N/A</v>
      </c>
      <c r="AH114" s="47" t="e">
        <f t="shared" ca="1" si="61"/>
        <v>#N/A</v>
      </c>
      <c r="AI114" s="47" t="e">
        <f t="shared" ca="1" si="61"/>
        <v>#N/A</v>
      </c>
      <c r="AJ114" s="47" t="e">
        <f t="shared" ca="1" si="61"/>
        <v>#N/A</v>
      </c>
      <c r="AK114" s="47" t="e">
        <f t="shared" ca="1" si="61"/>
        <v>#N/A</v>
      </c>
      <c r="AL114" s="47" t="e">
        <f t="shared" ca="1" si="61"/>
        <v>#N/A</v>
      </c>
      <c r="AM114" s="47"/>
      <c r="AN114" s="47"/>
      <c r="AO114" s="47"/>
      <c r="AP114" s="47"/>
      <c r="AQ114" s="47"/>
      <c r="AR114" s="47"/>
      <c r="AS114" s="47"/>
      <c r="AT114" s="47"/>
      <c r="AU114" s="47"/>
      <c r="AV114" s="47"/>
      <c r="AW114" s="47"/>
      <c r="AX114" s="47"/>
      <c r="AY114" s="47"/>
      <c r="AZ114" s="47"/>
      <c r="BA114" s="47"/>
      <c r="BB114" s="47"/>
      <c r="BC114" s="47"/>
      <c r="BD114" s="47"/>
      <c r="BE114" s="47"/>
      <c r="BF114" s="47"/>
      <c r="BG114" s="47"/>
      <c r="BH114" s="47"/>
      <c r="BI114" s="47"/>
      <c r="BJ114" s="47"/>
      <c r="BK114" s="47"/>
      <c r="BL114" s="47"/>
      <c r="BM114" s="47"/>
      <c r="BN114" s="47"/>
      <c r="BO114" s="47"/>
      <c r="BP114" s="47"/>
      <c r="BQ114" s="47"/>
      <c r="BR114" s="47"/>
      <c r="BS114" s="47"/>
    </row>
    <row r="115" spans="1:71" ht="21" hidden="1" customHeight="1" outlineLevel="1" x14ac:dyDescent="0.35">
      <c r="C115" s="23">
        <f xml:space="preserve"> COUNTIF(F113:AL113,"&lt;&gt;"&amp;0)</f>
        <v>0</v>
      </c>
      <c r="E115" s="17" t="s">
        <v>13</v>
      </c>
      <c r="F115" s="14" t="e">
        <f ca="1">F$113*$B$2*SUMPRODUCT(F$80:F$88,F$46:F$54)/1000</f>
        <v>#N/A</v>
      </c>
      <c r="G115" s="14" t="e">
        <f t="shared" ref="G115:AL115" ca="1" si="62">G$113*$B$2*SUMPRODUCT(G$80:G$88,G$46:G$54)/1000</f>
        <v>#N/A</v>
      </c>
      <c r="H115" s="14" t="e">
        <f t="shared" ca="1" si="62"/>
        <v>#N/A</v>
      </c>
      <c r="I115" s="14" t="e">
        <f t="shared" ca="1" si="62"/>
        <v>#N/A</v>
      </c>
      <c r="J115" s="14" t="e">
        <f t="shared" ca="1" si="62"/>
        <v>#N/A</v>
      </c>
      <c r="K115" s="14" t="e">
        <f t="shared" ca="1" si="62"/>
        <v>#N/A</v>
      </c>
      <c r="L115" s="14" t="e">
        <f t="shared" ca="1" si="62"/>
        <v>#N/A</v>
      </c>
      <c r="M115" s="14" t="e">
        <f t="shared" ca="1" si="62"/>
        <v>#N/A</v>
      </c>
      <c r="N115" s="14" t="e">
        <f t="shared" ca="1" si="62"/>
        <v>#N/A</v>
      </c>
      <c r="O115" s="14" t="e">
        <f t="shared" ca="1" si="62"/>
        <v>#N/A</v>
      </c>
      <c r="P115" s="14" t="e">
        <f t="shared" ca="1" si="62"/>
        <v>#N/A</v>
      </c>
      <c r="Q115" s="14" t="e">
        <f t="shared" ca="1" si="62"/>
        <v>#N/A</v>
      </c>
      <c r="R115" s="14" t="e">
        <f t="shared" ca="1" si="62"/>
        <v>#N/A</v>
      </c>
      <c r="S115" s="14" t="e">
        <f t="shared" ca="1" si="62"/>
        <v>#N/A</v>
      </c>
      <c r="T115" s="14" t="e">
        <f t="shared" ca="1" si="62"/>
        <v>#N/A</v>
      </c>
      <c r="U115" s="14" t="e">
        <f t="shared" ca="1" si="62"/>
        <v>#N/A</v>
      </c>
      <c r="V115" s="14" t="e">
        <f t="shared" ca="1" si="62"/>
        <v>#N/A</v>
      </c>
      <c r="W115" s="14" t="e">
        <f t="shared" ca="1" si="62"/>
        <v>#N/A</v>
      </c>
      <c r="X115" s="14" t="e">
        <f t="shared" ca="1" si="62"/>
        <v>#N/A</v>
      </c>
      <c r="Y115" s="14" t="e">
        <f t="shared" ca="1" si="62"/>
        <v>#N/A</v>
      </c>
      <c r="Z115" s="14" t="e">
        <f t="shared" ca="1" si="62"/>
        <v>#N/A</v>
      </c>
      <c r="AA115" s="14" t="e">
        <f t="shared" ca="1" si="62"/>
        <v>#N/A</v>
      </c>
      <c r="AB115" s="14" t="e">
        <f t="shared" ca="1" si="62"/>
        <v>#N/A</v>
      </c>
      <c r="AC115" s="14" t="e">
        <f t="shared" ca="1" si="62"/>
        <v>#N/A</v>
      </c>
      <c r="AD115" s="14" t="e">
        <f t="shared" ca="1" si="62"/>
        <v>#N/A</v>
      </c>
      <c r="AE115" s="14" t="e">
        <f t="shared" ca="1" si="62"/>
        <v>#N/A</v>
      </c>
      <c r="AF115" s="14" t="e">
        <f t="shared" ca="1" si="62"/>
        <v>#N/A</v>
      </c>
      <c r="AG115" s="14" t="e">
        <f t="shared" ca="1" si="62"/>
        <v>#N/A</v>
      </c>
      <c r="AH115" s="14" t="e">
        <f t="shared" ca="1" si="62"/>
        <v>#N/A</v>
      </c>
      <c r="AI115" s="14" t="e">
        <f t="shared" ca="1" si="62"/>
        <v>#N/A</v>
      </c>
      <c r="AJ115" s="14" t="e">
        <f t="shared" ca="1" si="62"/>
        <v>#N/A</v>
      </c>
      <c r="AK115" s="14" t="e">
        <f t="shared" ca="1" si="62"/>
        <v>#N/A</v>
      </c>
      <c r="AL115" s="14" t="e">
        <f t="shared" ca="1" si="62"/>
        <v>#N/A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</row>
    <row r="116" spans="1:71" ht="21" hidden="1" customHeight="1" outlineLevel="1" x14ac:dyDescent="0.35">
      <c r="E116" s="17" t="s">
        <v>15</v>
      </c>
      <c r="F116" s="14" t="e">
        <f t="shared" ref="F116:AL116" ca="1" si="63">F115+F114</f>
        <v>#N/A</v>
      </c>
      <c r="G116" s="14" t="e">
        <f t="shared" ca="1" si="63"/>
        <v>#N/A</v>
      </c>
      <c r="H116" s="14" t="e">
        <f t="shared" ca="1" si="63"/>
        <v>#N/A</v>
      </c>
      <c r="I116" s="14" t="e">
        <f t="shared" ca="1" si="63"/>
        <v>#N/A</v>
      </c>
      <c r="J116" s="14" t="e">
        <f t="shared" ca="1" si="63"/>
        <v>#N/A</v>
      </c>
      <c r="K116" s="14" t="e">
        <f t="shared" ca="1" si="63"/>
        <v>#N/A</v>
      </c>
      <c r="L116" s="14" t="e">
        <f t="shared" ca="1" si="63"/>
        <v>#N/A</v>
      </c>
      <c r="M116" s="14" t="e">
        <f t="shared" ca="1" si="63"/>
        <v>#N/A</v>
      </c>
      <c r="N116" s="14" t="e">
        <f t="shared" ca="1" si="63"/>
        <v>#N/A</v>
      </c>
      <c r="O116" s="14" t="e">
        <f t="shared" ca="1" si="63"/>
        <v>#N/A</v>
      </c>
      <c r="P116" s="14" t="e">
        <f t="shared" ca="1" si="63"/>
        <v>#N/A</v>
      </c>
      <c r="Q116" s="14" t="e">
        <f t="shared" ca="1" si="63"/>
        <v>#N/A</v>
      </c>
      <c r="R116" s="14" t="e">
        <f t="shared" ca="1" si="63"/>
        <v>#N/A</v>
      </c>
      <c r="S116" s="14" t="e">
        <f t="shared" ca="1" si="63"/>
        <v>#N/A</v>
      </c>
      <c r="T116" s="14" t="e">
        <f t="shared" ca="1" si="63"/>
        <v>#N/A</v>
      </c>
      <c r="U116" s="14" t="e">
        <f t="shared" ca="1" si="63"/>
        <v>#N/A</v>
      </c>
      <c r="V116" s="14" t="e">
        <f t="shared" ca="1" si="63"/>
        <v>#N/A</v>
      </c>
      <c r="W116" s="14" t="e">
        <f t="shared" ca="1" si="63"/>
        <v>#N/A</v>
      </c>
      <c r="X116" s="14" t="e">
        <f t="shared" ca="1" si="63"/>
        <v>#N/A</v>
      </c>
      <c r="Y116" s="14" t="e">
        <f t="shared" ca="1" si="63"/>
        <v>#N/A</v>
      </c>
      <c r="Z116" s="14" t="e">
        <f t="shared" ca="1" si="63"/>
        <v>#N/A</v>
      </c>
      <c r="AA116" s="14" t="e">
        <f t="shared" ca="1" si="63"/>
        <v>#N/A</v>
      </c>
      <c r="AB116" s="14" t="e">
        <f t="shared" ca="1" si="63"/>
        <v>#N/A</v>
      </c>
      <c r="AC116" s="14" t="e">
        <f t="shared" ca="1" si="63"/>
        <v>#N/A</v>
      </c>
      <c r="AD116" s="14" t="e">
        <f t="shared" ca="1" si="63"/>
        <v>#N/A</v>
      </c>
      <c r="AE116" s="14" t="e">
        <f t="shared" ca="1" si="63"/>
        <v>#N/A</v>
      </c>
      <c r="AF116" s="14" t="e">
        <f t="shared" ca="1" si="63"/>
        <v>#N/A</v>
      </c>
      <c r="AG116" s="14" t="e">
        <f t="shared" ca="1" si="63"/>
        <v>#N/A</v>
      </c>
      <c r="AH116" s="14" t="e">
        <f t="shared" ca="1" si="63"/>
        <v>#N/A</v>
      </c>
      <c r="AI116" s="14" t="e">
        <f t="shared" ca="1" si="63"/>
        <v>#N/A</v>
      </c>
      <c r="AJ116" s="14" t="e">
        <f t="shared" ca="1" si="63"/>
        <v>#N/A</v>
      </c>
      <c r="AK116" s="14" t="e">
        <f t="shared" ca="1" si="63"/>
        <v>#N/A</v>
      </c>
      <c r="AL116" s="14" t="e">
        <f t="shared" ca="1" si="63"/>
        <v>#N/A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</row>
    <row r="117" spans="1:71" ht="21" hidden="1" customHeight="1" outlineLevel="1" x14ac:dyDescent="0.35"/>
    <row r="118" spans="1:71" ht="21" hidden="1" customHeight="1" outlineLevel="1" x14ac:dyDescent="0.35">
      <c r="U118" s="48"/>
      <c r="V118" s="48"/>
      <c r="W118" s="48"/>
    </row>
    <row r="119" spans="1:71" ht="21" hidden="1" customHeight="1" outlineLevel="1" x14ac:dyDescent="0.35">
      <c r="U119" s="48"/>
      <c r="V119" s="48"/>
      <c r="W119" s="48"/>
    </row>
    <row r="120" spans="1:71" ht="21" hidden="1" customHeight="1" outlineLevel="1" x14ac:dyDescent="0.35">
      <c r="U120" s="48"/>
      <c r="V120" s="48"/>
      <c r="W120" s="48"/>
    </row>
    <row r="121" spans="1:71" ht="21" hidden="1" customHeight="1" outlineLevel="1" x14ac:dyDescent="0.35">
      <c r="U121" s="48"/>
      <c r="V121" s="48"/>
      <c r="W121" s="48"/>
    </row>
    <row r="122" spans="1:71" ht="21" hidden="1" customHeight="1" outlineLevel="1" x14ac:dyDescent="0.35">
      <c r="E122" s="4">
        <f t="array" aca="1" ref="E122:AL135" ca="1">OFFSET(E113,0,0,C114,C115+1)</f>
        <v>0</v>
      </c>
      <c r="F122" s="4">
        <f ca="1"/>
        <v>0</v>
      </c>
      <c r="G122" s="4">
        <f ca="1"/>
        <v>0</v>
      </c>
      <c r="H122" s="4">
        <f ca="1"/>
        <v>0</v>
      </c>
      <c r="I122" s="4">
        <f ca="1"/>
        <v>0</v>
      </c>
      <c r="J122" s="4">
        <f ca="1"/>
        <v>0</v>
      </c>
      <c r="K122" s="4">
        <f ca="1"/>
        <v>0</v>
      </c>
      <c r="L122" s="4">
        <f ca="1"/>
        <v>0</v>
      </c>
      <c r="M122" s="4">
        <f ca="1"/>
        <v>0</v>
      </c>
      <c r="N122" s="4">
        <f ca="1"/>
        <v>0</v>
      </c>
      <c r="O122" s="4">
        <f ca="1"/>
        <v>0</v>
      </c>
      <c r="P122" s="4">
        <f ca="1"/>
        <v>0</v>
      </c>
      <c r="Q122" s="4">
        <f ca="1"/>
        <v>0</v>
      </c>
      <c r="R122" s="4">
        <f ca="1"/>
        <v>0</v>
      </c>
      <c r="S122" s="4">
        <f ca="1"/>
        <v>0</v>
      </c>
      <c r="T122" s="20">
        <f ca="1"/>
        <v>0</v>
      </c>
      <c r="U122" s="56">
        <f ca="1"/>
        <v>0</v>
      </c>
      <c r="V122" s="57">
        <f ca="1"/>
        <v>0</v>
      </c>
      <c r="W122" s="59">
        <f ca="1"/>
        <v>0</v>
      </c>
      <c r="X122" s="54">
        <f ca="1"/>
        <v>0</v>
      </c>
      <c r="Y122" s="4">
        <f ca="1"/>
        <v>0</v>
      </c>
      <c r="Z122" s="4">
        <f ca="1"/>
        <v>0</v>
      </c>
      <c r="AA122" s="4">
        <f ca="1"/>
        <v>0</v>
      </c>
      <c r="AB122" s="4">
        <f ca="1"/>
        <v>0</v>
      </c>
      <c r="AC122" s="4">
        <f ca="1"/>
        <v>0</v>
      </c>
      <c r="AD122" s="4">
        <f ca="1"/>
        <v>0</v>
      </c>
      <c r="AE122" s="4">
        <f ca="1"/>
        <v>0</v>
      </c>
      <c r="AF122" s="4">
        <f ca="1"/>
        <v>0</v>
      </c>
      <c r="AG122" s="4">
        <f ca="1"/>
        <v>0</v>
      </c>
      <c r="AH122" s="4">
        <f ca="1"/>
        <v>0</v>
      </c>
      <c r="AI122" s="4">
        <f ca="1"/>
        <v>0</v>
      </c>
      <c r="AJ122" s="4">
        <f ca="1"/>
        <v>0</v>
      </c>
      <c r="AK122" s="4">
        <f ca="1"/>
        <v>0</v>
      </c>
      <c r="AL122" s="4">
        <f ca="1"/>
        <v>0</v>
      </c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</row>
    <row r="123" spans="1:71" ht="21" hidden="1" customHeight="1" outlineLevel="1" x14ac:dyDescent="0.35">
      <c r="E123" s="17" t="str">
        <f ca="1"/>
        <v xml:space="preserve">Раствор (жид): </v>
      </c>
      <c r="F123" s="48" t="str">
        <f ca="1"/>
        <v xml:space="preserve">Раствор (жид): </v>
      </c>
      <c r="G123" s="48" t="str">
        <f ca="1"/>
        <v xml:space="preserve">Раствор (жид): </v>
      </c>
      <c r="H123" s="48" t="str">
        <f ca="1"/>
        <v xml:space="preserve">Раствор (жид): </v>
      </c>
      <c r="I123" s="48" t="str">
        <f ca="1"/>
        <v xml:space="preserve">Раствор (жид): </v>
      </c>
      <c r="J123" s="48" t="str">
        <f ca="1"/>
        <v xml:space="preserve">Раствор (жид): </v>
      </c>
      <c r="K123" s="48" t="str">
        <f ca="1"/>
        <v xml:space="preserve">Раствор (жид): </v>
      </c>
      <c r="L123" s="48" t="str">
        <f ca="1"/>
        <v xml:space="preserve">Раствор (жид): </v>
      </c>
      <c r="M123" s="48" t="str">
        <f ca="1"/>
        <v xml:space="preserve">Раствор (жид): </v>
      </c>
      <c r="N123" s="48" t="str">
        <f ca="1"/>
        <v xml:space="preserve">Раствор (жид): </v>
      </c>
      <c r="O123" s="48" t="str">
        <f ca="1"/>
        <v xml:space="preserve">Раствор (жид): </v>
      </c>
      <c r="P123" s="48" t="str">
        <f ca="1"/>
        <v xml:space="preserve">Раствор (жид): </v>
      </c>
      <c r="Q123" s="48" t="str">
        <f ca="1"/>
        <v xml:space="preserve">Раствор (жид): </v>
      </c>
      <c r="R123" s="48" t="str">
        <f ca="1"/>
        <v xml:space="preserve">Раствор (жид): </v>
      </c>
      <c r="S123" s="48" t="str">
        <f ca="1"/>
        <v xml:space="preserve">Раствор (жид): </v>
      </c>
      <c r="T123" s="48" t="str">
        <f ca="1"/>
        <v xml:space="preserve">Раствор (жид): </v>
      </c>
      <c r="U123" s="48" t="str">
        <f ca="1"/>
        <v xml:space="preserve">Раствор (жид): </v>
      </c>
      <c r="V123" s="48" t="str">
        <f ca="1"/>
        <v xml:space="preserve">Раствор (жид): </v>
      </c>
      <c r="W123" s="48" t="str">
        <f ca="1"/>
        <v xml:space="preserve">Раствор (жид): </v>
      </c>
      <c r="X123" s="48" t="str">
        <f ca="1"/>
        <v xml:space="preserve">Раствор (жид): </v>
      </c>
      <c r="Y123" s="48" t="str">
        <f ca="1"/>
        <v xml:space="preserve">Раствор (жид): </v>
      </c>
      <c r="Z123" s="48" t="str">
        <f ca="1"/>
        <v xml:space="preserve">Раствор (жид): </v>
      </c>
      <c r="AA123" s="48" t="str">
        <f ca="1"/>
        <v xml:space="preserve">Раствор (жид): </v>
      </c>
      <c r="AB123" s="48" t="str">
        <f ca="1"/>
        <v xml:space="preserve">Раствор (жид): </v>
      </c>
      <c r="AC123" s="48" t="str">
        <f ca="1"/>
        <v xml:space="preserve">Раствор (жид): </v>
      </c>
      <c r="AD123" s="48" t="str">
        <f ca="1"/>
        <v xml:space="preserve">Раствор (жид): </v>
      </c>
      <c r="AE123" s="48" t="str">
        <f ca="1"/>
        <v xml:space="preserve">Раствор (жид): </v>
      </c>
      <c r="AF123" s="48" t="str">
        <f ca="1"/>
        <v xml:space="preserve">Раствор (жид): </v>
      </c>
      <c r="AG123" s="48" t="str">
        <f ca="1"/>
        <v xml:space="preserve">Раствор (жид): </v>
      </c>
      <c r="AH123" s="48" t="str">
        <f ca="1"/>
        <v xml:space="preserve">Раствор (жид): </v>
      </c>
      <c r="AI123" s="48" t="str">
        <f ca="1"/>
        <v xml:space="preserve">Раствор (жид): </v>
      </c>
      <c r="AJ123" s="48" t="str">
        <f ca="1"/>
        <v xml:space="preserve">Раствор (жид): </v>
      </c>
      <c r="AK123" s="48" t="str">
        <f ca="1"/>
        <v xml:space="preserve">Раствор (жид): </v>
      </c>
      <c r="AL123" s="48" t="str">
        <f ca="1"/>
        <v xml:space="preserve">Раствор (жид): </v>
      </c>
    </row>
    <row r="124" spans="1:71" ht="21" hidden="1" customHeight="1" outlineLevel="1" x14ac:dyDescent="0.35">
      <c r="E124" s="17" t="str">
        <f ca="1"/>
        <v xml:space="preserve">Газовая без Ar: </v>
      </c>
      <c r="F124" s="48" t="str">
        <f ca="1"/>
        <v xml:space="preserve">Газовая без Ar: </v>
      </c>
      <c r="G124" s="48" t="str">
        <f ca="1"/>
        <v xml:space="preserve">Газовая без Ar: </v>
      </c>
      <c r="H124" s="48" t="str">
        <f ca="1"/>
        <v xml:space="preserve">Газовая без Ar: </v>
      </c>
      <c r="I124" s="48" t="str">
        <f ca="1"/>
        <v xml:space="preserve">Газовая без Ar: </v>
      </c>
      <c r="J124" s="48" t="str">
        <f ca="1"/>
        <v xml:space="preserve">Газовая без Ar: </v>
      </c>
      <c r="K124" s="48" t="str">
        <f ca="1"/>
        <v xml:space="preserve">Газовая без Ar: </v>
      </c>
      <c r="L124" s="48" t="str">
        <f ca="1"/>
        <v xml:space="preserve">Газовая без Ar: </v>
      </c>
      <c r="M124" s="48" t="str">
        <f ca="1"/>
        <v xml:space="preserve">Газовая без Ar: </v>
      </c>
      <c r="N124" s="48" t="str">
        <f ca="1"/>
        <v xml:space="preserve">Газовая без Ar: </v>
      </c>
      <c r="O124" s="48" t="str">
        <f ca="1"/>
        <v xml:space="preserve">Газовая без Ar: </v>
      </c>
      <c r="P124" s="48" t="str">
        <f ca="1"/>
        <v xml:space="preserve">Газовая без Ar: </v>
      </c>
      <c r="Q124" s="48" t="str">
        <f ca="1"/>
        <v xml:space="preserve">Газовая без Ar: </v>
      </c>
      <c r="R124" s="48" t="str">
        <f ca="1"/>
        <v xml:space="preserve">Газовая без Ar: </v>
      </c>
      <c r="S124" s="48" t="str">
        <f ca="1"/>
        <v xml:space="preserve">Газовая без Ar: </v>
      </c>
      <c r="T124" s="48" t="str">
        <f ca="1"/>
        <v xml:space="preserve">Газовая без Ar: </v>
      </c>
      <c r="U124" s="48" t="str">
        <f ca="1"/>
        <v xml:space="preserve">Газовая без Ar: </v>
      </c>
      <c r="V124" s="48" t="str">
        <f ca="1"/>
        <v xml:space="preserve">Газовая без Ar: </v>
      </c>
      <c r="W124" s="48" t="str">
        <f ca="1"/>
        <v xml:space="preserve">Газовая без Ar: </v>
      </c>
      <c r="X124" s="48" t="str">
        <f ca="1"/>
        <v xml:space="preserve">Газовая без Ar: </v>
      </c>
      <c r="Y124" s="48" t="str">
        <f ca="1"/>
        <v xml:space="preserve">Газовая без Ar: </v>
      </c>
      <c r="Z124" s="48" t="str">
        <f ca="1"/>
        <v xml:space="preserve">Газовая без Ar: </v>
      </c>
      <c r="AA124" s="48" t="str">
        <f ca="1"/>
        <v xml:space="preserve">Газовая без Ar: </v>
      </c>
      <c r="AB124" s="48" t="str">
        <f ca="1"/>
        <v xml:space="preserve">Газовая без Ar: </v>
      </c>
      <c r="AC124" s="48" t="str">
        <f ca="1"/>
        <v xml:space="preserve">Газовая без Ar: </v>
      </c>
      <c r="AD124" s="48" t="str">
        <f ca="1"/>
        <v xml:space="preserve">Газовая без Ar: </v>
      </c>
      <c r="AE124" s="48" t="str">
        <f ca="1"/>
        <v xml:space="preserve">Газовая без Ar: </v>
      </c>
      <c r="AF124" s="48" t="str">
        <f ca="1"/>
        <v xml:space="preserve">Газовая без Ar: </v>
      </c>
      <c r="AG124" s="48" t="str">
        <f ca="1"/>
        <v xml:space="preserve">Газовая без Ar: </v>
      </c>
      <c r="AH124" s="48" t="str">
        <f ca="1"/>
        <v xml:space="preserve">Газовая без Ar: </v>
      </c>
      <c r="AI124" s="48" t="str">
        <f ca="1"/>
        <v xml:space="preserve">Газовая без Ar: </v>
      </c>
      <c r="AJ124" s="48" t="str">
        <f ca="1"/>
        <v xml:space="preserve">Газовая без Ar: </v>
      </c>
      <c r="AK124" s="48" t="str">
        <f ca="1"/>
        <v xml:space="preserve">Газовая без Ar: </v>
      </c>
      <c r="AL124" s="48" t="str">
        <f ca="1"/>
        <v xml:space="preserve">Газовая без Ar: </v>
      </c>
    </row>
    <row r="125" spans="1:71" ht="21" hidden="1" customHeight="1" outlineLevel="1" x14ac:dyDescent="0.35">
      <c r="E125" s="17" t="str">
        <f ca="1"/>
        <v xml:space="preserve">Раствор + газовая без Ar: </v>
      </c>
      <c r="F125" s="48" t="str">
        <f ca="1"/>
        <v xml:space="preserve">Раствор + газовая без Ar: </v>
      </c>
      <c r="G125" s="48" t="str">
        <f ca="1"/>
        <v xml:space="preserve">Раствор + газовая без Ar: </v>
      </c>
      <c r="H125" s="48" t="str">
        <f ca="1"/>
        <v xml:space="preserve">Раствор + газовая без Ar: </v>
      </c>
      <c r="I125" s="48" t="str">
        <f ca="1"/>
        <v xml:space="preserve">Раствор + газовая без Ar: </v>
      </c>
      <c r="J125" s="48" t="str">
        <f ca="1"/>
        <v xml:space="preserve">Раствор + газовая без Ar: </v>
      </c>
      <c r="K125" s="48" t="str">
        <f ca="1"/>
        <v xml:space="preserve">Раствор + газовая без Ar: </v>
      </c>
      <c r="L125" s="48" t="str">
        <f ca="1"/>
        <v xml:space="preserve">Раствор + газовая без Ar: </v>
      </c>
      <c r="M125" s="48" t="str">
        <f ca="1"/>
        <v xml:space="preserve">Раствор + газовая без Ar: </v>
      </c>
      <c r="N125" s="48" t="str">
        <f ca="1"/>
        <v xml:space="preserve">Раствор + газовая без Ar: </v>
      </c>
      <c r="O125" s="48" t="str">
        <f ca="1"/>
        <v xml:space="preserve">Раствор + газовая без Ar: </v>
      </c>
      <c r="P125" s="48" t="str">
        <f ca="1"/>
        <v xml:space="preserve">Раствор + газовая без Ar: </v>
      </c>
      <c r="Q125" s="48" t="str">
        <f ca="1"/>
        <v xml:space="preserve">Раствор + газовая без Ar: </v>
      </c>
      <c r="R125" s="48" t="str">
        <f ca="1"/>
        <v xml:space="preserve">Раствор + газовая без Ar: </v>
      </c>
      <c r="S125" s="48" t="str">
        <f ca="1"/>
        <v xml:space="preserve">Раствор + газовая без Ar: </v>
      </c>
      <c r="T125" s="48" t="str">
        <f ca="1"/>
        <v xml:space="preserve">Раствор + газовая без Ar: </v>
      </c>
      <c r="U125" s="48" t="str">
        <f ca="1"/>
        <v xml:space="preserve">Раствор + газовая без Ar: </v>
      </c>
      <c r="V125" s="48" t="str">
        <f ca="1"/>
        <v xml:space="preserve">Раствор + газовая без Ar: </v>
      </c>
      <c r="W125" s="48" t="str">
        <f ca="1"/>
        <v xml:space="preserve">Раствор + газовая без Ar: </v>
      </c>
      <c r="X125" s="48" t="str">
        <f ca="1"/>
        <v xml:space="preserve">Раствор + газовая без Ar: </v>
      </c>
      <c r="Y125" s="48" t="str">
        <f ca="1"/>
        <v xml:space="preserve">Раствор + газовая без Ar: </v>
      </c>
      <c r="Z125" s="48" t="str">
        <f ca="1"/>
        <v xml:space="preserve">Раствор + газовая без Ar: </v>
      </c>
      <c r="AA125" s="48" t="str">
        <f ca="1"/>
        <v xml:space="preserve">Раствор + газовая без Ar: </v>
      </c>
      <c r="AB125" s="48" t="str">
        <f ca="1"/>
        <v xml:space="preserve">Раствор + газовая без Ar: </v>
      </c>
      <c r="AC125" s="48" t="str">
        <f ca="1"/>
        <v xml:space="preserve">Раствор + газовая без Ar: </v>
      </c>
      <c r="AD125" s="48" t="str">
        <f ca="1"/>
        <v xml:space="preserve">Раствор + газовая без Ar: </v>
      </c>
      <c r="AE125" s="48" t="str">
        <f ca="1"/>
        <v xml:space="preserve">Раствор + газовая без Ar: </v>
      </c>
      <c r="AF125" s="48" t="str">
        <f ca="1"/>
        <v xml:space="preserve">Раствор + газовая без Ar: </v>
      </c>
      <c r="AG125" s="48" t="str">
        <f ca="1"/>
        <v xml:space="preserve">Раствор + газовая без Ar: </v>
      </c>
      <c r="AH125" s="48" t="str">
        <f ca="1"/>
        <v xml:space="preserve">Раствор + газовая без Ar: </v>
      </c>
      <c r="AI125" s="48" t="str">
        <f ca="1"/>
        <v xml:space="preserve">Раствор + газовая без Ar: </v>
      </c>
      <c r="AJ125" s="48" t="str">
        <f ca="1"/>
        <v xml:space="preserve">Раствор + газовая без Ar: </v>
      </c>
      <c r="AK125" s="48" t="str">
        <f ca="1"/>
        <v xml:space="preserve">Раствор + газовая без Ar: </v>
      </c>
      <c r="AL125" s="48" t="str">
        <f ca="1"/>
        <v xml:space="preserve">Раствор + газовая без Ar: </v>
      </c>
    </row>
    <row r="126" spans="1:71" ht="21" hidden="1" customHeight="1" outlineLevel="1" x14ac:dyDescent="0.35">
      <c r="E126" s="17" t="e">
        <f ca="1"/>
        <v>#N/A</v>
      </c>
      <c r="F126" s="48" t="e">
        <f ca="1"/>
        <v>#N/A</v>
      </c>
      <c r="G126" s="48" t="e">
        <f ca="1"/>
        <v>#N/A</v>
      </c>
      <c r="H126" s="48" t="e">
        <f ca="1"/>
        <v>#N/A</v>
      </c>
      <c r="I126" s="48" t="e">
        <f ca="1"/>
        <v>#N/A</v>
      </c>
      <c r="J126" s="48" t="e">
        <f ca="1"/>
        <v>#N/A</v>
      </c>
      <c r="K126" s="48" t="e">
        <f ca="1"/>
        <v>#N/A</v>
      </c>
      <c r="L126" s="48" t="e">
        <f ca="1"/>
        <v>#N/A</v>
      </c>
      <c r="M126" s="48" t="e">
        <f ca="1"/>
        <v>#N/A</v>
      </c>
      <c r="N126" s="48" t="e">
        <f ca="1"/>
        <v>#N/A</v>
      </c>
      <c r="O126" s="48" t="e">
        <f ca="1"/>
        <v>#N/A</v>
      </c>
      <c r="P126" s="48" t="e">
        <f ca="1"/>
        <v>#N/A</v>
      </c>
      <c r="Q126" s="48" t="e">
        <f ca="1"/>
        <v>#N/A</v>
      </c>
      <c r="R126" s="48" t="e">
        <f ca="1"/>
        <v>#N/A</v>
      </c>
      <c r="S126" s="48" t="e">
        <f ca="1"/>
        <v>#N/A</v>
      </c>
      <c r="T126" s="48" t="e">
        <f ca="1"/>
        <v>#N/A</v>
      </c>
      <c r="U126" s="48" t="e">
        <f ca="1"/>
        <v>#N/A</v>
      </c>
      <c r="V126" s="48" t="e">
        <f ca="1"/>
        <v>#N/A</v>
      </c>
      <c r="W126" s="48" t="e">
        <f ca="1"/>
        <v>#N/A</v>
      </c>
      <c r="X126" s="48" t="e">
        <f ca="1"/>
        <v>#N/A</v>
      </c>
      <c r="Y126" s="48" t="e">
        <f ca="1"/>
        <v>#N/A</v>
      </c>
      <c r="Z126" s="48" t="e">
        <f ca="1"/>
        <v>#N/A</v>
      </c>
      <c r="AA126" s="48" t="e">
        <f ca="1"/>
        <v>#N/A</v>
      </c>
      <c r="AB126" s="48" t="e">
        <f ca="1"/>
        <v>#N/A</v>
      </c>
      <c r="AC126" s="48" t="e">
        <f ca="1"/>
        <v>#N/A</v>
      </c>
      <c r="AD126" s="48" t="e">
        <f ca="1"/>
        <v>#N/A</v>
      </c>
      <c r="AE126" s="48" t="e">
        <f ca="1"/>
        <v>#N/A</v>
      </c>
      <c r="AF126" s="48" t="e">
        <f ca="1"/>
        <v>#N/A</v>
      </c>
      <c r="AG126" s="48" t="e">
        <f ca="1"/>
        <v>#N/A</v>
      </c>
      <c r="AH126" s="48" t="e">
        <f ca="1"/>
        <v>#N/A</v>
      </c>
      <c r="AI126" s="48" t="e">
        <f ca="1"/>
        <v>#N/A</v>
      </c>
      <c r="AJ126" s="48" t="e">
        <f ca="1"/>
        <v>#N/A</v>
      </c>
      <c r="AK126" s="48" t="e">
        <f ca="1"/>
        <v>#N/A</v>
      </c>
      <c r="AL126" s="48" t="e">
        <f ca="1"/>
        <v>#N/A</v>
      </c>
    </row>
    <row r="127" spans="1:71" ht="21" hidden="1" customHeight="1" outlineLevel="1" x14ac:dyDescent="0.35">
      <c r="E127" s="17" t="e">
        <f ca="1"/>
        <v>#N/A</v>
      </c>
      <c r="F127" s="48" t="e">
        <f ca="1"/>
        <v>#N/A</v>
      </c>
      <c r="G127" s="48" t="e">
        <f ca="1"/>
        <v>#N/A</v>
      </c>
      <c r="H127" s="48" t="e">
        <f ca="1"/>
        <v>#N/A</v>
      </c>
      <c r="I127" s="48" t="e">
        <f ca="1"/>
        <v>#N/A</v>
      </c>
      <c r="J127" s="48" t="e">
        <f ca="1"/>
        <v>#N/A</v>
      </c>
      <c r="K127" s="48" t="e">
        <f ca="1"/>
        <v>#N/A</v>
      </c>
      <c r="L127" s="48" t="e">
        <f ca="1"/>
        <v>#N/A</v>
      </c>
      <c r="M127" s="48" t="e">
        <f ca="1"/>
        <v>#N/A</v>
      </c>
      <c r="N127" s="48" t="e">
        <f ca="1"/>
        <v>#N/A</v>
      </c>
      <c r="O127" s="48" t="e">
        <f ca="1"/>
        <v>#N/A</v>
      </c>
      <c r="P127" s="48" t="e">
        <f ca="1"/>
        <v>#N/A</v>
      </c>
      <c r="Q127" s="48" t="e">
        <f ca="1"/>
        <v>#N/A</v>
      </c>
      <c r="R127" s="48" t="e">
        <f ca="1"/>
        <v>#N/A</v>
      </c>
      <c r="S127" s="48" t="e">
        <f ca="1"/>
        <v>#N/A</v>
      </c>
      <c r="T127" s="48" t="e">
        <f ca="1"/>
        <v>#N/A</v>
      </c>
      <c r="U127" s="48" t="e">
        <f ca="1"/>
        <v>#N/A</v>
      </c>
      <c r="V127" s="48" t="e">
        <f ca="1"/>
        <v>#N/A</v>
      </c>
      <c r="W127" s="48" t="e">
        <f ca="1"/>
        <v>#N/A</v>
      </c>
      <c r="X127" s="48" t="e">
        <f ca="1"/>
        <v>#N/A</v>
      </c>
      <c r="Y127" s="48" t="e">
        <f ca="1"/>
        <v>#N/A</v>
      </c>
      <c r="Z127" s="48" t="e">
        <f ca="1"/>
        <v>#N/A</v>
      </c>
      <c r="AA127" s="48" t="e">
        <f ca="1"/>
        <v>#N/A</v>
      </c>
      <c r="AB127" s="48" t="e">
        <f ca="1"/>
        <v>#N/A</v>
      </c>
      <c r="AC127" s="48" t="e">
        <f ca="1"/>
        <v>#N/A</v>
      </c>
      <c r="AD127" s="48" t="e">
        <f ca="1"/>
        <v>#N/A</v>
      </c>
      <c r="AE127" s="48" t="e">
        <f ca="1"/>
        <v>#N/A</v>
      </c>
      <c r="AF127" s="48" t="e">
        <f ca="1"/>
        <v>#N/A</v>
      </c>
      <c r="AG127" s="48" t="e">
        <f ca="1"/>
        <v>#N/A</v>
      </c>
      <c r="AH127" s="48" t="e">
        <f ca="1"/>
        <v>#N/A</v>
      </c>
      <c r="AI127" s="48" t="e">
        <f ca="1"/>
        <v>#N/A</v>
      </c>
      <c r="AJ127" s="48" t="e">
        <f ca="1"/>
        <v>#N/A</v>
      </c>
      <c r="AK127" s="48" t="e">
        <f ca="1"/>
        <v>#N/A</v>
      </c>
      <c r="AL127" s="48" t="e">
        <f ca="1"/>
        <v>#N/A</v>
      </c>
    </row>
    <row r="128" spans="1:71" ht="21" hidden="1" customHeight="1" outlineLevel="1" x14ac:dyDescent="0.35">
      <c r="E128" s="17" t="e">
        <f ca="1"/>
        <v>#N/A</v>
      </c>
      <c r="F128" s="48" t="e">
        <f ca="1"/>
        <v>#N/A</v>
      </c>
      <c r="G128" s="48" t="e">
        <f ca="1"/>
        <v>#N/A</v>
      </c>
      <c r="H128" s="48" t="e">
        <f ca="1"/>
        <v>#N/A</v>
      </c>
      <c r="I128" s="48" t="e">
        <f ca="1"/>
        <v>#N/A</v>
      </c>
      <c r="J128" s="48" t="e">
        <f ca="1"/>
        <v>#N/A</v>
      </c>
      <c r="K128" s="48" t="e">
        <f ca="1"/>
        <v>#N/A</v>
      </c>
      <c r="L128" s="48" t="e">
        <f ca="1"/>
        <v>#N/A</v>
      </c>
      <c r="M128" s="48" t="e">
        <f ca="1"/>
        <v>#N/A</v>
      </c>
      <c r="N128" s="48" t="e">
        <f ca="1"/>
        <v>#N/A</v>
      </c>
      <c r="O128" s="48" t="e">
        <f ca="1"/>
        <v>#N/A</v>
      </c>
      <c r="P128" s="48" t="e">
        <f ca="1"/>
        <v>#N/A</v>
      </c>
      <c r="Q128" s="48" t="e">
        <f ca="1"/>
        <v>#N/A</v>
      </c>
      <c r="R128" s="48" t="e">
        <f ca="1"/>
        <v>#N/A</v>
      </c>
      <c r="S128" s="48" t="e">
        <f ca="1"/>
        <v>#N/A</v>
      </c>
      <c r="T128" s="48" t="e">
        <f ca="1"/>
        <v>#N/A</v>
      </c>
      <c r="U128" s="48" t="e">
        <f ca="1"/>
        <v>#N/A</v>
      </c>
      <c r="V128" s="48" t="e">
        <f ca="1"/>
        <v>#N/A</v>
      </c>
      <c r="W128" s="48" t="e">
        <f ca="1"/>
        <v>#N/A</v>
      </c>
      <c r="X128" s="48" t="e">
        <f ca="1"/>
        <v>#N/A</v>
      </c>
      <c r="Y128" s="48" t="e">
        <f ca="1"/>
        <v>#N/A</v>
      </c>
      <c r="Z128" s="48" t="e">
        <f ca="1"/>
        <v>#N/A</v>
      </c>
      <c r="AA128" s="48" t="e">
        <f ca="1"/>
        <v>#N/A</v>
      </c>
      <c r="AB128" s="48" t="e">
        <f ca="1"/>
        <v>#N/A</v>
      </c>
      <c r="AC128" s="48" t="e">
        <f ca="1"/>
        <v>#N/A</v>
      </c>
      <c r="AD128" s="48" t="e">
        <f ca="1"/>
        <v>#N/A</v>
      </c>
      <c r="AE128" s="48" t="e">
        <f ca="1"/>
        <v>#N/A</v>
      </c>
      <c r="AF128" s="48" t="e">
        <f ca="1"/>
        <v>#N/A</v>
      </c>
      <c r="AG128" s="48" t="e">
        <f ca="1"/>
        <v>#N/A</v>
      </c>
      <c r="AH128" s="48" t="e">
        <f ca="1"/>
        <v>#N/A</v>
      </c>
      <c r="AI128" s="48" t="e">
        <f ca="1"/>
        <v>#N/A</v>
      </c>
      <c r="AJ128" s="48" t="e">
        <f ca="1"/>
        <v>#N/A</v>
      </c>
      <c r="AK128" s="48" t="e">
        <f ca="1"/>
        <v>#N/A</v>
      </c>
      <c r="AL128" s="48" t="e">
        <f ca="1"/>
        <v>#N/A</v>
      </c>
    </row>
    <row r="129" spans="5:38" ht="21" hidden="1" customHeight="1" outlineLevel="1" x14ac:dyDescent="0.35">
      <c r="E129" s="17" t="e">
        <f ca="1"/>
        <v>#N/A</v>
      </c>
      <c r="F129" s="48" t="e">
        <f ca="1"/>
        <v>#N/A</v>
      </c>
      <c r="G129" s="48" t="e">
        <f ca="1"/>
        <v>#N/A</v>
      </c>
      <c r="H129" s="48" t="e">
        <f ca="1"/>
        <v>#N/A</v>
      </c>
      <c r="I129" s="48" t="e">
        <f ca="1"/>
        <v>#N/A</v>
      </c>
      <c r="J129" s="48" t="e">
        <f ca="1"/>
        <v>#N/A</v>
      </c>
      <c r="K129" s="48" t="e">
        <f ca="1"/>
        <v>#N/A</v>
      </c>
      <c r="L129" s="48" t="e">
        <f ca="1"/>
        <v>#N/A</v>
      </c>
      <c r="M129" s="48" t="e">
        <f ca="1"/>
        <v>#N/A</v>
      </c>
      <c r="N129" s="48" t="e">
        <f ca="1"/>
        <v>#N/A</v>
      </c>
      <c r="O129" s="48" t="e">
        <f ca="1"/>
        <v>#N/A</v>
      </c>
      <c r="P129" s="48" t="e">
        <f ca="1"/>
        <v>#N/A</v>
      </c>
      <c r="Q129" s="48" t="e">
        <f ca="1"/>
        <v>#N/A</v>
      </c>
      <c r="R129" s="48" t="e">
        <f ca="1"/>
        <v>#N/A</v>
      </c>
      <c r="S129" s="48" t="e">
        <f ca="1"/>
        <v>#N/A</v>
      </c>
      <c r="T129" s="48" t="e">
        <f ca="1"/>
        <v>#N/A</v>
      </c>
      <c r="U129" s="48" t="e">
        <f ca="1"/>
        <v>#N/A</v>
      </c>
      <c r="V129" s="48" t="e">
        <f ca="1"/>
        <v>#N/A</v>
      </c>
      <c r="W129" s="48" t="e">
        <f ca="1"/>
        <v>#N/A</v>
      </c>
      <c r="X129" s="48" t="e">
        <f ca="1"/>
        <v>#N/A</v>
      </c>
      <c r="Y129" s="48" t="e">
        <f ca="1"/>
        <v>#N/A</v>
      </c>
      <c r="Z129" s="48" t="e">
        <f ca="1"/>
        <v>#N/A</v>
      </c>
      <c r="AA129" s="48" t="e">
        <f ca="1"/>
        <v>#N/A</v>
      </c>
      <c r="AB129" s="48" t="e">
        <f ca="1"/>
        <v>#N/A</v>
      </c>
      <c r="AC129" s="48" t="e">
        <f ca="1"/>
        <v>#N/A</v>
      </c>
      <c r="AD129" s="48" t="e">
        <f ca="1"/>
        <v>#N/A</v>
      </c>
      <c r="AE129" s="48" t="e">
        <f ca="1"/>
        <v>#N/A</v>
      </c>
      <c r="AF129" s="48" t="e">
        <f ca="1"/>
        <v>#N/A</v>
      </c>
      <c r="AG129" s="48" t="e">
        <f ca="1"/>
        <v>#N/A</v>
      </c>
      <c r="AH129" s="48" t="e">
        <f ca="1"/>
        <v>#N/A</v>
      </c>
      <c r="AI129" s="48" t="e">
        <f ca="1"/>
        <v>#N/A</v>
      </c>
      <c r="AJ129" s="48" t="e">
        <f ca="1"/>
        <v>#N/A</v>
      </c>
      <c r="AK129" s="48" t="e">
        <f ca="1"/>
        <v>#N/A</v>
      </c>
      <c r="AL129" s="48" t="e">
        <f ca="1"/>
        <v>#N/A</v>
      </c>
    </row>
    <row r="130" spans="5:38" ht="21" hidden="1" customHeight="1" outlineLevel="1" x14ac:dyDescent="0.35">
      <c r="E130" s="17" t="e">
        <f ca="1"/>
        <v>#N/A</v>
      </c>
      <c r="F130" s="48" t="e">
        <f ca="1"/>
        <v>#N/A</v>
      </c>
      <c r="G130" s="48" t="e">
        <f ca="1"/>
        <v>#N/A</v>
      </c>
      <c r="H130" s="48" t="e">
        <f ca="1"/>
        <v>#N/A</v>
      </c>
      <c r="I130" s="48" t="e">
        <f ca="1"/>
        <v>#N/A</v>
      </c>
      <c r="J130" s="48" t="e">
        <f ca="1"/>
        <v>#N/A</v>
      </c>
      <c r="K130" s="48" t="e">
        <f ca="1"/>
        <v>#N/A</v>
      </c>
      <c r="L130" s="48" t="e">
        <f ca="1"/>
        <v>#N/A</v>
      </c>
      <c r="M130" s="48" t="e">
        <f ca="1"/>
        <v>#N/A</v>
      </c>
      <c r="N130" s="48" t="e">
        <f ca="1"/>
        <v>#N/A</v>
      </c>
      <c r="O130" s="48" t="e">
        <f ca="1"/>
        <v>#N/A</v>
      </c>
      <c r="P130" s="48" t="e">
        <f ca="1"/>
        <v>#N/A</v>
      </c>
      <c r="Q130" s="48" t="e">
        <f ca="1"/>
        <v>#N/A</v>
      </c>
      <c r="R130" s="48" t="e">
        <f ca="1"/>
        <v>#N/A</v>
      </c>
      <c r="S130" s="48" t="e">
        <f ca="1"/>
        <v>#N/A</v>
      </c>
      <c r="T130" s="48" t="e">
        <f ca="1"/>
        <v>#N/A</v>
      </c>
      <c r="U130" s="48" t="e">
        <f ca="1"/>
        <v>#N/A</v>
      </c>
      <c r="V130" s="48" t="e">
        <f ca="1"/>
        <v>#N/A</v>
      </c>
      <c r="W130" s="48" t="e">
        <f ca="1"/>
        <v>#N/A</v>
      </c>
      <c r="X130" s="48" t="e">
        <f ca="1"/>
        <v>#N/A</v>
      </c>
      <c r="Y130" s="48" t="e">
        <f ca="1"/>
        <v>#N/A</v>
      </c>
      <c r="Z130" s="48" t="e">
        <f ca="1"/>
        <v>#N/A</v>
      </c>
      <c r="AA130" s="48" t="e">
        <f ca="1"/>
        <v>#N/A</v>
      </c>
      <c r="AB130" s="48" t="e">
        <f ca="1"/>
        <v>#N/A</v>
      </c>
      <c r="AC130" s="48" t="e">
        <f ca="1"/>
        <v>#N/A</v>
      </c>
      <c r="AD130" s="48" t="e">
        <f ca="1"/>
        <v>#N/A</v>
      </c>
      <c r="AE130" s="48" t="e">
        <f ca="1"/>
        <v>#N/A</v>
      </c>
      <c r="AF130" s="48" t="e">
        <f ca="1"/>
        <v>#N/A</v>
      </c>
      <c r="AG130" s="48" t="e">
        <f ca="1"/>
        <v>#N/A</v>
      </c>
      <c r="AH130" s="48" t="e">
        <f ca="1"/>
        <v>#N/A</v>
      </c>
      <c r="AI130" s="48" t="e">
        <f ca="1"/>
        <v>#N/A</v>
      </c>
      <c r="AJ130" s="48" t="e">
        <f ca="1"/>
        <v>#N/A</v>
      </c>
      <c r="AK130" s="48" t="e">
        <f ca="1"/>
        <v>#N/A</v>
      </c>
      <c r="AL130" s="48" t="e">
        <f ca="1"/>
        <v>#N/A</v>
      </c>
    </row>
    <row r="131" spans="5:38" ht="21" hidden="1" customHeight="1" outlineLevel="1" x14ac:dyDescent="0.35">
      <c r="E131" s="17" t="e">
        <f ca="1"/>
        <v>#N/A</v>
      </c>
      <c r="F131" s="48" t="e">
        <f ca="1"/>
        <v>#N/A</v>
      </c>
      <c r="G131" s="48" t="e">
        <f ca="1"/>
        <v>#N/A</v>
      </c>
      <c r="H131" s="48" t="e">
        <f ca="1"/>
        <v>#N/A</v>
      </c>
      <c r="I131" s="48" t="e">
        <f ca="1"/>
        <v>#N/A</v>
      </c>
      <c r="J131" s="48" t="e">
        <f ca="1"/>
        <v>#N/A</v>
      </c>
      <c r="K131" s="48" t="e">
        <f ca="1"/>
        <v>#N/A</v>
      </c>
      <c r="L131" s="48" t="e">
        <f ca="1"/>
        <v>#N/A</v>
      </c>
      <c r="M131" s="48" t="e">
        <f ca="1"/>
        <v>#N/A</v>
      </c>
      <c r="N131" s="48" t="e">
        <f ca="1"/>
        <v>#N/A</v>
      </c>
      <c r="O131" s="48" t="e">
        <f ca="1"/>
        <v>#N/A</v>
      </c>
      <c r="P131" s="48" t="e">
        <f ca="1"/>
        <v>#N/A</v>
      </c>
      <c r="Q131" s="48" t="e">
        <f ca="1"/>
        <v>#N/A</v>
      </c>
      <c r="R131" s="48" t="e">
        <f ca="1"/>
        <v>#N/A</v>
      </c>
      <c r="S131" s="48" t="e">
        <f ca="1"/>
        <v>#N/A</v>
      </c>
      <c r="T131" s="48" t="e">
        <f ca="1"/>
        <v>#N/A</v>
      </c>
      <c r="U131" s="48" t="e">
        <f ca="1"/>
        <v>#N/A</v>
      </c>
      <c r="V131" s="48" t="e">
        <f ca="1"/>
        <v>#N/A</v>
      </c>
      <c r="W131" s="48" t="e">
        <f ca="1"/>
        <v>#N/A</v>
      </c>
      <c r="X131" s="48" t="e">
        <f ca="1"/>
        <v>#N/A</v>
      </c>
      <c r="Y131" s="48" t="e">
        <f ca="1"/>
        <v>#N/A</v>
      </c>
      <c r="Z131" s="48" t="e">
        <f ca="1"/>
        <v>#N/A</v>
      </c>
      <c r="AA131" s="48" t="e">
        <f ca="1"/>
        <v>#N/A</v>
      </c>
      <c r="AB131" s="48" t="e">
        <f ca="1"/>
        <v>#N/A</v>
      </c>
      <c r="AC131" s="48" t="e">
        <f ca="1"/>
        <v>#N/A</v>
      </c>
      <c r="AD131" s="48" t="e">
        <f ca="1"/>
        <v>#N/A</v>
      </c>
      <c r="AE131" s="48" t="e">
        <f ca="1"/>
        <v>#N/A</v>
      </c>
      <c r="AF131" s="48" t="e">
        <f ca="1"/>
        <v>#N/A</v>
      </c>
      <c r="AG131" s="48" t="e">
        <f ca="1"/>
        <v>#N/A</v>
      </c>
      <c r="AH131" s="48" t="e">
        <f ca="1"/>
        <v>#N/A</v>
      </c>
      <c r="AI131" s="48" t="e">
        <f ca="1"/>
        <v>#N/A</v>
      </c>
      <c r="AJ131" s="48" t="e">
        <f ca="1"/>
        <v>#N/A</v>
      </c>
      <c r="AK131" s="48" t="e">
        <f ca="1"/>
        <v>#N/A</v>
      </c>
      <c r="AL131" s="48" t="e">
        <f ca="1"/>
        <v>#N/A</v>
      </c>
    </row>
    <row r="132" spans="5:38" ht="21" hidden="1" customHeight="1" outlineLevel="1" x14ac:dyDescent="0.35">
      <c r="E132" s="17" t="e">
        <f ca="1"/>
        <v>#N/A</v>
      </c>
      <c r="F132" s="48" t="e">
        <f ca="1"/>
        <v>#N/A</v>
      </c>
      <c r="G132" s="48" t="e">
        <f ca="1"/>
        <v>#N/A</v>
      </c>
      <c r="H132" s="48" t="e">
        <f ca="1"/>
        <v>#N/A</v>
      </c>
      <c r="I132" s="48" t="e">
        <f ca="1"/>
        <v>#N/A</v>
      </c>
      <c r="J132" s="48" t="e">
        <f ca="1"/>
        <v>#N/A</v>
      </c>
      <c r="K132" s="48" t="e">
        <f ca="1"/>
        <v>#N/A</v>
      </c>
      <c r="L132" s="48" t="e">
        <f ca="1"/>
        <v>#N/A</v>
      </c>
      <c r="M132" s="48" t="e">
        <f ca="1"/>
        <v>#N/A</v>
      </c>
      <c r="N132" s="48" t="e">
        <f ca="1"/>
        <v>#N/A</v>
      </c>
      <c r="O132" s="48" t="e">
        <f ca="1"/>
        <v>#N/A</v>
      </c>
      <c r="P132" s="48" t="e">
        <f ca="1"/>
        <v>#N/A</v>
      </c>
      <c r="Q132" s="48" t="e">
        <f ca="1"/>
        <v>#N/A</v>
      </c>
      <c r="R132" s="48" t="e">
        <f ca="1"/>
        <v>#N/A</v>
      </c>
      <c r="S132" s="48" t="e">
        <f ca="1"/>
        <v>#N/A</v>
      </c>
      <c r="T132" s="48" t="e">
        <f ca="1"/>
        <v>#N/A</v>
      </c>
      <c r="U132" s="48" t="e">
        <f ca="1"/>
        <v>#N/A</v>
      </c>
      <c r="V132" s="48" t="e">
        <f ca="1"/>
        <v>#N/A</v>
      </c>
      <c r="W132" s="48" t="e">
        <f ca="1"/>
        <v>#N/A</v>
      </c>
      <c r="X132" s="48" t="e">
        <f ca="1"/>
        <v>#N/A</v>
      </c>
      <c r="Y132" s="48" t="e">
        <f ca="1"/>
        <v>#N/A</v>
      </c>
      <c r="Z132" s="48" t="e">
        <f ca="1"/>
        <v>#N/A</v>
      </c>
      <c r="AA132" s="48" t="e">
        <f ca="1"/>
        <v>#N/A</v>
      </c>
      <c r="AB132" s="48" t="e">
        <f ca="1"/>
        <v>#N/A</v>
      </c>
      <c r="AC132" s="48" t="e">
        <f ca="1"/>
        <v>#N/A</v>
      </c>
      <c r="AD132" s="48" t="e">
        <f ca="1"/>
        <v>#N/A</v>
      </c>
      <c r="AE132" s="48" t="e">
        <f ca="1"/>
        <v>#N/A</v>
      </c>
      <c r="AF132" s="48" t="e">
        <f ca="1"/>
        <v>#N/A</v>
      </c>
      <c r="AG132" s="48" t="e">
        <f ca="1"/>
        <v>#N/A</v>
      </c>
      <c r="AH132" s="48" t="e">
        <f ca="1"/>
        <v>#N/A</v>
      </c>
      <c r="AI132" s="48" t="e">
        <f ca="1"/>
        <v>#N/A</v>
      </c>
      <c r="AJ132" s="48" t="e">
        <f ca="1"/>
        <v>#N/A</v>
      </c>
      <c r="AK132" s="48" t="e">
        <f ca="1"/>
        <v>#N/A</v>
      </c>
      <c r="AL132" s="48" t="e">
        <f ca="1"/>
        <v>#N/A</v>
      </c>
    </row>
    <row r="133" spans="5:38" ht="21" hidden="1" customHeight="1" outlineLevel="1" x14ac:dyDescent="0.35">
      <c r="E133" s="17" t="e">
        <f ca="1"/>
        <v>#N/A</v>
      </c>
      <c r="F133" s="48" t="e">
        <f ca="1"/>
        <v>#N/A</v>
      </c>
      <c r="G133" s="48" t="e">
        <f ca="1"/>
        <v>#N/A</v>
      </c>
      <c r="H133" s="48" t="e">
        <f ca="1"/>
        <v>#N/A</v>
      </c>
      <c r="I133" s="48" t="e">
        <f ca="1"/>
        <v>#N/A</v>
      </c>
      <c r="J133" s="48" t="e">
        <f ca="1"/>
        <v>#N/A</v>
      </c>
      <c r="K133" s="48" t="e">
        <f ca="1"/>
        <v>#N/A</v>
      </c>
      <c r="L133" s="48" t="e">
        <f ca="1"/>
        <v>#N/A</v>
      </c>
      <c r="M133" s="48" t="e">
        <f ca="1"/>
        <v>#N/A</v>
      </c>
      <c r="N133" s="48" t="e">
        <f ca="1"/>
        <v>#N/A</v>
      </c>
      <c r="O133" s="48" t="e">
        <f ca="1"/>
        <v>#N/A</v>
      </c>
      <c r="P133" s="48" t="e">
        <f ca="1"/>
        <v>#N/A</v>
      </c>
      <c r="Q133" s="48" t="e">
        <f ca="1"/>
        <v>#N/A</v>
      </c>
      <c r="R133" s="48" t="e">
        <f ca="1"/>
        <v>#N/A</v>
      </c>
      <c r="S133" s="48" t="e">
        <f ca="1"/>
        <v>#N/A</v>
      </c>
      <c r="T133" s="48" t="e">
        <f ca="1"/>
        <v>#N/A</v>
      </c>
      <c r="U133" s="48" t="e">
        <f ca="1"/>
        <v>#N/A</v>
      </c>
      <c r="V133" s="48" t="e">
        <f ca="1"/>
        <v>#N/A</v>
      </c>
      <c r="W133" s="48" t="e">
        <f ca="1"/>
        <v>#N/A</v>
      </c>
      <c r="X133" s="48" t="e">
        <f ca="1"/>
        <v>#N/A</v>
      </c>
      <c r="Y133" s="48" t="e">
        <f ca="1"/>
        <v>#N/A</v>
      </c>
      <c r="Z133" s="48" t="e">
        <f ca="1"/>
        <v>#N/A</v>
      </c>
      <c r="AA133" s="48" t="e">
        <f ca="1"/>
        <v>#N/A</v>
      </c>
      <c r="AB133" s="48" t="e">
        <f ca="1"/>
        <v>#N/A</v>
      </c>
      <c r="AC133" s="48" t="e">
        <f ca="1"/>
        <v>#N/A</v>
      </c>
      <c r="AD133" s="48" t="e">
        <f ca="1"/>
        <v>#N/A</v>
      </c>
      <c r="AE133" s="48" t="e">
        <f ca="1"/>
        <v>#N/A</v>
      </c>
      <c r="AF133" s="48" t="e">
        <f ca="1"/>
        <v>#N/A</v>
      </c>
      <c r="AG133" s="48" t="e">
        <f ca="1"/>
        <v>#N/A</v>
      </c>
      <c r="AH133" s="48" t="e">
        <f ca="1"/>
        <v>#N/A</v>
      </c>
      <c r="AI133" s="48" t="e">
        <f ca="1"/>
        <v>#N/A</v>
      </c>
      <c r="AJ133" s="48" t="e">
        <f ca="1"/>
        <v>#N/A</v>
      </c>
      <c r="AK133" s="48" t="e">
        <f ca="1"/>
        <v>#N/A</v>
      </c>
      <c r="AL133" s="48" t="e">
        <f ca="1"/>
        <v>#N/A</v>
      </c>
    </row>
    <row r="134" spans="5:38" ht="21" hidden="1" customHeight="1" outlineLevel="1" x14ac:dyDescent="0.35">
      <c r="E134" s="17" t="e">
        <f ca="1"/>
        <v>#N/A</v>
      </c>
      <c r="F134" s="48" t="e">
        <f ca="1"/>
        <v>#N/A</v>
      </c>
      <c r="G134" s="48" t="e">
        <f ca="1"/>
        <v>#N/A</v>
      </c>
      <c r="H134" s="48" t="e">
        <f ca="1"/>
        <v>#N/A</v>
      </c>
      <c r="I134" s="48" t="e">
        <f ca="1"/>
        <v>#N/A</v>
      </c>
      <c r="J134" s="48" t="e">
        <f ca="1"/>
        <v>#N/A</v>
      </c>
      <c r="K134" s="48" t="e">
        <f ca="1"/>
        <v>#N/A</v>
      </c>
      <c r="L134" s="48" t="e">
        <f ca="1"/>
        <v>#N/A</v>
      </c>
      <c r="M134" s="48" t="e">
        <f ca="1"/>
        <v>#N/A</v>
      </c>
      <c r="N134" s="48" t="e">
        <f ca="1"/>
        <v>#N/A</v>
      </c>
      <c r="O134" s="48" t="e">
        <f ca="1"/>
        <v>#N/A</v>
      </c>
      <c r="P134" s="48" t="e">
        <f ca="1"/>
        <v>#N/A</v>
      </c>
      <c r="Q134" s="48" t="e">
        <f ca="1"/>
        <v>#N/A</v>
      </c>
      <c r="R134" s="48" t="e">
        <f ca="1"/>
        <v>#N/A</v>
      </c>
      <c r="S134" s="48" t="e">
        <f ca="1"/>
        <v>#N/A</v>
      </c>
      <c r="T134" s="48" t="e">
        <f ca="1"/>
        <v>#N/A</v>
      </c>
      <c r="U134" s="48" t="e">
        <f ca="1"/>
        <v>#N/A</v>
      </c>
      <c r="V134" s="48" t="e">
        <f ca="1"/>
        <v>#N/A</v>
      </c>
      <c r="W134" s="48" t="e">
        <f ca="1"/>
        <v>#N/A</v>
      </c>
      <c r="X134" s="48" t="e">
        <f ca="1"/>
        <v>#N/A</v>
      </c>
      <c r="Y134" s="48" t="e">
        <f ca="1"/>
        <v>#N/A</v>
      </c>
      <c r="Z134" s="48" t="e">
        <f ca="1"/>
        <v>#N/A</v>
      </c>
      <c r="AA134" s="48" t="e">
        <f ca="1"/>
        <v>#N/A</v>
      </c>
      <c r="AB134" s="48" t="e">
        <f ca="1"/>
        <v>#N/A</v>
      </c>
      <c r="AC134" s="48" t="e">
        <f ca="1"/>
        <v>#N/A</v>
      </c>
      <c r="AD134" s="48" t="e">
        <f ca="1"/>
        <v>#N/A</v>
      </c>
      <c r="AE134" s="48" t="e">
        <f ca="1"/>
        <v>#N/A</v>
      </c>
      <c r="AF134" s="48" t="e">
        <f ca="1"/>
        <v>#N/A</v>
      </c>
      <c r="AG134" s="48" t="e">
        <f ca="1"/>
        <v>#N/A</v>
      </c>
      <c r="AH134" s="48" t="e">
        <f ca="1"/>
        <v>#N/A</v>
      </c>
      <c r="AI134" s="48" t="e">
        <f ca="1"/>
        <v>#N/A</v>
      </c>
      <c r="AJ134" s="48" t="e">
        <f ca="1"/>
        <v>#N/A</v>
      </c>
      <c r="AK134" s="48" t="e">
        <f ca="1"/>
        <v>#N/A</v>
      </c>
      <c r="AL134" s="48" t="e">
        <f ca="1"/>
        <v>#N/A</v>
      </c>
    </row>
    <row r="135" spans="5:38" ht="21" hidden="1" customHeight="1" outlineLevel="1" x14ac:dyDescent="0.35">
      <c r="E135" s="17" t="e">
        <f ca="1"/>
        <v>#N/A</v>
      </c>
      <c r="F135" s="48" t="e">
        <f ca="1"/>
        <v>#N/A</v>
      </c>
      <c r="G135" s="48" t="e">
        <f ca="1"/>
        <v>#N/A</v>
      </c>
      <c r="H135" s="48" t="e">
        <f ca="1"/>
        <v>#N/A</v>
      </c>
      <c r="I135" s="48" t="e">
        <f ca="1"/>
        <v>#N/A</v>
      </c>
      <c r="J135" s="48" t="e">
        <f ca="1"/>
        <v>#N/A</v>
      </c>
      <c r="K135" s="48" t="e">
        <f ca="1"/>
        <v>#N/A</v>
      </c>
      <c r="L135" s="48" t="e">
        <f ca="1"/>
        <v>#N/A</v>
      </c>
      <c r="M135" s="48" t="e">
        <f ca="1"/>
        <v>#N/A</v>
      </c>
      <c r="N135" s="48" t="e">
        <f ca="1"/>
        <v>#N/A</v>
      </c>
      <c r="O135" s="48" t="e">
        <f ca="1"/>
        <v>#N/A</v>
      </c>
      <c r="P135" s="48" t="e">
        <f ca="1"/>
        <v>#N/A</v>
      </c>
      <c r="Q135" s="48" t="e">
        <f ca="1"/>
        <v>#N/A</v>
      </c>
      <c r="R135" s="48" t="e">
        <f ca="1"/>
        <v>#N/A</v>
      </c>
      <c r="S135" s="48" t="e">
        <f ca="1"/>
        <v>#N/A</v>
      </c>
      <c r="T135" s="48" t="e">
        <f ca="1"/>
        <v>#N/A</v>
      </c>
      <c r="U135" s="48" t="e">
        <f ca="1"/>
        <v>#N/A</v>
      </c>
      <c r="V135" s="48" t="e">
        <f ca="1"/>
        <v>#N/A</v>
      </c>
      <c r="W135" s="48" t="e">
        <f ca="1"/>
        <v>#N/A</v>
      </c>
      <c r="X135" s="48" t="e">
        <f ca="1"/>
        <v>#N/A</v>
      </c>
      <c r="Y135" s="48" t="e">
        <f ca="1"/>
        <v>#N/A</v>
      </c>
      <c r="Z135" s="48" t="e">
        <f ca="1"/>
        <v>#N/A</v>
      </c>
      <c r="AA135" s="48" t="e">
        <f ca="1"/>
        <v>#N/A</v>
      </c>
      <c r="AB135" s="48" t="e">
        <f ca="1"/>
        <v>#N/A</v>
      </c>
      <c r="AC135" s="48" t="e">
        <f ca="1"/>
        <v>#N/A</v>
      </c>
      <c r="AD135" s="48" t="e">
        <f ca="1"/>
        <v>#N/A</v>
      </c>
      <c r="AE135" s="48" t="e">
        <f ca="1"/>
        <v>#N/A</v>
      </c>
      <c r="AF135" s="48" t="e">
        <f ca="1"/>
        <v>#N/A</v>
      </c>
      <c r="AG135" s="48" t="e">
        <f ca="1"/>
        <v>#N/A</v>
      </c>
      <c r="AH135" s="48" t="e">
        <f ca="1"/>
        <v>#N/A</v>
      </c>
      <c r="AI135" s="48" t="e">
        <f ca="1"/>
        <v>#N/A</v>
      </c>
      <c r="AJ135" s="48" t="e">
        <f ca="1"/>
        <v>#N/A</v>
      </c>
      <c r="AK135" s="48" t="e">
        <f ca="1"/>
        <v>#N/A</v>
      </c>
      <c r="AL135" s="48" t="e">
        <f ca="1"/>
        <v>#N/A</v>
      </c>
    </row>
    <row r="136" spans="5:38" ht="21" hidden="1" customHeight="1" outlineLevel="1" x14ac:dyDescent="0.35">
      <c r="E136" s="18">
        <v>1</v>
      </c>
      <c r="F136" s="48">
        <v>0</v>
      </c>
      <c r="G136" s="48">
        <v>0</v>
      </c>
      <c r="H136" s="48">
        <v>0</v>
      </c>
      <c r="I136" s="48">
        <v>0</v>
      </c>
      <c r="J136" s="48">
        <v>0</v>
      </c>
      <c r="K136" s="48">
        <v>0</v>
      </c>
      <c r="L136" s="48">
        <v>0</v>
      </c>
      <c r="M136" s="48">
        <v>0</v>
      </c>
      <c r="N136" s="48">
        <v>0</v>
      </c>
      <c r="O136" s="48">
        <v>0</v>
      </c>
      <c r="P136" s="48">
        <v>0</v>
      </c>
      <c r="Q136" s="48">
        <v>0</v>
      </c>
      <c r="R136" s="48">
        <v>0</v>
      </c>
      <c r="S136" s="48">
        <v>0</v>
      </c>
      <c r="T136" s="48">
        <v>0</v>
      </c>
      <c r="U136" s="48">
        <v>0</v>
      </c>
      <c r="V136" s="48">
        <v>0</v>
      </c>
      <c r="W136" s="48">
        <v>0</v>
      </c>
      <c r="X136" s="48">
        <v>0</v>
      </c>
      <c r="Y136" s="48">
        <v>0</v>
      </c>
      <c r="Z136" s="48">
        <v>0</v>
      </c>
      <c r="AA136" s="48">
        <v>0</v>
      </c>
      <c r="AB136" s="48">
        <v>0</v>
      </c>
      <c r="AC136" s="48">
        <v>0</v>
      </c>
      <c r="AD136" s="48">
        <v>0</v>
      </c>
      <c r="AE136" s="48">
        <v>0</v>
      </c>
      <c r="AF136" s="48">
        <v>0</v>
      </c>
      <c r="AG136" s="48">
        <v>0</v>
      </c>
      <c r="AH136" s="48">
        <v>0</v>
      </c>
      <c r="AI136" s="48">
        <v>0</v>
      </c>
      <c r="AJ136" s="48">
        <v>0</v>
      </c>
      <c r="AK136" s="48">
        <v>0</v>
      </c>
      <c r="AL136" s="48">
        <v>0</v>
      </c>
    </row>
    <row r="137" spans="5:38" ht="21" customHeight="1" collapsed="1" x14ac:dyDescent="0.35"/>
  </sheetData>
  <mergeCells count="2">
    <mergeCell ref="A1:CI1"/>
    <mergeCell ref="A113:B113"/>
  </mergeCells>
  <conditionalFormatting sqref="A4:D33">
    <cfRule type="cellIs" dxfId="11" priority="190" operator="equal">
      <formula>0</formula>
    </cfRule>
  </conditionalFormatting>
  <conditionalFormatting sqref="A80:D109">
    <cfRule type="cellIs" dxfId="10" priority="189" operator="equal">
      <formula>0</formula>
    </cfRule>
  </conditionalFormatting>
  <conditionalFormatting sqref="A46:D75">
    <cfRule type="cellIs" dxfId="9" priority="142" operator="equal">
      <formula>0</formula>
    </cfRule>
  </conditionalFormatting>
  <conditionalFormatting sqref="H32:BS32">
    <cfRule type="colorScale" priority="94">
      <colorScale>
        <cfvo type="min"/>
        <cfvo type="max"/>
        <color rgb="FFFFEF9C"/>
        <color rgb="FF63BE7B"/>
      </colorScale>
    </cfRule>
  </conditionalFormatting>
  <conditionalFormatting sqref="H31:BS31">
    <cfRule type="colorScale" priority="93">
      <colorScale>
        <cfvo type="min"/>
        <cfvo type="max"/>
        <color rgb="FFFFEF9C"/>
        <color rgb="FF63BE7B"/>
      </colorScale>
    </cfRule>
  </conditionalFormatting>
  <conditionalFormatting sqref="F32:G32">
    <cfRule type="colorScale" priority="47">
      <colorScale>
        <cfvo type="min"/>
        <cfvo type="max"/>
        <color rgb="FFFFEF9C"/>
        <color rgb="FF63BE7B"/>
      </colorScale>
    </cfRule>
  </conditionalFormatting>
  <conditionalFormatting sqref="F31:G31">
    <cfRule type="colorScale" priority="46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9:BS29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1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38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37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30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29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28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27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26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5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4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3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2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19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1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0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18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1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0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9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8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7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6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5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4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3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2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00D06-5D3F-4749-B1C6-1187E604B8CB}">
  <sheetPr codeName="Лист4">
    <tabColor rgb="FF0070C0"/>
  </sheetPr>
  <dimension ref="A1:CI136"/>
  <sheetViews>
    <sheetView zoomScale="85" zoomScaleNormal="85" zoomScaleSheetLayoutView="25" workbookViewId="0">
      <selection activeCell="BR23" sqref="BR23"/>
    </sheetView>
  </sheetViews>
  <sheetFormatPr defaultRowHeight="21" customHeight="1" outlineLevelRow="1" x14ac:dyDescent="0.35"/>
  <cols>
    <col min="1" max="4" width="5.6328125" style="48" customWidth="1"/>
    <col min="5" max="5" width="11.6328125" style="48" customWidth="1"/>
    <col min="6" max="6" width="8.90625" style="48" customWidth="1"/>
    <col min="7" max="20" width="8.6328125" style="48" hidden="1" customWidth="1"/>
    <col min="21" max="21" width="8.6328125" style="26" hidden="1" customWidth="1"/>
    <col min="22" max="22" width="8.6328125" style="27" hidden="1" customWidth="1"/>
    <col min="23" max="23" width="8.6328125" style="58" hidden="1" customWidth="1"/>
    <col min="24" max="69" width="8.6328125" style="48" hidden="1" customWidth="1"/>
    <col min="70" max="70" width="3" style="48" customWidth="1"/>
    <col min="71" max="71" width="6.6328125" style="48" customWidth="1"/>
    <col min="72" max="16384" width="8.7265625" style="48"/>
  </cols>
  <sheetData>
    <row r="1" spans="1:87" ht="29.25" customHeight="1" thickBot="1" x14ac:dyDescent="0.4">
      <c r="A1" s="103" t="s">
        <v>24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3"/>
      <c r="BN1" s="103"/>
      <c r="BO1" s="103"/>
      <c r="BP1" s="103"/>
      <c r="BQ1" s="103"/>
      <c r="BR1" s="103"/>
      <c r="BS1" s="103"/>
      <c r="BT1" s="103"/>
      <c r="BU1" s="103"/>
      <c r="BV1" s="103"/>
      <c r="BW1" s="103"/>
      <c r="BX1" s="103"/>
      <c r="BY1" s="103"/>
      <c r="BZ1" s="103"/>
      <c r="CA1" s="103"/>
      <c r="CB1" s="103"/>
      <c r="CC1" s="103"/>
      <c r="CD1" s="103"/>
      <c r="CE1" s="103"/>
      <c r="CF1" s="103"/>
      <c r="CG1" s="103"/>
      <c r="CH1" s="103"/>
      <c r="CI1" s="103"/>
    </row>
    <row r="2" spans="1:87" ht="21" customHeight="1" thickBot="1" x14ac:dyDescent="0.45">
      <c r="A2" s="76">
        <f>Values!B1</f>
        <v>700</v>
      </c>
      <c r="B2" s="77">
        <v>8.3145000000000007</v>
      </c>
      <c r="C2" s="66"/>
      <c r="D2" s="66"/>
      <c r="E2" s="65" t="s">
        <v>18</v>
      </c>
      <c r="F2" s="66"/>
      <c r="G2" s="65"/>
      <c r="H2" s="65"/>
      <c r="I2" s="65"/>
      <c r="J2" s="65"/>
      <c r="K2" s="67"/>
      <c r="L2" s="67"/>
      <c r="M2" s="67"/>
      <c r="N2" s="67"/>
      <c r="O2" s="67"/>
      <c r="P2" s="67"/>
      <c r="Q2" s="67"/>
      <c r="R2" s="67"/>
      <c r="S2" s="67"/>
      <c r="T2" s="67"/>
      <c r="U2" s="68"/>
      <c r="V2" s="69"/>
      <c r="W2" s="70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7"/>
      <c r="AM2" s="67"/>
      <c r="AN2" s="67"/>
      <c r="AO2" s="67"/>
      <c r="AP2" s="67"/>
      <c r="AQ2" s="67"/>
      <c r="AR2" s="67"/>
      <c r="AS2" s="67"/>
      <c r="AT2" s="67"/>
      <c r="AU2" s="67"/>
      <c r="AV2" s="67"/>
      <c r="AW2" s="67"/>
      <c r="AX2" s="67"/>
      <c r="AY2" s="67"/>
      <c r="AZ2" s="67"/>
      <c r="BA2" s="67"/>
      <c r="BB2" s="67"/>
      <c r="BC2" s="67"/>
      <c r="BD2" s="67"/>
      <c r="BE2" s="67"/>
      <c r="BF2" s="67"/>
      <c r="BG2" s="67"/>
      <c r="BH2" s="67"/>
      <c r="BI2" s="67"/>
      <c r="BJ2" s="67"/>
      <c r="BK2" s="67"/>
      <c r="BL2" s="67"/>
      <c r="BM2" s="67"/>
      <c r="BN2" s="67"/>
      <c r="BO2" s="67"/>
      <c r="BP2" s="67"/>
      <c r="BQ2" s="67"/>
      <c r="BR2" s="67"/>
      <c r="BS2" s="67"/>
      <c r="BT2" s="71"/>
      <c r="BU2" s="75"/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8"/>
    </row>
    <row r="3" spans="1:87" ht="21" customHeight="1" outlineLevel="1" thickTop="1" thickBot="1" x14ac:dyDescent="0.4">
      <c r="A3" s="40" t="s">
        <v>1</v>
      </c>
      <c r="B3" s="40" t="s">
        <v>2</v>
      </c>
      <c r="C3" s="40" t="s">
        <v>3</v>
      </c>
      <c r="D3" s="41" t="s">
        <v>4</v>
      </c>
      <c r="E3" s="4" t="s">
        <v>66</v>
      </c>
      <c r="F3" s="3">
        <v>273.10000000000002</v>
      </c>
      <c r="G3" s="3">
        <v>289.7</v>
      </c>
      <c r="H3" s="3">
        <v>306.2</v>
      </c>
      <c r="I3" s="3">
        <v>322.7</v>
      </c>
      <c r="J3" s="3">
        <v>339.2</v>
      </c>
      <c r="K3" s="3">
        <v>355.7</v>
      </c>
      <c r="L3" s="3">
        <v>372.3</v>
      </c>
      <c r="M3" s="3">
        <v>388.8</v>
      </c>
      <c r="N3" s="3">
        <v>405.3</v>
      </c>
      <c r="O3" s="3">
        <v>471.4</v>
      </c>
      <c r="P3" s="3">
        <v>487.9</v>
      </c>
      <c r="Q3" s="3">
        <v>504.4</v>
      </c>
      <c r="R3" s="3">
        <v>520.9</v>
      </c>
      <c r="S3" s="3">
        <v>537.5</v>
      </c>
      <c r="T3" s="3">
        <v>554</v>
      </c>
      <c r="U3" s="3">
        <v>570.5</v>
      </c>
      <c r="V3" s="3">
        <v>587</v>
      </c>
      <c r="W3" s="3">
        <v>603.5</v>
      </c>
      <c r="X3" s="3">
        <v>620.1</v>
      </c>
      <c r="Y3" s="3">
        <v>636.6</v>
      </c>
      <c r="Z3" s="3">
        <v>653.1</v>
      </c>
      <c r="AA3" s="3">
        <v>669.6</v>
      </c>
      <c r="AB3" s="3">
        <v>735.7</v>
      </c>
      <c r="AC3" s="3">
        <v>752.2</v>
      </c>
      <c r="AD3" s="3">
        <v>768.7</v>
      </c>
      <c r="AE3" s="3">
        <v>785.2</v>
      </c>
      <c r="AF3" s="3">
        <v>801.8</v>
      </c>
      <c r="AG3" s="3">
        <v>818.3</v>
      </c>
      <c r="AH3" s="3">
        <v>834.8</v>
      </c>
      <c r="AI3" s="3">
        <v>851.3</v>
      </c>
      <c r="AJ3" s="3">
        <v>867.8</v>
      </c>
      <c r="AK3" s="3">
        <v>933.9</v>
      </c>
      <c r="AL3" s="3">
        <v>950.4</v>
      </c>
      <c r="AM3" s="3">
        <v>967</v>
      </c>
      <c r="AN3" s="3">
        <v>983.5</v>
      </c>
      <c r="AO3" s="3">
        <v>1000</v>
      </c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24"/>
      <c r="BU3" s="85"/>
      <c r="BV3" s="85"/>
      <c r="BW3" s="85"/>
      <c r="BX3" s="85"/>
      <c r="BY3" s="85"/>
      <c r="BZ3" s="85"/>
      <c r="CA3" s="85"/>
      <c r="CB3" s="85"/>
      <c r="CC3" s="85"/>
      <c r="CD3" s="85"/>
      <c r="CE3" s="85"/>
      <c r="CF3" s="85"/>
      <c r="CG3" s="85"/>
      <c r="CH3" s="85"/>
      <c r="CI3" s="25"/>
    </row>
    <row r="4" spans="1:87" ht="21" customHeight="1" outlineLevel="1" thickTop="1" thickBot="1" x14ac:dyDescent="0.4">
      <c r="A4" s="42">
        <f>IF( ISNUMBER( FIND(A$3,$E4,1)),   IF( ISNUMBER( VALUE(MID($E4,FIND(A$3,$E4,1)+2,1)) ), VALUE( MID($E4,FIND(A$3,$E4,1)+2,1) ),1),0)</f>
        <v>0</v>
      </c>
      <c r="B4" s="42">
        <f t="shared" ref="B4:D19" si="0">IF( ISNUMBER( FIND(B$3,$E4,1)),   IF( ISNUMBER( VALUE(MID($E4,FIND(B$3,$E4,1)+2,1)) ), VALUE( MID($E4,FIND(B$3,$E4,1)+2,1) ),1),0)</f>
        <v>1</v>
      </c>
      <c r="C4" s="42">
        <f t="shared" si="0"/>
        <v>0</v>
      </c>
      <c r="D4" s="42">
        <f t="shared" si="0"/>
        <v>0</v>
      </c>
      <c r="E4" s="46" t="s">
        <v>51</v>
      </c>
      <c r="F4" s="86">
        <v>2.7791999999999999E-19</v>
      </c>
      <c r="G4" s="86">
        <v>2.1402999999999999E-14</v>
      </c>
      <c r="H4" s="86">
        <v>6.4261000000000002E-11</v>
      </c>
      <c r="I4" s="86">
        <v>1.7173000000000001E-9</v>
      </c>
      <c r="J4" s="86">
        <v>3.5577999999999997E-7</v>
      </c>
      <c r="K4" s="86">
        <v>0.12</v>
      </c>
      <c r="L4" s="86">
        <v>0.12</v>
      </c>
      <c r="M4" s="86">
        <v>0.12</v>
      </c>
      <c r="N4" s="86">
        <v>0.12</v>
      </c>
      <c r="O4" s="86">
        <v>0.12</v>
      </c>
      <c r="P4" s="86">
        <v>0.12</v>
      </c>
      <c r="Q4" s="86">
        <v>0.12</v>
      </c>
      <c r="R4" s="86">
        <v>0.36</v>
      </c>
      <c r="S4" s="86">
        <v>0.36</v>
      </c>
      <c r="T4" s="86">
        <v>0.36</v>
      </c>
      <c r="U4" s="86">
        <v>0.36</v>
      </c>
      <c r="V4" s="86">
        <v>0.36</v>
      </c>
      <c r="W4" s="86">
        <v>0.4</v>
      </c>
      <c r="X4" s="86">
        <v>0.4</v>
      </c>
      <c r="Y4" s="86">
        <v>0.4</v>
      </c>
      <c r="Z4" s="86">
        <v>0.4</v>
      </c>
      <c r="AA4" s="86">
        <v>0.4</v>
      </c>
      <c r="AB4" s="86">
        <v>0.4</v>
      </c>
      <c r="AC4" s="86">
        <v>0.4</v>
      </c>
      <c r="AD4" s="86">
        <v>0.4</v>
      </c>
      <c r="AE4" s="86">
        <v>0.4</v>
      </c>
      <c r="AF4" s="86">
        <v>0.4</v>
      </c>
      <c r="AG4" s="86">
        <v>0.47810000000000002</v>
      </c>
      <c r="AH4" s="86">
        <v>0.48</v>
      </c>
      <c r="AI4" s="86">
        <v>0.48</v>
      </c>
      <c r="AJ4" s="86">
        <v>0.48</v>
      </c>
      <c r="AK4" s="86">
        <v>0.48</v>
      </c>
      <c r="AL4" s="86">
        <v>0.48</v>
      </c>
      <c r="AM4" s="86">
        <v>0.48</v>
      </c>
      <c r="AN4" s="86">
        <v>0.48</v>
      </c>
      <c r="AO4" s="86">
        <v>0.48</v>
      </c>
      <c r="AP4" s="86"/>
      <c r="AQ4" s="86"/>
      <c r="AR4" s="86"/>
      <c r="AS4" s="86"/>
      <c r="AT4" s="86"/>
      <c r="AU4" s="86"/>
      <c r="AV4" s="86"/>
      <c r="AW4" s="86"/>
      <c r="AX4" s="86"/>
      <c r="AY4" s="86"/>
      <c r="AZ4" s="86"/>
      <c r="BA4" s="86"/>
      <c r="BB4" s="86"/>
      <c r="BC4" s="86"/>
      <c r="BD4" s="86"/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8"/>
    </row>
    <row r="5" spans="1:87" ht="21" customHeight="1" outlineLevel="1" thickBot="1" x14ac:dyDescent="0.4">
      <c r="A5" s="42">
        <f t="shared" ref="A5:D27" si="1">IF( ISNUMBER( FIND(A$3,$E5,1)),   IF( ISNUMBER( VALUE(MID($E5,FIND(A$3,$E5,1)+2,1)) ), VALUE( MID($E5,FIND(A$3,$E5,1)+2,1) ),1),0)</f>
        <v>0</v>
      </c>
      <c r="B5" s="42">
        <f t="shared" si="0"/>
        <v>0</v>
      </c>
      <c r="C5" s="42">
        <f t="shared" si="0"/>
        <v>1</v>
      </c>
      <c r="D5" s="42">
        <f t="shared" si="0"/>
        <v>0</v>
      </c>
      <c r="E5" s="46" t="s">
        <v>52</v>
      </c>
      <c r="F5" s="86">
        <v>0</v>
      </c>
      <c r="G5" s="86">
        <v>0</v>
      </c>
      <c r="H5" s="86">
        <v>0</v>
      </c>
      <c r="I5" s="86">
        <v>0</v>
      </c>
      <c r="J5" s="86">
        <v>0</v>
      </c>
      <c r="K5" s="86">
        <v>0</v>
      </c>
      <c r="L5" s="86">
        <v>0</v>
      </c>
      <c r="M5" s="86">
        <v>2.0308999999999998E-33</v>
      </c>
      <c r="N5" s="86">
        <v>5.1163E-26</v>
      </c>
      <c r="O5" s="86">
        <v>2.7971999999999999E-10</v>
      </c>
      <c r="P5" s="86">
        <v>1.4144E-9</v>
      </c>
      <c r="Q5" s="86">
        <v>3.0423000000000001E-8</v>
      </c>
      <c r="R5" s="86">
        <v>0.24</v>
      </c>
      <c r="S5" s="86">
        <v>0.24</v>
      </c>
      <c r="T5" s="86">
        <v>0.24</v>
      </c>
      <c r="U5" s="86">
        <v>0.24</v>
      </c>
      <c r="V5" s="86">
        <v>0.24</v>
      </c>
      <c r="W5" s="86">
        <v>0.24</v>
      </c>
      <c r="X5" s="86">
        <v>0.24</v>
      </c>
      <c r="Y5" s="86">
        <v>0.24</v>
      </c>
      <c r="Z5" s="86">
        <v>0.24</v>
      </c>
      <c r="AA5" s="86">
        <v>0.24</v>
      </c>
      <c r="AB5" s="86">
        <v>0.24</v>
      </c>
      <c r="AC5" s="86">
        <v>0.24</v>
      </c>
      <c r="AD5" s="86">
        <v>0.24</v>
      </c>
      <c r="AE5" s="86">
        <v>0.24</v>
      </c>
      <c r="AF5" s="86">
        <v>0.24</v>
      </c>
      <c r="AG5" s="86">
        <v>0.2238</v>
      </c>
      <c r="AH5" s="86">
        <v>0.22109000000000001</v>
      </c>
      <c r="AI5" s="86">
        <v>0.21848999999999999</v>
      </c>
      <c r="AJ5" s="86">
        <v>0.21556</v>
      </c>
      <c r="AK5" s="86">
        <v>0.19954</v>
      </c>
      <c r="AL5" s="86">
        <v>0.19405</v>
      </c>
      <c r="AM5" s="86">
        <v>0.18773999999999999</v>
      </c>
      <c r="AN5" s="86">
        <v>0.18042</v>
      </c>
      <c r="AO5" s="86">
        <v>0.17186999999999999</v>
      </c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2">
        <f t="shared" si="1"/>
        <v>0</v>
      </c>
      <c r="B6" s="42">
        <f t="shared" si="0"/>
        <v>3</v>
      </c>
      <c r="C6" s="42">
        <f t="shared" si="0"/>
        <v>0</v>
      </c>
      <c r="D6" s="42">
        <f t="shared" si="0"/>
        <v>2</v>
      </c>
      <c r="E6" s="46" t="s">
        <v>67</v>
      </c>
      <c r="F6" s="86">
        <v>0.04</v>
      </c>
      <c r="G6" s="86">
        <v>0.04</v>
      </c>
      <c r="H6" s="86">
        <v>0.04</v>
      </c>
      <c r="I6" s="86">
        <v>0.04</v>
      </c>
      <c r="J6" s="86">
        <v>0.04</v>
      </c>
      <c r="K6" s="86">
        <v>0.04</v>
      </c>
      <c r="L6" s="86">
        <v>0.04</v>
      </c>
      <c r="M6" s="86">
        <v>0.04</v>
      </c>
      <c r="N6" s="86">
        <v>0.04</v>
      </c>
      <c r="O6" s="86">
        <v>0.04</v>
      </c>
      <c r="P6" s="86">
        <v>0.04</v>
      </c>
      <c r="Q6" s="86">
        <v>0.04</v>
      </c>
      <c r="R6" s="86">
        <v>0.04</v>
      </c>
      <c r="S6" s="86">
        <v>0.04</v>
      </c>
      <c r="T6" s="86">
        <v>0.04</v>
      </c>
      <c r="U6" s="86">
        <v>0.04</v>
      </c>
      <c r="V6" s="86">
        <v>0.04</v>
      </c>
      <c r="W6" s="86">
        <v>1.5046000000000001E-7</v>
      </c>
      <c r="X6" s="86">
        <v>1.1942999999999999E-9</v>
      </c>
      <c r="Y6" s="86">
        <v>2.1249999999999999E-10</v>
      </c>
      <c r="Z6" s="86">
        <v>1.3668999999999999E-11</v>
      </c>
      <c r="AA6" s="86">
        <v>3.2248000000000002E-12</v>
      </c>
      <c r="AB6" s="86">
        <v>1.6861000000000001E-25</v>
      </c>
      <c r="AC6" s="86">
        <v>1.9193000000000001E-30</v>
      </c>
      <c r="AD6" s="86">
        <v>0</v>
      </c>
      <c r="AE6" s="86">
        <v>0</v>
      </c>
      <c r="AF6" s="86">
        <v>0</v>
      </c>
      <c r="AG6" s="86">
        <v>0</v>
      </c>
      <c r="AH6" s="86">
        <v>0</v>
      </c>
      <c r="AI6" s="86">
        <v>0</v>
      </c>
      <c r="AJ6" s="86">
        <v>0</v>
      </c>
      <c r="AK6" s="86">
        <v>0</v>
      </c>
      <c r="AL6" s="86">
        <v>0</v>
      </c>
      <c r="AM6" s="86">
        <v>0</v>
      </c>
      <c r="AN6" s="86">
        <v>0</v>
      </c>
      <c r="AO6" s="86">
        <v>0</v>
      </c>
      <c r="AP6" s="86"/>
      <c r="AQ6" s="86"/>
      <c r="AR6" s="86"/>
      <c r="AS6" s="86"/>
      <c r="AT6" s="86"/>
      <c r="AU6" s="86"/>
      <c r="AV6" s="86"/>
      <c r="AW6" s="86"/>
      <c r="AX6" s="86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2">
        <f t="shared" si="1"/>
        <v>0</v>
      </c>
      <c r="B7" s="42">
        <f t="shared" si="0"/>
        <v>0</v>
      </c>
      <c r="C7" s="42">
        <f t="shared" si="0"/>
        <v>0</v>
      </c>
      <c r="D7" s="42">
        <f t="shared" si="0"/>
        <v>1</v>
      </c>
      <c r="E7" s="46" t="s">
        <v>61</v>
      </c>
      <c r="F7" s="86">
        <v>0</v>
      </c>
      <c r="G7" s="86">
        <v>0</v>
      </c>
      <c r="H7" s="86">
        <v>0</v>
      </c>
      <c r="I7" s="86">
        <v>0</v>
      </c>
      <c r="J7" s="86">
        <v>0</v>
      </c>
      <c r="K7" s="86">
        <v>0</v>
      </c>
      <c r="L7" s="86">
        <v>0</v>
      </c>
      <c r="M7" s="86">
        <v>0</v>
      </c>
      <c r="N7" s="86">
        <v>0</v>
      </c>
      <c r="O7" s="86">
        <v>0</v>
      </c>
      <c r="P7" s="86">
        <v>0</v>
      </c>
      <c r="Q7" s="86">
        <v>0</v>
      </c>
      <c r="R7" s="86">
        <v>0</v>
      </c>
      <c r="S7" s="86">
        <v>0</v>
      </c>
      <c r="T7" s="86">
        <v>0</v>
      </c>
      <c r="U7" s="86">
        <v>0</v>
      </c>
      <c r="V7" s="86">
        <v>0</v>
      </c>
      <c r="W7" s="86">
        <v>0</v>
      </c>
      <c r="X7" s="86">
        <v>0</v>
      </c>
      <c r="Y7" s="86">
        <v>0</v>
      </c>
      <c r="Z7" s="86">
        <v>0</v>
      </c>
      <c r="AA7" s="86">
        <v>0</v>
      </c>
      <c r="AB7" s="86">
        <v>5.6901999999999997E-27</v>
      </c>
      <c r="AC7" s="86">
        <v>3.1843000000000001E-24</v>
      </c>
      <c r="AD7" s="86">
        <v>5.7928999999999997E-22</v>
      </c>
      <c r="AE7" s="86">
        <v>1.234E-20</v>
      </c>
      <c r="AF7" s="86">
        <v>5.3800000000000005E-19</v>
      </c>
      <c r="AG7" s="86">
        <v>6.8602000000000001E-20</v>
      </c>
      <c r="AH7" s="86">
        <v>1.9737999999999999E-9</v>
      </c>
      <c r="AI7" s="86">
        <v>2.8302999999999999E-8</v>
      </c>
      <c r="AJ7" s="86">
        <v>4.2121999999999998E-8</v>
      </c>
      <c r="AK7" s="86">
        <v>4.5977000000000002E-8</v>
      </c>
      <c r="AL7" s="86">
        <v>4.2164E-8</v>
      </c>
      <c r="AM7" s="86">
        <v>1.5687E-8</v>
      </c>
      <c r="AN7" s="86">
        <v>4.4632000000000001E-9</v>
      </c>
      <c r="AO7" s="86">
        <v>5.2946000000000005E-10</v>
      </c>
      <c r="AP7" s="86"/>
      <c r="AQ7" s="86"/>
      <c r="AR7" s="86"/>
      <c r="AS7" s="86"/>
      <c r="AT7" s="86"/>
      <c r="AU7" s="86"/>
      <c r="AV7" s="86"/>
      <c r="AW7" s="86"/>
      <c r="AX7" s="86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2">
        <f t="shared" si="1"/>
        <v>0</v>
      </c>
      <c r="B8" s="42">
        <f t="shared" si="0"/>
        <v>2</v>
      </c>
      <c r="C8" s="42">
        <f t="shared" si="0"/>
        <v>1</v>
      </c>
      <c r="D8" s="42">
        <f t="shared" si="0"/>
        <v>0</v>
      </c>
      <c r="E8" s="46" t="s">
        <v>68</v>
      </c>
      <c r="F8" s="86">
        <v>0.12</v>
      </c>
      <c r="G8" s="86">
        <v>0.12</v>
      </c>
      <c r="H8" s="86">
        <v>0.12</v>
      </c>
      <c r="I8" s="86">
        <v>0.12</v>
      </c>
      <c r="J8" s="86">
        <v>0.12</v>
      </c>
      <c r="K8" s="86">
        <v>4.3104000000000003E-9</v>
      </c>
      <c r="L8" s="86">
        <v>1.2547000000000001E-10</v>
      </c>
      <c r="M8" s="86">
        <v>5.4450999999999999E-12</v>
      </c>
      <c r="N8" s="86">
        <v>6.7970999999999996E-14</v>
      </c>
      <c r="O8" s="86">
        <v>1.5473999999999999E-21</v>
      </c>
      <c r="P8" s="86">
        <v>7.8785000000000001E-35</v>
      </c>
      <c r="Q8" s="86">
        <v>0</v>
      </c>
      <c r="R8" s="86">
        <v>0</v>
      </c>
      <c r="S8" s="86">
        <v>0</v>
      </c>
      <c r="T8" s="86">
        <v>0</v>
      </c>
      <c r="U8" s="86">
        <v>0</v>
      </c>
      <c r="V8" s="86">
        <v>0</v>
      </c>
      <c r="W8" s="86">
        <v>0</v>
      </c>
      <c r="X8" s="86">
        <v>0</v>
      </c>
      <c r="Y8" s="86">
        <v>0</v>
      </c>
      <c r="Z8" s="86">
        <v>0</v>
      </c>
      <c r="AA8" s="86">
        <v>0</v>
      </c>
      <c r="AB8" s="86">
        <v>0</v>
      </c>
      <c r="AC8" s="86">
        <v>0</v>
      </c>
      <c r="AD8" s="86">
        <v>0</v>
      </c>
      <c r="AE8" s="86">
        <v>0</v>
      </c>
      <c r="AF8" s="86">
        <v>0</v>
      </c>
      <c r="AG8" s="86">
        <v>0</v>
      </c>
      <c r="AH8" s="86">
        <v>0</v>
      </c>
      <c r="AI8" s="86">
        <v>0</v>
      </c>
      <c r="AJ8" s="86">
        <v>0</v>
      </c>
      <c r="AK8" s="86">
        <v>0</v>
      </c>
      <c r="AL8" s="86">
        <v>0</v>
      </c>
      <c r="AM8" s="86">
        <v>0</v>
      </c>
      <c r="AN8" s="86">
        <v>0</v>
      </c>
      <c r="AO8" s="86">
        <v>0</v>
      </c>
      <c r="AP8" s="86"/>
      <c r="AQ8" s="86"/>
      <c r="AR8" s="86"/>
      <c r="AS8" s="86"/>
      <c r="AT8" s="86"/>
      <c r="AU8" s="86"/>
      <c r="AV8" s="86"/>
      <c r="AW8" s="86"/>
      <c r="AX8" s="86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2">
        <f t="shared" si="1"/>
        <v>0</v>
      </c>
      <c r="B9" s="42">
        <f t="shared" si="0"/>
        <v>1</v>
      </c>
      <c r="C9" s="42">
        <f t="shared" si="0"/>
        <v>0</v>
      </c>
      <c r="D9" s="42">
        <f t="shared" si="0"/>
        <v>1</v>
      </c>
      <c r="E9" s="46" t="s">
        <v>53</v>
      </c>
      <c r="F9" s="86">
        <v>0</v>
      </c>
      <c r="G9" s="86">
        <v>0</v>
      </c>
      <c r="H9" s="86">
        <v>0</v>
      </c>
      <c r="I9" s="86">
        <v>0</v>
      </c>
      <c r="J9" s="86">
        <v>0</v>
      </c>
      <c r="K9" s="86">
        <v>0</v>
      </c>
      <c r="L9" s="86">
        <v>0</v>
      </c>
      <c r="M9" s="86">
        <v>3.0406999999999999E-30</v>
      </c>
      <c r="N9" s="86">
        <v>9.2899000000000001E-25</v>
      </c>
      <c r="O9" s="86">
        <v>6.1753000000000005E-14</v>
      </c>
      <c r="P9" s="86">
        <v>5.7183000000000001E-17</v>
      </c>
      <c r="Q9" s="86">
        <v>1.6400999999999999E-27</v>
      </c>
      <c r="R9" s="86">
        <v>0</v>
      </c>
      <c r="S9" s="86">
        <v>3.9739999999999998E-18</v>
      </c>
      <c r="T9" s="86">
        <v>4.2968999999999999E-10</v>
      </c>
      <c r="U9" s="86">
        <v>1.4141000000000001E-8</v>
      </c>
      <c r="V9" s="86">
        <v>1.4919E-7</v>
      </c>
      <c r="W9" s="86">
        <v>0.08</v>
      </c>
      <c r="X9" s="86">
        <v>0.08</v>
      </c>
      <c r="Y9" s="86">
        <v>0.08</v>
      </c>
      <c r="Z9" s="86">
        <v>0.08</v>
      </c>
      <c r="AA9" s="86">
        <v>0.08</v>
      </c>
      <c r="AB9" s="86">
        <v>0.08</v>
      </c>
      <c r="AC9" s="86">
        <v>0.08</v>
      </c>
      <c r="AD9" s="86">
        <v>0.08</v>
      </c>
      <c r="AE9" s="86">
        <v>0.08</v>
      </c>
      <c r="AF9" s="86">
        <v>0.08</v>
      </c>
      <c r="AG9" s="86">
        <v>1.8994000000000001E-3</v>
      </c>
      <c r="AH9" s="86">
        <v>1.0451E-8</v>
      </c>
      <c r="AI9" s="86">
        <v>5.5252999999999995E-10</v>
      </c>
      <c r="AJ9" s="86">
        <v>1.4544999999999999E-14</v>
      </c>
      <c r="AK9" s="86">
        <v>0</v>
      </c>
      <c r="AL9" s="86">
        <v>0</v>
      </c>
      <c r="AM9" s="86">
        <v>0</v>
      </c>
      <c r="AN9" s="86">
        <v>0</v>
      </c>
      <c r="AO9" s="86">
        <v>0</v>
      </c>
      <c r="AP9" s="86"/>
      <c r="AQ9" s="86"/>
      <c r="AR9" s="86"/>
      <c r="AS9" s="86"/>
      <c r="AT9" s="86"/>
      <c r="AU9" s="86"/>
      <c r="AV9" s="86"/>
      <c r="AW9" s="86"/>
      <c r="AX9" s="86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2">
        <f t="shared" si="1"/>
        <v>0</v>
      </c>
      <c r="B10" s="42">
        <f t="shared" si="0"/>
        <v>0</v>
      </c>
      <c r="C10" s="42">
        <f t="shared" si="0"/>
        <v>1</v>
      </c>
      <c r="D10" s="42">
        <f t="shared" si="0"/>
        <v>0</v>
      </c>
      <c r="E10" s="46" t="s">
        <v>54</v>
      </c>
      <c r="F10" s="86">
        <v>0</v>
      </c>
      <c r="G10" s="86">
        <v>0</v>
      </c>
      <c r="H10" s="86">
        <v>0</v>
      </c>
      <c r="I10" s="86">
        <v>0</v>
      </c>
      <c r="J10" s="86">
        <v>0</v>
      </c>
      <c r="K10" s="86">
        <v>0</v>
      </c>
      <c r="L10" s="86">
        <v>0</v>
      </c>
      <c r="M10" s="86">
        <v>0</v>
      </c>
      <c r="N10" s="86">
        <v>0</v>
      </c>
      <c r="O10" s="86">
        <v>1.3843E-31</v>
      </c>
      <c r="P10" s="86">
        <v>0</v>
      </c>
      <c r="Q10" s="86">
        <v>0</v>
      </c>
      <c r="R10" s="86">
        <v>0</v>
      </c>
      <c r="S10" s="86">
        <v>0</v>
      </c>
      <c r="T10" s="86">
        <v>2.5900000000000001E-34</v>
      </c>
      <c r="U10" s="86">
        <v>0</v>
      </c>
      <c r="V10" s="86">
        <v>0</v>
      </c>
      <c r="W10" s="86">
        <v>0</v>
      </c>
      <c r="X10" s="86">
        <v>0</v>
      </c>
      <c r="Y10" s="86">
        <v>2.9135999999999998E-22</v>
      </c>
      <c r="Z10" s="86">
        <v>8.8544E-17</v>
      </c>
      <c r="AA10" s="86">
        <v>3.4012000000000002E-13</v>
      </c>
      <c r="AB10" s="86">
        <v>1.1625999999999999E-12</v>
      </c>
      <c r="AC10" s="86">
        <v>7.2173E-13</v>
      </c>
      <c r="AD10" s="86">
        <v>6.0849000000000004E-14</v>
      </c>
      <c r="AE10" s="86">
        <v>1.8339000000000001E-17</v>
      </c>
      <c r="AF10" s="86">
        <v>3.1429000000000002E-26</v>
      </c>
      <c r="AG10" s="86">
        <v>0</v>
      </c>
      <c r="AH10" s="86">
        <v>7.9657999999999999E-17</v>
      </c>
      <c r="AI10" s="86">
        <v>2.0289999999999999E-10</v>
      </c>
      <c r="AJ10" s="86">
        <v>2.2776E-10</v>
      </c>
      <c r="AK10" s="86">
        <v>3.9276E-10</v>
      </c>
      <c r="AL10" s="86">
        <v>1.6722000000000001E-9</v>
      </c>
      <c r="AM10" s="86">
        <v>2.6638999999999999E-9</v>
      </c>
      <c r="AN10" s="86">
        <v>4.7114000000000001E-9</v>
      </c>
      <c r="AO10" s="86">
        <v>4.2391000000000004E-9</v>
      </c>
      <c r="AP10" s="86"/>
      <c r="AQ10" s="86"/>
      <c r="AR10" s="86"/>
      <c r="AS10" s="86"/>
      <c r="AT10" s="86"/>
      <c r="AU10" s="86"/>
      <c r="AV10" s="86"/>
      <c r="AW10" s="86"/>
      <c r="AX10" s="86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2">
        <f t="shared" si="1"/>
        <v>0</v>
      </c>
      <c r="B11" s="42">
        <f t="shared" si="0"/>
        <v>1</v>
      </c>
      <c r="C11" s="42">
        <f t="shared" si="0"/>
        <v>1</v>
      </c>
      <c r="D11" s="42">
        <f t="shared" si="0"/>
        <v>0</v>
      </c>
      <c r="E11" s="46" t="s">
        <v>55</v>
      </c>
      <c r="F11" s="86">
        <v>0.12</v>
      </c>
      <c r="G11" s="86">
        <v>0.12</v>
      </c>
      <c r="H11" s="86">
        <v>0.12</v>
      </c>
      <c r="I11" s="86">
        <v>0.12</v>
      </c>
      <c r="J11" s="86">
        <v>0.12</v>
      </c>
      <c r="K11" s="86">
        <v>0.24</v>
      </c>
      <c r="L11" s="86">
        <v>0.24</v>
      </c>
      <c r="M11" s="86">
        <v>0.24</v>
      </c>
      <c r="N11" s="86">
        <v>0.24</v>
      </c>
      <c r="O11" s="86">
        <v>0.24</v>
      </c>
      <c r="P11" s="86">
        <v>0.24</v>
      </c>
      <c r="Q11" s="86">
        <v>0.24</v>
      </c>
      <c r="R11" s="86">
        <v>1.7126000000000001E-7</v>
      </c>
      <c r="S11" s="86">
        <v>2.3768999999999999E-9</v>
      </c>
      <c r="T11" s="86">
        <v>7.5112000000000004E-11</v>
      </c>
      <c r="U11" s="86">
        <v>4.8776E-20</v>
      </c>
      <c r="V11" s="86">
        <v>0</v>
      </c>
      <c r="W11" s="86">
        <v>0</v>
      </c>
      <c r="X11" s="86">
        <v>0</v>
      </c>
      <c r="Y11" s="86">
        <v>1.6351E-26</v>
      </c>
      <c r="Z11" s="86">
        <v>5.1509999999999999E-23</v>
      </c>
      <c r="AA11" s="86">
        <v>1.2508E-20</v>
      </c>
      <c r="AB11" s="86">
        <v>1.1250000000000001E-34</v>
      </c>
      <c r="AC11" s="86">
        <v>0</v>
      </c>
      <c r="AD11" s="86">
        <v>0</v>
      </c>
      <c r="AE11" s="86">
        <v>0</v>
      </c>
      <c r="AF11" s="86">
        <v>0</v>
      </c>
      <c r="AG11" s="86">
        <v>0</v>
      </c>
      <c r="AH11" s="86">
        <v>0</v>
      </c>
      <c r="AI11" s="86">
        <v>0</v>
      </c>
      <c r="AJ11" s="86">
        <v>0</v>
      </c>
      <c r="AK11" s="86">
        <v>0</v>
      </c>
      <c r="AL11" s="86">
        <v>0</v>
      </c>
      <c r="AM11" s="86">
        <v>0</v>
      </c>
      <c r="AN11" s="86">
        <v>0</v>
      </c>
      <c r="AO11" s="86">
        <v>0</v>
      </c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2">
        <f t="shared" si="1"/>
        <v>0</v>
      </c>
      <c r="B12" s="42">
        <f t="shared" si="0"/>
        <v>1</v>
      </c>
      <c r="C12" s="42">
        <f t="shared" si="0"/>
        <v>0</v>
      </c>
      <c r="D12" s="42">
        <f t="shared" si="0"/>
        <v>2</v>
      </c>
      <c r="E12" s="46" t="s">
        <v>69</v>
      </c>
      <c r="F12" s="86">
        <v>0</v>
      </c>
      <c r="G12" s="86">
        <v>0</v>
      </c>
      <c r="H12" s="86">
        <v>0</v>
      </c>
      <c r="I12" s="86">
        <v>0</v>
      </c>
      <c r="J12" s="86">
        <v>0</v>
      </c>
      <c r="K12" s="86">
        <v>0</v>
      </c>
      <c r="L12" s="86">
        <v>0</v>
      </c>
      <c r="M12" s="86">
        <v>0</v>
      </c>
      <c r="N12" s="86">
        <v>0</v>
      </c>
      <c r="O12" s="86">
        <v>6.7158000000000004E-32</v>
      </c>
      <c r="P12" s="86">
        <v>7.8559999999999994E-30</v>
      </c>
      <c r="Q12" s="86">
        <v>6.8758000000000001E-28</v>
      </c>
      <c r="R12" s="86">
        <v>4.6262E-26</v>
      </c>
      <c r="S12" s="86">
        <v>2.4502999999999999E-24</v>
      </c>
      <c r="T12" s="86">
        <v>1.0432999999999999E-22</v>
      </c>
      <c r="U12" s="86">
        <v>3.6384000000000001E-21</v>
      </c>
      <c r="V12" s="86">
        <v>1.0564E-19</v>
      </c>
      <c r="W12" s="86">
        <v>2.1632000000000002E-18</v>
      </c>
      <c r="X12" s="86">
        <v>2.2930999999999999E-17</v>
      </c>
      <c r="Y12" s="86">
        <v>2.164E-16</v>
      </c>
      <c r="Z12" s="86">
        <v>1.8337999999999999E-15</v>
      </c>
      <c r="AA12" s="86">
        <v>1.4064E-14</v>
      </c>
      <c r="AB12" s="86">
        <v>2.0505000000000001E-11</v>
      </c>
      <c r="AC12" s="86">
        <v>1.0499E-10</v>
      </c>
      <c r="AD12" s="86">
        <v>5.0348E-10</v>
      </c>
      <c r="AE12" s="86">
        <v>2.2703999999999999E-9</v>
      </c>
      <c r="AF12" s="86">
        <v>9.6634000000000004E-9</v>
      </c>
      <c r="AG12" s="86">
        <v>3.7785999999999998E-8</v>
      </c>
      <c r="AH12" s="86">
        <v>3.7529999999999999E-8</v>
      </c>
      <c r="AI12" s="86">
        <v>3.6855000000000001E-8</v>
      </c>
      <c r="AJ12" s="86">
        <v>3.5753999999999997E-8</v>
      </c>
      <c r="AK12" s="86">
        <v>2.8010999999999999E-8</v>
      </c>
      <c r="AL12" s="86">
        <v>2.5524999999999999E-8</v>
      </c>
      <c r="AM12" s="86">
        <v>2.2941E-8</v>
      </c>
      <c r="AN12" s="86">
        <v>2.0319999999999999E-8</v>
      </c>
      <c r="AO12" s="86">
        <v>1.7716999999999999E-8</v>
      </c>
      <c r="AP12" s="86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2">
        <f t="shared" si="1"/>
        <v>1</v>
      </c>
      <c r="B13" s="42">
        <f t="shared" si="0"/>
        <v>0</v>
      </c>
      <c r="C13" s="42">
        <f t="shared" si="0"/>
        <v>0</v>
      </c>
      <c r="D13" s="42">
        <f t="shared" si="0"/>
        <v>0</v>
      </c>
      <c r="E13" s="46" t="s">
        <v>1</v>
      </c>
      <c r="F13" s="86">
        <v>0.2</v>
      </c>
      <c r="G13" s="86">
        <v>0.2</v>
      </c>
      <c r="H13" s="86">
        <v>0.2</v>
      </c>
      <c r="I13" s="86">
        <v>0.2</v>
      </c>
      <c r="J13" s="86">
        <v>0.2</v>
      </c>
      <c r="K13" s="86">
        <v>0.2</v>
      </c>
      <c r="L13" s="86">
        <v>0.2</v>
      </c>
      <c r="M13" s="86">
        <v>0.2</v>
      </c>
      <c r="N13" s="86">
        <v>0.2</v>
      </c>
      <c r="O13" s="86">
        <v>0.2</v>
      </c>
      <c r="P13" s="86">
        <v>0.2</v>
      </c>
      <c r="Q13" s="86">
        <v>0.2</v>
      </c>
      <c r="R13" s="86">
        <v>0.2</v>
      </c>
      <c r="S13" s="86">
        <v>0.2</v>
      </c>
      <c r="T13" s="86">
        <v>0.2</v>
      </c>
      <c r="U13" s="86">
        <v>0.2</v>
      </c>
      <c r="V13" s="86">
        <v>0.2</v>
      </c>
      <c r="W13" s="86">
        <v>0.2</v>
      </c>
      <c r="X13" s="86">
        <v>0.2</v>
      </c>
      <c r="Y13" s="86">
        <v>0.2</v>
      </c>
      <c r="Z13" s="86">
        <v>0.2</v>
      </c>
      <c r="AA13" s="86">
        <v>0.2</v>
      </c>
      <c r="AB13" s="86">
        <v>0.2</v>
      </c>
      <c r="AC13" s="86">
        <v>0.2</v>
      </c>
      <c r="AD13" s="86">
        <v>0.2</v>
      </c>
      <c r="AE13" s="86">
        <v>0.2</v>
      </c>
      <c r="AF13" s="86">
        <v>0.2</v>
      </c>
      <c r="AG13" s="86">
        <v>0.2</v>
      </c>
      <c r="AH13" s="86">
        <v>0.2</v>
      </c>
      <c r="AI13" s="86">
        <v>0.2</v>
      </c>
      <c r="AJ13" s="86">
        <v>0.2</v>
      </c>
      <c r="AK13" s="86">
        <v>0.2</v>
      </c>
      <c r="AL13" s="86">
        <v>0.2</v>
      </c>
      <c r="AM13" s="86">
        <v>0.2</v>
      </c>
      <c r="AN13" s="86">
        <v>0.2</v>
      </c>
      <c r="AO13" s="86">
        <v>0.2</v>
      </c>
      <c r="AP13" s="86"/>
      <c r="AQ13" s="86"/>
      <c r="AR13" s="86"/>
      <c r="AS13" s="86"/>
      <c r="AT13" s="86"/>
      <c r="AU13" s="86"/>
      <c r="AV13" s="86"/>
      <c r="AW13" s="86"/>
      <c r="AX13" s="86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8"/>
    </row>
    <row r="14" spans="1:87" ht="21" customHeight="1" outlineLevel="1" thickBot="1" x14ac:dyDescent="0.4">
      <c r="A14" s="42">
        <f t="shared" si="1"/>
        <v>0</v>
      </c>
      <c r="B14" s="42">
        <f t="shared" si="0"/>
        <v>0</v>
      </c>
      <c r="C14" s="42">
        <f t="shared" si="0"/>
        <v>0</v>
      </c>
      <c r="D14" s="42">
        <f t="shared" si="0"/>
        <v>1</v>
      </c>
      <c r="E14" s="46" t="s">
        <v>63</v>
      </c>
      <c r="F14" s="86">
        <v>0</v>
      </c>
      <c r="G14" s="86">
        <v>0</v>
      </c>
      <c r="H14" s="86">
        <v>0</v>
      </c>
      <c r="I14" s="86">
        <v>0</v>
      </c>
      <c r="J14" s="86">
        <v>0</v>
      </c>
      <c r="K14" s="86">
        <v>0</v>
      </c>
      <c r="L14" s="86">
        <v>0</v>
      </c>
      <c r="M14" s="86">
        <v>6.5842999999999998E-34</v>
      </c>
      <c r="N14" s="86">
        <v>8.0557000000000007E-30</v>
      </c>
      <c r="O14" s="86">
        <v>8.1721000000000007E-21</v>
      </c>
      <c r="P14" s="86">
        <v>5.8907000000000001E-24</v>
      </c>
      <c r="Q14" s="86">
        <v>2.5721999999999999E-36</v>
      </c>
      <c r="R14" s="86">
        <v>0</v>
      </c>
      <c r="S14" s="86">
        <v>0</v>
      </c>
      <c r="T14" s="86">
        <v>3.2716000000000001E-28</v>
      </c>
      <c r="U14" s="86">
        <v>4.8587999999999997E-36</v>
      </c>
      <c r="V14" s="86">
        <v>0</v>
      </c>
      <c r="W14" s="86">
        <v>0</v>
      </c>
      <c r="X14" s="86">
        <v>5.1753000000000001E-36</v>
      </c>
      <c r="Y14" s="86">
        <v>1.1580999999999999E-21</v>
      </c>
      <c r="Z14" s="86">
        <v>2.2131999999999999E-16</v>
      </c>
      <c r="AA14" s="86">
        <v>7.9740000000000002E-13</v>
      </c>
      <c r="AB14" s="86">
        <v>4.4061000000000003E-11</v>
      </c>
      <c r="AC14" s="86">
        <v>1.8770000000000001E-10</v>
      </c>
      <c r="AD14" s="86">
        <v>6.8880000000000004E-10</v>
      </c>
      <c r="AE14" s="86">
        <v>1.3270000000000001E-9</v>
      </c>
      <c r="AF14" s="86">
        <v>2.2525999999999999E-8</v>
      </c>
      <c r="AG14" s="86">
        <v>7.8101000000000004E-2</v>
      </c>
      <c r="AH14" s="86">
        <v>0.08</v>
      </c>
      <c r="AI14" s="86">
        <v>0.08</v>
      </c>
      <c r="AJ14" s="86">
        <v>0.08</v>
      </c>
      <c r="AK14" s="86">
        <v>0.08</v>
      </c>
      <c r="AL14" s="86">
        <v>0.08</v>
      </c>
      <c r="AM14" s="86">
        <v>0.08</v>
      </c>
      <c r="AN14" s="86">
        <v>0.08</v>
      </c>
      <c r="AO14" s="86">
        <v>0.08</v>
      </c>
      <c r="AP14" s="86"/>
      <c r="AQ14" s="86"/>
      <c r="AR14" s="86"/>
      <c r="AS14" s="86"/>
      <c r="AT14" s="86"/>
      <c r="AU14" s="86"/>
      <c r="AV14" s="86"/>
      <c r="AW14" s="86"/>
      <c r="AX14" s="86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8"/>
    </row>
    <row r="15" spans="1:87" ht="21" customHeight="1" outlineLevel="1" thickBot="1" x14ac:dyDescent="0.4">
      <c r="A15" s="42">
        <f t="shared" si="1"/>
        <v>0</v>
      </c>
      <c r="B15" s="42">
        <f t="shared" si="0"/>
        <v>1</v>
      </c>
      <c r="C15" s="42">
        <f t="shared" si="0"/>
        <v>1</v>
      </c>
      <c r="D15" s="42">
        <f t="shared" si="0"/>
        <v>0</v>
      </c>
      <c r="E15" s="46" t="s">
        <v>64</v>
      </c>
      <c r="F15" s="86">
        <v>1.1818E-28</v>
      </c>
      <c r="G15" s="86">
        <v>1.0336E-26</v>
      </c>
      <c r="H15" s="86">
        <v>1.9376E-27</v>
      </c>
      <c r="I15" s="86">
        <v>0</v>
      </c>
      <c r="J15" s="86">
        <v>0</v>
      </c>
      <c r="K15" s="86">
        <v>0</v>
      </c>
      <c r="L15" s="86">
        <v>4.6978999999999999E-26</v>
      </c>
      <c r="M15" s="86">
        <v>5.1574E-19</v>
      </c>
      <c r="N15" s="86">
        <v>4.1542E-16</v>
      </c>
      <c r="O15" s="86">
        <v>4.3528E-11</v>
      </c>
      <c r="P15" s="86">
        <v>4.4537999999999999E-15</v>
      </c>
      <c r="Q15" s="86">
        <v>3.0843999999999998E-28</v>
      </c>
      <c r="R15" s="86">
        <v>0</v>
      </c>
      <c r="S15" s="86">
        <v>5.9657999999999997E-31</v>
      </c>
      <c r="T15" s="86">
        <v>5.5945000000000005E-23</v>
      </c>
      <c r="U15" s="86">
        <v>9.9932999999999999E-32</v>
      </c>
      <c r="V15" s="86">
        <v>0</v>
      </c>
      <c r="W15" s="86">
        <v>0</v>
      </c>
      <c r="X15" s="86">
        <v>4.9642000000000003E-34</v>
      </c>
      <c r="Y15" s="86">
        <v>2.6233000000000001E-20</v>
      </c>
      <c r="Z15" s="86">
        <v>1.2552E-15</v>
      </c>
      <c r="AA15" s="86">
        <v>1.1957E-12</v>
      </c>
      <c r="AB15" s="86">
        <v>5.1862999999999998E-13</v>
      </c>
      <c r="AC15" s="86">
        <v>7.2941000000000002E-13</v>
      </c>
      <c r="AD15" s="86">
        <v>9.1640999999999993E-13</v>
      </c>
      <c r="AE15" s="86">
        <v>6.2544000000000001E-13</v>
      </c>
      <c r="AF15" s="86">
        <v>3.884E-12</v>
      </c>
      <c r="AG15" s="86">
        <v>5.1561999999999999E-6</v>
      </c>
      <c r="AH15" s="86">
        <v>4.0241000000000001E-6</v>
      </c>
      <c r="AI15" s="86">
        <v>3.0925999999999998E-6</v>
      </c>
      <c r="AJ15" s="86">
        <v>2.3978000000000001E-6</v>
      </c>
      <c r="AK15" s="86">
        <v>9.4527999999999995E-7</v>
      </c>
      <c r="AL15" s="86">
        <v>7.6555999999999998E-7</v>
      </c>
      <c r="AM15" s="86">
        <v>6.2565999999999995E-7</v>
      </c>
      <c r="AN15" s="86">
        <v>5.1615000000000003E-7</v>
      </c>
      <c r="AO15" s="86">
        <v>4.3001999999999998E-7</v>
      </c>
      <c r="AP15" s="86"/>
      <c r="AQ15" s="86"/>
      <c r="AR15" s="86"/>
      <c r="AS15" s="86"/>
      <c r="AT15" s="86"/>
      <c r="AU15" s="86"/>
      <c r="AV15" s="86"/>
      <c r="AW15" s="86"/>
      <c r="AX15" s="86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2">
        <f t="shared" si="1"/>
        <v>0</v>
      </c>
      <c r="B16" s="42">
        <f t="shared" si="0"/>
        <v>0</v>
      </c>
      <c r="C16" s="42">
        <f t="shared" si="0"/>
        <v>1</v>
      </c>
      <c r="D16" s="42">
        <f t="shared" si="0"/>
        <v>0</v>
      </c>
      <c r="E16" s="46" t="s">
        <v>70</v>
      </c>
      <c r="F16" s="86">
        <v>1.4507E-36</v>
      </c>
      <c r="G16" s="86">
        <v>3.5946000000000001E-34</v>
      </c>
      <c r="H16" s="86">
        <v>1.6968999999999999E-34</v>
      </c>
      <c r="I16" s="86">
        <v>0</v>
      </c>
      <c r="J16" s="86">
        <v>0</v>
      </c>
      <c r="K16" s="86">
        <v>0</v>
      </c>
      <c r="L16" s="86">
        <v>3.5513999999999998E-31</v>
      </c>
      <c r="M16" s="86">
        <v>1.5395000000000001E-23</v>
      </c>
      <c r="N16" s="86">
        <v>4.4456000000000003E-20</v>
      </c>
      <c r="O16" s="86">
        <v>3.5618E-13</v>
      </c>
      <c r="P16" s="86">
        <v>9.2295000000000004E-17</v>
      </c>
      <c r="Q16" s="86">
        <v>1.5392000000000001E-29</v>
      </c>
      <c r="R16" s="86">
        <v>0</v>
      </c>
      <c r="S16" s="86">
        <v>1.511E-31</v>
      </c>
      <c r="T16" s="86">
        <v>3.0089999999999999E-23</v>
      </c>
      <c r="U16" s="86">
        <v>1.1021E-31</v>
      </c>
      <c r="V16" s="86">
        <v>0</v>
      </c>
      <c r="W16" s="86">
        <v>0</v>
      </c>
      <c r="X16" s="86">
        <v>3.9285999999999999E-33</v>
      </c>
      <c r="Y16" s="86">
        <v>3.7951000000000001E-19</v>
      </c>
      <c r="Z16" s="86">
        <v>3.2424000000000001E-14</v>
      </c>
      <c r="AA16" s="86">
        <v>5.3949999999999999E-11</v>
      </c>
      <c r="AB16" s="86">
        <v>1.7995000000000001E-10</v>
      </c>
      <c r="AC16" s="86">
        <v>4.0420000000000001E-10</v>
      </c>
      <c r="AD16" s="86">
        <v>7.9924000000000002E-10</v>
      </c>
      <c r="AE16" s="86">
        <v>8.4675E-10</v>
      </c>
      <c r="AF16" s="86">
        <v>8.0574000000000007E-9</v>
      </c>
      <c r="AG16" s="86">
        <v>1.6191000000000001E-2</v>
      </c>
      <c r="AH16" s="86">
        <v>1.8908999999999999E-2</v>
      </c>
      <c r="AI16" s="86">
        <v>2.1510000000000001E-2</v>
      </c>
      <c r="AJ16" s="86">
        <v>2.4433E-2</v>
      </c>
      <c r="AK16" s="86">
        <v>4.0459000000000002E-2</v>
      </c>
      <c r="AL16" s="86">
        <v>4.5946000000000001E-2</v>
      </c>
      <c r="AM16" s="86">
        <v>5.2259E-2</v>
      </c>
      <c r="AN16" s="86">
        <v>5.9575000000000003E-2</v>
      </c>
      <c r="AO16" s="86">
        <v>6.8126000000000006E-2</v>
      </c>
      <c r="AP16" s="86"/>
      <c r="AQ16" s="86"/>
      <c r="AR16" s="86"/>
      <c r="AS16" s="86"/>
      <c r="AT16" s="86"/>
      <c r="AU16" s="86"/>
      <c r="AV16" s="86"/>
      <c r="AW16" s="86"/>
      <c r="AX16" s="86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2">
        <f t="shared" si="1"/>
        <v>1</v>
      </c>
      <c r="B17" s="42">
        <f t="shared" si="0"/>
        <v>0</v>
      </c>
      <c r="C17" s="42">
        <f t="shared" si="0"/>
        <v>0</v>
      </c>
      <c r="D17" s="42">
        <f t="shared" si="0"/>
        <v>0</v>
      </c>
      <c r="E17" s="46" t="s">
        <v>26</v>
      </c>
      <c r="F17" s="86">
        <v>-18.62</v>
      </c>
      <c r="G17" s="86">
        <v>-18.61</v>
      </c>
      <c r="H17" s="86">
        <v>-18.61</v>
      </c>
      <c r="I17" s="86">
        <v>-18.62</v>
      </c>
      <c r="J17" s="86">
        <v>-18.63</v>
      </c>
      <c r="K17" s="86">
        <v>-18.649999999999999</v>
      </c>
      <c r="L17" s="86">
        <v>-18.670000000000002</v>
      </c>
      <c r="M17" s="86">
        <v>-18.690000000000001</v>
      </c>
      <c r="N17" s="86">
        <v>-18.72</v>
      </c>
      <c r="O17" s="86">
        <v>-18.84</v>
      </c>
      <c r="P17" s="86">
        <v>-18.87</v>
      </c>
      <c r="Q17" s="86">
        <v>-18.899999999999999</v>
      </c>
      <c r="R17" s="86">
        <v>-18.940000000000001</v>
      </c>
      <c r="S17" s="86">
        <v>-18.97</v>
      </c>
      <c r="T17" s="86">
        <v>-19.010000000000002</v>
      </c>
      <c r="U17" s="86">
        <v>-19.04</v>
      </c>
      <c r="V17" s="86">
        <v>-19.07</v>
      </c>
      <c r="W17" s="86">
        <v>-19.11</v>
      </c>
      <c r="X17" s="86">
        <v>-19.14</v>
      </c>
      <c r="Y17" s="86">
        <v>-19.18</v>
      </c>
      <c r="Z17" s="86">
        <v>-19.21</v>
      </c>
      <c r="AA17" s="86">
        <v>-19.25</v>
      </c>
      <c r="AB17" s="86">
        <v>-19.38</v>
      </c>
      <c r="AC17" s="86">
        <v>-19.420000000000002</v>
      </c>
      <c r="AD17" s="86">
        <v>-19.45</v>
      </c>
      <c r="AE17" s="86">
        <v>-19.48</v>
      </c>
      <c r="AF17" s="86">
        <v>-19.510000000000002</v>
      </c>
      <c r="AG17" s="86">
        <v>-19.55</v>
      </c>
      <c r="AH17" s="86">
        <v>-19.579999999999998</v>
      </c>
      <c r="AI17" s="86">
        <v>-19.61</v>
      </c>
      <c r="AJ17" s="86">
        <v>-19.64</v>
      </c>
      <c r="AK17" s="86">
        <v>-19.760000000000002</v>
      </c>
      <c r="AL17" s="86">
        <v>-19.79</v>
      </c>
      <c r="AM17" s="86">
        <v>-19.82</v>
      </c>
      <c r="AN17" s="86">
        <v>-19.850000000000001</v>
      </c>
      <c r="AO17" s="86">
        <v>-19.88</v>
      </c>
      <c r="AP17" s="86"/>
      <c r="AQ17" s="86"/>
      <c r="AR17" s="86"/>
      <c r="AS17" s="86"/>
      <c r="AT17" s="86"/>
      <c r="AU17" s="86"/>
      <c r="AV17" s="86"/>
      <c r="AW17" s="86"/>
      <c r="AX17" s="86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2">
        <f t="shared" si="1"/>
        <v>0</v>
      </c>
      <c r="B18" s="42">
        <f t="shared" si="0"/>
        <v>0</v>
      </c>
      <c r="C18" s="42">
        <f t="shared" si="0"/>
        <v>0</v>
      </c>
      <c r="D18" s="42">
        <f t="shared" si="0"/>
        <v>1</v>
      </c>
      <c r="E18" s="46" t="s">
        <v>5</v>
      </c>
      <c r="F18" s="86">
        <v>-65.56</v>
      </c>
      <c r="G18" s="86">
        <v>-62.08</v>
      </c>
      <c r="H18" s="86">
        <v>-58.98</v>
      </c>
      <c r="I18" s="86">
        <v>-56.2</v>
      </c>
      <c r="J18" s="86">
        <v>-53.71</v>
      </c>
      <c r="K18" s="86">
        <v>-50.33</v>
      </c>
      <c r="L18" s="86">
        <v>-46.96</v>
      </c>
      <c r="M18" s="86">
        <v>-43.86</v>
      </c>
      <c r="N18" s="86">
        <v>-40.98</v>
      </c>
      <c r="O18" s="86">
        <v>-31.32</v>
      </c>
      <c r="P18" s="86">
        <v>-29.28</v>
      </c>
      <c r="Q18" s="86">
        <v>-27.35</v>
      </c>
      <c r="R18" s="86">
        <v>-25.53</v>
      </c>
      <c r="S18" s="86">
        <v>-23.81</v>
      </c>
      <c r="T18" s="86">
        <v>-22.18</v>
      </c>
      <c r="U18" s="86">
        <v>-20.63</v>
      </c>
      <c r="V18" s="86">
        <v>-19.16</v>
      </c>
      <c r="W18" s="86">
        <v>-17.850000000000001</v>
      </c>
      <c r="X18" s="86">
        <v>-16.850000000000001</v>
      </c>
      <c r="Y18" s="86">
        <v>-15.9</v>
      </c>
      <c r="Z18" s="86">
        <v>-15</v>
      </c>
      <c r="AA18" s="86">
        <v>-14.13</v>
      </c>
      <c r="AB18" s="86">
        <v>-11</v>
      </c>
      <c r="AC18" s="86">
        <v>-10.29</v>
      </c>
      <c r="AD18" s="86">
        <v>-9.6059999999999999</v>
      </c>
      <c r="AE18" s="86">
        <v>-8.9480000000000004</v>
      </c>
      <c r="AF18" s="86">
        <v>-8.3130000000000006</v>
      </c>
      <c r="AG18" s="86">
        <v>-7.7149999999999999</v>
      </c>
      <c r="AH18" s="86">
        <v>-7.7969999999999997</v>
      </c>
      <c r="AI18" s="86">
        <v>-7.8789999999999996</v>
      </c>
      <c r="AJ18" s="86">
        <v>-7.9630000000000001</v>
      </c>
      <c r="AK18" s="86">
        <v>-8.3190000000000008</v>
      </c>
      <c r="AL18" s="86">
        <v>-8.4149999999999991</v>
      </c>
      <c r="AM18" s="86">
        <v>-8.5139999999999993</v>
      </c>
      <c r="AN18" s="86">
        <v>-8.6180000000000003</v>
      </c>
      <c r="AO18" s="86">
        <v>-8.7260000000000009</v>
      </c>
      <c r="AP18" s="86"/>
      <c r="AQ18" s="86"/>
      <c r="AR18" s="86"/>
      <c r="AS18" s="86"/>
      <c r="AT18" s="86"/>
      <c r="AU18" s="86"/>
      <c r="AV18" s="86"/>
      <c r="AW18" s="86"/>
      <c r="AX18" s="86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2">
        <f t="shared" si="1"/>
        <v>0</v>
      </c>
      <c r="B19" s="42">
        <f t="shared" si="0"/>
        <v>0</v>
      </c>
      <c r="C19" s="42">
        <f t="shared" si="0"/>
        <v>1</v>
      </c>
      <c r="D19" s="42">
        <f t="shared" si="0"/>
        <v>0</v>
      </c>
      <c r="E19" s="46" t="s">
        <v>6</v>
      </c>
      <c r="F19" s="86">
        <v>-16.29</v>
      </c>
      <c r="G19" s="86">
        <v>-15.65</v>
      </c>
      <c r="H19" s="86">
        <v>-15.09</v>
      </c>
      <c r="I19" s="86">
        <v>-14.59</v>
      </c>
      <c r="J19" s="86">
        <v>-14.16</v>
      </c>
      <c r="K19" s="86">
        <v>-13.03</v>
      </c>
      <c r="L19" s="86">
        <v>-11.8</v>
      </c>
      <c r="M19" s="86">
        <v>-10.67</v>
      </c>
      <c r="N19" s="86">
        <v>-9.6129999999999995</v>
      </c>
      <c r="O19" s="86">
        <v>-6.0380000000000003</v>
      </c>
      <c r="P19" s="86">
        <v>-5.2729999999999997</v>
      </c>
      <c r="Q19" s="86">
        <v>-4.55</v>
      </c>
      <c r="R19" s="86">
        <v>-4.1150000000000002</v>
      </c>
      <c r="S19" s="86">
        <v>-4.1550000000000002</v>
      </c>
      <c r="T19" s="86">
        <v>-4.1950000000000003</v>
      </c>
      <c r="U19" s="86">
        <v>-4.2359999999999998</v>
      </c>
      <c r="V19" s="86">
        <v>-4.2759999999999998</v>
      </c>
      <c r="W19" s="86">
        <v>-4.3170000000000002</v>
      </c>
      <c r="X19" s="86">
        <v>-4.3579999999999997</v>
      </c>
      <c r="Y19" s="86">
        <v>-4.399</v>
      </c>
      <c r="Z19" s="86">
        <v>-4.4400000000000004</v>
      </c>
      <c r="AA19" s="86">
        <v>-4.4809999999999999</v>
      </c>
      <c r="AB19" s="86">
        <v>-4.6429999999999998</v>
      </c>
      <c r="AC19" s="86">
        <v>-4.6829999999999998</v>
      </c>
      <c r="AD19" s="86">
        <v>-4.7220000000000004</v>
      </c>
      <c r="AE19" s="86">
        <v>-4.7619999999999996</v>
      </c>
      <c r="AF19" s="86">
        <v>-4.8010000000000002</v>
      </c>
      <c r="AG19" s="86">
        <v>-4.84</v>
      </c>
      <c r="AH19" s="86">
        <v>-4.8780000000000001</v>
      </c>
      <c r="AI19" s="86">
        <v>-4.9169999999999998</v>
      </c>
      <c r="AJ19" s="86">
        <v>-4.9550000000000001</v>
      </c>
      <c r="AK19" s="86">
        <v>-5.1040000000000001</v>
      </c>
      <c r="AL19" s="86">
        <v>-5.141</v>
      </c>
      <c r="AM19" s="86">
        <v>-5.1769999999999996</v>
      </c>
      <c r="AN19" s="86">
        <v>-5.2130000000000001</v>
      </c>
      <c r="AO19" s="86">
        <v>-5.2489999999999997</v>
      </c>
      <c r="AP19" s="86"/>
      <c r="AQ19" s="86"/>
      <c r="AR19" s="86"/>
      <c r="AS19" s="86"/>
      <c r="AT19" s="86"/>
      <c r="AU19" s="86"/>
      <c r="AV19" s="86"/>
      <c r="AW19" s="86"/>
      <c r="AX19" s="86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2">
        <f t="shared" si="1"/>
        <v>0</v>
      </c>
      <c r="B20" s="42">
        <f t="shared" si="1"/>
        <v>1</v>
      </c>
      <c r="C20" s="42">
        <f t="shared" si="1"/>
        <v>0</v>
      </c>
      <c r="D20" s="42">
        <f t="shared" si="1"/>
        <v>0</v>
      </c>
      <c r="E20" s="46" t="s">
        <v>7</v>
      </c>
      <c r="F20" s="86">
        <v>-23.52</v>
      </c>
      <c r="G20" s="86">
        <v>-22.41</v>
      </c>
      <c r="H20" s="86">
        <v>-21.42</v>
      </c>
      <c r="I20" s="86">
        <v>-20.54</v>
      </c>
      <c r="J20" s="86">
        <v>-19.760000000000002</v>
      </c>
      <c r="K20" s="86">
        <v>-19.8</v>
      </c>
      <c r="L20" s="86">
        <v>-20.04</v>
      </c>
      <c r="M20" s="86">
        <v>-20.28</v>
      </c>
      <c r="N20" s="86">
        <v>-20.53</v>
      </c>
      <c r="O20" s="86">
        <v>-21.53</v>
      </c>
      <c r="P20" s="86">
        <v>-21.78</v>
      </c>
      <c r="Q20" s="86">
        <v>-22.02</v>
      </c>
      <c r="R20" s="86">
        <v>-22.27</v>
      </c>
      <c r="S20" s="86">
        <v>-22.52</v>
      </c>
      <c r="T20" s="86">
        <v>-22.76</v>
      </c>
      <c r="U20" s="86">
        <v>-23</v>
      </c>
      <c r="V20" s="86">
        <v>-23.24</v>
      </c>
      <c r="W20" s="86">
        <v>-23.48</v>
      </c>
      <c r="X20" s="86">
        <v>-23.72</v>
      </c>
      <c r="Y20" s="86">
        <v>-23.95</v>
      </c>
      <c r="Z20" s="86">
        <v>-24.18</v>
      </c>
      <c r="AA20" s="86">
        <v>-24.41</v>
      </c>
      <c r="AB20" s="86">
        <v>-25.31</v>
      </c>
      <c r="AC20" s="86">
        <v>-25.53</v>
      </c>
      <c r="AD20" s="86">
        <v>-25.75</v>
      </c>
      <c r="AE20" s="86">
        <v>-25.97</v>
      </c>
      <c r="AF20" s="86">
        <v>-26.18</v>
      </c>
      <c r="AG20" s="86">
        <v>-26.39</v>
      </c>
      <c r="AH20" s="86">
        <v>-26.6</v>
      </c>
      <c r="AI20" s="86">
        <v>-26.81</v>
      </c>
      <c r="AJ20" s="86">
        <v>-27.02</v>
      </c>
      <c r="AK20" s="86">
        <v>-27.83</v>
      </c>
      <c r="AL20" s="86">
        <v>-28.03</v>
      </c>
      <c r="AM20" s="86">
        <v>-28.23</v>
      </c>
      <c r="AN20" s="86">
        <v>-28.42</v>
      </c>
      <c r="AO20" s="86">
        <v>-28.62</v>
      </c>
      <c r="AP20" s="86"/>
      <c r="AQ20" s="86"/>
      <c r="AR20" s="86"/>
      <c r="AS20" s="86"/>
      <c r="AT20" s="86"/>
      <c r="AU20" s="86"/>
      <c r="AV20" s="86"/>
      <c r="AW20" s="86"/>
      <c r="AX20" s="86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2">
        <f t="shared" si="1"/>
        <v>0</v>
      </c>
      <c r="B21" s="42">
        <f t="shared" si="1"/>
        <v>0</v>
      </c>
      <c r="C21" s="42">
        <f t="shared" si="1"/>
        <v>0</v>
      </c>
      <c r="D21" s="42">
        <f t="shared" si="1"/>
        <v>0</v>
      </c>
      <c r="E21" s="4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AH21" s="86"/>
      <c r="AI21" s="86"/>
      <c r="AJ21" s="86"/>
      <c r="AK21" s="86"/>
      <c r="AL21" s="86"/>
      <c r="AM21" s="86"/>
      <c r="AN21" s="86"/>
      <c r="AO21" s="86"/>
      <c r="AP21" s="86"/>
      <c r="AQ21" s="86"/>
      <c r="AR21" s="86"/>
      <c r="AS21" s="86"/>
      <c r="AT21" s="86"/>
      <c r="AU21" s="86"/>
      <c r="AV21" s="86"/>
      <c r="AW21" s="86"/>
      <c r="AX21" s="86"/>
      <c r="AY21" s="86"/>
      <c r="AZ21" s="86"/>
      <c r="BA21" s="86"/>
      <c r="BB21" s="86"/>
      <c r="BC21" s="86"/>
      <c r="BD21" s="86"/>
      <c r="BE21" s="86"/>
      <c r="BF21" s="86"/>
      <c r="BG21" s="86"/>
      <c r="BH21" s="86"/>
      <c r="BI21" s="86"/>
      <c r="BJ21" s="86"/>
      <c r="BK21" s="86"/>
      <c r="BL21" s="86"/>
      <c r="BM21" s="86"/>
      <c r="BN21" s="86"/>
      <c r="BO21" s="86"/>
      <c r="BP21" s="86"/>
      <c r="BQ21" s="86"/>
      <c r="BR21" s="86"/>
      <c r="BS21" s="86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2">
        <f t="shared" si="1"/>
        <v>0</v>
      </c>
      <c r="B22" s="42">
        <f t="shared" si="1"/>
        <v>0</v>
      </c>
      <c r="C22" s="42">
        <f t="shared" si="1"/>
        <v>0</v>
      </c>
      <c r="D22" s="42">
        <f t="shared" si="1"/>
        <v>0</v>
      </c>
      <c r="E22" s="83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86"/>
      <c r="AD22" s="86"/>
      <c r="AE22" s="86"/>
      <c r="AF22" s="86"/>
      <c r="AG22" s="86"/>
      <c r="AH22" s="86"/>
      <c r="AI22" s="86"/>
      <c r="AJ22" s="86"/>
      <c r="AK22" s="86"/>
      <c r="AL22" s="86"/>
      <c r="AM22" s="86"/>
      <c r="AN22" s="86"/>
      <c r="AO22" s="86"/>
      <c r="AP22" s="86"/>
      <c r="AQ22" s="86"/>
      <c r="AR22" s="86"/>
      <c r="AS22" s="86"/>
      <c r="AT22" s="86"/>
      <c r="AU22" s="86"/>
      <c r="AV22" s="86"/>
      <c r="AW22" s="86"/>
      <c r="AX22" s="86"/>
      <c r="AY22" s="86"/>
      <c r="AZ22" s="86"/>
      <c r="BA22" s="86"/>
      <c r="BB22" s="86"/>
      <c r="BC22" s="86"/>
      <c r="BD22" s="86"/>
      <c r="BE22" s="86"/>
      <c r="BF22" s="86"/>
      <c r="BG22" s="86"/>
      <c r="BH22" s="86"/>
      <c r="BI22" s="86"/>
      <c r="BJ22" s="86"/>
      <c r="BK22" s="86"/>
      <c r="BL22" s="86"/>
      <c r="BM22" s="86"/>
      <c r="BN22" s="86"/>
      <c r="BO22" s="86"/>
      <c r="BP22" s="86"/>
      <c r="BQ22" s="86"/>
      <c r="BR22" s="86"/>
      <c r="BS22" s="86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2">
        <f t="shared" si="1"/>
        <v>0</v>
      </c>
      <c r="B23" s="42">
        <f t="shared" si="1"/>
        <v>0</v>
      </c>
      <c r="C23" s="42">
        <f t="shared" si="1"/>
        <v>0</v>
      </c>
      <c r="D23" s="42">
        <f t="shared" si="1"/>
        <v>0</v>
      </c>
      <c r="E23" s="84"/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86"/>
      <c r="AD23" s="86"/>
      <c r="AE23" s="86"/>
      <c r="AF23" s="86"/>
      <c r="AG23" s="86"/>
      <c r="AH23" s="86"/>
      <c r="AI23" s="86"/>
      <c r="AJ23" s="86"/>
      <c r="AK23" s="86"/>
      <c r="AL23" s="86"/>
      <c r="AM23" s="86"/>
      <c r="AN23" s="86"/>
      <c r="AO23" s="86"/>
      <c r="AP23" s="86"/>
      <c r="AQ23" s="86"/>
      <c r="AR23" s="86"/>
      <c r="AS23" s="86"/>
      <c r="AT23" s="86"/>
      <c r="AU23" s="86"/>
      <c r="AV23" s="86"/>
      <c r="AW23" s="86"/>
      <c r="AX23" s="86"/>
      <c r="AY23" s="86"/>
      <c r="AZ23" s="86"/>
      <c r="BA23" s="86"/>
      <c r="BB23" s="86"/>
      <c r="BC23" s="86"/>
      <c r="BD23" s="86"/>
      <c r="BE23" s="86"/>
      <c r="BF23" s="86"/>
      <c r="BG23" s="86"/>
      <c r="BH23" s="86"/>
      <c r="BI23" s="86"/>
      <c r="BJ23" s="86"/>
      <c r="BK23" s="86"/>
      <c r="BL23" s="86"/>
      <c r="BM23" s="86"/>
      <c r="BN23" s="86"/>
      <c r="BO23" s="86"/>
      <c r="BP23" s="86"/>
      <c r="BQ23" s="86"/>
      <c r="BR23" s="86"/>
      <c r="BS23" s="86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2">
        <f t="shared" si="1"/>
        <v>0</v>
      </c>
      <c r="B24" s="42">
        <f t="shared" si="1"/>
        <v>0</v>
      </c>
      <c r="C24" s="42">
        <f t="shared" si="1"/>
        <v>0</v>
      </c>
      <c r="D24" s="42">
        <f t="shared" si="1"/>
        <v>0</v>
      </c>
      <c r="E24" s="84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AH24" s="86"/>
      <c r="AI24" s="86"/>
      <c r="AJ24" s="86"/>
      <c r="AK24" s="86"/>
      <c r="AL24" s="86"/>
      <c r="AM24" s="86"/>
      <c r="AN24" s="86"/>
      <c r="AO24" s="86"/>
      <c r="AP24" s="86"/>
      <c r="AQ24" s="86"/>
      <c r="AR24" s="86"/>
      <c r="AS24" s="86"/>
      <c r="AT24" s="86"/>
      <c r="AU24" s="86"/>
      <c r="AV24" s="86"/>
      <c r="AW24" s="86"/>
      <c r="AX24" s="86"/>
      <c r="AY24" s="86"/>
      <c r="AZ24" s="86"/>
      <c r="BA24" s="86"/>
      <c r="BB24" s="86"/>
      <c r="BC24" s="86"/>
      <c r="BD24" s="86"/>
      <c r="BE24" s="86"/>
      <c r="BF24" s="86"/>
      <c r="BG24" s="86"/>
      <c r="BH24" s="86"/>
      <c r="BI24" s="86"/>
      <c r="BJ24" s="86"/>
      <c r="BK24" s="86"/>
      <c r="BL24" s="86"/>
      <c r="BM24" s="86"/>
      <c r="BN24" s="86"/>
      <c r="BO24" s="86"/>
      <c r="BP24" s="86"/>
      <c r="BQ24" s="86"/>
      <c r="BR24" s="86"/>
      <c r="BS24" s="86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2">
        <f t="shared" si="1"/>
        <v>0</v>
      </c>
      <c r="B25" s="42">
        <f t="shared" si="1"/>
        <v>0</v>
      </c>
      <c r="C25" s="42">
        <f t="shared" si="1"/>
        <v>0</v>
      </c>
      <c r="D25" s="42">
        <f t="shared" si="1"/>
        <v>0</v>
      </c>
      <c r="E25" s="84"/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  <c r="R25" s="86"/>
      <c r="S25" s="86"/>
      <c r="T25" s="86"/>
      <c r="U25" s="86"/>
      <c r="V25" s="86"/>
      <c r="W25" s="86"/>
      <c r="X25" s="86"/>
      <c r="Y25" s="86"/>
      <c r="Z25" s="86"/>
      <c r="AA25" s="86"/>
      <c r="AB25" s="86"/>
      <c r="AC25" s="86"/>
      <c r="AD25" s="86"/>
      <c r="AE25" s="86"/>
      <c r="AF25" s="86"/>
      <c r="AG25" s="86"/>
      <c r="AH25" s="86"/>
      <c r="AI25" s="86"/>
      <c r="AJ25" s="86"/>
      <c r="AK25" s="86"/>
      <c r="AL25" s="86"/>
      <c r="AM25" s="86"/>
      <c r="AN25" s="86"/>
      <c r="AO25" s="86"/>
      <c r="AP25" s="86"/>
      <c r="AQ25" s="86"/>
      <c r="AR25" s="86"/>
      <c r="AS25" s="86"/>
      <c r="AT25" s="86"/>
      <c r="AU25" s="86"/>
      <c r="AV25" s="86"/>
      <c r="AW25" s="86"/>
      <c r="AX25" s="86"/>
      <c r="AY25" s="86"/>
      <c r="AZ25" s="86"/>
      <c r="BA25" s="86"/>
      <c r="BB25" s="86"/>
      <c r="BC25" s="86"/>
      <c r="BD25" s="86"/>
      <c r="BE25" s="86"/>
      <c r="BF25" s="86"/>
      <c r="BG25" s="86"/>
      <c r="BH25" s="86"/>
      <c r="BI25" s="86"/>
      <c r="BJ25" s="86"/>
      <c r="BK25" s="86"/>
      <c r="BL25" s="86"/>
      <c r="BM25" s="86"/>
      <c r="BN25" s="86"/>
      <c r="BO25" s="86"/>
      <c r="BP25" s="86"/>
      <c r="BQ25" s="86"/>
      <c r="BR25" s="86"/>
      <c r="BS25" s="86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2">
        <f t="shared" si="1"/>
        <v>0</v>
      </c>
      <c r="B26" s="42">
        <f t="shared" si="1"/>
        <v>0</v>
      </c>
      <c r="C26" s="42">
        <f t="shared" si="1"/>
        <v>0</v>
      </c>
      <c r="D26" s="42">
        <f t="shared" si="1"/>
        <v>0</v>
      </c>
      <c r="E26" s="84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86"/>
      <c r="W26" s="86"/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  <c r="AJ26" s="86"/>
      <c r="AK26" s="86"/>
      <c r="AL26" s="86"/>
      <c r="AM26" s="86"/>
      <c r="AN26" s="86"/>
      <c r="AO26" s="86"/>
      <c r="AP26" s="86"/>
      <c r="AQ26" s="86"/>
      <c r="AR26" s="86"/>
      <c r="AS26" s="86"/>
      <c r="AT26" s="86"/>
      <c r="AU26" s="86"/>
      <c r="AV26" s="86"/>
      <c r="AW26" s="86"/>
      <c r="AX26" s="86"/>
      <c r="AY26" s="86"/>
      <c r="AZ26" s="86"/>
      <c r="BA26" s="86"/>
      <c r="BB26" s="86"/>
      <c r="BC26" s="86"/>
      <c r="BD26" s="86"/>
      <c r="BE26" s="86"/>
      <c r="BF26" s="86"/>
      <c r="BG26" s="86"/>
      <c r="BH26" s="86"/>
      <c r="BI26" s="86"/>
      <c r="BJ26" s="86"/>
      <c r="BK26" s="86"/>
      <c r="BL26" s="86"/>
      <c r="BM26" s="86"/>
      <c r="BN26" s="86"/>
      <c r="BO26" s="86"/>
      <c r="BP26" s="86"/>
      <c r="BQ26" s="86"/>
      <c r="BR26" s="86"/>
      <c r="BS26" s="86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2">
        <f t="shared" si="1"/>
        <v>0</v>
      </c>
      <c r="B27" s="42">
        <f t="shared" si="1"/>
        <v>0</v>
      </c>
      <c r="C27" s="42">
        <f t="shared" si="1"/>
        <v>0</v>
      </c>
      <c r="D27" s="42">
        <f t="shared" si="1"/>
        <v>0</v>
      </c>
      <c r="E27" s="84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  <c r="X27" s="86"/>
      <c r="Y27" s="86"/>
      <c r="Z27" s="86"/>
      <c r="AA27" s="86"/>
      <c r="AB27" s="86"/>
      <c r="AC27" s="86"/>
      <c r="AD27" s="86"/>
      <c r="AE27" s="86"/>
      <c r="AF27" s="86"/>
      <c r="AG27" s="86"/>
      <c r="AH27" s="86"/>
      <c r="AI27" s="86"/>
      <c r="AJ27" s="86"/>
      <c r="AK27" s="86"/>
      <c r="AL27" s="86"/>
      <c r="AM27" s="86"/>
      <c r="AN27" s="86"/>
      <c r="AO27" s="86"/>
      <c r="AP27" s="86"/>
      <c r="AQ27" s="86"/>
      <c r="AR27" s="86"/>
      <c r="AS27" s="86"/>
      <c r="AT27" s="86"/>
      <c r="AU27" s="86"/>
      <c r="AV27" s="86"/>
      <c r="AW27" s="86"/>
      <c r="AX27" s="86"/>
      <c r="AY27" s="86"/>
      <c r="AZ27" s="86"/>
      <c r="BA27" s="86"/>
      <c r="BB27" s="86"/>
      <c r="BC27" s="86"/>
      <c r="BD27" s="86"/>
      <c r="BE27" s="86"/>
      <c r="BF27" s="86"/>
      <c r="BG27" s="86"/>
      <c r="BH27" s="86"/>
      <c r="BI27" s="86"/>
      <c r="BJ27" s="86"/>
      <c r="BK27" s="86"/>
      <c r="BL27" s="86"/>
      <c r="BM27" s="86"/>
      <c r="BN27" s="86"/>
      <c r="BO27" s="86"/>
      <c r="BP27" s="86"/>
      <c r="BQ27" s="86"/>
      <c r="BR27" s="86"/>
      <c r="BS27" s="86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2">
        <f t="shared" ref="A28:D33" si="2">IF( ISNUMBER( FIND(A$3,$E28,1)),   IF( ISNUMBER( VALUE(MID($E28,FIND(A$3,$E28,1)+2,1)) ), VALUE( MID($E28,FIND(A$3,$E28,1)+2,1) ),1),0)</f>
        <v>0</v>
      </c>
      <c r="B28" s="42">
        <f t="shared" si="2"/>
        <v>0</v>
      </c>
      <c r="C28" s="42">
        <f t="shared" si="2"/>
        <v>0</v>
      </c>
      <c r="D28" s="42">
        <f t="shared" si="2"/>
        <v>0</v>
      </c>
      <c r="E28" s="84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  <c r="X28" s="86"/>
      <c r="Y28" s="86"/>
      <c r="Z28" s="86"/>
      <c r="AA28" s="86"/>
      <c r="AB28" s="86"/>
      <c r="AC28" s="86"/>
      <c r="AD28" s="86"/>
      <c r="AE28" s="86"/>
      <c r="AF28" s="86"/>
      <c r="AG28" s="86"/>
      <c r="AH28" s="86"/>
      <c r="AI28" s="86"/>
      <c r="AJ28" s="86"/>
      <c r="AK28" s="86"/>
      <c r="AL28" s="86"/>
      <c r="AM28" s="86"/>
      <c r="AN28" s="86"/>
      <c r="AO28" s="86"/>
      <c r="AP28" s="86"/>
      <c r="AQ28" s="86"/>
      <c r="AR28" s="86"/>
      <c r="AS28" s="86"/>
      <c r="AT28" s="86"/>
      <c r="AU28" s="86"/>
      <c r="AV28" s="86"/>
      <c r="AW28" s="86"/>
      <c r="AX28" s="86"/>
      <c r="AY28" s="86"/>
      <c r="AZ28" s="86"/>
      <c r="BA28" s="86"/>
      <c r="BB28" s="86"/>
      <c r="BC28" s="86"/>
      <c r="BD28" s="86"/>
      <c r="BE28" s="86"/>
      <c r="BF28" s="86"/>
      <c r="BG28" s="86"/>
      <c r="BH28" s="86"/>
      <c r="BI28" s="86"/>
      <c r="BJ28" s="86"/>
      <c r="BK28" s="86"/>
      <c r="BL28" s="86"/>
      <c r="BM28" s="86"/>
      <c r="BN28" s="86"/>
      <c r="BO28" s="86"/>
      <c r="BP28" s="86"/>
      <c r="BQ28" s="86"/>
      <c r="BR28" s="86"/>
      <c r="BS28" s="86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2">
        <f t="shared" si="2"/>
        <v>0</v>
      </c>
      <c r="B29" s="42">
        <f t="shared" si="2"/>
        <v>0</v>
      </c>
      <c r="C29" s="42">
        <f t="shared" si="2"/>
        <v>0</v>
      </c>
      <c r="D29" s="42">
        <f t="shared" si="2"/>
        <v>0</v>
      </c>
      <c r="E29" s="84"/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86"/>
      <c r="S29" s="86"/>
      <c r="T29" s="86"/>
      <c r="U29" s="86"/>
      <c r="V29" s="86"/>
      <c r="W29" s="86"/>
      <c r="X29" s="86"/>
      <c r="Y29" s="86"/>
      <c r="Z29" s="86"/>
      <c r="AA29" s="86"/>
      <c r="AB29" s="86"/>
      <c r="AC29" s="86"/>
      <c r="AD29" s="86"/>
      <c r="AE29" s="86"/>
      <c r="AF29" s="86"/>
      <c r="AG29" s="86"/>
      <c r="AH29" s="86"/>
      <c r="AI29" s="86"/>
      <c r="AJ29" s="86"/>
      <c r="AK29" s="86"/>
      <c r="AL29" s="86"/>
      <c r="AM29" s="86"/>
      <c r="AN29" s="86"/>
      <c r="AO29" s="86"/>
      <c r="AP29" s="86"/>
      <c r="AQ29" s="86"/>
      <c r="AR29" s="86"/>
      <c r="AS29" s="86"/>
      <c r="AT29" s="86"/>
      <c r="AU29" s="86"/>
      <c r="AV29" s="86"/>
      <c r="AW29" s="86"/>
      <c r="AX29" s="86"/>
      <c r="AY29" s="86"/>
      <c r="AZ29" s="86"/>
      <c r="BA29" s="86"/>
      <c r="BB29" s="86"/>
      <c r="BC29" s="86"/>
      <c r="BD29" s="86"/>
      <c r="BE29" s="86"/>
      <c r="BF29" s="86"/>
      <c r="BG29" s="86"/>
      <c r="BH29" s="86"/>
      <c r="BI29" s="86"/>
      <c r="BJ29" s="86"/>
      <c r="BK29" s="86"/>
      <c r="BL29" s="86"/>
      <c r="BM29" s="86"/>
      <c r="BN29" s="86"/>
      <c r="BO29" s="86"/>
      <c r="BP29" s="86"/>
      <c r="BQ29" s="86"/>
      <c r="BR29" s="86"/>
      <c r="BS29" s="86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2">
        <f t="shared" si="2"/>
        <v>0</v>
      </c>
      <c r="B30" s="42">
        <f t="shared" si="2"/>
        <v>0</v>
      </c>
      <c r="C30" s="42">
        <f t="shared" si="2"/>
        <v>0</v>
      </c>
      <c r="D30" s="42">
        <f t="shared" si="2"/>
        <v>0</v>
      </c>
      <c r="E30" s="84"/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  <c r="S30" s="86"/>
      <c r="T30" s="86"/>
      <c r="U30" s="86"/>
      <c r="V30" s="86"/>
      <c r="W30" s="86"/>
      <c r="X30" s="86"/>
      <c r="Y30" s="86"/>
      <c r="Z30" s="86"/>
      <c r="AA30" s="86"/>
      <c r="AB30" s="86"/>
      <c r="AC30" s="86"/>
      <c r="AD30" s="86"/>
      <c r="AE30" s="86"/>
      <c r="AF30" s="86"/>
      <c r="AG30" s="86"/>
      <c r="AH30" s="86"/>
      <c r="AI30" s="86"/>
      <c r="AJ30" s="86"/>
      <c r="AK30" s="86"/>
      <c r="AL30" s="86"/>
      <c r="AM30" s="86"/>
      <c r="AN30" s="86"/>
      <c r="AO30" s="86"/>
      <c r="AP30" s="86"/>
      <c r="AQ30" s="86"/>
      <c r="AR30" s="86"/>
      <c r="AS30" s="86"/>
      <c r="AT30" s="86"/>
      <c r="AU30" s="86"/>
      <c r="AV30" s="86"/>
      <c r="AW30" s="86"/>
      <c r="AX30" s="86"/>
      <c r="AY30" s="86"/>
      <c r="AZ30" s="86"/>
      <c r="BA30" s="86"/>
      <c r="BB30" s="86"/>
      <c r="BC30" s="86"/>
      <c r="BD30" s="86"/>
      <c r="BE30" s="86"/>
      <c r="BF30" s="86"/>
      <c r="BG30" s="86"/>
      <c r="BH30" s="86"/>
      <c r="BI30" s="86"/>
      <c r="BJ30" s="86"/>
      <c r="BK30" s="86"/>
      <c r="BL30" s="86"/>
      <c r="BM30" s="86"/>
      <c r="BN30" s="86"/>
      <c r="BO30" s="86"/>
      <c r="BP30" s="86"/>
      <c r="BQ30" s="86"/>
      <c r="BR30" s="86"/>
      <c r="BS30" s="86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2">
        <f t="shared" si="2"/>
        <v>0</v>
      </c>
      <c r="B31" s="42">
        <f t="shared" si="2"/>
        <v>0</v>
      </c>
      <c r="C31" s="42">
        <f t="shared" si="2"/>
        <v>0</v>
      </c>
      <c r="D31" s="42">
        <f t="shared" si="2"/>
        <v>0</v>
      </c>
      <c r="E31" s="84"/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86"/>
      <c r="S31" s="86"/>
      <c r="T31" s="86"/>
      <c r="U31" s="86"/>
      <c r="V31" s="86"/>
      <c r="W31" s="86"/>
      <c r="X31" s="86"/>
      <c r="Y31" s="86"/>
      <c r="Z31" s="86"/>
      <c r="AA31" s="86"/>
      <c r="AB31" s="86"/>
      <c r="AC31" s="86"/>
      <c r="AD31" s="86"/>
      <c r="AE31" s="86"/>
      <c r="AF31" s="86"/>
      <c r="AG31" s="86"/>
      <c r="AH31" s="86"/>
      <c r="AI31" s="86"/>
      <c r="AJ31" s="86"/>
      <c r="AK31" s="86"/>
      <c r="AL31" s="86"/>
      <c r="AM31" s="86"/>
      <c r="AN31" s="86"/>
      <c r="AO31" s="86"/>
      <c r="AP31" s="86"/>
      <c r="AQ31" s="86"/>
      <c r="AR31" s="86"/>
      <c r="AS31" s="86"/>
      <c r="AT31" s="86"/>
      <c r="AU31" s="86"/>
      <c r="AV31" s="86"/>
      <c r="AW31" s="86"/>
      <c r="AX31" s="86"/>
      <c r="AY31" s="86"/>
      <c r="AZ31" s="86"/>
      <c r="BA31" s="86"/>
      <c r="BB31" s="86"/>
      <c r="BC31" s="86"/>
      <c r="BD31" s="86"/>
      <c r="BE31" s="86"/>
      <c r="BF31" s="86"/>
      <c r="BG31" s="86"/>
      <c r="BH31" s="86"/>
      <c r="BI31" s="86"/>
      <c r="BJ31" s="86"/>
      <c r="BK31" s="86"/>
      <c r="BL31" s="86"/>
      <c r="BM31" s="86"/>
      <c r="BN31" s="86"/>
      <c r="BO31" s="86"/>
      <c r="BP31" s="86"/>
      <c r="BQ31" s="86"/>
      <c r="BR31" s="86"/>
      <c r="BS31" s="86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2">
        <f t="shared" si="2"/>
        <v>0</v>
      </c>
      <c r="B32" s="42">
        <f t="shared" si="2"/>
        <v>0</v>
      </c>
      <c r="C32" s="42">
        <f t="shared" si="2"/>
        <v>0</v>
      </c>
      <c r="D32" s="42">
        <f t="shared" si="2"/>
        <v>0</v>
      </c>
      <c r="E32" s="84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  <c r="S32" s="86"/>
      <c r="T32" s="86"/>
      <c r="U32" s="86"/>
      <c r="V32" s="86"/>
      <c r="W32" s="86"/>
      <c r="X32" s="86"/>
      <c r="Y32" s="86"/>
      <c r="Z32" s="86"/>
      <c r="AA32" s="86"/>
      <c r="AB32" s="86"/>
      <c r="AC32" s="86"/>
      <c r="AD32" s="86"/>
      <c r="AE32" s="86"/>
      <c r="AF32" s="86"/>
      <c r="AG32" s="86"/>
      <c r="AH32" s="86"/>
      <c r="AI32" s="86"/>
      <c r="AJ32" s="86"/>
      <c r="AK32" s="86"/>
      <c r="AL32" s="86"/>
      <c r="AM32" s="86"/>
      <c r="AN32" s="86"/>
      <c r="AO32" s="86"/>
      <c r="AP32" s="86"/>
      <c r="AQ32" s="86"/>
      <c r="AR32" s="86"/>
      <c r="AS32" s="86"/>
      <c r="AT32" s="86"/>
      <c r="AU32" s="86"/>
      <c r="AV32" s="86"/>
      <c r="AW32" s="86"/>
      <c r="AX32" s="86"/>
      <c r="AY32" s="86"/>
      <c r="AZ32" s="86"/>
      <c r="BA32" s="86"/>
      <c r="BB32" s="86"/>
      <c r="BC32" s="86"/>
      <c r="BD32" s="86"/>
      <c r="BE32" s="86"/>
      <c r="BF32" s="86"/>
      <c r="BG32" s="86"/>
      <c r="BH32" s="86"/>
      <c r="BI32" s="86"/>
      <c r="BJ32" s="86"/>
      <c r="BK32" s="86"/>
      <c r="BL32" s="86"/>
      <c r="BM32" s="86"/>
      <c r="BN32" s="86"/>
      <c r="BO32" s="86"/>
      <c r="BP32" s="86"/>
      <c r="BQ32" s="86"/>
      <c r="BR32" s="86"/>
      <c r="BS32" s="86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Bot="1" x14ac:dyDescent="0.4">
      <c r="A33" s="42">
        <f t="shared" si="2"/>
        <v>0</v>
      </c>
      <c r="B33" s="42">
        <f t="shared" si="2"/>
        <v>0</v>
      </c>
      <c r="C33" s="42">
        <f t="shared" si="2"/>
        <v>0</v>
      </c>
      <c r="D33" s="42">
        <f t="shared" si="2"/>
        <v>0</v>
      </c>
      <c r="E33" s="84">
        <v>1</v>
      </c>
      <c r="F33" s="48">
        <v>0</v>
      </c>
      <c r="G33" s="48">
        <v>0</v>
      </c>
      <c r="H33" s="48">
        <v>0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0</v>
      </c>
      <c r="AC33" s="48">
        <v>0</v>
      </c>
      <c r="AD33" s="48">
        <v>0</v>
      </c>
      <c r="AE33" s="48">
        <v>0</v>
      </c>
      <c r="AF33" s="48">
        <v>0</v>
      </c>
      <c r="AG33" s="48">
        <v>0</v>
      </c>
      <c r="AH33" s="48">
        <v>0</v>
      </c>
      <c r="AI33" s="48">
        <v>0</v>
      </c>
      <c r="AJ33" s="48">
        <v>0</v>
      </c>
      <c r="AK33" s="48">
        <v>0</v>
      </c>
      <c r="AL33" s="48">
        <v>0</v>
      </c>
      <c r="AM33" s="48">
        <v>0</v>
      </c>
      <c r="AN33" s="48">
        <v>0</v>
      </c>
      <c r="AO33" s="48">
        <v>0</v>
      </c>
      <c r="AP33" s="48">
        <v>0</v>
      </c>
      <c r="AQ33" s="48">
        <v>0</v>
      </c>
      <c r="AR33" s="48">
        <v>0</v>
      </c>
      <c r="AS33" s="48">
        <v>0</v>
      </c>
      <c r="AT33" s="48">
        <v>0</v>
      </c>
      <c r="AU33" s="48">
        <v>0</v>
      </c>
      <c r="AV33" s="48">
        <v>0</v>
      </c>
      <c r="AW33" s="48">
        <v>0</v>
      </c>
      <c r="AX33" s="48">
        <v>0</v>
      </c>
      <c r="AY33" s="48">
        <v>0</v>
      </c>
      <c r="AZ33" s="48">
        <v>0</v>
      </c>
      <c r="BA33" s="48">
        <v>0</v>
      </c>
      <c r="BB33" s="48">
        <v>0</v>
      </c>
      <c r="BC33" s="48">
        <v>0</v>
      </c>
      <c r="BD33" s="48">
        <v>0</v>
      </c>
      <c r="BE33" s="48">
        <v>0</v>
      </c>
      <c r="BF33" s="48">
        <v>0</v>
      </c>
      <c r="BG33" s="48">
        <v>0</v>
      </c>
      <c r="BH33" s="48">
        <v>0</v>
      </c>
      <c r="BI33" s="48">
        <v>0</v>
      </c>
      <c r="BJ33" s="48">
        <v>0</v>
      </c>
      <c r="BK33" s="48">
        <v>0</v>
      </c>
      <c r="BL33" s="48">
        <v>0</v>
      </c>
      <c r="BM33" s="48">
        <v>0</v>
      </c>
      <c r="BN33" s="48">
        <v>0</v>
      </c>
      <c r="BO33" s="48">
        <v>0</v>
      </c>
      <c r="BP33" s="48">
        <v>0</v>
      </c>
      <c r="BQ33" s="48">
        <v>0</v>
      </c>
      <c r="BR33" s="48">
        <v>0</v>
      </c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8">
        <f ca="1">IF(E34=C34,1,0)</f>
        <v>1</v>
      </c>
      <c r="C34" s="11" t="s">
        <v>26</v>
      </c>
      <c r="D34" s="45">
        <f>MATCH(C34,$E$4:$E$33)</f>
        <v>14</v>
      </c>
      <c r="E34" s="11" t="str">
        <f ca="1">OFFSET($E$3:$AL$3,$D34,0)</f>
        <v>H (Ar)</v>
      </c>
      <c r="F34" s="14">
        <f t="shared" ref="F34:AL37" ca="1" si="3">OFFSET($E$3:$AL$3,$D34,0)</f>
        <v>-18.62</v>
      </c>
      <c r="G34" s="14">
        <f t="shared" ca="1" si="3"/>
        <v>-18.61</v>
      </c>
      <c r="H34" s="14">
        <f t="shared" ca="1" si="3"/>
        <v>-18.61</v>
      </c>
      <c r="I34" s="14">
        <f t="shared" ca="1" si="3"/>
        <v>-18.62</v>
      </c>
      <c r="J34" s="14">
        <f t="shared" ca="1" si="3"/>
        <v>-18.63</v>
      </c>
      <c r="K34" s="14">
        <f t="shared" ca="1" si="3"/>
        <v>-18.649999999999999</v>
      </c>
      <c r="L34" s="14">
        <f t="shared" ca="1" si="3"/>
        <v>-18.670000000000002</v>
      </c>
      <c r="M34" s="14">
        <f t="shared" ca="1" si="3"/>
        <v>-18.690000000000001</v>
      </c>
      <c r="N34" s="14">
        <f t="shared" ca="1" si="3"/>
        <v>-18.72</v>
      </c>
      <c r="O34" s="14">
        <f t="shared" ca="1" si="3"/>
        <v>-18.84</v>
      </c>
      <c r="P34" s="14">
        <f t="shared" ca="1" si="3"/>
        <v>-18.87</v>
      </c>
      <c r="Q34" s="14">
        <f t="shared" ca="1" si="3"/>
        <v>-18.899999999999999</v>
      </c>
      <c r="R34" s="14">
        <f t="shared" ca="1" si="3"/>
        <v>-18.940000000000001</v>
      </c>
      <c r="S34" s="14">
        <f t="shared" ca="1" si="3"/>
        <v>-18.97</v>
      </c>
      <c r="T34" s="14">
        <f t="shared" ca="1" si="3"/>
        <v>-19.010000000000002</v>
      </c>
      <c r="U34" s="14">
        <f t="shared" ca="1" si="3"/>
        <v>-19.04</v>
      </c>
      <c r="V34" s="14">
        <f t="shared" ca="1" si="3"/>
        <v>-19.07</v>
      </c>
      <c r="W34" s="14">
        <f t="shared" ca="1" si="3"/>
        <v>-19.11</v>
      </c>
      <c r="X34" s="14">
        <f t="shared" ca="1" si="3"/>
        <v>-19.14</v>
      </c>
      <c r="Y34" s="14">
        <f t="shared" ca="1" si="3"/>
        <v>-19.18</v>
      </c>
      <c r="Z34" s="14">
        <f t="shared" ca="1" si="3"/>
        <v>-19.21</v>
      </c>
      <c r="AA34" s="14">
        <f t="shared" ca="1" si="3"/>
        <v>-19.25</v>
      </c>
      <c r="AB34" s="14">
        <f t="shared" ca="1" si="3"/>
        <v>-19.38</v>
      </c>
      <c r="AC34" s="14">
        <f t="shared" ca="1" si="3"/>
        <v>-19.420000000000002</v>
      </c>
      <c r="AD34" s="14">
        <f t="shared" ca="1" si="3"/>
        <v>-19.45</v>
      </c>
      <c r="AE34" s="14">
        <f t="shared" ca="1" si="3"/>
        <v>-19.48</v>
      </c>
      <c r="AF34" s="14">
        <f t="shared" ca="1" si="3"/>
        <v>-19.510000000000002</v>
      </c>
      <c r="AG34" s="14">
        <f t="shared" ca="1" si="3"/>
        <v>-19.55</v>
      </c>
      <c r="AH34" s="14">
        <f t="shared" ca="1" si="3"/>
        <v>-19.579999999999998</v>
      </c>
      <c r="AI34" s="14">
        <f t="shared" ca="1" si="3"/>
        <v>-19.61</v>
      </c>
      <c r="AJ34" s="14">
        <f t="shared" ca="1" si="3"/>
        <v>-19.64</v>
      </c>
      <c r="AK34" s="14">
        <f t="shared" ca="1" si="3"/>
        <v>-19.760000000000002</v>
      </c>
      <c r="AL34" s="14">
        <f t="shared" ca="1" si="3"/>
        <v>-19.79</v>
      </c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8">
        <f t="shared" ref="B35:B37" ca="1" si="4">IF(E35=C35,1,0)</f>
        <v>1</v>
      </c>
      <c r="C35" s="11" t="s">
        <v>5</v>
      </c>
      <c r="D35" s="45">
        <f t="shared" ref="D35:D37" si="5">MATCH(C35,$E$4:$E$33)</f>
        <v>15</v>
      </c>
      <c r="E35" s="11" t="str">
        <f t="shared" ref="E35:E37" ca="1" si="6">OFFSET($E$3:$AL$3,$D35,0)</f>
        <v>H (Ga)</v>
      </c>
      <c r="F35" s="14">
        <f t="shared" ca="1" si="3"/>
        <v>-65.56</v>
      </c>
      <c r="G35" s="14">
        <f t="shared" ca="1" si="3"/>
        <v>-62.08</v>
      </c>
      <c r="H35" s="14">
        <f t="shared" ca="1" si="3"/>
        <v>-58.98</v>
      </c>
      <c r="I35" s="14">
        <f t="shared" ca="1" si="3"/>
        <v>-56.2</v>
      </c>
      <c r="J35" s="14">
        <f t="shared" ca="1" si="3"/>
        <v>-53.71</v>
      </c>
      <c r="K35" s="14">
        <f t="shared" ca="1" si="3"/>
        <v>-50.33</v>
      </c>
      <c r="L35" s="14">
        <f t="shared" ca="1" si="3"/>
        <v>-46.96</v>
      </c>
      <c r="M35" s="14">
        <f t="shared" ca="1" si="3"/>
        <v>-43.86</v>
      </c>
      <c r="N35" s="14">
        <f t="shared" ca="1" si="3"/>
        <v>-40.98</v>
      </c>
      <c r="O35" s="14">
        <f t="shared" ca="1" si="3"/>
        <v>-31.32</v>
      </c>
      <c r="P35" s="14">
        <f t="shared" ca="1" si="3"/>
        <v>-29.28</v>
      </c>
      <c r="Q35" s="14">
        <f t="shared" ca="1" si="3"/>
        <v>-27.35</v>
      </c>
      <c r="R35" s="14">
        <f t="shared" ca="1" si="3"/>
        <v>-25.53</v>
      </c>
      <c r="S35" s="14">
        <f t="shared" ca="1" si="3"/>
        <v>-23.81</v>
      </c>
      <c r="T35" s="14">
        <f t="shared" ca="1" si="3"/>
        <v>-22.18</v>
      </c>
      <c r="U35" s="14">
        <f t="shared" ca="1" si="3"/>
        <v>-20.63</v>
      </c>
      <c r="V35" s="14">
        <f t="shared" ca="1" si="3"/>
        <v>-19.16</v>
      </c>
      <c r="W35" s="14">
        <f t="shared" ca="1" si="3"/>
        <v>-17.850000000000001</v>
      </c>
      <c r="X35" s="14">
        <f t="shared" ca="1" si="3"/>
        <v>-16.850000000000001</v>
      </c>
      <c r="Y35" s="14">
        <f t="shared" ca="1" si="3"/>
        <v>-15.9</v>
      </c>
      <c r="Z35" s="14">
        <f t="shared" ca="1" si="3"/>
        <v>-15</v>
      </c>
      <c r="AA35" s="14">
        <f t="shared" ca="1" si="3"/>
        <v>-14.13</v>
      </c>
      <c r="AB35" s="14">
        <f t="shared" ca="1" si="3"/>
        <v>-11</v>
      </c>
      <c r="AC35" s="14">
        <f t="shared" ca="1" si="3"/>
        <v>-10.29</v>
      </c>
      <c r="AD35" s="14">
        <f t="shared" ca="1" si="3"/>
        <v>-9.6059999999999999</v>
      </c>
      <c r="AE35" s="14">
        <f t="shared" ca="1" si="3"/>
        <v>-8.9480000000000004</v>
      </c>
      <c r="AF35" s="14">
        <f t="shared" ca="1" si="3"/>
        <v>-8.3130000000000006</v>
      </c>
      <c r="AG35" s="14">
        <f t="shared" ca="1" si="3"/>
        <v>-7.7149999999999999</v>
      </c>
      <c r="AH35" s="14">
        <f t="shared" ca="1" si="3"/>
        <v>-7.7969999999999997</v>
      </c>
      <c r="AI35" s="14">
        <f t="shared" ca="1" si="3"/>
        <v>-7.8789999999999996</v>
      </c>
      <c r="AJ35" s="14">
        <f t="shared" ca="1" si="3"/>
        <v>-7.9630000000000001</v>
      </c>
      <c r="AK35" s="14">
        <f t="shared" ca="1" si="3"/>
        <v>-8.3190000000000008</v>
      </c>
      <c r="AL35" s="14">
        <f t="shared" ca="1" si="3"/>
        <v>-8.4149999999999991</v>
      </c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8">
        <f t="shared" ca="1" si="4"/>
        <v>1</v>
      </c>
      <c r="C36" s="11" t="s">
        <v>6</v>
      </c>
      <c r="D36" s="45">
        <f t="shared" si="5"/>
        <v>16</v>
      </c>
      <c r="E36" s="11" t="str">
        <f t="shared" ca="1" si="6"/>
        <v>H (Ge)</v>
      </c>
      <c r="F36" s="14">
        <f t="shared" ca="1" si="3"/>
        <v>-16.29</v>
      </c>
      <c r="G36" s="14">
        <f t="shared" ca="1" si="3"/>
        <v>-15.65</v>
      </c>
      <c r="H36" s="14">
        <f t="shared" ca="1" si="3"/>
        <v>-15.09</v>
      </c>
      <c r="I36" s="14">
        <f t="shared" ca="1" si="3"/>
        <v>-14.59</v>
      </c>
      <c r="J36" s="14">
        <f t="shared" ca="1" si="3"/>
        <v>-14.16</v>
      </c>
      <c r="K36" s="14">
        <f t="shared" ca="1" si="3"/>
        <v>-13.03</v>
      </c>
      <c r="L36" s="14">
        <f t="shared" ca="1" si="3"/>
        <v>-11.8</v>
      </c>
      <c r="M36" s="14">
        <f t="shared" ca="1" si="3"/>
        <v>-10.67</v>
      </c>
      <c r="N36" s="14">
        <f t="shared" ca="1" si="3"/>
        <v>-9.6129999999999995</v>
      </c>
      <c r="O36" s="14">
        <f t="shared" ca="1" si="3"/>
        <v>-6.0380000000000003</v>
      </c>
      <c r="P36" s="14">
        <f t="shared" ca="1" si="3"/>
        <v>-5.2729999999999997</v>
      </c>
      <c r="Q36" s="14">
        <f t="shared" ca="1" si="3"/>
        <v>-4.55</v>
      </c>
      <c r="R36" s="14">
        <f t="shared" ca="1" si="3"/>
        <v>-4.1150000000000002</v>
      </c>
      <c r="S36" s="14">
        <f t="shared" ca="1" si="3"/>
        <v>-4.1550000000000002</v>
      </c>
      <c r="T36" s="14">
        <f t="shared" ca="1" si="3"/>
        <v>-4.1950000000000003</v>
      </c>
      <c r="U36" s="14">
        <f t="shared" ca="1" si="3"/>
        <v>-4.2359999999999998</v>
      </c>
      <c r="V36" s="14">
        <f t="shared" ca="1" si="3"/>
        <v>-4.2759999999999998</v>
      </c>
      <c r="W36" s="14">
        <f t="shared" ca="1" si="3"/>
        <v>-4.3170000000000002</v>
      </c>
      <c r="X36" s="14">
        <f t="shared" ca="1" si="3"/>
        <v>-4.3579999999999997</v>
      </c>
      <c r="Y36" s="14">
        <f t="shared" ca="1" si="3"/>
        <v>-4.399</v>
      </c>
      <c r="Z36" s="14">
        <f t="shared" ca="1" si="3"/>
        <v>-4.4400000000000004</v>
      </c>
      <c r="AA36" s="14">
        <f t="shared" ca="1" si="3"/>
        <v>-4.4809999999999999</v>
      </c>
      <c r="AB36" s="14">
        <f t="shared" ca="1" si="3"/>
        <v>-4.6429999999999998</v>
      </c>
      <c r="AC36" s="14">
        <f t="shared" ca="1" si="3"/>
        <v>-4.6829999999999998</v>
      </c>
      <c r="AD36" s="14">
        <f t="shared" ca="1" si="3"/>
        <v>-4.7220000000000004</v>
      </c>
      <c r="AE36" s="14">
        <f t="shared" ca="1" si="3"/>
        <v>-4.7619999999999996</v>
      </c>
      <c r="AF36" s="14">
        <f t="shared" ca="1" si="3"/>
        <v>-4.8010000000000002</v>
      </c>
      <c r="AG36" s="14">
        <f t="shared" ca="1" si="3"/>
        <v>-4.84</v>
      </c>
      <c r="AH36" s="14">
        <f t="shared" ca="1" si="3"/>
        <v>-4.8780000000000001</v>
      </c>
      <c r="AI36" s="14">
        <f t="shared" ca="1" si="3"/>
        <v>-4.9169999999999998</v>
      </c>
      <c r="AJ36" s="14">
        <f t="shared" ca="1" si="3"/>
        <v>-4.9550000000000001</v>
      </c>
      <c r="AK36" s="14">
        <f t="shared" ca="1" si="3"/>
        <v>-5.1040000000000001</v>
      </c>
      <c r="AL36" s="14">
        <f t="shared" ca="1" si="3"/>
        <v>-5.141</v>
      </c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8">
        <f t="shared" ca="1" si="4"/>
        <v>1</v>
      </c>
      <c r="C37" s="11" t="s">
        <v>7</v>
      </c>
      <c r="D37" s="45">
        <f t="shared" si="5"/>
        <v>17</v>
      </c>
      <c r="E37" s="11" t="str">
        <f t="shared" ca="1" si="6"/>
        <v>H (Se)</v>
      </c>
      <c r="F37" s="14">
        <f t="shared" ca="1" si="3"/>
        <v>-23.52</v>
      </c>
      <c r="G37" s="14">
        <f t="shared" ca="1" si="3"/>
        <v>-22.41</v>
      </c>
      <c r="H37" s="14">
        <f t="shared" ca="1" si="3"/>
        <v>-21.42</v>
      </c>
      <c r="I37" s="14">
        <f t="shared" ca="1" si="3"/>
        <v>-20.54</v>
      </c>
      <c r="J37" s="14">
        <f t="shared" ca="1" si="3"/>
        <v>-19.760000000000002</v>
      </c>
      <c r="K37" s="14">
        <f t="shared" ca="1" si="3"/>
        <v>-19.8</v>
      </c>
      <c r="L37" s="14">
        <f t="shared" ca="1" si="3"/>
        <v>-20.04</v>
      </c>
      <c r="M37" s="14">
        <f t="shared" ca="1" si="3"/>
        <v>-20.28</v>
      </c>
      <c r="N37" s="14">
        <f t="shared" ca="1" si="3"/>
        <v>-20.53</v>
      </c>
      <c r="O37" s="14">
        <f t="shared" ca="1" si="3"/>
        <v>-21.53</v>
      </c>
      <c r="P37" s="14">
        <f t="shared" ca="1" si="3"/>
        <v>-21.78</v>
      </c>
      <c r="Q37" s="14">
        <f t="shared" ca="1" si="3"/>
        <v>-22.02</v>
      </c>
      <c r="R37" s="14">
        <f t="shared" ca="1" si="3"/>
        <v>-22.27</v>
      </c>
      <c r="S37" s="14">
        <f t="shared" ca="1" si="3"/>
        <v>-22.52</v>
      </c>
      <c r="T37" s="14">
        <f t="shared" ca="1" si="3"/>
        <v>-22.76</v>
      </c>
      <c r="U37" s="14">
        <f t="shared" ca="1" si="3"/>
        <v>-23</v>
      </c>
      <c r="V37" s="14">
        <f t="shared" ca="1" si="3"/>
        <v>-23.24</v>
      </c>
      <c r="W37" s="14">
        <f t="shared" ca="1" si="3"/>
        <v>-23.48</v>
      </c>
      <c r="X37" s="14">
        <f t="shared" ca="1" si="3"/>
        <v>-23.72</v>
      </c>
      <c r="Y37" s="14">
        <f t="shared" ca="1" si="3"/>
        <v>-23.95</v>
      </c>
      <c r="Z37" s="14">
        <f t="shared" ca="1" si="3"/>
        <v>-24.18</v>
      </c>
      <c r="AA37" s="14">
        <f t="shared" ca="1" si="3"/>
        <v>-24.41</v>
      </c>
      <c r="AB37" s="14">
        <f t="shared" ca="1" si="3"/>
        <v>-25.31</v>
      </c>
      <c r="AC37" s="14">
        <f t="shared" ca="1" si="3"/>
        <v>-25.53</v>
      </c>
      <c r="AD37" s="14">
        <f t="shared" ca="1" si="3"/>
        <v>-25.75</v>
      </c>
      <c r="AE37" s="14">
        <f t="shared" ca="1" si="3"/>
        <v>-25.97</v>
      </c>
      <c r="AF37" s="14">
        <f t="shared" ca="1" si="3"/>
        <v>-26.18</v>
      </c>
      <c r="AG37" s="14">
        <f t="shared" ca="1" si="3"/>
        <v>-26.39</v>
      </c>
      <c r="AH37" s="14">
        <f t="shared" ca="1" si="3"/>
        <v>-26.6</v>
      </c>
      <c r="AI37" s="14">
        <f t="shared" ca="1" si="3"/>
        <v>-26.81</v>
      </c>
      <c r="AJ37" s="14">
        <f t="shared" ca="1" si="3"/>
        <v>-27.02</v>
      </c>
      <c r="AK37" s="14">
        <f t="shared" ca="1" si="3"/>
        <v>-27.83</v>
      </c>
      <c r="AL37" s="14">
        <f t="shared" ca="1" si="3"/>
        <v>-28.03</v>
      </c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U38" s="48"/>
      <c r="V38" s="48"/>
      <c r="W38" s="48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2" t="s">
        <v>8</v>
      </c>
      <c r="B39" s="73"/>
      <c r="C39" s="73"/>
      <c r="D39" s="74"/>
      <c r="E39" s="65" t="s">
        <v>19</v>
      </c>
      <c r="F39" s="66"/>
      <c r="G39" s="66"/>
      <c r="H39" s="66"/>
      <c r="I39" s="66"/>
      <c r="J39" s="66"/>
      <c r="K39" s="66"/>
      <c r="L39" s="66"/>
      <c r="M39" s="66"/>
      <c r="N39" s="66"/>
      <c r="O39" s="66"/>
      <c r="P39" s="66"/>
      <c r="Q39" s="66"/>
      <c r="R39" s="66"/>
      <c r="S39" s="66"/>
      <c r="T39" s="66"/>
      <c r="U39" s="66"/>
      <c r="V39" s="66"/>
      <c r="W39" s="66"/>
      <c r="X39" s="66"/>
      <c r="Y39" s="66"/>
      <c r="Z39" s="66"/>
      <c r="AA39" s="66"/>
      <c r="AB39" s="66"/>
      <c r="AC39" s="66"/>
      <c r="AD39" s="66"/>
      <c r="AE39" s="66"/>
      <c r="AF39" s="66"/>
      <c r="AG39" s="66"/>
      <c r="AH39" s="66"/>
      <c r="AI39" s="66"/>
      <c r="AJ39" s="66"/>
      <c r="AK39" s="66"/>
      <c r="AL39" s="66"/>
      <c r="AM39" s="66"/>
      <c r="AN39" s="66"/>
      <c r="AO39" s="66"/>
      <c r="AP39" s="66"/>
      <c r="AQ39" s="66"/>
      <c r="AR39" s="66"/>
      <c r="AS39" s="66"/>
      <c r="AT39" s="66"/>
      <c r="AU39" s="66"/>
      <c r="AV39" s="66"/>
      <c r="AW39" s="66"/>
      <c r="AX39" s="66"/>
      <c r="AY39" s="66"/>
      <c r="AZ39" s="66"/>
      <c r="BA39" s="66"/>
      <c r="BB39" s="66"/>
      <c r="BC39" s="66"/>
      <c r="BD39" s="66"/>
      <c r="BE39" s="66"/>
      <c r="BF39" s="66"/>
      <c r="BG39" s="66"/>
      <c r="BH39" s="66"/>
      <c r="BI39" s="66"/>
      <c r="BJ39" s="66"/>
      <c r="BK39" s="66"/>
      <c r="BL39" s="66"/>
      <c r="BM39" s="66"/>
      <c r="BN39" s="66"/>
      <c r="BO39" s="66"/>
      <c r="BP39" s="66"/>
      <c r="BQ39" s="66"/>
      <c r="BR39" s="66"/>
      <c r="BS39" s="66"/>
      <c r="BT39" s="66"/>
      <c r="BU39" s="66"/>
      <c r="BV39" s="66"/>
      <c r="BW39" s="66"/>
      <c r="BX39" s="66"/>
      <c r="BY39" s="66"/>
      <c r="BZ39" s="66"/>
      <c r="CA39" s="66"/>
      <c r="CB39" s="66"/>
      <c r="CC39" s="66"/>
      <c r="CD39" s="66"/>
      <c r="CE39" s="66"/>
      <c r="CF39" s="66"/>
      <c r="CG39" s="66"/>
      <c r="CH39" s="66"/>
      <c r="CI39" s="66"/>
    </row>
    <row r="40" spans="1:87" ht="21" hidden="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AL40" si="7">G3</f>
        <v>289.7</v>
      </c>
      <c r="H40" s="8">
        <f t="shared" si="7"/>
        <v>306.2</v>
      </c>
      <c r="I40" s="8">
        <f t="shared" si="7"/>
        <v>322.7</v>
      </c>
      <c r="J40" s="8">
        <f t="shared" si="7"/>
        <v>339.2</v>
      </c>
      <c r="K40" s="8">
        <f t="shared" si="7"/>
        <v>355.7</v>
      </c>
      <c r="L40" s="8">
        <f t="shared" si="7"/>
        <v>372.3</v>
      </c>
      <c r="M40" s="8">
        <f t="shared" si="7"/>
        <v>388.8</v>
      </c>
      <c r="N40" s="8">
        <f t="shared" si="7"/>
        <v>405.3</v>
      </c>
      <c r="O40" s="8">
        <f t="shared" si="7"/>
        <v>471.4</v>
      </c>
      <c r="P40" s="8">
        <f t="shared" si="7"/>
        <v>487.9</v>
      </c>
      <c r="Q40" s="8">
        <f t="shared" si="7"/>
        <v>504.4</v>
      </c>
      <c r="R40" s="8">
        <f t="shared" si="7"/>
        <v>520.9</v>
      </c>
      <c r="S40" s="8">
        <f t="shared" si="7"/>
        <v>537.5</v>
      </c>
      <c r="T40" s="8">
        <f t="shared" si="7"/>
        <v>554</v>
      </c>
      <c r="U40" s="8">
        <f t="shared" si="7"/>
        <v>570.5</v>
      </c>
      <c r="V40" s="8">
        <f t="shared" si="7"/>
        <v>587</v>
      </c>
      <c r="W40" s="8">
        <f t="shared" si="7"/>
        <v>603.5</v>
      </c>
      <c r="X40" s="8">
        <f t="shared" si="7"/>
        <v>620.1</v>
      </c>
      <c r="Y40" s="8">
        <f t="shared" si="7"/>
        <v>636.6</v>
      </c>
      <c r="Z40" s="8">
        <f t="shared" si="7"/>
        <v>653.1</v>
      </c>
      <c r="AA40" s="8">
        <f t="shared" si="7"/>
        <v>669.6</v>
      </c>
      <c r="AB40" s="8">
        <f t="shared" si="7"/>
        <v>735.7</v>
      </c>
      <c r="AC40" s="8">
        <f t="shared" si="7"/>
        <v>752.2</v>
      </c>
      <c r="AD40" s="8">
        <f t="shared" si="7"/>
        <v>768.7</v>
      </c>
      <c r="AE40" s="8">
        <f t="shared" si="7"/>
        <v>785.2</v>
      </c>
      <c r="AF40" s="8">
        <f t="shared" si="7"/>
        <v>801.8</v>
      </c>
      <c r="AG40" s="8">
        <f t="shared" si="7"/>
        <v>818.3</v>
      </c>
      <c r="AH40" s="8">
        <f t="shared" si="7"/>
        <v>834.8</v>
      </c>
      <c r="AI40" s="8">
        <f t="shared" si="7"/>
        <v>851.3</v>
      </c>
      <c r="AJ40" s="8">
        <f t="shared" si="7"/>
        <v>867.8</v>
      </c>
      <c r="AK40" s="8">
        <f t="shared" si="7"/>
        <v>933.9</v>
      </c>
      <c r="AL40" s="8">
        <f t="shared" si="7"/>
        <v>950.4</v>
      </c>
      <c r="AM40" s="89"/>
      <c r="AN40" s="89"/>
      <c r="AO40" s="89"/>
      <c r="AP40" s="89"/>
      <c r="AQ40" s="89"/>
      <c r="AR40" s="89"/>
      <c r="AS40" s="89"/>
      <c r="AT40" s="89"/>
      <c r="AU40" s="89"/>
      <c r="AV40" s="89"/>
      <c r="AW40" s="89"/>
      <c r="AX40" s="89"/>
      <c r="AY40" s="89"/>
      <c r="AZ40" s="89"/>
      <c r="BA40" s="89"/>
      <c r="BB40" s="89"/>
      <c r="BC40" s="89"/>
      <c r="BD40" s="89"/>
      <c r="BE40" s="89"/>
      <c r="BF40" s="89"/>
      <c r="BG40" s="89"/>
      <c r="BH40" s="89"/>
      <c r="BI40" s="89"/>
      <c r="BJ40" s="89"/>
      <c r="BK40" s="89"/>
      <c r="BL40" s="89"/>
      <c r="BM40" s="89"/>
      <c r="BN40" s="89"/>
      <c r="BO40" s="89"/>
      <c r="BP40" s="89"/>
      <c r="BQ40" s="89"/>
      <c r="BR40" s="89"/>
      <c r="BS40" s="89"/>
    </row>
    <row r="41" spans="1:87" ht="21" hidden="1" customHeight="1" outlineLevel="1" thickTop="1" x14ac:dyDescent="0.35">
      <c r="A41" s="9">
        <f>Values!D3/Values!$E$3</f>
        <v>0.83333333333333337</v>
      </c>
      <c r="B41" s="9">
        <f>Values!E3/Values!$E$3</f>
        <v>1</v>
      </c>
      <c r="C41" s="9">
        <f>Values!F3/Values!$E$3</f>
        <v>0.33333333333333331</v>
      </c>
      <c r="D41" s="9">
        <f>Values!G3/Values!$E$3</f>
        <v>2</v>
      </c>
      <c r="E41" s="9">
        <f>SUM(A41:D41)</f>
        <v>4.166666666666667</v>
      </c>
      <c r="F41" s="10">
        <f t="shared" ref="F41:AL41" ca="1" si="8">($B$41*H.Ge+$C$41*H.Ga+$D$41*H.Se)*F$40*$B$2/1000</f>
        <v>-193.42493890750004</v>
      </c>
      <c r="G41" s="10">
        <f t="shared" ca="1" si="8"/>
        <v>-195.49898538949998</v>
      </c>
      <c r="H41" s="10">
        <f t="shared" ca="1" si="8"/>
        <v>-197.53637324100004</v>
      </c>
      <c r="I41" s="10">
        <f t="shared" ca="1" si="8"/>
        <v>-199.63077639049999</v>
      </c>
      <c r="J41" s="10">
        <f t="shared" ca="1" si="8"/>
        <v>-201.88492880000004</v>
      </c>
      <c r="K41" s="10">
        <f t="shared" ca="1" si="8"/>
        <v>-205.26797136100001</v>
      </c>
      <c r="L41" s="10">
        <f t="shared" ca="1" si="8"/>
        <v>-209.04864657000002</v>
      </c>
      <c r="M41" s="10">
        <f t="shared" ca="1" si="8"/>
        <v>-212.87181996000001</v>
      </c>
      <c r="N41" s="10">
        <f t="shared" ca="1" si="8"/>
        <v>-216.79364406105003</v>
      </c>
      <c r="O41" s="10">
        <f t="shared" ca="1" si="8"/>
        <v>-233.35652965140002</v>
      </c>
      <c r="P41" s="10">
        <f t="shared" ca="1" si="8"/>
        <v>-237.69097411815005</v>
      </c>
      <c r="Q41" s="10">
        <f t="shared" ca="1" si="8"/>
        <v>-242.01216915200001</v>
      </c>
      <c r="R41" s="10">
        <f t="shared" ca="1" si="8"/>
        <v>-247.58293265325</v>
      </c>
      <c r="S41" s="10">
        <f t="shared" ca="1" si="8"/>
        <v>-255.32391784374997</v>
      </c>
      <c r="T41" s="10">
        <f t="shared" ca="1" si="8"/>
        <v>-263.05428957499998</v>
      </c>
      <c r="U41" s="10">
        <f t="shared" ca="1" si="8"/>
        <v>-270.90949382350004</v>
      </c>
      <c r="V41" s="10">
        <f t="shared" ca="1" si="8"/>
        <v>-278.89115607399998</v>
      </c>
      <c r="W41" s="10">
        <f t="shared" ca="1" si="8"/>
        <v>-287.15368352025001</v>
      </c>
      <c r="X41" s="10">
        <f t="shared" ca="1" si="8"/>
        <v>-296.0197699446</v>
      </c>
      <c r="Y41" s="10">
        <f t="shared" ca="1" si="8"/>
        <v>-304.87212330929998</v>
      </c>
      <c r="Z41" s="10">
        <f t="shared" ca="1" si="8"/>
        <v>-313.86555711000005</v>
      </c>
      <c r="AA41" s="10">
        <f t="shared" ca="1" si="8"/>
        <v>-322.96981488120002</v>
      </c>
      <c r="AB41" s="10">
        <f t="shared" ca="1" si="8"/>
        <v>-360.47145392195</v>
      </c>
      <c r="AC41" s="10">
        <f t="shared" ca="1" si="8"/>
        <v>-370.07781797370006</v>
      </c>
      <c r="AD41" s="10">
        <f t="shared" ca="1" si="8"/>
        <v>-379.79994785760005</v>
      </c>
      <c r="AE41" s="10">
        <f t="shared" ca="1" si="8"/>
        <v>-389.65405601720005</v>
      </c>
      <c r="AF41" s="10">
        <f t="shared" ca="1" si="8"/>
        <v>-399.54063950520003</v>
      </c>
      <c r="AG41" s="10">
        <f t="shared" ca="1" si="8"/>
        <v>-409.52937410875001</v>
      </c>
      <c r="AH41" s="10">
        <f t="shared" ca="1" si="8"/>
        <v>-421.15569549420013</v>
      </c>
      <c r="AI41" s="10">
        <f t="shared" ca="1" si="8"/>
        <v>-432.92226004550002</v>
      </c>
      <c r="AJ41" s="10">
        <f t="shared" ca="1" si="8"/>
        <v>-444.81985889959998</v>
      </c>
      <c r="AK41" s="10">
        <f t="shared" ca="1" si="8"/>
        <v>-493.35918515234999</v>
      </c>
      <c r="AL41" s="10">
        <f t="shared" ca="1" si="8"/>
        <v>-505.78186380480003</v>
      </c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</row>
    <row r="42" spans="1:87" ht="176.25" hidden="1" customHeight="1" outlineLevel="1" x14ac:dyDescent="0.35">
      <c r="U42" s="48"/>
      <c r="V42" s="48"/>
      <c r="W42" s="48"/>
    </row>
    <row r="43" spans="1:87" ht="21" customHeight="1" collapsed="1" thickTop="1" x14ac:dyDescent="0.35">
      <c r="U43" s="48"/>
      <c r="V43" s="48"/>
      <c r="W43" s="48"/>
    </row>
    <row r="44" spans="1:87" ht="21" customHeight="1" thickBot="1" x14ac:dyDescent="0.45">
      <c r="A44" s="66"/>
      <c r="B44" s="66"/>
      <c r="C44" s="66"/>
      <c r="D44" s="66"/>
      <c r="E44" s="65" t="s">
        <v>20</v>
      </c>
      <c r="F44" s="66"/>
      <c r="G44" s="66"/>
      <c r="H44" s="66"/>
      <c r="I44" s="66"/>
      <c r="J44" s="66"/>
      <c r="K44" s="66"/>
      <c r="L44" s="66"/>
      <c r="M44" s="66"/>
      <c r="N44" s="66"/>
      <c r="O44" s="66"/>
      <c r="P44" s="66"/>
      <c r="Q44" s="66"/>
      <c r="R44" s="66"/>
      <c r="S44" s="66"/>
      <c r="T44" s="66"/>
      <c r="U44" s="66"/>
      <c r="V44" s="66"/>
      <c r="W44" s="66"/>
      <c r="X44" s="66"/>
      <c r="Y44" s="66"/>
      <c r="Z44" s="66"/>
      <c r="AA44" s="66"/>
      <c r="AB44" s="66"/>
      <c r="AC44" s="66"/>
      <c r="AD44" s="66"/>
      <c r="AE44" s="66"/>
      <c r="AF44" s="66"/>
      <c r="AG44" s="66"/>
      <c r="AH44" s="66"/>
      <c r="AI44" s="66"/>
      <c r="AJ44" s="66"/>
      <c r="AK44" s="66"/>
      <c r="AL44" s="66"/>
      <c r="AM44" s="66"/>
      <c r="AN44" s="66"/>
      <c r="AO44" s="66"/>
      <c r="AP44" s="66"/>
      <c r="AQ44" s="66"/>
      <c r="AR44" s="66"/>
      <c r="AS44" s="66"/>
      <c r="AT44" s="66"/>
      <c r="AU44" s="66"/>
      <c r="AV44" s="66"/>
      <c r="AW44" s="66"/>
      <c r="AX44" s="66"/>
      <c r="AY44" s="66"/>
      <c r="AZ44" s="66"/>
      <c r="BA44" s="66"/>
      <c r="BB44" s="66"/>
      <c r="BC44" s="66"/>
      <c r="BD44" s="66"/>
      <c r="BE44" s="66"/>
      <c r="BF44" s="66"/>
      <c r="BG44" s="66"/>
      <c r="BH44" s="66"/>
      <c r="BI44" s="66"/>
      <c r="BJ44" s="66"/>
      <c r="BK44" s="66"/>
      <c r="BL44" s="66"/>
      <c r="BM44" s="66"/>
      <c r="BN44" s="66"/>
      <c r="BO44" s="66"/>
      <c r="BP44" s="66"/>
      <c r="BQ44" s="66"/>
      <c r="BR44" s="66"/>
      <c r="BS44" s="66"/>
      <c r="BT44" s="66"/>
      <c r="BU44" s="66"/>
      <c r="BV44" s="66"/>
      <c r="BW44" s="66"/>
      <c r="BX44" s="66"/>
      <c r="BY44" s="66"/>
      <c r="BZ44" s="66"/>
      <c r="CA44" s="66"/>
      <c r="CB44" s="66"/>
      <c r="CC44" s="66"/>
      <c r="CD44" s="66"/>
      <c r="CE44" s="66"/>
      <c r="CF44" s="66"/>
      <c r="CG44" s="66"/>
      <c r="CH44" s="66"/>
      <c r="CI44" s="66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AL45" si="9">E3</f>
        <v>Temperature,К</v>
      </c>
      <c r="F45" s="3">
        <f t="shared" si="9"/>
        <v>273.10000000000002</v>
      </c>
      <c r="G45" s="3">
        <f t="shared" si="9"/>
        <v>289.7</v>
      </c>
      <c r="H45" s="3">
        <f t="shared" si="9"/>
        <v>306.2</v>
      </c>
      <c r="I45" s="3">
        <f t="shared" si="9"/>
        <v>322.7</v>
      </c>
      <c r="J45" s="3">
        <f t="shared" si="9"/>
        <v>339.2</v>
      </c>
      <c r="K45" s="3">
        <f t="shared" si="9"/>
        <v>355.7</v>
      </c>
      <c r="L45" s="3">
        <f t="shared" si="9"/>
        <v>372.3</v>
      </c>
      <c r="M45" s="3">
        <f t="shared" si="9"/>
        <v>388.8</v>
      </c>
      <c r="N45" s="3">
        <f t="shared" si="9"/>
        <v>405.3</v>
      </c>
      <c r="O45" s="3">
        <f t="shared" si="9"/>
        <v>471.4</v>
      </c>
      <c r="P45" s="3">
        <f t="shared" si="9"/>
        <v>487.9</v>
      </c>
      <c r="Q45" s="3">
        <f t="shared" si="9"/>
        <v>504.4</v>
      </c>
      <c r="R45" s="3">
        <f t="shared" si="9"/>
        <v>520.9</v>
      </c>
      <c r="S45" s="3">
        <f t="shared" si="9"/>
        <v>537.5</v>
      </c>
      <c r="T45" s="3">
        <f t="shared" si="9"/>
        <v>554</v>
      </c>
      <c r="U45" s="3">
        <f t="shared" si="9"/>
        <v>570.5</v>
      </c>
      <c r="V45" s="3">
        <f t="shared" si="9"/>
        <v>587</v>
      </c>
      <c r="W45" s="3">
        <f t="shared" si="9"/>
        <v>603.5</v>
      </c>
      <c r="X45" s="3">
        <f t="shared" si="9"/>
        <v>620.1</v>
      </c>
      <c r="Y45" s="3">
        <f t="shared" si="9"/>
        <v>636.6</v>
      </c>
      <c r="Z45" s="3">
        <f t="shared" si="9"/>
        <v>653.1</v>
      </c>
      <c r="AA45" s="3">
        <f t="shared" si="9"/>
        <v>669.6</v>
      </c>
      <c r="AB45" s="3">
        <f t="shared" si="9"/>
        <v>735.7</v>
      </c>
      <c r="AC45" s="3">
        <f t="shared" si="9"/>
        <v>752.2</v>
      </c>
      <c r="AD45" s="3">
        <f t="shared" si="9"/>
        <v>768.7</v>
      </c>
      <c r="AE45" s="3">
        <f t="shared" si="9"/>
        <v>785.2</v>
      </c>
      <c r="AF45" s="3">
        <f t="shared" si="9"/>
        <v>801.8</v>
      </c>
      <c r="AG45" s="3">
        <f t="shared" si="9"/>
        <v>818.3</v>
      </c>
      <c r="AH45" s="3">
        <f t="shared" si="9"/>
        <v>834.8</v>
      </c>
      <c r="AI45" s="3">
        <f t="shared" si="9"/>
        <v>851.3</v>
      </c>
      <c r="AJ45" s="3">
        <f t="shared" si="9"/>
        <v>867.8</v>
      </c>
      <c r="AK45" s="3">
        <f t="shared" si="9"/>
        <v>933.9</v>
      </c>
      <c r="AL45" s="3">
        <f t="shared" si="9"/>
        <v>950.4</v>
      </c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</row>
    <row r="46" spans="1:87" ht="21" customHeight="1" outlineLevel="1" thickTop="1" thickBot="1" x14ac:dyDescent="0.4">
      <c r="A46" s="5">
        <f t="shared" ref="A46:E55" si="10">A4</f>
        <v>0</v>
      </c>
      <c r="B46" s="5">
        <f t="shared" si="10"/>
        <v>1</v>
      </c>
      <c r="C46" s="5">
        <f t="shared" si="10"/>
        <v>0</v>
      </c>
      <c r="D46" s="5">
        <f t="shared" si="10"/>
        <v>0</v>
      </c>
      <c r="E46" s="6" t="str">
        <f t="shared" si="10"/>
        <v>*Se[M]</v>
      </c>
      <c r="F46" s="14">
        <f t="shared" ref="F46:U55" ca="1" si="11">$A46*H.Ar + $B46*H.Se + $C46*H.Ge + $D46*H.Ga</f>
        <v>-23.52</v>
      </c>
      <c r="G46" s="14">
        <f t="shared" ca="1" si="11"/>
        <v>-22.41</v>
      </c>
      <c r="H46" s="14">
        <f t="shared" ca="1" si="11"/>
        <v>-21.42</v>
      </c>
      <c r="I46" s="14">
        <f t="shared" ca="1" si="11"/>
        <v>-20.54</v>
      </c>
      <c r="J46" s="14">
        <f t="shared" ca="1" si="11"/>
        <v>-19.760000000000002</v>
      </c>
      <c r="K46" s="14">
        <f t="shared" ca="1" si="11"/>
        <v>-19.8</v>
      </c>
      <c r="L46" s="14">
        <f t="shared" ca="1" si="11"/>
        <v>-20.04</v>
      </c>
      <c r="M46" s="14">
        <f t="shared" ca="1" si="11"/>
        <v>-20.28</v>
      </c>
      <c r="N46" s="14">
        <f t="shared" ca="1" si="11"/>
        <v>-20.53</v>
      </c>
      <c r="O46" s="14">
        <f t="shared" ca="1" si="11"/>
        <v>-21.53</v>
      </c>
      <c r="P46" s="14">
        <f t="shared" ca="1" si="11"/>
        <v>-21.78</v>
      </c>
      <c r="Q46" s="14">
        <f t="shared" ca="1" si="11"/>
        <v>-22.02</v>
      </c>
      <c r="R46" s="14">
        <f t="shared" ca="1" si="11"/>
        <v>-22.27</v>
      </c>
      <c r="S46" s="14">
        <f t="shared" ca="1" si="11"/>
        <v>-22.52</v>
      </c>
      <c r="T46" s="14">
        <f t="shared" ca="1" si="11"/>
        <v>-22.76</v>
      </c>
      <c r="U46" s="14">
        <f t="shared" ca="1" si="11"/>
        <v>-23</v>
      </c>
      <c r="V46" s="14">
        <f t="shared" ref="V46:AL46" ca="1" si="12">$A46*H.Ar + $B46*H.Se + $C46*H.Ge + $D46*H.Ga</f>
        <v>-23.24</v>
      </c>
      <c r="W46" s="14">
        <f t="shared" ca="1" si="12"/>
        <v>-23.48</v>
      </c>
      <c r="X46" s="14">
        <f t="shared" ca="1" si="12"/>
        <v>-23.72</v>
      </c>
      <c r="Y46" s="14">
        <f t="shared" ca="1" si="12"/>
        <v>-23.95</v>
      </c>
      <c r="Z46" s="14">
        <f t="shared" ca="1" si="12"/>
        <v>-24.18</v>
      </c>
      <c r="AA46" s="14">
        <f t="shared" ca="1" si="12"/>
        <v>-24.41</v>
      </c>
      <c r="AB46" s="14">
        <f t="shared" ca="1" si="12"/>
        <v>-25.31</v>
      </c>
      <c r="AC46" s="14">
        <f t="shared" ca="1" si="12"/>
        <v>-25.53</v>
      </c>
      <c r="AD46" s="14">
        <f t="shared" ca="1" si="12"/>
        <v>-25.75</v>
      </c>
      <c r="AE46" s="14">
        <f t="shared" ca="1" si="12"/>
        <v>-25.97</v>
      </c>
      <c r="AF46" s="14">
        <f t="shared" ca="1" si="12"/>
        <v>-26.18</v>
      </c>
      <c r="AG46" s="14">
        <f t="shared" ca="1" si="12"/>
        <v>-26.39</v>
      </c>
      <c r="AH46" s="14">
        <f t="shared" ca="1" si="12"/>
        <v>-26.6</v>
      </c>
      <c r="AI46" s="14">
        <f t="shared" ca="1" si="12"/>
        <v>-26.81</v>
      </c>
      <c r="AJ46" s="14">
        <f t="shared" ca="1" si="12"/>
        <v>-27.02</v>
      </c>
      <c r="AK46" s="14">
        <f t="shared" ca="1" si="12"/>
        <v>-27.83</v>
      </c>
      <c r="AL46" s="14">
        <f t="shared" ca="1" si="12"/>
        <v>-28.03</v>
      </c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14"/>
    </row>
    <row r="47" spans="1:87" ht="21" customHeight="1" outlineLevel="1" thickBot="1" x14ac:dyDescent="0.4">
      <c r="A47" s="5">
        <f t="shared" si="10"/>
        <v>0</v>
      </c>
      <c r="B47" s="5">
        <f t="shared" si="10"/>
        <v>0</v>
      </c>
      <c r="C47" s="5">
        <f t="shared" si="10"/>
        <v>1</v>
      </c>
      <c r="D47" s="5">
        <f t="shared" si="10"/>
        <v>0</v>
      </c>
      <c r="E47" s="6" t="str">
        <f t="shared" si="10"/>
        <v>*Ge</v>
      </c>
      <c r="F47" s="14">
        <f t="shared" ca="1" si="11"/>
        <v>-16.29</v>
      </c>
      <c r="G47" s="14">
        <f t="shared" ref="G47:AL54" ca="1" si="13">$A47*H.Ar + $B47*H.Se + $C47*H.Ge + $D47*H.Ga</f>
        <v>-15.65</v>
      </c>
      <c r="H47" s="14">
        <f t="shared" ca="1" si="13"/>
        <v>-15.09</v>
      </c>
      <c r="I47" s="14">
        <f t="shared" ca="1" si="13"/>
        <v>-14.59</v>
      </c>
      <c r="J47" s="14">
        <f t="shared" ca="1" si="13"/>
        <v>-14.16</v>
      </c>
      <c r="K47" s="14">
        <f t="shared" ca="1" si="13"/>
        <v>-13.03</v>
      </c>
      <c r="L47" s="14">
        <f t="shared" ca="1" si="13"/>
        <v>-11.8</v>
      </c>
      <c r="M47" s="14">
        <f t="shared" ca="1" si="13"/>
        <v>-10.67</v>
      </c>
      <c r="N47" s="14">
        <f t="shared" ca="1" si="13"/>
        <v>-9.6129999999999995</v>
      </c>
      <c r="O47" s="14">
        <f t="shared" ca="1" si="13"/>
        <v>-6.0380000000000003</v>
      </c>
      <c r="P47" s="14">
        <f t="shared" ca="1" si="13"/>
        <v>-5.2729999999999997</v>
      </c>
      <c r="Q47" s="14">
        <f t="shared" ca="1" si="13"/>
        <v>-4.55</v>
      </c>
      <c r="R47" s="14">
        <f t="shared" ca="1" si="13"/>
        <v>-4.1150000000000002</v>
      </c>
      <c r="S47" s="14">
        <f t="shared" ca="1" si="13"/>
        <v>-4.1550000000000002</v>
      </c>
      <c r="T47" s="14">
        <f t="shared" ca="1" si="13"/>
        <v>-4.1950000000000003</v>
      </c>
      <c r="U47" s="14">
        <f t="shared" ca="1" si="13"/>
        <v>-4.2359999999999998</v>
      </c>
      <c r="V47" s="14">
        <f t="shared" ca="1" si="13"/>
        <v>-4.2759999999999998</v>
      </c>
      <c r="W47" s="14">
        <f t="shared" ca="1" si="13"/>
        <v>-4.3170000000000002</v>
      </c>
      <c r="X47" s="14">
        <f t="shared" ca="1" si="13"/>
        <v>-4.3579999999999997</v>
      </c>
      <c r="Y47" s="14">
        <f t="shared" ca="1" si="13"/>
        <v>-4.399</v>
      </c>
      <c r="Z47" s="14">
        <f t="shared" ca="1" si="13"/>
        <v>-4.4400000000000004</v>
      </c>
      <c r="AA47" s="14">
        <f t="shared" ca="1" si="13"/>
        <v>-4.4809999999999999</v>
      </c>
      <c r="AB47" s="14">
        <f t="shared" ca="1" si="13"/>
        <v>-4.6429999999999998</v>
      </c>
      <c r="AC47" s="14">
        <f t="shared" ca="1" si="13"/>
        <v>-4.6829999999999998</v>
      </c>
      <c r="AD47" s="14">
        <f t="shared" ca="1" si="13"/>
        <v>-4.7220000000000004</v>
      </c>
      <c r="AE47" s="14">
        <f t="shared" ca="1" si="13"/>
        <v>-4.7619999999999996</v>
      </c>
      <c r="AF47" s="14">
        <f t="shared" ca="1" si="13"/>
        <v>-4.8010000000000002</v>
      </c>
      <c r="AG47" s="14">
        <f t="shared" ca="1" si="13"/>
        <v>-4.84</v>
      </c>
      <c r="AH47" s="14">
        <f t="shared" ca="1" si="13"/>
        <v>-4.8780000000000001</v>
      </c>
      <c r="AI47" s="14">
        <f t="shared" ca="1" si="13"/>
        <v>-4.9169999999999998</v>
      </c>
      <c r="AJ47" s="14">
        <f t="shared" ca="1" si="13"/>
        <v>-4.9550000000000001</v>
      </c>
      <c r="AK47" s="14">
        <f t="shared" ca="1" si="13"/>
        <v>-5.1040000000000001</v>
      </c>
      <c r="AL47" s="14">
        <f t="shared" ca="1" si="13"/>
        <v>-5.141</v>
      </c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  <c r="BL47" s="14"/>
      <c r="BM47" s="14"/>
      <c r="BN47" s="14"/>
      <c r="BO47" s="14"/>
      <c r="BP47" s="14"/>
      <c r="BQ47" s="14"/>
      <c r="BR47" s="14"/>
      <c r="BS47" s="14"/>
    </row>
    <row r="48" spans="1:87" ht="21" customHeight="1" outlineLevel="1" thickBot="1" x14ac:dyDescent="0.4">
      <c r="A48" s="5">
        <f t="shared" si="10"/>
        <v>0</v>
      </c>
      <c r="B48" s="5">
        <f t="shared" si="10"/>
        <v>3</v>
      </c>
      <c r="C48" s="5">
        <f t="shared" si="10"/>
        <v>0</v>
      </c>
      <c r="D48" s="5">
        <f t="shared" si="10"/>
        <v>2</v>
      </c>
      <c r="E48" s="6" t="str">
        <f t="shared" si="10"/>
        <v>*Ga2Se3</v>
      </c>
      <c r="F48" s="14">
        <f t="shared" ca="1" si="11"/>
        <v>-201.68</v>
      </c>
      <c r="G48" s="14">
        <f t="shared" ca="1" si="13"/>
        <v>-191.39</v>
      </c>
      <c r="H48" s="14">
        <f t="shared" ca="1" si="13"/>
        <v>-182.22</v>
      </c>
      <c r="I48" s="14">
        <f t="shared" ca="1" si="13"/>
        <v>-174.02</v>
      </c>
      <c r="J48" s="14">
        <f t="shared" ca="1" si="13"/>
        <v>-166.7</v>
      </c>
      <c r="K48" s="14">
        <f t="shared" ca="1" si="13"/>
        <v>-160.06</v>
      </c>
      <c r="L48" s="14">
        <f t="shared" ca="1" si="13"/>
        <v>-154.04</v>
      </c>
      <c r="M48" s="14">
        <f t="shared" ca="1" si="13"/>
        <v>-148.56</v>
      </c>
      <c r="N48" s="14">
        <f t="shared" ca="1" si="13"/>
        <v>-143.55000000000001</v>
      </c>
      <c r="O48" s="14">
        <f t="shared" ca="1" si="13"/>
        <v>-127.23</v>
      </c>
      <c r="P48" s="14">
        <f t="shared" ca="1" si="13"/>
        <v>-123.9</v>
      </c>
      <c r="Q48" s="14">
        <f t="shared" ca="1" si="13"/>
        <v>-120.76</v>
      </c>
      <c r="R48" s="14">
        <f t="shared" ca="1" si="13"/>
        <v>-117.87</v>
      </c>
      <c r="S48" s="14">
        <f t="shared" ca="1" si="13"/>
        <v>-115.18</v>
      </c>
      <c r="T48" s="14">
        <f t="shared" ca="1" si="13"/>
        <v>-112.64</v>
      </c>
      <c r="U48" s="14">
        <f t="shared" ca="1" si="13"/>
        <v>-110.25999999999999</v>
      </c>
      <c r="V48" s="14">
        <f t="shared" ca="1" si="13"/>
        <v>-108.03999999999999</v>
      </c>
      <c r="W48" s="14">
        <f t="shared" ca="1" si="13"/>
        <v>-106.14</v>
      </c>
      <c r="X48" s="14">
        <f t="shared" ca="1" si="13"/>
        <v>-104.86</v>
      </c>
      <c r="Y48" s="14">
        <f t="shared" ca="1" si="13"/>
        <v>-103.64999999999999</v>
      </c>
      <c r="Z48" s="14">
        <f t="shared" ca="1" si="13"/>
        <v>-102.53999999999999</v>
      </c>
      <c r="AA48" s="14">
        <f t="shared" ca="1" si="13"/>
        <v>-101.49000000000001</v>
      </c>
      <c r="AB48" s="14">
        <f t="shared" ca="1" si="13"/>
        <v>-97.929999999999993</v>
      </c>
      <c r="AC48" s="14">
        <f t="shared" ca="1" si="13"/>
        <v>-97.17</v>
      </c>
      <c r="AD48" s="14">
        <f t="shared" ca="1" si="13"/>
        <v>-96.462000000000003</v>
      </c>
      <c r="AE48" s="14">
        <f t="shared" ca="1" si="13"/>
        <v>-95.805999999999997</v>
      </c>
      <c r="AF48" s="14">
        <f t="shared" ca="1" si="13"/>
        <v>-95.165999999999997</v>
      </c>
      <c r="AG48" s="14">
        <f t="shared" ca="1" si="13"/>
        <v>-94.6</v>
      </c>
      <c r="AH48" s="14">
        <f t="shared" ca="1" si="13"/>
        <v>-95.394000000000005</v>
      </c>
      <c r="AI48" s="14">
        <f t="shared" ca="1" si="13"/>
        <v>-96.187999999999988</v>
      </c>
      <c r="AJ48" s="14">
        <f t="shared" ca="1" si="13"/>
        <v>-96.986000000000004</v>
      </c>
      <c r="AK48" s="14">
        <f t="shared" ca="1" si="13"/>
        <v>-100.128</v>
      </c>
      <c r="AL48" s="14">
        <f t="shared" ca="1" si="13"/>
        <v>-100.92</v>
      </c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  <c r="BH48" s="14"/>
      <c r="BI48" s="14"/>
      <c r="BJ48" s="14"/>
      <c r="BK48" s="14"/>
      <c r="BL48" s="14"/>
      <c r="BM48" s="14"/>
      <c r="BN48" s="14"/>
      <c r="BO48" s="14"/>
      <c r="BP48" s="14"/>
      <c r="BQ48" s="14"/>
      <c r="BR48" s="14"/>
      <c r="BS48" s="14"/>
    </row>
    <row r="49" spans="1:71" ht="21" customHeight="1" outlineLevel="1" thickBot="1" x14ac:dyDescent="0.4">
      <c r="A49" s="5">
        <f t="shared" si="10"/>
        <v>0</v>
      </c>
      <c r="B49" s="5">
        <f t="shared" si="10"/>
        <v>0</v>
      </c>
      <c r="C49" s="5">
        <f t="shared" si="10"/>
        <v>0</v>
      </c>
      <c r="D49" s="5">
        <f t="shared" si="10"/>
        <v>1</v>
      </c>
      <c r="E49" s="6" t="str">
        <f t="shared" si="10"/>
        <v>*Ga[1]</v>
      </c>
      <c r="F49" s="14">
        <f t="shared" ca="1" si="11"/>
        <v>-65.56</v>
      </c>
      <c r="G49" s="14">
        <f t="shared" ca="1" si="13"/>
        <v>-62.08</v>
      </c>
      <c r="H49" s="14">
        <f t="shared" ca="1" si="13"/>
        <v>-58.98</v>
      </c>
      <c r="I49" s="14">
        <f t="shared" ca="1" si="13"/>
        <v>-56.2</v>
      </c>
      <c r="J49" s="14">
        <f t="shared" ca="1" si="13"/>
        <v>-53.71</v>
      </c>
      <c r="K49" s="14">
        <f t="shared" ca="1" si="13"/>
        <v>-50.33</v>
      </c>
      <c r="L49" s="14">
        <f t="shared" ca="1" si="13"/>
        <v>-46.96</v>
      </c>
      <c r="M49" s="14">
        <f t="shared" ca="1" si="13"/>
        <v>-43.86</v>
      </c>
      <c r="N49" s="14">
        <f t="shared" ca="1" si="13"/>
        <v>-40.98</v>
      </c>
      <c r="O49" s="14">
        <f t="shared" ca="1" si="13"/>
        <v>-31.32</v>
      </c>
      <c r="P49" s="14">
        <f t="shared" ca="1" si="13"/>
        <v>-29.28</v>
      </c>
      <c r="Q49" s="14">
        <f t="shared" ca="1" si="13"/>
        <v>-27.35</v>
      </c>
      <c r="R49" s="14">
        <f t="shared" ca="1" si="13"/>
        <v>-25.53</v>
      </c>
      <c r="S49" s="14">
        <f t="shared" ca="1" si="13"/>
        <v>-23.81</v>
      </c>
      <c r="T49" s="14">
        <f t="shared" ca="1" si="13"/>
        <v>-22.18</v>
      </c>
      <c r="U49" s="14">
        <f t="shared" ca="1" si="13"/>
        <v>-20.63</v>
      </c>
      <c r="V49" s="14">
        <f t="shared" ca="1" si="13"/>
        <v>-19.16</v>
      </c>
      <c r="W49" s="14">
        <f t="shared" ca="1" si="13"/>
        <v>-17.850000000000001</v>
      </c>
      <c r="X49" s="14">
        <f t="shared" ca="1" si="13"/>
        <v>-16.850000000000001</v>
      </c>
      <c r="Y49" s="14">
        <f t="shared" ca="1" si="13"/>
        <v>-15.9</v>
      </c>
      <c r="Z49" s="14">
        <f t="shared" ca="1" si="13"/>
        <v>-15</v>
      </c>
      <c r="AA49" s="14">
        <f t="shared" ca="1" si="13"/>
        <v>-14.13</v>
      </c>
      <c r="AB49" s="14">
        <f t="shared" ca="1" si="13"/>
        <v>-11</v>
      </c>
      <c r="AC49" s="14">
        <f t="shared" ca="1" si="13"/>
        <v>-10.29</v>
      </c>
      <c r="AD49" s="14">
        <f t="shared" ca="1" si="13"/>
        <v>-9.6059999999999999</v>
      </c>
      <c r="AE49" s="14">
        <f t="shared" ca="1" si="13"/>
        <v>-8.9480000000000004</v>
      </c>
      <c r="AF49" s="14">
        <f t="shared" ca="1" si="13"/>
        <v>-8.3130000000000006</v>
      </c>
      <c r="AG49" s="14">
        <f t="shared" ca="1" si="13"/>
        <v>-7.7149999999999999</v>
      </c>
      <c r="AH49" s="14">
        <f t="shared" ca="1" si="13"/>
        <v>-7.7969999999999997</v>
      </c>
      <c r="AI49" s="14">
        <f t="shared" ca="1" si="13"/>
        <v>-7.8789999999999996</v>
      </c>
      <c r="AJ49" s="14">
        <f t="shared" ca="1" si="13"/>
        <v>-7.9630000000000001</v>
      </c>
      <c r="AK49" s="14">
        <f t="shared" ca="1" si="13"/>
        <v>-8.3190000000000008</v>
      </c>
      <c r="AL49" s="14">
        <f t="shared" ca="1" si="13"/>
        <v>-8.4149999999999991</v>
      </c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14"/>
    </row>
    <row r="50" spans="1:71" ht="21" customHeight="1" outlineLevel="1" thickBot="1" x14ac:dyDescent="0.4">
      <c r="A50" s="5">
        <f t="shared" si="10"/>
        <v>0</v>
      </c>
      <c r="B50" s="5">
        <f t="shared" si="10"/>
        <v>2</v>
      </c>
      <c r="C50" s="5">
        <f t="shared" si="10"/>
        <v>1</v>
      </c>
      <c r="D50" s="5">
        <f t="shared" si="10"/>
        <v>0</v>
      </c>
      <c r="E50" s="6" t="str">
        <f t="shared" si="10"/>
        <v>*GeSe2</v>
      </c>
      <c r="F50" s="14">
        <f t="shared" ca="1" si="11"/>
        <v>-63.33</v>
      </c>
      <c r="G50" s="14">
        <f t="shared" ca="1" si="13"/>
        <v>-60.47</v>
      </c>
      <c r="H50" s="14">
        <f t="shared" ca="1" si="13"/>
        <v>-57.930000000000007</v>
      </c>
      <c r="I50" s="14">
        <f t="shared" ca="1" si="13"/>
        <v>-55.67</v>
      </c>
      <c r="J50" s="14">
        <f t="shared" ca="1" si="13"/>
        <v>-53.680000000000007</v>
      </c>
      <c r="K50" s="14">
        <f t="shared" ca="1" si="13"/>
        <v>-52.63</v>
      </c>
      <c r="L50" s="14">
        <f t="shared" ca="1" si="13"/>
        <v>-51.879999999999995</v>
      </c>
      <c r="M50" s="14">
        <f t="shared" ca="1" si="13"/>
        <v>-51.230000000000004</v>
      </c>
      <c r="N50" s="14">
        <f t="shared" ca="1" si="13"/>
        <v>-50.673000000000002</v>
      </c>
      <c r="O50" s="14">
        <f t="shared" ca="1" si="13"/>
        <v>-49.097999999999999</v>
      </c>
      <c r="P50" s="14">
        <f t="shared" ca="1" si="13"/>
        <v>-48.832999999999998</v>
      </c>
      <c r="Q50" s="14">
        <f t="shared" ca="1" si="13"/>
        <v>-48.589999999999996</v>
      </c>
      <c r="R50" s="14">
        <f t="shared" ca="1" si="13"/>
        <v>-48.655000000000001</v>
      </c>
      <c r="S50" s="14">
        <f t="shared" ca="1" si="13"/>
        <v>-49.195</v>
      </c>
      <c r="T50" s="14">
        <f t="shared" ca="1" si="13"/>
        <v>-49.715000000000003</v>
      </c>
      <c r="U50" s="14">
        <f t="shared" ca="1" si="13"/>
        <v>-50.235999999999997</v>
      </c>
      <c r="V50" s="14">
        <f t="shared" ca="1" si="13"/>
        <v>-50.756</v>
      </c>
      <c r="W50" s="14">
        <f t="shared" ca="1" si="13"/>
        <v>-51.277000000000001</v>
      </c>
      <c r="X50" s="14">
        <f t="shared" ca="1" si="13"/>
        <v>-51.797999999999995</v>
      </c>
      <c r="Y50" s="14">
        <f t="shared" ca="1" si="13"/>
        <v>-52.298999999999999</v>
      </c>
      <c r="Z50" s="14">
        <f t="shared" ca="1" si="13"/>
        <v>-52.8</v>
      </c>
      <c r="AA50" s="14">
        <f t="shared" ca="1" si="13"/>
        <v>-53.301000000000002</v>
      </c>
      <c r="AB50" s="14">
        <f t="shared" ca="1" si="13"/>
        <v>-55.262999999999998</v>
      </c>
      <c r="AC50" s="14">
        <f t="shared" ca="1" si="13"/>
        <v>-55.743000000000002</v>
      </c>
      <c r="AD50" s="14">
        <f t="shared" ca="1" si="13"/>
        <v>-56.222000000000001</v>
      </c>
      <c r="AE50" s="14">
        <f t="shared" ca="1" si="13"/>
        <v>-56.701999999999998</v>
      </c>
      <c r="AF50" s="14">
        <f t="shared" ca="1" si="13"/>
        <v>-57.161000000000001</v>
      </c>
      <c r="AG50" s="14">
        <f t="shared" ca="1" si="13"/>
        <v>-57.620000000000005</v>
      </c>
      <c r="AH50" s="14">
        <f t="shared" ca="1" si="13"/>
        <v>-58.078000000000003</v>
      </c>
      <c r="AI50" s="14">
        <f t="shared" ca="1" si="13"/>
        <v>-58.536999999999999</v>
      </c>
      <c r="AJ50" s="14">
        <f t="shared" ca="1" si="13"/>
        <v>-58.994999999999997</v>
      </c>
      <c r="AK50" s="14">
        <f t="shared" ca="1" si="13"/>
        <v>-60.763999999999996</v>
      </c>
      <c r="AL50" s="14">
        <f t="shared" ca="1" si="13"/>
        <v>-61.201000000000001</v>
      </c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</row>
    <row r="51" spans="1:71" ht="21" customHeight="1" outlineLevel="1" thickBot="1" x14ac:dyDescent="0.4">
      <c r="A51" s="5">
        <f t="shared" si="10"/>
        <v>0</v>
      </c>
      <c r="B51" s="5">
        <f t="shared" si="10"/>
        <v>1</v>
      </c>
      <c r="C51" s="5">
        <f t="shared" si="10"/>
        <v>0</v>
      </c>
      <c r="D51" s="5">
        <f t="shared" si="10"/>
        <v>1</v>
      </c>
      <c r="E51" s="6" t="str">
        <f t="shared" si="10"/>
        <v>*GaSe</v>
      </c>
      <c r="F51" s="14">
        <f t="shared" ca="1" si="11"/>
        <v>-89.08</v>
      </c>
      <c r="G51" s="14">
        <f t="shared" ca="1" si="13"/>
        <v>-84.49</v>
      </c>
      <c r="H51" s="14">
        <f t="shared" ca="1" si="13"/>
        <v>-80.400000000000006</v>
      </c>
      <c r="I51" s="14">
        <f t="shared" ca="1" si="13"/>
        <v>-76.740000000000009</v>
      </c>
      <c r="J51" s="14">
        <f t="shared" ca="1" si="13"/>
        <v>-73.47</v>
      </c>
      <c r="K51" s="14">
        <f t="shared" ca="1" si="13"/>
        <v>-70.13</v>
      </c>
      <c r="L51" s="14">
        <f t="shared" ca="1" si="13"/>
        <v>-67</v>
      </c>
      <c r="M51" s="14">
        <f t="shared" ca="1" si="13"/>
        <v>-64.14</v>
      </c>
      <c r="N51" s="14">
        <f t="shared" ca="1" si="13"/>
        <v>-61.51</v>
      </c>
      <c r="O51" s="14">
        <f t="shared" ca="1" si="13"/>
        <v>-52.85</v>
      </c>
      <c r="P51" s="14">
        <f t="shared" ca="1" si="13"/>
        <v>-51.06</v>
      </c>
      <c r="Q51" s="14">
        <f t="shared" ca="1" si="13"/>
        <v>-49.370000000000005</v>
      </c>
      <c r="R51" s="14">
        <f t="shared" ca="1" si="13"/>
        <v>-47.8</v>
      </c>
      <c r="S51" s="14">
        <f t="shared" ca="1" si="13"/>
        <v>-46.33</v>
      </c>
      <c r="T51" s="14">
        <f t="shared" ca="1" si="13"/>
        <v>-44.94</v>
      </c>
      <c r="U51" s="14">
        <f t="shared" ca="1" si="13"/>
        <v>-43.629999999999995</v>
      </c>
      <c r="V51" s="14">
        <f t="shared" ca="1" si="13"/>
        <v>-42.4</v>
      </c>
      <c r="W51" s="14">
        <f t="shared" ca="1" si="13"/>
        <v>-41.33</v>
      </c>
      <c r="X51" s="14">
        <f t="shared" ca="1" si="13"/>
        <v>-40.57</v>
      </c>
      <c r="Y51" s="14">
        <f t="shared" ca="1" si="13"/>
        <v>-39.85</v>
      </c>
      <c r="Z51" s="14">
        <f t="shared" ca="1" si="13"/>
        <v>-39.18</v>
      </c>
      <c r="AA51" s="14">
        <f t="shared" ca="1" si="13"/>
        <v>-38.54</v>
      </c>
      <c r="AB51" s="14">
        <f t="shared" ca="1" si="13"/>
        <v>-36.31</v>
      </c>
      <c r="AC51" s="14">
        <f t="shared" ca="1" si="13"/>
        <v>-35.82</v>
      </c>
      <c r="AD51" s="14">
        <f t="shared" ca="1" si="13"/>
        <v>-35.356000000000002</v>
      </c>
      <c r="AE51" s="14">
        <f t="shared" ca="1" si="13"/>
        <v>-34.917999999999999</v>
      </c>
      <c r="AF51" s="14">
        <f t="shared" ca="1" si="13"/>
        <v>-34.493000000000002</v>
      </c>
      <c r="AG51" s="14">
        <f t="shared" ca="1" si="13"/>
        <v>-34.105000000000004</v>
      </c>
      <c r="AH51" s="14">
        <f t="shared" ca="1" si="13"/>
        <v>-34.396999999999998</v>
      </c>
      <c r="AI51" s="14">
        <f t="shared" ca="1" si="13"/>
        <v>-34.689</v>
      </c>
      <c r="AJ51" s="14">
        <f t="shared" ca="1" si="13"/>
        <v>-34.982999999999997</v>
      </c>
      <c r="AK51" s="14">
        <f t="shared" ca="1" si="13"/>
        <v>-36.149000000000001</v>
      </c>
      <c r="AL51" s="14">
        <f t="shared" ca="1" si="13"/>
        <v>-36.445</v>
      </c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</row>
    <row r="52" spans="1:71" ht="21" customHeight="1" outlineLevel="1" thickBot="1" x14ac:dyDescent="0.4">
      <c r="A52" s="5">
        <f t="shared" si="10"/>
        <v>0</v>
      </c>
      <c r="B52" s="5">
        <f t="shared" si="10"/>
        <v>0</v>
      </c>
      <c r="C52" s="5">
        <f t="shared" si="10"/>
        <v>1</v>
      </c>
      <c r="D52" s="5">
        <f t="shared" si="10"/>
        <v>0</v>
      </c>
      <c r="E52" s="6" t="str">
        <f t="shared" si="10"/>
        <v>*Ge[l]</v>
      </c>
      <c r="F52" s="14">
        <f t="shared" ca="1" si="11"/>
        <v>-16.29</v>
      </c>
      <c r="G52" s="14">
        <f t="shared" ca="1" si="13"/>
        <v>-15.65</v>
      </c>
      <c r="H52" s="14">
        <f t="shared" ca="1" si="13"/>
        <v>-15.09</v>
      </c>
      <c r="I52" s="14">
        <f t="shared" ca="1" si="13"/>
        <v>-14.59</v>
      </c>
      <c r="J52" s="14">
        <f t="shared" ca="1" si="13"/>
        <v>-14.16</v>
      </c>
      <c r="K52" s="14">
        <f t="shared" ca="1" si="13"/>
        <v>-13.03</v>
      </c>
      <c r="L52" s="14">
        <f t="shared" ca="1" si="13"/>
        <v>-11.8</v>
      </c>
      <c r="M52" s="14">
        <f t="shared" ca="1" si="13"/>
        <v>-10.67</v>
      </c>
      <c r="N52" s="14">
        <f t="shared" ca="1" si="13"/>
        <v>-9.6129999999999995</v>
      </c>
      <c r="O52" s="14">
        <f t="shared" ca="1" si="13"/>
        <v>-6.0380000000000003</v>
      </c>
      <c r="P52" s="14">
        <f t="shared" ca="1" si="13"/>
        <v>-5.2729999999999997</v>
      </c>
      <c r="Q52" s="14">
        <f t="shared" ca="1" si="13"/>
        <v>-4.55</v>
      </c>
      <c r="R52" s="14">
        <f t="shared" ca="1" si="13"/>
        <v>-4.1150000000000002</v>
      </c>
      <c r="S52" s="14">
        <f t="shared" ca="1" si="13"/>
        <v>-4.1550000000000002</v>
      </c>
      <c r="T52" s="14">
        <f t="shared" ca="1" si="13"/>
        <v>-4.1950000000000003</v>
      </c>
      <c r="U52" s="14">
        <f t="shared" ca="1" si="13"/>
        <v>-4.2359999999999998</v>
      </c>
      <c r="V52" s="14">
        <f t="shared" ca="1" si="13"/>
        <v>-4.2759999999999998</v>
      </c>
      <c r="W52" s="14">
        <f t="shared" ca="1" si="13"/>
        <v>-4.3170000000000002</v>
      </c>
      <c r="X52" s="14">
        <f t="shared" ca="1" si="13"/>
        <v>-4.3579999999999997</v>
      </c>
      <c r="Y52" s="14">
        <f t="shared" ca="1" si="13"/>
        <v>-4.399</v>
      </c>
      <c r="Z52" s="14">
        <f t="shared" ca="1" si="13"/>
        <v>-4.4400000000000004</v>
      </c>
      <c r="AA52" s="14">
        <f t="shared" ca="1" si="13"/>
        <v>-4.4809999999999999</v>
      </c>
      <c r="AB52" s="14">
        <f t="shared" ca="1" si="13"/>
        <v>-4.6429999999999998</v>
      </c>
      <c r="AC52" s="14">
        <f t="shared" ca="1" si="13"/>
        <v>-4.6829999999999998</v>
      </c>
      <c r="AD52" s="14">
        <f t="shared" ca="1" si="13"/>
        <v>-4.7220000000000004</v>
      </c>
      <c r="AE52" s="14">
        <f t="shared" ca="1" si="13"/>
        <v>-4.7619999999999996</v>
      </c>
      <c r="AF52" s="14">
        <f t="shared" ca="1" si="13"/>
        <v>-4.8010000000000002</v>
      </c>
      <c r="AG52" s="14">
        <f t="shared" ca="1" si="13"/>
        <v>-4.84</v>
      </c>
      <c r="AH52" s="14">
        <f t="shared" ca="1" si="13"/>
        <v>-4.8780000000000001</v>
      </c>
      <c r="AI52" s="14">
        <f t="shared" ca="1" si="13"/>
        <v>-4.9169999999999998</v>
      </c>
      <c r="AJ52" s="14">
        <f t="shared" ca="1" si="13"/>
        <v>-4.9550000000000001</v>
      </c>
      <c r="AK52" s="14">
        <f t="shared" ca="1" si="13"/>
        <v>-5.1040000000000001</v>
      </c>
      <c r="AL52" s="14">
        <f t="shared" ca="1" si="13"/>
        <v>-5.141</v>
      </c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</row>
    <row r="53" spans="1:71" ht="21" customHeight="1" outlineLevel="1" thickBot="1" x14ac:dyDescent="0.4">
      <c r="A53" s="5">
        <f t="shared" si="10"/>
        <v>0</v>
      </c>
      <c r="B53" s="5">
        <f t="shared" si="10"/>
        <v>1</v>
      </c>
      <c r="C53" s="5">
        <f t="shared" si="10"/>
        <v>1</v>
      </c>
      <c r="D53" s="5">
        <f t="shared" si="10"/>
        <v>0</v>
      </c>
      <c r="E53" s="6" t="str">
        <f t="shared" si="10"/>
        <v>*GeSe</v>
      </c>
      <c r="F53" s="14">
        <f t="shared" ca="1" si="11"/>
        <v>-39.81</v>
      </c>
      <c r="G53" s="14">
        <f t="shared" ca="1" si="13"/>
        <v>-38.06</v>
      </c>
      <c r="H53" s="14">
        <f t="shared" ca="1" si="13"/>
        <v>-36.510000000000005</v>
      </c>
      <c r="I53" s="14">
        <f t="shared" ca="1" si="13"/>
        <v>-35.129999999999995</v>
      </c>
      <c r="J53" s="14">
        <f t="shared" ca="1" si="13"/>
        <v>-33.92</v>
      </c>
      <c r="K53" s="14">
        <f t="shared" ca="1" si="13"/>
        <v>-32.83</v>
      </c>
      <c r="L53" s="14">
        <f t="shared" ca="1" si="13"/>
        <v>-31.84</v>
      </c>
      <c r="M53" s="14">
        <f t="shared" ca="1" si="13"/>
        <v>-30.950000000000003</v>
      </c>
      <c r="N53" s="14">
        <f t="shared" ca="1" si="13"/>
        <v>-30.143000000000001</v>
      </c>
      <c r="O53" s="14">
        <f t="shared" ca="1" si="13"/>
        <v>-27.568000000000001</v>
      </c>
      <c r="P53" s="14">
        <f t="shared" ca="1" si="13"/>
        <v>-27.053000000000001</v>
      </c>
      <c r="Q53" s="14">
        <f t="shared" ca="1" si="13"/>
        <v>-26.57</v>
      </c>
      <c r="R53" s="14">
        <f t="shared" ca="1" si="13"/>
        <v>-26.384999999999998</v>
      </c>
      <c r="S53" s="14">
        <f t="shared" ca="1" si="13"/>
        <v>-26.675000000000001</v>
      </c>
      <c r="T53" s="14">
        <f t="shared" ca="1" si="13"/>
        <v>-26.955000000000002</v>
      </c>
      <c r="U53" s="14">
        <f t="shared" ca="1" si="13"/>
        <v>-27.236000000000001</v>
      </c>
      <c r="V53" s="14">
        <f t="shared" ca="1" si="13"/>
        <v>-27.515999999999998</v>
      </c>
      <c r="W53" s="14">
        <f t="shared" ca="1" si="13"/>
        <v>-27.797000000000001</v>
      </c>
      <c r="X53" s="14">
        <f t="shared" ca="1" si="13"/>
        <v>-28.077999999999999</v>
      </c>
      <c r="Y53" s="14">
        <f t="shared" ca="1" si="13"/>
        <v>-28.349</v>
      </c>
      <c r="Z53" s="14">
        <f t="shared" ca="1" si="13"/>
        <v>-28.62</v>
      </c>
      <c r="AA53" s="14">
        <f t="shared" ca="1" si="13"/>
        <v>-28.890999999999998</v>
      </c>
      <c r="AB53" s="14">
        <f t="shared" ca="1" si="13"/>
        <v>-29.952999999999999</v>
      </c>
      <c r="AC53" s="14">
        <f t="shared" ca="1" si="13"/>
        <v>-30.213000000000001</v>
      </c>
      <c r="AD53" s="14">
        <f t="shared" ca="1" si="13"/>
        <v>-30.472000000000001</v>
      </c>
      <c r="AE53" s="14">
        <f t="shared" ca="1" si="13"/>
        <v>-30.731999999999999</v>
      </c>
      <c r="AF53" s="14">
        <f t="shared" ca="1" si="13"/>
        <v>-30.981000000000002</v>
      </c>
      <c r="AG53" s="14">
        <f t="shared" ca="1" si="13"/>
        <v>-31.23</v>
      </c>
      <c r="AH53" s="14">
        <f t="shared" ca="1" si="13"/>
        <v>-31.478000000000002</v>
      </c>
      <c r="AI53" s="14">
        <f t="shared" ca="1" si="13"/>
        <v>-31.726999999999997</v>
      </c>
      <c r="AJ53" s="14">
        <f t="shared" ca="1" si="13"/>
        <v>-31.975000000000001</v>
      </c>
      <c r="AK53" s="14">
        <f t="shared" ca="1" si="13"/>
        <v>-32.933999999999997</v>
      </c>
      <c r="AL53" s="14">
        <f t="shared" ca="1" si="13"/>
        <v>-33.170999999999999</v>
      </c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14"/>
      <c r="BR53" s="14"/>
      <c r="BS53" s="14"/>
    </row>
    <row r="54" spans="1:71" ht="21" customHeight="1" outlineLevel="1" thickBot="1" x14ac:dyDescent="0.4">
      <c r="A54" s="5">
        <f t="shared" si="10"/>
        <v>0</v>
      </c>
      <c r="B54" s="5">
        <f t="shared" si="10"/>
        <v>1</v>
      </c>
      <c r="C54" s="5">
        <f t="shared" si="10"/>
        <v>0</v>
      </c>
      <c r="D54" s="5">
        <f t="shared" si="10"/>
        <v>2</v>
      </c>
      <c r="E54" s="6" t="str">
        <f t="shared" si="10"/>
        <v>Ga2Se</v>
      </c>
      <c r="F54" s="14">
        <f t="shared" ca="1" si="11"/>
        <v>-154.64000000000001</v>
      </c>
      <c r="G54" s="14">
        <f t="shared" ca="1" si="13"/>
        <v>-146.57</v>
      </c>
      <c r="H54" s="14">
        <f t="shared" ca="1" si="13"/>
        <v>-139.38</v>
      </c>
      <c r="I54" s="14">
        <f t="shared" ca="1" si="13"/>
        <v>-132.94</v>
      </c>
      <c r="J54" s="14">
        <f t="shared" ca="1" si="13"/>
        <v>-127.18</v>
      </c>
      <c r="K54" s="14">
        <f t="shared" ca="1" si="13"/>
        <v>-120.46</v>
      </c>
      <c r="L54" s="14">
        <f t="shared" ca="1" si="13"/>
        <v>-113.96000000000001</v>
      </c>
      <c r="M54" s="14">
        <f t="shared" ca="1" si="13"/>
        <v>-108</v>
      </c>
      <c r="N54" s="14">
        <f t="shared" ca="1" si="13"/>
        <v>-102.49</v>
      </c>
      <c r="O54" s="14">
        <f t="shared" ca="1" si="13"/>
        <v>-84.17</v>
      </c>
      <c r="P54" s="14">
        <f t="shared" ca="1" si="13"/>
        <v>-80.34</v>
      </c>
      <c r="Q54" s="14">
        <f t="shared" ca="1" si="13"/>
        <v>-76.72</v>
      </c>
      <c r="R54" s="14">
        <f t="shared" ca="1" si="13"/>
        <v>-73.33</v>
      </c>
      <c r="S54" s="14">
        <f t="shared" ca="1" si="13"/>
        <v>-70.14</v>
      </c>
      <c r="T54" s="14">
        <f t="shared" ca="1" si="13"/>
        <v>-67.12</v>
      </c>
      <c r="U54" s="14">
        <f t="shared" ref="U54:AL54" ca="1" si="14">$A54*H.Ar + $B54*H.Se + $C54*H.Ge + $D54*H.Ga</f>
        <v>-64.259999999999991</v>
      </c>
      <c r="V54" s="14">
        <f t="shared" ca="1" si="14"/>
        <v>-61.56</v>
      </c>
      <c r="W54" s="14">
        <f t="shared" ca="1" si="14"/>
        <v>-59.180000000000007</v>
      </c>
      <c r="X54" s="14">
        <f t="shared" ca="1" si="14"/>
        <v>-57.42</v>
      </c>
      <c r="Y54" s="14">
        <f t="shared" ca="1" si="14"/>
        <v>-55.75</v>
      </c>
      <c r="Z54" s="14">
        <f t="shared" ca="1" si="14"/>
        <v>-54.18</v>
      </c>
      <c r="AA54" s="14">
        <f t="shared" ca="1" si="14"/>
        <v>-52.67</v>
      </c>
      <c r="AB54" s="14">
        <f t="shared" ca="1" si="14"/>
        <v>-47.31</v>
      </c>
      <c r="AC54" s="14">
        <f t="shared" ca="1" si="14"/>
        <v>-46.11</v>
      </c>
      <c r="AD54" s="14">
        <f t="shared" ca="1" si="14"/>
        <v>-44.962000000000003</v>
      </c>
      <c r="AE54" s="14">
        <f t="shared" ca="1" si="14"/>
        <v>-43.866</v>
      </c>
      <c r="AF54" s="14">
        <f t="shared" ca="1" si="14"/>
        <v>-42.805999999999997</v>
      </c>
      <c r="AG54" s="14">
        <f t="shared" ca="1" si="14"/>
        <v>-41.82</v>
      </c>
      <c r="AH54" s="14">
        <f t="shared" ca="1" si="14"/>
        <v>-42.194000000000003</v>
      </c>
      <c r="AI54" s="14">
        <f t="shared" ca="1" si="14"/>
        <v>-42.567999999999998</v>
      </c>
      <c r="AJ54" s="14">
        <f t="shared" ca="1" si="14"/>
        <v>-42.945999999999998</v>
      </c>
      <c r="AK54" s="14">
        <f t="shared" ca="1" si="14"/>
        <v>-44.468000000000004</v>
      </c>
      <c r="AL54" s="14">
        <f t="shared" ca="1" si="14"/>
        <v>-44.86</v>
      </c>
      <c r="AM54" s="14"/>
      <c r="AN54" s="14"/>
      <c r="AO54" s="14"/>
      <c r="AP54" s="14"/>
      <c r="AQ54" s="14"/>
      <c r="AR54" s="14"/>
      <c r="AS54" s="14"/>
      <c r="AT54" s="14"/>
      <c r="AU54" s="14"/>
      <c r="AV54" s="14"/>
      <c r="AW54" s="14"/>
      <c r="AX54" s="14"/>
      <c r="AY54" s="14"/>
      <c r="AZ54" s="14"/>
      <c r="BA54" s="14"/>
      <c r="BB54" s="14"/>
      <c r="BC54" s="14"/>
      <c r="BD54" s="14"/>
      <c r="BE54" s="14"/>
      <c r="BF54" s="14"/>
      <c r="BG54" s="14"/>
      <c r="BH54" s="14"/>
      <c r="BI54" s="14"/>
      <c r="BJ54" s="14"/>
      <c r="BK54" s="14"/>
      <c r="BL54" s="14"/>
      <c r="BM54" s="14"/>
      <c r="BN54" s="14"/>
      <c r="BO54" s="14"/>
      <c r="BP54" s="14"/>
      <c r="BQ54" s="14"/>
      <c r="BR54" s="14"/>
      <c r="BS54" s="14"/>
    </row>
    <row r="55" spans="1:71" ht="21" customHeight="1" outlineLevel="1" thickBot="1" x14ac:dyDescent="0.4">
      <c r="A55" s="5">
        <f t="shared" si="10"/>
        <v>1</v>
      </c>
      <c r="B55" s="5">
        <f t="shared" si="10"/>
        <v>0</v>
      </c>
      <c r="C55" s="5">
        <f t="shared" si="10"/>
        <v>0</v>
      </c>
      <c r="D55" s="5">
        <f t="shared" si="10"/>
        <v>0</v>
      </c>
      <c r="E55" s="6" t="str">
        <f t="shared" si="10"/>
        <v>Ar</v>
      </c>
      <c r="F55" s="14">
        <f t="shared" ca="1" si="11"/>
        <v>-18.62</v>
      </c>
      <c r="G55" s="14">
        <f t="shared" ref="G55:AL62" ca="1" si="15">$A55*H.Ar + $B55*H.Se + $C55*H.Ge + $D55*H.Ga</f>
        <v>-18.61</v>
      </c>
      <c r="H55" s="14">
        <f t="shared" ca="1" si="15"/>
        <v>-18.61</v>
      </c>
      <c r="I55" s="14">
        <f t="shared" ca="1" si="15"/>
        <v>-18.62</v>
      </c>
      <c r="J55" s="14">
        <f t="shared" ca="1" si="15"/>
        <v>-18.63</v>
      </c>
      <c r="K55" s="14">
        <f t="shared" ca="1" si="15"/>
        <v>-18.649999999999999</v>
      </c>
      <c r="L55" s="14">
        <f t="shared" ca="1" si="15"/>
        <v>-18.670000000000002</v>
      </c>
      <c r="M55" s="14">
        <f t="shared" ca="1" si="15"/>
        <v>-18.690000000000001</v>
      </c>
      <c r="N55" s="14">
        <f t="shared" ca="1" si="15"/>
        <v>-18.72</v>
      </c>
      <c r="O55" s="14">
        <f t="shared" ca="1" si="15"/>
        <v>-18.84</v>
      </c>
      <c r="P55" s="14">
        <f t="shared" ca="1" si="15"/>
        <v>-18.87</v>
      </c>
      <c r="Q55" s="14">
        <f t="shared" ca="1" si="15"/>
        <v>-18.899999999999999</v>
      </c>
      <c r="R55" s="14">
        <f t="shared" ca="1" si="15"/>
        <v>-18.940000000000001</v>
      </c>
      <c r="S55" s="14">
        <f t="shared" ca="1" si="15"/>
        <v>-18.97</v>
      </c>
      <c r="T55" s="14">
        <f t="shared" ca="1" si="15"/>
        <v>-19.010000000000002</v>
      </c>
      <c r="U55" s="14">
        <f t="shared" ca="1" si="15"/>
        <v>-19.04</v>
      </c>
      <c r="V55" s="14">
        <f t="shared" ca="1" si="15"/>
        <v>-19.07</v>
      </c>
      <c r="W55" s="14">
        <f t="shared" ca="1" si="15"/>
        <v>-19.11</v>
      </c>
      <c r="X55" s="14">
        <f t="shared" ca="1" si="15"/>
        <v>-19.14</v>
      </c>
      <c r="Y55" s="14">
        <f t="shared" ca="1" si="15"/>
        <v>-19.18</v>
      </c>
      <c r="Z55" s="14">
        <f t="shared" ca="1" si="15"/>
        <v>-19.21</v>
      </c>
      <c r="AA55" s="14">
        <f t="shared" ca="1" si="15"/>
        <v>-19.25</v>
      </c>
      <c r="AB55" s="14">
        <f t="shared" ca="1" si="15"/>
        <v>-19.38</v>
      </c>
      <c r="AC55" s="14">
        <f t="shared" ca="1" si="15"/>
        <v>-19.420000000000002</v>
      </c>
      <c r="AD55" s="14">
        <f t="shared" ca="1" si="15"/>
        <v>-19.45</v>
      </c>
      <c r="AE55" s="14">
        <f t="shared" ca="1" si="15"/>
        <v>-19.48</v>
      </c>
      <c r="AF55" s="14">
        <f t="shared" ca="1" si="15"/>
        <v>-19.510000000000002</v>
      </c>
      <c r="AG55" s="14">
        <f t="shared" ca="1" si="15"/>
        <v>-19.55</v>
      </c>
      <c r="AH55" s="14">
        <f t="shared" ca="1" si="15"/>
        <v>-19.579999999999998</v>
      </c>
      <c r="AI55" s="14">
        <f t="shared" ca="1" si="15"/>
        <v>-19.61</v>
      </c>
      <c r="AJ55" s="14">
        <f t="shared" ca="1" si="15"/>
        <v>-19.64</v>
      </c>
      <c r="AK55" s="14">
        <f t="shared" ca="1" si="15"/>
        <v>-19.760000000000002</v>
      </c>
      <c r="AL55" s="14">
        <f t="shared" ca="1" si="15"/>
        <v>-19.79</v>
      </c>
      <c r="AM55" s="14"/>
      <c r="AN55" s="14"/>
      <c r="AO55" s="14"/>
      <c r="AP55" s="14"/>
      <c r="AQ55" s="14"/>
      <c r="AR55" s="14"/>
      <c r="AS55" s="14"/>
      <c r="AT55" s="14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4"/>
      <c r="BH55" s="14"/>
      <c r="BI55" s="14"/>
      <c r="BJ55" s="14"/>
      <c r="BK55" s="14"/>
      <c r="BL55" s="14"/>
      <c r="BM55" s="14"/>
      <c r="BN55" s="14"/>
      <c r="BO55" s="14"/>
      <c r="BP55" s="14"/>
      <c r="BQ55" s="14"/>
      <c r="BR55" s="14"/>
      <c r="BS55" s="14"/>
    </row>
    <row r="56" spans="1:71" ht="21" customHeight="1" outlineLevel="1" thickBot="1" x14ac:dyDescent="0.4">
      <c r="A56" s="5">
        <f t="shared" ref="A56:E65" si="16">A14</f>
        <v>0</v>
      </c>
      <c r="B56" s="5">
        <f t="shared" si="16"/>
        <v>0</v>
      </c>
      <c r="C56" s="5">
        <f t="shared" si="16"/>
        <v>0</v>
      </c>
      <c r="D56" s="5">
        <f t="shared" si="16"/>
        <v>1</v>
      </c>
      <c r="E56" s="6" t="str">
        <f t="shared" si="16"/>
        <v>(1)Ga[l]</v>
      </c>
      <c r="F56" s="14">
        <f t="shared" ref="F56:U65" ca="1" si="17">$A56*H.Ar + $B56*H.Se + $C56*H.Ge + $D56*H.Ga</f>
        <v>-65.56</v>
      </c>
      <c r="G56" s="14">
        <f t="shared" ca="1" si="17"/>
        <v>-62.08</v>
      </c>
      <c r="H56" s="14">
        <f t="shared" ca="1" si="17"/>
        <v>-58.98</v>
      </c>
      <c r="I56" s="14">
        <f t="shared" ca="1" si="17"/>
        <v>-56.2</v>
      </c>
      <c r="J56" s="14">
        <f t="shared" ca="1" si="17"/>
        <v>-53.71</v>
      </c>
      <c r="K56" s="14">
        <f t="shared" ca="1" si="17"/>
        <v>-50.33</v>
      </c>
      <c r="L56" s="14">
        <f t="shared" ca="1" si="17"/>
        <v>-46.96</v>
      </c>
      <c r="M56" s="14">
        <f t="shared" ca="1" si="17"/>
        <v>-43.86</v>
      </c>
      <c r="N56" s="14">
        <f t="shared" ca="1" si="17"/>
        <v>-40.98</v>
      </c>
      <c r="O56" s="14">
        <f t="shared" ca="1" si="17"/>
        <v>-31.32</v>
      </c>
      <c r="P56" s="14">
        <f t="shared" ca="1" si="17"/>
        <v>-29.28</v>
      </c>
      <c r="Q56" s="14">
        <f t="shared" ca="1" si="17"/>
        <v>-27.35</v>
      </c>
      <c r="R56" s="14">
        <f t="shared" ca="1" si="17"/>
        <v>-25.53</v>
      </c>
      <c r="S56" s="14">
        <f t="shared" ca="1" si="17"/>
        <v>-23.81</v>
      </c>
      <c r="T56" s="14">
        <f t="shared" ca="1" si="17"/>
        <v>-22.18</v>
      </c>
      <c r="U56" s="14">
        <f t="shared" ca="1" si="17"/>
        <v>-20.63</v>
      </c>
      <c r="V56" s="14">
        <f t="shared" ca="1" si="15"/>
        <v>-19.16</v>
      </c>
      <c r="W56" s="14">
        <f t="shared" ca="1" si="15"/>
        <v>-17.850000000000001</v>
      </c>
      <c r="X56" s="14">
        <f t="shared" ca="1" si="15"/>
        <v>-16.850000000000001</v>
      </c>
      <c r="Y56" s="14">
        <f t="shared" ca="1" si="15"/>
        <v>-15.9</v>
      </c>
      <c r="Z56" s="14">
        <f t="shared" ca="1" si="15"/>
        <v>-15</v>
      </c>
      <c r="AA56" s="14">
        <f t="shared" ca="1" si="15"/>
        <v>-14.13</v>
      </c>
      <c r="AB56" s="14">
        <f t="shared" ca="1" si="15"/>
        <v>-11</v>
      </c>
      <c r="AC56" s="14">
        <f t="shared" ca="1" si="15"/>
        <v>-10.29</v>
      </c>
      <c r="AD56" s="14">
        <f t="shared" ca="1" si="15"/>
        <v>-9.6059999999999999</v>
      </c>
      <c r="AE56" s="14">
        <f t="shared" ca="1" si="15"/>
        <v>-8.9480000000000004</v>
      </c>
      <c r="AF56" s="14">
        <f t="shared" ca="1" si="15"/>
        <v>-8.3130000000000006</v>
      </c>
      <c r="AG56" s="14">
        <f t="shared" ca="1" si="15"/>
        <v>-7.7149999999999999</v>
      </c>
      <c r="AH56" s="14">
        <f t="shared" ca="1" si="15"/>
        <v>-7.7969999999999997</v>
      </c>
      <c r="AI56" s="14">
        <f t="shared" ca="1" si="15"/>
        <v>-7.8789999999999996</v>
      </c>
      <c r="AJ56" s="14">
        <f t="shared" ca="1" si="15"/>
        <v>-7.9630000000000001</v>
      </c>
      <c r="AK56" s="14">
        <f t="shared" ca="1" si="15"/>
        <v>-8.3190000000000008</v>
      </c>
      <c r="AL56" s="14">
        <f t="shared" ca="1" si="15"/>
        <v>-8.4149999999999991</v>
      </c>
      <c r="AM56" s="14"/>
      <c r="AN56" s="14"/>
      <c r="AO56" s="14"/>
      <c r="AP56" s="14"/>
      <c r="AQ56" s="14"/>
      <c r="AR56" s="14"/>
      <c r="AS56" s="14"/>
      <c r="AT56" s="14"/>
      <c r="AU56" s="14"/>
      <c r="AV56" s="14"/>
      <c r="AW56" s="14"/>
      <c r="AX56" s="14"/>
      <c r="AY56" s="14"/>
      <c r="AZ56" s="14"/>
      <c r="BA56" s="14"/>
      <c r="BB56" s="14"/>
      <c r="BC56" s="14"/>
      <c r="BD56" s="14"/>
      <c r="BE56" s="14"/>
      <c r="BF56" s="14"/>
      <c r="BG56" s="14"/>
      <c r="BH56" s="14"/>
      <c r="BI56" s="14"/>
      <c r="BJ56" s="14"/>
      <c r="BK56" s="14"/>
      <c r="BL56" s="14"/>
      <c r="BM56" s="14"/>
      <c r="BN56" s="14"/>
      <c r="BO56" s="14"/>
      <c r="BP56" s="14"/>
      <c r="BQ56" s="14"/>
      <c r="BR56" s="14"/>
      <c r="BS56" s="14"/>
    </row>
    <row r="57" spans="1:71" ht="21" customHeight="1" outlineLevel="1" thickBot="1" x14ac:dyDescent="0.4">
      <c r="A57" s="5">
        <f t="shared" si="16"/>
        <v>0</v>
      </c>
      <c r="B57" s="5">
        <f t="shared" si="16"/>
        <v>1</v>
      </c>
      <c r="C57" s="5">
        <f t="shared" si="16"/>
        <v>1</v>
      </c>
      <c r="D57" s="5">
        <f t="shared" si="16"/>
        <v>0</v>
      </c>
      <c r="E57" s="6" t="str">
        <f t="shared" si="16"/>
        <v>(1)GeSe[l]</v>
      </c>
      <c r="F57" s="14">
        <f t="shared" ca="1" si="17"/>
        <v>-39.81</v>
      </c>
      <c r="G57" s="14">
        <f t="shared" ca="1" si="15"/>
        <v>-38.06</v>
      </c>
      <c r="H57" s="14">
        <f t="shared" ca="1" si="15"/>
        <v>-36.510000000000005</v>
      </c>
      <c r="I57" s="14">
        <f t="shared" ca="1" si="15"/>
        <v>-35.129999999999995</v>
      </c>
      <c r="J57" s="14">
        <f t="shared" ca="1" si="15"/>
        <v>-33.92</v>
      </c>
      <c r="K57" s="14">
        <f t="shared" ca="1" si="15"/>
        <v>-32.83</v>
      </c>
      <c r="L57" s="14">
        <f t="shared" ca="1" si="15"/>
        <v>-31.84</v>
      </c>
      <c r="M57" s="14">
        <f t="shared" ca="1" si="15"/>
        <v>-30.950000000000003</v>
      </c>
      <c r="N57" s="14">
        <f t="shared" ca="1" si="15"/>
        <v>-30.143000000000001</v>
      </c>
      <c r="O57" s="14">
        <f t="shared" ca="1" si="15"/>
        <v>-27.568000000000001</v>
      </c>
      <c r="P57" s="14">
        <f t="shared" ca="1" si="15"/>
        <v>-27.053000000000001</v>
      </c>
      <c r="Q57" s="14">
        <f t="shared" ca="1" si="15"/>
        <v>-26.57</v>
      </c>
      <c r="R57" s="14">
        <f t="shared" ca="1" si="15"/>
        <v>-26.384999999999998</v>
      </c>
      <c r="S57" s="14">
        <f t="shared" ca="1" si="15"/>
        <v>-26.675000000000001</v>
      </c>
      <c r="T57" s="14">
        <f t="shared" ca="1" si="15"/>
        <v>-26.955000000000002</v>
      </c>
      <c r="U57" s="14">
        <f t="shared" ca="1" si="15"/>
        <v>-27.236000000000001</v>
      </c>
      <c r="V57" s="14">
        <f t="shared" ca="1" si="15"/>
        <v>-27.515999999999998</v>
      </c>
      <c r="W57" s="14">
        <f t="shared" ca="1" si="15"/>
        <v>-27.797000000000001</v>
      </c>
      <c r="X57" s="14">
        <f t="shared" ca="1" si="15"/>
        <v>-28.077999999999999</v>
      </c>
      <c r="Y57" s="14">
        <f t="shared" ca="1" si="15"/>
        <v>-28.349</v>
      </c>
      <c r="Z57" s="14">
        <f t="shared" ca="1" si="15"/>
        <v>-28.62</v>
      </c>
      <c r="AA57" s="14">
        <f t="shared" ca="1" si="15"/>
        <v>-28.890999999999998</v>
      </c>
      <c r="AB57" s="14">
        <f t="shared" ca="1" si="15"/>
        <v>-29.952999999999999</v>
      </c>
      <c r="AC57" s="14">
        <f t="shared" ca="1" si="15"/>
        <v>-30.213000000000001</v>
      </c>
      <c r="AD57" s="14">
        <f t="shared" ca="1" si="15"/>
        <v>-30.472000000000001</v>
      </c>
      <c r="AE57" s="14">
        <f t="shared" ca="1" si="15"/>
        <v>-30.731999999999999</v>
      </c>
      <c r="AF57" s="14">
        <f t="shared" ca="1" si="15"/>
        <v>-30.981000000000002</v>
      </c>
      <c r="AG57" s="14">
        <f t="shared" ca="1" si="15"/>
        <v>-31.23</v>
      </c>
      <c r="AH57" s="14">
        <f t="shared" ca="1" si="15"/>
        <v>-31.478000000000002</v>
      </c>
      <c r="AI57" s="14">
        <f t="shared" ca="1" si="15"/>
        <v>-31.726999999999997</v>
      </c>
      <c r="AJ57" s="14">
        <f t="shared" ca="1" si="15"/>
        <v>-31.975000000000001</v>
      </c>
      <c r="AK57" s="14">
        <f t="shared" ca="1" si="15"/>
        <v>-32.933999999999997</v>
      </c>
      <c r="AL57" s="14">
        <f t="shared" ca="1" si="15"/>
        <v>-33.170999999999999</v>
      </c>
      <c r="AM57" s="14"/>
      <c r="AN57" s="14"/>
      <c r="AO57" s="14"/>
      <c r="AP57" s="14"/>
      <c r="AQ57" s="14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4"/>
      <c r="BH57" s="14"/>
      <c r="BI57" s="14"/>
      <c r="BJ57" s="14"/>
      <c r="BK57" s="14"/>
      <c r="BL57" s="14"/>
      <c r="BM57" s="14"/>
      <c r="BN57" s="14"/>
      <c r="BO57" s="14"/>
      <c r="BP57" s="14"/>
      <c r="BQ57" s="14"/>
      <c r="BR57" s="14"/>
      <c r="BS57" s="14"/>
    </row>
    <row r="58" spans="1:71" ht="21" customHeight="1" outlineLevel="1" thickBot="1" x14ac:dyDescent="0.4">
      <c r="A58" s="5">
        <f t="shared" si="16"/>
        <v>0</v>
      </c>
      <c r="B58" s="5">
        <f t="shared" si="16"/>
        <v>0</v>
      </c>
      <c r="C58" s="5">
        <f t="shared" si="16"/>
        <v>1</v>
      </c>
      <c r="D58" s="5">
        <f t="shared" si="16"/>
        <v>0</v>
      </c>
      <c r="E58" s="6" t="str">
        <f t="shared" si="16"/>
        <v>(1)Ge[l]</v>
      </c>
      <c r="F58" s="14">
        <f t="shared" ca="1" si="17"/>
        <v>-16.29</v>
      </c>
      <c r="G58" s="14">
        <f t="shared" ca="1" si="15"/>
        <v>-15.65</v>
      </c>
      <c r="H58" s="14">
        <f t="shared" ca="1" si="15"/>
        <v>-15.09</v>
      </c>
      <c r="I58" s="14">
        <f t="shared" ca="1" si="15"/>
        <v>-14.59</v>
      </c>
      <c r="J58" s="14">
        <f t="shared" ca="1" si="15"/>
        <v>-14.16</v>
      </c>
      <c r="K58" s="14">
        <f t="shared" ca="1" si="15"/>
        <v>-13.03</v>
      </c>
      <c r="L58" s="14">
        <f t="shared" ca="1" si="15"/>
        <v>-11.8</v>
      </c>
      <c r="M58" s="14">
        <f t="shared" ca="1" si="15"/>
        <v>-10.67</v>
      </c>
      <c r="N58" s="14">
        <f t="shared" ca="1" si="15"/>
        <v>-9.6129999999999995</v>
      </c>
      <c r="O58" s="14">
        <f t="shared" ca="1" si="15"/>
        <v>-6.0380000000000003</v>
      </c>
      <c r="P58" s="14">
        <f t="shared" ca="1" si="15"/>
        <v>-5.2729999999999997</v>
      </c>
      <c r="Q58" s="14">
        <f t="shared" ca="1" si="15"/>
        <v>-4.55</v>
      </c>
      <c r="R58" s="14">
        <f t="shared" ca="1" si="15"/>
        <v>-4.1150000000000002</v>
      </c>
      <c r="S58" s="14">
        <f t="shared" ca="1" si="15"/>
        <v>-4.1550000000000002</v>
      </c>
      <c r="T58" s="14">
        <f t="shared" ca="1" si="15"/>
        <v>-4.1950000000000003</v>
      </c>
      <c r="U58" s="14">
        <f t="shared" ca="1" si="15"/>
        <v>-4.2359999999999998</v>
      </c>
      <c r="V58" s="14">
        <f t="shared" ca="1" si="15"/>
        <v>-4.2759999999999998</v>
      </c>
      <c r="W58" s="14">
        <f t="shared" ca="1" si="15"/>
        <v>-4.3170000000000002</v>
      </c>
      <c r="X58" s="14">
        <f t="shared" ca="1" si="15"/>
        <v>-4.3579999999999997</v>
      </c>
      <c r="Y58" s="14">
        <f t="shared" ca="1" si="15"/>
        <v>-4.399</v>
      </c>
      <c r="Z58" s="14">
        <f t="shared" ca="1" si="15"/>
        <v>-4.4400000000000004</v>
      </c>
      <c r="AA58" s="14">
        <f t="shared" ca="1" si="15"/>
        <v>-4.4809999999999999</v>
      </c>
      <c r="AB58" s="14">
        <f t="shared" ca="1" si="15"/>
        <v>-4.6429999999999998</v>
      </c>
      <c r="AC58" s="14">
        <f t="shared" ca="1" si="15"/>
        <v>-4.6829999999999998</v>
      </c>
      <c r="AD58" s="14">
        <f t="shared" ca="1" si="15"/>
        <v>-4.7220000000000004</v>
      </c>
      <c r="AE58" s="14">
        <f t="shared" ca="1" si="15"/>
        <v>-4.7619999999999996</v>
      </c>
      <c r="AF58" s="14">
        <f t="shared" ca="1" si="15"/>
        <v>-4.8010000000000002</v>
      </c>
      <c r="AG58" s="14">
        <f t="shared" ca="1" si="15"/>
        <v>-4.84</v>
      </c>
      <c r="AH58" s="14">
        <f t="shared" ca="1" si="15"/>
        <v>-4.8780000000000001</v>
      </c>
      <c r="AI58" s="14">
        <f t="shared" ca="1" si="15"/>
        <v>-4.9169999999999998</v>
      </c>
      <c r="AJ58" s="14">
        <f t="shared" ca="1" si="15"/>
        <v>-4.9550000000000001</v>
      </c>
      <c r="AK58" s="14">
        <f t="shared" ca="1" si="15"/>
        <v>-5.1040000000000001</v>
      </c>
      <c r="AL58" s="14">
        <f t="shared" ca="1" si="15"/>
        <v>-5.141</v>
      </c>
      <c r="AM58" s="14"/>
      <c r="AN58" s="14"/>
      <c r="AO58" s="14"/>
      <c r="AP58" s="14"/>
      <c r="AQ58" s="14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/>
      <c r="BL58" s="14"/>
      <c r="BM58" s="14"/>
      <c r="BN58" s="14"/>
      <c r="BO58" s="14"/>
      <c r="BP58" s="14"/>
      <c r="BQ58" s="14"/>
      <c r="BR58" s="14"/>
      <c r="BS58" s="14"/>
    </row>
    <row r="59" spans="1:71" ht="21" customHeight="1" outlineLevel="1" thickBot="1" x14ac:dyDescent="0.4">
      <c r="A59" s="5">
        <f t="shared" si="16"/>
        <v>1</v>
      </c>
      <c r="B59" s="5">
        <f t="shared" si="16"/>
        <v>0</v>
      </c>
      <c r="C59" s="5">
        <f t="shared" si="16"/>
        <v>0</v>
      </c>
      <c r="D59" s="5">
        <f t="shared" si="16"/>
        <v>0</v>
      </c>
      <c r="E59" s="6" t="str">
        <f t="shared" si="16"/>
        <v>H (Ar)</v>
      </c>
      <c r="F59" s="14">
        <f t="shared" ca="1" si="17"/>
        <v>-18.62</v>
      </c>
      <c r="G59" s="14">
        <f t="shared" ca="1" si="15"/>
        <v>-18.61</v>
      </c>
      <c r="H59" s="14">
        <f t="shared" ca="1" si="15"/>
        <v>-18.61</v>
      </c>
      <c r="I59" s="14">
        <f t="shared" ca="1" si="15"/>
        <v>-18.62</v>
      </c>
      <c r="J59" s="14">
        <f t="shared" ca="1" si="15"/>
        <v>-18.63</v>
      </c>
      <c r="K59" s="14">
        <f t="shared" ca="1" si="15"/>
        <v>-18.649999999999999</v>
      </c>
      <c r="L59" s="14">
        <f t="shared" ca="1" si="15"/>
        <v>-18.670000000000002</v>
      </c>
      <c r="M59" s="14">
        <f t="shared" ca="1" si="15"/>
        <v>-18.690000000000001</v>
      </c>
      <c r="N59" s="14">
        <f t="shared" ca="1" si="15"/>
        <v>-18.72</v>
      </c>
      <c r="O59" s="14">
        <f t="shared" ca="1" si="15"/>
        <v>-18.84</v>
      </c>
      <c r="P59" s="14">
        <f t="shared" ca="1" si="15"/>
        <v>-18.87</v>
      </c>
      <c r="Q59" s="14">
        <f t="shared" ca="1" si="15"/>
        <v>-18.899999999999999</v>
      </c>
      <c r="R59" s="14">
        <f t="shared" ca="1" si="15"/>
        <v>-18.940000000000001</v>
      </c>
      <c r="S59" s="14">
        <f t="shared" ca="1" si="15"/>
        <v>-18.97</v>
      </c>
      <c r="T59" s="14">
        <f t="shared" ca="1" si="15"/>
        <v>-19.010000000000002</v>
      </c>
      <c r="U59" s="14">
        <f t="shared" ca="1" si="15"/>
        <v>-19.04</v>
      </c>
      <c r="V59" s="14">
        <f t="shared" ca="1" si="15"/>
        <v>-19.07</v>
      </c>
      <c r="W59" s="14">
        <f t="shared" ca="1" si="15"/>
        <v>-19.11</v>
      </c>
      <c r="X59" s="14">
        <f t="shared" ca="1" si="15"/>
        <v>-19.14</v>
      </c>
      <c r="Y59" s="14">
        <f t="shared" ca="1" si="15"/>
        <v>-19.18</v>
      </c>
      <c r="Z59" s="14">
        <f t="shared" ca="1" si="15"/>
        <v>-19.21</v>
      </c>
      <c r="AA59" s="14">
        <f t="shared" ca="1" si="15"/>
        <v>-19.25</v>
      </c>
      <c r="AB59" s="14">
        <f t="shared" ca="1" si="15"/>
        <v>-19.38</v>
      </c>
      <c r="AC59" s="14">
        <f t="shared" ca="1" si="15"/>
        <v>-19.420000000000002</v>
      </c>
      <c r="AD59" s="14">
        <f t="shared" ca="1" si="15"/>
        <v>-19.45</v>
      </c>
      <c r="AE59" s="14">
        <f t="shared" ca="1" si="15"/>
        <v>-19.48</v>
      </c>
      <c r="AF59" s="14">
        <f t="shared" ca="1" si="15"/>
        <v>-19.510000000000002</v>
      </c>
      <c r="AG59" s="14">
        <f t="shared" ca="1" si="15"/>
        <v>-19.55</v>
      </c>
      <c r="AH59" s="14">
        <f t="shared" ca="1" si="15"/>
        <v>-19.579999999999998</v>
      </c>
      <c r="AI59" s="14">
        <f t="shared" ca="1" si="15"/>
        <v>-19.61</v>
      </c>
      <c r="AJ59" s="14">
        <f t="shared" ca="1" si="15"/>
        <v>-19.64</v>
      </c>
      <c r="AK59" s="14">
        <f t="shared" ca="1" si="15"/>
        <v>-19.760000000000002</v>
      </c>
      <c r="AL59" s="14">
        <f t="shared" ca="1" si="15"/>
        <v>-19.79</v>
      </c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</row>
    <row r="60" spans="1:71" ht="21" customHeight="1" outlineLevel="1" thickBot="1" x14ac:dyDescent="0.4">
      <c r="A60" s="5">
        <f t="shared" si="16"/>
        <v>0</v>
      </c>
      <c r="B60" s="5">
        <f t="shared" si="16"/>
        <v>0</v>
      </c>
      <c r="C60" s="5">
        <f t="shared" si="16"/>
        <v>0</v>
      </c>
      <c r="D60" s="5">
        <f t="shared" si="16"/>
        <v>1</v>
      </c>
      <c r="E60" s="6" t="str">
        <f t="shared" si="16"/>
        <v>H (Ga)</v>
      </c>
      <c r="F60" s="14">
        <f t="shared" ca="1" si="17"/>
        <v>-65.56</v>
      </c>
      <c r="G60" s="14">
        <f t="shared" ca="1" si="15"/>
        <v>-62.08</v>
      </c>
      <c r="H60" s="14">
        <f t="shared" ca="1" si="15"/>
        <v>-58.98</v>
      </c>
      <c r="I60" s="14">
        <f t="shared" ca="1" si="15"/>
        <v>-56.2</v>
      </c>
      <c r="J60" s="14">
        <f t="shared" ca="1" si="15"/>
        <v>-53.71</v>
      </c>
      <c r="K60" s="14">
        <f t="shared" ca="1" si="15"/>
        <v>-50.33</v>
      </c>
      <c r="L60" s="14">
        <f t="shared" ca="1" si="15"/>
        <v>-46.96</v>
      </c>
      <c r="M60" s="14">
        <f t="shared" ca="1" si="15"/>
        <v>-43.86</v>
      </c>
      <c r="N60" s="14">
        <f t="shared" ca="1" si="15"/>
        <v>-40.98</v>
      </c>
      <c r="O60" s="14">
        <f t="shared" ca="1" si="15"/>
        <v>-31.32</v>
      </c>
      <c r="P60" s="14">
        <f t="shared" ca="1" si="15"/>
        <v>-29.28</v>
      </c>
      <c r="Q60" s="14">
        <f t="shared" ca="1" si="15"/>
        <v>-27.35</v>
      </c>
      <c r="R60" s="14">
        <f t="shared" ca="1" si="15"/>
        <v>-25.53</v>
      </c>
      <c r="S60" s="14">
        <f t="shared" ca="1" si="15"/>
        <v>-23.81</v>
      </c>
      <c r="T60" s="14">
        <f t="shared" ca="1" si="15"/>
        <v>-22.18</v>
      </c>
      <c r="U60" s="14">
        <f t="shared" ca="1" si="15"/>
        <v>-20.63</v>
      </c>
      <c r="V60" s="14">
        <f t="shared" ca="1" si="15"/>
        <v>-19.16</v>
      </c>
      <c r="W60" s="14">
        <f t="shared" ca="1" si="15"/>
        <v>-17.850000000000001</v>
      </c>
      <c r="X60" s="14">
        <f t="shared" ca="1" si="15"/>
        <v>-16.850000000000001</v>
      </c>
      <c r="Y60" s="14">
        <f t="shared" ca="1" si="15"/>
        <v>-15.9</v>
      </c>
      <c r="Z60" s="14">
        <f t="shared" ca="1" si="15"/>
        <v>-15</v>
      </c>
      <c r="AA60" s="14">
        <f t="shared" ca="1" si="15"/>
        <v>-14.13</v>
      </c>
      <c r="AB60" s="14">
        <f t="shared" ca="1" si="15"/>
        <v>-11</v>
      </c>
      <c r="AC60" s="14">
        <f t="shared" ca="1" si="15"/>
        <v>-10.29</v>
      </c>
      <c r="AD60" s="14">
        <f t="shared" ca="1" si="15"/>
        <v>-9.6059999999999999</v>
      </c>
      <c r="AE60" s="14">
        <f t="shared" ca="1" si="15"/>
        <v>-8.9480000000000004</v>
      </c>
      <c r="AF60" s="14">
        <f t="shared" ca="1" si="15"/>
        <v>-8.3130000000000006</v>
      </c>
      <c r="AG60" s="14">
        <f t="shared" ca="1" si="15"/>
        <v>-7.7149999999999999</v>
      </c>
      <c r="AH60" s="14">
        <f t="shared" ca="1" si="15"/>
        <v>-7.7969999999999997</v>
      </c>
      <c r="AI60" s="14">
        <f t="shared" ca="1" si="15"/>
        <v>-7.8789999999999996</v>
      </c>
      <c r="AJ60" s="14">
        <f t="shared" ca="1" si="15"/>
        <v>-7.9630000000000001</v>
      </c>
      <c r="AK60" s="14">
        <f t="shared" ca="1" si="15"/>
        <v>-8.3190000000000008</v>
      </c>
      <c r="AL60" s="14">
        <f t="shared" ca="1" si="15"/>
        <v>-8.4149999999999991</v>
      </c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</row>
    <row r="61" spans="1:71" ht="21" customHeight="1" outlineLevel="1" thickBot="1" x14ac:dyDescent="0.4">
      <c r="A61" s="5">
        <f t="shared" si="16"/>
        <v>0</v>
      </c>
      <c r="B61" s="5">
        <f t="shared" si="16"/>
        <v>0</v>
      </c>
      <c r="C61" s="5">
        <f t="shared" si="16"/>
        <v>1</v>
      </c>
      <c r="D61" s="5">
        <f t="shared" si="16"/>
        <v>0</v>
      </c>
      <c r="E61" s="6" t="str">
        <f t="shared" si="16"/>
        <v>H (Ge)</v>
      </c>
      <c r="F61" s="14">
        <f t="shared" ca="1" si="17"/>
        <v>-16.29</v>
      </c>
      <c r="G61" s="14">
        <f t="shared" ca="1" si="15"/>
        <v>-15.65</v>
      </c>
      <c r="H61" s="14">
        <f t="shared" ca="1" si="15"/>
        <v>-15.09</v>
      </c>
      <c r="I61" s="14">
        <f t="shared" ca="1" si="15"/>
        <v>-14.59</v>
      </c>
      <c r="J61" s="14">
        <f t="shared" ca="1" si="15"/>
        <v>-14.16</v>
      </c>
      <c r="K61" s="14">
        <f t="shared" ca="1" si="15"/>
        <v>-13.03</v>
      </c>
      <c r="L61" s="14">
        <f t="shared" ca="1" si="15"/>
        <v>-11.8</v>
      </c>
      <c r="M61" s="14">
        <f t="shared" ca="1" si="15"/>
        <v>-10.67</v>
      </c>
      <c r="N61" s="14">
        <f t="shared" ca="1" si="15"/>
        <v>-9.6129999999999995</v>
      </c>
      <c r="O61" s="14">
        <f t="shared" ca="1" si="15"/>
        <v>-6.0380000000000003</v>
      </c>
      <c r="P61" s="14">
        <f t="shared" ca="1" si="15"/>
        <v>-5.2729999999999997</v>
      </c>
      <c r="Q61" s="14">
        <f t="shared" ca="1" si="15"/>
        <v>-4.55</v>
      </c>
      <c r="R61" s="14">
        <f t="shared" ca="1" si="15"/>
        <v>-4.1150000000000002</v>
      </c>
      <c r="S61" s="14">
        <f t="shared" ca="1" si="15"/>
        <v>-4.1550000000000002</v>
      </c>
      <c r="T61" s="14">
        <f t="shared" ca="1" si="15"/>
        <v>-4.1950000000000003</v>
      </c>
      <c r="U61" s="14">
        <f t="shared" ca="1" si="15"/>
        <v>-4.2359999999999998</v>
      </c>
      <c r="V61" s="14">
        <f t="shared" ca="1" si="15"/>
        <v>-4.2759999999999998</v>
      </c>
      <c r="W61" s="14">
        <f t="shared" ca="1" si="15"/>
        <v>-4.3170000000000002</v>
      </c>
      <c r="X61" s="14">
        <f t="shared" ca="1" si="15"/>
        <v>-4.3579999999999997</v>
      </c>
      <c r="Y61" s="14">
        <f t="shared" ca="1" si="15"/>
        <v>-4.399</v>
      </c>
      <c r="Z61" s="14">
        <f t="shared" ca="1" si="15"/>
        <v>-4.4400000000000004</v>
      </c>
      <c r="AA61" s="14">
        <f t="shared" ca="1" si="15"/>
        <v>-4.4809999999999999</v>
      </c>
      <c r="AB61" s="14">
        <f t="shared" ca="1" si="15"/>
        <v>-4.6429999999999998</v>
      </c>
      <c r="AC61" s="14">
        <f t="shared" ca="1" si="15"/>
        <v>-4.6829999999999998</v>
      </c>
      <c r="AD61" s="14">
        <f t="shared" ca="1" si="15"/>
        <v>-4.7220000000000004</v>
      </c>
      <c r="AE61" s="14">
        <f t="shared" ca="1" si="15"/>
        <v>-4.7619999999999996</v>
      </c>
      <c r="AF61" s="14">
        <f t="shared" ca="1" si="15"/>
        <v>-4.8010000000000002</v>
      </c>
      <c r="AG61" s="14">
        <f t="shared" ca="1" si="15"/>
        <v>-4.84</v>
      </c>
      <c r="AH61" s="14">
        <f t="shared" ca="1" si="15"/>
        <v>-4.8780000000000001</v>
      </c>
      <c r="AI61" s="14">
        <f t="shared" ca="1" si="15"/>
        <v>-4.9169999999999998</v>
      </c>
      <c r="AJ61" s="14">
        <f t="shared" ca="1" si="15"/>
        <v>-4.9550000000000001</v>
      </c>
      <c r="AK61" s="14">
        <f t="shared" ca="1" si="15"/>
        <v>-5.1040000000000001</v>
      </c>
      <c r="AL61" s="14">
        <f t="shared" ca="1" si="15"/>
        <v>-5.141</v>
      </c>
      <c r="AM61" s="14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4"/>
      <c r="BK61" s="14"/>
      <c r="BL61" s="14"/>
      <c r="BM61" s="14"/>
      <c r="BN61" s="14"/>
      <c r="BO61" s="14"/>
      <c r="BP61" s="14"/>
      <c r="BQ61" s="14"/>
      <c r="BR61" s="14"/>
      <c r="BS61" s="14"/>
    </row>
    <row r="62" spans="1:71" ht="21" customHeight="1" outlineLevel="1" thickBot="1" x14ac:dyDescent="0.4">
      <c r="A62" s="5">
        <f t="shared" si="16"/>
        <v>0</v>
      </c>
      <c r="B62" s="5">
        <f t="shared" si="16"/>
        <v>1</v>
      </c>
      <c r="C62" s="5">
        <f t="shared" si="16"/>
        <v>0</v>
      </c>
      <c r="D62" s="5">
        <f t="shared" si="16"/>
        <v>0</v>
      </c>
      <c r="E62" s="6" t="str">
        <f t="shared" si="16"/>
        <v>H (Se)</v>
      </c>
      <c r="F62" s="14">
        <f t="shared" ca="1" si="17"/>
        <v>-23.52</v>
      </c>
      <c r="G62" s="14">
        <f t="shared" ca="1" si="15"/>
        <v>-22.41</v>
      </c>
      <c r="H62" s="14">
        <f t="shared" ca="1" si="15"/>
        <v>-21.42</v>
      </c>
      <c r="I62" s="14">
        <f t="shared" ca="1" si="15"/>
        <v>-20.54</v>
      </c>
      <c r="J62" s="14">
        <f t="shared" ca="1" si="15"/>
        <v>-19.760000000000002</v>
      </c>
      <c r="K62" s="14">
        <f t="shared" ca="1" si="15"/>
        <v>-19.8</v>
      </c>
      <c r="L62" s="14">
        <f t="shared" ca="1" si="15"/>
        <v>-20.04</v>
      </c>
      <c r="M62" s="14">
        <f t="shared" ca="1" si="15"/>
        <v>-20.28</v>
      </c>
      <c r="N62" s="14">
        <f t="shared" ca="1" si="15"/>
        <v>-20.53</v>
      </c>
      <c r="O62" s="14">
        <f t="shared" ca="1" si="15"/>
        <v>-21.53</v>
      </c>
      <c r="P62" s="14">
        <f t="shared" ca="1" si="15"/>
        <v>-21.78</v>
      </c>
      <c r="Q62" s="14">
        <f t="shared" ca="1" si="15"/>
        <v>-22.02</v>
      </c>
      <c r="R62" s="14">
        <f t="shared" ca="1" si="15"/>
        <v>-22.27</v>
      </c>
      <c r="S62" s="14">
        <f t="shared" ca="1" si="15"/>
        <v>-22.52</v>
      </c>
      <c r="T62" s="14">
        <f t="shared" ca="1" si="15"/>
        <v>-22.76</v>
      </c>
      <c r="U62" s="14">
        <f t="shared" ca="1" si="15"/>
        <v>-23</v>
      </c>
      <c r="V62" s="14">
        <f t="shared" ca="1" si="15"/>
        <v>-23.24</v>
      </c>
      <c r="W62" s="14">
        <f t="shared" ca="1" si="15"/>
        <v>-23.48</v>
      </c>
      <c r="X62" s="14">
        <f t="shared" ca="1" si="15"/>
        <v>-23.72</v>
      </c>
      <c r="Y62" s="14">
        <f t="shared" ca="1" si="15"/>
        <v>-23.95</v>
      </c>
      <c r="Z62" s="14">
        <f t="shared" ca="1" si="15"/>
        <v>-24.18</v>
      </c>
      <c r="AA62" s="14">
        <f t="shared" ca="1" si="15"/>
        <v>-24.41</v>
      </c>
      <c r="AB62" s="14">
        <f t="shared" ca="1" si="15"/>
        <v>-25.31</v>
      </c>
      <c r="AC62" s="14">
        <f t="shared" ca="1" si="15"/>
        <v>-25.53</v>
      </c>
      <c r="AD62" s="14">
        <f t="shared" ca="1" si="15"/>
        <v>-25.75</v>
      </c>
      <c r="AE62" s="14">
        <f t="shared" ca="1" si="15"/>
        <v>-25.97</v>
      </c>
      <c r="AF62" s="14">
        <f t="shared" ca="1" si="15"/>
        <v>-26.18</v>
      </c>
      <c r="AG62" s="14">
        <f t="shared" ca="1" si="15"/>
        <v>-26.39</v>
      </c>
      <c r="AH62" s="14">
        <f t="shared" ca="1" si="15"/>
        <v>-26.6</v>
      </c>
      <c r="AI62" s="14">
        <f t="shared" ref="AI62:AL62" ca="1" si="18">$A62*H.Ar + $B62*H.Se + $C62*H.Ge + $D62*H.Ga</f>
        <v>-26.81</v>
      </c>
      <c r="AJ62" s="14">
        <f t="shared" ca="1" si="18"/>
        <v>-27.02</v>
      </c>
      <c r="AK62" s="14">
        <f t="shared" ca="1" si="18"/>
        <v>-27.83</v>
      </c>
      <c r="AL62" s="14">
        <f t="shared" ca="1" si="18"/>
        <v>-28.03</v>
      </c>
      <c r="AM62" s="14"/>
      <c r="AN62" s="14"/>
      <c r="AO62" s="14"/>
      <c r="AP62" s="14"/>
      <c r="AQ62" s="14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  <c r="BH62" s="14"/>
      <c r="BI62" s="14"/>
      <c r="BJ62" s="14"/>
      <c r="BK62" s="14"/>
      <c r="BL62" s="14"/>
      <c r="BM62" s="14"/>
      <c r="BN62" s="14"/>
      <c r="BO62" s="14"/>
      <c r="BP62" s="14"/>
      <c r="BQ62" s="14"/>
      <c r="BR62" s="14"/>
      <c r="BS62" s="14"/>
    </row>
    <row r="63" spans="1:71" ht="21" customHeight="1" outlineLevel="1" thickBot="1" x14ac:dyDescent="0.4">
      <c r="A63" s="5">
        <f t="shared" si="16"/>
        <v>0</v>
      </c>
      <c r="B63" s="5">
        <f t="shared" si="16"/>
        <v>0</v>
      </c>
      <c r="C63" s="5">
        <f t="shared" si="16"/>
        <v>0</v>
      </c>
      <c r="D63" s="5">
        <f t="shared" si="16"/>
        <v>0</v>
      </c>
      <c r="E63" s="6">
        <f t="shared" si="16"/>
        <v>0</v>
      </c>
      <c r="F63" s="14">
        <f t="shared" ca="1" si="17"/>
        <v>0</v>
      </c>
      <c r="G63" s="14">
        <f t="shared" ref="G63:AL71" ca="1" si="19">$A63*H.Ar + $B63*H.Se + $C63*H.Ge + $D63*H.Ga</f>
        <v>0</v>
      </c>
      <c r="H63" s="14">
        <f t="shared" ca="1" si="19"/>
        <v>0</v>
      </c>
      <c r="I63" s="14">
        <f t="shared" ca="1" si="19"/>
        <v>0</v>
      </c>
      <c r="J63" s="14">
        <f t="shared" ca="1" si="19"/>
        <v>0</v>
      </c>
      <c r="K63" s="14">
        <f t="shared" ca="1" si="19"/>
        <v>0</v>
      </c>
      <c r="L63" s="14">
        <f t="shared" ca="1" si="19"/>
        <v>0</v>
      </c>
      <c r="M63" s="14">
        <f t="shared" ca="1" si="19"/>
        <v>0</v>
      </c>
      <c r="N63" s="14">
        <f t="shared" ca="1" si="19"/>
        <v>0</v>
      </c>
      <c r="O63" s="14">
        <f t="shared" ca="1" si="19"/>
        <v>0</v>
      </c>
      <c r="P63" s="14">
        <f t="shared" ca="1" si="19"/>
        <v>0</v>
      </c>
      <c r="Q63" s="14">
        <f t="shared" ca="1" si="19"/>
        <v>0</v>
      </c>
      <c r="R63" s="14">
        <f t="shared" ca="1" si="19"/>
        <v>0</v>
      </c>
      <c r="S63" s="14">
        <f t="shared" ca="1" si="19"/>
        <v>0</v>
      </c>
      <c r="T63" s="14">
        <f t="shared" ca="1" si="19"/>
        <v>0</v>
      </c>
      <c r="U63" s="14">
        <f t="shared" ca="1" si="19"/>
        <v>0</v>
      </c>
      <c r="V63" s="14">
        <f t="shared" ca="1" si="19"/>
        <v>0</v>
      </c>
      <c r="W63" s="14">
        <f t="shared" ca="1" si="19"/>
        <v>0</v>
      </c>
      <c r="X63" s="14">
        <f t="shared" ca="1" si="19"/>
        <v>0</v>
      </c>
      <c r="Y63" s="14">
        <f t="shared" ca="1" si="19"/>
        <v>0</v>
      </c>
      <c r="Z63" s="14">
        <f t="shared" ca="1" si="19"/>
        <v>0</v>
      </c>
      <c r="AA63" s="14">
        <f t="shared" ca="1" si="19"/>
        <v>0</v>
      </c>
      <c r="AB63" s="14">
        <f t="shared" ca="1" si="19"/>
        <v>0</v>
      </c>
      <c r="AC63" s="14">
        <f t="shared" ca="1" si="19"/>
        <v>0</v>
      </c>
      <c r="AD63" s="14">
        <f t="shared" ca="1" si="19"/>
        <v>0</v>
      </c>
      <c r="AE63" s="14">
        <f t="shared" ca="1" si="19"/>
        <v>0</v>
      </c>
      <c r="AF63" s="14">
        <f t="shared" ca="1" si="19"/>
        <v>0</v>
      </c>
      <c r="AG63" s="14">
        <f t="shared" ca="1" si="19"/>
        <v>0</v>
      </c>
      <c r="AH63" s="14">
        <f t="shared" ca="1" si="19"/>
        <v>0</v>
      </c>
      <c r="AI63" s="14">
        <f t="shared" ca="1" si="19"/>
        <v>0</v>
      </c>
      <c r="AJ63" s="14">
        <f t="shared" ca="1" si="19"/>
        <v>0</v>
      </c>
      <c r="AK63" s="14">
        <f t="shared" ca="1" si="19"/>
        <v>0</v>
      </c>
      <c r="AL63" s="14">
        <f t="shared" ca="1" si="19"/>
        <v>0</v>
      </c>
      <c r="AM63" s="14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</row>
    <row r="64" spans="1:71" ht="21" customHeight="1" outlineLevel="1" thickBot="1" x14ac:dyDescent="0.4">
      <c r="A64" s="5">
        <f t="shared" si="16"/>
        <v>0</v>
      </c>
      <c r="B64" s="5">
        <f t="shared" si="16"/>
        <v>0</v>
      </c>
      <c r="C64" s="5">
        <f t="shared" si="16"/>
        <v>0</v>
      </c>
      <c r="D64" s="5">
        <f t="shared" si="16"/>
        <v>0</v>
      </c>
      <c r="E64" s="6">
        <f t="shared" si="16"/>
        <v>0</v>
      </c>
      <c r="F64" s="14">
        <f t="shared" ca="1" si="17"/>
        <v>0</v>
      </c>
      <c r="G64" s="14">
        <f t="shared" ca="1" si="19"/>
        <v>0</v>
      </c>
      <c r="H64" s="14">
        <f t="shared" ca="1" si="19"/>
        <v>0</v>
      </c>
      <c r="I64" s="14">
        <f t="shared" ca="1" si="19"/>
        <v>0</v>
      </c>
      <c r="J64" s="14">
        <f t="shared" ca="1" si="19"/>
        <v>0</v>
      </c>
      <c r="K64" s="14">
        <f t="shared" ca="1" si="19"/>
        <v>0</v>
      </c>
      <c r="L64" s="14">
        <f t="shared" ca="1" si="19"/>
        <v>0</v>
      </c>
      <c r="M64" s="14">
        <f t="shared" ca="1" si="19"/>
        <v>0</v>
      </c>
      <c r="N64" s="14">
        <f t="shared" ca="1" si="19"/>
        <v>0</v>
      </c>
      <c r="O64" s="14">
        <f t="shared" ca="1" si="19"/>
        <v>0</v>
      </c>
      <c r="P64" s="14">
        <f t="shared" ca="1" si="19"/>
        <v>0</v>
      </c>
      <c r="Q64" s="14">
        <f t="shared" ca="1" si="19"/>
        <v>0</v>
      </c>
      <c r="R64" s="14">
        <f t="shared" ca="1" si="19"/>
        <v>0</v>
      </c>
      <c r="S64" s="14">
        <f t="shared" ca="1" si="19"/>
        <v>0</v>
      </c>
      <c r="T64" s="14">
        <f t="shared" ca="1" si="19"/>
        <v>0</v>
      </c>
      <c r="U64" s="14">
        <f t="shared" ca="1" si="19"/>
        <v>0</v>
      </c>
      <c r="V64" s="14">
        <f t="shared" ca="1" si="19"/>
        <v>0</v>
      </c>
      <c r="W64" s="14">
        <f t="shared" ca="1" si="19"/>
        <v>0</v>
      </c>
      <c r="X64" s="14">
        <f t="shared" ca="1" si="19"/>
        <v>0</v>
      </c>
      <c r="Y64" s="14">
        <f t="shared" ca="1" si="19"/>
        <v>0</v>
      </c>
      <c r="Z64" s="14">
        <f t="shared" ca="1" si="19"/>
        <v>0</v>
      </c>
      <c r="AA64" s="14">
        <f t="shared" ca="1" si="19"/>
        <v>0</v>
      </c>
      <c r="AB64" s="14">
        <f t="shared" ca="1" si="19"/>
        <v>0</v>
      </c>
      <c r="AC64" s="14">
        <f t="shared" ca="1" si="19"/>
        <v>0</v>
      </c>
      <c r="AD64" s="14">
        <f t="shared" ca="1" si="19"/>
        <v>0</v>
      </c>
      <c r="AE64" s="14">
        <f t="shared" ca="1" si="19"/>
        <v>0</v>
      </c>
      <c r="AF64" s="14">
        <f t="shared" ca="1" si="19"/>
        <v>0</v>
      </c>
      <c r="AG64" s="14">
        <f t="shared" ca="1" si="19"/>
        <v>0</v>
      </c>
      <c r="AH64" s="14">
        <f t="shared" ca="1" si="19"/>
        <v>0</v>
      </c>
      <c r="AI64" s="14">
        <f t="shared" ca="1" si="19"/>
        <v>0</v>
      </c>
      <c r="AJ64" s="14">
        <f t="shared" ca="1" si="19"/>
        <v>0</v>
      </c>
      <c r="AK64" s="14">
        <f t="shared" ca="1" si="19"/>
        <v>0</v>
      </c>
      <c r="AL64" s="14">
        <f t="shared" ca="1" si="19"/>
        <v>0</v>
      </c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</row>
    <row r="65" spans="1:87" ht="21" customHeight="1" outlineLevel="1" thickBot="1" x14ac:dyDescent="0.4">
      <c r="A65" s="5">
        <f t="shared" si="16"/>
        <v>0</v>
      </c>
      <c r="B65" s="5">
        <f t="shared" si="16"/>
        <v>0</v>
      </c>
      <c r="C65" s="5">
        <f t="shared" si="16"/>
        <v>0</v>
      </c>
      <c r="D65" s="5">
        <f t="shared" si="16"/>
        <v>0</v>
      </c>
      <c r="E65" s="6">
        <f t="shared" si="16"/>
        <v>0</v>
      </c>
      <c r="F65" s="14">
        <f t="shared" ca="1" si="17"/>
        <v>0</v>
      </c>
      <c r="G65" s="14">
        <f t="shared" ca="1" si="19"/>
        <v>0</v>
      </c>
      <c r="H65" s="14">
        <f t="shared" ca="1" si="19"/>
        <v>0</v>
      </c>
      <c r="I65" s="14">
        <f t="shared" ca="1" si="19"/>
        <v>0</v>
      </c>
      <c r="J65" s="14">
        <f t="shared" ca="1" si="19"/>
        <v>0</v>
      </c>
      <c r="K65" s="14">
        <f t="shared" ca="1" si="19"/>
        <v>0</v>
      </c>
      <c r="L65" s="14">
        <f t="shared" ca="1" si="19"/>
        <v>0</v>
      </c>
      <c r="M65" s="14">
        <f t="shared" ca="1" si="19"/>
        <v>0</v>
      </c>
      <c r="N65" s="14">
        <f t="shared" ca="1" si="19"/>
        <v>0</v>
      </c>
      <c r="O65" s="14">
        <f t="shared" ca="1" si="19"/>
        <v>0</v>
      </c>
      <c r="P65" s="14">
        <f t="shared" ca="1" si="19"/>
        <v>0</v>
      </c>
      <c r="Q65" s="14">
        <f t="shared" ca="1" si="19"/>
        <v>0</v>
      </c>
      <c r="R65" s="14">
        <f t="shared" ca="1" si="19"/>
        <v>0</v>
      </c>
      <c r="S65" s="14">
        <f t="shared" ca="1" si="19"/>
        <v>0</v>
      </c>
      <c r="T65" s="14">
        <f t="shared" ca="1" si="19"/>
        <v>0</v>
      </c>
      <c r="U65" s="14">
        <f t="shared" ca="1" si="19"/>
        <v>0</v>
      </c>
      <c r="V65" s="14">
        <f t="shared" ca="1" si="19"/>
        <v>0</v>
      </c>
      <c r="W65" s="14">
        <f t="shared" ca="1" si="19"/>
        <v>0</v>
      </c>
      <c r="X65" s="14">
        <f t="shared" ca="1" si="19"/>
        <v>0</v>
      </c>
      <c r="Y65" s="14">
        <f t="shared" ca="1" si="19"/>
        <v>0</v>
      </c>
      <c r="Z65" s="14">
        <f t="shared" ca="1" si="19"/>
        <v>0</v>
      </c>
      <c r="AA65" s="14">
        <f t="shared" ca="1" si="19"/>
        <v>0</v>
      </c>
      <c r="AB65" s="14">
        <f t="shared" ca="1" si="19"/>
        <v>0</v>
      </c>
      <c r="AC65" s="14">
        <f t="shared" ca="1" si="19"/>
        <v>0</v>
      </c>
      <c r="AD65" s="14">
        <f t="shared" ca="1" si="19"/>
        <v>0</v>
      </c>
      <c r="AE65" s="14">
        <f t="shared" ca="1" si="19"/>
        <v>0</v>
      </c>
      <c r="AF65" s="14">
        <f t="shared" ca="1" si="19"/>
        <v>0</v>
      </c>
      <c r="AG65" s="14">
        <f t="shared" ca="1" si="19"/>
        <v>0</v>
      </c>
      <c r="AH65" s="14">
        <f t="shared" ca="1" si="19"/>
        <v>0</v>
      </c>
      <c r="AI65" s="14">
        <f t="shared" ca="1" si="19"/>
        <v>0</v>
      </c>
      <c r="AJ65" s="14">
        <f t="shared" ca="1" si="19"/>
        <v>0</v>
      </c>
      <c r="AK65" s="14">
        <f t="shared" ca="1" si="19"/>
        <v>0</v>
      </c>
      <c r="AL65" s="14">
        <f t="shared" ca="1" si="19"/>
        <v>0</v>
      </c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</row>
    <row r="66" spans="1:87" ht="21" customHeight="1" outlineLevel="1" thickBot="1" x14ac:dyDescent="0.4">
      <c r="A66" s="5">
        <f t="shared" ref="A66:E75" si="20">A24</f>
        <v>0</v>
      </c>
      <c r="B66" s="5">
        <f t="shared" si="20"/>
        <v>0</v>
      </c>
      <c r="C66" s="5">
        <f t="shared" si="20"/>
        <v>0</v>
      </c>
      <c r="D66" s="5">
        <f t="shared" si="20"/>
        <v>0</v>
      </c>
      <c r="E66" s="6">
        <f t="shared" si="20"/>
        <v>0</v>
      </c>
      <c r="F66" s="14">
        <f t="shared" ref="F66:U74" ca="1" si="21">$A66*H.Ar + $B66*H.Se + $C66*H.Ge + $D66*H.Ga</f>
        <v>0</v>
      </c>
      <c r="G66" s="14">
        <f t="shared" ca="1" si="21"/>
        <v>0</v>
      </c>
      <c r="H66" s="14">
        <f t="shared" ca="1" si="21"/>
        <v>0</v>
      </c>
      <c r="I66" s="14">
        <f t="shared" ca="1" si="21"/>
        <v>0</v>
      </c>
      <c r="J66" s="14">
        <f t="shared" ca="1" si="21"/>
        <v>0</v>
      </c>
      <c r="K66" s="14">
        <f t="shared" ca="1" si="21"/>
        <v>0</v>
      </c>
      <c r="L66" s="14">
        <f t="shared" ca="1" si="21"/>
        <v>0</v>
      </c>
      <c r="M66" s="14">
        <f t="shared" ca="1" si="21"/>
        <v>0</v>
      </c>
      <c r="N66" s="14">
        <f t="shared" ca="1" si="21"/>
        <v>0</v>
      </c>
      <c r="O66" s="14">
        <f t="shared" ca="1" si="21"/>
        <v>0</v>
      </c>
      <c r="P66" s="14">
        <f t="shared" ca="1" si="21"/>
        <v>0</v>
      </c>
      <c r="Q66" s="14">
        <f t="shared" ca="1" si="21"/>
        <v>0</v>
      </c>
      <c r="R66" s="14">
        <f t="shared" ca="1" si="21"/>
        <v>0</v>
      </c>
      <c r="S66" s="14">
        <f t="shared" ca="1" si="21"/>
        <v>0</v>
      </c>
      <c r="T66" s="14">
        <f t="shared" ca="1" si="21"/>
        <v>0</v>
      </c>
      <c r="U66" s="14">
        <f t="shared" ca="1" si="21"/>
        <v>0</v>
      </c>
      <c r="V66" s="14">
        <f t="shared" ca="1" si="19"/>
        <v>0</v>
      </c>
      <c r="W66" s="14">
        <f t="shared" ca="1" si="19"/>
        <v>0</v>
      </c>
      <c r="X66" s="14">
        <f t="shared" ca="1" si="19"/>
        <v>0</v>
      </c>
      <c r="Y66" s="14">
        <f t="shared" ca="1" si="19"/>
        <v>0</v>
      </c>
      <c r="Z66" s="14">
        <f t="shared" ca="1" si="19"/>
        <v>0</v>
      </c>
      <c r="AA66" s="14">
        <f t="shared" ca="1" si="19"/>
        <v>0</v>
      </c>
      <c r="AB66" s="14">
        <f t="shared" ca="1" si="19"/>
        <v>0</v>
      </c>
      <c r="AC66" s="14">
        <f t="shared" ca="1" si="19"/>
        <v>0</v>
      </c>
      <c r="AD66" s="14">
        <f t="shared" ca="1" si="19"/>
        <v>0</v>
      </c>
      <c r="AE66" s="14">
        <f t="shared" ca="1" si="19"/>
        <v>0</v>
      </c>
      <c r="AF66" s="14">
        <f t="shared" ca="1" si="19"/>
        <v>0</v>
      </c>
      <c r="AG66" s="14">
        <f t="shared" ca="1" si="19"/>
        <v>0</v>
      </c>
      <c r="AH66" s="14">
        <f t="shared" ca="1" si="19"/>
        <v>0</v>
      </c>
      <c r="AI66" s="14">
        <f t="shared" ca="1" si="19"/>
        <v>0</v>
      </c>
      <c r="AJ66" s="14">
        <f t="shared" ca="1" si="19"/>
        <v>0</v>
      </c>
      <c r="AK66" s="14">
        <f t="shared" ca="1" si="19"/>
        <v>0</v>
      </c>
      <c r="AL66" s="14">
        <f t="shared" ca="1" si="19"/>
        <v>0</v>
      </c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</row>
    <row r="67" spans="1:87" ht="21" customHeight="1" outlineLevel="1" thickBot="1" x14ac:dyDescent="0.4">
      <c r="A67" s="5">
        <f t="shared" si="20"/>
        <v>0</v>
      </c>
      <c r="B67" s="5">
        <f t="shared" si="20"/>
        <v>0</v>
      </c>
      <c r="C67" s="5">
        <f t="shared" si="20"/>
        <v>0</v>
      </c>
      <c r="D67" s="5">
        <f t="shared" si="20"/>
        <v>0</v>
      </c>
      <c r="E67" s="6">
        <f t="shared" si="20"/>
        <v>0</v>
      </c>
      <c r="F67" s="14">
        <f t="shared" ca="1" si="21"/>
        <v>0</v>
      </c>
      <c r="G67" s="14">
        <f t="shared" ca="1" si="19"/>
        <v>0</v>
      </c>
      <c r="H67" s="14">
        <f t="shared" ca="1" si="19"/>
        <v>0</v>
      </c>
      <c r="I67" s="14">
        <f t="shared" ca="1" si="19"/>
        <v>0</v>
      </c>
      <c r="J67" s="14">
        <f t="shared" ca="1" si="19"/>
        <v>0</v>
      </c>
      <c r="K67" s="14">
        <f t="shared" ca="1" si="19"/>
        <v>0</v>
      </c>
      <c r="L67" s="14">
        <f t="shared" ca="1" si="19"/>
        <v>0</v>
      </c>
      <c r="M67" s="14">
        <f t="shared" ca="1" si="19"/>
        <v>0</v>
      </c>
      <c r="N67" s="14">
        <f t="shared" ca="1" si="19"/>
        <v>0</v>
      </c>
      <c r="O67" s="14">
        <f t="shared" ca="1" si="19"/>
        <v>0</v>
      </c>
      <c r="P67" s="14">
        <f t="shared" ca="1" si="19"/>
        <v>0</v>
      </c>
      <c r="Q67" s="14">
        <f t="shared" ca="1" si="19"/>
        <v>0</v>
      </c>
      <c r="R67" s="14">
        <f t="shared" ca="1" si="19"/>
        <v>0</v>
      </c>
      <c r="S67" s="14">
        <f t="shared" ca="1" si="19"/>
        <v>0</v>
      </c>
      <c r="T67" s="14">
        <f t="shared" ca="1" si="19"/>
        <v>0</v>
      </c>
      <c r="U67" s="14">
        <f t="shared" ca="1" si="19"/>
        <v>0</v>
      </c>
      <c r="V67" s="14">
        <f t="shared" ca="1" si="19"/>
        <v>0</v>
      </c>
      <c r="W67" s="14">
        <f t="shared" ca="1" si="19"/>
        <v>0</v>
      </c>
      <c r="X67" s="14">
        <f t="shared" ca="1" si="19"/>
        <v>0</v>
      </c>
      <c r="Y67" s="14">
        <f t="shared" ca="1" si="19"/>
        <v>0</v>
      </c>
      <c r="Z67" s="14">
        <f t="shared" ca="1" si="19"/>
        <v>0</v>
      </c>
      <c r="AA67" s="14">
        <f t="shared" ca="1" si="19"/>
        <v>0</v>
      </c>
      <c r="AB67" s="14">
        <f t="shared" ca="1" si="19"/>
        <v>0</v>
      </c>
      <c r="AC67" s="14">
        <f t="shared" ca="1" si="19"/>
        <v>0</v>
      </c>
      <c r="AD67" s="14">
        <f t="shared" ca="1" si="19"/>
        <v>0</v>
      </c>
      <c r="AE67" s="14">
        <f t="shared" ca="1" si="19"/>
        <v>0</v>
      </c>
      <c r="AF67" s="14">
        <f t="shared" ca="1" si="19"/>
        <v>0</v>
      </c>
      <c r="AG67" s="14">
        <f t="shared" ca="1" si="19"/>
        <v>0</v>
      </c>
      <c r="AH67" s="14">
        <f t="shared" ca="1" si="19"/>
        <v>0</v>
      </c>
      <c r="AI67" s="14">
        <f t="shared" ca="1" si="19"/>
        <v>0</v>
      </c>
      <c r="AJ67" s="14">
        <f t="shared" ca="1" si="19"/>
        <v>0</v>
      </c>
      <c r="AK67" s="14">
        <f t="shared" ca="1" si="19"/>
        <v>0</v>
      </c>
      <c r="AL67" s="14">
        <f t="shared" ca="1" si="19"/>
        <v>0</v>
      </c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</row>
    <row r="68" spans="1:87" ht="21" customHeight="1" outlineLevel="1" thickBot="1" x14ac:dyDescent="0.4">
      <c r="A68" s="5">
        <f t="shared" si="20"/>
        <v>0</v>
      </c>
      <c r="B68" s="5">
        <f t="shared" si="20"/>
        <v>0</v>
      </c>
      <c r="C68" s="5">
        <f t="shared" si="20"/>
        <v>0</v>
      </c>
      <c r="D68" s="5">
        <f t="shared" si="20"/>
        <v>0</v>
      </c>
      <c r="E68" s="6">
        <f t="shared" si="20"/>
        <v>0</v>
      </c>
      <c r="F68" s="14">
        <f t="shared" ca="1" si="21"/>
        <v>0</v>
      </c>
      <c r="G68" s="14">
        <f t="shared" ca="1" si="19"/>
        <v>0</v>
      </c>
      <c r="H68" s="14">
        <f t="shared" ca="1" si="19"/>
        <v>0</v>
      </c>
      <c r="I68" s="14">
        <f t="shared" ca="1" si="19"/>
        <v>0</v>
      </c>
      <c r="J68" s="14">
        <f t="shared" ca="1" si="19"/>
        <v>0</v>
      </c>
      <c r="K68" s="14">
        <f t="shared" ca="1" si="19"/>
        <v>0</v>
      </c>
      <c r="L68" s="14">
        <f t="shared" ca="1" si="19"/>
        <v>0</v>
      </c>
      <c r="M68" s="14">
        <f t="shared" ca="1" si="19"/>
        <v>0</v>
      </c>
      <c r="N68" s="14">
        <f t="shared" ca="1" si="19"/>
        <v>0</v>
      </c>
      <c r="O68" s="14">
        <f t="shared" ca="1" si="19"/>
        <v>0</v>
      </c>
      <c r="P68" s="14">
        <f t="shared" ca="1" si="19"/>
        <v>0</v>
      </c>
      <c r="Q68" s="14">
        <f t="shared" ca="1" si="19"/>
        <v>0</v>
      </c>
      <c r="R68" s="14">
        <f t="shared" ca="1" si="19"/>
        <v>0</v>
      </c>
      <c r="S68" s="14">
        <f t="shared" ca="1" si="19"/>
        <v>0</v>
      </c>
      <c r="T68" s="14">
        <f t="shared" ca="1" si="19"/>
        <v>0</v>
      </c>
      <c r="U68" s="14">
        <f t="shared" ca="1" si="19"/>
        <v>0</v>
      </c>
      <c r="V68" s="14">
        <f t="shared" ca="1" si="19"/>
        <v>0</v>
      </c>
      <c r="W68" s="14">
        <f t="shared" ca="1" si="19"/>
        <v>0</v>
      </c>
      <c r="X68" s="14">
        <f t="shared" ca="1" si="19"/>
        <v>0</v>
      </c>
      <c r="Y68" s="14">
        <f t="shared" ca="1" si="19"/>
        <v>0</v>
      </c>
      <c r="Z68" s="14">
        <f t="shared" ca="1" si="19"/>
        <v>0</v>
      </c>
      <c r="AA68" s="14">
        <f t="shared" ca="1" si="19"/>
        <v>0</v>
      </c>
      <c r="AB68" s="14">
        <f t="shared" ca="1" si="19"/>
        <v>0</v>
      </c>
      <c r="AC68" s="14">
        <f t="shared" ca="1" si="19"/>
        <v>0</v>
      </c>
      <c r="AD68" s="14">
        <f t="shared" ca="1" si="19"/>
        <v>0</v>
      </c>
      <c r="AE68" s="14">
        <f t="shared" ca="1" si="19"/>
        <v>0</v>
      </c>
      <c r="AF68" s="14">
        <f t="shared" ca="1" si="19"/>
        <v>0</v>
      </c>
      <c r="AG68" s="14">
        <f t="shared" ca="1" si="19"/>
        <v>0</v>
      </c>
      <c r="AH68" s="14">
        <f t="shared" ca="1" si="19"/>
        <v>0</v>
      </c>
      <c r="AI68" s="14">
        <f t="shared" ca="1" si="19"/>
        <v>0</v>
      </c>
      <c r="AJ68" s="14">
        <f t="shared" ca="1" si="19"/>
        <v>0</v>
      </c>
      <c r="AK68" s="14">
        <f t="shared" ca="1" si="19"/>
        <v>0</v>
      </c>
      <c r="AL68" s="14">
        <f t="shared" ca="1" si="19"/>
        <v>0</v>
      </c>
      <c r="AM68" s="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</row>
    <row r="69" spans="1:87" ht="21" customHeight="1" outlineLevel="1" thickBot="1" x14ac:dyDescent="0.4">
      <c r="A69" s="5">
        <f t="shared" si="20"/>
        <v>0</v>
      </c>
      <c r="B69" s="5">
        <f t="shared" si="20"/>
        <v>0</v>
      </c>
      <c r="C69" s="5">
        <f t="shared" si="20"/>
        <v>0</v>
      </c>
      <c r="D69" s="5">
        <f t="shared" si="20"/>
        <v>0</v>
      </c>
      <c r="E69" s="6">
        <f t="shared" si="20"/>
        <v>0</v>
      </c>
      <c r="F69" s="14">
        <f t="shared" ca="1" si="21"/>
        <v>0</v>
      </c>
      <c r="G69" s="14">
        <f t="shared" ca="1" si="19"/>
        <v>0</v>
      </c>
      <c r="H69" s="14">
        <f t="shared" ca="1" si="19"/>
        <v>0</v>
      </c>
      <c r="I69" s="14">
        <f t="shared" ca="1" si="19"/>
        <v>0</v>
      </c>
      <c r="J69" s="14">
        <f t="shared" ca="1" si="19"/>
        <v>0</v>
      </c>
      <c r="K69" s="14">
        <f t="shared" ca="1" si="19"/>
        <v>0</v>
      </c>
      <c r="L69" s="14">
        <f t="shared" ca="1" si="19"/>
        <v>0</v>
      </c>
      <c r="M69" s="14">
        <f t="shared" ca="1" si="19"/>
        <v>0</v>
      </c>
      <c r="N69" s="14">
        <f t="shared" ca="1" si="19"/>
        <v>0</v>
      </c>
      <c r="O69" s="14">
        <f t="shared" ca="1" si="19"/>
        <v>0</v>
      </c>
      <c r="P69" s="14">
        <f t="shared" ca="1" si="19"/>
        <v>0</v>
      </c>
      <c r="Q69" s="14">
        <f t="shared" ca="1" si="19"/>
        <v>0</v>
      </c>
      <c r="R69" s="14">
        <f t="shared" ca="1" si="19"/>
        <v>0</v>
      </c>
      <c r="S69" s="14">
        <f t="shared" ca="1" si="19"/>
        <v>0</v>
      </c>
      <c r="T69" s="14">
        <f t="shared" ca="1" si="19"/>
        <v>0</v>
      </c>
      <c r="U69" s="14">
        <f t="shared" ca="1" si="19"/>
        <v>0</v>
      </c>
      <c r="V69" s="14">
        <f t="shared" ca="1" si="19"/>
        <v>0</v>
      </c>
      <c r="W69" s="14">
        <f t="shared" ca="1" si="19"/>
        <v>0</v>
      </c>
      <c r="X69" s="14">
        <f t="shared" ca="1" si="19"/>
        <v>0</v>
      </c>
      <c r="Y69" s="14">
        <f t="shared" ca="1" si="19"/>
        <v>0</v>
      </c>
      <c r="Z69" s="14">
        <f t="shared" ca="1" si="19"/>
        <v>0</v>
      </c>
      <c r="AA69" s="14">
        <f t="shared" ca="1" si="19"/>
        <v>0</v>
      </c>
      <c r="AB69" s="14">
        <f t="shared" ca="1" si="19"/>
        <v>0</v>
      </c>
      <c r="AC69" s="14">
        <f t="shared" ca="1" si="19"/>
        <v>0</v>
      </c>
      <c r="AD69" s="14">
        <f t="shared" ca="1" si="19"/>
        <v>0</v>
      </c>
      <c r="AE69" s="14">
        <f t="shared" ca="1" si="19"/>
        <v>0</v>
      </c>
      <c r="AF69" s="14">
        <f t="shared" ca="1" si="19"/>
        <v>0</v>
      </c>
      <c r="AG69" s="14">
        <f t="shared" ca="1" si="19"/>
        <v>0</v>
      </c>
      <c r="AH69" s="14">
        <f t="shared" ca="1" si="19"/>
        <v>0</v>
      </c>
      <c r="AI69" s="14">
        <f t="shared" ca="1" si="19"/>
        <v>0</v>
      </c>
      <c r="AJ69" s="14">
        <f t="shared" ca="1" si="19"/>
        <v>0</v>
      </c>
      <c r="AK69" s="14">
        <f t="shared" ca="1" si="19"/>
        <v>0</v>
      </c>
      <c r="AL69" s="14">
        <f t="shared" ca="1" si="19"/>
        <v>0</v>
      </c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</row>
    <row r="70" spans="1:87" ht="21" customHeight="1" outlineLevel="1" thickBot="1" x14ac:dyDescent="0.4">
      <c r="A70" s="5">
        <f t="shared" si="20"/>
        <v>0</v>
      </c>
      <c r="B70" s="5">
        <f t="shared" si="20"/>
        <v>0</v>
      </c>
      <c r="C70" s="5">
        <f t="shared" si="20"/>
        <v>0</v>
      </c>
      <c r="D70" s="5">
        <f t="shared" si="20"/>
        <v>0</v>
      </c>
      <c r="E70" s="6">
        <f t="shared" si="20"/>
        <v>0</v>
      </c>
      <c r="F70" s="14">
        <f t="shared" ca="1" si="21"/>
        <v>0</v>
      </c>
      <c r="G70" s="14">
        <f t="shared" ca="1" si="19"/>
        <v>0</v>
      </c>
      <c r="H70" s="14">
        <f t="shared" ca="1" si="19"/>
        <v>0</v>
      </c>
      <c r="I70" s="14">
        <f t="shared" ca="1" si="19"/>
        <v>0</v>
      </c>
      <c r="J70" s="14">
        <f t="shared" ca="1" si="19"/>
        <v>0</v>
      </c>
      <c r="K70" s="14">
        <f t="shared" ca="1" si="19"/>
        <v>0</v>
      </c>
      <c r="L70" s="14">
        <f t="shared" ca="1" si="19"/>
        <v>0</v>
      </c>
      <c r="M70" s="14">
        <f t="shared" ca="1" si="19"/>
        <v>0</v>
      </c>
      <c r="N70" s="14">
        <f t="shared" ca="1" si="19"/>
        <v>0</v>
      </c>
      <c r="O70" s="14">
        <f t="shared" ca="1" si="19"/>
        <v>0</v>
      </c>
      <c r="P70" s="14">
        <f t="shared" ca="1" si="19"/>
        <v>0</v>
      </c>
      <c r="Q70" s="14">
        <f t="shared" ca="1" si="19"/>
        <v>0</v>
      </c>
      <c r="R70" s="14">
        <f t="shared" ca="1" si="19"/>
        <v>0</v>
      </c>
      <c r="S70" s="14">
        <f t="shared" ca="1" si="19"/>
        <v>0</v>
      </c>
      <c r="T70" s="14">
        <f t="shared" ca="1" si="19"/>
        <v>0</v>
      </c>
      <c r="U70" s="14">
        <f t="shared" ca="1" si="19"/>
        <v>0</v>
      </c>
      <c r="V70" s="14">
        <f t="shared" ca="1" si="19"/>
        <v>0</v>
      </c>
      <c r="W70" s="14">
        <f t="shared" ca="1" si="19"/>
        <v>0</v>
      </c>
      <c r="X70" s="14">
        <f t="shared" ca="1" si="19"/>
        <v>0</v>
      </c>
      <c r="Y70" s="14">
        <f t="shared" ca="1" si="19"/>
        <v>0</v>
      </c>
      <c r="Z70" s="14">
        <f t="shared" ca="1" si="19"/>
        <v>0</v>
      </c>
      <c r="AA70" s="14">
        <f t="shared" ca="1" si="19"/>
        <v>0</v>
      </c>
      <c r="AB70" s="14">
        <f t="shared" ca="1" si="19"/>
        <v>0</v>
      </c>
      <c r="AC70" s="14">
        <f t="shared" ca="1" si="19"/>
        <v>0</v>
      </c>
      <c r="AD70" s="14">
        <f t="shared" ca="1" si="19"/>
        <v>0</v>
      </c>
      <c r="AE70" s="14">
        <f t="shared" ca="1" si="19"/>
        <v>0</v>
      </c>
      <c r="AF70" s="14">
        <f t="shared" ca="1" si="19"/>
        <v>0</v>
      </c>
      <c r="AG70" s="14">
        <f t="shared" ca="1" si="19"/>
        <v>0</v>
      </c>
      <c r="AH70" s="14">
        <f t="shared" ca="1" si="19"/>
        <v>0</v>
      </c>
      <c r="AI70" s="14">
        <f t="shared" ca="1" si="19"/>
        <v>0</v>
      </c>
      <c r="AJ70" s="14">
        <f t="shared" ca="1" si="19"/>
        <v>0</v>
      </c>
      <c r="AK70" s="14">
        <f t="shared" ca="1" si="19"/>
        <v>0</v>
      </c>
      <c r="AL70" s="14">
        <f t="shared" ca="1" si="19"/>
        <v>0</v>
      </c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</row>
    <row r="71" spans="1:87" ht="21" customHeight="1" outlineLevel="1" thickBot="1" x14ac:dyDescent="0.4">
      <c r="A71" s="5">
        <f t="shared" si="20"/>
        <v>0</v>
      </c>
      <c r="B71" s="5">
        <f t="shared" si="20"/>
        <v>0</v>
      </c>
      <c r="C71" s="5">
        <f t="shared" si="20"/>
        <v>0</v>
      </c>
      <c r="D71" s="5">
        <f t="shared" si="20"/>
        <v>0</v>
      </c>
      <c r="E71" s="6">
        <f t="shared" si="20"/>
        <v>0</v>
      </c>
      <c r="F71" s="14">
        <f t="shared" ca="1" si="21"/>
        <v>0</v>
      </c>
      <c r="G71" s="14">
        <f t="shared" ca="1" si="19"/>
        <v>0</v>
      </c>
      <c r="H71" s="14">
        <f t="shared" ca="1" si="19"/>
        <v>0</v>
      </c>
      <c r="I71" s="14">
        <f t="shared" ca="1" si="19"/>
        <v>0</v>
      </c>
      <c r="J71" s="14">
        <f t="shared" ca="1" si="19"/>
        <v>0</v>
      </c>
      <c r="K71" s="14">
        <f t="shared" ca="1" si="19"/>
        <v>0</v>
      </c>
      <c r="L71" s="14">
        <f t="shared" ca="1" si="19"/>
        <v>0</v>
      </c>
      <c r="M71" s="14">
        <f t="shared" ca="1" si="19"/>
        <v>0</v>
      </c>
      <c r="N71" s="14">
        <f t="shared" ca="1" si="19"/>
        <v>0</v>
      </c>
      <c r="O71" s="14">
        <f t="shared" ca="1" si="19"/>
        <v>0</v>
      </c>
      <c r="P71" s="14">
        <f t="shared" ca="1" si="19"/>
        <v>0</v>
      </c>
      <c r="Q71" s="14">
        <f t="shared" ref="Q71:AL71" ca="1" si="22">$A71*H.Ar + $B71*H.Se + $C71*H.Ge + $D71*H.Ga</f>
        <v>0</v>
      </c>
      <c r="R71" s="14">
        <f t="shared" ca="1" si="22"/>
        <v>0</v>
      </c>
      <c r="S71" s="14">
        <f t="shared" ca="1" si="22"/>
        <v>0</v>
      </c>
      <c r="T71" s="14">
        <f t="shared" ca="1" si="22"/>
        <v>0</v>
      </c>
      <c r="U71" s="14">
        <f t="shared" ca="1" si="22"/>
        <v>0</v>
      </c>
      <c r="V71" s="14">
        <f t="shared" ca="1" si="22"/>
        <v>0</v>
      </c>
      <c r="W71" s="14">
        <f t="shared" ca="1" si="22"/>
        <v>0</v>
      </c>
      <c r="X71" s="14">
        <f t="shared" ca="1" si="22"/>
        <v>0</v>
      </c>
      <c r="Y71" s="14">
        <f t="shared" ca="1" si="22"/>
        <v>0</v>
      </c>
      <c r="Z71" s="14">
        <f t="shared" ca="1" si="22"/>
        <v>0</v>
      </c>
      <c r="AA71" s="14">
        <f t="shared" ca="1" si="22"/>
        <v>0</v>
      </c>
      <c r="AB71" s="14">
        <f t="shared" ca="1" si="22"/>
        <v>0</v>
      </c>
      <c r="AC71" s="14">
        <f t="shared" ca="1" si="22"/>
        <v>0</v>
      </c>
      <c r="AD71" s="14">
        <f t="shared" ca="1" si="22"/>
        <v>0</v>
      </c>
      <c r="AE71" s="14">
        <f t="shared" ca="1" si="22"/>
        <v>0</v>
      </c>
      <c r="AF71" s="14">
        <f t="shared" ca="1" si="22"/>
        <v>0</v>
      </c>
      <c r="AG71" s="14">
        <f t="shared" ca="1" si="22"/>
        <v>0</v>
      </c>
      <c r="AH71" s="14">
        <f t="shared" ca="1" si="22"/>
        <v>0</v>
      </c>
      <c r="AI71" s="14">
        <f t="shared" ca="1" si="22"/>
        <v>0</v>
      </c>
      <c r="AJ71" s="14">
        <f t="shared" ca="1" si="22"/>
        <v>0</v>
      </c>
      <c r="AK71" s="14">
        <f t="shared" ca="1" si="22"/>
        <v>0</v>
      </c>
      <c r="AL71" s="14">
        <f t="shared" ca="1" si="22"/>
        <v>0</v>
      </c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</row>
    <row r="72" spans="1:87" ht="21" customHeight="1" outlineLevel="1" thickBot="1" x14ac:dyDescent="0.4">
      <c r="A72" s="5">
        <f t="shared" si="20"/>
        <v>0</v>
      </c>
      <c r="B72" s="5">
        <f t="shared" si="20"/>
        <v>0</v>
      </c>
      <c r="C72" s="5">
        <f t="shared" si="20"/>
        <v>0</v>
      </c>
      <c r="D72" s="5">
        <f t="shared" si="20"/>
        <v>0</v>
      </c>
      <c r="E72" s="6">
        <f t="shared" si="20"/>
        <v>0</v>
      </c>
      <c r="F72" s="14">
        <f t="shared" ca="1" si="21"/>
        <v>0</v>
      </c>
      <c r="G72" s="14">
        <f t="shared" ref="G72:AL74" ca="1" si="23">$A72*H.Ar + $B72*H.Se + $C72*H.Ge + $D72*H.Ga</f>
        <v>0</v>
      </c>
      <c r="H72" s="14">
        <f t="shared" ca="1" si="23"/>
        <v>0</v>
      </c>
      <c r="I72" s="14">
        <f t="shared" ca="1" si="23"/>
        <v>0</v>
      </c>
      <c r="J72" s="14">
        <f t="shared" ca="1" si="23"/>
        <v>0</v>
      </c>
      <c r="K72" s="14">
        <f t="shared" ca="1" si="23"/>
        <v>0</v>
      </c>
      <c r="L72" s="14">
        <f t="shared" ca="1" si="23"/>
        <v>0</v>
      </c>
      <c r="M72" s="14">
        <f t="shared" ca="1" si="23"/>
        <v>0</v>
      </c>
      <c r="N72" s="14">
        <f t="shared" ca="1" si="23"/>
        <v>0</v>
      </c>
      <c r="O72" s="14">
        <f t="shared" ca="1" si="23"/>
        <v>0</v>
      </c>
      <c r="P72" s="14">
        <f t="shared" ca="1" si="23"/>
        <v>0</v>
      </c>
      <c r="Q72" s="14">
        <f t="shared" ca="1" si="23"/>
        <v>0</v>
      </c>
      <c r="R72" s="14">
        <f t="shared" ca="1" si="23"/>
        <v>0</v>
      </c>
      <c r="S72" s="14">
        <f t="shared" ca="1" si="23"/>
        <v>0</v>
      </c>
      <c r="T72" s="14">
        <f t="shared" ca="1" si="23"/>
        <v>0</v>
      </c>
      <c r="U72" s="14">
        <f t="shared" ca="1" si="23"/>
        <v>0</v>
      </c>
      <c r="V72" s="14">
        <f t="shared" ca="1" si="23"/>
        <v>0</v>
      </c>
      <c r="W72" s="14">
        <f t="shared" ca="1" si="23"/>
        <v>0</v>
      </c>
      <c r="X72" s="14">
        <f t="shared" ca="1" si="23"/>
        <v>0</v>
      </c>
      <c r="Y72" s="14">
        <f t="shared" ca="1" si="23"/>
        <v>0</v>
      </c>
      <c r="Z72" s="14">
        <f t="shared" ca="1" si="23"/>
        <v>0</v>
      </c>
      <c r="AA72" s="14">
        <f t="shared" ca="1" si="23"/>
        <v>0</v>
      </c>
      <c r="AB72" s="14">
        <f t="shared" ca="1" si="23"/>
        <v>0</v>
      </c>
      <c r="AC72" s="14">
        <f t="shared" ca="1" si="23"/>
        <v>0</v>
      </c>
      <c r="AD72" s="14">
        <f t="shared" ca="1" si="23"/>
        <v>0</v>
      </c>
      <c r="AE72" s="14">
        <f t="shared" ca="1" si="23"/>
        <v>0</v>
      </c>
      <c r="AF72" s="14">
        <f t="shared" ca="1" si="23"/>
        <v>0</v>
      </c>
      <c r="AG72" s="14">
        <f t="shared" ca="1" si="23"/>
        <v>0</v>
      </c>
      <c r="AH72" s="14">
        <f t="shared" ca="1" si="23"/>
        <v>0</v>
      </c>
      <c r="AI72" s="14">
        <f t="shared" ca="1" si="23"/>
        <v>0</v>
      </c>
      <c r="AJ72" s="14">
        <f t="shared" ca="1" si="23"/>
        <v>0</v>
      </c>
      <c r="AK72" s="14">
        <f t="shared" ca="1" si="23"/>
        <v>0</v>
      </c>
      <c r="AL72" s="14">
        <f t="shared" ca="1" si="23"/>
        <v>0</v>
      </c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</row>
    <row r="73" spans="1:87" ht="21" customHeight="1" outlineLevel="1" thickBot="1" x14ac:dyDescent="0.4">
      <c r="A73" s="5">
        <f t="shared" si="20"/>
        <v>0</v>
      </c>
      <c r="B73" s="5">
        <f t="shared" si="20"/>
        <v>0</v>
      </c>
      <c r="C73" s="5">
        <f t="shared" si="20"/>
        <v>0</v>
      </c>
      <c r="D73" s="5">
        <f t="shared" si="20"/>
        <v>0</v>
      </c>
      <c r="E73" s="6">
        <f t="shared" si="20"/>
        <v>0</v>
      </c>
      <c r="F73" s="14">
        <f t="shared" ca="1" si="21"/>
        <v>0</v>
      </c>
      <c r="G73" s="14">
        <f t="shared" ca="1" si="23"/>
        <v>0</v>
      </c>
      <c r="H73" s="14">
        <f t="shared" ca="1" si="23"/>
        <v>0</v>
      </c>
      <c r="I73" s="14">
        <f t="shared" ca="1" si="23"/>
        <v>0</v>
      </c>
      <c r="J73" s="14">
        <f t="shared" ca="1" si="23"/>
        <v>0</v>
      </c>
      <c r="K73" s="14">
        <f t="shared" ca="1" si="23"/>
        <v>0</v>
      </c>
      <c r="L73" s="14">
        <f t="shared" ca="1" si="23"/>
        <v>0</v>
      </c>
      <c r="M73" s="14">
        <f t="shared" ca="1" si="23"/>
        <v>0</v>
      </c>
      <c r="N73" s="14">
        <f t="shared" ca="1" si="23"/>
        <v>0</v>
      </c>
      <c r="O73" s="14">
        <f t="shared" ca="1" si="23"/>
        <v>0</v>
      </c>
      <c r="P73" s="14">
        <f t="shared" ca="1" si="23"/>
        <v>0</v>
      </c>
      <c r="Q73" s="14">
        <f t="shared" ca="1" si="23"/>
        <v>0</v>
      </c>
      <c r="R73" s="14">
        <f t="shared" ca="1" si="23"/>
        <v>0</v>
      </c>
      <c r="S73" s="14">
        <f t="shared" ca="1" si="23"/>
        <v>0</v>
      </c>
      <c r="T73" s="14">
        <f t="shared" ca="1" si="23"/>
        <v>0</v>
      </c>
      <c r="U73" s="14">
        <f t="shared" ca="1" si="23"/>
        <v>0</v>
      </c>
      <c r="V73" s="14">
        <f t="shared" ca="1" si="23"/>
        <v>0</v>
      </c>
      <c r="W73" s="14">
        <f t="shared" ca="1" si="23"/>
        <v>0</v>
      </c>
      <c r="X73" s="14">
        <f t="shared" ca="1" si="23"/>
        <v>0</v>
      </c>
      <c r="Y73" s="14">
        <f t="shared" ca="1" si="23"/>
        <v>0</v>
      </c>
      <c r="Z73" s="14">
        <f t="shared" ca="1" si="23"/>
        <v>0</v>
      </c>
      <c r="AA73" s="14">
        <f t="shared" ca="1" si="23"/>
        <v>0</v>
      </c>
      <c r="AB73" s="14">
        <f t="shared" ca="1" si="23"/>
        <v>0</v>
      </c>
      <c r="AC73" s="14">
        <f t="shared" ca="1" si="23"/>
        <v>0</v>
      </c>
      <c r="AD73" s="14">
        <f t="shared" ca="1" si="23"/>
        <v>0</v>
      </c>
      <c r="AE73" s="14">
        <f t="shared" ca="1" si="23"/>
        <v>0</v>
      </c>
      <c r="AF73" s="14">
        <f t="shared" ca="1" si="23"/>
        <v>0</v>
      </c>
      <c r="AG73" s="14">
        <f t="shared" ca="1" si="23"/>
        <v>0</v>
      </c>
      <c r="AH73" s="14">
        <f t="shared" ca="1" si="23"/>
        <v>0</v>
      </c>
      <c r="AI73" s="14">
        <f t="shared" ca="1" si="23"/>
        <v>0</v>
      </c>
      <c r="AJ73" s="14">
        <f t="shared" ca="1" si="23"/>
        <v>0</v>
      </c>
      <c r="AK73" s="14">
        <f t="shared" ca="1" si="23"/>
        <v>0</v>
      </c>
      <c r="AL73" s="14">
        <f t="shared" ca="1" si="23"/>
        <v>0</v>
      </c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</row>
    <row r="74" spans="1:87" ht="21" customHeight="1" outlineLevel="1" thickBot="1" x14ac:dyDescent="0.4">
      <c r="A74" s="5">
        <f t="shared" si="20"/>
        <v>0</v>
      </c>
      <c r="B74" s="5">
        <f t="shared" si="20"/>
        <v>0</v>
      </c>
      <c r="C74" s="5">
        <f t="shared" si="20"/>
        <v>0</v>
      </c>
      <c r="D74" s="5">
        <f t="shared" si="20"/>
        <v>0</v>
      </c>
      <c r="E74" s="6">
        <f t="shared" si="20"/>
        <v>0</v>
      </c>
      <c r="F74" s="14">
        <f t="shared" ca="1" si="21"/>
        <v>0</v>
      </c>
      <c r="G74" s="14">
        <f t="shared" ca="1" si="23"/>
        <v>0</v>
      </c>
      <c r="H74" s="14">
        <f t="shared" ca="1" si="23"/>
        <v>0</v>
      </c>
      <c r="I74" s="14">
        <f t="shared" ca="1" si="23"/>
        <v>0</v>
      </c>
      <c r="J74" s="14">
        <f t="shared" ca="1" si="23"/>
        <v>0</v>
      </c>
      <c r="K74" s="14">
        <f t="shared" ca="1" si="23"/>
        <v>0</v>
      </c>
      <c r="L74" s="14">
        <f t="shared" ca="1" si="23"/>
        <v>0</v>
      </c>
      <c r="M74" s="14">
        <f t="shared" ca="1" si="23"/>
        <v>0</v>
      </c>
      <c r="N74" s="14">
        <f t="shared" ca="1" si="23"/>
        <v>0</v>
      </c>
      <c r="O74" s="14">
        <f t="shared" ca="1" si="23"/>
        <v>0</v>
      </c>
      <c r="P74" s="14">
        <f t="shared" ca="1" si="23"/>
        <v>0</v>
      </c>
      <c r="Q74" s="14">
        <f t="shared" ca="1" si="23"/>
        <v>0</v>
      </c>
      <c r="R74" s="14">
        <f t="shared" ca="1" si="23"/>
        <v>0</v>
      </c>
      <c r="S74" s="14">
        <f t="shared" ca="1" si="23"/>
        <v>0</v>
      </c>
      <c r="T74" s="14">
        <f t="shared" ca="1" si="23"/>
        <v>0</v>
      </c>
      <c r="U74" s="14">
        <f t="shared" ca="1" si="23"/>
        <v>0</v>
      </c>
      <c r="V74" s="14">
        <f t="shared" ca="1" si="23"/>
        <v>0</v>
      </c>
      <c r="W74" s="14">
        <f t="shared" ca="1" si="23"/>
        <v>0</v>
      </c>
      <c r="X74" s="14">
        <f t="shared" ca="1" si="23"/>
        <v>0</v>
      </c>
      <c r="Y74" s="14">
        <f t="shared" ca="1" si="23"/>
        <v>0</v>
      </c>
      <c r="Z74" s="14">
        <f t="shared" ca="1" si="23"/>
        <v>0</v>
      </c>
      <c r="AA74" s="14">
        <f t="shared" ca="1" si="23"/>
        <v>0</v>
      </c>
      <c r="AB74" s="14">
        <f t="shared" ca="1" si="23"/>
        <v>0</v>
      </c>
      <c r="AC74" s="14">
        <f t="shared" ca="1" si="23"/>
        <v>0</v>
      </c>
      <c r="AD74" s="14">
        <f t="shared" ca="1" si="23"/>
        <v>0</v>
      </c>
      <c r="AE74" s="14">
        <f t="shared" ca="1" si="23"/>
        <v>0</v>
      </c>
      <c r="AF74" s="14">
        <f t="shared" ca="1" si="23"/>
        <v>0</v>
      </c>
      <c r="AG74" s="14">
        <f t="shared" ca="1" si="23"/>
        <v>0</v>
      </c>
      <c r="AH74" s="14">
        <f t="shared" ca="1" si="23"/>
        <v>0</v>
      </c>
      <c r="AI74" s="14">
        <f t="shared" ca="1" si="23"/>
        <v>0</v>
      </c>
      <c r="AJ74" s="14">
        <f t="shared" ca="1" si="23"/>
        <v>0</v>
      </c>
      <c r="AK74" s="14">
        <f t="shared" ca="1" si="23"/>
        <v>0</v>
      </c>
      <c r="AL74" s="14">
        <f t="shared" ca="1" si="23"/>
        <v>0</v>
      </c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</row>
    <row r="75" spans="1:87" ht="21" customHeight="1" outlineLevel="1" thickBot="1" x14ac:dyDescent="0.4">
      <c r="A75" s="5">
        <f t="shared" si="20"/>
        <v>0</v>
      </c>
      <c r="B75" s="5">
        <f t="shared" si="20"/>
        <v>0</v>
      </c>
      <c r="C75" s="5">
        <f t="shared" si="20"/>
        <v>0</v>
      </c>
      <c r="D75" s="5">
        <f t="shared" si="20"/>
        <v>0</v>
      </c>
      <c r="E75" s="6">
        <f t="shared" si="20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</row>
    <row r="76" spans="1:87" ht="21" customHeight="1" outlineLevel="1" x14ac:dyDescent="0.35">
      <c r="U76" s="48"/>
      <c r="V76" s="48"/>
      <c r="W76" s="48"/>
    </row>
    <row r="77" spans="1:87" ht="21" customHeight="1" x14ac:dyDescent="0.35">
      <c r="U77" s="48"/>
      <c r="V77" s="48"/>
      <c r="W77" s="48"/>
    </row>
    <row r="78" spans="1:87" ht="21" customHeight="1" x14ac:dyDescent="0.4">
      <c r="A78" s="79"/>
      <c r="B78" s="79"/>
      <c r="C78" s="80">
        <f>E41</f>
        <v>4.166666666666667</v>
      </c>
      <c r="D78" s="66"/>
      <c r="E78" s="65" t="s">
        <v>21</v>
      </c>
      <c r="F78" s="66"/>
      <c r="G78" s="66"/>
      <c r="H78" s="66"/>
      <c r="I78" s="66"/>
      <c r="J78" s="66"/>
      <c r="K78" s="66"/>
      <c r="L78" s="66"/>
      <c r="M78" s="66"/>
      <c r="N78" s="66"/>
      <c r="O78" s="66"/>
      <c r="P78" s="66"/>
      <c r="Q78" s="66"/>
      <c r="R78" s="66"/>
      <c r="S78" s="66"/>
      <c r="T78" s="66"/>
      <c r="U78" s="66"/>
      <c r="V78" s="66"/>
      <c r="W78" s="66"/>
      <c r="X78" s="66"/>
      <c r="Y78" s="66"/>
      <c r="Z78" s="66"/>
      <c r="AA78" s="66"/>
      <c r="AB78" s="66"/>
      <c r="AC78" s="66"/>
      <c r="AD78" s="66"/>
      <c r="AE78" s="66"/>
      <c r="AF78" s="66"/>
      <c r="AG78" s="66"/>
      <c r="AH78" s="66"/>
      <c r="AI78" s="66"/>
      <c r="AJ78" s="66"/>
      <c r="AK78" s="66"/>
      <c r="AL78" s="66"/>
      <c r="AM78" s="66"/>
      <c r="AN78" s="66"/>
      <c r="AO78" s="66"/>
      <c r="AP78" s="66"/>
      <c r="AQ78" s="66"/>
      <c r="AR78" s="66"/>
      <c r="AS78" s="66"/>
      <c r="AT78" s="66"/>
      <c r="AU78" s="66"/>
      <c r="AV78" s="66"/>
      <c r="AW78" s="66"/>
      <c r="AX78" s="66"/>
      <c r="AY78" s="66"/>
      <c r="AZ78" s="66"/>
      <c r="BA78" s="66"/>
      <c r="BB78" s="66"/>
      <c r="BC78" s="66"/>
      <c r="BD78" s="66"/>
      <c r="BE78" s="66"/>
      <c r="BF78" s="66"/>
      <c r="BG78" s="66"/>
      <c r="BH78" s="66"/>
      <c r="BI78" s="66"/>
      <c r="BJ78" s="66"/>
      <c r="BK78" s="66"/>
      <c r="BL78" s="66"/>
      <c r="BM78" s="66"/>
      <c r="BN78" s="66"/>
      <c r="BO78" s="66"/>
      <c r="BP78" s="66"/>
      <c r="BQ78" s="66"/>
      <c r="BR78" s="66"/>
      <c r="BS78" s="66"/>
      <c r="BT78" s="66"/>
      <c r="BU78" s="66"/>
      <c r="BV78" s="66"/>
      <c r="BW78" s="66"/>
      <c r="BX78" s="66"/>
      <c r="BY78" s="66"/>
      <c r="BZ78" s="66"/>
      <c r="CA78" s="66"/>
      <c r="CB78" s="66"/>
      <c r="CC78" s="66"/>
      <c r="CD78" s="66"/>
      <c r="CE78" s="66"/>
      <c r="CF78" s="66"/>
      <c r="CG78" s="66"/>
      <c r="CH78" s="66"/>
      <c r="CI78" s="66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4">E45</f>
        <v>Temperature,К</v>
      </c>
      <c r="F79" s="3">
        <f t="shared" ref="F79:AL79" si="25">F3</f>
        <v>273.10000000000002</v>
      </c>
      <c r="G79" s="3">
        <f t="shared" si="25"/>
        <v>289.7</v>
      </c>
      <c r="H79" s="3">
        <f t="shared" si="25"/>
        <v>306.2</v>
      </c>
      <c r="I79" s="3">
        <f t="shared" si="25"/>
        <v>322.7</v>
      </c>
      <c r="J79" s="3">
        <f t="shared" si="25"/>
        <v>339.2</v>
      </c>
      <c r="K79" s="3">
        <f t="shared" si="25"/>
        <v>355.7</v>
      </c>
      <c r="L79" s="3">
        <f t="shared" si="25"/>
        <v>372.3</v>
      </c>
      <c r="M79" s="3">
        <f t="shared" si="25"/>
        <v>388.8</v>
      </c>
      <c r="N79" s="3">
        <f t="shared" si="25"/>
        <v>405.3</v>
      </c>
      <c r="O79" s="3">
        <f t="shared" si="25"/>
        <v>471.4</v>
      </c>
      <c r="P79" s="3">
        <f t="shared" si="25"/>
        <v>487.9</v>
      </c>
      <c r="Q79" s="3">
        <f t="shared" si="25"/>
        <v>504.4</v>
      </c>
      <c r="R79" s="3">
        <f t="shared" si="25"/>
        <v>520.9</v>
      </c>
      <c r="S79" s="3">
        <f t="shared" si="25"/>
        <v>537.5</v>
      </c>
      <c r="T79" s="3">
        <f t="shared" si="25"/>
        <v>554</v>
      </c>
      <c r="U79" s="3">
        <f t="shared" si="25"/>
        <v>570.5</v>
      </c>
      <c r="V79" s="3">
        <f t="shared" si="25"/>
        <v>587</v>
      </c>
      <c r="W79" s="3">
        <f t="shared" si="25"/>
        <v>603.5</v>
      </c>
      <c r="X79" s="3">
        <f t="shared" si="25"/>
        <v>620.1</v>
      </c>
      <c r="Y79" s="3">
        <f t="shared" si="25"/>
        <v>636.6</v>
      </c>
      <c r="Z79" s="3">
        <f t="shared" si="25"/>
        <v>653.1</v>
      </c>
      <c r="AA79" s="3">
        <f t="shared" si="25"/>
        <v>669.6</v>
      </c>
      <c r="AB79" s="3">
        <f t="shared" si="25"/>
        <v>735.7</v>
      </c>
      <c r="AC79" s="3">
        <f t="shared" si="25"/>
        <v>752.2</v>
      </c>
      <c r="AD79" s="3">
        <f t="shared" si="25"/>
        <v>768.7</v>
      </c>
      <c r="AE79" s="3">
        <f t="shared" si="25"/>
        <v>785.2</v>
      </c>
      <c r="AF79" s="3">
        <f t="shared" si="25"/>
        <v>801.8</v>
      </c>
      <c r="AG79" s="3">
        <f t="shared" si="25"/>
        <v>818.3</v>
      </c>
      <c r="AH79" s="3">
        <f t="shared" si="25"/>
        <v>834.8</v>
      </c>
      <c r="AI79" s="3">
        <f t="shared" si="25"/>
        <v>851.3</v>
      </c>
      <c r="AJ79" s="3">
        <f t="shared" si="25"/>
        <v>867.8</v>
      </c>
      <c r="AK79" s="3">
        <f t="shared" si="25"/>
        <v>933.9</v>
      </c>
      <c r="AL79" s="3">
        <f t="shared" si="25"/>
        <v>950.4</v>
      </c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26">B46</f>
        <v>1</v>
      </c>
      <c r="C80" s="5">
        <f t="shared" si="26"/>
        <v>0</v>
      </c>
      <c r="D80" s="5">
        <f t="shared" si="26"/>
        <v>0</v>
      </c>
      <c r="E80" s="6" t="str">
        <f t="shared" si="24"/>
        <v>*Se[M]</v>
      </c>
      <c r="F80" s="14">
        <f t="shared" ref="F80:AL80" si="27">F4*$C$78</f>
        <v>1.1580000000000001E-18</v>
      </c>
      <c r="G80" s="14">
        <f t="shared" si="27"/>
        <v>8.917916666666667E-14</v>
      </c>
      <c r="H80" s="14">
        <f t="shared" si="27"/>
        <v>2.677541666666667E-10</v>
      </c>
      <c r="I80" s="14">
        <f t="shared" si="27"/>
        <v>7.1554166666666676E-9</v>
      </c>
      <c r="J80" s="14">
        <f t="shared" si="27"/>
        <v>1.4824166666666667E-6</v>
      </c>
      <c r="K80" s="14">
        <f t="shared" si="27"/>
        <v>0.5</v>
      </c>
      <c r="L80" s="14">
        <f t="shared" si="27"/>
        <v>0.5</v>
      </c>
      <c r="M80" s="14">
        <f t="shared" si="27"/>
        <v>0.5</v>
      </c>
      <c r="N80" s="14">
        <f t="shared" si="27"/>
        <v>0.5</v>
      </c>
      <c r="O80" s="14">
        <f t="shared" si="27"/>
        <v>0.5</v>
      </c>
      <c r="P80" s="14">
        <f t="shared" si="27"/>
        <v>0.5</v>
      </c>
      <c r="Q80" s="14">
        <f t="shared" si="27"/>
        <v>0.5</v>
      </c>
      <c r="R80" s="14">
        <f t="shared" si="27"/>
        <v>1.5</v>
      </c>
      <c r="S80" s="14">
        <f t="shared" si="27"/>
        <v>1.5</v>
      </c>
      <c r="T80" s="14">
        <f t="shared" si="27"/>
        <v>1.5</v>
      </c>
      <c r="U80" s="14">
        <f t="shared" si="27"/>
        <v>1.5</v>
      </c>
      <c r="V80" s="14">
        <f t="shared" si="27"/>
        <v>1.5</v>
      </c>
      <c r="W80" s="14">
        <f t="shared" si="27"/>
        <v>1.666666666666667</v>
      </c>
      <c r="X80" s="14">
        <f t="shared" si="27"/>
        <v>1.666666666666667</v>
      </c>
      <c r="Y80" s="14">
        <f t="shared" si="27"/>
        <v>1.666666666666667</v>
      </c>
      <c r="Z80" s="14">
        <f t="shared" si="27"/>
        <v>1.666666666666667</v>
      </c>
      <c r="AA80" s="14">
        <f t="shared" si="27"/>
        <v>1.666666666666667</v>
      </c>
      <c r="AB80" s="14">
        <f t="shared" si="27"/>
        <v>1.666666666666667</v>
      </c>
      <c r="AC80" s="14">
        <f t="shared" si="27"/>
        <v>1.666666666666667</v>
      </c>
      <c r="AD80" s="14">
        <f t="shared" si="27"/>
        <v>1.666666666666667</v>
      </c>
      <c r="AE80" s="14">
        <f t="shared" si="27"/>
        <v>1.666666666666667</v>
      </c>
      <c r="AF80" s="14">
        <f t="shared" si="27"/>
        <v>1.666666666666667</v>
      </c>
      <c r="AG80" s="14">
        <f t="shared" si="27"/>
        <v>1.9920833333333337</v>
      </c>
      <c r="AH80" s="14">
        <f t="shared" si="27"/>
        <v>2</v>
      </c>
      <c r="AI80" s="14">
        <f t="shared" si="27"/>
        <v>2</v>
      </c>
      <c r="AJ80" s="14">
        <f t="shared" si="27"/>
        <v>2</v>
      </c>
      <c r="AK80" s="14">
        <f t="shared" si="27"/>
        <v>2</v>
      </c>
      <c r="AL80" s="14">
        <f t="shared" si="27"/>
        <v>2</v>
      </c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</row>
    <row r="81" spans="1:71" ht="21" hidden="1" customHeight="1" outlineLevel="1" thickBot="1" x14ac:dyDescent="0.4">
      <c r="A81" s="5">
        <f t="shared" ref="A81:D96" si="28">A47</f>
        <v>0</v>
      </c>
      <c r="B81" s="5">
        <f t="shared" si="28"/>
        <v>0</v>
      </c>
      <c r="C81" s="5">
        <f t="shared" si="28"/>
        <v>1</v>
      </c>
      <c r="D81" s="5">
        <f t="shared" si="28"/>
        <v>0</v>
      </c>
      <c r="E81" s="6" t="str">
        <f t="shared" si="24"/>
        <v>*Ge</v>
      </c>
      <c r="F81" s="14">
        <f t="shared" ref="F81:AL81" si="29">F5*$C$78</f>
        <v>0</v>
      </c>
      <c r="G81" s="14">
        <f t="shared" si="29"/>
        <v>0</v>
      </c>
      <c r="H81" s="14">
        <f t="shared" si="29"/>
        <v>0</v>
      </c>
      <c r="I81" s="14">
        <f t="shared" si="29"/>
        <v>0</v>
      </c>
      <c r="J81" s="14">
        <f t="shared" si="29"/>
        <v>0</v>
      </c>
      <c r="K81" s="14">
        <f t="shared" si="29"/>
        <v>0</v>
      </c>
      <c r="L81" s="14">
        <f t="shared" si="29"/>
        <v>0</v>
      </c>
      <c r="M81" s="14">
        <f t="shared" si="29"/>
        <v>8.4620833333333337E-33</v>
      </c>
      <c r="N81" s="14">
        <f t="shared" si="29"/>
        <v>2.1317916666666667E-25</v>
      </c>
      <c r="O81" s="14">
        <f t="shared" si="29"/>
        <v>1.1655E-9</v>
      </c>
      <c r="P81" s="14">
        <f t="shared" si="29"/>
        <v>5.8933333333333337E-9</v>
      </c>
      <c r="Q81" s="14">
        <f t="shared" si="29"/>
        <v>1.2676250000000002E-7</v>
      </c>
      <c r="R81" s="14">
        <f t="shared" si="29"/>
        <v>1</v>
      </c>
      <c r="S81" s="14">
        <f t="shared" si="29"/>
        <v>1</v>
      </c>
      <c r="T81" s="14">
        <f t="shared" si="29"/>
        <v>1</v>
      </c>
      <c r="U81" s="14">
        <f t="shared" si="29"/>
        <v>1</v>
      </c>
      <c r="V81" s="14">
        <f t="shared" si="29"/>
        <v>1</v>
      </c>
      <c r="W81" s="14">
        <f t="shared" si="29"/>
        <v>1</v>
      </c>
      <c r="X81" s="14">
        <f t="shared" si="29"/>
        <v>1</v>
      </c>
      <c r="Y81" s="14">
        <f t="shared" si="29"/>
        <v>1</v>
      </c>
      <c r="Z81" s="14">
        <f t="shared" si="29"/>
        <v>1</v>
      </c>
      <c r="AA81" s="14">
        <f t="shared" si="29"/>
        <v>1</v>
      </c>
      <c r="AB81" s="14">
        <f t="shared" si="29"/>
        <v>1</v>
      </c>
      <c r="AC81" s="14">
        <f t="shared" si="29"/>
        <v>1</v>
      </c>
      <c r="AD81" s="14">
        <f t="shared" si="29"/>
        <v>1</v>
      </c>
      <c r="AE81" s="14">
        <f t="shared" si="29"/>
        <v>1</v>
      </c>
      <c r="AF81" s="14">
        <f t="shared" si="29"/>
        <v>1</v>
      </c>
      <c r="AG81" s="14">
        <f t="shared" si="29"/>
        <v>0.93250000000000011</v>
      </c>
      <c r="AH81" s="14">
        <f t="shared" si="29"/>
        <v>0.92120833333333341</v>
      </c>
      <c r="AI81" s="14">
        <f t="shared" si="29"/>
        <v>0.91037500000000005</v>
      </c>
      <c r="AJ81" s="14">
        <f t="shared" si="29"/>
        <v>0.89816666666666678</v>
      </c>
      <c r="AK81" s="14">
        <f t="shared" si="29"/>
        <v>0.83141666666666669</v>
      </c>
      <c r="AL81" s="14">
        <f t="shared" si="29"/>
        <v>0.80854166666666671</v>
      </c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</row>
    <row r="82" spans="1:71" ht="21" hidden="1" customHeight="1" outlineLevel="1" thickBot="1" x14ac:dyDescent="0.4">
      <c r="A82" s="5">
        <f t="shared" si="28"/>
        <v>0</v>
      </c>
      <c r="B82" s="5">
        <f t="shared" si="28"/>
        <v>3</v>
      </c>
      <c r="C82" s="5">
        <f t="shared" si="28"/>
        <v>0</v>
      </c>
      <c r="D82" s="5">
        <f t="shared" si="28"/>
        <v>2</v>
      </c>
      <c r="E82" s="6" t="str">
        <f t="shared" si="24"/>
        <v>*Ga2Se3</v>
      </c>
      <c r="F82" s="14">
        <f t="shared" ref="F82:AL82" si="30">F6*$C$78</f>
        <v>0.16666666666666669</v>
      </c>
      <c r="G82" s="14">
        <f t="shared" si="30"/>
        <v>0.16666666666666669</v>
      </c>
      <c r="H82" s="14">
        <f t="shared" si="30"/>
        <v>0.16666666666666669</v>
      </c>
      <c r="I82" s="14">
        <f t="shared" si="30"/>
        <v>0.16666666666666669</v>
      </c>
      <c r="J82" s="14">
        <f t="shared" si="30"/>
        <v>0.16666666666666669</v>
      </c>
      <c r="K82" s="14">
        <f t="shared" si="30"/>
        <v>0.16666666666666669</v>
      </c>
      <c r="L82" s="14">
        <f t="shared" si="30"/>
        <v>0.16666666666666669</v>
      </c>
      <c r="M82" s="14">
        <f t="shared" si="30"/>
        <v>0.16666666666666669</v>
      </c>
      <c r="N82" s="14">
        <f t="shared" si="30"/>
        <v>0.16666666666666669</v>
      </c>
      <c r="O82" s="14">
        <f t="shared" si="30"/>
        <v>0.16666666666666669</v>
      </c>
      <c r="P82" s="14">
        <f t="shared" si="30"/>
        <v>0.16666666666666669</v>
      </c>
      <c r="Q82" s="14">
        <f t="shared" si="30"/>
        <v>0.16666666666666669</v>
      </c>
      <c r="R82" s="14">
        <f t="shared" si="30"/>
        <v>0.16666666666666669</v>
      </c>
      <c r="S82" s="14">
        <f t="shared" si="30"/>
        <v>0.16666666666666669</v>
      </c>
      <c r="T82" s="14">
        <f t="shared" si="30"/>
        <v>0.16666666666666669</v>
      </c>
      <c r="U82" s="14">
        <f t="shared" si="30"/>
        <v>0.16666666666666669</v>
      </c>
      <c r="V82" s="14">
        <f t="shared" si="30"/>
        <v>0.16666666666666669</v>
      </c>
      <c r="W82" s="14">
        <f t="shared" si="30"/>
        <v>6.2691666666666679E-7</v>
      </c>
      <c r="X82" s="14">
        <f t="shared" si="30"/>
        <v>4.9762499999999996E-9</v>
      </c>
      <c r="Y82" s="14">
        <f t="shared" si="30"/>
        <v>8.8541666666666674E-10</v>
      </c>
      <c r="Z82" s="14">
        <f t="shared" si="30"/>
        <v>5.6954166666666669E-11</v>
      </c>
      <c r="AA82" s="14">
        <f t="shared" si="30"/>
        <v>1.3436666666666668E-11</v>
      </c>
      <c r="AB82" s="14">
        <f t="shared" si="30"/>
        <v>7.0254166666666677E-25</v>
      </c>
      <c r="AC82" s="14">
        <f t="shared" si="30"/>
        <v>7.9970833333333343E-30</v>
      </c>
      <c r="AD82" s="14">
        <f t="shared" si="30"/>
        <v>0</v>
      </c>
      <c r="AE82" s="14">
        <f t="shared" si="30"/>
        <v>0</v>
      </c>
      <c r="AF82" s="14">
        <f t="shared" si="30"/>
        <v>0</v>
      </c>
      <c r="AG82" s="14">
        <f t="shared" si="30"/>
        <v>0</v>
      </c>
      <c r="AH82" s="14">
        <f t="shared" si="30"/>
        <v>0</v>
      </c>
      <c r="AI82" s="14">
        <f t="shared" si="30"/>
        <v>0</v>
      </c>
      <c r="AJ82" s="14">
        <f t="shared" si="30"/>
        <v>0</v>
      </c>
      <c r="AK82" s="14">
        <f t="shared" si="30"/>
        <v>0</v>
      </c>
      <c r="AL82" s="14">
        <f t="shared" si="30"/>
        <v>0</v>
      </c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  <c r="BJ82" s="14"/>
      <c r="BK82" s="14"/>
      <c r="BL82" s="14"/>
      <c r="BM82" s="14"/>
      <c r="BN82" s="14"/>
      <c r="BO82" s="14"/>
      <c r="BP82" s="14"/>
      <c r="BQ82" s="14"/>
      <c r="BR82" s="14"/>
      <c r="BS82" s="14"/>
    </row>
    <row r="83" spans="1:71" ht="21" hidden="1" customHeight="1" outlineLevel="1" thickBot="1" x14ac:dyDescent="0.4">
      <c r="A83" s="5">
        <f t="shared" si="28"/>
        <v>0</v>
      </c>
      <c r="B83" s="5">
        <f t="shared" si="28"/>
        <v>0</v>
      </c>
      <c r="C83" s="5">
        <f t="shared" si="28"/>
        <v>0</v>
      </c>
      <c r="D83" s="5">
        <f t="shared" si="28"/>
        <v>1</v>
      </c>
      <c r="E83" s="6" t="str">
        <f t="shared" si="24"/>
        <v>*Ga[1]</v>
      </c>
      <c r="F83" s="14">
        <f t="shared" ref="F83:AL83" si="31">F7*$C$78</f>
        <v>0</v>
      </c>
      <c r="G83" s="14">
        <f t="shared" si="31"/>
        <v>0</v>
      </c>
      <c r="H83" s="14">
        <f t="shared" si="31"/>
        <v>0</v>
      </c>
      <c r="I83" s="14">
        <f t="shared" si="31"/>
        <v>0</v>
      </c>
      <c r="J83" s="14">
        <f t="shared" si="31"/>
        <v>0</v>
      </c>
      <c r="K83" s="14">
        <f t="shared" si="31"/>
        <v>0</v>
      </c>
      <c r="L83" s="14">
        <f t="shared" si="31"/>
        <v>0</v>
      </c>
      <c r="M83" s="14">
        <f t="shared" si="31"/>
        <v>0</v>
      </c>
      <c r="N83" s="14">
        <f t="shared" si="31"/>
        <v>0</v>
      </c>
      <c r="O83" s="14">
        <f t="shared" si="31"/>
        <v>0</v>
      </c>
      <c r="P83" s="14">
        <f t="shared" si="31"/>
        <v>0</v>
      </c>
      <c r="Q83" s="14">
        <f t="shared" si="31"/>
        <v>0</v>
      </c>
      <c r="R83" s="14">
        <f t="shared" si="31"/>
        <v>0</v>
      </c>
      <c r="S83" s="14">
        <f t="shared" si="31"/>
        <v>0</v>
      </c>
      <c r="T83" s="14">
        <f t="shared" si="31"/>
        <v>0</v>
      </c>
      <c r="U83" s="14">
        <f t="shared" si="31"/>
        <v>0</v>
      </c>
      <c r="V83" s="14">
        <f t="shared" si="31"/>
        <v>0</v>
      </c>
      <c r="W83" s="14">
        <f t="shared" si="31"/>
        <v>0</v>
      </c>
      <c r="X83" s="14">
        <f t="shared" si="31"/>
        <v>0</v>
      </c>
      <c r="Y83" s="14">
        <f t="shared" si="31"/>
        <v>0</v>
      </c>
      <c r="Z83" s="14">
        <f t="shared" si="31"/>
        <v>0</v>
      </c>
      <c r="AA83" s="14">
        <f t="shared" si="31"/>
        <v>0</v>
      </c>
      <c r="AB83" s="14">
        <f t="shared" si="31"/>
        <v>2.3709166666666668E-26</v>
      </c>
      <c r="AC83" s="14">
        <f t="shared" si="31"/>
        <v>1.3267916666666668E-23</v>
      </c>
      <c r="AD83" s="14">
        <f t="shared" si="31"/>
        <v>2.4137083333333335E-21</v>
      </c>
      <c r="AE83" s="14">
        <f t="shared" si="31"/>
        <v>5.1416666666666672E-20</v>
      </c>
      <c r="AF83" s="14">
        <f t="shared" si="31"/>
        <v>2.2416666666666671E-18</v>
      </c>
      <c r="AG83" s="14">
        <f t="shared" si="31"/>
        <v>2.8584166666666668E-19</v>
      </c>
      <c r="AH83" s="14">
        <f t="shared" si="31"/>
        <v>8.2241666666666677E-9</v>
      </c>
      <c r="AI83" s="14">
        <f t="shared" si="31"/>
        <v>1.1792916666666667E-7</v>
      </c>
      <c r="AJ83" s="14">
        <f t="shared" si="31"/>
        <v>1.7550833333333333E-7</v>
      </c>
      <c r="AK83" s="14">
        <f t="shared" si="31"/>
        <v>1.9157083333333334E-7</v>
      </c>
      <c r="AL83" s="14">
        <f t="shared" si="31"/>
        <v>1.7568333333333334E-7</v>
      </c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  <c r="BJ83" s="14"/>
      <c r="BK83" s="14"/>
      <c r="BL83" s="14"/>
      <c r="BM83" s="14"/>
      <c r="BN83" s="14"/>
      <c r="BO83" s="14"/>
      <c r="BP83" s="14"/>
      <c r="BQ83" s="14"/>
      <c r="BR83" s="14"/>
      <c r="BS83" s="14"/>
    </row>
    <row r="84" spans="1:71" ht="21" hidden="1" customHeight="1" outlineLevel="1" thickBot="1" x14ac:dyDescent="0.4">
      <c r="A84" s="5">
        <f t="shared" si="28"/>
        <v>0</v>
      </c>
      <c r="B84" s="5">
        <f t="shared" si="28"/>
        <v>2</v>
      </c>
      <c r="C84" s="5">
        <f t="shared" si="28"/>
        <v>1</v>
      </c>
      <c r="D84" s="5">
        <f t="shared" si="28"/>
        <v>0</v>
      </c>
      <c r="E84" s="6" t="str">
        <f t="shared" si="24"/>
        <v>*GeSe2</v>
      </c>
      <c r="F84" s="14">
        <f t="shared" ref="F84:AL84" si="32">F8*$C$78</f>
        <v>0.5</v>
      </c>
      <c r="G84" s="14">
        <f t="shared" si="32"/>
        <v>0.5</v>
      </c>
      <c r="H84" s="14">
        <f t="shared" si="32"/>
        <v>0.5</v>
      </c>
      <c r="I84" s="14">
        <f t="shared" si="32"/>
        <v>0.5</v>
      </c>
      <c r="J84" s="14">
        <f t="shared" si="32"/>
        <v>0.5</v>
      </c>
      <c r="K84" s="14">
        <f t="shared" si="32"/>
        <v>1.7960000000000003E-8</v>
      </c>
      <c r="L84" s="14">
        <f t="shared" si="32"/>
        <v>5.2279166666666676E-10</v>
      </c>
      <c r="M84" s="14">
        <f t="shared" si="32"/>
        <v>2.2687916666666667E-11</v>
      </c>
      <c r="N84" s="14">
        <f t="shared" si="32"/>
        <v>2.8321249999999999E-13</v>
      </c>
      <c r="O84" s="14">
        <f t="shared" si="32"/>
        <v>6.4474999999999999E-21</v>
      </c>
      <c r="P84" s="14">
        <f t="shared" si="32"/>
        <v>3.2827083333333334E-34</v>
      </c>
      <c r="Q84" s="14">
        <f t="shared" si="32"/>
        <v>0</v>
      </c>
      <c r="R84" s="14">
        <f t="shared" si="32"/>
        <v>0</v>
      </c>
      <c r="S84" s="14">
        <f t="shared" si="32"/>
        <v>0</v>
      </c>
      <c r="T84" s="14">
        <f t="shared" si="32"/>
        <v>0</v>
      </c>
      <c r="U84" s="14">
        <f t="shared" si="32"/>
        <v>0</v>
      </c>
      <c r="V84" s="14">
        <f t="shared" si="32"/>
        <v>0</v>
      </c>
      <c r="W84" s="14">
        <f t="shared" si="32"/>
        <v>0</v>
      </c>
      <c r="X84" s="14">
        <f t="shared" si="32"/>
        <v>0</v>
      </c>
      <c r="Y84" s="14">
        <f t="shared" si="32"/>
        <v>0</v>
      </c>
      <c r="Z84" s="14">
        <f t="shared" si="32"/>
        <v>0</v>
      </c>
      <c r="AA84" s="14">
        <f t="shared" si="32"/>
        <v>0</v>
      </c>
      <c r="AB84" s="14">
        <f t="shared" si="32"/>
        <v>0</v>
      </c>
      <c r="AC84" s="14">
        <f t="shared" si="32"/>
        <v>0</v>
      </c>
      <c r="AD84" s="14">
        <f t="shared" si="32"/>
        <v>0</v>
      </c>
      <c r="AE84" s="14">
        <f t="shared" si="32"/>
        <v>0</v>
      </c>
      <c r="AF84" s="14">
        <f t="shared" si="32"/>
        <v>0</v>
      </c>
      <c r="AG84" s="14">
        <f t="shared" si="32"/>
        <v>0</v>
      </c>
      <c r="AH84" s="14">
        <f t="shared" si="32"/>
        <v>0</v>
      </c>
      <c r="AI84" s="14">
        <f t="shared" si="32"/>
        <v>0</v>
      </c>
      <c r="AJ84" s="14">
        <f t="shared" si="32"/>
        <v>0</v>
      </c>
      <c r="AK84" s="14">
        <f t="shared" si="32"/>
        <v>0</v>
      </c>
      <c r="AL84" s="14">
        <f t="shared" si="32"/>
        <v>0</v>
      </c>
      <c r="AM84" s="14"/>
      <c r="AN84" s="14"/>
      <c r="AO84" s="14"/>
      <c r="AP84" s="14"/>
      <c r="AQ84" s="14"/>
      <c r="AR84" s="14"/>
      <c r="AS84" s="14"/>
      <c r="AT84" s="14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4"/>
      <c r="BF84" s="14"/>
      <c r="BG84" s="14"/>
      <c r="BH84" s="14"/>
      <c r="BI84" s="14"/>
      <c r="BJ84" s="14"/>
      <c r="BK84" s="14"/>
      <c r="BL84" s="14"/>
      <c r="BM84" s="14"/>
      <c r="BN84" s="14"/>
      <c r="BO84" s="14"/>
      <c r="BP84" s="14"/>
      <c r="BQ84" s="14"/>
      <c r="BR84" s="14"/>
      <c r="BS84" s="14"/>
    </row>
    <row r="85" spans="1:71" ht="21" hidden="1" customHeight="1" outlineLevel="1" thickBot="1" x14ac:dyDescent="0.4">
      <c r="A85" s="5">
        <f t="shared" si="28"/>
        <v>0</v>
      </c>
      <c r="B85" s="5">
        <f t="shared" si="28"/>
        <v>1</v>
      </c>
      <c r="C85" s="5">
        <f t="shared" si="28"/>
        <v>0</v>
      </c>
      <c r="D85" s="5">
        <f t="shared" si="28"/>
        <v>1</v>
      </c>
      <c r="E85" s="6" t="str">
        <f t="shared" si="24"/>
        <v>*GaSe</v>
      </c>
      <c r="F85" s="14">
        <f t="shared" ref="F85:AL85" si="33">F9*$C$78</f>
        <v>0</v>
      </c>
      <c r="G85" s="14">
        <f t="shared" si="33"/>
        <v>0</v>
      </c>
      <c r="H85" s="14">
        <f t="shared" si="33"/>
        <v>0</v>
      </c>
      <c r="I85" s="14">
        <f t="shared" si="33"/>
        <v>0</v>
      </c>
      <c r="J85" s="14">
        <f t="shared" si="33"/>
        <v>0</v>
      </c>
      <c r="K85" s="14">
        <f t="shared" si="33"/>
        <v>0</v>
      </c>
      <c r="L85" s="14">
        <f t="shared" si="33"/>
        <v>0</v>
      </c>
      <c r="M85" s="14">
        <f t="shared" si="33"/>
        <v>1.2669583333333333E-29</v>
      </c>
      <c r="N85" s="14">
        <f t="shared" si="33"/>
        <v>3.8707916666666671E-24</v>
      </c>
      <c r="O85" s="14">
        <f t="shared" si="33"/>
        <v>2.5730416666666672E-13</v>
      </c>
      <c r="P85" s="14">
        <f t="shared" si="33"/>
        <v>2.3826250000000004E-16</v>
      </c>
      <c r="Q85" s="14">
        <f t="shared" si="33"/>
        <v>6.8337500000000005E-27</v>
      </c>
      <c r="R85" s="14">
        <f t="shared" si="33"/>
        <v>0</v>
      </c>
      <c r="S85" s="14">
        <f t="shared" si="33"/>
        <v>1.6558333333333333E-17</v>
      </c>
      <c r="T85" s="14">
        <f t="shared" si="33"/>
        <v>1.790375E-9</v>
      </c>
      <c r="U85" s="14">
        <f t="shared" si="33"/>
        <v>5.8920833333333337E-8</v>
      </c>
      <c r="V85" s="14">
        <f t="shared" si="33"/>
        <v>6.2162500000000006E-7</v>
      </c>
      <c r="W85" s="14">
        <f t="shared" si="33"/>
        <v>0.33333333333333337</v>
      </c>
      <c r="X85" s="14">
        <f t="shared" si="33"/>
        <v>0.33333333333333337</v>
      </c>
      <c r="Y85" s="14">
        <f t="shared" si="33"/>
        <v>0.33333333333333337</v>
      </c>
      <c r="Z85" s="14">
        <f t="shared" si="33"/>
        <v>0.33333333333333337</v>
      </c>
      <c r="AA85" s="14">
        <f t="shared" si="33"/>
        <v>0.33333333333333337</v>
      </c>
      <c r="AB85" s="14">
        <f t="shared" si="33"/>
        <v>0.33333333333333337</v>
      </c>
      <c r="AC85" s="14">
        <f t="shared" si="33"/>
        <v>0.33333333333333337</v>
      </c>
      <c r="AD85" s="14">
        <f t="shared" si="33"/>
        <v>0.33333333333333337</v>
      </c>
      <c r="AE85" s="14">
        <f t="shared" si="33"/>
        <v>0.33333333333333337</v>
      </c>
      <c r="AF85" s="14">
        <f t="shared" si="33"/>
        <v>0.33333333333333337</v>
      </c>
      <c r="AG85" s="14">
        <f t="shared" si="33"/>
        <v>7.9141666666666683E-3</v>
      </c>
      <c r="AH85" s="14">
        <f t="shared" si="33"/>
        <v>4.354583333333334E-8</v>
      </c>
      <c r="AI85" s="14">
        <f t="shared" si="33"/>
        <v>2.3022083333333334E-9</v>
      </c>
      <c r="AJ85" s="14">
        <f t="shared" si="33"/>
        <v>6.0604166666666663E-14</v>
      </c>
      <c r="AK85" s="14">
        <f t="shared" si="33"/>
        <v>0</v>
      </c>
      <c r="AL85" s="14">
        <f t="shared" si="33"/>
        <v>0</v>
      </c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  <c r="BH85" s="14"/>
      <c r="BI85" s="14"/>
      <c r="BJ85" s="14"/>
      <c r="BK85" s="14"/>
      <c r="BL85" s="14"/>
      <c r="BM85" s="14"/>
      <c r="BN85" s="14"/>
      <c r="BO85" s="14"/>
      <c r="BP85" s="14"/>
      <c r="BQ85" s="14"/>
      <c r="BR85" s="14"/>
      <c r="BS85" s="14"/>
    </row>
    <row r="86" spans="1:71" ht="21" hidden="1" customHeight="1" outlineLevel="1" thickBot="1" x14ac:dyDescent="0.4">
      <c r="A86" s="5">
        <f t="shared" si="28"/>
        <v>0</v>
      </c>
      <c r="B86" s="5">
        <f t="shared" si="28"/>
        <v>0</v>
      </c>
      <c r="C86" s="5">
        <f t="shared" si="28"/>
        <v>1</v>
      </c>
      <c r="D86" s="5">
        <f t="shared" si="28"/>
        <v>0</v>
      </c>
      <c r="E86" s="6" t="str">
        <f t="shared" si="24"/>
        <v>*Ge[l]</v>
      </c>
      <c r="F86" s="14">
        <f t="shared" ref="F86:AL86" si="34">F10*$C$78</f>
        <v>0</v>
      </c>
      <c r="G86" s="14">
        <f t="shared" si="34"/>
        <v>0</v>
      </c>
      <c r="H86" s="14">
        <f t="shared" si="34"/>
        <v>0</v>
      </c>
      <c r="I86" s="14">
        <f t="shared" si="34"/>
        <v>0</v>
      </c>
      <c r="J86" s="14">
        <f t="shared" si="34"/>
        <v>0</v>
      </c>
      <c r="K86" s="14">
        <f t="shared" si="34"/>
        <v>0</v>
      </c>
      <c r="L86" s="14">
        <f t="shared" si="34"/>
        <v>0</v>
      </c>
      <c r="M86" s="14">
        <f t="shared" si="34"/>
        <v>0</v>
      </c>
      <c r="N86" s="14">
        <f t="shared" si="34"/>
        <v>0</v>
      </c>
      <c r="O86" s="14">
        <f t="shared" si="34"/>
        <v>5.7679166666666676E-31</v>
      </c>
      <c r="P86" s="14">
        <f t="shared" si="34"/>
        <v>0</v>
      </c>
      <c r="Q86" s="14">
        <f t="shared" si="34"/>
        <v>0</v>
      </c>
      <c r="R86" s="14">
        <f t="shared" si="34"/>
        <v>0</v>
      </c>
      <c r="S86" s="14">
        <f t="shared" si="34"/>
        <v>0</v>
      </c>
      <c r="T86" s="14">
        <f t="shared" si="34"/>
        <v>1.0791666666666668E-33</v>
      </c>
      <c r="U86" s="14">
        <f t="shared" si="34"/>
        <v>0</v>
      </c>
      <c r="V86" s="14">
        <f t="shared" si="34"/>
        <v>0</v>
      </c>
      <c r="W86" s="14">
        <f t="shared" si="34"/>
        <v>0</v>
      </c>
      <c r="X86" s="14">
        <f t="shared" si="34"/>
        <v>0</v>
      </c>
      <c r="Y86" s="14">
        <f t="shared" si="34"/>
        <v>1.2140000000000001E-21</v>
      </c>
      <c r="Z86" s="14">
        <f t="shared" si="34"/>
        <v>3.6893333333333334E-16</v>
      </c>
      <c r="AA86" s="14">
        <f t="shared" si="34"/>
        <v>1.4171666666666669E-12</v>
      </c>
      <c r="AB86" s="14">
        <f t="shared" si="34"/>
        <v>4.8441666666666667E-12</v>
      </c>
      <c r="AC86" s="14">
        <f t="shared" si="34"/>
        <v>3.0072083333333337E-12</v>
      </c>
      <c r="AD86" s="14">
        <f t="shared" si="34"/>
        <v>2.5353750000000002E-13</v>
      </c>
      <c r="AE86" s="14">
        <f t="shared" si="34"/>
        <v>7.6412500000000012E-17</v>
      </c>
      <c r="AF86" s="14">
        <f t="shared" si="34"/>
        <v>1.3095416666666667E-25</v>
      </c>
      <c r="AG86" s="14">
        <f t="shared" si="34"/>
        <v>0</v>
      </c>
      <c r="AH86" s="14">
        <f t="shared" si="34"/>
        <v>3.3190833333333334E-16</v>
      </c>
      <c r="AI86" s="14">
        <f t="shared" si="34"/>
        <v>8.4541666666666667E-10</v>
      </c>
      <c r="AJ86" s="14">
        <f t="shared" si="34"/>
        <v>9.4900000000000013E-10</v>
      </c>
      <c r="AK86" s="14">
        <f t="shared" si="34"/>
        <v>1.6365000000000001E-9</v>
      </c>
      <c r="AL86" s="14">
        <f t="shared" si="34"/>
        <v>6.967500000000001E-9</v>
      </c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14"/>
      <c r="BK86" s="14"/>
      <c r="BL86" s="14"/>
      <c r="BM86" s="14"/>
      <c r="BN86" s="14"/>
      <c r="BO86" s="14"/>
      <c r="BP86" s="14"/>
      <c r="BQ86" s="14"/>
      <c r="BR86" s="14"/>
      <c r="BS86" s="14"/>
    </row>
    <row r="87" spans="1:71" ht="21" hidden="1" customHeight="1" outlineLevel="1" thickBot="1" x14ac:dyDescent="0.4">
      <c r="A87" s="5">
        <f t="shared" si="28"/>
        <v>0</v>
      </c>
      <c r="B87" s="5">
        <f t="shared" si="28"/>
        <v>1</v>
      </c>
      <c r="C87" s="5">
        <f t="shared" si="28"/>
        <v>1</v>
      </c>
      <c r="D87" s="5">
        <f t="shared" si="28"/>
        <v>0</v>
      </c>
      <c r="E87" s="6" t="str">
        <f t="shared" si="24"/>
        <v>*GeSe</v>
      </c>
      <c r="F87" s="14">
        <f t="shared" ref="F87:AL87" si="35">F11*$C$78</f>
        <v>0.5</v>
      </c>
      <c r="G87" s="14">
        <f t="shared" si="35"/>
        <v>0.5</v>
      </c>
      <c r="H87" s="14">
        <f t="shared" si="35"/>
        <v>0.5</v>
      </c>
      <c r="I87" s="14">
        <f t="shared" si="35"/>
        <v>0.5</v>
      </c>
      <c r="J87" s="14">
        <f t="shared" si="35"/>
        <v>0.5</v>
      </c>
      <c r="K87" s="14">
        <f t="shared" si="35"/>
        <v>1</v>
      </c>
      <c r="L87" s="14">
        <f t="shared" si="35"/>
        <v>1</v>
      </c>
      <c r="M87" s="14">
        <f t="shared" si="35"/>
        <v>1</v>
      </c>
      <c r="N87" s="14">
        <f t="shared" si="35"/>
        <v>1</v>
      </c>
      <c r="O87" s="14">
        <f t="shared" si="35"/>
        <v>1</v>
      </c>
      <c r="P87" s="14">
        <f t="shared" si="35"/>
        <v>1</v>
      </c>
      <c r="Q87" s="14">
        <f t="shared" si="35"/>
        <v>1</v>
      </c>
      <c r="R87" s="14">
        <f t="shared" si="35"/>
        <v>7.1358333333333344E-7</v>
      </c>
      <c r="S87" s="14">
        <f t="shared" si="35"/>
        <v>9.9037500000000003E-9</v>
      </c>
      <c r="T87" s="14">
        <f t="shared" si="35"/>
        <v>3.1296666666666671E-10</v>
      </c>
      <c r="U87" s="14">
        <f t="shared" si="35"/>
        <v>2.0323333333333336E-19</v>
      </c>
      <c r="V87" s="14">
        <f t="shared" si="35"/>
        <v>0</v>
      </c>
      <c r="W87" s="14">
        <f t="shared" si="35"/>
        <v>0</v>
      </c>
      <c r="X87" s="14">
        <f t="shared" si="35"/>
        <v>0</v>
      </c>
      <c r="Y87" s="14">
        <f t="shared" si="35"/>
        <v>6.8129166666666669E-26</v>
      </c>
      <c r="Z87" s="14">
        <f t="shared" si="35"/>
        <v>2.1462499999999999E-22</v>
      </c>
      <c r="AA87" s="14">
        <f t="shared" si="35"/>
        <v>5.2116666666666671E-20</v>
      </c>
      <c r="AB87" s="14">
        <f t="shared" si="35"/>
        <v>4.6875000000000009E-34</v>
      </c>
      <c r="AC87" s="14">
        <f t="shared" si="35"/>
        <v>0</v>
      </c>
      <c r="AD87" s="14">
        <f t="shared" si="35"/>
        <v>0</v>
      </c>
      <c r="AE87" s="14">
        <f t="shared" si="35"/>
        <v>0</v>
      </c>
      <c r="AF87" s="14">
        <f t="shared" si="35"/>
        <v>0</v>
      </c>
      <c r="AG87" s="14">
        <f t="shared" si="35"/>
        <v>0</v>
      </c>
      <c r="AH87" s="14">
        <f t="shared" si="35"/>
        <v>0</v>
      </c>
      <c r="AI87" s="14">
        <f t="shared" si="35"/>
        <v>0</v>
      </c>
      <c r="AJ87" s="14">
        <f t="shared" si="35"/>
        <v>0</v>
      </c>
      <c r="AK87" s="14">
        <f t="shared" si="35"/>
        <v>0</v>
      </c>
      <c r="AL87" s="14">
        <f t="shared" si="35"/>
        <v>0</v>
      </c>
      <c r="AM87" s="14"/>
      <c r="AN87" s="14"/>
      <c r="AO87" s="14"/>
      <c r="AP87" s="14"/>
      <c r="AQ87" s="14"/>
      <c r="AR87" s="14"/>
      <c r="AS87" s="14"/>
      <c r="AT87" s="14"/>
      <c r="AU87" s="14"/>
      <c r="AV87" s="14"/>
      <c r="AW87" s="14"/>
      <c r="AX87" s="14"/>
      <c r="AY87" s="14"/>
      <c r="AZ87" s="14"/>
      <c r="BA87" s="14"/>
      <c r="BB87" s="14"/>
      <c r="BC87" s="14"/>
      <c r="BD87" s="14"/>
      <c r="BE87" s="14"/>
      <c r="BF87" s="14"/>
      <c r="BG87" s="14"/>
      <c r="BH87" s="14"/>
      <c r="BI87" s="14"/>
      <c r="BJ87" s="14"/>
      <c r="BK87" s="14"/>
      <c r="BL87" s="14"/>
      <c r="BM87" s="14"/>
      <c r="BN87" s="14"/>
      <c r="BO87" s="14"/>
      <c r="BP87" s="14"/>
      <c r="BQ87" s="14"/>
      <c r="BR87" s="14"/>
      <c r="BS87" s="14"/>
    </row>
    <row r="88" spans="1:71" ht="21" hidden="1" customHeight="1" outlineLevel="1" thickBot="1" x14ac:dyDescent="0.4">
      <c r="A88" s="5">
        <f t="shared" si="28"/>
        <v>0</v>
      </c>
      <c r="B88" s="5">
        <f t="shared" si="28"/>
        <v>1</v>
      </c>
      <c r="C88" s="5">
        <f t="shared" si="28"/>
        <v>0</v>
      </c>
      <c r="D88" s="5">
        <f t="shared" si="28"/>
        <v>2</v>
      </c>
      <c r="E88" s="6" t="str">
        <f t="shared" si="24"/>
        <v>Ga2Se</v>
      </c>
      <c r="F88" s="14">
        <f t="shared" ref="F88:AL88" si="36">F12*$C$78</f>
        <v>0</v>
      </c>
      <c r="G88" s="14">
        <f t="shared" si="36"/>
        <v>0</v>
      </c>
      <c r="H88" s="14">
        <f t="shared" si="36"/>
        <v>0</v>
      </c>
      <c r="I88" s="14">
        <f t="shared" si="36"/>
        <v>0</v>
      </c>
      <c r="J88" s="14">
        <f t="shared" si="36"/>
        <v>0</v>
      </c>
      <c r="K88" s="14">
        <f t="shared" si="36"/>
        <v>0</v>
      </c>
      <c r="L88" s="14">
        <f t="shared" si="36"/>
        <v>0</v>
      </c>
      <c r="M88" s="14">
        <f t="shared" si="36"/>
        <v>0</v>
      </c>
      <c r="N88" s="14">
        <f t="shared" si="36"/>
        <v>0</v>
      </c>
      <c r="O88" s="14">
        <f t="shared" si="36"/>
        <v>2.7982500000000002E-31</v>
      </c>
      <c r="P88" s="14">
        <f t="shared" si="36"/>
        <v>3.2733333333333334E-29</v>
      </c>
      <c r="Q88" s="14">
        <f t="shared" si="36"/>
        <v>2.864916666666667E-27</v>
      </c>
      <c r="R88" s="14">
        <f t="shared" si="36"/>
        <v>1.9275833333333334E-25</v>
      </c>
      <c r="S88" s="14">
        <f t="shared" si="36"/>
        <v>1.0209583333333334E-23</v>
      </c>
      <c r="T88" s="14">
        <f t="shared" si="36"/>
        <v>4.3470833333333339E-22</v>
      </c>
      <c r="U88" s="14">
        <f t="shared" si="36"/>
        <v>1.5160000000000003E-20</v>
      </c>
      <c r="V88" s="14">
        <f t="shared" si="36"/>
        <v>4.4016666666666667E-19</v>
      </c>
      <c r="W88" s="14">
        <f t="shared" si="36"/>
        <v>9.0133333333333347E-18</v>
      </c>
      <c r="X88" s="14">
        <f t="shared" si="36"/>
        <v>9.5545833333333339E-17</v>
      </c>
      <c r="Y88" s="14">
        <f t="shared" si="36"/>
        <v>9.0166666666666679E-16</v>
      </c>
      <c r="Z88" s="14">
        <f t="shared" si="36"/>
        <v>7.6408333333333343E-15</v>
      </c>
      <c r="AA88" s="14">
        <f t="shared" si="36"/>
        <v>5.8599999999999998E-14</v>
      </c>
      <c r="AB88" s="14">
        <f t="shared" si="36"/>
        <v>8.5437500000000009E-11</v>
      </c>
      <c r="AC88" s="14">
        <f t="shared" si="36"/>
        <v>4.3745833333333336E-10</v>
      </c>
      <c r="AD88" s="14">
        <f t="shared" si="36"/>
        <v>2.0978333333333337E-9</v>
      </c>
      <c r="AE88" s="14">
        <f t="shared" si="36"/>
        <v>9.46E-9</v>
      </c>
      <c r="AF88" s="14">
        <f t="shared" si="36"/>
        <v>4.0264166666666674E-8</v>
      </c>
      <c r="AG88" s="14">
        <f t="shared" si="36"/>
        <v>1.5744166666666667E-7</v>
      </c>
      <c r="AH88" s="14">
        <f t="shared" si="36"/>
        <v>1.56375E-7</v>
      </c>
      <c r="AI88" s="14">
        <f t="shared" si="36"/>
        <v>1.5356250000000002E-7</v>
      </c>
      <c r="AJ88" s="14">
        <f t="shared" si="36"/>
        <v>1.48975E-7</v>
      </c>
      <c r="AK88" s="14">
        <f t="shared" si="36"/>
        <v>1.1671250000000001E-7</v>
      </c>
      <c r="AL88" s="14">
        <f t="shared" si="36"/>
        <v>1.0635416666666667E-7</v>
      </c>
      <c r="AM88" s="14"/>
      <c r="AN88" s="14"/>
      <c r="AO88" s="14"/>
      <c r="AP88" s="14"/>
      <c r="AQ88" s="14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  <c r="BH88" s="14"/>
      <c r="BI88" s="14"/>
      <c r="BJ88" s="14"/>
      <c r="BK88" s="14"/>
      <c r="BL88" s="14"/>
      <c r="BM88" s="14"/>
      <c r="BN88" s="14"/>
      <c r="BO88" s="14"/>
      <c r="BP88" s="14"/>
      <c r="BQ88" s="14"/>
      <c r="BR88" s="14"/>
      <c r="BS88" s="14"/>
    </row>
    <row r="89" spans="1:71" ht="21" hidden="1" customHeight="1" outlineLevel="1" thickBot="1" x14ac:dyDescent="0.4">
      <c r="A89" s="5">
        <f t="shared" si="28"/>
        <v>1</v>
      </c>
      <c r="B89" s="5">
        <f t="shared" si="28"/>
        <v>0</v>
      </c>
      <c r="C89" s="5">
        <f t="shared" si="28"/>
        <v>0</v>
      </c>
      <c r="D89" s="5">
        <f t="shared" si="28"/>
        <v>0</v>
      </c>
      <c r="E89" s="6" t="str">
        <f t="shared" si="24"/>
        <v>Ar</v>
      </c>
      <c r="F89" s="14">
        <f t="shared" ref="F89:AL89" si="37">F13*$C$78</f>
        <v>0.83333333333333348</v>
      </c>
      <c r="G89" s="14">
        <f t="shared" si="37"/>
        <v>0.83333333333333348</v>
      </c>
      <c r="H89" s="14">
        <f t="shared" si="37"/>
        <v>0.83333333333333348</v>
      </c>
      <c r="I89" s="14">
        <f t="shared" si="37"/>
        <v>0.83333333333333348</v>
      </c>
      <c r="J89" s="14">
        <f t="shared" si="37"/>
        <v>0.83333333333333348</v>
      </c>
      <c r="K89" s="14">
        <f t="shared" si="37"/>
        <v>0.83333333333333348</v>
      </c>
      <c r="L89" s="14">
        <f t="shared" si="37"/>
        <v>0.83333333333333348</v>
      </c>
      <c r="M89" s="14">
        <f t="shared" si="37"/>
        <v>0.83333333333333348</v>
      </c>
      <c r="N89" s="14">
        <f t="shared" si="37"/>
        <v>0.83333333333333348</v>
      </c>
      <c r="O89" s="14">
        <f t="shared" si="37"/>
        <v>0.83333333333333348</v>
      </c>
      <c r="P89" s="14">
        <f t="shared" si="37"/>
        <v>0.83333333333333348</v>
      </c>
      <c r="Q89" s="14">
        <f t="shared" si="37"/>
        <v>0.83333333333333348</v>
      </c>
      <c r="R89" s="14">
        <f t="shared" si="37"/>
        <v>0.83333333333333348</v>
      </c>
      <c r="S89" s="14">
        <f t="shared" si="37"/>
        <v>0.83333333333333348</v>
      </c>
      <c r="T89" s="14">
        <f t="shared" si="37"/>
        <v>0.83333333333333348</v>
      </c>
      <c r="U89" s="14">
        <f t="shared" si="37"/>
        <v>0.83333333333333348</v>
      </c>
      <c r="V89" s="14">
        <f t="shared" si="37"/>
        <v>0.83333333333333348</v>
      </c>
      <c r="W89" s="14">
        <f t="shared" si="37"/>
        <v>0.83333333333333348</v>
      </c>
      <c r="X89" s="14">
        <f t="shared" si="37"/>
        <v>0.83333333333333348</v>
      </c>
      <c r="Y89" s="14">
        <f t="shared" si="37"/>
        <v>0.83333333333333348</v>
      </c>
      <c r="Z89" s="14">
        <f t="shared" si="37"/>
        <v>0.83333333333333348</v>
      </c>
      <c r="AA89" s="14">
        <f t="shared" si="37"/>
        <v>0.83333333333333348</v>
      </c>
      <c r="AB89" s="14">
        <f t="shared" si="37"/>
        <v>0.83333333333333348</v>
      </c>
      <c r="AC89" s="14">
        <f t="shared" si="37"/>
        <v>0.83333333333333348</v>
      </c>
      <c r="AD89" s="14">
        <f t="shared" si="37"/>
        <v>0.83333333333333348</v>
      </c>
      <c r="AE89" s="14">
        <f t="shared" si="37"/>
        <v>0.83333333333333348</v>
      </c>
      <c r="AF89" s="14">
        <f t="shared" si="37"/>
        <v>0.83333333333333348</v>
      </c>
      <c r="AG89" s="14">
        <f t="shared" si="37"/>
        <v>0.83333333333333348</v>
      </c>
      <c r="AH89" s="14">
        <f t="shared" si="37"/>
        <v>0.83333333333333348</v>
      </c>
      <c r="AI89" s="14">
        <f t="shared" si="37"/>
        <v>0.83333333333333348</v>
      </c>
      <c r="AJ89" s="14">
        <f t="shared" si="37"/>
        <v>0.83333333333333348</v>
      </c>
      <c r="AK89" s="14">
        <f t="shared" si="37"/>
        <v>0.83333333333333348</v>
      </c>
      <c r="AL89" s="14">
        <f t="shared" si="37"/>
        <v>0.83333333333333348</v>
      </c>
      <c r="AM89" s="14"/>
      <c r="AN89" s="14"/>
      <c r="AO89" s="14"/>
      <c r="AP89" s="14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4"/>
      <c r="BN89" s="14"/>
      <c r="BO89" s="14"/>
      <c r="BP89" s="14"/>
      <c r="BQ89" s="14"/>
      <c r="BR89" s="14"/>
      <c r="BS89" s="14"/>
    </row>
    <row r="90" spans="1:71" ht="21" hidden="1" customHeight="1" outlineLevel="1" thickBot="1" x14ac:dyDescent="0.4">
      <c r="A90" s="5">
        <f t="shared" si="28"/>
        <v>0</v>
      </c>
      <c r="B90" s="5">
        <f t="shared" si="28"/>
        <v>0</v>
      </c>
      <c r="C90" s="5">
        <f t="shared" si="28"/>
        <v>0</v>
      </c>
      <c r="D90" s="5">
        <f t="shared" si="28"/>
        <v>1</v>
      </c>
      <c r="E90" s="6" t="str">
        <f t="shared" si="24"/>
        <v>(1)Ga[l]</v>
      </c>
      <c r="F90" s="14">
        <f t="shared" ref="F90:AL90" si="38">F14*$C$78</f>
        <v>0</v>
      </c>
      <c r="G90" s="14">
        <f t="shared" si="38"/>
        <v>0</v>
      </c>
      <c r="H90" s="14">
        <f t="shared" si="38"/>
        <v>0</v>
      </c>
      <c r="I90" s="14">
        <f t="shared" si="38"/>
        <v>0</v>
      </c>
      <c r="J90" s="14">
        <f t="shared" si="38"/>
        <v>0</v>
      </c>
      <c r="K90" s="14">
        <f t="shared" si="38"/>
        <v>0</v>
      </c>
      <c r="L90" s="14">
        <f t="shared" si="38"/>
        <v>0</v>
      </c>
      <c r="M90" s="14">
        <f t="shared" si="38"/>
        <v>2.7434583333333335E-33</v>
      </c>
      <c r="N90" s="14">
        <f t="shared" si="38"/>
        <v>3.356541666666667E-29</v>
      </c>
      <c r="O90" s="14">
        <f t="shared" si="38"/>
        <v>3.4050416666666675E-20</v>
      </c>
      <c r="P90" s="14">
        <f t="shared" si="38"/>
        <v>2.4544583333333336E-23</v>
      </c>
      <c r="Q90" s="14">
        <f t="shared" si="38"/>
        <v>1.0717500000000001E-35</v>
      </c>
      <c r="R90" s="14">
        <f t="shared" si="38"/>
        <v>0</v>
      </c>
      <c r="S90" s="14">
        <f t="shared" si="38"/>
        <v>0</v>
      </c>
      <c r="T90" s="14">
        <f t="shared" si="38"/>
        <v>1.3631666666666668E-27</v>
      </c>
      <c r="U90" s="14">
        <f t="shared" si="38"/>
        <v>2.0245E-35</v>
      </c>
      <c r="V90" s="14">
        <f t="shared" si="38"/>
        <v>0</v>
      </c>
      <c r="W90" s="14">
        <f t="shared" si="38"/>
        <v>0</v>
      </c>
      <c r="X90" s="14">
        <f t="shared" si="38"/>
        <v>2.1563750000000003E-35</v>
      </c>
      <c r="Y90" s="14">
        <f t="shared" si="38"/>
        <v>4.8254166666666668E-21</v>
      </c>
      <c r="Z90" s="14">
        <f t="shared" si="38"/>
        <v>9.2216666666666663E-16</v>
      </c>
      <c r="AA90" s="14">
        <f t="shared" si="38"/>
        <v>3.3225000000000004E-12</v>
      </c>
      <c r="AB90" s="14">
        <f t="shared" si="38"/>
        <v>1.8358750000000001E-10</v>
      </c>
      <c r="AC90" s="14">
        <f t="shared" si="38"/>
        <v>7.8208333333333345E-10</v>
      </c>
      <c r="AD90" s="14">
        <f t="shared" si="38"/>
        <v>2.8700000000000002E-9</v>
      </c>
      <c r="AE90" s="14">
        <f t="shared" si="38"/>
        <v>5.5291666666666674E-9</v>
      </c>
      <c r="AF90" s="14">
        <f t="shared" si="38"/>
        <v>9.3858333333333335E-8</v>
      </c>
      <c r="AG90" s="14">
        <f t="shared" si="38"/>
        <v>0.32542083333333338</v>
      </c>
      <c r="AH90" s="14">
        <f t="shared" si="38"/>
        <v>0.33333333333333337</v>
      </c>
      <c r="AI90" s="14">
        <f t="shared" si="38"/>
        <v>0.33333333333333337</v>
      </c>
      <c r="AJ90" s="14">
        <f t="shared" si="38"/>
        <v>0.33333333333333337</v>
      </c>
      <c r="AK90" s="14">
        <f t="shared" si="38"/>
        <v>0.33333333333333337</v>
      </c>
      <c r="AL90" s="14">
        <f t="shared" si="38"/>
        <v>0.33333333333333337</v>
      </c>
      <c r="AM90" s="14"/>
      <c r="AN90" s="14"/>
      <c r="AO90" s="14"/>
      <c r="AP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  <c r="BH90" s="14"/>
      <c r="BI90" s="14"/>
      <c r="BJ90" s="14"/>
      <c r="BK90" s="14"/>
      <c r="BL90" s="14"/>
      <c r="BM90" s="14"/>
      <c r="BN90" s="14"/>
      <c r="BO90" s="14"/>
      <c r="BP90" s="14"/>
      <c r="BQ90" s="14"/>
      <c r="BR90" s="14"/>
      <c r="BS90" s="14"/>
    </row>
    <row r="91" spans="1:71" ht="21" hidden="1" customHeight="1" outlineLevel="1" thickBot="1" x14ac:dyDescent="0.4">
      <c r="A91" s="5">
        <f t="shared" si="28"/>
        <v>0</v>
      </c>
      <c r="B91" s="5">
        <f t="shared" si="28"/>
        <v>1</v>
      </c>
      <c r="C91" s="5">
        <f t="shared" si="28"/>
        <v>1</v>
      </c>
      <c r="D91" s="5">
        <f t="shared" si="28"/>
        <v>0</v>
      </c>
      <c r="E91" s="6" t="str">
        <f t="shared" si="24"/>
        <v>(1)GeSe[l]</v>
      </c>
      <c r="F91" s="14">
        <f t="shared" ref="F91:AL91" si="39">F15*$C$78</f>
        <v>4.9241666666666671E-28</v>
      </c>
      <c r="G91" s="14">
        <f t="shared" si="39"/>
        <v>4.3066666666666665E-26</v>
      </c>
      <c r="H91" s="14">
        <f t="shared" si="39"/>
        <v>8.0733333333333346E-27</v>
      </c>
      <c r="I91" s="14">
        <f t="shared" si="39"/>
        <v>0</v>
      </c>
      <c r="J91" s="14">
        <f t="shared" si="39"/>
        <v>0</v>
      </c>
      <c r="K91" s="14">
        <f t="shared" si="39"/>
        <v>0</v>
      </c>
      <c r="L91" s="14">
        <f t="shared" si="39"/>
        <v>1.9574583333333334E-25</v>
      </c>
      <c r="M91" s="14">
        <f t="shared" si="39"/>
        <v>2.1489166666666669E-18</v>
      </c>
      <c r="N91" s="14">
        <f t="shared" si="39"/>
        <v>1.7309166666666668E-15</v>
      </c>
      <c r="O91" s="14">
        <f t="shared" si="39"/>
        <v>1.8136666666666667E-10</v>
      </c>
      <c r="P91" s="14">
        <f t="shared" si="39"/>
        <v>1.8557500000000001E-14</v>
      </c>
      <c r="Q91" s="14">
        <f t="shared" si="39"/>
        <v>1.2851666666666666E-27</v>
      </c>
      <c r="R91" s="14">
        <f t="shared" si="39"/>
        <v>0</v>
      </c>
      <c r="S91" s="14">
        <f t="shared" si="39"/>
        <v>2.4857500000000002E-30</v>
      </c>
      <c r="T91" s="14">
        <f t="shared" si="39"/>
        <v>2.331041666666667E-22</v>
      </c>
      <c r="U91" s="14">
        <f t="shared" si="39"/>
        <v>4.163875E-31</v>
      </c>
      <c r="V91" s="14">
        <f t="shared" si="39"/>
        <v>0</v>
      </c>
      <c r="W91" s="14">
        <f t="shared" si="39"/>
        <v>0</v>
      </c>
      <c r="X91" s="14">
        <f t="shared" si="39"/>
        <v>2.0684166666666668E-33</v>
      </c>
      <c r="Y91" s="14">
        <f t="shared" si="39"/>
        <v>1.0930416666666668E-19</v>
      </c>
      <c r="Z91" s="14">
        <f t="shared" si="39"/>
        <v>5.2300000000000002E-15</v>
      </c>
      <c r="AA91" s="14">
        <f t="shared" si="39"/>
        <v>4.9820833333333342E-12</v>
      </c>
      <c r="AB91" s="14">
        <f t="shared" si="39"/>
        <v>2.1609583333333333E-12</v>
      </c>
      <c r="AC91" s="14">
        <f t="shared" si="39"/>
        <v>3.0392083333333335E-12</v>
      </c>
      <c r="AD91" s="14">
        <f t="shared" si="39"/>
        <v>3.8183750000000001E-12</v>
      </c>
      <c r="AE91" s="14">
        <f t="shared" si="39"/>
        <v>2.6060000000000004E-12</v>
      </c>
      <c r="AF91" s="14">
        <f t="shared" si="39"/>
        <v>1.6183333333333334E-11</v>
      </c>
      <c r="AG91" s="14">
        <f t="shared" si="39"/>
        <v>2.1484166666666667E-5</v>
      </c>
      <c r="AH91" s="14">
        <f t="shared" si="39"/>
        <v>1.6767083333333334E-5</v>
      </c>
      <c r="AI91" s="14">
        <f t="shared" si="39"/>
        <v>1.2885833333333333E-5</v>
      </c>
      <c r="AJ91" s="14">
        <f t="shared" si="39"/>
        <v>9.9908333333333344E-6</v>
      </c>
      <c r="AK91" s="14">
        <f t="shared" si="39"/>
        <v>3.9386666666666667E-6</v>
      </c>
      <c r="AL91" s="14">
        <f t="shared" si="39"/>
        <v>3.1898333333333333E-6</v>
      </c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/>
      <c r="BP91" s="14"/>
      <c r="BQ91" s="14"/>
      <c r="BR91" s="14"/>
      <c r="BS91" s="14"/>
    </row>
    <row r="92" spans="1:71" ht="21" hidden="1" customHeight="1" outlineLevel="1" thickBot="1" x14ac:dyDescent="0.4">
      <c r="A92" s="5">
        <f t="shared" si="28"/>
        <v>0</v>
      </c>
      <c r="B92" s="5">
        <f t="shared" si="28"/>
        <v>0</v>
      </c>
      <c r="C92" s="5">
        <f t="shared" si="28"/>
        <v>1</v>
      </c>
      <c r="D92" s="5">
        <f t="shared" si="28"/>
        <v>0</v>
      </c>
      <c r="E92" s="6" t="str">
        <f t="shared" si="24"/>
        <v>(1)Ge[l]</v>
      </c>
      <c r="F92" s="14">
        <f t="shared" ref="F92:AL92" si="40">F16*$C$78</f>
        <v>6.0445833333333335E-36</v>
      </c>
      <c r="G92" s="14">
        <f t="shared" si="40"/>
        <v>1.4977500000000001E-33</v>
      </c>
      <c r="H92" s="14">
        <f t="shared" si="40"/>
        <v>7.0704166666666671E-34</v>
      </c>
      <c r="I92" s="14">
        <f t="shared" si="40"/>
        <v>0</v>
      </c>
      <c r="J92" s="14">
        <f t="shared" si="40"/>
        <v>0</v>
      </c>
      <c r="K92" s="14">
        <f t="shared" si="40"/>
        <v>0</v>
      </c>
      <c r="L92" s="14">
        <f t="shared" si="40"/>
        <v>1.4797500000000001E-30</v>
      </c>
      <c r="M92" s="14">
        <f t="shared" si="40"/>
        <v>6.4145833333333338E-23</v>
      </c>
      <c r="N92" s="14">
        <f t="shared" si="40"/>
        <v>1.8523333333333336E-19</v>
      </c>
      <c r="O92" s="14">
        <f t="shared" si="40"/>
        <v>1.4840833333333335E-12</v>
      </c>
      <c r="P92" s="14">
        <f t="shared" si="40"/>
        <v>3.8456250000000002E-16</v>
      </c>
      <c r="Q92" s="14">
        <f t="shared" si="40"/>
        <v>6.4133333333333342E-29</v>
      </c>
      <c r="R92" s="14">
        <f t="shared" si="40"/>
        <v>0</v>
      </c>
      <c r="S92" s="14">
        <f t="shared" si="40"/>
        <v>6.2958333333333334E-31</v>
      </c>
      <c r="T92" s="14">
        <f t="shared" si="40"/>
        <v>1.2537500000000001E-22</v>
      </c>
      <c r="U92" s="14">
        <f t="shared" si="40"/>
        <v>4.5920833333333337E-31</v>
      </c>
      <c r="V92" s="14">
        <f t="shared" si="40"/>
        <v>0</v>
      </c>
      <c r="W92" s="14">
        <f t="shared" si="40"/>
        <v>0</v>
      </c>
      <c r="X92" s="14">
        <f t="shared" si="40"/>
        <v>1.6369166666666667E-32</v>
      </c>
      <c r="Y92" s="14">
        <f t="shared" si="40"/>
        <v>1.5812916666666668E-18</v>
      </c>
      <c r="Z92" s="14">
        <f t="shared" si="40"/>
        <v>1.3510000000000003E-13</v>
      </c>
      <c r="AA92" s="14">
        <f t="shared" si="40"/>
        <v>2.2479166666666668E-10</v>
      </c>
      <c r="AB92" s="14">
        <f t="shared" si="40"/>
        <v>7.497916666666668E-10</v>
      </c>
      <c r="AC92" s="14">
        <f t="shared" si="40"/>
        <v>1.6841666666666669E-9</v>
      </c>
      <c r="AD92" s="14">
        <f t="shared" si="40"/>
        <v>3.330166666666667E-9</v>
      </c>
      <c r="AE92" s="14">
        <f t="shared" si="40"/>
        <v>3.5281250000000004E-9</v>
      </c>
      <c r="AF92" s="14">
        <f t="shared" si="40"/>
        <v>3.3572500000000005E-8</v>
      </c>
      <c r="AG92" s="14">
        <f t="shared" si="40"/>
        <v>6.7462500000000009E-2</v>
      </c>
      <c r="AH92" s="14">
        <f t="shared" si="40"/>
        <v>7.8787499999999996E-2</v>
      </c>
      <c r="AI92" s="14">
        <f t="shared" si="40"/>
        <v>8.962500000000001E-2</v>
      </c>
      <c r="AJ92" s="14">
        <f t="shared" si="40"/>
        <v>0.10180416666666667</v>
      </c>
      <c r="AK92" s="14">
        <f t="shared" si="40"/>
        <v>0.1685791666666667</v>
      </c>
      <c r="AL92" s="14">
        <f t="shared" si="40"/>
        <v>0.19144166666666668</v>
      </c>
      <c r="AM92" s="14"/>
      <c r="AN92" s="14"/>
      <c r="AO92" s="14"/>
      <c r="AP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/>
      <c r="BN92" s="14"/>
      <c r="BO92" s="14"/>
      <c r="BP92" s="14"/>
      <c r="BQ92" s="14"/>
      <c r="BR92" s="14"/>
      <c r="BS92" s="14"/>
    </row>
    <row r="93" spans="1:71" ht="21" hidden="1" customHeight="1" outlineLevel="1" thickBot="1" x14ac:dyDescent="0.4">
      <c r="A93" s="5">
        <f t="shared" si="28"/>
        <v>1</v>
      </c>
      <c r="B93" s="5">
        <f t="shared" si="28"/>
        <v>0</v>
      </c>
      <c r="C93" s="5">
        <f t="shared" si="28"/>
        <v>0</v>
      </c>
      <c r="D93" s="5">
        <f t="shared" si="28"/>
        <v>0</v>
      </c>
      <c r="E93" s="6" t="str">
        <f t="shared" si="24"/>
        <v>H (Ar)</v>
      </c>
      <c r="F93" s="14">
        <f t="shared" ref="F93:AL93" si="41">F17*$C$78</f>
        <v>-77.583333333333343</v>
      </c>
      <c r="G93" s="14">
        <f t="shared" si="41"/>
        <v>-77.541666666666671</v>
      </c>
      <c r="H93" s="14">
        <f t="shared" si="41"/>
        <v>-77.541666666666671</v>
      </c>
      <c r="I93" s="14">
        <f t="shared" si="41"/>
        <v>-77.583333333333343</v>
      </c>
      <c r="J93" s="14">
        <f t="shared" si="41"/>
        <v>-77.625</v>
      </c>
      <c r="K93" s="14">
        <f t="shared" si="41"/>
        <v>-77.708333333333329</v>
      </c>
      <c r="L93" s="14">
        <f t="shared" si="41"/>
        <v>-77.791666666666686</v>
      </c>
      <c r="M93" s="14">
        <f t="shared" si="41"/>
        <v>-77.875000000000014</v>
      </c>
      <c r="N93" s="14">
        <f t="shared" si="41"/>
        <v>-78</v>
      </c>
      <c r="O93" s="14">
        <f t="shared" si="41"/>
        <v>-78.5</v>
      </c>
      <c r="P93" s="14">
        <f t="shared" si="41"/>
        <v>-78.625000000000014</v>
      </c>
      <c r="Q93" s="14">
        <f t="shared" si="41"/>
        <v>-78.75</v>
      </c>
      <c r="R93" s="14">
        <f t="shared" si="41"/>
        <v>-78.916666666666671</v>
      </c>
      <c r="S93" s="14">
        <f t="shared" si="41"/>
        <v>-79.041666666666671</v>
      </c>
      <c r="T93" s="14">
        <f t="shared" si="41"/>
        <v>-79.208333333333343</v>
      </c>
      <c r="U93" s="14">
        <f t="shared" si="41"/>
        <v>-79.333333333333329</v>
      </c>
      <c r="V93" s="14">
        <f t="shared" si="41"/>
        <v>-79.458333333333343</v>
      </c>
      <c r="W93" s="14">
        <f t="shared" si="41"/>
        <v>-79.625</v>
      </c>
      <c r="X93" s="14">
        <f t="shared" si="41"/>
        <v>-79.750000000000014</v>
      </c>
      <c r="Y93" s="14">
        <f t="shared" si="41"/>
        <v>-79.916666666666671</v>
      </c>
      <c r="Z93" s="14">
        <f t="shared" si="41"/>
        <v>-80.041666666666671</v>
      </c>
      <c r="AA93" s="14">
        <f t="shared" si="41"/>
        <v>-80.208333333333343</v>
      </c>
      <c r="AB93" s="14">
        <f t="shared" si="41"/>
        <v>-80.75</v>
      </c>
      <c r="AC93" s="14">
        <f t="shared" si="41"/>
        <v>-80.916666666666686</v>
      </c>
      <c r="AD93" s="14">
        <f t="shared" si="41"/>
        <v>-81.041666666666671</v>
      </c>
      <c r="AE93" s="14">
        <f t="shared" si="41"/>
        <v>-81.166666666666671</v>
      </c>
      <c r="AF93" s="14">
        <f t="shared" si="41"/>
        <v>-81.291666666666686</v>
      </c>
      <c r="AG93" s="14">
        <f t="shared" si="41"/>
        <v>-81.458333333333343</v>
      </c>
      <c r="AH93" s="14">
        <f t="shared" si="41"/>
        <v>-81.583333333333329</v>
      </c>
      <c r="AI93" s="14">
        <f t="shared" si="41"/>
        <v>-81.708333333333343</v>
      </c>
      <c r="AJ93" s="14">
        <f t="shared" si="41"/>
        <v>-81.833333333333343</v>
      </c>
      <c r="AK93" s="14">
        <f t="shared" si="41"/>
        <v>-82.333333333333343</v>
      </c>
      <c r="AL93" s="14">
        <f t="shared" si="41"/>
        <v>-82.458333333333329</v>
      </c>
      <c r="AM93" s="14"/>
      <c r="AN93" s="14"/>
      <c r="AO93" s="14"/>
      <c r="AP93" s="14"/>
      <c r="AQ93" s="14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  <c r="BH93" s="14"/>
      <c r="BI93" s="14"/>
      <c r="BJ93" s="14"/>
      <c r="BK93" s="14"/>
      <c r="BL93" s="14"/>
      <c r="BM93" s="14"/>
      <c r="BN93" s="14"/>
      <c r="BO93" s="14"/>
      <c r="BP93" s="14"/>
      <c r="BQ93" s="14"/>
      <c r="BR93" s="14"/>
      <c r="BS93" s="14"/>
    </row>
    <row r="94" spans="1:71" ht="21" hidden="1" customHeight="1" outlineLevel="1" thickBot="1" x14ac:dyDescent="0.4">
      <c r="A94" s="5">
        <f t="shared" si="28"/>
        <v>0</v>
      </c>
      <c r="B94" s="5">
        <f t="shared" si="28"/>
        <v>0</v>
      </c>
      <c r="C94" s="5">
        <f t="shared" si="28"/>
        <v>0</v>
      </c>
      <c r="D94" s="5">
        <f t="shared" si="28"/>
        <v>1</v>
      </c>
      <c r="E94" s="6" t="str">
        <f t="shared" si="24"/>
        <v>H (Ga)</v>
      </c>
      <c r="F94" s="14">
        <f t="shared" ref="F94:AL94" si="42">F18*$C$78</f>
        <v>-273.16666666666669</v>
      </c>
      <c r="G94" s="14">
        <f t="shared" si="42"/>
        <v>-258.66666666666669</v>
      </c>
      <c r="H94" s="14">
        <f t="shared" si="42"/>
        <v>-245.75</v>
      </c>
      <c r="I94" s="14">
        <f t="shared" si="42"/>
        <v>-234.16666666666669</v>
      </c>
      <c r="J94" s="14">
        <f t="shared" si="42"/>
        <v>-223.79166666666669</v>
      </c>
      <c r="K94" s="14">
        <f t="shared" si="42"/>
        <v>-209.70833333333334</v>
      </c>
      <c r="L94" s="14">
        <f t="shared" si="42"/>
        <v>-195.66666666666669</v>
      </c>
      <c r="M94" s="14">
        <f t="shared" si="42"/>
        <v>-182.75</v>
      </c>
      <c r="N94" s="14">
        <f t="shared" si="42"/>
        <v>-170.75</v>
      </c>
      <c r="O94" s="14">
        <f t="shared" si="42"/>
        <v>-130.5</v>
      </c>
      <c r="P94" s="14">
        <f t="shared" si="42"/>
        <v>-122.00000000000001</v>
      </c>
      <c r="Q94" s="14">
        <f t="shared" si="42"/>
        <v>-113.95833333333334</v>
      </c>
      <c r="R94" s="14">
        <f t="shared" si="42"/>
        <v>-106.37500000000001</v>
      </c>
      <c r="S94" s="14">
        <f t="shared" si="42"/>
        <v>-99.208333333333329</v>
      </c>
      <c r="T94" s="14">
        <f t="shared" si="42"/>
        <v>-92.416666666666671</v>
      </c>
      <c r="U94" s="14">
        <f t="shared" si="42"/>
        <v>-85.958333333333329</v>
      </c>
      <c r="V94" s="14">
        <f t="shared" si="42"/>
        <v>-79.833333333333343</v>
      </c>
      <c r="W94" s="14">
        <f t="shared" si="42"/>
        <v>-74.375000000000014</v>
      </c>
      <c r="X94" s="14">
        <f t="shared" si="42"/>
        <v>-70.208333333333343</v>
      </c>
      <c r="Y94" s="14">
        <f t="shared" si="42"/>
        <v>-66.25</v>
      </c>
      <c r="Z94" s="14">
        <f t="shared" si="42"/>
        <v>-62.500000000000007</v>
      </c>
      <c r="AA94" s="14">
        <f t="shared" si="42"/>
        <v>-58.875000000000007</v>
      </c>
      <c r="AB94" s="14">
        <f t="shared" si="42"/>
        <v>-45.833333333333336</v>
      </c>
      <c r="AC94" s="14">
        <f t="shared" si="42"/>
        <v>-42.875</v>
      </c>
      <c r="AD94" s="14">
        <f t="shared" si="42"/>
        <v>-40.025000000000006</v>
      </c>
      <c r="AE94" s="14">
        <f t="shared" si="42"/>
        <v>-37.283333333333339</v>
      </c>
      <c r="AF94" s="14">
        <f t="shared" si="42"/>
        <v>-34.637500000000003</v>
      </c>
      <c r="AG94" s="14">
        <f t="shared" si="42"/>
        <v>-32.145833333333336</v>
      </c>
      <c r="AH94" s="14">
        <f t="shared" si="42"/>
        <v>-32.487500000000004</v>
      </c>
      <c r="AI94" s="14">
        <f t="shared" si="42"/>
        <v>-32.829166666666666</v>
      </c>
      <c r="AJ94" s="14">
        <f t="shared" si="42"/>
        <v>-33.179166666666667</v>
      </c>
      <c r="AK94" s="14">
        <f t="shared" si="42"/>
        <v>-34.662500000000009</v>
      </c>
      <c r="AL94" s="14">
        <f t="shared" si="42"/>
        <v>-35.0625</v>
      </c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/>
      <c r="BP94" s="14"/>
      <c r="BQ94" s="14"/>
      <c r="BR94" s="14"/>
      <c r="BS94" s="14"/>
    </row>
    <row r="95" spans="1:71" ht="21" hidden="1" customHeight="1" outlineLevel="1" thickBot="1" x14ac:dyDescent="0.4">
      <c r="A95" s="5">
        <f t="shared" si="28"/>
        <v>0</v>
      </c>
      <c r="B95" s="5">
        <f t="shared" si="28"/>
        <v>0</v>
      </c>
      <c r="C95" s="5">
        <f t="shared" si="28"/>
        <v>1</v>
      </c>
      <c r="D95" s="5">
        <f t="shared" si="28"/>
        <v>0</v>
      </c>
      <c r="E95" s="6" t="str">
        <f t="shared" si="24"/>
        <v>H (Ge)</v>
      </c>
      <c r="F95" s="14">
        <f t="shared" ref="F95:AL95" si="43">F19*$C$78</f>
        <v>-67.875</v>
      </c>
      <c r="G95" s="14">
        <f t="shared" si="43"/>
        <v>-65.208333333333343</v>
      </c>
      <c r="H95" s="14">
        <f t="shared" si="43"/>
        <v>-62.875000000000007</v>
      </c>
      <c r="I95" s="14">
        <f t="shared" si="43"/>
        <v>-60.791666666666671</v>
      </c>
      <c r="J95" s="14">
        <f t="shared" si="43"/>
        <v>-59.000000000000007</v>
      </c>
      <c r="K95" s="14">
        <f t="shared" si="43"/>
        <v>-54.291666666666671</v>
      </c>
      <c r="L95" s="14">
        <f t="shared" si="43"/>
        <v>-49.166666666666671</v>
      </c>
      <c r="M95" s="14">
        <f t="shared" si="43"/>
        <v>-44.458333333333336</v>
      </c>
      <c r="N95" s="14">
        <f t="shared" si="43"/>
        <v>-40.054166666666667</v>
      </c>
      <c r="O95" s="14">
        <f t="shared" si="43"/>
        <v>-25.158333333333335</v>
      </c>
      <c r="P95" s="14">
        <f t="shared" si="43"/>
        <v>-21.970833333333335</v>
      </c>
      <c r="Q95" s="14">
        <f t="shared" si="43"/>
        <v>-18.958333333333336</v>
      </c>
      <c r="R95" s="14">
        <f t="shared" si="43"/>
        <v>-17.145833333333336</v>
      </c>
      <c r="S95" s="14">
        <f t="shared" si="43"/>
        <v>-17.312500000000004</v>
      </c>
      <c r="T95" s="14">
        <f t="shared" si="43"/>
        <v>-17.479166666666668</v>
      </c>
      <c r="U95" s="14">
        <f t="shared" si="43"/>
        <v>-17.649999999999999</v>
      </c>
      <c r="V95" s="14">
        <f t="shared" si="43"/>
        <v>-17.816666666666666</v>
      </c>
      <c r="W95" s="14">
        <f t="shared" si="43"/>
        <v>-17.987500000000001</v>
      </c>
      <c r="X95" s="14">
        <f t="shared" si="43"/>
        <v>-18.158333333333331</v>
      </c>
      <c r="Y95" s="14">
        <f t="shared" si="43"/>
        <v>-18.329166666666669</v>
      </c>
      <c r="Z95" s="14">
        <f t="shared" si="43"/>
        <v>-18.500000000000004</v>
      </c>
      <c r="AA95" s="14">
        <f t="shared" si="43"/>
        <v>-18.670833333333334</v>
      </c>
      <c r="AB95" s="14">
        <f t="shared" si="43"/>
        <v>-19.345833333333335</v>
      </c>
      <c r="AC95" s="14">
        <f t="shared" si="43"/>
        <v>-19.512499999999999</v>
      </c>
      <c r="AD95" s="14">
        <f t="shared" si="43"/>
        <v>-19.675000000000004</v>
      </c>
      <c r="AE95" s="14">
        <f t="shared" si="43"/>
        <v>-19.841666666666665</v>
      </c>
      <c r="AF95" s="14">
        <f t="shared" si="43"/>
        <v>-20.00416666666667</v>
      </c>
      <c r="AG95" s="14">
        <f t="shared" si="43"/>
        <v>-20.166666666666668</v>
      </c>
      <c r="AH95" s="14">
        <f t="shared" si="43"/>
        <v>-20.325000000000003</v>
      </c>
      <c r="AI95" s="14">
        <f t="shared" si="43"/>
        <v>-20.487500000000001</v>
      </c>
      <c r="AJ95" s="14">
        <f t="shared" si="43"/>
        <v>-20.645833333333336</v>
      </c>
      <c r="AK95" s="14">
        <f t="shared" si="43"/>
        <v>-21.266666666666669</v>
      </c>
      <c r="AL95" s="14">
        <f t="shared" si="43"/>
        <v>-21.420833333333334</v>
      </c>
      <c r="AM95" s="14"/>
      <c r="AN95" s="14"/>
      <c r="AO95" s="14"/>
      <c r="AP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4"/>
      <c r="BH95" s="14"/>
      <c r="BI95" s="14"/>
      <c r="BJ95" s="14"/>
      <c r="BK95" s="14"/>
      <c r="BL95" s="14"/>
      <c r="BM95" s="14"/>
      <c r="BN95" s="14"/>
      <c r="BO95" s="14"/>
      <c r="BP95" s="14"/>
      <c r="BQ95" s="14"/>
      <c r="BR95" s="14"/>
      <c r="BS95" s="14"/>
    </row>
    <row r="96" spans="1:71" ht="21" hidden="1" customHeight="1" outlineLevel="1" thickBot="1" x14ac:dyDescent="0.4">
      <c r="A96" s="5">
        <f t="shared" si="28"/>
        <v>0</v>
      </c>
      <c r="B96" s="5">
        <f t="shared" si="28"/>
        <v>1</v>
      </c>
      <c r="C96" s="5">
        <f t="shared" si="28"/>
        <v>0</v>
      </c>
      <c r="D96" s="5">
        <f t="shared" si="28"/>
        <v>0</v>
      </c>
      <c r="E96" s="6" t="str">
        <f t="shared" si="24"/>
        <v>H (Se)</v>
      </c>
      <c r="F96" s="14">
        <f t="shared" ref="F96:AL96" si="44">F20*$C$78</f>
        <v>-98</v>
      </c>
      <c r="G96" s="14">
        <f t="shared" si="44"/>
        <v>-93.375000000000014</v>
      </c>
      <c r="H96" s="14">
        <f t="shared" si="44"/>
        <v>-89.250000000000014</v>
      </c>
      <c r="I96" s="14">
        <f t="shared" si="44"/>
        <v>-85.583333333333343</v>
      </c>
      <c r="J96" s="14">
        <f t="shared" si="44"/>
        <v>-82.333333333333343</v>
      </c>
      <c r="K96" s="14">
        <f t="shared" si="44"/>
        <v>-82.500000000000014</v>
      </c>
      <c r="L96" s="14">
        <f t="shared" si="44"/>
        <v>-83.5</v>
      </c>
      <c r="M96" s="14">
        <f t="shared" si="44"/>
        <v>-84.500000000000014</v>
      </c>
      <c r="N96" s="14">
        <f t="shared" si="44"/>
        <v>-85.541666666666671</v>
      </c>
      <c r="O96" s="14">
        <f t="shared" si="44"/>
        <v>-89.708333333333343</v>
      </c>
      <c r="P96" s="14">
        <f t="shared" si="44"/>
        <v>-90.750000000000014</v>
      </c>
      <c r="Q96" s="14">
        <f t="shared" si="44"/>
        <v>-91.75</v>
      </c>
      <c r="R96" s="14">
        <f t="shared" si="44"/>
        <v>-92.791666666666671</v>
      </c>
      <c r="S96" s="14">
        <f t="shared" si="44"/>
        <v>-93.833333333333343</v>
      </c>
      <c r="T96" s="14">
        <f t="shared" si="44"/>
        <v>-94.833333333333343</v>
      </c>
      <c r="U96" s="14">
        <f t="shared" si="44"/>
        <v>-95.833333333333343</v>
      </c>
      <c r="V96" s="14">
        <f t="shared" si="44"/>
        <v>-96.833333333333329</v>
      </c>
      <c r="W96" s="14">
        <f t="shared" si="44"/>
        <v>-97.833333333333343</v>
      </c>
      <c r="X96" s="14">
        <f t="shared" si="44"/>
        <v>-98.833333333333329</v>
      </c>
      <c r="Y96" s="14">
        <f t="shared" si="44"/>
        <v>-99.791666666666671</v>
      </c>
      <c r="Z96" s="14">
        <f t="shared" si="44"/>
        <v>-100.75</v>
      </c>
      <c r="AA96" s="14">
        <f t="shared" si="44"/>
        <v>-101.70833333333334</v>
      </c>
      <c r="AB96" s="14">
        <f t="shared" si="44"/>
        <v>-105.45833333333333</v>
      </c>
      <c r="AC96" s="14">
        <f t="shared" si="44"/>
        <v>-106.37500000000001</v>
      </c>
      <c r="AD96" s="14">
        <f t="shared" si="44"/>
        <v>-107.29166666666667</v>
      </c>
      <c r="AE96" s="14">
        <f t="shared" si="44"/>
        <v>-108.20833333333334</v>
      </c>
      <c r="AF96" s="14">
        <f t="shared" si="44"/>
        <v>-109.08333333333334</v>
      </c>
      <c r="AG96" s="14">
        <f t="shared" si="44"/>
        <v>-109.95833333333334</v>
      </c>
      <c r="AH96" s="14">
        <f t="shared" si="44"/>
        <v>-110.83333333333334</v>
      </c>
      <c r="AI96" s="14">
        <f t="shared" si="44"/>
        <v>-111.70833333333334</v>
      </c>
      <c r="AJ96" s="14">
        <f t="shared" si="44"/>
        <v>-112.58333333333334</v>
      </c>
      <c r="AK96" s="14">
        <f t="shared" si="44"/>
        <v>-115.95833333333333</v>
      </c>
      <c r="AL96" s="14">
        <f t="shared" si="44"/>
        <v>-116.79166666666669</v>
      </c>
      <c r="AM96" s="14"/>
      <c r="AN96" s="14"/>
      <c r="AO96" s="14"/>
      <c r="AP96" s="14"/>
      <c r="AQ96" s="14"/>
      <c r="AR96" s="14"/>
      <c r="AS96" s="14"/>
      <c r="AT96" s="14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4"/>
      <c r="BH96" s="14"/>
      <c r="BI96" s="14"/>
      <c r="BJ96" s="14"/>
      <c r="BK96" s="14"/>
      <c r="BL96" s="14"/>
      <c r="BM96" s="14"/>
      <c r="BN96" s="14"/>
      <c r="BO96" s="14"/>
      <c r="BP96" s="14"/>
      <c r="BQ96" s="14"/>
      <c r="BR96" s="14"/>
      <c r="BS96" s="14"/>
    </row>
    <row r="97" spans="1:87" ht="21" hidden="1" customHeight="1" outlineLevel="1" thickBot="1" x14ac:dyDescent="0.4">
      <c r="A97" s="5">
        <f t="shared" ref="A97:D109" si="45">A63</f>
        <v>0</v>
      </c>
      <c r="B97" s="5">
        <f t="shared" si="45"/>
        <v>0</v>
      </c>
      <c r="C97" s="5">
        <f t="shared" si="45"/>
        <v>0</v>
      </c>
      <c r="D97" s="5">
        <f t="shared" si="45"/>
        <v>0</v>
      </c>
      <c r="E97" s="6">
        <f t="shared" si="24"/>
        <v>0</v>
      </c>
      <c r="F97" s="14">
        <f t="shared" ref="F97:AL97" si="46">F21*$C$78</f>
        <v>0</v>
      </c>
      <c r="G97" s="14">
        <f t="shared" si="46"/>
        <v>0</v>
      </c>
      <c r="H97" s="14">
        <f t="shared" si="46"/>
        <v>0</v>
      </c>
      <c r="I97" s="14">
        <f t="shared" si="46"/>
        <v>0</v>
      </c>
      <c r="J97" s="14">
        <f t="shared" si="46"/>
        <v>0</v>
      </c>
      <c r="K97" s="14">
        <f t="shared" si="46"/>
        <v>0</v>
      </c>
      <c r="L97" s="14">
        <f t="shared" si="46"/>
        <v>0</v>
      </c>
      <c r="M97" s="14">
        <f t="shared" si="46"/>
        <v>0</v>
      </c>
      <c r="N97" s="14">
        <f t="shared" si="46"/>
        <v>0</v>
      </c>
      <c r="O97" s="14">
        <f t="shared" si="46"/>
        <v>0</v>
      </c>
      <c r="P97" s="14">
        <f t="shared" si="46"/>
        <v>0</v>
      </c>
      <c r="Q97" s="14">
        <f t="shared" si="46"/>
        <v>0</v>
      </c>
      <c r="R97" s="14">
        <f t="shared" si="46"/>
        <v>0</v>
      </c>
      <c r="S97" s="14">
        <f t="shared" si="46"/>
        <v>0</v>
      </c>
      <c r="T97" s="14">
        <f t="shared" si="46"/>
        <v>0</v>
      </c>
      <c r="U97" s="14">
        <f t="shared" si="46"/>
        <v>0</v>
      </c>
      <c r="V97" s="14">
        <f t="shared" si="46"/>
        <v>0</v>
      </c>
      <c r="W97" s="14">
        <f t="shared" si="46"/>
        <v>0</v>
      </c>
      <c r="X97" s="14">
        <f t="shared" si="46"/>
        <v>0</v>
      </c>
      <c r="Y97" s="14">
        <f t="shared" si="46"/>
        <v>0</v>
      </c>
      <c r="Z97" s="14">
        <f t="shared" si="46"/>
        <v>0</v>
      </c>
      <c r="AA97" s="14">
        <f t="shared" si="46"/>
        <v>0</v>
      </c>
      <c r="AB97" s="14">
        <f t="shared" si="46"/>
        <v>0</v>
      </c>
      <c r="AC97" s="14">
        <f t="shared" si="46"/>
        <v>0</v>
      </c>
      <c r="AD97" s="14">
        <f t="shared" si="46"/>
        <v>0</v>
      </c>
      <c r="AE97" s="14">
        <f t="shared" si="46"/>
        <v>0</v>
      </c>
      <c r="AF97" s="14">
        <f t="shared" si="46"/>
        <v>0</v>
      </c>
      <c r="AG97" s="14">
        <f t="shared" si="46"/>
        <v>0</v>
      </c>
      <c r="AH97" s="14">
        <f t="shared" si="46"/>
        <v>0</v>
      </c>
      <c r="AI97" s="14">
        <f t="shared" si="46"/>
        <v>0</v>
      </c>
      <c r="AJ97" s="14">
        <f t="shared" si="46"/>
        <v>0</v>
      </c>
      <c r="AK97" s="14">
        <f t="shared" si="46"/>
        <v>0</v>
      </c>
      <c r="AL97" s="14">
        <f t="shared" si="46"/>
        <v>0</v>
      </c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  <c r="BI97" s="14"/>
      <c r="BJ97" s="14"/>
      <c r="BK97" s="14"/>
      <c r="BL97" s="14"/>
      <c r="BM97" s="14"/>
      <c r="BN97" s="14"/>
      <c r="BO97" s="14"/>
      <c r="BP97" s="14"/>
      <c r="BQ97" s="14"/>
      <c r="BR97" s="14"/>
      <c r="BS97" s="14"/>
    </row>
    <row r="98" spans="1:87" ht="21" hidden="1" customHeight="1" outlineLevel="1" thickBot="1" x14ac:dyDescent="0.4">
      <c r="A98" s="5">
        <f t="shared" si="45"/>
        <v>0</v>
      </c>
      <c r="B98" s="5">
        <f t="shared" si="45"/>
        <v>0</v>
      </c>
      <c r="C98" s="5">
        <f t="shared" si="45"/>
        <v>0</v>
      </c>
      <c r="D98" s="5">
        <f t="shared" si="45"/>
        <v>0</v>
      </c>
      <c r="E98" s="6">
        <f t="shared" si="24"/>
        <v>0</v>
      </c>
      <c r="F98" s="14">
        <f t="shared" ref="F98:AL98" si="47">F22*$C$78</f>
        <v>0</v>
      </c>
      <c r="G98" s="14">
        <f t="shared" si="47"/>
        <v>0</v>
      </c>
      <c r="H98" s="14">
        <f t="shared" si="47"/>
        <v>0</v>
      </c>
      <c r="I98" s="14">
        <f t="shared" si="47"/>
        <v>0</v>
      </c>
      <c r="J98" s="14">
        <f t="shared" si="47"/>
        <v>0</v>
      </c>
      <c r="K98" s="14">
        <f t="shared" si="47"/>
        <v>0</v>
      </c>
      <c r="L98" s="14">
        <f t="shared" si="47"/>
        <v>0</v>
      </c>
      <c r="M98" s="14">
        <f t="shared" si="47"/>
        <v>0</v>
      </c>
      <c r="N98" s="14">
        <f t="shared" si="47"/>
        <v>0</v>
      </c>
      <c r="O98" s="14">
        <f t="shared" si="47"/>
        <v>0</v>
      </c>
      <c r="P98" s="14">
        <f t="shared" si="47"/>
        <v>0</v>
      </c>
      <c r="Q98" s="14">
        <f t="shared" si="47"/>
        <v>0</v>
      </c>
      <c r="R98" s="14">
        <f t="shared" si="47"/>
        <v>0</v>
      </c>
      <c r="S98" s="14">
        <f t="shared" si="47"/>
        <v>0</v>
      </c>
      <c r="T98" s="14">
        <f t="shared" si="47"/>
        <v>0</v>
      </c>
      <c r="U98" s="14">
        <f t="shared" si="47"/>
        <v>0</v>
      </c>
      <c r="V98" s="14">
        <f t="shared" si="47"/>
        <v>0</v>
      </c>
      <c r="W98" s="14">
        <f t="shared" si="47"/>
        <v>0</v>
      </c>
      <c r="X98" s="14">
        <f t="shared" si="47"/>
        <v>0</v>
      </c>
      <c r="Y98" s="14">
        <f t="shared" si="47"/>
        <v>0</v>
      </c>
      <c r="Z98" s="14">
        <f t="shared" si="47"/>
        <v>0</v>
      </c>
      <c r="AA98" s="14">
        <f t="shared" si="47"/>
        <v>0</v>
      </c>
      <c r="AB98" s="14">
        <f t="shared" si="47"/>
        <v>0</v>
      </c>
      <c r="AC98" s="14">
        <f t="shared" si="47"/>
        <v>0</v>
      </c>
      <c r="AD98" s="14">
        <f t="shared" si="47"/>
        <v>0</v>
      </c>
      <c r="AE98" s="14">
        <f t="shared" si="47"/>
        <v>0</v>
      </c>
      <c r="AF98" s="14">
        <f t="shared" si="47"/>
        <v>0</v>
      </c>
      <c r="AG98" s="14">
        <f t="shared" si="47"/>
        <v>0</v>
      </c>
      <c r="AH98" s="14">
        <f t="shared" si="47"/>
        <v>0</v>
      </c>
      <c r="AI98" s="14">
        <f t="shared" si="47"/>
        <v>0</v>
      </c>
      <c r="AJ98" s="14">
        <f t="shared" si="47"/>
        <v>0</v>
      </c>
      <c r="AK98" s="14">
        <f t="shared" si="47"/>
        <v>0</v>
      </c>
      <c r="AL98" s="14">
        <f t="shared" si="47"/>
        <v>0</v>
      </c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4"/>
      <c r="BM98" s="14"/>
      <c r="BN98" s="14"/>
      <c r="BO98" s="14"/>
      <c r="BP98" s="14"/>
      <c r="BQ98" s="14"/>
      <c r="BR98" s="14"/>
      <c r="BS98" s="14"/>
    </row>
    <row r="99" spans="1:87" ht="21" hidden="1" customHeight="1" outlineLevel="1" thickBot="1" x14ac:dyDescent="0.4">
      <c r="A99" s="5">
        <f t="shared" si="45"/>
        <v>0</v>
      </c>
      <c r="B99" s="5">
        <f t="shared" si="45"/>
        <v>0</v>
      </c>
      <c r="C99" s="5">
        <f t="shared" si="45"/>
        <v>0</v>
      </c>
      <c r="D99" s="5">
        <f t="shared" si="45"/>
        <v>0</v>
      </c>
      <c r="E99" s="6">
        <f t="shared" si="24"/>
        <v>0</v>
      </c>
      <c r="F99" s="14">
        <f t="shared" ref="F99:AL99" si="48">F23*$C$78</f>
        <v>0</v>
      </c>
      <c r="G99" s="14">
        <f t="shared" si="48"/>
        <v>0</v>
      </c>
      <c r="H99" s="14">
        <f t="shared" si="48"/>
        <v>0</v>
      </c>
      <c r="I99" s="14">
        <f t="shared" si="48"/>
        <v>0</v>
      </c>
      <c r="J99" s="14">
        <f t="shared" si="48"/>
        <v>0</v>
      </c>
      <c r="K99" s="14">
        <f t="shared" si="48"/>
        <v>0</v>
      </c>
      <c r="L99" s="14">
        <f t="shared" si="48"/>
        <v>0</v>
      </c>
      <c r="M99" s="14">
        <f t="shared" si="48"/>
        <v>0</v>
      </c>
      <c r="N99" s="14">
        <f t="shared" si="48"/>
        <v>0</v>
      </c>
      <c r="O99" s="14">
        <f t="shared" si="48"/>
        <v>0</v>
      </c>
      <c r="P99" s="14">
        <f t="shared" si="48"/>
        <v>0</v>
      </c>
      <c r="Q99" s="14">
        <f t="shared" si="48"/>
        <v>0</v>
      </c>
      <c r="R99" s="14">
        <f t="shared" si="48"/>
        <v>0</v>
      </c>
      <c r="S99" s="14">
        <f t="shared" si="48"/>
        <v>0</v>
      </c>
      <c r="T99" s="14">
        <f t="shared" si="48"/>
        <v>0</v>
      </c>
      <c r="U99" s="14">
        <f t="shared" si="48"/>
        <v>0</v>
      </c>
      <c r="V99" s="14">
        <f t="shared" si="48"/>
        <v>0</v>
      </c>
      <c r="W99" s="14">
        <f t="shared" si="48"/>
        <v>0</v>
      </c>
      <c r="X99" s="14">
        <f t="shared" si="48"/>
        <v>0</v>
      </c>
      <c r="Y99" s="14">
        <f t="shared" si="48"/>
        <v>0</v>
      </c>
      <c r="Z99" s="14">
        <f t="shared" si="48"/>
        <v>0</v>
      </c>
      <c r="AA99" s="14">
        <f t="shared" si="48"/>
        <v>0</v>
      </c>
      <c r="AB99" s="14">
        <f t="shared" si="48"/>
        <v>0</v>
      </c>
      <c r="AC99" s="14">
        <f t="shared" si="48"/>
        <v>0</v>
      </c>
      <c r="AD99" s="14">
        <f t="shared" si="48"/>
        <v>0</v>
      </c>
      <c r="AE99" s="14">
        <f t="shared" si="48"/>
        <v>0</v>
      </c>
      <c r="AF99" s="14">
        <f t="shared" si="48"/>
        <v>0</v>
      </c>
      <c r="AG99" s="14">
        <f t="shared" si="48"/>
        <v>0</v>
      </c>
      <c r="AH99" s="14">
        <f t="shared" si="48"/>
        <v>0</v>
      </c>
      <c r="AI99" s="14">
        <f t="shared" si="48"/>
        <v>0</v>
      </c>
      <c r="AJ99" s="14">
        <f t="shared" si="48"/>
        <v>0</v>
      </c>
      <c r="AK99" s="14">
        <f t="shared" si="48"/>
        <v>0</v>
      </c>
      <c r="AL99" s="14">
        <f t="shared" si="48"/>
        <v>0</v>
      </c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4"/>
      <c r="BH99" s="14"/>
      <c r="BI99" s="14"/>
      <c r="BJ99" s="14"/>
      <c r="BK99" s="14"/>
      <c r="BL99" s="14"/>
      <c r="BM99" s="14"/>
      <c r="BN99" s="14"/>
      <c r="BO99" s="14"/>
      <c r="BP99" s="14"/>
      <c r="BQ99" s="14"/>
      <c r="BR99" s="14"/>
      <c r="BS99" s="14"/>
    </row>
    <row r="100" spans="1:87" ht="21" hidden="1" customHeight="1" outlineLevel="1" thickBot="1" x14ac:dyDescent="0.4">
      <c r="A100" s="5">
        <f t="shared" si="45"/>
        <v>0</v>
      </c>
      <c r="B100" s="5">
        <f t="shared" si="45"/>
        <v>0</v>
      </c>
      <c r="C100" s="5">
        <f t="shared" si="45"/>
        <v>0</v>
      </c>
      <c r="D100" s="5">
        <f t="shared" si="45"/>
        <v>0</v>
      </c>
      <c r="E100" s="6">
        <f t="shared" si="24"/>
        <v>0</v>
      </c>
      <c r="F100" s="14">
        <f t="shared" ref="F100:AL100" si="49">F24*$C$78</f>
        <v>0</v>
      </c>
      <c r="G100" s="14">
        <f t="shared" si="49"/>
        <v>0</v>
      </c>
      <c r="H100" s="14">
        <f t="shared" si="49"/>
        <v>0</v>
      </c>
      <c r="I100" s="14">
        <f t="shared" si="49"/>
        <v>0</v>
      </c>
      <c r="J100" s="14">
        <f t="shared" si="49"/>
        <v>0</v>
      </c>
      <c r="K100" s="14">
        <f t="shared" si="49"/>
        <v>0</v>
      </c>
      <c r="L100" s="14">
        <f t="shared" si="49"/>
        <v>0</v>
      </c>
      <c r="M100" s="14">
        <f t="shared" si="49"/>
        <v>0</v>
      </c>
      <c r="N100" s="14">
        <f t="shared" si="49"/>
        <v>0</v>
      </c>
      <c r="O100" s="14">
        <f t="shared" si="49"/>
        <v>0</v>
      </c>
      <c r="P100" s="14">
        <f t="shared" si="49"/>
        <v>0</v>
      </c>
      <c r="Q100" s="14">
        <f t="shared" si="49"/>
        <v>0</v>
      </c>
      <c r="R100" s="14">
        <f t="shared" si="49"/>
        <v>0</v>
      </c>
      <c r="S100" s="14">
        <f t="shared" si="49"/>
        <v>0</v>
      </c>
      <c r="T100" s="14">
        <f t="shared" si="49"/>
        <v>0</v>
      </c>
      <c r="U100" s="14">
        <f t="shared" si="49"/>
        <v>0</v>
      </c>
      <c r="V100" s="14">
        <f t="shared" si="49"/>
        <v>0</v>
      </c>
      <c r="W100" s="14">
        <f t="shared" si="49"/>
        <v>0</v>
      </c>
      <c r="X100" s="14">
        <f t="shared" si="49"/>
        <v>0</v>
      </c>
      <c r="Y100" s="14">
        <f t="shared" si="49"/>
        <v>0</v>
      </c>
      <c r="Z100" s="14">
        <f t="shared" si="49"/>
        <v>0</v>
      </c>
      <c r="AA100" s="14">
        <f t="shared" si="49"/>
        <v>0</v>
      </c>
      <c r="AB100" s="14">
        <f t="shared" si="49"/>
        <v>0</v>
      </c>
      <c r="AC100" s="14">
        <f t="shared" si="49"/>
        <v>0</v>
      </c>
      <c r="AD100" s="14">
        <f t="shared" si="49"/>
        <v>0</v>
      </c>
      <c r="AE100" s="14">
        <f t="shared" si="49"/>
        <v>0</v>
      </c>
      <c r="AF100" s="14">
        <f t="shared" si="49"/>
        <v>0</v>
      </c>
      <c r="AG100" s="14">
        <f t="shared" si="49"/>
        <v>0</v>
      </c>
      <c r="AH100" s="14">
        <f t="shared" si="49"/>
        <v>0</v>
      </c>
      <c r="AI100" s="14">
        <f t="shared" si="49"/>
        <v>0</v>
      </c>
      <c r="AJ100" s="14">
        <f t="shared" si="49"/>
        <v>0</v>
      </c>
      <c r="AK100" s="14">
        <f t="shared" si="49"/>
        <v>0</v>
      </c>
      <c r="AL100" s="14">
        <f t="shared" si="49"/>
        <v>0</v>
      </c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  <c r="BH100" s="14"/>
      <c r="BI100" s="14"/>
      <c r="BJ100" s="14"/>
      <c r="BK100" s="14"/>
      <c r="BL100" s="14"/>
      <c r="BM100" s="14"/>
      <c r="BN100" s="14"/>
      <c r="BO100" s="14"/>
      <c r="BP100" s="14"/>
      <c r="BQ100" s="14"/>
      <c r="BR100" s="14"/>
      <c r="BS100" s="14"/>
    </row>
    <row r="101" spans="1:87" ht="21" hidden="1" customHeight="1" outlineLevel="1" thickBot="1" x14ac:dyDescent="0.4">
      <c r="A101" s="5">
        <f t="shared" si="45"/>
        <v>0</v>
      </c>
      <c r="B101" s="5">
        <f t="shared" si="45"/>
        <v>0</v>
      </c>
      <c r="C101" s="5">
        <f t="shared" si="45"/>
        <v>0</v>
      </c>
      <c r="D101" s="5">
        <f t="shared" si="45"/>
        <v>0</v>
      </c>
      <c r="E101" s="6">
        <f t="shared" si="24"/>
        <v>0</v>
      </c>
      <c r="F101" s="14">
        <f t="shared" ref="F101:AL101" si="50">F25*$C$78</f>
        <v>0</v>
      </c>
      <c r="G101" s="14">
        <f t="shared" si="50"/>
        <v>0</v>
      </c>
      <c r="H101" s="14">
        <f t="shared" si="50"/>
        <v>0</v>
      </c>
      <c r="I101" s="14">
        <f t="shared" si="50"/>
        <v>0</v>
      </c>
      <c r="J101" s="14">
        <f t="shared" si="50"/>
        <v>0</v>
      </c>
      <c r="K101" s="14">
        <f t="shared" si="50"/>
        <v>0</v>
      </c>
      <c r="L101" s="14">
        <f t="shared" si="50"/>
        <v>0</v>
      </c>
      <c r="M101" s="14">
        <f t="shared" si="50"/>
        <v>0</v>
      </c>
      <c r="N101" s="14">
        <f t="shared" si="50"/>
        <v>0</v>
      </c>
      <c r="O101" s="14">
        <f t="shared" si="50"/>
        <v>0</v>
      </c>
      <c r="P101" s="14">
        <f t="shared" si="50"/>
        <v>0</v>
      </c>
      <c r="Q101" s="14">
        <f t="shared" si="50"/>
        <v>0</v>
      </c>
      <c r="R101" s="14">
        <f t="shared" si="50"/>
        <v>0</v>
      </c>
      <c r="S101" s="14">
        <f t="shared" si="50"/>
        <v>0</v>
      </c>
      <c r="T101" s="14">
        <f t="shared" si="50"/>
        <v>0</v>
      </c>
      <c r="U101" s="14">
        <f t="shared" si="50"/>
        <v>0</v>
      </c>
      <c r="V101" s="14">
        <f t="shared" si="50"/>
        <v>0</v>
      </c>
      <c r="W101" s="14">
        <f t="shared" si="50"/>
        <v>0</v>
      </c>
      <c r="X101" s="14">
        <f t="shared" si="50"/>
        <v>0</v>
      </c>
      <c r="Y101" s="14">
        <f t="shared" si="50"/>
        <v>0</v>
      </c>
      <c r="Z101" s="14">
        <f t="shared" si="50"/>
        <v>0</v>
      </c>
      <c r="AA101" s="14">
        <f t="shared" si="50"/>
        <v>0</v>
      </c>
      <c r="AB101" s="14">
        <f t="shared" si="50"/>
        <v>0</v>
      </c>
      <c r="AC101" s="14">
        <f t="shared" si="50"/>
        <v>0</v>
      </c>
      <c r="AD101" s="14">
        <f t="shared" si="50"/>
        <v>0</v>
      </c>
      <c r="AE101" s="14">
        <f t="shared" si="50"/>
        <v>0</v>
      </c>
      <c r="AF101" s="14">
        <f t="shared" si="50"/>
        <v>0</v>
      </c>
      <c r="AG101" s="14">
        <f t="shared" si="50"/>
        <v>0</v>
      </c>
      <c r="AH101" s="14">
        <f t="shared" si="50"/>
        <v>0</v>
      </c>
      <c r="AI101" s="14">
        <f t="shared" si="50"/>
        <v>0</v>
      </c>
      <c r="AJ101" s="14">
        <f t="shared" si="50"/>
        <v>0</v>
      </c>
      <c r="AK101" s="14">
        <f t="shared" si="50"/>
        <v>0</v>
      </c>
      <c r="AL101" s="14">
        <f t="shared" si="50"/>
        <v>0</v>
      </c>
      <c r="AM101" s="14"/>
      <c r="AN101" s="14"/>
      <c r="AO101" s="14"/>
      <c r="AP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  <c r="BH101" s="14"/>
      <c r="BI101" s="14"/>
      <c r="BJ101" s="14"/>
      <c r="BK101" s="14"/>
      <c r="BL101" s="14"/>
      <c r="BM101" s="14"/>
      <c r="BN101" s="14"/>
      <c r="BO101" s="14"/>
      <c r="BP101" s="14"/>
      <c r="BQ101" s="14"/>
      <c r="BR101" s="14"/>
      <c r="BS101" s="14"/>
    </row>
    <row r="102" spans="1:87" ht="21" hidden="1" customHeight="1" outlineLevel="1" thickBot="1" x14ac:dyDescent="0.4">
      <c r="A102" s="5">
        <f t="shared" si="45"/>
        <v>0</v>
      </c>
      <c r="B102" s="5">
        <f t="shared" si="45"/>
        <v>0</v>
      </c>
      <c r="C102" s="5">
        <f t="shared" si="45"/>
        <v>0</v>
      </c>
      <c r="D102" s="5">
        <f t="shared" si="45"/>
        <v>0</v>
      </c>
      <c r="E102" s="6">
        <f t="shared" si="24"/>
        <v>0</v>
      </c>
      <c r="F102" s="14">
        <f t="shared" ref="F102:AL102" si="51">F26*$C$78</f>
        <v>0</v>
      </c>
      <c r="G102" s="14">
        <f t="shared" si="51"/>
        <v>0</v>
      </c>
      <c r="H102" s="14">
        <f t="shared" si="51"/>
        <v>0</v>
      </c>
      <c r="I102" s="14">
        <f t="shared" si="51"/>
        <v>0</v>
      </c>
      <c r="J102" s="14">
        <f t="shared" si="51"/>
        <v>0</v>
      </c>
      <c r="K102" s="14">
        <f t="shared" si="51"/>
        <v>0</v>
      </c>
      <c r="L102" s="14">
        <f t="shared" si="51"/>
        <v>0</v>
      </c>
      <c r="M102" s="14">
        <f t="shared" si="51"/>
        <v>0</v>
      </c>
      <c r="N102" s="14">
        <f t="shared" si="51"/>
        <v>0</v>
      </c>
      <c r="O102" s="14">
        <f t="shared" si="51"/>
        <v>0</v>
      </c>
      <c r="P102" s="14">
        <f t="shared" si="51"/>
        <v>0</v>
      </c>
      <c r="Q102" s="14">
        <f t="shared" si="51"/>
        <v>0</v>
      </c>
      <c r="R102" s="14">
        <f t="shared" si="51"/>
        <v>0</v>
      </c>
      <c r="S102" s="14">
        <f t="shared" si="51"/>
        <v>0</v>
      </c>
      <c r="T102" s="14">
        <f t="shared" si="51"/>
        <v>0</v>
      </c>
      <c r="U102" s="14">
        <f t="shared" si="51"/>
        <v>0</v>
      </c>
      <c r="V102" s="14">
        <f t="shared" si="51"/>
        <v>0</v>
      </c>
      <c r="W102" s="14">
        <f t="shared" si="51"/>
        <v>0</v>
      </c>
      <c r="X102" s="14">
        <f t="shared" si="51"/>
        <v>0</v>
      </c>
      <c r="Y102" s="14">
        <f t="shared" si="51"/>
        <v>0</v>
      </c>
      <c r="Z102" s="14">
        <f t="shared" si="51"/>
        <v>0</v>
      </c>
      <c r="AA102" s="14">
        <f t="shared" si="51"/>
        <v>0</v>
      </c>
      <c r="AB102" s="14">
        <f t="shared" si="51"/>
        <v>0</v>
      </c>
      <c r="AC102" s="14">
        <f t="shared" si="51"/>
        <v>0</v>
      </c>
      <c r="AD102" s="14">
        <f t="shared" si="51"/>
        <v>0</v>
      </c>
      <c r="AE102" s="14">
        <f t="shared" si="51"/>
        <v>0</v>
      </c>
      <c r="AF102" s="14">
        <f t="shared" si="51"/>
        <v>0</v>
      </c>
      <c r="AG102" s="14">
        <f t="shared" si="51"/>
        <v>0</v>
      </c>
      <c r="AH102" s="14">
        <f t="shared" si="51"/>
        <v>0</v>
      </c>
      <c r="AI102" s="14">
        <f t="shared" si="51"/>
        <v>0</v>
      </c>
      <c r="AJ102" s="14">
        <f t="shared" si="51"/>
        <v>0</v>
      </c>
      <c r="AK102" s="14">
        <f t="shared" si="51"/>
        <v>0</v>
      </c>
      <c r="AL102" s="14">
        <f t="shared" si="51"/>
        <v>0</v>
      </c>
      <c r="AM102" s="14"/>
      <c r="AN102" s="14"/>
      <c r="AO102" s="14"/>
      <c r="AP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  <c r="BH102" s="14"/>
      <c r="BI102" s="14"/>
      <c r="BJ102" s="14"/>
      <c r="BK102" s="14"/>
      <c r="BL102" s="14"/>
      <c r="BM102" s="14"/>
      <c r="BN102" s="14"/>
      <c r="BO102" s="14"/>
      <c r="BP102" s="14"/>
      <c r="BQ102" s="14"/>
      <c r="BR102" s="14"/>
      <c r="BS102" s="14"/>
    </row>
    <row r="103" spans="1:87" ht="21" hidden="1" customHeight="1" outlineLevel="1" thickBot="1" x14ac:dyDescent="0.4">
      <c r="A103" s="5">
        <f t="shared" si="45"/>
        <v>0</v>
      </c>
      <c r="B103" s="5">
        <f t="shared" si="45"/>
        <v>0</v>
      </c>
      <c r="C103" s="5">
        <f t="shared" si="45"/>
        <v>0</v>
      </c>
      <c r="D103" s="5">
        <f t="shared" si="45"/>
        <v>0</v>
      </c>
      <c r="E103" s="6">
        <f t="shared" si="24"/>
        <v>0</v>
      </c>
      <c r="F103" s="14">
        <f t="shared" ref="F103:AL103" si="52">F27*$C$78</f>
        <v>0</v>
      </c>
      <c r="G103" s="14">
        <f t="shared" si="52"/>
        <v>0</v>
      </c>
      <c r="H103" s="14">
        <f t="shared" si="52"/>
        <v>0</v>
      </c>
      <c r="I103" s="14">
        <f t="shared" si="52"/>
        <v>0</v>
      </c>
      <c r="J103" s="14">
        <f t="shared" si="52"/>
        <v>0</v>
      </c>
      <c r="K103" s="14">
        <f t="shared" si="52"/>
        <v>0</v>
      </c>
      <c r="L103" s="14">
        <f t="shared" si="52"/>
        <v>0</v>
      </c>
      <c r="M103" s="14">
        <f t="shared" si="52"/>
        <v>0</v>
      </c>
      <c r="N103" s="14">
        <f t="shared" si="52"/>
        <v>0</v>
      </c>
      <c r="O103" s="14">
        <f t="shared" si="52"/>
        <v>0</v>
      </c>
      <c r="P103" s="14">
        <f t="shared" si="52"/>
        <v>0</v>
      </c>
      <c r="Q103" s="14">
        <f t="shared" si="52"/>
        <v>0</v>
      </c>
      <c r="R103" s="14">
        <f t="shared" si="52"/>
        <v>0</v>
      </c>
      <c r="S103" s="14">
        <f t="shared" si="52"/>
        <v>0</v>
      </c>
      <c r="T103" s="14">
        <f t="shared" si="52"/>
        <v>0</v>
      </c>
      <c r="U103" s="14">
        <f t="shared" si="52"/>
        <v>0</v>
      </c>
      <c r="V103" s="14">
        <f t="shared" si="52"/>
        <v>0</v>
      </c>
      <c r="W103" s="14">
        <f t="shared" si="52"/>
        <v>0</v>
      </c>
      <c r="X103" s="14">
        <f t="shared" si="52"/>
        <v>0</v>
      </c>
      <c r="Y103" s="14">
        <f t="shared" si="52"/>
        <v>0</v>
      </c>
      <c r="Z103" s="14">
        <f t="shared" si="52"/>
        <v>0</v>
      </c>
      <c r="AA103" s="14">
        <f t="shared" si="52"/>
        <v>0</v>
      </c>
      <c r="AB103" s="14">
        <f t="shared" si="52"/>
        <v>0</v>
      </c>
      <c r="AC103" s="14">
        <f t="shared" si="52"/>
        <v>0</v>
      </c>
      <c r="AD103" s="14">
        <f t="shared" si="52"/>
        <v>0</v>
      </c>
      <c r="AE103" s="14">
        <f t="shared" si="52"/>
        <v>0</v>
      </c>
      <c r="AF103" s="14">
        <f t="shared" si="52"/>
        <v>0</v>
      </c>
      <c r="AG103" s="14">
        <f t="shared" si="52"/>
        <v>0</v>
      </c>
      <c r="AH103" s="14">
        <f t="shared" si="52"/>
        <v>0</v>
      </c>
      <c r="AI103" s="14">
        <f t="shared" si="52"/>
        <v>0</v>
      </c>
      <c r="AJ103" s="14">
        <f t="shared" si="52"/>
        <v>0</v>
      </c>
      <c r="AK103" s="14">
        <f t="shared" si="52"/>
        <v>0</v>
      </c>
      <c r="AL103" s="14">
        <f t="shared" si="52"/>
        <v>0</v>
      </c>
      <c r="AM103" s="14"/>
      <c r="AN103" s="14"/>
      <c r="AO103" s="14"/>
      <c r="AP103" s="14"/>
      <c r="AQ103" s="14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4"/>
      <c r="BH103" s="14"/>
      <c r="BI103" s="14"/>
      <c r="BJ103" s="14"/>
      <c r="BK103" s="14"/>
      <c r="BL103" s="14"/>
      <c r="BM103" s="14"/>
      <c r="BN103" s="14"/>
      <c r="BO103" s="14"/>
      <c r="BP103" s="14"/>
      <c r="BQ103" s="14"/>
      <c r="BR103" s="14"/>
      <c r="BS103" s="14"/>
    </row>
    <row r="104" spans="1:87" ht="21" hidden="1" customHeight="1" outlineLevel="1" thickBot="1" x14ac:dyDescent="0.4">
      <c r="A104" s="5">
        <f t="shared" si="45"/>
        <v>0</v>
      </c>
      <c r="B104" s="5">
        <f t="shared" si="45"/>
        <v>0</v>
      </c>
      <c r="C104" s="5">
        <f t="shared" si="45"/>
        <v>0</v>
      </c>
      <c r="D104" s="5">
        <f t="shared" si="45"/>
        <v>0</v>
      </c>
      <c r="E104" s="6">
        <f t="shared" si="24"/>
        <v>0</v>
      </c>
      <c r="F104" s="14">
        <f t="shared" ref="F104:AL104" si="53">F28*$C$78</f>
        <v>0</v>
      </c>
      <c r="G104" s="14">
        <f t="shared" si="53"/>
        <v>0</v>
      </c>
      <c r="H104" s="14">
        <f t="shared" si="53"/>
        <v>0</v>
      </c>
      <c r="I104" s="14">
        <f t="shared" si="53"/>
        <v>0</v>
      </c>
      <c r="J104" s="14">
        <f t="shared" si="53"/>
        <v>0</v>
      </c>
      <c r="K104" s="14">
        <f t="shared" si="53"/>
        <v>0</v>
      </c>
      <c r="L104" s="14">
        <f t="shared" si="53"/>
        <v>0</v>
      </c>
      <c r="M104" s="14">
        <f t="shared" si="53"/>
        <v>0</v>
      </c>
      <c r="N104" s="14">
        <f t="shared" si="53"/>
        <v>0</v>
      </c>
      <c r="O104" s="14">
        <f t="shared" si="53"/>
        <v>0</v>
      </c>
      <c r="P104" s="14">
        <f t="shared" si="53"/>
        <v>0</v>
      </c>
      <c r="Q104" s="14">
        <f t="shared" si="53"/>
        <v>0</v>
      </c>
      <c r="R104" s="14">
        <f t="shared" si="53"/>
        <v>0</v>
      </c>
      <c r="S104" s="14">
        <f t="shared" si="53"/>
        <v>0</v>
      </c>
      <c r="T104" s="14">
        <f t="shared" si="53"/>
        <v>0</v>
      </c>
      <c r="U104" s="14">
        <f t="shared" si="53"/>
        <v>0</v>
      </c>
      <c r="V104" s="14">
        <f t="shared" si="53"/>
        <v>0</v>
      </c>
      <c r="W104" s="14">
        <f t="shared" si="53"/>
        <v>0</v>
      </c>
      <c r="X104" s="14">
        <f t="shared" si="53"/>
        <v>0</v>
      </c>
      <c r="Y104" s="14">
        <f t="shared" si="53"/>
        <v>0</v>
      </c>
      <c r="Z104" s="14">
        <f t="shared" si="53"/>
        <v>0</v>
      </c>
      <c r="AA104" s="14">
        <f t="shared" si="53"/>
        <v>0</v>
      </c>
      <c r="AB104" s="14">
        <f t="shared" si="53"/>
        <v>0</v>
      </c>
      <c r="AC104" s="14">
        <f t="shared" si="53"/>
        <v>0</v>
      </c>
      <c r="AD104" s="14">
        <f t="shared" si="53"/>
        <v>0</v>
      </c>
      <c r="AE104" s="14">
        <f t="shared" si="53"/>
        <v>0</v>
      </c>
      <c r="AF104" s="14">
        <f t="shared" si="53"/>
        <v>0</v>
      </c>
      <c r="AG104" s="14">
        <f t="shared" si="53"/>
        <v>0</v>
      </c>
      <c r="AH104" s="14">
        <f t="shared" si="53"/>
        <v>0</v>
      </c>
      <c r="AI104" s="14">
        <f t="shared" si="53"/>
        <v>0</v>
      </c>
      <c r="AJ104" s="14">
        <f t="shared" si="53"/>
        <v>0</v>
      </c>
      <c r="AK104" s="14">
        <f t="shared" si="53"/>
        <v>0</v>
      </c>
      <c r="AL104" s="14">
        <f t="shared" si="53"/>
        <v>0</v>
      </c>
      <c r="AM104" s="14"/>
      <c r="AN104" s="14"/>
      <c r="AO104" s="14"/>
      <c r="AP104" s="14"/>
      <c r="AQ104" s="14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  <c r="BD104" s="14"/>
      <c r="BE104" s="14"/>
      <c r="BF104" s="14"/>
      <c r="BG104" s="14"/>
      <c r="BH104" s="14"/>
      <c r="BI104" s="14"/>
      <c r="BJ104" s="14"/>
      <c r="BK104" s="14"/>
      <c r="BL104" s="14"/>
      <c r="BM104" s="14"/>
      <c r="BN104" s="14"/>
      <c r="BO104" s="14"/>
      <c r="BP104" s="14"/>
      <c r="BQ104" s="14"/>
      <c r="BR104" s="14"/>
      <c r="BS104" s="14"/>
    </row>
    <row r="105" spans="1:87" ht="21" hidden="1" customHeight="1" outlineLevel="1" thickBot="1" x14ac:dyDescent="0.4">
      <c r="A105" s="5">
        <f t="shared" si="45"/>
        <v>0</v>
      </c>
      <c r="B105" s="5">
        <f t="shared" si="45"/>
        <v>0</v>
      </c>
      <c r="C105" s="5">
        <f t="shared" si="45"/>
        <v>0</v>
      </c>
      <c r="D105" s="5">
        <f t="shared" si="45"/>
        <v>0</v>
      </c>
      <c r="E105" s="6">
        <f t="shared" si="24"/>
        <v>0</v>
      </c>
      <c r="F105" s="14">
        <f t="shared" ref="F105:AL105" si="54">F29*$C$78</f>
        <v>0</v>
      </c>
      <c r="G105" s="14">
        <f t="shared" si="54"/>
        <v>0</v>
      </c>
      <c r="H105" s="14">
        <f t="shared" si="54"/>
        <v>0</v>
      </c>
      <c r="I105" s="14">
        <f t="shared" si="54"/>
        <v>0</v>
      </c>
      <c r="J105" s="14">
        <f t="shared" si="54"/>
        <v>0</v>
      </c>
      <c r="K105" s="14">
        <f t="shared" si="54"/>
        <v>0</v>
      </c>
      <c r="L105" s="14">
        <f t="shared" si="54"/>
        <v>0</v>
      </c>
      <c r="M105" s="14">
        <f t="shared" si="54"/>
        <v>0</v>
      </c>
      <c r="N105" s="14">
        <f t="shared" si="54"/>
        <v>0</v>
      </c>
      <c r="O105" s="14">
        <f t="shared" si="54"/>
        <v>0</v>
      </c>
      <c r="P105" s="14">
        <f t="shared" si="54"/>
        <v>0</v>
      </c>
      <c r="Q105" s="14">
        <f t="shared" si="54"/>
        <v>0</v>
      </c>
      <c r="R105" s="14">
        <f t="shared" si="54"/>
        <v>0</v>
      </c>
      <c r="S105" s="14">
        <f t="shared" si="54"/>
        <v>0</v>
      </c>
      <c r="T105" s="14">
        <f t="shared" si="54"/>
        <v>0</v>
      </c>
      <c r="U105" s="14">
        <f t="shared" si="54"/>
        <v>0</v>
      </c>
      <c r="V105" s="14">
        <f t="shared" si="54"/>
        <v>0</v>
      </c>
      <c r="W105" s="14">
        <f t="shared" si="54"/>
        <v>0</v>
      </c>
      <c r="X105" s="14">
        <f t="shared" si="54"/>
        <v>0</v>
      </c>
      <c r="Y105" s="14">
        <f t="shared" si="54"/>
        <v>0</v>
      </c>
      <c r="Z105" s="14">
        <f t="shared" si="54"/>
        <v>0</v>
      </c>
      <c r="AA105" s="14">
        <f t="shared" si="54"/>
        <v>0</v>
      </c>
      <c r="AB105" s="14">
        <f t="shared" si="54"/>
        <v>0</v>
      </c>
      <c r="AC105" s="14">
        <f t="shared" si="54"/>
        <v>0</v>
      </c>
      <c r="AD105" s="14">
        <f t="shared" si="54"/>
        <v>0</v>
      </c>
      <c r="AE105" s="14">
        <f t="shared" si="54"/>
        <v>0</v>
      </c>
      <c r="AF105" s="14">
        <f t="shared" si="54"/>
        <v>0</v>
      </c>
      <c r="AG105" s="14">
        <f t="shared" si="54"/>
        <v>0</v>
      </c>
      <c r="AH105" s="14">
        <f t="shared" si="54"/>
        <v>0</v>
      </c>
      <c r="AI105" s="14">
        <f t="shared" si="54"/>
        <v>0</v>
      </c>
      <c r="AJ105" s="14">
        <f t="shared" si="54"/>
        <v>0</v>
      </c>
      <c r="AK105" s="14">
        <f t="shared" si="54"/>
        <v>0</v>
      </c>
      <c r="AL105" s="14">
        <f t="shared" si="54"/>
        <v>0</v>
      </c>
      <c r="AM105" s="14"/>
      <c r="AN105" s="14"/>
      <c r="AO105" s="14"/>
      <c r="AP105" s="14"/>
      <c r="AQ105" s="14"/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/>
      <c r="BC105" s="14"/>
      <c r="BD105" s="14"/>
      <c r="BE105" s="14"/>
      <c r="BF105" s="14"/>
      <c r="BG105" s="14"/>
      <c r="BH105" s="14"/>
      <c r="BI105" s="14"/>
      <c r="BJ105" s="14"/>
      <c r="BK105" s="14"/>
      <c r="BL105" s="14"/>
      <c r="BM105" s="14"/>
      <c r="BN105" s="14"/>
      <c r="BO105" s="14"/>
      <c r="BP105" s="14"/>
      <c r="BQ105" s="14"/>
      <c r="BR105" s="14"/>
      <c r="BS105" s="14"/>
    </row>
    <row r="106" spans="1:87" ht="21" hidden="1" customHeight="1" outlineLevel="1" thickBot="1" x14ac:dyDescent="0.4">
      <c r="A106" s="5">
        <f t="shared" si="45"/>
        <v>0</v>
      </c>
      <c r="B106" s="5">
        <f t="shared" si="45"/>
        <v>0</v>
      </c>
      <c r="C106" s="5">
        <f t="shared" si="45"/>
        <v>0</v>
      </c>
      <c r="D106" s="5">
        <f t="shared" si="45"/>
        <v>0</v>
      </c>
      <c r="E106" s="6">
        <f t="shared" si="24"/>
        <v>0</v>
      </c>
      <c r="F106" s="14">
        <f t="shared" ref="F106:AL106" si="55">F30*$C$78</f>
        <v>0</v>
      </c>
      <c r="G106" s="14">
        <f t="shared" si="55"/>
        <v>0</v>
      </c>
      <c r="H106" s="14">
        <f t="shared" si="55"/>
        <v>0</v>
      </c>
      <c r="I106" s="14">
        <f t="shared" si="55"/>
        <v>0</v>
      </c>
      <c r="J106" s="14">
        <f t="shared" si="55"/>
        <v>0</v>
      </c>
      <c r="K106" s="14">
        <f t="shared" si="55"/>
        <v>0</v>
      </c>
      <c r="L106" s="14">
        <f t="shared" si="55"/>
        <v>0</v>
      </c>
      <c r="M106" s="14">
        <f t="shared" si="55"/>
        <v>0</v>
      </c>
      <c r="N106" s="14">
        <f t="shared" si="55"/>
        <v>0</v>
      </c>
      <c r="O106" s="14">
        <f t="shared" si="55"/>
        <v>0</v>
      </c>
      <c r="P106" s="14">
        <f t="shared" si="55"/>
        <v>0</v>
      </c>
      <c r="Q106" s="14">
        <f t="shared" si="55"/>
        <v>0</v>
      </c>
      <c r="R106" s="14">
        <f t="shared" si="55"/>
        <v>0</v>
      </c>
      <c r="S106" s="14">
        <f t="shared" si="55"/>
        <v>0</v>
      </c>
      <c r="T106" s="14">
        <f t="shared" si="55"/>
        <v>0</v>
      </c>
      <c r="U106" s="14">
        <f t="shared" si="55"/>
        <v>0</v>
      </c>
      <c r="V106" s="14">
        <f t="shared" si="55"/>
        <v>0</v>
      </c>
      <c r="W106" s="14">
        <f t="shared" si="55"/>
        <v>0</v>
      </c>
      <c r="X106" s="14">
        <f t="shared" si="55"/>
        <v>0</v>
      </c>
      <c r="Y106" s="14">
        <f t="shared" si="55"/>
        <v>0</v>
      </c>
      <c r="Z106" s="14">
        <f t="shared" si="55"/>
        <v>0</v>
      </c>
      <c r="AA106" s="14">
        <f t="shared" si="55"/>
        <v>0</v>
      </c>
      <c r="AB106" s="14">
        <f t="shared" si="55"/>
        <v>0</v>
      </c>
      <c r="AC106" s="14">
        <f t="shared" si="55"/>
        <v>0</v>
      </c>
      <c r="AD106" s="14">
        <f t="shared" si="55"/>
        <v>0</v>
      </c>
      <c r="AE106" s="14">
        <f t="shared" si="55"/>
        <v>0</v>
      </c>
      <c r="AF106" s="14">
        <f t="shared" si="55"/>
        <v>0</v>
      </c>
      <c r="AG106" s="14">
        <f t="shared" si="55"/>
        <v>0</v>
      </c>
      <c r="AH106" s="14">
        <f t="shared" si="55"/>
        <v>0</v>
      </c>
      <c r="AI106" s="14">
        <f t="shared" si="55"/>
        <v>0</v>
      </c>
      <c r="AJ106" s="14">
        <f t="shared" si="55"/>
        <v>0</v>
      </c>
      <c r="AK106" s="14">
        <f t="shared" si="55"/>
        <v>0</v>
      </c>
      <c r="AL106" s="14">
        <f t="shared" si="55"/>
        <v>0</v>
      </c>
      <c r="AM106" s="14"/>
      <c r="AN106" s="14"/>
      <c r="AO106" s="14"/>
      <c r="AP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4"/>
      <c r="BH106" s="14"/>
      <c r="BI106" s="14"/>
      <c r="BJ106" s="14"/>
      <c r="BK106" s="14"/>
      <c r="BL106" s="14"/>
      <c r="BM106" s="14"/>
      <c r="BN106" s="14"/>
      <c r="BO106" s="14"/>
      <c r="BP106" s="14"/>
      <c r="BQ106" s="14"/>
      <c r="BR106" s="14"/>
      <c r="BS106" s="14"/>
    </row>
    <row r="107" spans="1:87" ht="21" hidden="1" customHeight="1" outlineLevel="1" thickBot="1" x14ac:dyDescent="0.4">
      <c r="A107" s="5">
        <f t="shared" si="45"/>
        <v>0</v>
      </c>
      <c r="B107" s="5">
        <f t="shared" si="45"/>
        <v>0</v>
      </c>
      <c r="C107" s="5">
        <f t="shared" si="45"/>
        <v>0</v>
      </c>
      <c r="D107" s="5">
        <f t="shared" si="45"/>
        <v>0</v>
      </c>
      <c r="E107" s="6">
        <f t="shared" si="24"/>
        <v>0</v>
      </c>
      <c r="F107" s="14">
        <f t="shared" ref="F107:AL107" si="56">F31*$C$78</f>
        <v>0</v>
      </c>
      <c r="G107" s="14">
        <f t="shared" si="56"/>
        <v>0</v>
      </c>
      <c r="H107" s="14">
        <f t="shared" si="56"/>
        <v>0</v>
      </c>
      <c r="I107" s="14">
        <f t="shared" si="56"/>
        <v>0</v>
      </c>
      <c r="J107" s="14">
        <f t="shared" si="56"/>
        <v>0</v>
      </c>
      <c r="K107" s="14">
        <f t="shared" si="56"/>
        <v>0</v>
      </c>
      <c r="L107" s="14">
        <f t="shared" si="56"/>
        <v>0</v>
      </c>
      <c r="M107" s="14">
        <f t="shared" si="56"/>
        <v>0</v>
      </c>
      <c r="N107" s="14">
        <f t="shared" si="56"/>
        <v>0</v>
      </c>
      <c r="O107" s="14">
        <f t="shared" si="56"/>
        <v>0</v>
      </c>
      <c r="P107" s="14">
        <f t="shared" si="56"/>
        <v>0</v>
      </c>
      <c r="Q107" s="14">
        <f t="shared" si="56"/>
        <v>0</v>
      </c>
      <c r="R107" s="14">
        <f t="shared" si="56"/>
        <v>0</v>
      </c>
      <c r="S107" s="14">
        <f t="shared" si="56"/>
        <v>0</v>
      </c>
      <c r="T107" s="14">
        <f t="shared" si="56"/>
        <v>0</v>
      </c>
      <c r="U107" s="14">
        <f t="shared" si="56"/>
        <v>0</v>
      </c>
      <c r="V107" s="14">
        <f t="shared" si="56"/>
        <v>0</v>
      </c>
      <c r="W107" s="14">
        <f t="shared" si="56"/>
        <v>0</v>
      </c>
      <c r="X107" s="14">
        <f t="shared" si="56"/>
        <v>0</v>
      </c>
      <c r="Y107" s="14">
        <f t="shared" si="56"/>
        <v>0</v>
      </c>
      <c r="Z107" s="14">
        <f t="shared" si="56"/>
        <v>0</v>
      </c>
      <c r="AA107" s="14">
        <f t="shared" si="56"/>
        <v>0</v>
      </c>
      <c r="AB107" s="14">
        <f t="shared" si="56"/>
        <v>0</v>
      </c>
      <c r="AC107" s="14">
        <f t="shared" si="56"/>
        <v>0</v>
      </c>
      <c r="AD107" s="14">
        <f t="shared" si="56"/>
        <v>0</v>
      </c>
      <c r="AE107" s="14">
        <f t="shared" si="56"/>
        <v>0</v>
      </c>
      <c r="AF107" s="14">
        <f t="shared" si="56"/>
        <v>0</v>
      </c>
      <c r="AG107" s="14">
        <f t="shared" si="56"/>
        <v>0</v>
      </c>
      <c r="AH107" s="14">
        <f t="shared" si="56"/>
        <v>0</v>
      </c>
      <c r="AI107" s="14">
        <f t="shared" si="56"/>
        <v>0</v>
      </c>
      <c r="AJ107" s="14">
        <f t="shared" si="56"/>
        <v>0</v>
      </c>
      <c r="AK107" s="14">
        <f t="shared" si="56"/>
        <v>0</v>
      </c>
      <c r="AL107" s="14">
        <f t="shared" si="56"/>
        <v>0</v>
      </c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14"/>
      <c r="BG107" s="14"/>
      <c r="BH107" s="14"/>
      <c r="BI107" s="14"/>
      <c r="BJ107" s="14"/>
      <c r="BK107" s="14"/>
      <c r="BL107" s="14"/>
      <c r="BM107" s="14"/>
      <c r="BN107" s="14"/>
      <c r="BO107" s="14"/>
      <c r="BP107" s="14"/>
      <c r="BQ107" s="14"/>
      <c r="BR107" s="14"/>
      <c r="BS107" s="14"/>
    </row>
    <row r="108" spans="1:87" ht="21" hidden="1" customHeight="1" outlineLevel="1" thickBot="1" x14ac:dyDescent="0.4">
      <c r="A108" s="5">
        <f t="shared" si="45"/>
        <v>0</v>
      </c>
      <c r="B108" s="5">
        <f t="shared" si="45"/>
        <v>0</v>
      </c>
      <c r="C108" s="5">
        <f t="shared" si="45"/>
        <v>0</v>
      </c>
      <c r="D108" s="5">
        <f t="shared" si="45"/>
        <v>0</v>
      </c>
      <c r="E108" s="6">
        <f t="shared" si="24"/>
        <v>0</v>
      </c>
      <c r="F108" s="14">
        <f t="shared" ref="F108:AL108" si="57">F32*$C$78</f>
        <v>0</v>
      </c>
      <c r="G108" s="14">
        <f t="shared" si="57"/>
        <v>0</v>
      </c>
      <c r="H108" s="14">
        <f t="shared" si="57"/>
        <v>0</v>
      </c>
      <c r="I108" s="14">
        <f t="shared" si="57"/>
        <v>0</v>
      </c>
      <c r="J108" s="14">
        <f t="shared" si="57"/>
        <v>0</v>
      </c>
      <c r="K108" s="14">
        <f t="shared" si="57"/>
        <v>0</v>
      </c>
      <c r="L108" s="14">
        <f t="shared" si="57"/>
        <v>0</v>
      </c>
      <c r="M108" s="14">
        <f t="shared" si="57"/>
        <v>0</v>
      </c>
      <c r="N108" s="14">
        <f t="shared" si="57"/>
        <v>0</v>
      </c>
      <c r="O108" s="14">
        <f t="shared" si="57"/>
        <v>0</v>
      </c>
      <c r="P108" s="14">
        <f t="shared" si="57"/>
        <v>0</v>
      </c>
      <c r="Q108" s="14">
        <f t="shared" si="57"/>
        <v>0</v>
      </c>
      <c r="R108" s="14">
        <f t="shared" si="57"/>
        <v>0</v>
      </c>
      <c r="S108" s="14">
        <f t="shared" si="57"/>
        <v>0</v>
      </c>
      <c r="T108" s="14">
        <f t="shared" si="57"/>
        <v>0</v>
      </c>
      <c r="U108" s="14">
        <f t="shared" si="57"/>
        <v>0</v>
      </c>
      <c r="V108" s="14">
        <f t="shared" si="57"/>
        <v>0</v>
      </c>
      <c r="W108" s="14">
        <f t="shared" si="57"/>
        <v>0</v>
      </c>
      <c r="X108" s="14">
        <f t="shared" si="57"/>
        <v>0</v>
      </c>
      <c r="Y108" s="14">
        <f t="shared" si="57"/>
        <v>0</v>
      </c>
      <c r="Z108" s="14">
        <f t="shared" si="57"/>
        <v>0</v>
      </c>
      <c r="AA108" s="14">
        <f t="shared" si="57"/>
        <v>0</v>
      </c>
      <c r="AB108" s="14">
        <f t="shared" si="57"/>
        <v>0</v>
      </c>
      <c r="AC108" s="14">
        <f t="shared" si="57"/>
        <v>0</v>
      </c>
      <c r="AD108" s="14">
        <f t="shared" si="57"/>
        <v>0</v>
      </c>
      <c r="AE108" s="14">
        <f t="shared" si="57"/>
        <v>0</v>
      </c>
      <c r="AF108" s="14">
        <f t="shared" si="57"/>
        <v>0</v>
      </c>
      <c r="AG108" s="14">
        <f t="shared" si="57"/>
        <v>0</v>
      </c>
      <c r="AH108" s="14">
        <f t="shared" si="57"/>
        <v>0</v>
      </c>
      <c r="AI108" s="14">
        <f t="shared" si="57"/>
        <v>0</v>
      </c>
      <c r="AJ108" s="14">
        <f t="shared" si="57"/>
        <v>0</v>
      </c>
      <c r="AK108" s="14">
        <f t="shared" si="57"/>
        <v>0</v>
      </c>
      <c r="AL108" s="14">
        <f t="shared" si="57"/>
        <v>0</v>
      </c>
      <c r="AM108" s="14"/>
      <c r="AN108" s="14"/>
      <c r="AO108" s="14"/>
      <c r="AP108" s="14"/>
      <c r="AQ108" s="14"/>
      <c r="AR108" s="14"/>
      <c r="AS108" s="14"/>
      <c r="AT108" s="14"/>
      <c r="AU108" s="14"/>
      <c r="AV108" s="14"/>
      <c r="AW108" s="14"/>
      <c r="AX108" s="14"/>
      <c r="AY108" s="14"/>
      <c r="AZ108" s="14"/>
      <c r="BA108" s="14"/>
      <c r="BB108" s="14"/>
      <c r="BC108" s="14"/>
      <c r="BD108" s="14"/>
      <c r="BE108" s="14"/>
      <c r="BF108" s="14"/>
      <c r="BG108" s="14"/>
      <c r="BH108" s="14"/>
      <c r="BI108" s="14"/>
      <c r="BJ108" s="14"/>
      <c r="BK108" s="14"/>
      <c r="BL108" s="14"/>
      <c r="BM108" s="14"/>
      <c r="BN108" s="14"/>
      <c r="BO108" s="14"/>
      <c r="BP108" s="14"/>
      <c r="BQ108" s="14"/>
      <c r="BR108" s="14"/>
      <c r="BS108" s="14"/>
    </row>
    <row r="109" spans="1:87" ht="21" hidden="1" customHeight="1" outlineLevel="1" thickBot="1" x14ac:dyDescent="0.4">
      <c r="A109" s="5">
        <f t="shared" si="45"/>
        <v>0</v>
      </c>
      <c r="B109" s="5">
        <f t="shared" si="45"/>
        <v>0</v>
      </c>
      <c r="C109" s="5">
        <f t="shared" si="45"/>
        <v>0</v>
      </c>
      <c r="D109" s="5">
        <f t="shared" si="45"/>
        <v>0</v>
      </c>
      <c r="E109" s="6">
        <f t="shared" si="24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</row>
    <row r="110" spans="1:87" ht="21" hidden="1" customHeight="1" outlineLevel="1" x14ac:dyDescent="0.35">
      <c r="U110" s="48"/>
      <c r="V110" s="48"/>
      <c r="W110" s="48"/>
    </row>
    <row r="111" spans="1:87" ht="21" customHeight="1" collapsed="1" x14ac:dyDescent="0.35">
      <c r="U111" s="48"/>
      <c r="V111" s="48"/>
      <c r="W111" s="48"/>
    </row>
    <row r="112" spans="1:87" ht="21" customHeight="1" thickBot="1" x14ac:dyDescent="0.45">
      <c r="A112" s="66"/>
      <c r="B112" s="66"/>
      <c r="C112" s="66"/>
      <c r="D112" s="66"/>
      <c r="E112" s="65" t="s">
        <v>22</v>
      </c>
      <c r="F112" s="66"/>
      <c r="G112" s="66"/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6"/>
      <c r="V112" s="66"/>
      <c r="W112" s="66"/>
      <c r="X112" s="66"/>
      <c r="Y112" s="66"/>
      <c r="Z112" s="66"/>
      <c r="AA112" s="66"/>
      <c r="AB112" s="66"/>
      <c r="AC112" s="66"/>
      <c r="AD112" s="66"/>
      <c r="AE112" s="66"/>
      <c r="AF112" s="66"/>
      <c r="AG112" s="66"/>
      <c r="AH112" s="66"/>
      <c r="AI112" s="66"/>
      <c r="AJ112" s="66"/>
      <c r="AK112" s="66"/>
      <c r="AL112" s="66"/>
      <c r="AM112" s="66"/>
      <c r="AN112" s="66"/>
      <c r="AO112" s="66"/>
      <c r="AP112" s="66"/>
      <c r="AQ112" s="66"/>
      <c r="AR112" s="66"/>
      <c r="AS112" s="66"/>
      <c r="AT112" s="66"/>
      <c r="AU112" s="66"/>
      <c r="AV112" s="66"/>
      <c r="AW112" s="66"/>
      <c r="AX112" s="66"/>
      <c r="AY112" s="66"/>
      <c r="AZ112" s="66"/>
      <c r="BA112" s="66"/>
      <c r="BB112" s="66"/>
      <c r="BC112" s="66"/>
      <c r="BD112" s="66"/>
      <c r="BE112" s="66"/>
      <c r="BF112" s="66"/>
      <c r="BG112" s="66"/>
      <c r="BH112" s="66"/>
      <c r="BI112" s="66"/>
      <c r="BJ112" s="66"/>
      <c r="BK112" s="66"/>
      <c r="BL112" s="66"/>
      <c r="BM112" s="66"/>
      <c r="BN112" s="66"/>
      <c r="BO112" s="66"/>
      <c r="BP112" s="66"/>
      <c r="BQ112" s="66"/>
      <c r="BR112" s="66"/>
      <c r="BS112" s="66"/>
      <c r="BT112" s="66"/>
      <c r="BU112" s="66"/>
      <c r="BV112" s="66"/>
      <c r="BW112" s="66"/>
      <c r="BX112" s="66"/>
      <c r="BY112" s="66"/>
      <c r="BZ112" s="66"/>
      <c r="CA112" s="66"/>
      <c r="CB112" s="66"/>
      <c r="CC112" s="66"/>
      <c r="CD112" s="66"/>
      <c r="CE112" s="66"/>
      <c r="CF112" s="66"/>
      <c r="CG112" s="66"/>
      <c r="CH112" s="66"/>
      <c r="CI112" s="66"/>
    </row>
    <row r="113" spans="1:71" ht="21" customHeight="1" outlineLevel="1" thickTop="1" thickBot="1" x14ac:dyDescent="0.4">
      <c r="A113" s="101"/>
      <c r="B113" s="101"/>
      <c r="C113" s="21" t="s">
        <v>10</v>
      </c>
      <c r="D113" s="15" t="s">
        <v>11</v>
      </c>
      <c r="E113" s="15"/>
      <c r="F113" s="4">
        <f t="shared" ref="F113:AL113" si="58">F3</f>
        <v>273.10000000000002</v>
      </c>
      <c r="G113" s="4">
        <f t="shared" si="58"/>
        <v>289.7</v>
      </c>
      <c r="H113" s="4">
        <f t="shared" si="58"/>
        <v>306.2</v>
      </c>
      <c r="I113" s="4">
        <f t="shared" si="58"/>
        <v>322.7</v>
      </c>
      <c r="J113" s="4">
        <f t="shared" si="58"/>
        <v>339.2</v>
      </c>
      <c r="K113" s="4">
        <f t="shared" si="58"/>
        <v>355.7</v>
      </c>
      <c r="L113" s="4">
        <f t="shared" si="58"/>
        <v>372.3</v>
      </c>
      <c r="M113" s="4">
        <f t="shared" si="58"/>
        <v>388.8</v>
      </c>
      <c r="N113" s="4">
        <f t="shared" si="58"/>
        <v>405.3</v>
      </c>
      <c r="O113" s="4">
        <f t="shared" si="58"/>
        <v>471.4</v>
      </c>
      <c r="P113" s="4">
        <f t="shared" si="58"/>
        <v>487.9</v>
      </c>
      <c r="Q113" s="4">
        <f t="shared" si="58"/>
        <v>504.4</v>
      </c>
      <c r="R113" s="4">
        <f t="shared" si="58"/>
        <v>520.9</v>
      </c>
      <c r="S113" s="4">
        <f t="shared" si="58"/>
        <v>537.5</v>
      </c>
      <c r="T113" s="4">
        <f t="shared" si="58"/>
        <v>554</v>
      </c>
      <c r="U113" s="4">
        <f t="shared" si="58"/>
        <v>570.5</v>
      </c>
      <c r="V113" s="4">
        <f t="shared" si="58"/>
        <v>587</v>
      </c>
      <c r="W113" s="4">
        <f t="shared" si="58"/>
        <v>603.5</v>
      </c>
      <c r="X113" s="4">
        <f t="shared" si="58"/>
        <v>620.1</v>
      </c>
      <c r="Y113" s="4">
        <f t="shared" si="58"/>
        <v>636.6</v>
      </c>
      <c r="Z113" s="4">
        <f t="shared" si="58"/>
        <v>653.1</v>
      </c>
      <c r="AA113" s="4">
        <f t="shared" si="58"/>
        <v>669.6</v>
      </c>
      <c r="AB113" s="4">
        <f t="shared" si="58"/>
        <v>735.7</v>
      </c>
      <c r="AC113" s="4">
        <f t="shared" si="58"/>
        <v>752.2</v>
      </c>
      <c r="AD113" s="4">
        <f t="shared" si="58"/>
        <v>768.7</v>
      </c>
      <c r="AE113" s="4">
        <f t="shared" si="58"/>
        <v>785.2</v>
      </c>
      <c r="AF113" s="4">
        <f t="shared" si="58"/>
        <v>801.8</v>
      </c>
      <c r="AG113" s="4">
        <f t="shared" si="58"/>
        <v>818.3</v>
      </c>
      <c r="AH113" s="4">
        <f t="shared" si="58"/>
        <v>834.8</v>
      </c>
      <c r="AI113" s="4">
        <f t="shared" si="58"/>
        <v>851.3</v>
      </c>
      <c r="AJ113" s="4">
        <f t="shared" si="58"/>
        <v>867.8</v>
      </c>
      <c r="AK113" s="4">
        <f t="shared" si="58"/>
        <v>933.9</v>
      </c>
      <c r="AL113" s="4">
        <f t="shared" si="58"/>
        <v>950.4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</row>
    <row r="114" spans="1:71" ht="21" customHeight="1" outlineLevel="1" thickTop="1" thickBot="1" x14ac:dyDescent="0.4">
      <c r="C114" s="22">
        <f>COUNTA(E114:E121)+1</f>
        <v>5</v>
      </c>
      <c r="E114" s="17" t="s">
        <v>31</v>
      </c>
      <c r="F114" s="47">
        <f t="shared" ref="F114:AL114" ca="1" si="59">F$113*$B$2*SUMPRODUCT(F$90:F$91,F$56:F$57)/1000</f>
        <v>-4.451257918901964E-26</v>
      </c>
      <c r="G114" s="47">
        <f t="shared" ca="1" si="59"/>
        <v>-3.9481593773996003E-24</v>
      </c>
      <c r="H114" s="47">
        <f t="shared" ca="1" si="59"/>
        <v>-7.5042283518426025E-25</v>
      </c>
      <c r="I114" s="47">
        <f t="shared" ca="1" si="59"/>
        <v>0</v>
      </c>
      <c r="J114" s="47">
        <f t="shared" ca="1" si="59"/>
        <v>0</v>
      </c>
      <c r="K114" s="47">
        <f t="shared" ca="1" si="59"/>
        <v>0</v>
      </c>
      <c r="L114" s="47">
        <f t="shared" ca="1" si="59"/>
        <v>-1.9292777661156905E-23</v>
      </c>
      <c r="M114" s="47">
        <f t="shared" ca="1" si="59"/>
        <v>-2.1500206021197049E-16</v>
      </c>
      <c r="N114" s="47">
        <f t="shared" ca="1" si="59"/>
        <v>-1.7582287394678077E-13</v>
      </c>
      <c r="O114" s="47">
        <f t="shared" ca="1" si="59"/>
        <v>-1.9596948315122819E-8</v>
      </c>
      <c r="P114" s="47">
        <f t="shared" ca="1" si="59"/>
        <v>-2.0365817989097865E-12</v>
      </c>
      <c r="Q114" s="47">
        <f t="shared" ca="1" si="59"/>
        <v>-1.4320633374813276E-25</v>
      </c>
      <c r="R114" s="47">
        <f t="shared" ca="1" si="59"/>
        <v>0</v>
      </c>
      <c r="S114" s="47">
        <f t="shared" ca="1" si="59"/>
        <v>-2.9633058775417973E-28</v>
      </c>
      <c r="T114" s="47">
        <f t="shared" ca="1" si="59"/>
        <v>-2.8942588158213968E-20</v>
      </c>
      <c r="U114" s="47">
        <f t="shared" ca="1" si="59"/>
        <v>-5.379585188700799E-29</v>
      </c>
      <c r="V114" s="47">
        <f t="shared" ca="1" si="59"/>
        <v>0</v>
      </c>
      <c r="W114" s="47">
        <f t="shared" ca="1" si="59"/>
        <v>0</v>
      </c>
      <c r="X114" s="47">
        <f t="shared" ca="1" si="59"/>
        <v>-3.0130802221317053E-31</v>
      </c>
      <c r="Y114" s="47">
        <f t="shared" ca="1" si="59"/>
        <v>-1.6807362373946858E-17</v>
      </c>
      <c r="Z114" s="47">
        <f t="shared" ca="1" si="59"/>
        <v>-8.879196878442451E-13</v>
      </c>
      <c r="AA114" s="47">
        <f t="shared" ca="1" si="59"/>
        <v>-1.0627271601128687E-9</v>
      </c>
      <c r="AB114" s="47">
        <f t="shared" ca="1" si="59"/>
        <v>-1.2748941721250669E-8</v>
      </c>
      <c r="AC114" s="47">
        <f t="shared" ca="1" si="59"/>
        <v>-5.0905548204057074E-8</v>
      </c>
      <c r="AD114" s="47">
        <f t="shared" ca="1" si="59"/>
        <v>-1.7694836060250323E-7</v>
      </c>
      <c r="AE114" s="47">
        <f t="shared" ca="1" si="59"/>
        <v>-3.2352253033625879E-7</v>
      </c>
      <c r="AF114" s="47">
        <f t="shared" ca="1" si="59"/>
        <v>-5.2048928220073518E-6</v>
      </c>
      <c r="AG114" s="47">
        <f t="shared" ca="1" si="59"/>
        <v>-17.086221004868015</v>
      </c>
      <c r="AH114" s="47">
        <f t="shared" ca="1" si="59"/>
        <v>-18.043178406043666</v>
      </c>
      <c r="AI114" s="47">
        <f t="shared" ca="1" si="59"/>
        <v>-18.592432613259973</v>
      </c>
      <c r="AJ114" s="47">
        <f t="shared" ca="1" si="59"/>
        <v>-19.154177599819963</v>
      </c>
      <c r="AK114" s="47">
        <f t="shared" ca="1" si="59"/>
        <v>-21.53310696178934</v>
      </c>
      <c r="AL114" s="47">
        <f t="shared" ca="1" si="59"/>
        <v>-22.166228864981417</v>
      </c>
      <c r="AM114" s="47"/>
      <c r="AN114" s="47"/>
      <c r="AO114" s="47"/>
      <c r="AP114" s="47"/>
      <c r="AQ114" s="47"/>
      <c r="AR114" s="47"/>
      <c r="AS114" s="47"/>
      <c r="AT114" s="47"/>
      <c r="AU114" s="47"/>
      <c r="AV114" s="47"/>
      <c r="AW114" s="47"/>
      <c r="AX114" s="47"/>
      <c r="AY114" s="47"/>
      <c r="AZ114" s="47"/>
      <c r="BA114" s="47"/>
      <c r="BB114" s="47"/>
      <c r="BC114" s="47"/>
      <c r="BD114" s="47"/>
      <c r="BE114" s="47"/>
      <c r="BF114" s="47"/>
      <c r="BG114" s="47"/>
      <c r="BH114" s="47"/>
      <c r="BI114" s="47"/>
      <c r="BJ114" s="47"/>
      <c r="BK114" s="47"/>
      <c r="BL114" s="47"/>
      <c r="BM114" s="47"/>
      <c r="BN114" s="47"/>
      <c r="BO114" s="47"/>
      <c r="BP114" s="47"/>
      <c r="BQ114" s="47"/>
      <c r="BR114" s="47"/>
      <c r="BS114" s="47"/>
    </row>
    <row r="115" spans="1:71" ht="21" customHeight="1" outlineLevel="1" thickBot="1" x14ac:dyDescent="0.4">
      <c r="C115" s="23">
        <f xml:space="preserve"> COUNTIF(F113:AL113,"&lt;&gt;"&amp;0)</f>
        <v>33</v>
      </c>
      <c r="E115" s="17" t="s">
        <v>13</v>
      </c>
      <c r="F115" s="14">
        <f t="shared" ref="F115:AL115" ca="1" si="60">F$113*$B$2*SUMPRODUCT(F$87:F$88,F$53:F$54)/1000</f>
        <v>-45.198083454750012</v>
      </c>
      <c r="G115" s="14">
        <f t="shared" ca="1" si="60"/>
        <v>-45.837763669500006</v>
      </c>
      <c r="H115" s="14">
        <f t="shared" ca="1" si="60"/>
        <v>-46.475402674500003</v>
      </c>
      <c r="I115" s="14">
        <f t="shared" ca="1" si="60"/>
        <v>-47.128460919749998</v>
      </c>
      <c r="J115" s="14">
        <f t="shared" ca="1" si="60"/>
        <v>-47.831921663999999</v>
      </c>
      <c r="K115" s="14">
        <f t="shared" ca="1" si="60"/>
        <v>-97.093662949500001</v>
      </c>
      <c r="L115" s="14">
        <f t="shared" ca="1" si="60"/>
        <v>-98.560349064000022</v>
      </c>
      <c r="M115" s="14">
        <f t="shared" ca="1" si="60"/>
        <v>-100.05137172000002</v>
      </c>
      <c r="N115" s="14">
        <f t="shared" ca="1" si="60"/>
        <v>-101.57789645955002</v>
      </c>
      <c r="O115" s="14">
        <f t="shared" ca="1" si="60"/>
        <v>-108.0515437104</v>
      </c>
      <c r="P115" s="14">
        <f t="shared" ca="1" si="60"/>
        <v>-109.74440501114999</v>
      </c>
      <c r="Q115" s="14">
        <f t="shared" ca="1" si="60"/>
        <v>-111.43016406600002</v>
      </c>
      <c r="R115" s="14">
        <f t="shared" ca="1" si="60"/>
        <v>-8.1544052641758564E-5</v>
      </c>
      <c r="S115" s="14">
        <f t="shared" ca="1" si="60"/>
        <v>-1.1806432901419958E-6</v>
      </c>
      <c r="T115" s="14">
        <f t="shared" ca="1" si="60"/>
        <v>-3.8858257590978913E-8</v>
      </c>
      <c r="U115" s="14">
        <f t="shared" ca="1" si="60"/>
        <v>-3.0877044667010507E-17</v>
      </c>
      <c r="V115" s="14">
        <f t="shared" ca="1" si="60"/>
        <v>-1.3224827040759E-16</v>
      </c>
      <c r="W115" s="14">
        <f t="shared" ca="1" si="60"/>
        <v>-2.6765404147768007E-15</v>
      </c>
      <c r="X115" s="14">
        <f t="shared" ca="1" si="60"/>
        <v>-2.8286082894535542E-14</v>
      </c>
      <c r="Y115" s="14">
        <f t="shared" ca="1" si="60"/>
        <v>-2.6606862079359798E-13</v>
      </c>
      <c r="Z115" s="14">
        <f t="shared" ca="1" si="60"/>
        <v>-2.2479961092263526E-12</v>
      </c>
      <c r="AA115" s="14">
        <f t="shared" ca="1" si="60"/>
        <v>-1.718354358784289E-11</v>
      </c>
      <c r="AB115" s="14">
        <f t="shared" ca="1" si="60"/>
        <v>-2.4725118040849414E-8</v>
      </c>
      <c r="AC115" s="14">
        <f t="shared" ca="1" si="60"/>
        <v>-1.261540748264059E-7</v>
      </c>
      <c r="AD115" s="14">
        <f t="shared" ca="1" si="60"/>
        <v>-6.0285049495126159E-7</v>
      </c>
      <c r="AE115" s="14">
        <f t="shared" ca="1" si="60"/>
        <v>-2.7091658920051446E-6</v>
      </c>
      <c r="AF115" s="14">
        <f t="shared" ca="1" si="60"/>
        <v>-1.1490146124086571E-5</v>
      </c>
      <c r="AG115" s="14">
        <f t="shared" ca="1" si="60"/>
        <v>-4.4797357414901181E-5</v>
      </c>
      <c r="AH115" s="14">
        <f t="shared" ca="1" si="60"/>
        <v>-4.5796954597744052E-5</v>
      </c>
      <c r="AI115" s="14">
        <f t="shared" ca="1" si="60"/>
        <v>-4.6268688640171733E-5</v>
      </c>
      <c r="AJ115" s="14">
        <f t="shared" ca="1" si="60"/>
        <v>-4.6162773880391081E-5</v>
      </c>
      <c r="AK115" s="14">
        <f t="shared" ca="1" si="60"/>
        <v>-4.0299669256275251E-5</v>
      </c>
      <c r="AL115" s="14">
        <f t="shared" ca="1" si="60"/>
        <v>-3.7701301559130006E-5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</row>
    <row r="116" spans="1:71" ht="21" customHeight="1" outlineLevel="1" thickBot="1" x14ac:dyDescent="0.4">
      <c r="E116" s="17" t="s">
        <v>14</v>
      </c>
      <c r="F116" s="14">
        <f t="shared" ref="F116:AL116" ca="1" si="61">F$113*$B$2*SUMPRODUCT(F$87:F$89,F$53:F$55)/1000</f>
        <v>-80.43162251225003</v>
      </c>
      <c r="G116" s="14">
        <f t="shared" ca="1" si="61"/>
        <v>-83.192851333250019</v>
      </c>
      <c r="H116" s="14">
        <f t="shared" ca="1" si="61"/>
        <v>-85.958066957</v>
      </c>
      <c r="I116" s="14">
        <f t="shared" ca="1" si="61"/>
        <v>-88.761060897250019</v>
      </c>
      <c r="J116" s="14">
        <f t="shared" ca="1" si="61"/>
        <v>-91.616743824000011</v>
      </c>
      <c r="K116" s="14">
        <f t="shared" ca="1" si="61"/>
        <v>-143.05763934325003</v>
      </c>
      <c r="L116" s="14">
        <f t="shared" ca="1" si="61"/>
        <v>-146.72098864275006</v>
      </c>
      <c r="M116" s="14">
        <f t="shared" ca="1" si="61"/>
        <v>-150.40032534000005</v>
      </c>
      <c r="N116" s="14">
        <f t="shared" ca="1" si="61"/>
        <v>-154.14781931955002</v>
      </c>
      <c r="O116" s="14">
        <f t="shared" ca="1" si="61"/>
        <v>-169.58699192040001</v>
      </c>
      <c r="P116" s="14">
        <f t="shared" ca="1" si="61"/>
        <v>-173.53514055990001</v>
      </c>
      <c r="Q116" s="14">
        <f t="shared" ca="1" si="61"/>
        <v>-177.48304641600004</v>
      </c>
      <c r="R116" s="14">
        <f t="shared" ca="1" si="61"/>
        <v>-68.358062016552651</v>
      </c>
      <c r="S116" s="14">
        <f t="shared" ca="1" si="61"/>
        <v>-70.648134461893306</v>
      </c>
      <c r="T116" s="14">
        <f t="shared" ca="1" si="61"/>
        <v>-72.970407813858273</v>
      </c>
      <c r="U116" s="14">
        <f t="shared" ca="1" si="61"/>
        <v>-75.262299700000014</v>
      </c>
      <c r="V116" s="14">
        <f t="shared" ca="1" si="61"/>
        <v>-77.561051087500019</v>
      </c>
      <c r="W116" s="14">
        <f t="shared" ca="1" si="61"/>
        <v>-79.908476943750017</v>
      </c>
      <c r="X116" s="14">
        <f t="shared" ca="1" si="61"/>
        <v>-82.23535212750005</v>
      </c>
      <c r="Y116" s="14">
        <f t="shared" ca="1" si="61"/>
        <v>-84.599954355000278</v>
      </c>
      <c r="Z116" s="14">
        <f t="shared" ca="1" si="61"/>
        <v>-86.928450866252277</v>
      </c>
      <c r="AA116" s="14">
        <f t="shared" ca="1" si="61"/>
        <v>-89.310201750017214</v>
      </c>
      <c r="AB116" s="14">
        <f t="shared" ca="1" si="61"/>
        <v>-98.789189072225142</v>
      </c>
      <c r="AC116" s="14">
        <f t="shared" ca="1" si="61"/>
        <v>-101.21326779115411</v>
      </c>
      <c r="AD116" s="14">
        <f t="shared" ca="1" si="61"/>
        <v>-103.59323153410051</v>
      </c>
      <c r="AE116" s="14">
        <f t="shared" ca="1" si="61"/>
        <v>-105.98005636916594</v>
      </c>
      <c r="AF116" s="14">
        <f t="shared" ca="1" si="61"/>
        <v>-108.38726533264614</v>
      </c>
      <c r="AG116" s="14">
        <f t="shared" ca="1" si="61"/>
        <v>-110.84455904110744</v>
      </c>
      <c r="AH116" s="14">
        <f t="shared" ca="1" si="61"/>
        <v>-113.25312518695458</v>
      </c>
      <c r="AI116" s="14">
        <f t="shared" ca="1" si="61"/>
        <v>-115.66855026743865</v>
      </c>
      <c r="AJ116" s="14">
        <f t="shared" ca="1" si="61"/>
        <v>-118.09083423277394</v>
      </c>
      <c r="AK116" s="14">
        <f t="shared" ca="1" si="61"/>
        <v>-127.86225048966931</v>
      </c>
      <c r="AL116" s="14">
        <f t="shared" ca="1" si="61"/>
        <v>-130.31885006130156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</row>
    <row r="117" spans="1:71" ht="21" customHeight="1" outlineLevel="1" thickBot="1" x14ac:dyDescent="0.4">
      <c r="E117" s="17" t="s">
        <v>32</v>
      </c>
      <c r="F117" s="14">
        <f ca="1">F115+F114</f>
        <v>-45.198083454750012</v>
      </c>
      <c r="G117" s="14">
        <f t="shared" ref="G117:AL117" ca="1" si="62">G115+G114</f>
        <v>-45.837763669500006</v>
      </c>
      <c r="H117" s="14">
        <f t="shared" ca="1" si="62"/>
        <v>-46.475402674500003</v>
      </c>
      <c r="I117" s="14">
        <f t="shared" ca="1" si="62"/>
        <v>-47.128460919749998</v>
      </c>
      <c r="J117" s="14">
        <f t="shared" ca="1" si="62"/>
        <v>-47.831921663999999</v>
      </c>
      <c r="K117" s="14">
        <f t="shared" ca="1" si="62"/>
        <v>-97.093662949500001</v>
      </c>
      <c r="L117" s="14">
        <f t="shared" ca="1" si="62"/>
        <v>-98.560349064000022</v>
      </c>
      <c r="M117" s="14">
        <f t="shared" ca="1" si="62"/>
        <v>-100.05137172000002</v>
      </c>
      <c r="N117" s="14">
        <f t="shared" ca="1" si="62"/>
        <v>-101.57789645955019</v>
      </c>
      <c r="O117" s="14">
        <f t="shared" ca="1" si="62"/>
        <v>-108.05154372999695</v>
      </c>
      <c r="P117" s="14">
        <f t="shared" ca="1" si="62"/>
        <v>-109.74440501115203</v>
      </c>
      <c r="Q117" s="14">
        <f t="shared" ca="1" si="62"/>
        <v>-111.43016406600002</v>
      </c>
      <c r="R117" s="14">
        <f t="shared" ca="1" si="62"/>
        <v>-8.1544052641758564E-5</v>
      </c>
      <c r="S117" s="14">
        <f t="shared" ca="1" si="62"/>
        <v>-1.1806432901419958E-6</v>
      </c>
      <c r="T117" s="14">
        <f t="shared" ca="1" si="62"/>
        <v>-3.8858257591007858E-8</v>
      </c>
      <c r="U117" s="14">
        <f t="shared" ca="1" si="62"/>
        <v>-3.0877044667064304E-17</v>
      </c>
      <c r="V117" s="14">
        <f t="shared" ca="1" si="62"/>
        <v>-1.3224827040759E-16</v>
      </c>
      <c r="W117" s="14">
        <f t="shared" ca="1" si="62"/>
        <v>-2.6765404147768007E-15</v>
      </c>
      <c r="X117" s="14">
        <f t="shared" ca="1" si="62"/>
        <v>-2.8286082894535542E-14</v>
      </c>
      <c r="Y117" s="14">
        <f t="shared" ca="1" si="62"/>
        <v>-2.6608542815597193E-13</v>
      </c>
      <c r="Z117" s="14">
        <f t="shared" ca="1" si="62"/>
        <v>-3.1359157970705978E-12</v>
      </c>
      <c r="AA117" s="14">
        <f t="shared" ca="1" si="62"/>
        <v>-1.0799107037007116E-9</v>
      </c>
      <c r="AB117" s="14">
        <f t="shared" ca="1" si="62"/>
        <v>-3.7474059762100084E-8</v>
      </c>
      <c r="AC117" s="14">
        <f t="shared" ca="1" si="62"/>
        <v>-1.7705962303046299E-7</v>
      </c>
      <c r="AD117" s="14">
        <f t="shared" ca="1" si="62"/>
        <v>-7.7979885555376485E-7</v>
      </c>
      <c r="AE117" s="14">
        <f t="shared" ca="1" si="62"/>
        <v>-3.0326884223414033E-6</v>
      </c>
      <c r="AF117" s="14">
        <f t="shared" ca="1" si="62"/>
        <v>-1.6695038946093924E-5</v>
      </c>
      <c r="AG117" s="14">
        <f t="shared" ca="1" si="62"/>
        <v>-17.08626580222543</v>
      </c>
      <c r="AH117" s="14">
        <f t="shared" ca="1" si="62"/>
        <v>-18.043224202998264</v>
      </c>
      <c r="AI117" s="14">
        <f t="shared" ca="1" si="62"/>
        <v>-18.592478881948612</v>
      </c>
      <c r="AJ117" s="14">
        <f t="shared" ca="1" si="62"/>
        <v>-19.154223762593844</v>
      </c>
      <c r="AK117" s="14">
        <f t="shared" ca="1" si="62"/>
        <v>-21.533147261458595</v>
      </c>
      <c r="AL117" s="14">
        <f t="shared" ca="1" si="62"/>
        <v>-22.166266566282975</v>
      </c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14"/>
    </row>
    <row r="118" spans="1:71" ht="21" customHeight="1" outlineLevel="1" x14ac:dyDescent="0.35">
      <c r="U118" s="48"/>
      <c r="V118" s="48"/>
      <c r="W118" s="48"/>
    </row>
    <row r="119" spans="1:71" ht="21" customHeight="1" outlineLevel="1" x14ac:dyDescent="0.35">
      <c r="U119" s="48"/>
      <c r="V119" s="48"/>
      <c r="W119" s="48"/>
    </row>
    <row r="120" spans="1:71" ht="21" customHeight="1" outlineLevel="1" x14ac:dyDescent="0.35">
      <c r="U120" s="48"/>
      <c r="V120" s="48"/>
      <c r="W120" s="48"/>
    </row>
    <row r="121" spans="1:71" ht="21" customHeight="1" outlineLevel="1" thickBot="1" x14ac:dyDescent="0.4">
      <c r="U121" s="48"/>
      <c r="V121" s="48"/>
      <c r="W121" s="48"/>
    </row>
    <row r="122" spans="1:71" ht="21" customHeight="1" outlineLevel="1" thickTop="1" thickBot="1" x14ac:dyDescent="0.4">
      <c r="E122" s="4">
        <f t="array" aca="1" ref="E122:AL135" ca="1">OFFSET(E113,0,0,C114,C115+1)</f>
        <v>0</v>
      </c>
      <c r="F122" s="4">
        <f ca="1"/>
        <v>273.10000000000002</v>
      </c>
      <c r="G122" s="4">
        <f ca="1"/>
        <v>289.7</v>
      </c>
      <c r="H122" s="4">
        <f ca="1"/>
        <v>306.2</v>
      </c>
      <c r="I122" s="4">
        <f ca="1"/>
        <v>322.7</v>
      </c>
      <c r="J122" s="4">
        <f ca="1"/>
        <v>339.2</v>
      </c>
      <c r="K122" s="4">
        <f ca="1"/>
        <v>355.7</v>
      </c>
      <c r="L122" s="4">
        <f ca="1"/>
        <v>372.3</v>
      </c>
      <c r="M122" s="4">
        <f ca="1"/>
        <v>388.8</v>
      </c>
      <c r="N122" s="4">
        <f ca="1"/>
        <v>405.3</v>
      </c>
      <c r="O122" s="4">
        <f ca="1"/>
        <v>471.4</v>
      </c>
      <c r="P122" s="4">
        <f ca="1"/>
        <v>487.9</v>
      </c>
      <c r="Q122" s="4">
        <f ca="1"/>
        <v>504.4</v>
      </c>
      <c r="R122" s="4">
        <f ca="1"/>
        <v>520.9</v>
      </c>
      <c r="S122" s="4">
        <f ca="1"/>
        <v>537.5</v>
      </c>
      <c r="T122" s="20">
        <f ca="1"/>
        <v>554</v>
      </c>
      <c r="U122" s="56">
        <f ca="1"/>
        <v>570.5</v>
      </c>
      <c r="V122" s="57">
        <f ca="1"/>
        <v>587</v>
      </c>
      <c r="W122" s="59">
        <f ca="1"/>
        <v>603.5</v>
      </c>
      <c r="X122" s="54">
        <f ca="1"/>
        <v>620.1</v>
      </c>
      <c r="Y122" s="4">
        <f ca="1"/>
        <v>636.6</v>
      </c>
      <c r="Z122" s="4">
        <f ca="1"/>
        <v>653.1</v>
      </c>
      <c r="AA122" s="4">
        <f ca="1"/>
        <v>669.6</v>
      </c>
      <c r="AB122" s="4">
        <f ca="1"/>
        <v>735.7</v>
      </c>
      <c r="AC122" s="4">
        <f ca="1"/>
        <v>752.2</v>
      </c>
      <c r="AD122" s="4">
        <f ca="1"/>
        <v>768.7</v>
      </c>
      <c r="AE122" s="4">
        <f ca="1"/>
        <v>785.2</v>
      </c>
      <c r="AF122" s="4">
        <f ca="1"/>
        <v>801.8</v>
      </c>
      <c r="AG122" s="4">
        <f ca="1"/>
        <v>818.3</v>
      </c>
      <c r="AH122" s="4">
        <f ca="1"/>
        <v>834.8</v>
      </c>
      <c r="AI122" s="4">
        <f ca="1"/>
        <v>851.3</v>
      </c>
      <c r="AJ122" s="4">
        <f ca="1"/>
        <v>867.8</v>
      </c>
      <c r="AK122" s="4">
        <f ca="1"/>
        <v>933.9</v>
      </c>
      <c r="AL122" s="4">
        <f ca="1"/>
        <v>950.4</v>
      </c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</row>
    <row r="123" spans="1:71" ht="21" customHeight="1" outlineLevel="1" thickTop="1" thickBot="1" x14ac:dyDescent="0.4">
      <c r="E123" s="17" t="str">
        <f ca="1"/>
        <v xml:space="preserve">Расвор: </v>
      </c>
      <c r="F123" s="48">
        <f ca="1"/>
        <v>-4.451257918901964E-26</v>
      </c>
      <c r="G123" s="48">
        <f ca="1"/>
        <v>-3.9481593773996003E-24</v>
      </c>
      <c r="H123" s="48">
        <f ca="1"/>
        <v>-7.5042283518426025E-25</v>
      </c>
      <c r="I123" s="48">
        <f ca="1"/>
        <v>0</v>
      </c>
      <c r="J123" s="48">
        <f ca="1"/>
        <v>0</v>
      </c>
      <c r="K123" s="48">
        <f ca="1"/>
        <v>0</v>
      </c>
      <c r="L123" s="48">
        <f ca="1"/>
        <v>-1.9292777661156905E-23</v>
      </c>
      <c r="M123" s="48">
        <f ca="1"/>
        <v>-2.1500206021197049E-16</v>
      </c>
      <c r="N123" s="48">
        <f ca="1"/>
        <v>-1.7582287394678077E-13</v>
      </c>
      <c r="O123" s="48">
        <f ca="1"/>
        <v>-1.9596948315122819E-8</v>
      </c>
      <c r="P123" s="48">
        <f ca="1"/>
        <v>-2.0365817989097865E-12</v>
      </c>
      <c r="Q123" s="48">
        <f ca="1"/>
        <v>-1.4320633374813276E-25</v>
      </c>
      <c r="R123" s="48">
        <f ca="1"/>
        <v>0</v>
      </c>
      <c r="S123" s="48">
        <f ca="1"/>
        <v>-2.9633058775417973E-28</v>
      </c>
      <c r="T123" s="48">
        <f ca="1"/>
        <v>-2.8942588158213968E-20</v>
      </c>
      <c r="U123" s="48">
        <f ca="1"/>
        <v>-5.379585188700799E-29</v>
      </c>
      <c r="V123" s="48">
        <f ca="1"/>
        <v>0</v>
      </c>
      <c r="W123" s="48">
        <f ca="1"/>
        <v>0</v>
      </c>
      <c r="X123" s="48">
        <f ca="1"/>
        <v>-3.0130802221317053E-31</v>
      </c>
      <c r="Y123" s="48">
        <f ca="1"/>
        <v>-1.6807362373946858E-17</v>
      </c>
      <c r="Z123" s="48">
        <f ca="1"/>
        <v>-8.879196878442451E-13</v>
      </c>
      <c r="AA123" s="48">
        <f ca="1"/>
        <v>-1.0627271601128687E-9</v>
      </c>
      <c r="AB123" s="48">
        <f ca="1"/>
        <v>-1.2748941721250669E-8</v>
      </c>
      <c r="AC123" s="48">
        <f ca="1"/>
        <v>-5.0905548204057074E-8</v>
      </c>
      <c r="AD123" s="48">
        <f ca="1"/>
        <v>-1.7694836060250323E-7</v>
      </c>
      <c r="AE123" s="48">
        <f ca="1"/>
        <v>-3.2352253033625879E-7</v>
      </c>
      <c r="AF123" s="48">
        <f ca="1"/>
        <v>-5.2048928220073518E-6</v>
      </c>
      <c r="AG123" s="48">
        <f ca="1"/>
        <v>-17.086221004868015</v>
      </c>
      <c r="AH123" s="48">
        <f ca="1"/>
        <v>-18.043178406043666</v>
      </c>
      <c r="AI123" s="48">
        <f ca="1"/>
        <v>-18.592432613259973</v>
      </c>
      <c r="AJ123" s="48">
        <f ca="1"/>
        <v>-19.154177599819963</v>
      </c>
      <c r="AK123" s="48">
        <f ca="1"/>
        <v>-21.53310696178934</v>
      </c>
      <c r="AL123" s="48">
        <f ca="1"/>
        <v>-22.166228864981417</v>
      </c>
    </row>
    <row r="124" spans="1:71" ht="21" customHeight="1" outlineLevel="1" thickBot="1" x14ac:dyDescent="0.4">
      <c r="E124" s="17" t="str">
        <f ca="1"/>
        <v xml:space="preserve">Газовая без Ar: </v>
      </c>
      <c r="F124" s="48">
        <f ca="1"/>
        <v>-45.198083454750012</v>
      </c>
      <c r="G124" s="48">
        <f ca="1"/>
        <v>-45.837763669500006</v>
      </c>
      <c r="H124" s="48">
        <f ca="1"/>
        <v>-46.475402674500003</v>
      </c>
      <c r="I124" s="48">
        <f ca="1"/>
        <v>-47.128460919749998</v>
      </c>
      <c r="J124" s="48">
        <f ca="1"/>
        <v>-47.831921663999999</v>
      </c>
      <c r="K124" s="48">
        <f ca="1"/>
        <v>-97.093662949500001</v>
      </c>
      <c r="L124" s="48">
        <f ca="1"/>
        <v>-98.560349064000022</v>
      </c>
      <c r="M124" s="48">
        <f ca="1"/>
        <v>-100.05137172000002</v>
      </c>
      <c r="N124" s="48">
        <f ca="1"/>
        <v>-101.57789645955002</v>
      </c>
      <c r="O124" s="48">
        <f ca="1"/>
        <v>-108.0515437104</v>
      </c>
      <c r="P124" s="48">
        <f ca="1"/>
        <v>-109.74440501114999</v>
      </c>
      <c r="Q124" s="48">
        <f ca="1"/>
        <v>-111.43016406600002</v>
      </c>
      <c r="R124" s="48">
        <f ca="1"/>
        <v>-8.1544052641758564E-5</v>
      </c>
      <c r="S124" s="48">
        <f ca="1"/>
        <v>-1.1806432901419958E-6</v>
      </c>
      <c r="T124" s="48">
        <f ca="1"/>
        <v>-3.8858257590978913E-8</v>
      </c>
      <c r="U124" s="48">
        <f ca="1"/>
        <v>-3.0877044667010507E-17</v>
      </c>
      <c r="V124" s="48">
        <f ca="1"/>
        <v>-1.3224827040759E-16</v>
      </c>
      <c r="W124" s="48">
        <f ca="1"/>
        <v>-2.6765404147768007E-15</v>
      </c>
      <c r="X124" s="48">
        <f ca="1"/>
        <v>-2.8286082894535542E-14</v>
      </c>
      <c r="Y124" s="48">
        <f ca="1"/>
        <v>-2.6606862079359798E-13</v>
      </c>
      <c r="Z124" s="48">
        <f ca="1"/>
        <v>-2.2479961092263526E-12</v>
      </c>
      <c r="AA124" s="48">
        <f ca="1"/>
        <v>-1.718354358784289E-11</v>
      </c>
      <c r="AB124" s="48">
        <f ca="1"/>
        <v>-2.4725118040849414E-8</v>
      </c>
      <c r="AC124" s="48">
        <f ca="1"/>
        <v>-1.261540748264059E-7</v>
      </c>
      <c r="AD124" s="48">
        <f ca="1"/>
        <v>-6.0285049495126159E-7</v>
      </c>
      <c r="AE124" s="48">
        <f ca="1"/>
        <v>-2.7091658920051446E-6</v>
      </c>
      <c r="AF124" s="48">
        <f ca="1"/>
        <v>-1.1490146124086571E-5</v>
      </c>
      <c r="AG124" s="48">
        <f ca="1"/>
        <v>-4.4797357414901181E-5</v>
      </c>
      <c r="AH124" s="48">
        <f ca="1"/>
        <v>-4.5796954597744052E-5</v>
      </c>
      <c r="AI124" s="48">
        <f ca="1"/>
        <v>-4.6268688640171733E-5</v>
      </c>
      <c r="AJ124" s="48">
        <f ca="1"/>
        <v>-4.6162773880391081E-5</v>
      </c>
      <c r="AK124" s="48">
        <f ca="1"/>
        <v>-4.0299669256275251E-5</v>
      </c>
      <c r="AL124" s="48">
        <f ca="1"/>
        <v>-3.7701301559130006E-5</v>
      </c>
    </row>
    <row r="125" spans="1:71" ht="21" customHeight="1" outlineLevel="1" thickBot="1" x14ac:dyDescent="0.4">
      <c r="E125" s="17" t="str">
        <f ca="1"/>
        <v xml:space="preserve">Газовая: </v>
      </c>
      <c r="F125" s="48">
        <f ca="1"/>
        <v>-80.43162251225003</v>
      </c>
      <c r="G125" s="48">
        <f ca="1"/>
        <v>-83.192851333250019</v>
      </c>
      <c r="H125" s="48">
        <f ca="1"/>
        <v>-85.958066957</v>
      </c>
      <c r="I125" s="48">
        <f ca="1"/>
        <v>-88.761060897250019</v>
      </c>
      <c r="J125" s="48">
        <f ca="1"/>
        <v>-91.616743824000011</v>
      </c>
      <c r="K125" s="48">
        <f ca="1"/>
        <v>-143.05763934325003</v>
      </c>
      <c r="L125" s="48">
        <f ca="1"/>
        <v>-146.72098864275006</v>
      </c>
      <c r="M125" s="48">
        <f ca="1"/>
        <v>-150.40032534000005</v>
      </c>
      <c r="N125" s="48">
        <f ca="1"/>
        <v>-154.14781931955002</v>
      </c>
      <c r="O125" s="48">
        <f ca="1"/>
        <v>-169.58699192040001</v>
      </c>
      <c r="P125" s="48">
        <f ca="1"/>
        <v>-173.53514055990001</v>
      </c>
      <c r="Q125" s="48">
        <f ca="1"/>
        <v>-177.48304641600004</v>
      </c>
      <c r="R125" s="48">
        <f ca="1"/>
        <v>-68.358062016552651</v>
      </c>
      <c r="S125" s="48">
        <f ca="1"/>
        <v>-70.648134461893306</v>
      </c>
      <c r="T125" s="48">
        <f ca="1"/>
        <v>-72.970407813858273</v>
      </c>
      <c r="U125" s="48">
        <f ca="1"/>
        <v>-75.262299700000014</v>
      </c>
      <c r="V125" s="48">
        <f ca="1"/>
        <v>-77.561051087500019</v>
      </c>
      <c r="W125" s="48">
        <f ca="1"/>
        <v>-79.908476943750017</v>
      </c>
      <c r="X125" s="48">
        <f ca="1"/>
        <v>-82.23535212750005</v>
      </c>
      <c r="Y125" s="48">
        <f ca="1"/>
        <v>-84.599954355000278</v>
      </c>
      <c r="Z125" s="48">
        <f ca="1"/>
        <v>-86.928450866252277</v>
      </c>
      <c r="AA125" s="48">
        <f ca="1"/>
        <v>-89.310201750017214</v>
      </c>
      <c r="AB125" s="48">
        <f ca="1"/>
        <v>-98.789189072225142</v>
      </c>
      <c r="AC125" s="48">
        <f ca="1"/>
        <v>-101.21326779115411</v>
      </c>
      <c r="AD125" s="48">
        <f ca="1"/>
        <v>-103.59323153410051</v>
      </c>
      <c r="AE125" s="48">
        <f ca="1"/>
        <v>-105.98005636916594</v>
      </c>
      <c r="AF125" s="48">
        <f ca="1"/>
        <v>-108.38726533264614</v>
      </c>
      <c r="AG125" s="48">
        <f ca="1"/>
        <v>-110.84455904110744</v>
      </c>
      <c r="AH125" s="48">
        <f ca="1"/>
        <v>-113.25312518695458</v>
      </c>
      <c r="AI125" s="48">
        <f ca="1"/>
        <v>-115.66855026743865</v>
      </c>
      <c r="AJ125" s="48">
        <f ca="1"/>
        <v>-118.09083423277394</v>
      </c>
      <c r="AK125" s="48">
        <f ca="1"/>
        <v>-127.86225048966931</v>
      </c>
      <c r="AL125" s="48">
        <f ca="1"/>
        <v>-130.31885006130156</v>
      </c>
    </row>
    <row r="126" spans="1:71" ht="21" customHeight="1" outlineLevel="1" thickBot="1" x14ac:dyDescent="0.4">
      <c r="E126" s="17" t="str">
        <f ca="1"/>
        <v>Раствор + газовая без Ar</v>
      </c>
      <c r="F126" s="48">
        <f ca="1"/>
        <v>-45.198083454750012</v>
      </c>
      <c r="G126" s="48">
        <f ca="1"/>
        <v>-45.837763669500006</v>
      </c>
      <c r="H126" s="48">
        <f ca="1"/>
        <v>-46.475402674500003</v>
      </c>
      <c r="I126" s="48">
        <f ca="1"/>
        <v>-47.128460919749998</v>
      </c>
      <c r="J126" s="48">
        <f ca="1"/>
        <v>-47.831921663999999</v>
      </c>
      <c r="K126" s="48">
        <f ca="1"/>
        <v>-97.093662949500001</v>
      </c>
      <c r="L126" s="48">
        <f ca="1"/>
        <v>-98.560349064000022</v>
      </c>
      <c r="M126" s="48">
        <f ca="1"/>
        <v>-100.05137172000002</v>
      </c>
      <c r="N126" s="48">
        <f ca="1"/>
        <v>-101.57789645955019</v>
      </c>
      <c r="O126" s="48">
        <f ca="1"/>
        <v>-108.05154372999695</v>
      </c>
      <c r="P126" s="48">
        <f ca="1"/>
        <v>-109.74440501115203</v>
      </c>
      <c r="Q126" s="48">
        <f ca="1"/>
        <v>-111.43016406600002</v>
      </c>
      <c r="R126" s="48">
        <f ca="1"/>
        <v>-8.1544052641758564E-5</v>
      </c>
      <c r="S126" s="48">
        <f ca="1"/>
        <v>-1.1806432901419958E-6</v>
      </c>
      <c r="T126" s="48">
        <f ca="1"/>
        <v>-3.8858257591007858E-8</v>
      </c>
      <c r="U126" s="48">
        <f ca="1"/>
        <v>-3.0877044667064304E-17</v>
      </c>
      <c r="V126" s="48">
        <f ca="1"/>
        <v>-1.3224827040759E-16</v>
      </c>
      <c r="W126" s="48">
        <f ca="1"/>
        <v>-2.6765404147768007E-15</v>
      </c>
      <c r="X126" s="48">
        <f ca="1"/>
        <v>-2.8286082894535542E-14</v>
      </c>
      <c r="Y126" s="48">
        <f ca="1"/>
        <v>-2.6608542815597193E-13</v>
      </c>
      <c r="Z126" s="48">
        <f ca="1"/>
        <v>-3.1359157970705978E-12</v>
      </c>
      <c r="AA126" s="48">
        <f ca="1"/>
        <v>-1.0799107037007116E-9</v>
      </c>
      <c r="AB126" s="48">
        <f ca="1"/>
        <v>-3.7474059762100084E-8</v>
      </c>
      <c r="AC126" s="48">
        <f ca="1"/>
        <v>-1.7705962303046299E-7</v>
      </c>
      <c r="AD126" s="48">
        <f ca="1"/>
        <v>-7.7979885555376485E-7</v>
      </c>
      <c r="AE126" s="48">
        <f ca="1"/>
        <v>-3.0326884223414033E-6</v>
      </c>
      <c r="AF126" s="48">
        <f ca="1"/>
        <v>-1.6695038946093924E-5</v>
      </c>
      <c r="AG126" s="48">
        <f ca="1"/>
        <v>-17.08626580222543</v>
      </c>
      <c r="AH126" s="48">
        <f ca="1"/>
        <v>-18.043224202998264</v>
      </c>
      <c r="AI126" s="48">
        <f ca="1"/>
        <v>-18.592478881948612</v>
      </c>
      <c r="AJ126" s="48">
        <f ca="1"/>
        <v>-19.154223762593844</v>
      </c>
      <c r="AK126" s="48">
        <f ca="1"/>
        <v>-21.533147261458595</v>
      </c>
      <c r="AL126" s="48">
        <f ca="1"/>
        <v>-22.166266566282975</v>
      </c>
    </row>
    <row r="127" spans="1:71" ht="21" customHeight="1" outlineLevel="1" thickBot="1" x14ac:dyDescent="0.4">
      <c r="E127" s="17" t="e">
        <f ca="1"/>
        <v>#N/A</v>
      </c>
      <c r="F127" s="48" t="e">
        <f ca="1"/>
        <v>#N/A</v>
      </c>
      <c r="G127" s="48" t="e">
        <f ca="1"/>
        <v>#N/A</v>
      </c>
      <c r="H127" s="48" t="e">
        <f ca="1"/>
        <v>#N/A</v>
      </c>
      <c r="I127" s="48" t="e">
        <f ca="1"/>
        <v>#N/A</v>
      </c>
      <c r="J127" s="48" t="e">
        <f ca="1"/>
        <v>#N/A</v>
      </c>
      <c r="K127" s="48" t="e">
        <f ca="1"/>
        <v>#N/A</v>
      </c>
      <c r="L127" s="48" t="e">
        <f ca="1"/>
        <v>#N/A</v>
      </c>
      <c r="M127" s="48" t="e">
        <f ca="1"/>
        <v>#N/A</v>
      </c>
      <c r="N127" s="48" t="e">
        <f ca="1"/>
        <v>#N/A</v>
      </c>
      <c r="O127" s="48" t="e">
        <f ca="1"/>
        <v>#N/A</v>
      </c>
      <c r="P127" s="48" t="e">
        <f ca="1"/>
        <v>#N/A</v>
      </c>
      <c r="Q127" s="48" t="e">
        <f ca="1"/>
        <v>#N/A</v>
      </c>
      <c r="R127" s="48" t="e">
        <f ca="1"/>
        <v>#N/A</v>
      </c>
      <c r="S127" s="48" t="e">
        <f ca="1"/>
        <v>#N/A</v>
      </c>
      <c r="T127" s="48" t="e">
        <f ca="1"/>
        <v>#N/A</v>
      </c>
      <c r="U127" s="48" t="e">
        <f ca="1"/>
        <v>#N/A</v>
      </c>
      <c r="V127" s="48" t="e">
        <f ca="1"/>
        <v>#N/A</v>
      </c>
      <c r="W127" s="48" t="e">
        <f ca="1"/>
        <v>#N/A</v>
      </c>
      <c r="X127" s="48" t="e">
        <f ca="1"/>
        <v>#N/A</v>
      </c>
      <c r="Y127" s="48" t="e">
        <f ca="1"/>
        <v>#N/A</v>
      </c>
      <c r="Z127" s="48" t="e">
        <f ca="1"/>
        <v>#N/A</v>
      </c>
      <c r="AA127" s="48" t="e">
        <f ca="1"/>
        <v>#N/A</v>
      </c>
      <c r="AB127" s="48" t="e">
        <f ca="1"/>
        <v>#N/A</v>
      </c>
      <c r="AC127" s="48" t="e">
        <f ca="1"/>
        <v>#N/A</v>
      </c>
      <c r="AD127" s="48" t="e">
        <f ca="1"/>
        <v>#N/A</v>
      </c>
      <c r="AE127" s="48" t="e">
        <f ca="1"/>
        <v>#N/A</v>
      </c>
      <c r="AF127" s="48" t="e">
        <f ca="1"/>
        <v>#N/A</v>
      </c>
      <c r="AG127" s="48" t="e">
        <f ca="1"/>
        <v>#N/A</v>
      </c>
      <c r="AH127" s="48" t="e">
        <f ca="1"/>
        <v>#N/A</v>
      </c>
      <c r="AI127" s="48" t="e">
        <f ca="1"/>
        <v>#N/A</v>
      </c>
      <c r="AJ127" s="48" t="e">
        <f ca="1"/>
        <v>#N/A</v>
      </c>
      <c r="AK127" s="48" t="e">
        <f ca="1"/>
        <v>#N/A</v>
      </c>
      <c r="AL127" s="48" t="e">
        <f ca="1"/>
        <v>#N/A</v>
      </c>
    </row>
    <row r="128" spans="1:71" ht="21" customHeight="1" outlineLevel="1" thickBot="1" x14ac:dyDescent="0.4">
      <c r="E128" s="17" t="e">
        <f ca="1"/>
        <v>#N/A</v>
      </c>
      <c r="F128" s="48" t="e">
        <f ca="1"/>
        <v>#N/A</v>
      </c>
      <c r="G128" s="48" t="e">
        <f ca="1"/>
        <v>#N/A</v>
      </c>
      <c r="H128" s="48" t="e">
        <f ca="1"/>
        <v>#N/A</v>
      </c>
      <c r="I128" s="48" t="e">
        <f ca="1"/>
        <v>#N/A</v>
      </c>
      <c r="J128" s="48" t="e">
        <f ca="1"/>
        <v>#N/A</v>
      </c>
      <c r="K128" s="48" t="e">
        <f ca="1"/>
        <v>#N/A</v>
      </c>
      <c r="L128" s="48" t="e">
        <f ca="1"/>
        <v>#N/A</v>
      </c>
      <c r="M128" s="48" t="e">
        <f ca="1"/>
        <v>#N/A</v>
      </c>
      <c r="N128" s="48" t="e">
        <f ca="1"/>
        <v>#N/A</v>
      </c>
      <c r="O128" s="48" t="e">
        <f ca="1"/>
        <v>#N/A</v>
      </c>
      <c r="P128" s="48" t="e">
        <f ca="1"/>
        <v>#N/A</v>
      </c>
      <c r="Q128" s="48" t="e">
        <f ca="1"/>
        <v>#N/A</v>
      </c>
      <c r="R128" s="48" t="e">
        <f ca="1"/>
        <v>#N/A</v>
      </c>
      <c r="S128" s="48" t="e">
        <f ca="1"/>
        <v>#N/A</v>
      </c>
      <c r="T128" s="48" t="e">
        <f ca="1"/>
        <v>#N/A</v>
      </c>
      <c r="U128" s="48" t="e">
        <f ca="1"/>
        <v>#N/A</v>
      </c>
      <c r="V128" s="48" t="e">
        <f ca="1"/>
        <v>#N/A</v>
      </c>
      <c r="W128" s="48" t="e">
        <f ca="1"/>
        <v>#N/A</v>
      </c>
      <c r="X128" s="48" t="e">
        <f ca="1"/>
        <v>#N/A</v>
      </c>
      <c r="Y128" s="48" t="e">
        <f ca="1"/>
        <v>#N/A</v>
      </c>
      <c r="Z128" s="48" t="e">
        <f ca="1"/>
        <v>#N/A</v>
      </c>
      <c r="AA128" s="48" t="e">
        <f ca="1"/>
        <v>#N/A</v>
      </c>
      <c r="AB128" s="48" t="e">
        <f ca="1"/>
        <v>#N/A</v>
      </c>
      <c r="AC128" s="48" t="e">
        <f ca="1"/>
        <v>#N/A</v>
      </c>
      <c r="AD128" s="48" t="e">
        <f ca="1"/>
        <v>#N/A</v>
      </c>
      <c r="AE128" s="48" t="e">
        <f ca="1"/>
        <v>#N/A</v>
      </c>
      <c r="AF128" s="48" t="e">
        <f ca="1"/>
        <v>#N/A</v>
      </c>
      <c r="AG128" s="48" t="e">
        <f ca="1"/>
        <v>#N/A</v>
      </c>
      <c r="AH128" s="48" t="e">
        <f ca="1"/>
        <v>#N/A</v>
      </c>
      <c r="AI128" s="48" t="e">
        <f ca="1"/>
        <v>#N/A</v>
      </c>
      <c r="AJ128" s="48" t="e">
        <f ca="1"/>
        <v>#N/A</v>
      </c>
      <c r="AK128" s="48" t="e">
        <f ca="1"/>
        <v>#N/A</v>
      </c>
      <c r="AL128" s="48" t="e">
        <f ca="1"/>
        <v>#N/A</v>
      </c>
    </row>
    <row r="129" spans="5:38" ht="21" customHeight="1" outlineLevel="1" thickBot="1" x14ac:dyDescent="0.4">
      <c r="E129" s="17" t="e">
        <f ca="1"/>
        <v>#N/A</v>
      </c>
      <c r="F129" s="48" t="e">
        <f ca="1"/>
        <v>#N/A</v>
      </c>
      <c r="G129" s="48" t="e">
        <f ca="1"/>
        <v>#N/A</v>
      </c>
      <c r="H129" s="48" t="e">
        <f ca="1"/>
        <v>#N/A</v>
      </c>
      <c r="I129" s="48" t="e">
        <f ca="1"/>
        <v>#N/A</v>
      </c>
      <c r="J129" s="48" t="e">
        <f ca="1"/>
        <v>#N/A</v>
      </c>
      <c r="K129" s="48" t="e">
        <f ca="1"/>
        <v>#N/A</v>
      </c>
      <c r="L129" s="48" t="e">
        <f ca="1"/>
        <v>#N/A</v>
      </c>
      <c r="M129" s="48" t="e">
        <f ca="1"/>
        <v>#N/A</v>
      </c>
      <c r="N129" s="48" t="e">
        <f ca="1"/>
        <v>#N/A</v>
      </c>
      <c r="O129" s="48" t="e">
        <f ca="1"/>
        <v>#N/A</v>
      </c>
      <c r="P129" s="48" t="e">
        <f ca="1"/>
        <v>#N/A</v>
      </c>
      <c r="Q129" s="48" t="e">
        <f ca="1"/>
        <v>#N/A</v>
      </c>
      <c r="R129" s="48" t="e">
        <f ca="1"/>
        <v>#N/A</v>
      </c>
      <c r="S129" s="48" t="e">
        <f ca="1"/>
        <v>#N/A</v>
      </c>
      <c r="T129" s="48" t="e">
        <f ca="1"/>
        <v>#N/A</v>
      </c>
      <c r="U129" s="48" t="e">
        <f ca="1"/>
        <v>#N/A</v>
      </c>
      <c r="V129" s="48" t="e">
        <f ca="1"/>
        <v>#N/A</v>
      </c>
      <c r="W129" s="48" t="e">
        <f ca="1"/>
        <v>#N/A</v>
      </c>
      <c r="X129" s="48" t="e">
        <f ca="1"/>
        <v>#N/A</v>
      </c>
      <c r="Y129" s="48" t="e">
        <f ca="1"/>
        <v>#N/A</v>
      </c>
      <c r="Z129" s="48" t="e">
        <f ca="1"/>
        <v>#N/A</v>
      </c>
      <c r="AA129" s="48" t="e">
        <f ca="1"/>
        <v>#N/A</v>
      </c>
      <c r="AB129" s="48" t="e">
        <f ca="1"/>
        <v>#N/A</v>
      </c>
      <c r="AC129" s="48" t="e">
        <f ca="1"/>
        <v>#N/A</v>
      </c>
      <c r="AD129" s="48" t="e">
        <f ca="1"/>
        <v>#N/A</v>
      </c>
      <c r="AE129" s="48" t="e">
        <f ca="1"/>
        <v>#N/A</v>
      </c>
      <c r="AF129" s="48" t="e">
        <f ca="1"/>
        <v>#N/A</v>
      </c>
      <c r="AG129" s="48" t="e">
        <f ca="1"/>
        <v>#N/A</v>
      </c>
      <c r="AH129" s="48" t="e">
        <f ca="1"/>
        <v>#N/A</v>
      </c>
      <c r="AI129" s="48" t="e">
        <f ca="1"/>
        <v>#N/A</v>
      </c>
      <c r="AJ129" s="48" t="e">
        <f ca="1"/>
        <v>#N/A</v>
      </c>
      <c r="AK129" s="48" t="e">
        <f ca="1"/>
        <v>#N/A</v>
      </c>
      <c r="AL129" s="48" t="e">
        <f ca="1"/>
        <v>#N/A</v>
      </c>
    </row>
    <row r="130" spans="5:38" ht="21" customHeight="1" outlineLevel="1" thickBot="1" x14ac:dyDescent="0.4">
      <c r="E130" s="17" t="e">
        <f ca="1"/>
        <v>#N/A</v>
      </c>
      <c r="F130" s="48" t="e">
        <f ca="1"/>
        <v>#N/A</v>
      </c>
      <c r="G130" s="48" t="e">
        <f ca="1"/>
        <v>#N/A</v>
      </c>
      <c r="H130" s="48" t="e">
        <f ca="1"/>
        <v>#N/A</v>
      </c>
      <c r="I130" s="48" t="e">
        <f ca="1"/>
        <v>#N/A</v>
      </c>
      <c r="J130" s="48" t="e">
        <f ca="1"/>
        <v>#N/A</v>
      </c>
      <c r="K130" s="48" t="e">
        <f ca="1"/>
        <v>#N/A</v>
      </c>
      <c r="L130" s="48" t="e">
        <f ca="1"/>
        <v>#N/A</v>
      </c>
      <c r="M130" s="48" t="e">
        <f ca="1"/>
        <v>#N/A</v>
      </c>
      <c r="N130" s="48" t="e">
        <f ca="1"/>
        <v>#N/A</v>
      </c>
      <c r="O130" s="48" t="e">
        <f ca="1"/>
        <v>#N/A</v>
      </c>
      <c r="P130" s="48" t="e">
        <f ca="1"/>
        <v>#N/A</v>
      </c>
      <c r="Q130" s="48" t="e">
        <f ca="1"/>
        <v>#N/A</v>
      </c>
      <c r="R130" s="48" t="e">
        <f ca="1"/>
        <v>#N/A</v>
      </c>
      <c r="S130" s="48" t="e">
        <f ca="1"/>
        <v>#N/A</v>
      </c>
      <c r="T130" s="48" t="e">
        <f ca="1"/>
        <v>#N/A</v>
      </c>
      <c r="U130" s="48" t="e">
        <f ca="1"/>
        <v>#N/A</v>
      </c>
      <c r="V130" s="48" t="e">
        <f ca="1"/>
        <v>#N/A</v>
      </c>
      <c r="W130" s="48" t="e">
        <f ca="1"/>
        <v>#N/A</v>
      </c>
      <c r="X130" s="48" t="e">
        <f ca="1"/>
        <v>#N/A</v>
      </c>
      <c r="Y130" s="48" t="e">
        <f ca="1"/>
        <v>#N/A</v>
      </c>
      <c r="Z130" s="48" t="e">
        <f ca="1"/>
        <v>#N/A</v>
      </c>
      <c r="AA130" s="48" t="e">
        <f ca="1"/>
        <v>#N/A</v>
      </c>
      <c r="AB130" s="48" t="e">
        <f ca="1"/>
        <v>#N/A</v>
      </c>
      <c r="AC130" s="48" t="e">
        <f ca="1"/>
        <v>#N/A</v>
      </c>
      <c r="AD130" s="48" t="e">
        <f ca="1"/>
        <v>#N/A</v>
      </c>
      <c r="AE130" s="48" t="e">
        <f ca="1"/>
        <v>#N/A</v>
      </c>
      <c r="AF130" s="48" t="e">
        <f ca="1"/>
        <v>#N/A</v>
      </c>
      <c r="AG130" s="48" t="e">
        <f ca="1"/>
        <v>#N/A</v>
      </c>
      <c r="AH130" s="48" t="e">
        <f ca="1"/>
        <v>#N/A</v>
      </c>
      <c r="AI130" s="48" t="e">
        <f ca="1"/>
        <v>#N/A</v>
      </c>
      <c r="AJ130" s="48" t="e">
        <f ca="1"/>
        <v>#N/A</v>
      </c>
      <c r="AK130" s="48" t="e">
        <f ca="1"/>
        <v>#N/A</v>
      </c>
      <c r="AL130" s="48" t="e">
        <f ca="1"/>
        <v>#N/A</v>
      </c>
    </row>
    <row r="131" spans="5:38" ht="21" customHeight="1" outlineLevel="1" thickBot="1" x14ac:dyDescent="0.4">
      <c r="E131" s="17" t="e">
        <f ca="1"/>
        <v>#N/A</v>
      </c>
      <c r="F131" s="48" t="e">
        <f ca="1"/>
        <v>#N/A</v>
      </c>
      <c r="G131" s="48" t="e">
        <f ca="1"/>
        <v>#N/A</v>
      </c>
      <c r="H131" s="48" t="e">
        <f ca="1"/>
        <v>#N/A</v>
      </c>
      <c r="I131" s="48" t="e">
        <f ca="1"/>
        <v>#N/A</v>
      </c>
      <c r="J131" s="48" t="e">
        <f ca="1"/>
        <v>#N/A</v>
      </c>
      <c r="K131" s="48" t="e">
        <f ca="1"/>
        <v>#N/A</v>
      </c>
      <c r="L131" s="48" t="e">
        <f ca="1"/>
        <v>#N/A</v>
      </c>
      <c r="M131" s="48" t="e">
        <f ca="1"/>
        <v>#N/A</v>
      </c>
      <c r="N131" s="48" t="e">
        <f ca="1"/>
        <v>#N/A</v>
      </c>
      <c r="O131" s="48" t="e">
        <f ca="1"/>
        <v>#N/A</v>
      </c>
      <c r="P131" s="48" t="e">
        <f ca="1"/>
        <v>#N/A</v>
      </c>
      <c r="Q131" s="48" t="e">
        <f ca="1"/>
        <v>#N/A</v>
      </c>
      <c r="R131" s="48" t="e">
        <f ca="1"/>
        <v>#N/A</v>
      </c>
      <c r="S131" s="48" t="e">
        <f ca="1"/>
        <v>#N/A</v>
      </c>
      <c r="T131" s="48" t="e">
        <f ca="1"/>
        <v>#N/A</v>
      </c>
      <c r="U131" s="48" t="e">
        <f ca="1"/>
        <v>#N/A</v>
      </c>
      <c r="V131" s="48" t="e">
        <f ca="1"/>
        <v>#N/A</v>
      </c>
      <c r="W131" s="48" t="e">
        <f ca="1"/>
        <v>#N/A</v>
      </c>
      <c r="X131" s="48" t="e">
        <f ca="1"/>
        <v>#N/A</v>
      </c>
      <c r="Y131" s="48" t="e">
        <f ca="1"/>
        <v>#N/A</v>
      </c>
      <c r="Z131" s="48" t="e">
        <f ca="1"/>
        <v>#N/A</v>
      </c>
      <c r="AA131" s="48" t="e">
        <f ca="1"/>
        <v>#N/A</v>
      </c>
      <c r="AB131" s="48" t="e">
        <f ca="1"/>
        <v>#N/A</v>
      </c>
      <c r="AC131" s="48" t="e">
        <f ca="1"/>
        <v>#N/A</v>
      </c>
      <c r="AD131" s="48" t="e">
        <f ca="1"/>
        <v>#N/A</v>
      </c>
      <c r="AE131" s="48" t="e">
        <f ca="1"/>
        <v>#N/A</v>
      </c>
      <c r="AF131" s="48" t="e">
        <f ca="1"/>
        <v>#N/A</v>
      </c>
      <c r="AG131" s="48" t="e">
        <f ca="1"/>
        <v>#N/A</v>
      </c>
      <c r="AH131" s="48" t="e">
        <f ca="1"/>
        <v>#N/A</v>
      </c>
      <c r="AI131" s="48" t="e">
        <f ca="1"/>
        <v>#N/A</v>
      </c>
      <c r="AJ131" s="48" t="e">
        <f ca="1"/>
        <v>#N/A</v>
      </c>
      <c r="AK131" s="48" t="e">
        <f ca="1"/>
        <v>#N/A</v>
      </c>
      <c r="AL131" s="48" t="e">
        <f ca="1"/>
        <v>#N/A</v>
      </c>
    </row>
    <row r="132" spans="5:38" ht="21" customHeight="1" outlineLevel="1" thickBot="1" x14ac:dyDescent="0.4">
      <c r="E132" s="17" t="e">
        <f ca="1"/>
        <v>#N/A</v>
      </c>
      <c r="F132" s="48" t="e">
        <f ca="1"/>
        <v>#N/A</v>
      </c>
      <c r="G132" s="48" t="e">
        <f ca="1"/>
        <v>#N/A</v>
      </c>
      <c r="H132" s="48" t="e">
        <f ca="1"/>
        <v>#N/A</v>
      </c>
      <c r="I132" s="48" t="e">
        <f ca="1"/>
        <v>#N/A</v>
      </c>
      <c r="J132" s="48" t="e">
        <f ca="1"/>
        <v>#N/A</v>
      </c>
      <c r="K132" s="48" t="e">
        <f ca="1"/>
        <v>#N/A</v>
      </c>
      <c r="L132" s="48" t="e">
        <f ca="1"/>
        <v>#N/A</v>
      </c>
      <c r="M132" s="48" t="e">
        <f ca="1"/>
        <v>#N/A</v>
      </c>
      <c r="N132" s="48" t="e">
        <f ca="1"/>
        <v>#N/A</v>
      </c>
      <c r="O132" s="48" t="e">
        <f ca="1"/>
        <v>#N/A</v>
      </c>
      <c r="P132" s="48" t="e">
        <f ca="1"/>
        <v>#N/A</v>
      </c>
      <c r="Q132" s="48" t="e">
        <f ca="1"/>
        <v>#N/A</v>
      </c>
      <c r="R132" s="48" t="e">
        <f ca="1"/>
        <v>#N/A</v>
      </c>
      <c r="S132" s="48" t="e">
        <f ca="1"/>
        <v>#N/A</v>
      </c>
      <c r="T132" s="48" t="e">
        <f ca="1"/>
        <v>#N/A</v>
      </c>
      <c r="U132" s="48" t="e">
        <f ca="1"/>
        <v>#N/A</v>
      </c>
      <c r="V132" s="48" t="e">
        <f ca="1"/>
        <v>#N/A</v>
      </c>
      <c r="W132" s="48" t="e">
        <f ca="1"/>
        <v>#N/A</v>
      </c>
      <c r="X132" s="48" t="e">
        <f ca="1"/>
        <v>#N/A</v>
      </c>
      <c r="Y132" s="48" t="e">
        <f ca="1"/>
        <v>#N/A</v>
      </c>
      <c r="Z132" s="48" t="e">
        <f ca="1"/>
        <v>#N/A</v>
      </c>
      <c r="AA132" s="48" t="e">
        <f ca="1"/>
        <v>#N/A</v>
      </c>
      <c r="AB132" s="48" t="e">
        <f ca="1"/>
        <v>#N/A</v>
      </c>
      <c r="AC132" s="48" t="e">
        <f ca="1"/>
        <v>#N/A</v>
      </c>
      <c r="AD132" s="48" t="e">
        <f ca="1"/>
        <v>#N/A</v>
      </c>
      <c r="AE132" s="48" t="e">
        <f ca="1"/>
        <v>#N/A</v>
      </c>
      <c r="AF132" s="48" t="e">
        <f ca="1"/>
        <v>#N/A</v>
      </c>
      <c r="AG132" s="48" t="e">
        <f ca="1"/>
        <v>#N/A</v>
      </c>
      <c r="AH132" s="48" t="e">
        <f ca="1"/>
        <v>#N/A</v>
      </c>
      <c r="AI132" s="48" t="e">
        <f ca="1"/>
        <v>#N/A</v>
      </c>
      <c r="AJ132" s="48" t="e">
        <f ca="1"/>
        <v>#N/A</v>
      </c>
      <c r="AK132" s="48" t="e">
        <f ca="1"/>
        <v>#N/A</v>
      </c>
      <c r="AL132" s="48" t="e">
        <f ca="1"/>
        <v>#N/A</v>
      </c>
    </row>
    <row r="133" spans="5:38" ht="21" customHeight="1" outlineLevel="1" thickBot="1" x14ac:dyDescent="0.4">
      <c r="E133" s="17" t="e">
        <f ca="1"/>
        <v>#N/A</v>
      </c>
      <c r="F133" s="48" t="e">
        <f ca="1"/>
        <v>#N/A</v>
      </c>
      <c r="G133" s="48" t="e">
        <f ca="1"/>
        <v>#N/A</v>
      </c>
      <c r="H133" s="48" t="e">
        <f ca="1"/>
        <v>#N/A</v>
      </c>
      <c r="I133" s="48" t="e">
        <f ca="1"/>
        <v>#N/A</v>
      </c>
      <c r="J133" s="48" t="e">
        <f ca="1"/>
        <v>#N/A</v>
      </c>
      <c r="K133" s="48" t="e">
        <f ca="1"/>
        <v>#N/A</v>
      </c>
      <c r="L133" s="48" t="e">
        <f ca="1"/>
        <v>#N/A</v>
      </c>
      <c r="M133" s="48" t="e">
        <f ca="1"/>
        <v>#N/A</v>
      </c>
      <c r="N133" s="48" t="e">
        <f ca="1"/>
        <v>#N/A</v>
      </c>
      <c r="O133" s="48" t="e">
        <f ca="1"/>
        <v>#N/A</v>
      </c>
      <c r="P133" s="48" t="e">
        <f ca="1"/>
        <v>#N/A</v>
      </c>
      <c r="Q133" s="48" t="e">
        <f ca="1"/>
        <v>#N/A</v>
      </c>
      <c r="R133" s="48" t="e">
        <f ca="1"/>
        <v>#N/A</v>
      </c>
      <c r="S133" s="48" t="e">
        <f ca="1"/>
        <v>#N/A</v>
      </c>
      <c r="T133" s="48" t="e">
        <f ca="1"/>
        <v>#N/A</v>
      </c>
      <c r="U133" s="48" t="e">
        <f ca="1"/>
        <v>#N/A</v>
      </c>
      <c r="V133" s="48" t="e">
        <f ca="1"/>
        <v>#N/A</v>
      </c>
      <c r="W133" s="48" t="e">
        <f ca="1"/>
        <v>#N/A</v>
      </c>
      <c r="X133" s="48" t="e">
        <f ca="1"/>
        <v>#N/A</v>
      </c>
      <c r="Y133" s="48" t="e">
        <f ca="1"/>
        <v>#N/A</v>
      </c>
      <c r="Z133" s="48" t="e">
        <f ca="1"/>
        <v>#N/A</v>
      </c>
      <c r="AA133" s="48" t="e">
        <f ca="1"/>
        <v>#N/A</v>
      </c>
      <c r="AB133" s="48" t="e">
        <f ca="1"/>
        <v>#N/A</v>
      </c>
      <c r="AC133" s="48" t="e">
        <f ca="1"/>
        <v>#N/A</v>
      </c>
      <c r="AD133" s="48" t="e">
        <f ca="1"/>
        <v>#N/A</v>
      </c>
      <c r="AE133" s="48" t="e">
        <f ca="1"/>
        <v>#N/A</v>
      </c>
      <c r="AF133" s="48" t="e">
        <f ca="1"/>
        <v>#N/A</v>
      </c>
      <c r="AG133" s="48" t="e">
        <f ca="1"/>
        <v>#N/A</v>
      </c>
      <c r="AH133" s="48" t="e">
        <f ca="1"/>
        <v>#N/A</v>
      </c>
      <c r="AI133" s="48" t="e">
        <f ca="1"/>
        <v>#N/A</v>
      </c>
      <c r="AJ133" s="48" t="e">
        <f ca="1"/>
        <v>#N/A</v>
      </c>
      <c r="AK133" s="48" t="e">
        <f ca="1"/>
        <v>#N/A</v>
      </c>
      <c r="AL133" s="48" t="e">
        <f ca="1"/>
        <v>#N/A</v>
      </c>
    </row>
    <row r="134" spans="5:38" ht="21" customHeight="1" outlineLevel="1" thickBot="1" x14ac:dyDescent="0.4">
      <c r="E134" s="17" t="e">
        <f ca="1"/>
        <v>#N/A</v>
      </c>
      <c r="F134" s="48" t="e">
        <f ca="1"/>
        <v>#N/A</v>
      </c>
      <c r="G134" s="48" t="e">
        <f ca="1"/>
        <v>#N/A</v>
      </c>
      <c r="H134" s="48" t="e">
        <f ca="1"/>
        <v>#N/A</v>
      </c>
      <c r="I134" s="48" t="e">
        <f ca="1"/>
        <v>#N/A</v>
      </c>
      <c r="J134" s="48" t="e">
        <f ca="1"/>
        <v>#N/A</v>
      </c>
      <c r="K134" s="48" t="e">
        <f ca="1"/>
        <v>#N/A</v>
      </c>
      <c r="L134" s="48" t="e">
        <f ca="1"/>
        <v>#N/A</v>
      </c>
      <c r="M134" s="48" t="e">
        <f ca="1"/>
        <v>#N/A</v>
      </c>
      <c r="N134" s="48" t="e">
        <f ca="1"/>
        <v>#N/A</v>
      </c>
      <c r="O134" s="48" t="e">
        <f ca="1"/>
        <v>#N/A</v>
      </c>
      <c r="P134" s="48" t="e">
        <f ca="1"/>
        <v>#N/A</v>
      </c>
      <c r="Q134" s="48" t="e">
        <f ca="1"/>
        <v>#N/A</v>
      </c>
      <c r="R134" s="48" t="e">
        <f ca="1"/>
        <v>#N/A</v>
      </c>
      <c r="S134" s="48" t="e">
        <f ca="1"/>
        <v>#N/A</v>
      </c>
      <c r="T134" s="48" t="e">
        <f ca="1"/>
        <v>#N/A</v>
      </c>
      <c r="U134" s="48" t="e">
        <f ca="1"/>
        <v>#N/A</v>
      </c>
      <c r="V134" s="48" t="e">
        <f ca="1"/>
        <v>#N/A</v>
      </c>
      <c r="W134" s="48" t="e">
        <f ca="1"/>
        <v>#N/A</v>
      </c>
      <c r="X134" s="48" t="e">
        <f ca="1"/>
        <v>#N/A</v>
      </c>
      <c r="Y134" s="48" t="e">
        <f ca="1"/>
        <v>#N/A</v>
      </c>
      <c r="Z134" s="48" t="e">
        <f ca="1"/>
        <v>#N/A</v>
      </c>
      <c r="AA134" s="48" t="e">
        <f ca="1"/>
        <v>#N/A</v>
      </c>
      <c r="AB134" s="48" t="e">
        <f ca="1"/>
        <v>#N/A</v>
      </c>
      <c r="AC134" s="48" t="e">
        <f ca="1"/>
        <v>#N/A</v>
      </c>
      <c r="AD134" s="48" t="e">
        <f ca="1"/>
        <v>#N/A</v>
      </c>
      <c r="AE134" s="48" t="e">
        <f ca="1"/>
        <v>#N/A</v>
      </c>
      <c r="AF134" s="48" t="e">
        <f ca="1"/>
        <v>#N/A</v>
      </c>
      <c r="AG134" s="48" t="e">
        <f ca="1"/>
        <v>#N/A</v>
      </c>
      <c r="AH134" s="48" t="e">
        <f ca="1"/>
        <v>#N/A</v>
      </c>
      <c r="AI134" s="48" t="e">
        <f ca="1"/>
        <v>#N/A</v>
      </c>
      <c r="AJ134" s="48" t="e">
        <f ca="1"/>
        <v>#N/A</v>
      </c>
      <c r="AK134" s="48" t="e">
        <f ca="1"/>
        <v>#N/A</v>
      </c>
      <c r="AL134" s="48" t="e">
        <f ca="1"/>
        <v>#N/A</v>
      </c>
    </row>
    <row r="135" spans="5:38" ht="21" customHeight="1" outlineLevel="1" thickBot="1" x14ac:dyDescent="0.4">
      <c r="E135" s="17" t="e">
        <f ca="1"/>
        <v>#N/A</v>
      </c>
      <c r="F135" s="48" t="e">
        <f ca="1"/>
        <v>#N/A</v>
      </c>
      <c r="G135" s="48" t="e">
        <f ca="1"/>
        <v>#N/A</v>
      </c>
      <c r="H135" s="48" t="e">
        <f ca="1"/>
        <v>#N/A</v>
      </c>
      <c r="I135" s="48" t="e">
        <f ca="1"/>
        <v>#N/A</v>
      </c>
      <c r="J135" s="48" t="e">
        <f ca="1"/>
        <v>#N/A</v>
      </c>
      <c r="K135" s="48" t="e">
        <f ca="1"/>
        <v>#N/A</v>
      </c>
      <c r="L135" s="48" t="e">
        <f ca="1"/>
        <v>#N/A</v>
      </c>
      <c r="M135" s="48" t="e">
        <f ca="1"/>
        <v>#N/A</v>
      </c>
      <c r="N135" s="48" t="e">
        <f ca="1"/>
        <v>#N/A</v>
      </c>
      <c r="O135" s="48" t="e">
        <f ca="1"/>
        <v>#N/A</v>
      </c>
      <c r="P135" s="48" t="e">
        <f ca="1"/>
        <v>#N/A</v>
      </c>
      <c r="Q135" s="48" t="e">
        <f ca="1"/>
        <v>#N/A</v>
      </c>
      <c r="R135" s="48" t="e">
        <f ca="1"/>
        <v>#N/A</v>
      </c>
      <c r="S135" s="48" t="e">
        <f ca="1"/>
        <v>#N/A</v>
      </c>
      <c r="T135" s="48" t="e">
        <f ca="1"/>
        <v>#N/A</v>
      </c>
      <c r="U135" s="48" t="e">
        <f ca="1"/>
        <v>#N/A</v>
      </c>
      <c r="V135" s="48" t="e">
        <f ca="1"/>
        <v>#N/A</v>
      </c>
      <c r="W135" s="48" t="e">
        <f ca="1"/>
        <v>#N/A</v>
      </c>
      <c r="X135" s="48" t="e">
        <f ca="1"/>
        <v>#N/A</v>
      </c>
      <c r="Y135" s="48" t="e">
        <f ca="1"/>
        <v>#N/A</v>
      </c>
      <c r="Z135" s="48" t="e">
        <f ca="1"/>
        <v>#N/A</v>
      </c>
      <c r="AA135" s="48" t="e">
        <f ca="1"/>
        <v>#N/A</v>
      </c>
      <c r="AB135" s="48" t="e">
        <f ca="1"/>
        <v>#N/A</v>
      </c>
      <c r="AC135" s="48" t="e">
        <f ca="1"/>
        <v>#N/A</v>
      </c>
      <c r="AD135" s="48" t="e">
        <f ca="1"/>
        <v>#N/A</v>
      </c>
      <c r="AE135" s="48" t="e">
        <f ca="1"/>
        <v>#N/A</v>
      </c>
      <c r="AF135" s="48" t="e">
        <f ca="1"/>
        <v>#N/A</v>
      </c>
      <c r="AG135" s="48" t="e">
        <f ca="1"/>
        <v>#N/A</v>
      </c>
      <c r="AH135" s="48" t="e">
        <f ca="1"/>
        <v>#N/A</v>
      </c>
      <c r="AI135" s="48" t="e">
        <f ca="1"/>
        <v>#N/A</v>
      </c>
      <c r="AJ135" s="48" t="e">
        <f ca="1"/>
        <v>#N/A</v>
      </c>
      <c r="AK135" s="48" t="e">
        <f ca="1"/>
        <v>#N/A</v>
      </c>
      <c r="AL135" s="48" t="e">
        <f ca="1"/>
        <v>#N/A</v>
      </c>
    </row>
    <row r="136" spans="5:38" ht="21" customHeight="1" outlineLevel="1" thickBot="1" x14ac:dyDescent="0.4">
      <c r="E136" s="18">
        <v>1</v>
      </c>
      <c r="F136" s="48">
        <v>0</v>
      </c>
      <c r="G136" s="48">
        <v>0</v>
      </c>
      <c r="H136" s="48">
        <v>0</v>
      </c>
      <c r="I136" s="48">
        <v>0</v>
      </c>
      <c r="J136" s="48">
        <v>0</v>
      </c>
      <c r="K136" s="48">
        <v>0</v>
      </c>
      <c r="L136" s="48">
        <v>0</v>
      </c>
      <c r="M136" s="48">
        <v>0</v>
      </c>
      <c r="N136" s="48">
        <v>0</v>
      </c>
      <c r="O136" s="48">
        <v>0</v>
      </c>
      <c r="P136" s="48">
        <v>0</v>
      </c>
      <c r="Q136" s="48">
        <v>0</v>
      </c>
      <c r="R136" s="48">
        <v>0</v>
      </c>
      <c r="S136" s="48">
        <v>0</v>
      </c>
      <c r="T136" s="48">
        <v>0</v>
      </c>
      <c r="U136" s="48">
        <v>0</v>
      </c>
      <c r="V136" s="48">
        <v>0</v>
      </c>
      <c r="W136" s="48">
        <v>0</v>
      </c>
      <c r="X136" s="48">
        <v>0</v>
      </c>
      <c r="Y136" s="48">
        <v>0</v>
      </c>
      <c r="Z136" s="48">
        <v>0</v>
      </c>
      <c r="AA136" s="48">
        <v>0</v>
      </c>
      <c r="AB136" s="48">
        <v>0</v>
      </c>
      <c r="AC136" s="48">
        <v>0</v>
      </c>
      <c r="AD136" s="48">
        <v>0</v>
      </c>
      <c r="AE136" s="48">
        <v>0</v>
      </c>
      <c r="AF136" s="48">
        <v>0</v>
      </c>
      <c r="AG136" s="48">
        <v>0</v>
      </c>
      <c r="AH136" s="48">
        <v>0</v>
      </c>
      <c r="AI136" s="48">
        <v>0</v>
      </c>
      <c r="AJ136" s="48">
        <v>0</v>
      </c>
      <c r="AK136" s="48">
        <v>0</v>
      </c>
      <c r="AL136" s="48">
        <v>0</v>
      </c>
    </row>
  </sheetData>
  <mergeCells count="2">
    <mergeCell ref="A1:CI1"/>
    <mergeCell ref="A113:B113"/>
  </mergeCells>
  <conditionalFormatting sqref="A4:D33">
    <cfRule type="cellIs" dxfId="8" priority="188" operator="equal">
      <formula>0</formula>
    </cfRule>
  </conditionalFormatting>
  <conditionalFormatting sqref="A80:D109">
    <cfRule type="cellIs" dxfId="7" priority="187" operator="equal">
      <formula>0</formula>
    </cfRule>
  </conditionalFormatting>
  <conditionalFormatting sqref="A46:D75">
    <cfRule type="cellIs" dxfId="6" priority="140" operator="equal">
      <formula>0</formula>
    </cfRule>
  </conditionalFormatting>
  <conditionalFormatting sqref="B34:B37">
    <cfRule type="cellIs" dxfId="5" priority="92" operator="equal">
      <formula>1</formula>
    </cfRule>
  </conditionalFormatting>
  <conditionalFormatting sqref="F32:BS32">
    <cfRule type="colorScale" priority="91">
      <colorScale>
        <cfvo type="min"/>
        <cfvo type="max"/>
        <color rgb="FFFFEF9C"/>
        <color rgb="FF63BE7B"/>
      </colorScale>
    </cfRule>
  </conditionalFormatting>
  <conditionalFormatting sqref="F31:BS31">
    <cfRule type="colorScale" priority="90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89">
      <colorScale>
        <cfvo type="min"/>
        <cfvo type="max"/>
        <color rgb="FFFFEF9C"/>
        <color rgb="FF63BE7B"/>
      </colorScale>
    </cfRule>
  </conditionalFormatting>
  <conditionalFormatting sqref="BS29">
    <cfRule type="colorScale" priority="88">
      <colorScale>
        <cfvo type="min"/>
        <cfvo type="max"/>
        <color rgb="FFFFEF9C"/>
        <color rgb="FF63BE7B"/>
      </colorScale>
    </cfRule>
  </conditionalFormatting>
  <conditionalFormatting sqref="BS28">
    <cfRule type="colorScale" priority="87">
      <colorScale>
        <cfvo type="min"/>
        <cfvo type="max"/>
        <color rgb="FFFFEF9C"/>
        <color rgb="FF63BE7B"/>
      </colorScale>
    </cfRule>
  </conditionalFormatting>
  <conditionalFormatting sqref="BS27">
    <cfRule type="colorScale" priority="86">
      <colorScale>
        <cfvo type="min"/>
        <cfvo type="max"/>
        <color rgb="FFFFEF9C"/>
        <color rgb="FF63BE7B"/>
      </colorScale>
    </cfRule>
  </conditionalFormatting>
  <conditionalFormatting sqref="BS26">
    <cfRule type="colorScale" priority="85">
      <colorScale>
        <cfvo type="min"/>
        <cfvo type="max"/>
        <color rgb="FFFFEF9C"/>
        <color rgb="FF63BE7B"/>
      </colorScale>
    </cfRule>
  </conditionalFormatting>
  <conditionalFormatting sqref="BS25">
    <cfRule type="colorScale" priority="45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84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83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82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81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80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79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78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77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76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75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74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73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72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71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70">
      <colorScale>
        <cfvo type="min"/>
        <cfvo type="max"/>
        <color rgb="FFFFEF9C"/>
        <color rgb="FF63BE7B"/>
      </colorScale>
    </cfRule>
  </conditionalFormatting>
  <conditionalFormatting sqref="BS9">
    <cfRule type="colorScale" priority="69">
      <colorScale>
        <cfvo type="min"/>
        <cfvo type="max"/>
        <color rgb="FFFFEF9C"/>
        <color rgb="FF63BE7B"/>
      </colorScale>
    </cfRule>
  </conditionalFormatting>
  <conditionalFormatting sqref="BS8">
    <cfRule type="colorScale" priority="68">
      <colorScale>
        <cfvo type="min"/>
        <cfvo type="max"/>
        <color rgb="FFFFEF9C"/>
        <color rgb="FF63BE7B"/>
      </colorScale>
    </cfRule>
  </conditionalFormatting>
  <conditionalFormatting sqref="BS7">
    <cfRule type="colorScale" priority="67">
      <colorScale>
        <cfvo type="min"/>
        <cfvo type="max"/>
        <color rgb="FFFFEF9C"/>
        <color rgb="FF63BE7B"/>
      </colorScale>
    </cfRule>
  </conditionalFormatting>
  <conditionalFormatting sqref="BS4">
    <cfRule type="colorScale" priority="66">
      <colorScale>
        <cfvo type="min"/>
        <cfvo type="max"/>
        <color rgb="FFFFEF9C"/>
        <color rgb="FF63BE7B"/>
      </colorScale>
    </cfRule>
  </conditionalFormatting>
  <conditionalFormatting sqref="BS7">
    <cfRule type="colorScale" priority="63">
      <colorScale>
        <cfvo type="min"/>
        <cfvo type="max"/>
        <color rgb="FFFFEF9C"/>
        <color rgb="FF63BE7B"/>
      </colorScale>
    </cfRule>
  </conditionalFormatting>
  <conditionalFormatting sqref="BS5">
    <cfRule type="colorScale" priority="65">
      <colorScale>
        <cfvo type="min"/>
        <cfvo type="max"/>
        <color rgb="FFFFEF9C"/>
        <color rgb="FF63BE7B"/>
      </colorScale>
    </cfRule>
  </conditionalFormatting>
  <conditionalFormatting sqref="BS6">
    <cfRule type="colorScale" priority="64">
      <colorScale>
        <cfvo type="min"/>
        <cfvo type="max"/>
        <color rgb="FFFFEF9C"/>
        <color rgb="FF63BE7B"/>
      </colorScale>
    </cfRule>
  </conditionalFormatting>
  <conditionalFormatting sqref="BS8">
    <cfRule type="colorScale" priority="62">
      <colorScale>
        <cfvo type="min"/>
        <cfvo type="max"/>
        <color rgb="FFFFEF9C"/>
        <color rgb="FF63BE7B"/>
      </colorScale>
    </cfRule>
  </conditionalFormatting>
  <conditionalFormatting sqref="BS9">
    <cfRule type="colorScale" priority="61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60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59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58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57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56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55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54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53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52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51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50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49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48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47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9:BR29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8:BR28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7:BR27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6:BR26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5:BR25">
    <cfRule type="colorScale" priority="1">
      <colorScale>
        <cfvo type="min"/>
        <cfvo type="max"/>
        <color rgb="FFFFEF9C"/>
        <color rgb="FF63BE7B"/>
      </colorScale>
    </cfRule>
  </conditionalFormatting>
  <conditionalFormatting sqref="F24:BR24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3:BR23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2:BR22">
    <cfRule type="colorScale" priority="38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37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30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29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28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27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26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25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24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23">
      <colorScale>
        <cfvo type="min"/>
        <cfvo type="max"/>
        <color rgb="FFFFEF9C"/>
        <color rgb="FF63BE7B"/>
      </colorScale>
    </cfRule>
  </conditionalFormatting>
  <conditionalFormatting sqref="F4:BR4">
    <cfRule type="colorScale" priority="22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19">
      <colorScale>
        <cfvo type="min"/>
        <cfvo type="max"/>
        <color rgb="FFFFEF9C"/>
        <color rgb="FF63BE7B"/>
      </colorScale>
    </cfRule>
  </conditionalFormatting>
  <conditionalFormatting sqref="F5:BR5">
    <cfRule type="colorScale" priority="21">
      <colorScale>
        <cfvo type="min"/>
        <cfvo type="max"/>
        <color rgb="FFFFEF9C"/>
        <color rgb="FF63BE7B"/>
      </colorScale>
    </cfRule>
  </conditionalFormatting>
  <conditionalFormatting sqref="F6:BR6">
    <cfRule type="colorScale" priority="20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18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11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10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9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8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7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6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5">
      <colorScale>
        <cfvo type="min"/>
        <cfvo type="max"/>
        <color rgb="FFFFEF9C"/>
        <color rgb="FF63BE7B"/>
      </colorScale>
    </cfRule>
  </conditionalFormatting>
  <conditionalFormatting sqref="F22:BR22">
    <cfRule type="colorScale" priority="4">
      <colorScale>
        <cfvo type="min"/>
        <cfvo type="max"/>
        <color rgb="FFFFEF9C"/>
        <color rgb="FF63BE7B"/>
      </colorScale>
    </cfRule>
  </conditionalFormatting>
  <conditionalFormatting sqref="F23:BR23">
    <cfRule type="colorScale" priority="3">
      <colorScale>
        <cfvo type="min"/>
        <cfvo type="max"/>
        <color rgb="FFFFEF9C"/>
        <color rgb="FF63BE7B"/>
      </colorScale>
    </cfRule>
  </conditionalFormatting>
  <conditionalFormatting sqref="F24:BR24">
    <cfRule type="colorScale" priority="2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29467-FF98-4F02-B52D-E4B0DFA9B4FB}">
  <dimension ref="A1:AK20"/>
  <sheetViews>
    <sheetView zoomScale="160" zoomScaleNormal="160" workbookViewId="0">
      <selection activeCell="B9" sqref="B9"/>
    </sheetView>
  </sheetViews>
  <sheetFormatPr defaultRowHeight="21" x14ac:dyDescent="0.35"/>
  <sheetData>
    <row r="1" spans="1:37" x14ac:dyDescent="0.35">
      <c r="A1" s="104" t="s">
        <v>57</v>
      </c>
      <c r="B1" s="105">
        <v>273.10000000000002</v>
      </c>
      <c r="C1" s="106">
        <v>289.7</v>
      </c>
      <c r="D1" s="107">
        <v>306.2</v>
      </c>
      <c r="E1" s="105">
        <v>322.7</v>
      </c>
      <c r="F1" s="106">
        <v>339.2</v>
      </c>
      <c r="G1" s="107">
        <v>355.7</v>
      </c>
      <c r="H1" s="105">
        <v>372.3</v>
      </c>
      <c r="I1" s="106">
        <v>388.8</v>
      </c>
      <c r="J1" s="107">
        <v>405.3</v>
      </c>
      <c r="K1" s="105">
        <v>471.4</v>
      </c>
      <c r="L1" s="106">
        <v>487.9</v>
      </c>
      <c r="M1" s="107">
        <v>504.4</v>
      </c>
      <c r="N1" s="105">
        <v>520.9</v>
      </c>
      <c r="O1" s="106">
        <v>537.5</v>
      </c>
      <c r="P1" s="107">
        <v>554</v>
      </c>
      <c r="Q1" s="105">
        <v>570.5</v>
      </c>
      <c r="R1" s="107">
        <v>587</v>
      </c>
      <c r="S1" s="107">
        <v>603.5</v>
      </c>
      <c r="T1" s="105">
        <v>620.1</v>
      </c>
      <c r="U1" s="106">
        <v>636.6</v>
      </c>
      <c r="V1" s="107">
        <v>653.1</v>
      </c>
      <c r="W1" s="105">
        <v>669.6</v>
      </c>
      <c r="X1" s="106">
        <v>735.7</v>
      </c>
      <c r="Y1" s="107">
        <v>752.2</v>
      </c>
      <c r="Z1" s="105">
        <v>768.7</v>
      </c>
      <c r="AA1" s="106">
        <v>785.2</v>
      </c>
      <c r="AB1" s="107">
        <v>801.8</v>
      </c>
      <c r="AC1" s="105">
        <v>818.3</v>
      </c>
      <c r="AD1" s="106">
        <v>834.8</v>
      </c>
      <c r="AE1" s="107">
        <v>851.3</v>
      </c>
      <c r="AF1" s="105">
        <v>867.8</v>
      </c>
      <c r="AG1" s="106">
        <v>933.9</v>
      </c>
      <c r="AH1" s="107">
        <v>950.4</v>
      </c>
      <c r="AI1" s="111">
        <v>967</v>
      </c>
      <c r="AJ1" s="106">
        <v>983.5</v>
      </c>
      <c r="AK1" s="107">
        <v>1000</v>
      </c>
    </row>
    <row r="2" spans="1:37" x14ac:dyDescent="0.35">
      <c r="A2" s="109" t="s">
        <v>51</v>
      </c>
      <c r="B2" s="112">
        <v>2.7791999999999999E-19</v>
      </c>
      <c r="C2" s="113">
        <v>2.1402999999999999E-14</v>
      </c>
      <c r="D2" s="113">
        <v>6.4261000000000002E-11</v>
      </c>
      <c r="E2" s="112">
        <v>1.7173000000000001E-9</v>
      </c>
      <c r="F2" s="113">
        <v>3.5577999999999997E-7</v>
      </c>
      <c r="G2" s="113">
        <v>0.12</v>
      </c>
      <c r="H2" s="112">
        <v>0.12</v>
      </c>
      <c r="I2" s="113">
        <v>0.12</v>
      </c>
      <c r="J2" s="113">
        <v>0.12</v>
      </c>
      <c r="K2" s="112">
        <v>0.12</v>
      </c>
      <c r="L2" s="113">
        <v>0.12</v>
      </c>
      <c r="M2" s="113">
        <v>0.12</v>
      </c>
      <c r="N2" s="112">
        <v>0.36</v>
      </c>
      <c r="O2" s="113">
        <v>0.36</v>
      </c>
      <c r="P2" s="113">
        <v>0.36</v>
      </c>
      <c r="Q2" s="112">
        <v>0.36</v>
      </c>
      <c r="R2" s="113">
        <v>0.36</v>
      </c>
      <c r="S2" s="113">
        <v>0.4</v>
      </c>
      <c r="T2" s="113">
        <v>0.4</v>
      </c>
      <c r="U2" s="113">
        <v>0.4</v>
      </c>
      <c r="V2" s="113">
        <v>0.4</v>
      </c>
      <c r="W2" s="113">
        <v>0.4</v>
      </c>
      <c r="X2" s="113">
        <v>0.4</v>
      </c>
      <c r="Y2" s="113">
        <v>0.4</v>
      </c>
      <c r="Z2" s="113">
        <v>0.4</v>
      </c>
      <c r="AA2" s="113">
        <v>0.4</v>
      </c>
      <c r="AB2" s="113">
        <v>0.4</v>
      </c>
      <c r="AC2" s="113">
        <v>0.47810000000000002</v>
      </c>
      <c r="AD2" s="113">
        <v>0.48</v>
      </c>
      <c r="AE2" s="113">
        <v>0.48</v>
      </c>
      <c r="AF2" s="113">
        <v>0.48</v>
      </c>
      <c r="AG2" s="113">
        <v>0.48</v>
      </c>
      <c r="AH2" s="113">
        <v>0.48</v>
      </c>
      <c r="AI2" s="113">
        <v>0.48</v>
      </c>
      <c r="AJ2" s="113">
        <v>0.48</v>
      </c>
      <c r="AK2" s="113">
        <v>0.48</v>
      </c>
    </row>
    <row r="3" spans="1:37" x14ac:dyDescent="0.35">
      <c r="A3" s="104" t="s">
        <v>52</v>
      </c>
      <c r="B3" s="114">
        <v>0</v>
      </c>
      <c r="C3" s="115">
        <v>0</v>
      </c>
      <c r="D3" s="115">
        <v>0</v>
      </c>
      <c r="E3" s="114">
        <v>0</v>
      </c>
      <c r="F3" s="115">
        <v>0</v>
      </c>
      <c r="G3" s="115">
        <v>0</v>
      </c>
      <c r="H3" s="114">
        <v>0</v>
      </c>
      <c r="I3" s="115">
        <v>2.0308999999999998E-33</v>
      </c>
      <c r="J3" s="115">
        <v>5.1163E-26</v>
      </c>
      <c r="K3" s="114">
        <v>2.7971999999999999E-10</v>
      </c>
      <c r="L3" s="115">
        <v>1.4144E-9</v>
      </c>
      <c r="M3" s="115">
        <v>3.0423000000000001E-8</v>
      </c>
      <c r="N3" s="114">
        <v>0.24</v>
      </c>
      <c r="O3" s="115">
        <v>0.24</v>
      </c>
      <c r="P3" s="115">
        <v>0.24</v>
      </c>
      <c r="Q3" s="114">
        <v>0.24</v>
      </c>
      <c r="R3" s="115">
        <v>0.24</v>
      </c>
      <c r="S3" s="115">
        <v>0.24</v>
      </c>
      <c r="T3" s="114">
        <v>0.24</v>
      </c>
      <c r="U3" s="115">
        <v>0.24</v>
      </c>
      <c r="V3" s="115">
        <v>0.24</v>
      </c>
      <c r="W3" s="114">
        <v>0.24</v>
      </c>
      <c r="X3" s="115">
        <v>0.24</v>
      </c>
      <c r="Y3" s="115">
        <v>0.24</v>
      </c>
      <c r="Z3" s="114">
        <v>0.24</v>
      </c>
      <c r="AA3" s="115">
        <v>0.24</v>
      </c>
      <c r="AB3" s="115">
        <v>0.24</v>
      </c>
      <c r="AC3" s="114">
        <v>0.2238</v>
      </c>
      <c r="AD3" s="115">
        <v>0.22109000000000001</v>
      </c>
      <c r="AE3" s="115">
        <v>0.21848999999999999</v>
      </c>
      <c r="AF3" s="114">
        <v>0.21556</v>
      </c>
      <c r="AG3" s="115">
        <v>0.19954</v>
      </c>
      <c r="AH3" s="115">
        <v>0.19405</v>
      </c>
      <c r="AI3" s="114">
        <v>0.18773999999999999</v>
      </c>
      <c r="AJ3" s="115">
        <v>0.18042</v>
      </c>
      <c r="AK3" s="115">
        <v>0.17186999999999999</v>
      </c>
    </row>
    <row r="4" spans="1:37" x14ac:dyDescent="0.35">
      <c r="A4" s="110" t="s">
        <v>58</v>
      </c>
      <c r="B4" s="116">
        <v>0.04</v>
      </c>
      <c r="C4" s="117">
        <v>0.04</v>
      </c>
      <c r="D4" s="117">
        <v>0.04</v>
      </c>
      <c r="E4" s="116">
        <v>0.04</v>
      </c>
      <c r="F4" s="117">
        <v>0.04</v>
      </c>
      <c r="G4" s="117">
        <v>0.04</v>
      </c>
      <c r="H4" s="116">
        <v>0.04</v>
      </c>
      <c r="I4" s="117">
        <v>0.04</v>
      </c>
      <c r="J4" s="117">
        <v>0.04</v>
      </c>
      <c r="K4" s="116">
        <v>0.04</v>
      </c>
      <c r="L4" s="117">
        <v>0.04</v>
      </c>
      <c r="M4" s="117">
        <v>0.04</v>
      </c>
      <c r="N4" s="116">
        <v>0.04</v>
      </c>
      <c r="O4" s="117">
        <v>0.04</v>
      </c>
      <c r="P4" s="117">
        <v>0.04</v>
      </c>
      <c r="Q4" s="116">
        <v>0.04</v>
      </c>
      <c r="R4" s="117">
        <v>0.04</v>
      </c>
      <c r="S4" s="117">
        <v>1.5046000000000001E-7</v>
      </c>
      <c r="T4" s="116">
        <v>1.1942999999999999E-9</v>
      </c>
      <c r="U4" s="117">
        <v>2.1249999999999999E-10</v>
      </c>
      <c r="V4" s="117">
        <v>1.3668999999999999E-11</v>
      </c>
      <c r="W4" s="116">
        <v>3.2248000000000002E-12</v>
      </c>
      <c r="X4" s="117">
        <v>1.6861000000000001E-25</v>
      </c>
      <c r="Y4" s="117">
        <v>1.9193000000000001E-30</v>
      </c>
      <c r="Z4" s="116">
        <v>0</v>
      </c>
      <c r="AA4" s="117">
        <v>0</v>
      </c>
      <c r="AB4" s="117">
        <v>0</v>
      </c>
      <c r="AC4" s="116">
        <v>0</v>
      </c>
      <c r="AD4" s="117">
        <v>0</v>
      </c>
      <c r="AE4" s="117">
        <v>0</v>
      </c>
      <c r="AF4" s="116">
        <v>0</v>
      </c>
      <c r="AG4" s="117">
        <v>0</v>
      </c>
      <c r="AH4" s="117">
        <v>0</v>
      </c>
      <c r="AI4" s="116">
        <v>0</v>
      </c>
      <c r="AJ4" s="117">
        <v>0</v>
      </c>
      <c r="AK4" s="117">
        <v>0</v>
      </c>
    </row>
    <row r="5" spans="1:37" x14ac:dyDescent="0.35">
      <c r="A5" s="104" t="s">
        <v>61</v>
      </c>
      <c r="B5" s="114">
        <v>0</v>
      </c>
      <c r="C5" s="115">
        <v>0</v>
      </c>
      <c r="D5" s="115">
        <v>0</v>
      </c>
      <c r="E5" s="114">
        <v>0</v>
      </c>
      <c r="F5" s="115">
        <v>0</v>
      </c>
      <c r="G5" s="115">
        <v>0</v>
      </c>
      <c r="H5" s="114">
        <v>0</v>
      </c>
      <c r="I5" s="115">
        <v>0</v>
      </c>
      <c r="J5" s="115">
        <v>0</v>
      </c>
      <c r="K5" s="114">
        <v>0</v>
      </c>
      <c r="L5" s="115">
        <v>0</v>
      </c>
      <c r="M5" s="115">
        <v>0</v>
      </c>
      <c r="N5" s="114">
        <v>0</v>
      </c>
      <c r="O5" s="115">
        <v>0</v>
      </c>
      <c r="P5" s="115">
        <v>0</v>
      </c>
      <c r="Q5" s="114">
        <v>0</v>
      </c>
      <c r="R5" s="115">
        <v>0</v>
      </c>
      <c r="S5" s="115">
        <v>0</v>
      </c>
      <c r="T5" s="114">
        <v>0</v>
      </c>
      <c r="U5" s="115">
        <v>0</v>
      </c>
      <c r="V5" s="115">
        <v>0</v>
      </c>
      <c r="W5" s="114">
        <v>0</v>
      </c>
      <c r="X5" s="115">
        <v>5.6901999999999997E-27</v>
      </c>
      <c r="Y5" s="115">
        <v>3.1843000000000001E-24</v>
      </c>
      <c r="Z5" s="114">
        <v>5.7928999999999997E-22</v>
      </c>
      <c r="AA5" s="115">
        <v>1.234E-20</v>
      </c>
      <c r="AB5" s="115">
        <v>5.3800000000000005E-19</v>
      </c>
      <c r="AC5" s="114">
        <v>6.8602000000000001E-20</v>
      </c>
      <c r="AD5" s="115">
        <v>1.9737999999999999E-9</v>
      </c>
      <c r="AE5" s="115">
        <v>2.8302999999999999E-8</v>
      </c>
      <c r="AF5" s="114">
        <v>4.2121999999999998E-8</v>
      </c>
      <c r="AG5" s="115">
        <v>4.5977000000000002E-8</v>
      </c>
      <c r="AH5" s="115">
        <v>4.2164E-8</v>
      </c>
      <c r="AI5" s="114">
        <v>1.5687E-8</v>
      </c>
      <c r="AJ5" s="115">
        <v>4.4632000000000001E-9</v>
      </c>
      <c r="AK5" s="115">
        <v>5.2946000000000005E-10</v>
      </c>
    </row>
    <row r="6" spans="1:37" x14ac:dyDescent="0.35">
      <c r="A6" s="104" t="s">
        <v>59</v>
      </c>
      <c r="B6" s="114">
        <v>0.12</v>
      </c>
      <c r="C6" s="115">
        <v>0.12</v>
      </c>
      <c r="D6" s="115">
        <v>0.12</v>
      </c>
      <c r="E6" s="114">
        <v>0.12</v>
      </c>
      <c r="F6" s="115">
        <v>0.12</v>
      </c>
      <c r="G6" s="115">
        <v>4.3104000000000003E-9</v>
      </c>
      <c r="H6" s="114">
        <v>1.2547000000000001E-10</v>
      </c>
      <c r="I6" s="115">
        <v>5.4450999999999999E-12</v>
      </c>
      <c r="J6" s="115">
        <v>6.7970999999999996E-14</v>
      </c>
      <c r="K6" s="114">
        <v>1.5473999999999999E-21</v>
      </c>
      <c r="L6" s="115">
        <v>7.8785000000000001E-35</v>
      </c>
      <c r="M6" s="115">
        <v>0</v>
      </c>
      <c r="N6" s="114">
        <v>0</v>
      </c>
      <c r="O6" s="115">
        <v>0</v>
      </c>
      <c r="P6" s="115">
        <v>0</v>
      </c>
      <c r="Q6" s="114">
        <v>0</v>
      </c>
      <c r="R6" s="115">
        <v>0</v>
      </c>
      <c r="S6" s="115">
        <v>0</v>
      </c>
      <c r="T6" s="114">
        <v>0</v>
      </c>
      <c r="U6" s="115">
        <v>0</v>
      </c>
      <c r="V6" s="115">
        <v>0</v>
      </c>
      <c r="W6" s="114">
        <v>0</v>
      </c>
      <c r="X6" s="115">
        <v>0</v>
      </c>
      <c r="Y6" s="115">
        <v>0</v>
      </c>
      <c r="Z6" s="114">
        <v>0</v>
      </c>
      <c r="AA6" s="115">
        <v>0</v>
      </c>
      <c r="AB6" s="115">
        <v>0</v>
      </c>
      <c r="AC6" s="114">
        <v>0</v>
      </c>
      <c r="AD6" s="115">
        <v>0</v>
      </c>
      <c r="AE6" s="115">
        <v>0</v>
      </c>
      <c r="AF6" s="114">
        <v>0</v>
      </c>
      <c r="AG6" s="115">
        <v>0</v>
      </c>
      <c r="AH6" s="115">
        <v>0</v>
      </c>
      <c r="AI6" s="114">
        <v>0</v>
      </c>
      <c r="AJ6" s="115">
        <v>0</v>
      </c>
      <c r="AK6" s="115">
        <v>0</v>
      </c>
    </row>
    <row r="7" spans="1:37" x14ac:dyDescent="0.35">
      <c r="A7" s="104" t="s">
        <v>53</v>
      </c>
      <c r="B7" s="114">
        <v>0</v>
      </c>
      <c r="C7" s="115">
        <v>0</v>
      </c>
      <c r="D7" s="115">
        <v>0</v>
      </c>
      <c r="E7" s="114">
        <v>0</v>
      </c>
      <c r="F7" s="115">
        <v>0</v>
      </c>
      <c r="G7" s="115">
        <v>0</v>
      </c>
      <c r="H7" s="114">
        <v>0</v>
      </c>
      <c r="I7" s="115">
        <v>3.0406999999999999E-30</v>
      </c>
      <c r="J7" s="115">
        <v>9.2899000000000001E-25</v>
      </c>
      <c r="K7" s="114">
        <v>6.1753000000000005E-14</v>
      </c>
      <c r="L7" s="115">
        <v>5.7183000000000001E-17</v>
      </c>
      <c r="M7" s="115">
        <v>1.6400999999999999E-27</v>
      </c>
      <c r="N7" s="114">
        <v>0</v>
      </c>
      <c r="O7" s="115">
        <v>3.9739999999999998E-18</v>
      </c>
      <c r="P7" s="115">
        <v>4.2968999999999999E-10</v>
      </c>
      <c r="Q7" s="114">
        <v>1.4141000000000001E-8</v>
      </c>
      <c r="R7" s="115">
        <v>1.4919E-7</v>
      </c>
      <c r="S7" s="115">
        <v>0.08</v>
      </c>
      <c r="T7" s="114">
        <v>0.08</v>
      </c>
      <c r="U7" s="115">
        <v>0.08</v>
      </c>
      <c r="V7" s="115">
        <v>0.08</v>
      </c>
      <c r="W7" s="114">
        <v>0.08</v>
      </c>
      <c r="X7" s="115">
        <v>0.08</v>
      </c>
      <c r="Y7" s="115">
        <v>0.08</v>
      </c>
      <c r="Z7" s="114">
        <v>0.08</v>
      </c>
      <c r="AA7" s="115">
        <v>0.08</v>
      </c>
      <c r="AB7" s="115">
        <v>0.08</v>
      </c>
      <c r="AC7" s="116">
        <v>1.8994000000000001E-3</v>
      </c>
      <c r="AD7" s="117">
        <v>1.0451E-8</v>
      </c>
      <c r="AE7" s="117">
        <v>5.5252999999999995E-10</v>
      </c>
      <c r="AF7" s="116">
        <v>1.4544999999999999E-14</v>
      </c>
      <c r="AG7" s="117">
        <v>0</v>
      </c>
      <c r="AH7" s="117">
        <v>0</v>
      </c>
      <c r="AI7" s="114">
        <v>0</v>
      </c>
      <c r="AJ7" s="115">
        <v>0</v>
      </c>
      <c r="AK7" s="115">
        <v>0</v>
      </c>
    </row>
    <row r="8" spans="1:37" x14ac:dyDescent="0.35">
      <c r="A8" s="104" t="s">
        <v>54</v>
      </c>
      <c r="B8" s="114">
        <v>0</v>
      </c>
      <c r="C8" s="115">
        <v>0</v>
      </c>
      <c r="D8" s="115">
        <v>0</v>
      </c>
      <c r="E8" s="114">
        <v>0</v>
      </c>
      <c r="F8" s="115">
        <v>0</v>
      </c>
      <c r="G8" s="115">
        <v>0</v>
      </c>
      <c r="H8" s="114">
        <v>0</v>
      </c>
      <c r="I8" s="115">
        <v>0</v>
      </c>
      <c r="J8" s="115">
        <v>0</v>
      </c>
      <c r="K8" s="114">
        <v>1.3843E-31</v>
      </c>
      <c r="L8" s="115">
        <v>0</v>
      </c>
      <c r="M8" s="115">
        <v>0</v>
      </c>
      <c r="N8" s="114">
        <v>0</v>
      </c>
      <c r="O8" s="115">
        <v>0</v>
      </c>
      <c r="P8" s="115">
        <v>2.5900000000000001E-34</v>
      </c>
      <c r="Q8" s="114">
        <v>0</v>
      </c>
      <c r="R8" s="115">
        <v>0</v>
      </c>
      <c r="S8" s="115">
        <v>0</v>
      </c>
      <c r="T8" s="114">
        <v>0</v>
      </c>
      <c r="U8" s="115">
        <v>2.9135999999999998E-22</v>
      </c>
      <c r="V8" s="115">
        <v>8.8544E-17</v>
      </c>
      <c r="W8" s="114">
        <v>3.4012000000000002E-13</v>
      </c>
      <c r="X8" s="115">
        <v>1.1625999999999999E-12</v>
      </c>
      <c r="Y8" s="115">
        <v>7.2173E-13</v>
      </c>
      <c r="Z8" s="114">
        <v>6.0849000000000004E-14</v>
      </c>
      <c r="AA8" s="115">
        <v>1.8339000000000001E-17</v>
      </c>
      <c r="AB8" s="115">
        <v>3.1429000000000002E-26</v>
      </c>
      <c r="AC8" s="114">
        <v>0</v>
      </c>
      <c r="AD8" s="115">
        <v>7.9657999999999999E-17</v>
      </c>
      <c r="AE8" s="115">
        <v>2.0289999999999999E-10</v>
      </c>
      <c r="AF8" s="114">
        <v>2.2776E-10</v>
      </c>
      <c r="AG8" s="115">
        <v>3.9276E-10</v>
      </c>
      <c r="AH8" s="115">
        <v>1.6722000000000001E-9</v>
      </c>
      <c r="AI8" s="114">
        <v>2.6638999999999999E-9</v>
      </c>
      <c r="AJ8" s="115">
        <v>4.7114000000000001E-9</v>
      </c>
      <c r="AK8" s="115">
        <v>4.2391000000000004E-9</v>
      </c>
    </row>
    <row r="9" spans="1:37" x14ac:dyDescent="0.35">
      <c r="A9" s="104" t="s">
        <v>55</v>
      </c>
      <c r="B9" s="114">
        <v>0.12</v>
      </c>
      <c r="C9" s="115">
        <v>0.12</v>
      </c>
      <c r="D9" s="115">
        <v>0.12</v>
      </c>
      <c r="E9" s="114">
        <v>0.12</v>
      </c>
      <c r="F9" s="115">
        <v>0.12</v>
      </c>
      <c r="G9" s="115">
        <v>0.24</v>
      </c>
      <c r="H9" s="114">
        <v>0.24</v>
      </c>
      <c r="I9" s="115">
        <v>0.24</v>
      </c>
      <c r="J9" s="115">
        <v>0.24</v>
      </c>
      <c r="K9" s="114">
        <v>0.24</v>
      </c>
      <c r="L9" s="115">
        <v>0.24</v>
      </c>
      <c r="M9" s="115">
        <v>0.24</v>
      </c>
      <c r="N9" s="116">
        <v>1.7126000000000001E-7</v>
      </c>
      <c r="O9" s="117">
        <v>2.3768999999999999E-9</v>
      </c>
      <c r="P9" s="117">
        <v>7.5112000000000004E-11</v>
      </c>
      <c r="Q9" s="114">
        <v>4.8776E-20</v>
      </c>
      <c r="R9" s="115">
        <v>0</v>
      </c>
      <c r="S9" s="115">
        <v>0</v>
      </c>
      <c r="T9" s="114">
        <v>0</v>
      </c>
      <c r="U9" s="115">
        <v>1.6351E-26</v>
      </c>
      <c r="V9" s="115">
        <v>5.1509999999999999E-23</v>
      </c>
      <c r="W9" s="114">
        <v>1.2508E-20</v>
      </c>
      <c r="X9" s="115">
        <v>1.1250000000000001E-34</v>
      </c>
      <c r="Y9" s="115">
        <v>0</v>
      </c>
      <c r="Z9" s="114">
        <v>0</v>
      </c>
      <c r="AA9" s="115">
        <v>0</v>
      </c>
      <c r="AB9" s="115">
        <v>0</v>
      </c>
      <c r="AC9" s="114">
        <v>0</v>
      </c>
      <c r="AD9" s="115">
        <v>0</v>
      </c>
      <c r="AE9" s="115">
        <v>0</v>
      </c>
      <c r="AF9" s="114">
        <v>0</v>
      </c>
      <c r="AG9" s="115">
        <v>0</v>
      </c>
      <c r="AH9" s="115">
        <v>0</v>
      </c>
      <c r="AI9" s="114">
        <v>0</v>
      </c>
      <c r="AJ9" s="115">
        <v>0</v>
      </c>
      <c r="AK9" s="115">
        <v>0</v>
      </c>
    </row>
    <row r="10" spans="1:37" x14ac:dyDescent="0.35">
      <c r="A10" s="110" t="s">
        <v>60</v>
      </c>
      <c r="B10" s="116">
        <v>0</v>
      </c>
      <c r="C10" s="117">
        <v>0</v>
      </c>
      <c r="D10" s="117">
        <v>0</v>
      </c>
      <c r="E10" s="116">
        <v>0</v>
      </c>
      <c r="F10" s="117">
        <v>0</v>
      </c>
      <c r="G10" s="117">
        <v>0</v>
      </c>
      <c r="H10" s="116">
        <v>0</v>
      </c>
      <c r="I10" s="117">
        <v>0</v>
      </c>
      <c r="J10" s="117">
        <v>0</v>
      </c>
      <c r="K10" s="116">
        <v>6.7158000000000004E-32</v>
      </c>
      <c r="L10" s="117">
        <v>7.8559999999999994E-30</v>
      </c>
      <c r="M10" s="117">
        <v>6.8758000000000001E-28</v>
      </c>
      <c r="N10" s="117">
        <v>4.6262E-26</v>
      </c>
      <c r="O10" s="117">
        <v>2.4502999999999999E-24</v>
      </c>
      <c r="P10" s="117">
        <v>1.0432999999999999E-22</v>
      </c>
      <c r="Q10" s="116">
        <v>3.6384000000000001E-21</v>
      </c>
      <c r="R10" s="117">
        <v>1.0564E-19</v>
      </c>
      <c r="S10" s="117">
        <v>2.1632000000000002E-18</v>
      </c>
      <c r="T10" s="116">
        <v>2.2930999999999999E-17</v>
      </c>
      <c r="U10" s="117">
        <v>2.164E-16</v>
      </c>
      <c r="V10" s="117">
        <v>1.8337999999999999E-15</v>
      </c>
      <c r="W10" s="116">
        <v>1.4064E-14</v>
      </c>
      <c r="X10" s="117">
        <v>2.0505000000000001E-11</v>
      </c>
      <c r="Y10" s="117">
        <v>1.0499E-10</v>
      </c>
      <c r="Z10" s="116">
        <v>5.0348E-10</v>
      </c>
      <c r="AA10" s="117">
        <v>2.2703999999999999E-9</v>
      </c>
      <c r="AB10" s="117">
        <v>9.6634000000000004E-9</v>
      </c>
      <c r="AC10" s="116">
        <v>3.7785999999999998E-8</v>
      </c>
      <c r="AD10" s="117">
        <v>3.7529999999999999E-8</v>
      </c>
      <c r="AE10" s="117">
        <v>3.6855000000000001E-8</v>
      </c>
      <c r="AF10" s="116">
        <v>3.5753999999999997E-8</v>
      </c>
      <c r="AG10" s="117">
        <v>2.8010999999999999E-8</v>
      </c>
      <c r="AH10" s="117">
        <v>2.5524999999999999E-8</v>
      </c>
      <c r="AI10" s="116">
        <v>2.2941E-8</v>
      </c>
      <c r="AJ10" s="117">
        <v>2.0319999999999999E-8</v>
      </c>
      <c r="AK10" s="117">
        <v>1.7716999999999999E-8</v>
      </c>
    </row>
    <row r="11" spans="1:37" x14ac:dyDescent="0.35">
      <c r="A11" s="110" t="s">
        <v>1</v>
      </c>
      <c r="B11" s="116">
        <v>0.2</v>
      </c>
      <c r="C11" s="117">
        <v>0.2</v>
      </c>
      <c r="D11" s="117">
        <v>0.2</v>
      </c>
      <c r="E11" s="116">
        <v>0.2</v>
      </c>
      <c r="F11" s="117">
        <v>0.2</v>
      </c>
      <c r="G11" s="117">
        <v>0.2</v>
      </c>
      <c r="H11" s="116">
        <v>0.2</v>
      </c>
      <c r="I11" s="117">
        <v>0.2</v>
      </c>
      <c r="J11" s="117">
        <v>0.2</v>
      </c>
      <c r="K11" s="116">
        <v>0.2</v>
      </c>
      <c r="L11" s="117">
        <v>0.2</v>
      </c>
      <c r="M11" s="117">
        <v>0.2</v>
      </c>
      <c r="N11" s="116">
        <v>0.2</v>
      </c>
      <c r="O11" s="117">
        <v>0.2</v>
      </c>
      <c r="P11" s="117">
        <v>0.2</v>
      </c>
      <c r="Q11" s="116">
        <v>0.2</v>
      </c>
      <c r="R11" s="117">
        <v>0.2</v>
      </c>
      <c r="S11" s="117">
        <v>0.2</v>
      </c>
      <c r="T11" s="116">
        <v>0.2</v>
      </c>
      <c r="U11" s="117">
        <v>0.2</v>
      </c>
      <c r="V11" s="117">
        <v>0.2</v>
      </c>
      <c r="W11" s="116">
        <v>0.2</v>
      </c>
      <c r="X11" s="117">
        <v>0.2</v>
      </c>
      <c r="Y11" s="117">
        <v>0.2</v>
      </c>
      <c r="Z11" s="116">
        <v>0.2</v>
      </c>
      <c r="AA11" s="117">
        <v>0.2</v>
      </c>
      <c r="AB11" s="117">
        <v>0.2</v>
      </c>
      <c r="AC11" s="116">
        <v>0.2</v>
      </c>
      <c r="AD11" s="117">
        <v>0.2</v>
      </c>
      <c r="AE11" s="117">
        <v>0.2</v>
      </c>
      <c r="AF11" s="116">
        <v>0.2</v>
      </c>
      <c r="AG11" s="117">
        <v>0.2</v>
      </c>
      <c r="AH11" s="117">
        <v>0.2</v>
      </c>
      <c r="AI11" s="116">
        <v>0.2</v>
      </c>
      <c r="AJ11" s="117">
        <v>0.2</v>
      </c>
      <c r="AK11" s="117">
        <v>0.2</v>
      </c>
    </row>
    <row r="12" spans="1:37" x14ac:dyDescent="0.35">
      <c r="A12" s="104" t="s">
        <v>63</v>
      </c>
      <c r="B12" s="114">
        <v>0</v>
      </c>
      <c r="C12" s="115">
        <v>0</v>
      </c>
      <c r="D12" s="115">
        <v>0</v>
      </c>
      <c r="E12" s="114">
        <v>0</v>
      </c>
      <c r="F12" s="115">
        <v>0</v>
      </c>
      <c r="G12" s="115">
        <v>0</v>
      </c>
      <c r="H12" s="114">
        <v>0</v>
      </c>
      <c r="I12" s="115">
        <v>6.5842999999999998E-34</v>
      </c>
      <c r="J12" s="115">
        <v>8.0557000000000007E-30</v>
      </c>
      <c r="K12" s="114">
        <v>8.1721000000000007E-21</v>
      </c>
      <c r="L12" s="115">
        <v>5.8907000000000001E-24</v>
      </c>
      <c r="M12" s="115">
        <v>2.5721999999999999E-36</v>
      </c>
      <c r="N12" s="114">
        <v>0</v>
      </c>
      <c r="O12" s="115">
        <v>0</v>
      </c>
      <c r="P12" s="115">
        <v>3.2716000000000001E-28</v>
      </c>
      <c r="Q12" s="114">
        <v>4.8587999999999997E-36</v>
      </c>
      <c r="R12" s="115">
        <v>0</v>
      </c>
      <c r="S12" s="115">
        <v>0</v>
      </c>
      <c r="T12" s="114">
        <v>5.1753000000000001E-36</v>
      </c>
      <c r="U12" s="115">
        <v>1.1580999999999999E-21</v>
      </c>
      <c r="V12" s="115">
        <v>2.2131999999999999E-16</v>
      </c>
      <c r="W12" s="114">
        <v>7.9740000000000002E-13</v>
      </c>
      <c r="X12" s="115">
        <v>4.4061000000000003E-11</v>
      </c>
      <c r="Y12" s="115">
        <v>1.8770000000000001E-10</v>
      </c>
      <c r="Z12" s="114">
        <v>6.8880000000000004E-10</v>
      </c>
      <c r="AA12" s="115">
        <v>1.3270000000000001E-9</v>
      </c>
      <c r="AB12" s="115">
        <v>2.2525999999999999E-8</v>
      </c>
      <c r="AC12" s="114">
        <v>7.8101000000000004E-2</v>
      </c>
      <c r="AD12" s="115">
        <v>0.08</v>
      </c>
      <c r="AE12" s="115">
        <v>0.08</v>
      </c>
      <c r="AF12" s="114">
        <v>0.08</v>
      </c>
      <c r="AG12" s="115">
        <v>0.08</v>
      </c>
      <c r="AH12" s="115">
        <v>0.08</v>
      </c>
      <c r="AI12" s="114">
        <v>0.08</v>
      </c>
      <c r="AJ12" s="115">
        <v>0.08</v>
      </c>
      <c r="AK12" s="115">
        <v>0.08</v>
      </c>
    </row>
    <row r="13" spans="1:37" x14ac:dyDescent="0.35">
      <c r="A13" s="104" t="s">
        <v>64</v>
      </c>
      <c r="B13" s="114">
        <v>1.1818E-28</v>
      </c>
      <c r="C13" s="115">
        <v>1.0336E-26</v>
      </c>
      <c r="D13" s="115">
        <v>1.9376E-27</v>
      </c>
      <c r="E13" s="114">
        <v>0</v>
      </c>
      <c r="F13" s="115">
        <v>0</v>
      </c>
      <c r="G13" s="115">
        <v>0</v>
      </c>
      <c r="H13" s="114">
        <v>4.6978999999999999E-26</v>
      </c>
      <c r="I13" s="115">
        <v>5.1574E-19</v>
      </c>
      <c r="J13" s="115">
        <v>4.1542E-16</v>
      </c>
      <c r="K13" s="114">
        <v>4.3528E-11</v>
      </c>
      <c r="L13" s="115">
        <v>4.4537999999999999E-15</v>
      </c>
      <c r="M13" s="115">
        <v>3.0843999999999998E-28</v>
      </c>
      <c r="N13" s="114">
        <v>0</v>
      </c>
      <c r="O13" s="115">
        <v>5.9657999999999997E-31</v>
      </c>
      <c r="P13" s="115">
        <v>5.5945000000000005E-23</v>
      </c>
      <c r="Q13" s="114">
        <v>9.9932999999999999E-32</v>
      </c>
      <c r="R13" s="115">
        <v>0</v>
      </c>
      <c r="S13" s="115">
        <v>0</v>
      </c>
      <c r="T13" s="114">
        <v>4.9642000000000003E-34</v>
      </c>
      <c r="U13" s="115">
        <v>2.6233000000000001E-20</v>
      </c>
      <c r="V13" s="115">
        <v>1.2552E-15</v>
      </c>
      <c r="W13" s="114">
        <v>1.1957E-12</v>
      </c>
      <c r="X13" s="115">
        <v>5.1862999999999998E-13</v>
      </c>
      <c r="Y13" s="115">
        <v>7.2941000000000002E-13</v>
      </c>
      <c r="Z13" s="114">
        <v>9.1640999999999993E-13</v>
      </c>
      <c r="AA13" s="115">
        <v>6.2544000000000001E-13</v>
      </c>
      <c r="AB13" s="115">
        <v>3.884E-12</v>
      </c>
      <c r="AC13" s="114">
        <v>5.1561999999999999E-6</v>
      </c>
      <c r="AD13" s="115">
        <v>4.0241000000000001E-6</v>
      </c>
      <c r="AE13" s="115">
        <v>3.0925999999999998E-6</v>
      </c>
      <c r="AF13" s="114">
        <v>2.3978000000000001E-6</v>
      </c>
      <c r="AG13" s="115">
        <v>9.4527999999999995E-7</v>
      </c>
      <c r="AH13" s="115">
        <v>7.6555999999999998E-7</v>
      </c>
      <c r="AI13" s="114">
        <v>6.2565999999999995E-7</v>
      </c>
      <c r="AJ13" s="115">
        <v>5.1615000000000003E-7</v>
      </c>
      <c r="AK13" s="115">
        <v>4.3001999999999998E-7</v>
      </c>
    </row>
    <row r="14" spans="1:37" x14ac:dyDescent="0.35">
      <c r="A14" s="104" t="s">
        <v>65</v>
      </c>
      <c r="B14" s="114">
        <v>1.4507E-36</v>
      </c>
      <c r="C14" s="115">
        <v>3.5946000000000001E-34</v>
      </c>
      <c r="D14" s="115">
        <v>1.6968999999999999E-34</v>
      </c>
      <c r="E14" s="116">
        <v>0</v>
      </c>
      <c r="F14" s="117">
        <v>0</v>
      </c>
      <c r="G14" s="117">
        <v>0</v>
      </c>
      <c r="H14" s="114">
        <v>3.5513999999999998E-31</v>
      </c>
      <c r="I14" s="115">
        <v>1.5395000000000001E-23</v>
      </c>
      <c r="J14" s="115">
        <v>4.4456000000000003E-20</v>
      </c>
      <c r="K14" s="114">
        <v>3.5618E-13</v>
      </c>
      <c r="L14" s="115">
        <v>9.2295000000000004E-17</v>
      </c>
      <c r="M14" s="115">
        <v>1.5392000000000001E-29</v>
      </c>
      <c r="N14" s="114">
        <v>0</v>
      </c>
      <c r="O14" s="115">
        <v>1.511E-31</v>
      </c>
      <c r="P14" s="115">
        <v>3.0089999999999999E-23</v>
      </c>
      <c r="Q14" s="116">
        <v>1.1021E-31</v>
      </c>
      <c r="R14" s="117">
        <v>0</v>
      </c>
      <c r="S14" s="117">
        <v>0</v>
      </c>
      <c r="T14" s="114">
        <v>3.9285999999999999E-33</v>
      </c>
      <c r="U14" s="115">
        <v>3.7951000000000001E-19</v>
      </c>
      <c r="V14" s="115">
        <v>3.2424000000000001E-14</v>
      </c>
      <c r="W14" s="114">
        <v>5.3949999999999999E-11</v>
      </c>
      <c r="X14" s="115">
        <v>1.7995000000000001E-10</v>
      </c>
      <c r="Y14" s="115">
        <v>4.0420000000000001E-10</v>
      </c>
      <c r="Z14" s="115">
        <v>7.9924000000000002E-10</v>
      </c>
      <c r="AA14" s="115">
        <v>8.4675E-10</v>
      </c>
      <c r="AB14" s="115">
        <v>8.0574000000000007E-9</v>
      </c>
      <c r="AC14" s="114">
        <v>1.6191000000000001E-2</v>
      </c>
      <c r="AD14" s="115">
        <v>1.8908999999999999E-2</v>
      </c>
      <c r="AE14" s="115">
        <v>2.1510000000000001E-2</v>
      </c>
      <c r="AF14" s="114">
        <v>2.4433E-2</v>
      </c>
      <c r="AG14" s="115">
        <v>4.0459000000000002E-2</v>
      </c>
      <c r="AH14" s="115">
        <v>4.5946000000000001E-2</v>
      </c>
      <c r="AI14" s="114">
        <v>5.2259E-2</v>
      </c>
      <c r="AJ14" s="115">
        <v>5.9575000000000003E-2</v>
      </c>
      <c r="AK14" s="115">
        <v>6.8126000000000006E-2</v>
      </c>
    </row>
    <row r="15" spans="1:37" x14ac:dyDescent="0.35">
      <c r="A15" s="104" t="s">
        <v>26</v>
      </c>
      <c r="B15" s="114">
        <v>-18.62</v>
      </c>
      <c r="C15" s="115">
        <v>-18.61</v>
      </c>
      <c r="D15" s="115">
        <v>-18.61</v>
      </c>
      <c r="E15" s="114">
        <v>-18.62</v>
      </c>
      <c r="F15" s="115">
        <v>-18.63</v>
      </c>
      <c r="G15" s="115">
        <v>-18.649999999999999</v>
      </c>
      <c r="H15" s="114">
        <v>-18.670000000000002</v>
      </c>
      <c r="I15" s="115">
        <v>-18.690000000000001</v>
      </c>
      <c r="J15" s="115">
        <v>-18.72</v>
      </c>
      <c r="K15" s="114">
        <v>-18.84</v>
      </c>
      <c r="L15" s="115">
        <v>-18.87</v>
      </c>
      <c r="M15" s="115">
        <v>-18.899999999999999</v>
      </c>
      <c r="N15" s="114">
        <v>-18.940000000000001</v>
      </c>
      <c r="O15" s="115">
        <v>-18.97</v>
      </c>
      <c r="P15" s="115">
        <v>-19.010000000000002</v>
      </c>
      <c r="Q15" s="114">
        <v>-19.04</v>
      </c>
      <c r="R15" s="115">
        <v>-19.07</v>
      </c>
      <c r="S15" s="115">
        <v>-19.11</v>
      </c>
      <c r="T15" s="114">
        <v>-19.14</v>
      </c>
      <c r="U15" s="115">
        <v>-19.18</v>
      </c>
      <c r="V15" s="115">
        <v>-19.21</v>
      </c>
      <c r="W15" s="114">
        <v>-19.25</v>
      </c>
      <c r="X15" s="115">
        <v>-19.38</v>
      </c>
      <c r="Y15" s="115">
        <v>-19.420000000000002</v>
      </c>
      <c r="Z15" s="114">
        <v>-19.45</v>
      </c>
      <c r="AA15" s="115">
        <v>-19.48</v>
      </c>
      <c r="AB15" s="115">
        <v>-19.510000000000002</v>
      </c>
      <c r="AC15" s="114">
        <v>-19.55</v>
      </c>
      <c r="AD15" s="115">
        <v>-19.579999999999998</v>
      </c>
      <c r="AE15" s="115">
        <v>-19.61</v>
      </c>
      <c r="AF15" s="114">
        <v>-19.64</v>
      </c>
      <c r="AG15" s="115">
        <v>-19.760000000000002</v>
      </c>
      <c r="AH15" s="115">
        <v>-19.79</v>
      </c>
      <c r="AI15" s="114">
        <v>-19.82</v>
      </c>
      <c r="AJ15" s="115">
        <v>-19.850000000000001</v>
      </c>
      <c r="AK15" s="115">
        <v>-19.88</v>
      </c>
    </row>
    <row r="16" spans="1:37" x14ac:dyDescent="0.35">
      <c r="A16" s="104" t="s">
        <v>5</v>
      </c>
      <c r="B16" s="114">
        <v>-65.56</v>
      </c>
      <c r="C16" s="115">
        <v>-62.08</v>
      </c>
      <c r="D16" s="115">
        <v>-58.98</v>
      </c>
      <c r="E16" s="114">
        <v>-56.2</v>
      </c>
      <c r="F16" s="115">
        <v>-53.71</v>
      </c>
      <c r="G16" s="115">
        <v>-50.33</v>
      </c>
      <c r="H16" s="114">
        <v>-46.96</v>
      </c>
      <c r="I16" s="115">
        <v>-43.86</v>
      </c>
      <c r="J16" s="115">
        <v>-40.98</v>
      </c>
      <c r="K16" s="114">
        <v>-31.32</v>
      </c>
      <c r="L16" s="115">
        <v>-29.28</v>
      </c>
      <c r="M16" s="115">
        <v>-27.35</v>
      </c>
      <c r="N16" s="114">
        <v>-25.53</v>
      </c>
      <c r="O16" s="115">
        <v>-23.81</v>
      </c>
      <c r="P16" s="115">
        <v>-22.18</v>
      </c>
      <c r="Q16" s="114">
        <v>-20.63</v>
      </c>
      <c r="R16" s="115">
        <v>-19.16</v>
      </c>
      <c r="S16" s="115">
        <v>-17.850000000000001</v>
      </c>
      <c r="T16" s="114">
        <v>-16.850000000000001</v>
      </c>
      <c r="U16" s="115">
        <v>-15.9</v>
      </c>
      <c r="V16" s="115">
        <v>-15</v>
      </c>
      <c r="W16" s="114">
        <v>-14.13</v>
      </c>
      <c r="X16" s="115">
        <v>-11</v>
      </c>
      <c r="Y16" s="115">
        <v>-10.29</v>
      </c>
      <c r="Z16" s="114">
        <v>-9.6059999999999999</v>
      </c>
      <c r="AA16" s="115">
        <v>-8.9480000000000004</v>
      </c>
      <c r="AB16" s="115">
        <v>-8.3130000000000006</v>
      </c>
      <c r="AC16" s="114">
        <v>-7.7149999999999999</v>
      </c>
      <c r="AD16" s="115">
        <v>-7.7969999999999997</v>
      </c>
      <c r="AE16" s="115">
        <v>-7.8789999999999996</v>
      </c>
      <c r="AF16" s="114">
        <v>-7.9630000000000001</v>
      </c>
      <c r="AG16" s="115">
        <v>-8.3190000000000008</v>
      </c>
      <c r="AH16" s="115">
        <v>-8.4149999999999991</v>
      </c>
      <c r="AI16" s="114">
        <v>-8.5139999999999993</v>
      </c>
      <c r="AJ16" s="115">
        <v>-8.6180000000000003</v>
      </c>
      <c r="AK16" s="115">
        <v>-8.7260000000000009</v>
      </c>
    </row>
    <row r="17" spans="1:37" x14ac:dyDescent="0.35">
      <c r="A17" s="104" t="s">
        <v>6</v>
      </c>
      <c r="B17" s="114">
        <v>-16.29</v>
      </c>
      <c r="C17" s="115">
        <v>-15.65</v>
      </c>
      <c r="D17" s="115">
        <v>-15.09</v>
      </c>
      <c r="E17" s="114">
        <v>-14.59</v>
      </c>
      <c r="F17" s="115">
        <v>-14.16</v>
      </c>
      <c r="G17" s="115">
        <v>-13.03</v>
      </c>
      <c r="H17" s="114">
        <v>-11.8</v>
      </c>
      <c r="I17" s="115">
        <v>-10.67</v>
      </c>
      <c r="J17" s="115">
        <v>-9.6129999999999995</v>
      </c>
      <c r="K17" s="114">
        <v>-6.0380000000000003</v>
      </c>
      <c r="L17" s="115">
        <v>-5.2729999999999997</v>
      </c>
      <c r="M17" s="115">
        <v>-4.55</v>
      </c>
      <c r="N17" s="114">
        <v>-4.1150000000000002</v>
      </c>
      <c r="O17" s="115">
        <v>-4.1550000000000002</v>
      </c>
      <c r="P17" s="115">
        <v>-4.1950000000000003</v>
      </c>
      <c r="Q17" s="114">
        <v>-4.2359999999999998</v>
      </c>
      <c r="R17" s="115">
        <v>-4.2759999999999998</v>
      </c>
      <c r="S17" s="115">
        <v>-4.3170000000000002</v>
      </c>
      <c r="T17" s="114">
        <v>-4.3579999999999997</v>
      </c>
      <c r="U17" s="115">
        <v>-4.399</v>
      </c>
      <c r="V17" s="115">
        <v>-4.4400000000000004</v>
      </c>
      <c r="W17" s="114">
        <v>-4.4809999999999999</v>
      </c>
      <c r="X17" s="115">
        <v>-4.6429999999999998</v>
      </c>
      <c r="Y17" s="115">
        <v>-4.6829999999999998</v>
      </c>
      <c r="Z17" s="114">
        <v>-4.7220000000000004</v>
      </c>
      <c r="AA17" s="115">
        <v>-4.7619999999999996</v>
      </c>
      <c r="AB17" s="115">
        <v>-4.8010000000000002</v>
      </c>
      <c r="AC17" s="114">
        <v>-4.84</v>
      </c>
      <c r="AD17" s="115">
        <v>-4.8780000000000001</v>
      </c>
      <c r="AE17" s="115">
        <v>-4.9169999999999998</v>
      </c>
      <c r="AF17" s="114">
        <v>-4.9550000000000001</v>
      </c>
      <c r="AG17" s="115">
        <v>-5.1040000000000001</v>
      </c>
      <c r="AH17" s="115">
        <v>-5.141</v>
      </c>
      <c r="AI17" s="114">
        <v>-5.1769999999999996</v>
      </c>
      <c r="AJ17" s="115">
        <v>-5.2130000000000001</v>
      </c>
      <c r="AK17" s="115">
        <v>-5.2489999999999997</v>
      </c>
    </row>
    <row r="18" spans="1:37" x14ac:dyDescent="0.35">
      <c r="A18" s="104" t="s">
        <v>7</v>
      </c>
      <c r="B18" s="114">
        <v>-23.52</v>
      </c>
      <c r="C18" s="115">
        <v>-22.41</v>
      </c>
      <c r="D18" s="115">
        <v>-21.42</v>
      </c>
      <c r="E18" s="114">
        <v>-20.54</v>
      </c>
      <c r="F18" s="115">
        <v>-19.760000000000002</v>
      </c>
      <c r="G18" s="115">
        <v>-19.8</v>
      </c>
      <c r="H18" s="114">
        <v>-20.04</v>
      </c>
      <c r="I18" s="115">
        <v>-20.28</v>
      </c>
      <c r="J18" s="115">
        <v>-20.53</v>
      </c>
      <c r="K18" s="114">
        <v>-21.53</v>
      </c>
      <c r="L18" s="115">
        <v>-21.78</v>
      </c>
      <c r="M18" s="115">
        <v>-22.02</v>
      </c>
      <c r="N18" s="114">
        <v>-22.27</v>
      </c>
      <c r="O18" s="115">
        <v>-22.52</v>
      </c>
      <c r="P18" s="115">
        <v>-22.76</v>
      </c>
      <c r="Q18" s="114">
        <v>-23</v>
      </c>
      <c r="R18" s="115">
        <v>-23.24</v>
      </c>
      <c r="S18" s="115">
        <v>-23.48</v>
      </c>
      <c r="T18" s="114">
        <v>-23.72</v>
      </c>
      <c r="U18" s="115">
        <v>-23.95</v>
      </c>
      <c r="V18" s="115">
        <v>-24.18</v>
      </c>
      <c r="W18" s="114">
        <v>-24.41</v>
      </c>
      <c r="X18" s="115">
        <v>-25.31</v>
      </c>
      <c r="Y18" s="115">
        <v>-25.53</v>
      </c>
      <c r="Z18" s="114">
        <v>-25.75</v>
      </c>
      <c r="AA18" s="115">
        <v>-25.97</v>
      </c>
      <c r="AB18" s="115">
        <v>-26.18</v>
      </c>
      <c r="AC18" s="114">
        <v>-26.39</v>
      </c>
      <c r="AD18" s="115">
        <v>-26.6</v>
      </c>
      <c r="AE18" s="115">
        <v>-26.81</v>
      </c>
      <c r="AF18" s="114">
        <v>-27.02</v>
      </c>
      <c r="AG18" s="115">
        <v>-27.83</v>
      </c>
      <c r="AH18" s="115">
        <v>-28.03</v>
      </c>
      <c r="AI18" s="114">
        <v>-28.23</v>
      </c>
      <c r="AJ18" s="115">
        <v>-28.42</v>
      </c>
      <c r="AK18" s="115">
        <v>-28.62</v>
      </c>
    </row>
    <row r="19" spans="1:37" x14ac:dyDescent="0.35">
      <c r="A19" s="104" t="s">
        <v>56</v>
      </c>
      <c r="B19" s="114">
        <v>0.2</v>
      </c>
      <c r="C19" s="115">
        <v>0.2</v>
      </c>
      <c r="D19" s="115">
        <v>0.2</v>
      </c>
      <c r="E19" s="114">
        <v>0.2</v>
      </c>
      <c r="F19" s="115">
        <v>0.2</v>
      </c>
      <c r="G19" s="115">
        <v>0.2</v>
      </c>
      <c r="H19" s="114">
        <v>0.2</v>
      </c>
      <c r="I19" s="115">
        <v>0.2</v>
      </c>
      <c r="J19" s="115">
        <v>0.2</v>
      </c>
      <c r="K19" s="114">
        <v>0.2</v>
      </c>
      <c r="L19" s="115">
        <v>0.2</v>
      </c>
      <c r="M19" s="115">
        <v>0.2</v>
      </c>
      <c r="N19" s="114">
        <v>0.2</v>
      </c>
      <c r="O19" s="115">
        <v>0.2</v>
      </c>
      <c r="P19" s="115">
        <v>0.2</v>
      </c>
      <c r="Q19" s="114">
        <v>0.2</v>
      </c>
      <c r="R19" s="115">
        <v>0.2</v>
      </c>
      <c r="S19" s="115">
        <v>0.2</v>
      </c>
      <c r="T19" s="114">
        <v>0.2</v>
      </c>
      <c r="U19" s="115">
        <v>0.2</v>
      </c>
      <c r="V19" s="115">
        <v>0.2</v>
      </c>
      <c r="W19" s="114">
        <v>0.2</v>
      </c>
      <c r="X19" s="115">
        <v>0.2</v>
      </c>
      <c r="Y19" s="115">
        <v>0.2</v>
      </c>
      <c r="Z19" s="114">
        <v>0.2</v>
      </c>
      <c r="AA19" s="115">
        <v>0.2</v>
      </c>
      <c r="AB19" s="115">
        <v>0.2</v>
      </c>
      <c r="AC19" s="114">
        <v>0.2</v>
      </c>
      <c r="AD19" s="115">
        <v>0.2</v>
      </c>
      <c r="AE19" s="115">
        <v>0.2</v>
      </c>
      <c r="AF19" s="114">
        <v>0.2</v>
      </c>
      <c r="AG19" s="115">
        <v>0.2</v>
      </c>
      <c r="AH19" s="115">
        <v>0.2</v>
      </c>
      <c r="AI19" s="114">
        <v>0.2</v>
      </c>
      <c r="AJ19" s="115">
        <v>0.2</v>
      </c>
      <c r="AK19" s="115">
        <v>0.2</v>
      </c>
    </row>
    <row r="20" spans="1:37" x14ac:dyDescent="0.35">
      <c r="A20" s="108" t="s">
        <v>62</v>
      </c>
      <c r="B20" s="118">
        <v>8.7463999999999998E-26</v>
      </c>
      <c r="C20" s="119">
        <v>4.7519999999999998E-24</v>
      </c>
      <c r="D20" s="119">
        <v>5.8508000000000003E-25</v>
      </c>
      <c r="E20" s="118">
        <v>3.5889E-37</v>
      </c>
      <c r="F20" s="119">
        <v>0</v>
      </c>
      <c r="G20" s="119">
        <v>0</v>
      </c>
      <c r="H20" s="118">
        <v>3.6141999999999999E-24</v>
      </c>
      <c r="I20" s="119">
        <v>2.978E-17</v>
      </c>
      <c r="J20" s="119">
        <v>1.8413E-14</v>
      </c>
      <c r="K20" s="118">
        <v>8.0226999999999996E-10</v>
      </c>
      <c r="L20" s="119">
        <v>6.9393999999999994E-14</v>
      </c>
      <c r="M20" s="119">
        <v>4.0456E-27</v>
      </c>
      <c r="N20" s="118">
        <v>0</v>
      </c>
      <c r="O20" s="119">
        <v>1.4529000000000001E-29</v>
      </c>
      <c r="P20" s="119">
        <v>2.2706E-21</v>
      </c>
      <c r="Q20" s="118">
        <v>6.6201000000000007E-30</v>
      </c>
      <c r="R20" s="119">
        <v>0</v>
      </c>
      <c r="S20" s="119">
        <v>0</v>
      </c>
      <c r="T20" s="118">
        <v>1.2780000000000001E-31</v>
      </c>
      <c r="U20" s="119">
        <v>1.0268E-17</v>
      </c>
      <c r="V20" s="119">
        <v>7.3521999999999997E-13</v>
      </c>
      <c r="W20" s="118">
        <v>1.0316E-9</v>
      </c>
      <c r="X20" s="119">
        <v>1.9165000000000002E-9</v>
      </c>
      <c r="Y20" s="119">
        <v>3.7773000000000002E-9</v>
      </c>
      <c r="Z20" s="118">
        <v>6.5890999999999999E-9</v>
      </c>
      <c r="AA20" s="119">
        <v>6.1877E-9</v>
      </c>
      <c r="AB20" s="119">
        <v>5.2433999999999998E-8</v>
      </c>
      <c r="AC20" s="118">
        <v>9.4260999999999998E-2</v>
      </c>
      <c r="AD20" s="119">
        <v>9.8913000000000001E-2</v>
      </c>
      <c r="AE20" s="119">
        <v>0.10151</v>
      </c>
      <c r="AF20" s="118">
        <v>0.10444000000000001</v>
      </c>
      <c r="AG20" s="119">
        <v>0.12046</v>
      </c>
      <c r="AH20" s="119">
        <v>0.12595000000000001</v>
      </c>
      <c r="AI20" s="118">
        <v>0.13225999999999999</v>
      </c>
      <c r="AJ20" s="119">
        <v>0.13958000000000001</v>
      </c>
      <c r="AK20" s="119">
        <v>0.14813000000000001</v>
      </c>
    </row>
  </sheetData>
  <conditionalFormatting sqref="B1:AK20">
    <cfRule type="expression" dxfId="3" priority="1">
      <formula>ISNUMBER(B1)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271F-9BF9-44F9-AFD1-CCBC36EBCE73}">
  <sheetPr codeName="Лист5">
    <tabColor rgb="FFFFFF00"/>
  </sheetPr>
  <dimension ref="A1:BT162"/>
  <sheetViews>
    <sheetView zoomScale="85" zoomScaleNormal="85" workbookViewId="0">
      <pane ySplit="1" topLeftCell="A136" activePane="bottomLeft" state="frozen"/>
      <selection pane="bottomLeft" activeCell="BW161" sqref="BW161"/>
    </sheetView>
  </sheetViews>
  <sheetFormatPr defaultRowHeight="21" outlineLevelRow="1" x14ac:dyDescent="0.35"/>
  <cols>
    <col min="1" max="1" width="13.81640625" bestFit="1" customWidth="1"/>
    <col min="2" max="5" width="4.26953125" style="36" customWidth="1"/>
    <col min="6" max="68" width="4.26953125" hidden="1" customWidth="1"/>
    <col min="69" max="70" width="4.26953125" style="48" hidden="1" customWidth="1"/>
    <col min="71" max="71" width="4.26953125" hidden="1" customWidth="1"/>
    <col min="72" max="72" width="5.6328125" customWidth="1"/>
    <col min="73" max="16384" width="8.7265625" style="35"/>
  </cols>
  <sheetData>
    <row r="1" spans="1:72" ht="35.1" customHeight="1" thickBot="1" x14ac:dyDescent="0.4">
      <c r="A1" s="32" t="s">
        <v>16</v>
      </c>
      <c r="B1" s="37">
        <v>300</v>
      </c>
      <c r="C1" s="60">
        <v>1000</v>
      </c>
      <c r="D1" s="61" t="s">
        <v>17</v>
      </c>
      <c r="E1" s="62">
        <v>70</v>
      </c>
      <c r="F1" s="35"/>
      <c r="G1" s="35"/>
      <c r="H1" s="35"/>
      <c r="I1" s="35"/>
      <c r="J1" s="35"/>
    </row>
    <row r="2" spans="1:72" ht="23.25" customHeight="1" thickTop="1" thickBot="1" x14ac:dyDescent="0.4">
      <c r="A2" s="4" t="s">
        <v>27</v>
      </c>
      <c r="B2" s="63">
        <f>FLUID!F45</f>
        <v>0</v>
      </c>
      <c r="C2" s="63">
        <f>FLUID!G45</f>
        <v>0</v>
      </c>
      <c r="D2" s="63">
        <f>FLUID!H45</f>
        <v>0</v>
      </c>
      <c r="E2" s="63">
        <f>FLUID!I45</f>
        <v>0</v>
      </c>
      <c r="F2" s="63">
        <f>FLUID!J45</f>
        <v>0</v>
      </c>
      <c r="G2" s="63">
        <f>FLUID!K45</f>
        <v>0</v>
      </c>
      <c r="H2" s="63">
        <f>FLUID!L45</f>
        <v>0</v>
      </c>
      <c r="I2" s="63">
        <f>FLUID!M45</f>
        <v>0</v>
      </c>
      <c r="J2" s="63">
        <f>FLUID!N45</f>
        <v>0</v>
      </c>
      <c r="K2" s="63">
        <f>FLUID!O45</f>
        <v>0</v>
      </c>
      <c r="L2" s="63">
        <f>FLUID!P45</f>
        <v>0</v>
      </c>
      <c r="M2" s="63">
        <f>FLUID!Q45</f>
        <v>0</v>
      </c>
      <c r="N2" s="63">
        <f>FLUID!R45</f>
        <v>0</v>
      </c>
      <c r="O2" s="63">
        <f>FLUID!S45</f>
        <v>0</v>
      </c>
      <c r="P2" s="63">
        <f>FLUID!T45</f>
        <v>0</v>
      </c>
      <c r="Q2" s="63">
        <f>FLUID!U45</f>
        <v>0</v>
      </c>
      <c r="R2" s="63">
        <f>FLUID!V45</f>
        <v>0</v>
      </c>
      <c r="S2" s="63">
        <f>FLUID!W45</f>
        <v>0</v>
      </c>
      <c r="T2" s="63">
        <f>FLUID!X45</f>
        <v>0</v>
      </c>
      <c r="U2" s="63">
        <f>FLUID!Y45</f>
        <v>0</v>
      </c>
      <c r="V2" s="63">
        <f>FLUID!Z45</f>
        <v>0</v>
      </c>
      <c r="W2" s="63">
        <f>FLUID!AA45</f>
        <v>0</v>
      </c>
      <c r="X2" s="63">
        <f>FLUID!AB45</f>
        <v>0</v>
      </c>
      <c r="Y2" s="63">
        <f>FLUID!AC45</f>
        <v>0</v>
      </c>
      <c r="Z2" s="63">
        <f>FLUID!AD45</f>
        <v>0</v>
      </c>
      <c r="AA2" s="63">
        <f>FLUID!AE45</f>
        <v>0</v>
      </c>
      <c r="AB2" s="63">
        <f>FLUID!AF45</f>
        <v>0</v>
      </c>
      <c r="AC2" s="63">
        <f>FLUID!AG45</f>
        <v>0</v>
      </c>
      <c r="AD2" s="63">
        <f>FLUID!AH45</f>
        <v>0</v>
      </c>
      <c r="AE2" s="63">
        <f>FLUID!AI45</f>
        <v>0</v>
      </c>
      <c r="AF2" s="63">
        <f>FLUID!AJ45</f>
        <v>0</v>
      </c>
      <c r="AG2" s="63">
        <f>FLUID!AK45</f>
        <v>0</v>
      </c>
      <c r="AH2" s="63">
        <f>FLUID!AL45</f>
        <v>0</v>
      </c>
      <c r="AI2" s="63">
        <f>FLUID!AM45</f>
        <v>0</v>
      </c>
      <c r="AJ2" s="63">
        <f>FLUID!AN45</f>
        <v>0</v>
      </c>
      <c r="AK2" s="63">
        <f>FLUID!AO45</f>
        <v>0</v>
      </c>
      <c r="AL2" s="63">
        <f>FLUID!AP45</f>
        <v>0</v>
      </c>
      <c r="AM2" s="63">
        <f>FLUID!AQ45</f>
        <v>0</v>
      </c>
      <c r="AN2" s="63">
        <f>FLUID!AR45</f>
        <v>0</v>
      </c>
      <c r="AO2" s="63">
        <f>FLUID!AS45</f>
        <v>0</v>
      </c>
      <c r="AP2" s="63">
        <f>FLUID!AT45</f>
        <v>0</v>
      </c>
      <c r="AQ2" s="63">
        <f>FLUID!AU45</f>
        <v>0</v>
      </c>
      <c r="AR2" s="63">
        <f>FLUID!AV45</f>
        <v>0</v>
      </c>
      <c r="AS2" s="63">
        <f>FLUID!AW45</f>
        <v>0</v>
      </c>
      <c r="AT2" s="63">
        <f>FLUID!AX45</f>
        <v>0</v>
      </c>
      <c r="AU2" s="63">
        <f>FLUID!AY45</f>
        <v>0</v>
      </c>
      <c r="AV2" s="63">
        <f>FLUID!AZ45</f>
        <v>0</v>
      </c>
      <c r="AW2" s="63">
        <f>FLUID!BA45</f>
        <v>0</v>
      </c>
      <c r="AX2" s="63">
        <f>FLUID!BB45</f>
        <v>0</v>
      </c>
      <c r="AY2" s="63">
        <f>FLUID!BC45</f>
        <v>0</v>
      </c>
      <c r="AZ2" s="63">
        <f>FLUID!BD45</f>
        <v>0</v>
      </c>
      <c r="BA2" s="63">
        <f>FLUID!BE45</f>
        <v>0</v>
      </c>
      <c r="BB2" s="63">
        <f>FLUID!BF45</f>
        <v>0</v>
      </c>
      <c r="BC2" s="63">
        <f>FLUID!BG45</f>
        <v>0</v>
      </c>
      <c r="BD2" s="63">
        <f>FLUID!BH45</f>
        <v>0</v>
      </c>
      <c r="BE2" s="63">
        <f>FLUID!BI45</f>
        <v>0</v>
      </c>
      <c r="BF2" s="63">
        <f>FLUID!BJ45</f>
        <v>0</v>
      </c>
      <c r="BG2" s="63">
        <f>FLUID!BK45</f>
        <v>0</v>
      </c>
      <c r="BH2" s="63">
        <f>FLUID!BL45</f>
        <v>0</v>
      </c>
      <c r="BI2" s="63">
        <f>FLUID!BM45</f>
        <v>0</v>
      </c>
      <c r="BJ2" s="63">
        <f>FLUID!BN45</f>
        <v>0</v>
      </c>
      <c r="BK2" s="63">
        <f>FLUID!BO45</f>
        <v>0</v>
      </c>
      <c r="BL2" s="63">
        <f>FLUID!BP45</f>
        <v>0</v>
      </c>
      <c r="BM2" s="63">
        <f>FLUID!BQ45</f>
        <v>0</v>
      </c>
      <c r="BN2" s="63">
        <f>FLUID!BR45</f>
        <v>0</v>
      </c>
      <c r="BO2" s="63">
        <f>FLUID!BS45</f>
        <v>0</v>
      </c>
      <c r="BP2" s="63">
        <f>FLUID!BT45</f>
        <v>0</v>
      </c>
      <c r="BQ2" s="63">
        <f>FLUID!BU45</f>
        <v>0</v>
      </c>
      <c r="BR2" s="63">
        <f>FLUID!BV45</f>
        <v>0</v>
      </c>
      <c r="BS2" s="63">
        <f>FLUID!BW45</f>
        <v>0</v>
      </c>
      <c r="BT2" s="63">
        <f>FLUID!BX45</f>
        <v>0</v>
      </c>
    </row>
    <row r="3" spans="1:72" ht="22.5" hidden="1" outlineLevel="1" thickTop="1" thickBot="1" x14ac:dyDescent="0.4">
      <c r="A3" s="88">
        <f>FLUID!E46</f>
        <v>0</v>
      </c>
      <c r="B3" s="16" t="e">
        <f ca="1">FLUID!F46</f>
        <v>#N/A</v>
      </c>
      <c r="C3" s="16" t="e">
        <f ca="1">FLUID!G46</f>
        <v>#N/A</v>
      </c>
      <c r="D3" s="16" t="e">
        <f ca="1">FLUID!H46</f>
        <v>#N/A</v>
      </c>
      <c r="E3" s="16" t="e">
        <f ca="1">FLUID!I46</f>
        <v>#N/A</v>
      </c>
      <c r="F3" s="16" t="e">
        <f ca="1">FLUID!J46</f>
        <v>#N/A</v>
      </c>
      <c r="G3" s="16" t="e">
        <f ca="1">FLUID!K46</f>
        <v>#N/A</v>
      </c>
      <c r="H3" s="16" t="e">
        <f ca="1">FLUID!L46</f>
        <v>#N/A</v>
      </c>
      <c r="I3" s="16" t="e">
        <f ca="1">FLUID!M46</f>
        <v>#N/A</v>
      </c>
      <c r="J3" s="16" t="e">
        <f ca="1">FLUID!N46</f>
        <v>#N/A</v>
      </c>
      <c r="K3" s="16" t="e">
        <f ca="1">FLUID!O46</f>
        <v>#N/A</v>
      </c>
      <c r="L3" s="16" t="e">
        <f ca="1">FLUID!P46</f>
        <v>#N/A</v>
      </c>
      <c r="M3" s="16" t="e">
        <f ca="1">FLUID!Q46</f>
        <v>#N/A</v>
      </c>
      <c r="N3" s="16" t="e">
        <f ca="1">FLUID!R46</f>
        <v>#N/A</v>
      </c>
      <c r="O3" s="16" t="e">
        <f ca="1">FLUID!S46</f>
        <v>#N/A</v>
      </c>
      <c r="P3" s="16" t="e">
        <f ca="1">FLUID!T46</f>
        <v>#N/A</v>
      </c>
      <c r="Q3" s="16" t="e">
        <f ca="1">FLUID!U46</f>
        <v>#N/A</v>
      </c>
      <c r="R3" s="16" t="e">
        <f ca="1">FLUID!V46</f>
        <v>#N/A</v>
      </c>
      <c r="S3" s="16" t="e">
        <f ca="1">FLUID!W46</f>
        <v>#N/A</v>
      </c>
      <c r="T3" s="16" t="e">
        <f ca="1">FLUID!X46</f>
        <v>#N/A</v>
      </c>
      <c r="U3" s="16" t="e">
        <f ca="1">FLUID!Y46</f>
        <v>#N/A</v>
      </c>
      <c r="V3" s="16" t="e">
        <f ca="1">FLUID!Z46</f>
        <v>#N/A</v>
      </c>
      <c r="W3" s="16" t="e">
        <f ca="1">FLUID!AA46</f>
        <v>#N/A</v>
      </c>
      <c r="X3" s="16" t="e">
        <f ca="1">FLUID!AB46</f>
        <v>#N/A</v>
      </c>
      <c r="Y3" s="16" t="e">
        <f ca="1">FLUID!AC46</f>
        <v>#N/A</v>
      </c>
      <c r="Z3" s="16" t="e">
        <f ca="1">FLUID!AD46</f>
        <v>#N/A</v>
      </c>
      <c r="AA3" s="16" t="e">
        <f ca="1">FLUID!AE46</f>
        <v>#N/A</v>
      </c>
      <c r="AB3" s="16" t="e">
        <f ca="1">FLUID!AF46</f>
        <v>#N/A</v>
      </c>
      <c r="AC3" s="16" t="e">
        <f ca="1">FLUID!AG46</f>
        <v>#N/A</v>
      </c>
      <c r="AD3" s="16" t="e">
        <f ca="1">FLUID!AH46</f>
        <v>#N/A</v>
      </c>
      <c r="AE3" s="16" t="e">
        <f ca="1">FLUID!AI46</f>
        <v>#N/A</v>
      </c>
      <c r="AF3" s="16" t="e">
        <f ca="1">FLUID!AJ46</f>
        <v>#N/A</v>
      </c>
      <c r="AG3" s="16" t="e">
        <f ca="1">FLUID!AK46</f>
        <v>#N/A</v>
      </c>
      <c r="AH3" s="16" t="e">
        <f ca="1">FLUID!AL46</f>
        <v>#N/A</v>
      </c>
      <c r="AI3" s="16">
        <f>FLUID!AM46</f>
        <v>0</v>
      </c>
      <c r="AJ3" s="16">
        <f>FLUID!AN46</f>
        <v>0</v>
      </c>
      <c r="AK3" s="16">
        <f>FLUID!AO46</f>
        <v>0</v>
      </c>
      <c r="AL3" s="16">
        <f>FLUID!AP46</f>
        <v>0</v>
      </c>
      <c r="AM3" s="16">
        <f>FLUID!AQ46</f>
        <v>0</v>
      </c>
      <c r="AN3" s="16">
        <f>FLUID!AR46</f>
        <v>0</v>
      </c>
      <c r="AO3" s="16">
        <f>FLUID!AS46</f>
        <v>0</v>
      </c>
      <c r="AP3" s="16">
        <f>FLUID!AT46</f>
        <v>0</v>
      </c>
      <c r="AQ3" s="16">
        <f>FLUID!AU46</f>
        <v>0</v>
      </c>
      <c r="AR3" s="16">
        <f>FLUID!AV46</f>
        <v>0</v>
      </c>
      <c r="AS3" s="16">
        <f>FLUID!AW46</f>
        <v>0</v>
      </c>
      <c r="AT3" s="16">
        <f>FLUID!AX46</f>
        <v>0</v>
      </c>
      <c r="AU3" s="16">
        <f>FLUID!AY46</f>
        <v>0</v>
      </c>
      <c r="AV3" s="16">
        <f>FLUID!AZ46</f>
        <v>0</v>
      </c>
      <c r="AW3" s="16">
        <f>FLUID!BA46</f>
        <v>0</v>
      </c>
      <c r="AX3" s="16">
        <f>FLUID!BB46</f>
        <v>0</v>
      </c>
      <c r="AY3" s="16">
        <f>FLUID!BC46</f>
        <v>0</v>
      </c>
      <c r="AZ3" s="16">
        <f>FLUID!BD46</f>
        <v>0</v>
      </c>
      <c r="BA3" s="16">
        <f>FLUID!BE46</f>
        <v>0</v>
      </c>
      <c r="BB3" s="16">
        <f>FLUID!BF46</f>
        <v>0</v>
      </c>
      <c r="BC3" s="16">
        <f>FLUID!BG46</f>
        <v>0</v>
      </c>
      <c r="BD3" s="16">
        <f>FLUID!BH46</f>
        <v>0</v>
      </c>
      <c r="BE3" s="16">
        <f>FLUID!BI46</f>
        <v>0</v>
      </c>
      <c r="BF3" s="16">
        <f>FLUID!BJ46</f>
        <v>0</v>
      </c>
      <c r="BG3" s="16">
        <f>FLUID!BK46</f>
        <v>0</v>
      </c>
      <c r="BH3" s="16">
        <f>FLUID!BL46</f>
        <v>0</v>
      </c>
      <c r="BI3" s="16">
        <f>FLUID!BM46</f>
        <v>0</v>
      </c>
      <c r="BJ3" s="16">
        <f>FLUID!BN46</f>
        <v>0</v>
      </c>
      <c r="BK3" s="16">
        <f>FLUID!BO46</f>
        <v>0</v>
      </c>
      <c r="BL3" s="16">
        <f>FLUID!BP46</f>
        <v>0</v>
      </c>
      <c r="BM3" s="16">
        <f>FLUID!BQ46</f>
        <v>0</v>
      </c>
      <c r="BN3" s="16">
        <f>FLUID!BR46</f>
        <v>0</v>
      </c>
      <c r="BO3" s="16">
        <f>FLUID!BS46</f>
        <v>0</v>
      </c>
      <c r="BP3" s="16">
        <f>FLUID!BT46</f>
        <v>0</v>
      </c>
      <c r="BQ3" s="16">
        <f>FLUID!BU46</f>
        <v>0</v>
      </c>
      <c r="BR3" s="16">
        <f>FLUID!BV46</f>
        <v>0</v>
      </c>
      <c r="BS3" s="16">
        <f>FLUID!BW46</f>
        <v>0</v>
      </c>
      <c r="BT3" s="16">
        <f>FLUID!BX46</f>
        <v>0</v>
      </c>
    </row>
    <row r="4" spans="1:72" ht="21.75" hidden="1" outlineLevel="1" thickBot="1" x14ac:dyDescent="0.4">
      <c r="A4" s="88">
        <f>FLUID!E47</f>
        <v>0</v>
      </c>
      <c r="B4" s="16" t="e">
        <f ca="1">FLUID!F47</f>
        <v>#N/A</v>
      </c>
      <c r="C4" s="16" t="e">
        <f ca="1">FLUID!G47</f>
        <v>#N/A</v>
      </c>
      <c r="D4" s="16" t="e">
        <f ca="1">FLUID!H47</f>
        <v>#N/A</v>
      </c>
      <c r="E4" s="16" t="e">
        <f ca="1">FLUID!I47</f>
        <v>#N/A</v>
      </c>
      <c r="F4" s="16" t="e">
        <f ca="1">FLUID!J47</f>
        <v>#N/A</v>
      </c>
      <c r="G4" s="16" t="e">
        <f ca="1">FLUID!K47</f>
        <v>#N/A</v>
      </c>
      <c r="H4" s="16" t="e">
        <f ca="1">FLUID!L47</f>
        <v>#N/A</v>
      </c>
      <c r="I4" s="16" t="e">
        <f ca="1">FLUID!M47</f>
        <v>#N/A</v>
      </c>
      <c r="J4" s="16" t="e">
        <f ca="1">FLUID!N47</f>
        <v>#N/A</v>
      </c>
      <c r="K4" s="16" t="e">
        <f ca="1">FLUID!O47</f>
        <v>#N/A</v>
      </c>
      <c r="L4" s="16" t="e">
        <f ca="1">FLUID!P47</f>
        <v>#N/A</v>
      </c>
      <c r="M4" s="16" t="e">
        <f ca="1">FLUID!Q47</f>
        <v>#N/A</v>
      </c>
      <c r="N4" s="16" t="e">
        <f ca="1">FLUID!R47</f>
        <v>#N/A</v>
      </c>
      <c r="O4" s="16" t="e">
        <f ca="1">FLUID!S47</f>
        <v>#N/A</v>
      </c>
      <c r="P4" s="16" t="e">
        <f ca="1">FLUID!T47</f>
        <v>#N/A</v>
      </c>
      <c r="Q4" s="16" t="e">
        <f ca="1">FLUID!U47</f>
        <v>#N/A</v>
      </c>
      <c r="R4" s="16" t="e">
        <f ca="1">FLUID!V47</f>
        <v>#N/A</v>
      </c>
      <c r="S4" s="16" t="e">
        <f ca="1">FLUID!W47</f>
        <v>#N/A</v>
      </c>
      <c r="T4" s="16" t="e">
        <f ca="1">FLUID!X47</f>
        <v>#N/A</v>
      </c>
      <c r="U4" s="16" t="e">
        <f ca="1">FLUID!Y47</f>
        <v>#N/A</v>
      </c>
      <c r="V4" s="16" t="e">
        <f ca="1">FLUID!Z47</f>
        <v>#N/A</v>
      </c>
      <c r="W4" s="16" t="e">
        <f ca="1">FLUID!AA47</f>
        <v>#N/A</v>
      </c>
      <c r="X4" s="16" t="e">
        <f ca="1">FLUID!AB47</f>
        <v>#N/A</v>
      </c>
      <c r="Y4" s="16" t="e">
        <f ca="1">FLUID!AC47</f>
        <v>#N/A</v>
      </c>
      <c r="Z4" s="16" t="e">
        <f ca="1">FLUID!AD47</f>
        <v>#N/A</v>
      </c>
      <c r="AA4" s="16" t="e">
        <f ca="1">FLUID!AE47</f>
        <v>#N/A</v>
      </c>
      <c r="AB4" s="16" t="e">
        <f ca="1">FLUID!AF47</f>
        <v>#N/A</v>
      </c>
      <c r="AC4" s="16" t="e">
        <f ca="1">FLUID!AG47</f>
        <v>#N/A</v>
      </c>
      <c r="AD4" s="16" t="e">
        <f ca="1">FLUID!AH47</f>
        <v>#N/A</v>
      </c>
      <c r="AE4" s="16" t="e">
        <f ca="1">FLUID!AI47</f>
        <v>#N/A</v>
      </c>
      <c r="AF4" s="16" t="e">
        <f ca="1">FLUID!AJ47</f>
        <v>#N/A</v>
      </c>
      <c r="AG4" s="16" t="e">
        <f ca="1">FLUID!AK47</f>
        <v>#N/A</v>
      </c>
      <c r="AH4" s="16" t="e">
        <f ca="1">FLUID!AL47</f>
        <v>#N/A</v>
      </c>
      <c r="AI4" s="16">
        <f>FLUID!AM47</f>
        <v>0</v>
      </c>
      <c r="AJ4" s="16">
        <f>FLUID!AN47</f>
        <v>0</v>
      </c>
      <c r="AK4" s="16">
        <f>FLUID!AO47</f>
        <v>0</v>
      </c>
      <c r="AL4" s="16">
        <f>FLUID!AP47</f>
        <v>0</v>
      </c>
      <c r="AM4" s="16">
        <f>FLUID!AQ47</f>
        <v>0</v>
      </c>
      <c r="AN4" s="16">
        <f>FLUID!AR47</f>
        <v>0</v>
      </c>
      <c r="AO4" s="16">
        <f>FLUID!AS47</f>
        <v>0</v>
      </c>
      <c r="AP4" s="16">
        <f>FLUID!AT47</f>
        <v>0</v>
      </c>
      <c r="AQ4" s="16">
        <f>FLUID!AU47</f>
        <v>0</v>
      </c>
      <c r="AR4" s="16">
        <f>FLUID!AV47</f>
        <v>0</v>
      </c>
      <c r="AS4" s="16">
        <f>FLUID!AW47</f>
        <v>0</v>
      </c>
      <c r="AT4" s="16">
        <f>FLUID!AX47</f>
        <v>0</v>
      </c>
      <c r="AU4" s="16">
        <f>FLUID!AY47</f>
        <v>0</v>
      </c>
      <c r="AV4" s="16">
        <f>FLUID!AZ47</f>
        <v>0</v>
      </c>
      <c r="AW4" s="16">
        <f>FLUID!BA47</f>
        <v>0</v>
      </c>
      <c r="AX4" s="16">
        <f>FLUID!BB47</f>
        <v>0</v>
      </c>
      <c r="AY4" s="16">
        <f>FLUID!BC47</f>
        <v>0</v>
      </c>
      <c r="AZ4" s="16">
        <f>FLUID!BD47</f>
        <v>0</v>
      </c>
      <c r="BA4" s="16">
        <f>FLUID!BE47</f>
        <v>0</v>
      </c>
      <c r="BB4" s="16">
        <f>FLUID!BF47</f>
        <v>0</v>
      </c>
      <c r="BC4" s="16">
        <f>FLUID!BG47</f>
        <v>0</v>
      </c>
      <c r="BD4" s="16">
        <f>FLUID!BH47</f>
        <v>0</v>
      </c>
      <c r="BE4" s="16">
        <f>FLUID!BI47</f>
        <v>0</v>
      </c>
      <c r="BF4" s="16">
        <f>FLUID!BJ47</f>
        <v>0</v>
      </c>
      <c r="BG4" s="16">
        <f>FLUID!BK47</f>
        <v>0</v>
      </c>
      <c r="BH4" s="16">
        <f>FLUID!BL47</f>
        <v>0</v>
      </c>
      <c r="BI4" s="16">
        <f>FLUID!BM47</f>
        <v>0</v>
      </c>
      <c r="BJ4" s="16">
        <f>FLUID!BN47</f>
        <v>0</v>
      </c>
      <c r="BK4" s="16">
        <f>FLUID!BO47</f>
        <v>0</v>
      </c>
      <c r="BL4" s="16">
        <f>FLUID!BP47</f>
        <v>0</v>
      </c>
      <c r="BM4" s="16">
        <f>FLUID!BQ47</f>
        <v>0</v>
      </c>
      <c r="BN4" s="16">
        <f>FLUID!BR47</f>
        <v>0</v>
      </c>
      <c r="BO4" s="16">
        <f>FLUID!BS47</f>
        <v>0</v>
      </c>
      <c r="BP4" s="16">
        <f>FLUID!BT47</f>
        <v>0</v>
      </c>
      <c r="BQ4" s="16">
        <f>FLUID!BU47</f>
        <v>0</v>
      </c>
      <c r="BR4" s="16">
        <f>FLUID!BV47</f>
        <v>0</v>
      </c>
      <c r="BS4" s="16">
        <f>FLUID!BW47</f>
        <v>0</v>
      </c>
      <c r="BT4" s="16">
        <f>FLUID!BX47</f>
        <v>0</v>
      </c>
    </row>
    <row r="5" spans="1:72" ht="21.75" hidden="1" outlineLevel="1" thickBot="1" x14ac:dyDescent="0.4">
      <c r="A5" s="88">
        <f>FLUID!E48</f>
        <v>0</v>
      </c>
      <c r="B5" s="16" t="e">
        <f ca="1">FLUID!F48</f>
        <v>#N/A</v>
      </c>
      <c r="C5" s="16" t="e">
        <f ca="1">FLUID!G48</f>
        <v>#N/A</v>
      </c>
      <c r="D5" s="16" t="e">
        <f ca="1">FLUID!H48</f>
        <v>#N/A</v>
      </c>
      <c r="E5" s="16" t="e">
        <f ca="1">FLUID!I48</f>
        <v>#N/A</v>
      </c>
      <c r="F5" s="16" t="e">
        <f ca="1">FLUID!J48</f>
        <v>#N/A</v>
      </c>
      <c r="G5" s="16" t="e">
        <f ca="1">FLUID!K48</f>
        <v>#N/A</v>
      </c>
      <c r="H5" s="16" t="e">
        <f ca="1">FLUID!L48</f>
        <v>#N/A</v>
      </c>
      <c r="I5" s="16" t="e">
        <f ca="1">FLUID!M48</f>
        <v>#N/A</v>
      </c>
      <c r="J5" s="16" t="e">
        <f ca="1">FLUID!N48</f>
        <v>#N/A</v>
      </c>
      <c r="K5" s="16" t="e">
        <f ca="1">FLUID!O48</f>
        <v>#N/A</v>
      </c>
      <c r="L5" s="16" t="e">
        <f ca="1">FLUID!P48</f>
        <v>#N/A</v>
      </c>
      <c r="M5" s="16" t="e">
        <f ca="1">FLUID!Q48</f>
        <v>#N/A</v>
      </c>
      <c r="N5" s="16" t="e">
        <f ca="1">FLUID!R48</f>
        <v>#N/A</v>
      </c>
      <c r="O5" s="16" t="e">
        <f ca="1">FLUID!S48</f>
        <v>#N/A</v>
      </c>
      <c r="P5" s="16" t="e">
        <f ca="1">FLUID!T48</f>
        <v>#N/A</v>
      </c>
      <c r="Q5" s="16" t="e">
        <f ca="1">FLUID!U48</f>
        <v>#N/A</v>
      </c>
      <c r="R5" s="16" t="e">
        <f ca="1">FLUID!V48</f>
        <v>#N/A</v>
      </c>
      <c r="S5" s="16" t="e">
        <f ca="1">FLUID!W48</f>
        <v>#N/A</v>
      </c>
      <c r="T5" s="16" t="e">
        <f ca="1">FLUID!X48</f>
        <v>#N/A</v>
      </c>
      <c r="U5" s="16" t="e">
        <f ca="1">FLUID!Y48</f>
        <v>#N/A</v>
      </c>
      <c r="V5" s="16" t="e">
        <f ca="1">FLUID!Z48</f>
        <v>#N/A</v>
      </c>
      <c r="W5" s="16" t="e">
        <f ca="1">FLUID!AA48</f>
        <v>#N/A</v>
      </c>
      <c r="X5" s="16" t="e">
        <f ca="1">FLUID!AB48</f>
        <v>#N/A</v>
      </c>
      <c r="Y5" s="16" t="e">
        <f ca="1">FLUID!AC48</f>
        <v>#N/A</v>
      </c>
      <c r="Z5" s="16" t="e">
        <f ca="1">FLUID!AD48</f>
        <v>#N/A</v>
      </c>
      <c r="AA5" s="16" t="e">
        <f ca="1">FLUID!AE48</f>
        <v>#N/A</v>
      </c>
      <c r="AB5" s="16" t="e">
        <f ca="1">FLUID!AF48</f>
        <v>#N/A</v>
      </c>
      <c r="AC5" s="16" t="e">
        <f ca="1">FLUID!AG48</f>
        <v>#N/A</v>
      </c>
      <c r="AD5" s="16" t="e">
        <f ca="1">FLUID!AH48</f>
        <v>#N/A</v>
      </c>
      <c r="AE5" s="16" t="e">
        <f ca="1">FLUID!AI48</f>
        <v>#N/A</v>
      </c>
      <c r="AF5" s="16" t="e">
        <f ca="1">FLUID!AJ48</f>
        <v>#N/A</v>
      </c>
      <c r="AG5" s="16" t="e">
        <f ca="1">FLUID!AK48</f>
        <v>#N/A</v>
      </c>
      <c r="AH5" s="16" t="e">
        <f ca="1">FLUID!AL48</f>
        <v>#N/A</v>
      </c>
      <c r="AI5" s="16">
        <f>FLUID!AM48</f>
        <v>0</v>
      </c>
      <c r="AJ5" s="16">
        <f>FLUID!AN48</f>
        <v>0</v>
      </c>
      <c r="AK5" s="16">
        <f>FLUID!AO48</f>
        <v>0</v>
      </c>
      <c r="AL5" s="16">
        <f>FLUID!AP48</f>
        <v>0</v>
      </c>
      <c r="AM5" s="16">
        <f>FLUID!AQ48</f>
        <v>0</v>
      </c>
      <c r="AN5" s="16">
        <f>FLUID!AR48</f>
        <v>0</v>
      </c>
      <c r="AO5" s="16">
        <f>FLUID!AS48</f>
        <v>0</v>
      </c>
      <c r="AP5" s="16">
        <f>FLUID!AT48</f>
        <v>0</v>
      </c>
      <c r="AQ5" s="16">
        <f>FLUID!AU48</f>
        <v>0</v>
      </c>
      <c r="AR5" s="16">
        <f>FLUID!AV48</f>
        <v>0</v>
      </c>
      <c r="AS5" s="16">
        <f>FLUID!AW48</f>
        <v>0</v>
      </c>
      <c r="AT5" s="16">
        <f>FLUID!AX48</f>
        <v>0</v>
      </c>
      <c r="AU5" s="16">
        <f>FLUID!AY48</f>
        <v>0</v>
      </c>
      <c r="AV5" s="16">
        <f>FLUID!AZ48</f>
        <v>0</v>
      </c>
      <c r="AW5" s="16">
        <f>FLUID!BA48</f>
        <v>0</v>
      </c>
      <c r="AX5" s="16">
        <f>FLUID!BB48</f>
        <v>0</v>
      </c>
      <c r="AY5" s="16">
        <f>FLUID!BC48</f>
        <v>0</v>
      </c>
      <c r="AZ5" s="16">
        <f>FLUID!BD48</f>
        <v>0</v>
      </c>
      <c r="BA5" s="16">
        <f>FLUID!BE48</f>
        <v>0</v>
      </c>
      <c r="BB5" s="16">
        <f>FLUID!BF48</f>
        <v>0</v>
      </c>
      <c r="BC5" s="16">
        <f>FLUID!BG48</f>
        <v>0</v>
      </c>
      <c r="BD5" s="16">
        <f>FLUID!BH48</f>
        <v>0</v>
      </c>
      <c r="BE5" s="16">
        <f>FLUID!BI48</f>
        <v>0</v>
      </c>
      <c r="BF5" s="16">
        <f>FLUID!BJ48</f>
        <v>0</v>
      </c>
      <c r="BG5" s="16">
        <f>FLUID!BK48</f>
        <v>0</v>
      </c>
      <c r="BH5" s="16">
        <f>FLUID!BL48</f>
        <v>0</v>
      </c>
      <c r="BI5" s="16">
        <f>FLUID!BM48</f>
        <v>0</v>
      </c>
      <c r="BJ5" s="16">
        <f>FLUID!BN48</f>
        <v>0</v>
      </c>
      <c r="BK5" s="16">
        <f>FLUID!BO48</f>
        <v>0</v>
      </c>
      <c r="BL5" s="16">
        <f>FLUID!BP48</f>
        <v>0</v>
      </c>
      <c r="BM5" s="16">
        <f>FLUID!BQ48</f>
        <v>0</v>
      </c>
      <c r="BN5" s="16">
        <f>FLUID!BR48</f>
        <v>0</v>
      </c>
      <c r="BO5" s="16">
        <f>FLUID!BS48</f>
        <v>0</v>
      </c>
      <c r="BP5" s="16">
        <f>FLUID!BT48</f>
        <v>0</v>
      </c>
      <c r="BQ5" s="16">
        <f>FLUID!BU48</f>
        <v>0</v>
      </c>
      <c r="BR5" s="16">
        <f>FLUID!BV48</f>
        <v>0</v>
      </c>
      <c r="BS5" s="16">
        <f>FLUID!BW48</f>
        <v>0</v>
      </c>
      <c r="BT5" s="16">
        <f>FLUID!BX48</f>
        <v>0</v>
      </c>
    </row>
    <row r="6" spans="1:72" ht="21.75" hidden="1" outlineLevel="1" thickBot="1" x14ac:dyDescent="0.4">
      <c r="A6" s="88">
        <f>FLUID!E49</f>
        <v>0</v>
      </c>
      <c r="B6" s="16" t="e">
        <f ca="1">FLUID!F49</f>
        <v>#N/A</v>
      </c>
      <c r="C6" s="16" t="e">
        <f ca="1">FLUID!G49</f>
        <v>#N/A</v>
      </c>
      <c r="D6" s="16" t="e">
        <f ca="1">FLUID!H49</f>
        <v>#N/A</v>
      </c>
      <c r="E6" s="16" t="e">
        <f ca="1">FLUID!I49</f>
        <v>#N/A</v>
      </c>
      <c r="F6" s="16" t="e">
        <f ca="1">FLUID!J49</f>
        <v>#N/A</v>
      </c>
      <c r="G6" s="16" t="e">
        <f ca="1">FLUID!K49</f>
        <v>#N/A</v>
      </c>
      <c r="H6" s="16" t="e">
        <f ca="1">FLUID!L49</f>
        <v>#N/A</v>
      </c>
      <c r="I6" s="16" t="e">
        <f ca="1">FLUID!M49</f>
        <v>#N/A</v>
      </c>
      <c r="J6" s="16" t="e">
        <f ca="1">FLUID!N49</f>
        <v>#N/A</v>
      </c>
      <c r="K6" s="16" t="e">
        <f ca="1">FLUID!O49</f>
        <v>#N/A</v>
      </c>
      <c r="L6" s="16" t="e">
        <f ca="1">FLUID!P49</f>
        <v>#N/A</v>
      </c>
      <c r="M6" s="16" t="e">
        <f ca="1">FLUID!Q49</f>
        <v>#N/A</v>
      </c>
      <c r="N6" s="16" t="e">
        <f ca="1">FLUID!R49</f>
        <v>#N/A</v>
      </c>
      <c r="O6" s="16" t="e">
        <f ca="1">FLUID!S49</f>
        <v>#N/A</v>
      </c>
      <c r="P6" s="16" t="e">
        <f ca="1">FLUID!T49</f>
        <v>#N/A</v>
      </c>
      <c r="Q6" s="16" t="e">
        <f ca="1">FLUID!U49</f>
        <v>#N/A</v>
      </c>
      <c r="R6" s="16" t="e">
        <f ca="1">FLUID!V49</f>
        <v>#N/A</v>
      </c>
      <c r="S6" s="16" t="e">
        <f ca="1">FLUID!W49</f>
        <v>#N/A</v>
      </c>
      <c r="T6" s="16" t="e">
        <f ca="1">FLUID!X49</f>
        <v>#N/A</v>
      </c>
      <c r="U6" s="16" t="e">
        <f ca="1">FLUID!Y49</f>
        <v>#N/A</v>
      </c>
      <c r="V6" s="16" t="e">
        <f ca="1">FLUID!Z49</f>
        <v>#N/A</v>
      </c>
      <c r="W6" s="16" t="e">
        <f ca="1">FLUID!AA49</f>
        <v>#N/A</v>
      </c>
      <c r="X6" s="16" t="e">
        <f ca="1">FLUID!AB49</f>
        <v>#N/A</v>
      </c>
      <c r="Y6" s="16" t="e">
        <f ca="1">FLUID!AC49</f>
        <v>#N/A</v>
      </c>
      <c r="Z6" s="16" t="e">
        <f ca="1">FLUID!AD49</f>
        <v>#N/A</v>
      </c>
      <c r="AA6" s="16" t="e">
        <f ca="1">FLUID!AE49</f>
        <v>#N/A</v>
      </c>
      <c r="AB6" s="16" t="e">
        <f ca="1">FLUID!AF49</f>
        <v>#N/A</v>
      </c>
      <c r="AC6" s="16" t="e">
        <f ca="1">FLUID!AG49</f>
        <v>#N/A</v>
      </c>
      <c r="AD6" s="16" t="e">
        <f ca="1">FLUID!AH49</f>
        <v>#N/A</v>
      </c>
      <c r="AE6" s="16" t="e">
        <f ca="1">FLUID!AI49</f>
        <v>#N/A</v>
      </c>
      <c r="AF6" s="16" t="e">
        <f ca="1">FLUID!AJ49</f>
        <v>#N/A</v>
      </c>
      <c r="AG6" s="16" t="e">
        <f ca="1">FLUID!AK49</f>
        <v>#N/A</v>
      </c>
      <c r="AH6" s="16" t="e">
        <f ca="1">FLUID!AL49</f>
        <v>#N/A</v>
      </c>
      <c r="AI6" s="16">
        <f>FLUID!AM49</f>
        <v>0</v>
      </c>
      <c r="AJ6" s="16">
        <f>FLUID!AN49</f>
        <v>0</v>
      </c>
      <c r="AK6" s="16">
        <f>FLUID!AO49</f>
        <v>0</v>
      </c>
      <c r="AL6" s="16">
        <f>FLUID!AP49</f>
        <v>0</v>
      </c>
      <c r="AM6" s="16">
        <f>FLUID!AQ49</f>
        <v>0</v>
      </c>
      <c r="AN6" s="16">
        <f>FLUID!AR49</f>
        <v>0</v>
      </c>
      <c r="AO6" s="16">
        <f>FLUID!AS49</f>
        <v>0</v>
      </c>
      <c r="AP6" s="16">
        <f>FLUID!AT49</f>
        <v>0</v>
      </c>
      <c r="AQ6" s="16">
        <f>FLUID!AU49</f>
        <v>0</v>
      </c>
      <c r="AR6" s="16">
        <f>FLUID!AV49</f>
        <v>0</v>
      </c>
      <c r="AS6" s="16">
        <f>FLUID!AW49</f>
        <v>0</v>
      </c>
      <c r="AT6" s="16">
        <f>FLUID!AX49</f>
        <v>0</v>
      </c>
      <c r="AU6" s="16">
        <f>FLUID!AY49</f>
        <v>0</v>
      </c>
      <c r="AV6" s="16">
        <f>FLUID!AZ49</f>
        <v>0</v>
      </c>
      <c r="AW6" s="16">
        <f>FLUID!BA49</f>
        <v>0</v>
      </c>
      <c r="AX6" s="16">
        <f>FLUID!BB49</f>
        <v>0</v>
      </c>
      <c r="AY6" s="16">
        <f>FLUID!BC49</f>
        <v>0</v>
      </c>
      <c r="AZ6" s="16">
        <f>FLUID!BD49</f>
        <v>0</v>
      </c>
      <c r="BA6" s="16">
        <f>FLUID!BE49</f>
        <v>0</v>
      </c>
      <c r="BB6" s="16">
        <f>FLUID!BF49</f>
        <v>0</v>
      </c>
      <c r="BC6" s="16">
        <f>FLUID!BG49</f>
        <v>0</v>
      </c>
      <c r="BD6" s="16">
        <f>FLUID!BH49</f>
        <v>0</v>
      </c>
      <c r="BE6" s="16">
        <f>FLUID!BI49</f>
        <v>0</v>
      </c>
      <c r="BF6" s="16">
        <f>FLUID!BJ49</f>
        <v>0</v>
      </c>
      <c r="BG6" s="16">
        <f>FLUID!BK49</f>
        <v>0</v>
      </c>
      <c r="BH6" s="16">
        <f>FLUID!BL49</f>
        <v>0</v>
      </c>
      <c r="BI6" s="16">
        <f>FLUID!BM49</f>
        <v>0</v>
      </c>
      <c r="BJ6" s="16">
        <f>FLUID!BN49</f>
        <v>0</v>
      </c>
      <c r="BK6" s="16">
        <f>FLUID!BO49</f>
        <v>0</v>
      </c>
      <c r="BL6" s="16">
        <f>FLUID!BP49</f>
        <v>0</v>
      </c>
      <c r="BM6" s="16">
        <f>FLUID!BQ49</f>
        <v>0</v>
      </c>
      <c r="BN6" s="16">
        <f>FLUID!BR49</f>
        <v>0</v>
      </c>
      <c r="BO6" s="16">
        <f>FLUID!BS49</f>
        <v>0</v>
      </c>
      <c r="BP6" s="16">
        <f>FLUID!BT49</f>
        <v>0</v>
      </c>
      <c r="BQ6" s="16">
        <f>FLUID!BU49</f>
        <v>0</v>
      </c>
      <c r="BR6" s="16">
        <f>FLUID!BV49</f>
        <v>0</v>
      </c>
      <c r="BS6" s="16">
        <f>FLUID!BW49</f>
        <v>0</v>
      </c>
      <c r="BT6" s="16">
        <f>FLUID!BX49</f>
        <v>0</v>
      </c>
    </row>
    <row r="7" spans="1:72" ht="21.75" hidden="1" outlineLevel="1" thickBot="1" x14ac:dyDescent="0.4">
      <c r="A7" s="88">
        <f>FLUID!E50</f>
        <v>0</v>
      </c>
      <c r="B7" s="16" t="e">
        <f ca="1">FLUID!F50</f>
        <v>#N/A</v>
      </c>
      <c r="C7" s="16" t="e">
        <f ca="1">FLUID!G50</f>
        <v>#N/A</v>
      </c>
      <c r="D7" s="16" t="e">
        <f ca="1">FLUID!H50</f>
        <v>#N/A</v>
      </c>
      <c r="E7" s="16" t="e">
        <f ca="1">FLUID!I50</f>
        <v>#N/A</v>
      </c>
      <c r="F7" s="16" t="e">
        <f ca="1">FLUID!J50</f>
        <v>#N/A</v>
      </c>
      <c r="G7" s="16" t="e">
        <f ca="1">FLUID!K50</f>
        <v>#N/A</v>
      </c>
      <c r="H7" s="16" t="e">
        <f ca="1">FLUID!L50</f>
        <v>#N/A</v>
      </c>
      <c r="I7" s="16" t="e">
        <f ca="1">FLUID!M50</f>
        <v>#N/A</v>
      </c>
      <c r="J7" s="16" t="e">
        <f ca="1">FLUID!N50</f>
        <v>#N/A</v>
      </c>
      <c r="K7" s="16" t="e">
        <f ca="1">FLUID!O50</f>
        <v>#N/A</v>
      </c>
      <c r="L7" s="16" t="e">
        <f ca="1">FLUID!P50</f>
        <v>#N/A</v>
      </c>
      <c r="M7" s="16" t="e">
        <f ca="1">FLUID!Q50</f>
        <v>#N/A</v>
      </c>
      <c r="N7" s="16" t="e">
        <f ca="1">FLUID!R50</f>
        <v>#N/A</v>
      </c>
      <c r="O7" s="16" t="e">
        <f ca="1">FLUID!S50</f>
        <v>#N/A</v>
      </c>
      <c r="P7" s="16" t="e">
        <f ca="1">FLUID!T50</f>
        <v>#N/A</v>
      </c>
      <c r="Q7" s="16" t="e">
        <f ca="1">FLUID!U50</f>
        <v>#N/A</v>
      </c>
      <c r="R7" s="16" t="e">
        <f ca="1">FLUID!V50</f>
        <v>#N/A</v>
      </c>
      <c r="S7" s="16" t="e">
        <f ca="1">FLUID!W50</f>
        <v>#N/A</v>
      </c>
      <c r="T7" s="16" t="e">
        <f ca="1">FLUID!X50</f>
        <v>#N/A</v>
      </c>
      <c r="U7" s="16" t="e">
        <f ca="1">FLUID!Y50</f>
        <v>#N/A</v>
      </c>
      <c r="V7" s="16" t="e">
        <f ca="1">FLUID!Z50</f>
        <v>#N/A</v>
      </c>
      <c r="W7" s="16" t="e">
        <f ca="1">FLUID!AA50</f>
        <v>#N/A</v>
      </c>
      <c r="X7" s="16" t="e">
        <f ca="1">FLUID!AB50</f>
        <v>#N/A</v>
      </c>
      <c r="Y7" s="16" t="e">
        <f ca="1">FLUID!AC50</f>
        <v>#N/A</v>
      </c>
      <c r="Z7" s="16" t="e">
        <f ca="1">FLUID!AD50</f>
        <v>#N/A</v>
      </c>
      <c r="AA7" s="16" t="e">
        <f ca="1">FLUID!AE50</f>
        <v>#N/A</v>
      </c>
      <c r="AB7" s="16" t="e">
        <f ca="1">FLUID!AF50</f>
        <v>#N/A</v>
      </c>
      <c r="AC7" s="16" t="e">
        <f ca="1">FLUID!AG50</f>
        <v>#N/A</v>
      </c>
      <c r="AD7" s="16" t="e">
        <f ca="1">FLUID!AH50</f>
        <v>#N/A</v>
      </c>
      <c r="AE7" s="16" t="e">
        <f ca="1">FLUID!AI50</f>
        <v>#N/A</v>
      </c>
      <c r="AF7" s="16" t="e">
        <f ca="1">FLUID!AJ50</f>
        <v>#N/A</v>
      </c>
      <c r="AG7" s="16" t="e">
        <f ca="1">FLUID!AK50</f>
        <v>#N/A</v>
      </c>
      <c r="AH7" s="16" t="e">
        <f ca="1">FLUID!AL50</f>
        <v>#N/A</v>
      </c>
      <c r="AI7" s="16">
        <f>FLUID!AM50</f>
        <v>0</v>
      </c>
      <c r="AJ7" s="16">
        <f>FLUID!AN50</f>
        <v>0</v>
      </c>
      <c r="AK7" s="16">
        <f>FLUID!AO50</f>
        <v>0</v>
      </c>
      <c r="AL7" s="16">
        <f>FLUID!AP50</f>
        <v>0</v>
      </c>
      <c r="AM7" s="16">
        <f>FLUID!AQ50</f>
        <v>0</v>
      </c>
      <c r="AN7" s="16">
        <f>FLUID!AR50</f>
        <v>0</v>
      </c>
      <c r="AO7" s="16">
        <f>FLUID!AS50</f>
        <v>0</v>
      </c>
      <c r="AP7" s="16">
        <f>FLUID!AT50</f>
        <v>0</v>
      </c>
      <c r="AQ7" s="16">
        <f>FLUID!AU50</f>
        <v>0</v>
      </c>
      <c r="AR7" s="16">
        <f>FLUID!AV50</f>
        <v>0</v>
      </c>
      <c r="AS7" s="16">
        <f>FLUID!AW50</f>
        <v>0</v>
      </c>
      <c r="AT7" s="16">
        <f>FLUID!AX50</f>
        <v>0</v>
      </c>
      <c r="AU7" s="16">
        <f>FLUID!AY50</f>
        <v>0</v>
      </c>
      <c r="AV7" s="16">
        <f>FLUID!AZ50</f>
        <v>0</v>
      </c>
      <c r="AW7" s="16">
        <f>FLUID!BA50</f>
        <v>0</v>
      </c>
      <c r="AX7" s="16">
        <f>FLUID!BB50</f>
        <v>0</v>
      </c>
      <c r="AY7" s="16">
        <f>FLUID!BC50</f>
        <v>0</v>
      </c>
      <c r="AZ7" s="16">
        <f>FLUID!BD50</f>
        <v>0</v>
      </c>
      <c r="BA7" s="16">
        <f>FLUID!BE50</f>
        <v>0</v>
      </c>
      <c r="BB7" s="16">
        <f>FLUID!BF50</f>
        <v>0</v>
      </c>
      <c r="BC7" s="16">
        <f>FLUID!BG50</f>
        <v>0</v>
      </c>
      <c r="BD7" s="16">
        <f>FLUID!BH50</f>
        <v>0</v>
      </c>
      <c r="BE7" s="16">
        <f>FLUID!BI50</f>
        <v>0</v>
      </c>
      <c r="BF7" s="16">
        <f>FLUID!BJ50</f>
        <v>0</v>
      </c>
      <c r="BG7" s="16">
        <f>FLUID!BK50</f>
        <v>0</v>
      </c>
      <c r="BH7" s="16">
        <f>FLUID!BL50</f>
        <v>0</v>
      </c>
      <c r="BI7" s="16">
        <f>FLUID!BM50</f>
        <v>0</v>
      </c>
      <c r="BJ7" s="16">
        <f>FLUID!BN50</f>
        <v>0</v>
      </c>
      <c r="BK7" s="16">
        <f>FLUID!BO50</f>
        <v>0</v>
      </c>
      <c r="BL7" s="16">
        <f>FLUID!BP50</f>
        <v>0</v>
      </c>
      <c r="BM7" s="16">
        <f>FLUID!BQ50</f>
        <v>0</v>
      </c>
      <c r="BN7" s="16">
        <f>FLUID!BR50</f>
        <v>0</v>
      </c>
      <c r="BO7" s="16">
        <f>FLUID!BS50</f>
        <v>0</v>
      </c>
      <c r="BP7" s="16">
        <f>FLUID!BT50</f>
        <v>0</v>
      </c>
      <c r="BQ7" s="16">
        <f>FLUID!BU50</f>
        <v>0</v>
      </c>
      <c r="BR7" s="16">
        <f>FLUID!BV50</f>
        <v>0</v>
      </c>
      <c r="BS7" s="16">
        <f>FLUID!BW50</f>
        <v>0</v>
      </c>
      <c r="BT7" s="16">
        <f>FLUID!BX50</f>
        <v>0</v>
      </c>
    </row>
    <row r="8" spans="1:72" ht="21.75" hidden="1" outlineLevel="1" thickBot="1" x14ac:dyDescent="0.4">
      <c r="A8" s="88">
        <f>FLUID!E51</f>
        <v>0</v>
      </c>
      <c r="B8" s="16" t="e">
        <f ca="1">FLUID!F51</f>
        <v>#N/A</v>
      </c>
      <c r="C8" s="16" t="e">
        <f ca="1">FLUID!G51</f>
        <v>#N/A</v>
      </c>
      <c r="D8" s="16" t="e">
        <f ca="1">FLUID!H51</f>
        <v>#N/A</v>
      </c>
      <c r="E8" s="16" t="e">
        <f ca="1">FLUID!I51</f>
        <v>#N/A</v>
      </c>
      <c r="F8" s="16" t="e">
        <f ca="1">FLUID!J51</f>
        <v>#N/A</v>
      </c>
      <c r="G8" s="16" t="e">
        <f ca="1">FLUID!K51</f>
        <v>#N/A</v>
      </c>
      <c r="H8" s="16" t="e">
        <f ca="1">FLUID!L51</f>
        <v>#N/A</v>
      </c>
      <c r="I8" s="16" t="e">
        <f ca="1">FLUID!M51</f>
        <v>#N/A</v>
      </c>
      <c r="J8" s="16" t="e">
        <f ca="1">FLUID!N51</f>
        <v>#N/A</v>
      </c>
      <c r="K8" s="16" t="e">
        <f ca="1">FLUID!O51</f>
        <v>#N/A</v>
      </c>
      <c r="L8" s="16" t="e">
        <f ca="1">FLUID!P51</f>
        <v>#N/A</v>
      </c>
      <c r="M8" s="16" t="e">
        <f ca="1">FLUID!Q51</f>
        <v>#N/A</v>
      </c>
      <c r="N8" s="16" t="e">
        <f ca="1">FLUID!R51</f>
        <v>#N/A</v>
      </c>
      <c r="O8" s="16" t="e">
        <f ca="1">FLUID!S51</f>
        <v>#N/A</v>
      </c>
      <c r="P8" s="16" t="e">
        <f ca="1">FLUID!T51</f>
        <v>#N/A</v>
      </c>
      <c r="Q8" s="16" t="e">
        <f ca="1">FLUID!U51</f>
        <v>#N/A</v>
      </c>
      <c r="R8" s="16" t="e">
        <f ca="1">FLUID!V51</f>
        <v>#N/A</v>
      </c>
      <c r="S8" s="16" t="e">
        <f ca="1">FLUID!W51</f>
        <v>#N/A</v>
      </c>
      <c r="T8" s="16" t="e">
        <f ca="1">FLUID!X51</f>
        <v>#N/A</v>
      </c>
      <c r="U8" s="16" t="e">
        <f ca="1">FLUID!Y51</f>
        <v>#N/A</v>
      </c>
      <c r="V8" s="16" t="e">
        <f ca="1">FLUID!Z51</f>
        <v>#N/A</v>
      </c>
      <c r="W8" s="16" t="e">
        <f ca="1">FLUID!AA51</f>
        <v>#N/A</v>
      </c>
      <c r="X8" s="16" t="e">
        <f ca="1">FLUID!AB51</f>
        <v>#N/A</v>
      </c>
      <c r="Y8" s="16" t="e">
        <f ca="1">FLUID!AC51</f>
        <v>#N/A</v>
      </c>
      <c r="Z8" s="16" t="e">
        <f ca="1">FLUID!AD51</f>
        <v>#N/A</v>
      </c>
      <c r="AA8" s="16" t="e">
        <f ca="1">FLUID!AE51</f>
        <v>#N/A</v>
      </c>
      <c r="AB8" s="16" t="e">
        <f ca="1">FLUID!AF51</f>
        <v>#N/A</v>
      </c>
      <c r="AC8" s="16" t="e">
        <f ca="1">FLUID!AG51</f>
        <v>#N/A</v>
      </c>
      <c r="AD8" s="16" t="e">
        <f ca="1">FLUID!AH51</f>
        <v>#N/A</v>
      </c>
      <c r="AE8" s="16" t="e">
        <f ca="1">FLUID!AI51</f>
        <v>#N/A</v>
      </c>
      <c r="AF8" s="16" t="e">
        <f ca="1">FLUID!AJ51</f>
        <v>#N/A</v>
      </c>
      <c r="AG8" s="16" t="e">
        <f ca="1">FLUID!AK51</f>
        <v>#N/A</v>
      </c>
      <c r="AH8" s="16" t="e">
        <f ca="1">FLUID!AL51</f>
        <v>#N/A</v>
      </c>
      <c r="AI8" s="16">
        <f>FLUID!AM51</f>
        <v>0</v>
      </c>
      <c r="AJ8" s="16">
        <f>FLUID!AN51</f>
        <v>0</v>
      </c>
      <c r="AK8" s="16">
        <f>FLUID!AO51</f>
        <v>0</v>
      </c>
      <c r="AL8" s="16">
        <f>FLUID!AP51</f>
        <v>0</v>
      </c>
      <c r="AM8" s="16">
        <f>FLUID!AQ51</f>
        <v>0</v>
      </c>
      <c r="AN8" s="16">
        <f>FLUID!AR51</f>
        <v>0</v>
      </c>
      <c r="AO8" s="16">
        <f>FLUID!AS51</f>
        <v>0</v>
      </c>
      <c r="AP8" s="16">
        <f>FLUID!AT51</f>
        <v>0</v>
      </c>
      <c r="AQ8" s="16">
        <f>FLUID!AU51</f>
        <v>0</v>
      </c>
      <c r="AR8" s="16">
        <f>FLUID!AV51</f>
        <v>0</v>
      </c>
      <c r="AS8" s="16">
        <f>FLUID!AW51</f>
        <v>0</v>
      </c>
      <c r="AT8" s="16">
        <f>FLUID!AX51</f>
        <v>0</v>
      </c>
      <c r="AU8" s="16">
        <f>FLUID!AY51</f>
        <v>0</v>
      </c>
      <c r="AV8" s="16">
        <f>FLUID!AZ51</f>
        <v>0</v>
      </c>
      <c r="AW8" s="16">
        <f>FLUID!BA51</f>
        <v>0</v>
      </c>
      <c r="AX8" s="16">
        <f>FLUID!BB51</f>
        <v>0</v>
      </c>
      <c r="AY8" s="16">
        <f>FLUID!BC51</f>
        <v>0</v>
      </c>
      <c r="AZ8" s="16">
        <f>FLUID!BD51</f>
        <v>0</v>
      </c>
      <c r="BA8" s="16">
        <f>FLUID!BE51</f>
        <v>0</v>
      </c>
      <c r="BB8" s="16">
        <f>FLUID!BF51</f>
        <v>0</v>
      </c>
      <c r="BC8" s="16">
        <f>FLUID!BG51</f>
        <v>0</v>
      </c>
      <c r="BD8" s="16">
        <f>FLUID!BH51</f>
        <v>0</v>
      </c>
      <c r="BE8" s="16">
        <f>FLUID!BI51</f>
        <v>0</v>
      </c>
      <c r="BF8" s="16">
        <f>FLUID!BJ51</f>
        <v>0</v>
      </c>
      <c r="BG8" s="16">
        <f>FLUID!BK51</f>
        <v>0</v>
      </c>
      <c r="BH8" s="16">
        <f>FLUID!BL51</f>
        <v>0</v>
      </c>
      <c r="BI8" s="16">
        <f>FLUID!BM51</f>
        <v>0</v>
      </c>
      <c r="BJ8" s="16">
        <f>FLUID!BN51</f>
        <v>0</v>
      </c>
      <c r="BK8" s="16">
        <f>FLUID!BO51</f>
        <v>0</v>
      </c>
      <c r="BL8" s="16">
        <f>FLUID!BP51</f>
        <v>0</v>
      </c>
      <c r="BM8" s="16">
        <f>FLUID!BQ51</f>
        <v>0</v>
      </c>
      <c r="BN8" s="16">
        <f>FLUID!BR51</f>
        <v>0</v>
      </c>
      <c r="BO8" s="16">
        <f>FLUID!BS51</f>
        <v>0</v>
      </c>
      <c r="BP8" s="16">
        <f>FLUID!BT51</f>
        <v>0</v>
      </c>
      <c r="BQ8" s="16">
        <f>FLUID!BU51</f>
        <v>0</v>
      </c>
      <c r="BR8" s="16">
        <f>FLUID!BV51</f>
        <v>0</v>
      </c>
      <c r="BS8" s="16">
        <f>FLUID!BW51</f>
        <v>0</v>
      </c>
      <c r="BT8" s="16">
        <f>FLUID!BX51</f>
        <v>0</v>
      </c>
    </row>
    <row r="9" spans="1:72" ht="21.75" hidden="1" outlineLevel="1" thickBot="1" x14ac:dyDescent="0.4">
      <c r="A9" s="88">
        <f>FLUID!E52</f>
        <v>0</v>
      </c>
      <c r="B9" s="16" t="e">
        <f ca="1">FLUID!F52</f>
        <v>#N/A</v>
      </c>
      <c r="C9" s="16" t="e">
        <f ca="1">FLUID!G52</f>
        <v>#N/A</v>
      </c>
      <c r="D9" s="16" t="e">
        <f ca="1">FLUID!H52</f>
        <v>#N/A</v>
      </c>
      <c r="E9" s="16" t="e">
        <f ca="1">FLUID!I52</f>
        <v>#N/A</v>
      </c>
      <c r="F9" s="16" t="e">
        <f ca="1">FLUID!J52</f>
        <v>#N/A</v>
      </c>
      <c r="G9" s="16" t="e">
        <f ca="1">FLUID!K52</f>
        <v>#N/A</v>
      </c>
      <c r="H9" s="16" t="e">
        <f ca="1">FLUID!L52</f>
        <v>#N/A</v>
      </c>
      <c r="I9" s="16" t="e">
        <f ca="1">FLUID!M52</f>
        <v>#N/A</v>
      </c>
      <c r="J9" s="16" t="e">
        <f ca="1">FLUID!N52</f>
        <v>#N/A</v>
      </c>
      <c r="K9" s="16" t="e">
        <f ca="1">FLUID!O52</f>
        <v>#N/A</v>
      </c>
      <c r="L9" s="16" t="e">
        <f ca="1">FLUID!P52</f>
        <v>#N/A</v>
      </c>
      <c r="M9" s="16" t="e">
        <f ca="1">FLUID!Q52</f>
        <v>#N/A</v>
      </c>
      <c r="N9" s="16" t="e">
        <f ca="1">FLUID!R52</f>
        <v>#N/A</v>
      </c>
      <c r="O9" s="16" t="e">
        <f ca="1">FLUID!S52</f>
        <v>#N/A</v>
      </c>
      <c r="P9" s="16" t="e">
        <f ca="1">FLUID!T52</f>
        <v>#N/A</v>
      </c>
      <c r="Q9" s="16" t="e">
        <f ca="1">FLUID!U52</f>
        <v>#N/A</v>
      </c>
      <c r="R9" s="16" t="e">
        <f ca="1">FLUID!V52</f>
        <v>#N/A</v>
      </c>
      <c r="S9" s="16" t="e">
        <f ca="1">FLUID!W52</f>
        <v>#N/A</v>
      </c>
      <c r="T9" s="16" t="e">
        <f ca="1">FLUID!X52</f>
        <v>#N/A</v>
      </c>
      <c r="U9" s="16" t="e">
        <f ca="1">FLUID!Y52</f>
        <v>#N/A</v>
      </c>
      <c r="V9" s="16" t="e">
        <f ca="1">FLUID!Z52</f>
        <v>#N/A</v>
      </c>
      <c r="W9" s="16" t="e">
        <f ca="1">FLUID!AA52</f>
        <v>#N/A</v>
      </c>
      <c r="X9" s="16" t="e">
        <f ca="1">FLUID!AB52</f>
        <v>#N/A</v>
      </c>
      <c r="Y9" s="16" t="e">
        <f ca="1">FLUID!AC52</f>
        <v>#N/A</v>
      </c>
      <c r="Z9" s="16" t="e">
        <f ca="1">FLUID!AD52</f>
        <v>#N/A</v>
      </c>
      <c r="AA9" s="16" t="e">
        <f ca="1">FLUID!AE52</f>
        <v>#N/A</v>
      </c>
      <c r="AB9" s="16" t="e">
        <f ca="1">FLUID!AF52</f>
        <v>#N/A</v>
      </c>
      <c r="AC9" s="16" t="e">
        <f ca="1">FLUID!AG52</f>
        <v>#N/A</v>
      </c>
      <c r="AD9" s="16" t="e">
        <f ca="1">FLUID!AH52</f>
        <v>#N/A</v>
      </c>
      <c r="AE9" s="16" t="e">
        <f ca="1">FLUID!AI52</f>
        <v>#N/A</v>
      </c>
      <c r="AF9" s="16" t="e">
        <f ca="1">FLUID!AJ52</f>
        <v>#N/A</v>
      </c>
      <c r="AG9" s="16" t="e">
        <f ca="1">FLUID!AK52</f>
        <v>#N/A</v>
      </c>
      <c r="AH9" s="16" t="e">
        <f ca="1">FLUID!AL52</f>
        <v>#N/A</v>
      </c>
      <c r="AI9" s="16">
        <f>FLUID!AM52</f>
        <v>0</v>
      </c>
      <c r="AJ9" s="16">
        <f>FLUID!AN52</f>
        <v>0</v>
      </c>
      <c r="AK9" s="16">
        <f>FLUID!AO52</f>
        <v>0</v>
      </c>
      <c r="AL9" s="16">
        <f>FLUID!AP52</f>
        <v>0</v>
      </c>
      <c r="AM9" s="16">
        <f>FLUID!AQ52</f>
        <v>0</v>
      </c>
      <c r="AN9" s="16">
        <f>FLUID!AR52</f>
        <v>0</v>
      </c>
      <c r="AO9" s="16">
        <f>FLUID!AS52</f>
        <v>0</v>
      </c>
      <c r="AP9" s="16">
        <f>FLUID!AT52</f>
        <v>0</v>
      </c>
      <c r="AQ9" s="16">
        <f>FLUID!AU52</f>
        <v>0</v>
      </c>
      <c r="AR9" s="16">
        <f>FLUID!AV52</f>
        <v>0</v>
      </c>
      <c r="AS9" s="16">
        <f>FLUID!AW52</f>
        <v>0</v>
      </c>
      <c r="AT9" s="16">
        <f>FLUID!AX52</f>
        <v>0</v>
      </c>
      <c r="AU9" s="16">
        <f>FLUID!AY52</f>
        <v>0</v>
      </c>
      <c r="AV9" s="16">
        <f>FLUID!AZ52</f>
        <v>0</v>
      </c>
      <c r="AW9" s="16">
        <f>FLUID!BA52</f>
        <v>0</v>
      </c>
      <c r="AX9" s="16">
        <f>FLUID!BB52</f>
        <v>0</v>
      </c>
      <c r="AY9" s="16">
        <f>FLUID!BC52</f>
        <v>0</v>
      </c>
      <c r="AZ9" s="16">
        <f>FLUID!BD52</f>
        <v>0</v>
      </c>
      <c r="BA9" s="16">
        <f>FLUID!BE52</f>
        <v>0</v>
      </c>
      <c r="BB9" s="16">
        <f>FLUID!BF52</f>
        <v>0</v>
      </c>
      <c r="BC9" s="16">
        <f>FLUID!BG52</f>
        <v>0</v>
      </c>
      <c r="BD9" s="16">
        <f>FLUID!BH52</f>
        <v>0</v>
      </c>
      <c r="BE9" s="16">
        <f>FLUID!BI52</f>
        <v>0</v>
      </c>
      <c r="BF9" s="16">
        <f>FLUID!BJ52</f>
        <v>0</v>
      </c>
      <c r="BG9" s="16">
        <f>FLUID!BK52</f>
        <v>0</v>
      </c>
      <c r="BH9" s="16">
        <f>FLUID!BL52</f>
        <v>0</v>
      </c>
      <c r="BI9" s="16">
        <f>FLUID!BM52</f>
        <v>0</v>
      </c>
      <c r="BJ9" s="16">
        <f>FLUID!BN52</f>
        <v>0</v>
      </c>
      <c r="BK9" s="16">
        <f>FLUID!BO52</f>
        <v>0</v>
      </c>
      <c r="BL9" s="16">
        <f>FLUID!BP52</f>
        <v>0</v>
      </c>
      <c r="BM9" s="16">
        <f>FLUID!BQ52</f>
        <v>0</v>
      </c>
      <c r="BN9" s="16">
        <f>FLUID!BR52</f>
        <v>0</v>
      </c>
      <c r="BO9" s="16">
        <f>FLUID!BS52</f>
        <v>0</v>
      </c>
      <c r="BP9" s="16">
        <f>FLUID!BT52</f>
        <v>0</v>
      </c>
      <c r="BQ9" s="16">
        <f>FLUID!BU52</f>
        <v>0</v>
      </c>
      <c r="BR9" s="16">
        <f>FLUID!BV52</f>
        <v>0</v>
      </c>
      <c r="BS9" s="16">
        <f>FLUID!BW52</f>
        <v>0</v>
      </c>
      <c r="BT9" s="16">
        <f>FLUID!BX52</f>
        <v>0</v>
      </c>
    </row>
    <row r="10" spans="1:72" ht="21.75" hidden="1" outlineLevel="1" thickBot="1" x14ac:dyDescent="0.4">
      <c r="A10" s="88">
        <f>FLUID!E53</f>
        <v>0</v>
      </c>
      <c r="B10" s="16" t="e">
        <f ca="1">FLUID!F53</f>
        <v>#N/A</v>
      </c>
      <c r="C10" s="16" t="e">
        <f ca="1">FLUID!G53</f>
        <v>#N/A</v>
      </c>
      <c r="D10" s="16" t="e">
        <f ca="1">FLUID!H53</f>
        <v>#N/A</v>
      </c>
      <c r="E10" s="16" t="e">
        <f ca="1">FLUID!I53</f>
        <v>#N/A</v>
      </c>
      <c r="F10" s="16" t="e">
        <f ca="1">FLUID!J53</f>
        <v>#N/A</v>
      </c>
      <c r="G10" s="16" t="e">
        <f ca="1">FLUID!K53</f>
        <v>#N/A</v>
      </c>
      <c r="H10" s="16" t="e">
        <f ca="1">FLUID!L53</f>
        <v>#N/A</v>
      </c>
      <c r="I10" s="16" t="e">
        <f ca="1">FLUID!M53</f>
        <v>#N/A</v>
      </c>
      <c r="J10" s="16" t="e">
        <f ca="1">FLUID!N53</f>
        <v>#N/A</v>
      </c>
      <c r="K10" s="16" t="e">
        <f ca="1">FLUID!O53</f>
        <v>#N/A</v>
      </c>
      <c r="L10" s="16" t="e">
        <f ca="1">FLUID!P53</f>
        <v>#N/A</v>
      </c>
      <c r="M10" s="16" t="e">
        <f ca="1">FLUID!Q53</f>
        <v>#N/A</v>
      </c>
      <c r="N10" s="16" t="e">
        <f ca="1">FLUID!R53</f>
        <v>#N/A</v>
      </c>
      <c r="O10" s="16" t="e">
        <f ca="1">FLUID!S53</f>
        <v>#N/A</v>
      </c>
      <c r="P10" s="16" t="e">
        <f ca="1">FLUID!T53</f>
        <v>#N/A</v>
      </c>
      <c r="Q10" s="16" t="e">
        <f ca="1">FLUID!U53</f>
        <v>#N/A</v>
      </c>
      <c r="R10" s="16" t="e">
        <f ca="1">FLUID!V53</f>
        <v>#N/A</v>
      </c>
      <c r="S10" s="16" t="e">
        <f ca="1">FLUID!W53</f>
        <v>#N/A</v>
      </c>
      <c r="T10" s="16" t="e">
        <f ca="1">FLUID!X53</f>
        <v>#N/A</v>
      </c>
      <c r="U10" s="16" t="e">
        <f ca="1">FLUID!Y53</f>
        <v>#N/A</v>
      </c>
      <c r="V10" s="16" t="e">
        <f ca="1">FLUID!Z53</f>
        <v>#N/A</v>
      </c>
      <c r="W10" s="16" t="e">
        <f ca="1">FLUID!AA53</f>
        <v>#N/A</v>
      </c>
      <c r="X10" s="16" t="e">
        <f ca="1">FLUID!AB53</f>
        <v>#N/A</v>
      </c>
      <c r="Y10" s="16" t="e">
        <f ca="1">FLUID!AC53</f>
        <v>#N/A</v>
      </c>
      <c r="Z10" s="16" t="e">
        <f ca="1">FLUID!AD53</f>
        <v>#N/A</v>
      </c>
      <c r="AA10" s="16" t="e">
        <f ca="1">FLUID!AE53</f>
        <v>#N/A</v>
      </c>
      <c r="AB10" s="16" t="e">
        <f ca="1">FLUID!AF53</f>
        <v>#N/A</v>
      </c>
      <c r="AC10" s="16" t="e">
        <f ca="1">FLUID!AG53</f>
        <v>#N/A</v>
      </c>
      <c r="AD10" s="16" t="e">
        <f ca="1">FLUID!AH53</f>
        <v>#N/A</v>
      </c>
      <c r="AE10" s="16" t="e">
        <f ca="1">FLUID!AI53</f>
        <v>#N/A</v>
      </c>
      <c r="AF10" s="16" t="e">
        <f ca="1">FLUID!AJ53</f>
        <v>#N/A</v>
      </c>
      <c r="AG10" s="16" t="e">
        <f ca="1">FLUID!AK53</f>
        <v>#N/A</v>
      </c>
      <c r="AH10" s="16" t="e">
        <f ca="1">FLUID!AL53</f>
        <v>#N/A</v>
      </c>
      <c r="AI10" s="16">
        <f>FLUID!AM53</f>
        <v>0</v>
      </c>
      <c r="AJ10" s="16">
        <f>FLUID!AN53</f>
        <v>0</v>
      </c>
      <c r="AK10" s="16">
        <f>FLUID!AO53</f>
        <v>0</v>
      </c>
      <c r="AL10" s="16">
        <f>FLUID!AP53</f>
        <v>0</v>
      </c>
      <c r="AM10" s="16">
        <f>FLUID!AQ53</f>
        <v>0</v>
      </c>
      <c r="AN10" s="16">
        <f>FLUID!AR53</f>
        <v>0</v>
      </c>
      <c r="AO10" s="16">
        <f>FLUID!AS53</f>
        <v>0</v>
      </c>
      <c r="AP10" s="16">
        <f>FLUID!AT53</f>
        <v>0</v>
      </c>
      <c r="AQ10" s="16">
        <f>FLUID!AU53</f>
        <v>0</v>
      </c>
      <c r="AR10" s="16">
        <f>FLUID!AV53</f>
        <v>0</v>
      </c>
      <c r="AS10" s="16">
        <f>FLUID!AW53</f>
        <v>0</v>
      </c>
      <c r="AT10" s="16">
        <f>FLUID!AX53</f>
        <v>0</v>
      </c>
      <c r="AU10" s="16">
        <f>FLUID!AY53</f>
        <v>0</v>
      </c>
      <c r="AV10" s="16">
        <f>FLUID!AZ53</f>
        <v>0</v>
      </c>
      <c r="AW10" s="16">
        <f>FLUID!BA53</f>
        <v>0</v>
      </c>
      <c r="AX10" s="16">
        <f>FLUID!BB53</f>
        <v>0</v>
      </c>
      <c r="AY10" s="16">
        <f>FLUID!BC53</f>
        <v>0</v>
      </c>
      <c r="AZ10" s="16">
        <f>FLUID!BD53</f>
        <v>0</v>
      </c>
      <c r="BA10" s="16">
        <f>FLUID!BE53</f>
        <v>0</v>
      </c>
      <c r="BB10" s="16">
        <f>FLUID!BF53</f>
        <v>0</v>
      </c>
      <c r="BC10" s="16">
        <f>FLUID!BG53</f>
        <v>0</v>
      </c>
      <c r="BD10" s="16">
        <f>FLUID!BH53</f>
        <v>0</v>
      </c>
      <c r="BE10" s="16">
        <f>FLUID!BI53</f>
        <v>0</v>
      </c>
      <c r="BF10" s="16">
        <f>FLUID!BJ53</f>
        <v>0</v>
      </c>
      <c r="BG10" s="16">
        <f>FLUID!BK53</f>
        <v>0</v>
      </c>
      <c r="BH10" s="16">
        <f>FLUID!BL53</f>
        <v>0</v>
      </c>
      <c r="BI10" s="16">
        <f>FLUID!BM53</f>
        <v>0</v>
      </c>
      <c r="BJ10" s="16">
        <f>FLUID!BN53</f>
        <v>0</v>
      </c>
      <c r="BK10" s="16">
        <f>FLUID!BO53</f>
        <v>0</v>
      </c>
      <c r="BL10" s="16">
        <f>FLUID!BP53</f>
        <v>0</v>
      </c>
      <c r="BM10" s="16">
        <f>FLUID!BQ53</f>
        <v>0</v>
      </c>
      <c r="BN10" s="16">
        <f>FLUID!BR53</f>
        <v>0</v>
      </c>
      <c r="BO10" s="16">
        <f>FLUID!BS53</f>
        <v>0</v>
      </c>
      <c r="BP10" s="16">
        <f>FLUID!BT53</f>
        <v>0</v>
      </c>
      <c r="BQ10" s="16">
        <f>FLUID!BU53</f>
        <v>0</v>
      </c>
      <c r="BR10" s="16">
        <f>FLUID!BV53</f>
        <v>0</v>
      </c>
      <c r="BS10" s="16">
        <f>FLUID!BW53</f>
        <v>0</v>
      </c>
      <c r="BT10" s="16">
        <f>FLUID!BX53</f>
        <v>0</v>
      </c>
    </row>
    <row r="11" spans="1:72" ht="21.75" hidden="1" outlineLevel="1" thickBot="1" x14ac:dyDescent="0.4">
      <c r="A11" s="88">
        <f>FLUID!E54</f>
        <v>0</v>
      </c>
      <c r="B11" s="16" t="e">
        <f ca="1">FLUID!F54</f>
        <v>#N/A</v>
      </c>
      <c r="C11" s="16" t="e">
        <f ca="1">FLUID!G54</f>
        <v>#N/A</v>
      </c>
      <c r="D11" s="16" t="e">
        <f ca="1">FLUID!H54</f>
        <v>#N/A</v>
      </c>
      <c r="E11" s="16" t="e">
        <f ca="1">FLUID!I54</f>
        <v>#N/A</v>
      </c>
      <c r="F11" s="16" t="e">
        <f ca="1">FLUID!J54</f>
        <v>#N/A</v>
      </c>
      <c r="G11" s="16" t="e">
        <f ca="1">FLUID!K54</f>
        <v>#N/A</v>
      </c>
      <c r="H11" s="16" t="e">
        <f ca="1">FLUID!L54</f>
        <v>#N/A</v>
      </c>
      <c r="I11" s="16" t="e">
        <f ca="1">FLUID!M54</f>
        <v>#N/A</v>
      </c>
      <c r="J11" s="16" t="e">
        <f ca="1">FLUID!N54</f>
        <v>#N/A</v>
      </c>
      <c r="K11" s="16" t="e">
        <f ca="1">FLUID!O54</f>
        <v>#N/A</v>
      </c>
      <c r="L11" s="16" t="e">
        <f ca="1">FLUID!P54</f>
        <v>#N/A</v>
      </c>
      <c r="M11" s="16" t="e">
        <f ca="1">FLUID!Q54</f>
        <v>#N/A</v>
      </c>
      <c r="N11" s="16" t="e">
        <f ca="1">FLUID!R54</f>
        <v>#N/A</v>
      </c>
      <c r="O11" s="16" t="e">
        <f ca="1">FLUID!S54</f>
        <v>#N/A</v>
      </c>
      <c r="P11" s="16" t="e">
        <f ca="1">FLUID!T54</f>
        <v>#N/A</v>
      </c>
      <c r="Q11" s="16" t="e">
        <f ca="1">FLUID!U54</f>
        <v>#N/A</v>
      </c>
      <c r="R11" s="16" t="e">
        <f ca="1">FLUID!V54</f>
        <v>#N/A</v>
      </c>
      <c r="S11" s="16" t="e">
        <f ca="1">FLUID!W54</f>
        <v>#N/A</v>
      </c>
      <c r="T11" s="16" t="e">
        <f ca="1">FLUID!X54</f>
        <v>#N/A</v>
      </c>
      <c r="U11" s="16" t="e">
        <f ca="1">FLUID!Y54</f>
        <v>#N/A</v>
      </c>
      <c r="V11" s="16" t="e">
        <f ca="1">FLUID!Z54</f>
        <v>#N/A</v>
      </c>
      <c r="W11" s="16" t="e">
        <f ca="1">FLUID!AA54</f>
        <v>#N/A</v>
      </c>
      <c r="X11" s="16" t="e">
        <f ca="1">FLUID!AB54</f>
        <v>#N/A</v>
      </c>
      <c r="Y11" s="16" t="e">
        <f ca="1">FLUID!AC54</f>
        <v>#N/A</v>
      </c>
      <c r="Z11" s="16" t="e">
        <f ca="1">FLUID!AD54</f>
        <v>#N/A</v>
      </c>
      <c r="AA11" s="16" t="e">
        <f ca="1">FLUID!AE54</f>
        <v>#N/A</v>
      </c>
      <c r="AB11" s="16" t="e">
        <f ca="1">FLUID!AF54</f>
        <v>#N/A</v>
      </c>
      <c r="AC11" s="16" t="e">
        <f ca="1">FLUID!AG54</f>
        <v>#N/A</v>
      </c>
      <c r="AD11" s="16" t="e">
        <f ca="1">FLUID!AH54</f>
        <v>#N/A</v>
      </c>
      <c r="AE11" s="16" t="e">
        <f ca="1">FLUID!AI54</f>
        <v>#N/A</v>
      </c>
      <c r="AF11" s="16" t="e">
        <f ca="1">FLUID!AJ54</f>
        <v>#N/A</v>
      </c>
      <c r="AG11" s="16" t="e">
        <f ca="1">FLUID!AK54</f>
        <v>#N/A</v>
      </c>
      <c r="AH11" s="16" t="e">
        <f ca="1">FLUID!AL54</f>
        <v>#N/A</v>
      </c>
      <c r="AI11" s="16">
        <f>FLUID!AM54</f>
        <v>0</v>
      </c>
      <c r="AJ11" s="16">
        <f>FLUID!AN54</f>
        <v>0</v>
      </c>
      <c r="AK11" s="16">
        <f>FLUID!AO54</f>
        <v>0</v>
      </c>
      <c r="AL11" s="16">
        <f>FLUID!AP54</f>
        <v>0</v>
      </c>
      <c r="AM11" s="16">
        <f>FLUID!AQ54</f>
        <v>0</v>
      </c>
      <c r="AN11" s="16">
        <f>FLUID!AR54</f>
        <v>0</v>
      </c>
      <c r="AO11" s="16">
        <f>FLUID!AS54</f>
        <v>0</v>
      </c>
      <c r="AP11" s="16">
        <f>FLUID!AT54</f>
        <v>0</v>
      </c>
      <c r="AQ11" s="16">
        <f>FLUID!AU54</f>
        <v>0</v>
      </c>
      <c r="AR11" s="16">
        <f>FLUID!AV54</f>
        <v>0</v>
      </c>
      <c r="AS11" s="16">
        <f>FLUID!AW54</f>
        <v>0</v>
      </c>
      <c r="AT11" s="16">
        <f>FLUID!AX54</f>
        <v>0</v>
      </c>
      <c r="AU11" s="16">
        <f>FLUID!AY54</f>
        <v>0</v>
      </c>
      <c r="AV11" s="16">
        <f>FLUID!AZ54</f>
        <v>0</v>
      </c>
      <c r="AW11" s="16">
        <f>FLUID!BA54</f>
        <v>0</v>
      </c>
      <c r="AX11" s="16">
        <f>FLUID!BB54</f>
        <v>0</v>
      </c>
      <c r="AY11" s="16">
        <f>FLUID!BC54</f>
        <v>0</v>
      </c>
      <c r="AZ11" s="16">
        <f>FLUID!BD54</f>
        <v>0</v>
      </c>
      <c r="BA11" s="16">
        <f>FLUID!BE54</f>
        <v>0</v>
      </c>
      <c r="BB11" s="16">
        <f>FLUID!BF54</f>
        <v>0</v>
      </c>
      <c r="BC11" s="16">
        <f>FLUID!BG54</f>
        <v>0</v>
      </c>
      <c r="BD11" s="16">
        <f>FLUID!BH54</f>
        <v>0</v>
      </c>
      <c r="BE11" s="16">
        <f>FLUID!BI54</f>
        <v>0</v>
      </c>
      <c r="BF11" s="16">
        <f>FLUID!BJ54</f>
        <v>0</v>
      </c>
      <c r="BG11" s="16">
        <f>FLUID!BK54</f>
        <v>0</v>
      </c>
      <c r="BH11" s="16">
        <f>FLUID!BL54</f>
        <v>0</v>
      </c>
      <c r="BI11" s="16">
        <f>FLUID!BM54</f>
        <v>0</v>
      </c>
      <c r="BJ11" s="16">
        <f>FLUID!BN54</f>
        <v>0</v>
      </c>
      <c r="BK11" s="16">
        <f>FLUID!BO54</f>
        <v>0</v>
      </c>
      <c r="BL11" s="16">
        <f>FLUID!BP54</f>
        <v>0</v>
      </c>
      <c r="BM11" s="16">
        <f>FLUID!BQ54</f>
        <v>0</v>
      </c>
      <c r="BN11" s="16">
        <f>FLUID!BR54</f>
        <v>0</v>
      </c>
      <c r="BO11" s="16">
        <f>FLUID!BS54</f>
        <v>0</v>
      </c>
      <c r="BP11" s="16">
        <f>FLUID!BT54</f>
        <v>0</v>
      </c>
      <c r="BQ11" s="16">
        <f>FLUID!BU54</f>
        <v>0</v>
      </c>
      <c r="BR11" s="16">
        <f>FLUID!BV54</f>
        <v>0</v>
      </c>
      <c r="BS11" s="16">
        <f>FLUID!BW54</f>
        <v>0</v>
      </c>
      <c r="BT11" s="16">
        <f>FLUID!BX54</f>
        <v>0</v>
      </c>
    </row>
    <row r="12" spans="1:72" ht="21.75" hidden="1" outlineLevel="1" thickBot="1" x14ac:dyDescent="0.4">
      <c r="A12" s="88">
        <f>FLUID!E55</f>
        <v>0</v>
      </c>
      <c r="B12" s="16" t="e">
        <f ca="1">FLUID!F55</f>
        <v>#N/A</v>
      </c>
      <c r="C12" s="16" t="e">
        <f ca="1">FLUID!G55</f>
        <v>#N/A</v>
      </c>
      <c r="D12" s="16" t="e">
        <f ca="1">FLUID!H55</f>
        <v>#N/A</v>
      </c>
      <c r="E12" s="16" t="e">
        <f ca="1">FLUID!I55</f>
        <v>#N/A</v>
      </c>
      <c r="F12" s="16" t="e">
        <f ca="1">FLUID!J55</f>
        <v>#N/A</v>
      </c>
      <c r="G12" s="16" t="e">
        <f ca="1">FLUID!K55</f>
        <v>#N/A</v>
      </c>
      <c r="H12" s="16" t="e">
        <f ca="1">FLUID!L55</f>
        <v>#N/A</v>
      </c>
      <c r="I12" s="16" t="e">
        <f ca="1">FLUID!M55</f>
        <v>#N/A</v>
      </c>
      <c r="J12" s="16" t="e">
        <f ca="1">FLUID!N55</f>
        <v>#N/A</v>
      </c>
      <c r="K12" s="16" t="e">
        <f ca="1">FLUID!O55</f>
        <v>#N/A</v>
      </c>
      <c r="L12" s="16" t="e">
        <f ca="1">FLUID!P55</f>
        <v>#N/A</v>
      </c>
      <c r="M12" s="16" t="e">
        <f ca="1">FLUID!Q55</f>
        <v>#N/A</v>
      </c>
      <c r="N12" s="16" t="e">
        <f ca="1">FLUID!R55</f>
        <v>#N/A</v>
      </c>
      <c r="O12" s="16" t="e">
        <f ca="1">FLUID!S55</f>
        <v>#N/A</v>
      </c>
      <c r="P12" s="16" t="e">
        <f ca="1">FLUID!T55</f>
        <v>#N/A</v>
      </c>
      <c r="Q12" s="16" t="e">
        <f ca="1">FLUID!U55</f>
        <v>#N/A</v>
      </c>
      <c r="R12" s="16" t="e">
        <f ca="1">FLUID!V55</f>
        <v>#N/A</v>
      </c>
      <c r="S12" s="16" t="e">
        <f ca="1">FLUID!W55</f>
        <v>#N/A</v>
      </c>
      <c r="T12" s="16" t="e">
        <f ca="1">FLUID!X55</f>
        <v>#N/A</v>
      </c>
      <c r="U12" s="16" t="e">
        <f ca="1">FLUID!Y55</f>
        <v>#N/A</v>
      </c>
      <c r="V12" s="16" t="e">
        <f ca="1">FLUID!Z55</f>
        <v>#N/A</v>
      </c>
      <c r="W12" s="16" t="e">
        <f ca="1">FLUID!AA55</f>
        <v>#N/A</v>
      </c>
      <c r="X12" s="16" t="e">
        <f ca="1">FLUID!AB55</f>
        <v>#N/A</v>
      </c>
      <c r="Y12" s="16" t="e">
        <f ca="1">FLUID!AC55</f>
        <v>#N/A</v>
      </c>
      <c r="Z12" s="16" t="e">
        <f ca="1">FLUID!AD55</f>
        <v>#N/A</v>
      </c>
      <c r="AA12" s="16" t="e">
        <f ca="1">FLUID!AE55</f>
        <v>#N/A</v>
      </c>
      <c r="AB12" s="16" t="e">
        <f ca="1">FLUID!AF55</f>
        <v>#N/A</v>
      </c>
      <c r="AC12" s="16" t="e">
        <f ca="1">FLUID!AG55</f>
        <v>#N/A</v>
      </c>
      <c r="AD12" s="16" t="e">
        <f ca="1">FLUID!AH55</f>
        <v>#N/A</v>
      </c>
      <c r="AE12" s="16" t="e">
        <f ca="1">FLUID!AI55</f>
        <v>#N/A</v>
      </c>
      <c r="AF12" s="16" t="e">
        <f ca="1">FLUID!AJ55</f>
        <v>#N/A</v>
      </c>
      <c r="AG12" s="16" t="e">
        <f ca="1">FLUID!AK55</f>
        <v>#N/A</v>
      </c>
      <c r="AH12" s="16" t="e">
        <f ca="1">FLUID!AL55</f>
        <v>#N/A</v>
      </c>
      <c r="AI12" s="16">
        <f>FLUID!AM55</f>
        <v>0</v>
      </c>
      <c r="AJ12" s="16">
        <f>FLUID!AN55</f>
        <v>0</v>
      </c>
      <c r="AK12" s="16">
        <f>FLUID!AO55</f>
        <v>0</v>
      </c>
      <c r="AL12" s="16">
        <f>FLUID!AP55</f>
        <v>0</v>
      </c>
      <c r="AM12" s="16">
        <f>FLUID!AQ55</f>
        <v>0</v>
      </c>
      <c r="AN12" s="16">
        <f>FLUID!AR55</f>
        <v>0</v>
      </c>
      <c r="AO12" s="16">
        <f>FLUID!AS55</f>
        <v>0</v>
      </c>
      <c r="AP12" s="16">
        <f>FLUID!AT55</f>
        <v>0</v>
      </c>
      <c r="AQ12" s="16">
        <f>FLUID!AU55</f>
        <v>0</v>
      </c>
      <c r="AR12" s="16">
        <f>FLUID!AV55</f>
        <v>0</v>
      </c>
      <c r="AS12" s="16">
        <f>FLUID!AW55</f>
        <v>0</v>
      </c>
      <c r="AT12" s="16">
        <f>FLUID!AX55</f>
        <v>0</v>
      </c>
      <c r="AU12" s="16">
        <f>FLUID!AY55</f>
        <v>0</v>
      </c>
      <c r="AV12" s="16">
        <f>FLUID!AZ55</f>
        <v>0</v>
      </c>
      <c r="AW12" s="16">
        <f>FLUID!BA55</f>
        <v>0</v>
      </c>
      <c r="AX12" s="16">
        <f>FLUID!BB55</f>
        <v>0</v>
      </c>
      <c r="AY12" s="16">
        <f>FLUID!BC55</f>
        <v>0</v>
      </c>
      <c r="AZ12" s="16">
        <f>FLUID!BD55</f>
        <v>0</v>
      </c>
      <c r="BA12" s="16">
        <f>FLUID!BE55</f>
        <v>0</v>
      </c>
      <c r="BB12" s="16">
        <f>FLUID!BF55</f>
        <v>0</v>
      </c>
      <c r="BC12" s="16">
        <f>FLUID!BG55</f>
        <v>0</v>
      </c>
      <c r="BD12" s="16">
        <f>FLUID!BH55</f>
        <v>0</v>
      </c>
      <c r="BE12" s="16">
        <f>FLUID!BI55</f>
        <v>0</v>
      </c>
      <c r="BF12" s="16">
        <f>FLUID!BJ55</f>
        <v>0</v>
      </c>
      <c r="BG12" s="16">
        <f>FLUID!BK55</f>
        <v>0</v>
      </c>
      <c r="BH12" s="16">
        <f>FLUID!BL55</f>
        <v>0</v>
      </c>
      <c r="BI12" s="16">
        <f>FLUID!BM55</f>
        <v>0</v>
      </c>
      <c r="BJ12" s="16">
        <f>FLUID!BN55</f>
        <v>0</v>
      </c>
      <c r="BK12" s="16">
        <f>FLUID!BO55</f>
        <v>0</v>
      </c>
      <c r="BL12" s="16">
        <f>FLUID!BP55</f>
        <v>0</v>
      </c>
      <c r="BM12" s="16">
        <f>FLUID!BQ55</f>
        <v>0</v>
      </c>
      <c r="BN12" s="16">
        <f>FLUID!BR55</f>
        <v>0</v>
      </c>
      <c r="BO12" s="16">
        <f>FLUID!BS55</f>
        <v>0</v>
      </c>
      <c r="BP12" s="16">
        <f>FLUID!BT55</f>
        <v>0</v>
      </c>
      <c r="BQ12" s="16">
        <f>FLUID!BU55</f>
        <v>0</v>
      </c>
      <c r="BR12" s="16">
        <f>FLUID!BV55</f>
        <v>0</v>
      </c>
      <c r="BS12" s="16">
        <f>FLUID!BW55</f>
        <v>0</v>
      </c>
      <c r="BT12" s="16">
        <f>FLUID!BX55</f>
        <v>0</v>
      </c>
    </row>
    <row r="13" spans="1:72" ht="21.75" hidden="1" outlineLevel="1" thickBot="1" x14ac:dyDescent="0.4">
      <c r="A13" s="88">
        <f>FLUID!E56</f>
        <v>0</v>
      </c>
      <c r="B13" s="16" t="e">
        <f ca="1">FLUID!F56</f>
        <v>#N/A</v>
      </c>
      <c r="C13" s="16" t="e">
        <f ca="1">FLUID!G56</f>
        <v>#N/A</v>
      </c>
      <c r="D13" s="16" t="e">
        <f ca="1">FLUID!H56</f>
        <v>#N/A</v>
      </c>
      <c r="E13" s="16" t="e">
        <f ca="1">FLUID!I56</f>
        <v>#N/A</v>
      </c>
      <c r="F13" s="16" t="e">
        <f ca="1">FLUID!J56</f>
        <v>#N/A</v>
      </c>
      <c r="G13" s="16" t="e">
        <f ca="1">FLUID!K56</f>
        <v>#N/A</v>
      </c>
      <c r="H13" s="16" t="e">
        <f ca="1">FLUID!L56</f>
        <v>#N/A</v>
      </c>
      <c r="I13" s="16" t="e">
        <f ca="1">FLUID!M56</f>
        <v>#N/A</v>
      </c>
      <c r="J13" s="16" t="e">
        <f ca="1">FLUID!N56</f>
        <v>#N/A</v>
      </c>
      <c r="K13" s="16" t="e">
        <f ca="1">FLUID!O56</f>
        <v>#N/A</v>
      </c>
      <c r="L13" s="16" t="e">
        <f ca="1">FLUID!P56</f>
        <v>#N/A</v>
      </c>
      <c r="M13" s="16" t="e">
        <f ca="1">FLUID!Q56</f>
        <v>#N/A</v>
      </c>
      <c r="N13" s="16" t="e">
        <f ca="1">FLUID!R56</f>
        <v>#N/A</v>
      </c>
      <c r="O13" s="16" t="e">
        <f ca="1">FLUID!S56</f>
        <v>#N/A</v>
      </c>
      <c r="P13" s="16" t="e">
        <f ca="1">FLUID!T56</f>
        <v>#N/A</v>
      </c>
      <c r="Q13" s="16" t="e">
        <f ca="1">FLUID!U56</f>
        <v>#N/A</v>
      </c>
      <c r="R13" s="16" t="e">
        <f ca="1">FLUID!V56</f>
        <v>#N/A</v>
      </c>
      <c r="S13" s="16" t="e">
        <f ca="1">FLUID!W56</f>
        <v>#N/A</v>
      </c>
      <c r="T13" s="16" t="e">
        <f ca="1">FLUID!X56</f>
        <v>#N/A</v>
      </c>
      <c r="U13" s="16" t="e">
        <f ca="1">FLUID!Y56</f>
        <v>#N/A</v>
      </c>
      <c r="V13" s="16" t="e">
        <f ca="1">FLUID!Z56</f>
        <v>#N/A</v>
      </c>
      <c r="W13" s="16" t="e">
        <f ca="1">FLUID!AA56</f>
        <v>#N/A</v>
      </c>
      <c r="X13" s="16" t="e">
        <f ca="1">FLUID!AB56</f>
        <v>#N/A</v>
      </c>
      <c r="Y13" s="16" t="e">
        <f ca="1">FLUID!AC56</f>
        <v>#N/A</v>
      </c>
      <c r="Z13" s="16" t="e">
        <f ca="1">FLUID!AD56</f>
        <v>#N/A</v>
      </c>
      <c r="AA13" s="16" t="e">
        <f ca="1">FLUID!AE56</f>
        <v>#N/A</v>
      </c>
      <c r="AB13" s="16" t="e">
        <f ca="1">FLUID!AF56</f>
        <v>#N/A</v>
      </c>
      <c r="AC13" s="16" t="e">
        <f ca="1">FLUID!AG56</f>
        <v>#N/A</v>
      </c>
      <c r="AD13" s="16" t="e">
        <f ca="1">FLUID!AH56</f>
        <v>#N/A</v>
      </c>
      <c r="AE13" s="16" t="e">
        <f ca="1">FLUID!AI56</f>
        <v>#N/A</v>
      </c>
      <c r="AF13" s="16" t="e">
        <f ca="1">FLUID!AJ56</f>
        <v>#N/A</v>
      </c>
      <c r="AG13" s="16" t="e">
        <f ca="1">FLUID!AK56</f>
        <v>#N/A</v>
      </c>
      <c r="AH13" s="16" t="e">
        <f ca="1">FLUID!AL56</f>
        <v>#N/A</v>
      </c>
      <c r="AI13" s="16">
        <f>FLUID!AM56</f>
        <v>0</v>
      </c>
      <c r="AJ13" s="16">
        <f>FLUID!AN56</f>
        <v>0</v>
      </c>
      <c r="AK13" s="16">
        <f>FLUID!AO56</f>
        <v>0</v>
      </c>
      <c r="AL13" s="16">
        <f>FLUID!AP56</f>
        <v>0</v>
      </c>
      <c r="AM13" s="16">
        <f>FLUID!AQ56</f>
        <v>0</v>
      </c>
      <c r="AN13" s="16">
        <f>FLUID!AR56</f>
        <v>0</v>
      </c>
      <c r="AO13" s="16">
        <f>FLUID!AS56</f>
        <v>0</v>
      </c>
      <c r="AP13" s="16">
        <f>FLUID!AT56</f>
        <v>0</v>
      </c>
      <c r="AQ13" s="16">
        <f>FLUID!AU56</f>
        <v>0</v>
      </c>
      <c r="AR13" s="16">
        <f>FLUID!AV56</f>
        <v>0</v>
      </c>
      <c r="AS13" s="16">
        <f>FLUID!AW56</f>
        <v>0</v>
      </c>
      <c r="AT13" s="16">
        <f>FLUID!AX56</f>
        <v>0</v>
      </c>
      <c r="AU13" s="16">
        <f>FLUID!AY56</f>
        <v>0</v>
      </c>
      <c r="AV13" s="16">
        <f>FLUID!AZ56</f>
        <v>0</v>
      </c>
      <c r="AW13" s="16">
        <f>FLUID!BA56</f>
        <v>0</v>
      </c>
      <c r="AX13" s="16">
        <f>FLUID!BB56</f>
        <v>0</v>
      </c>
      <c r="AY13" s="16">
        <f>FLUID!BC56</f>
        <v>0</v>
      </c>
      <c r="AZ13" s="16">
        <f>FLUID!BD56</f>
        <v>0</v>
      </c>
      <c r="BA13" s="16">
        <f>FLUID!BE56</f>
        <v>0</v>
      </c>
      <c r="BB13" s="16">
        <f>FLUID!BF56</f>
        <v>0</v>
      </c>
      <c r="BC13" s="16">
        <f>FLUID!BG56</f>
        <v>0</v>
      </c>
      <c r="BD13" s="16">
        <f>FLUID!BH56</f>
        <v>0</v>
      </c>
      <c r="BE13" s="16">
        <f>FLUID!BI56</f>
        <v>0</v>
      </c>
      <c r="BF13" s="16">
        <f>FLUID!BJ56</f>
        <v>0</v>
      </c>
      <c r="BG13" s="16">
        <f>FLUID!BK56</f>
        <v>0</v>
      </c>
      <c r="BH13" s="16">
        <f>FLUID!BL56</f>
        <v>0</v>
      </c>
      <c r="BI13" s="16">
        <f>FLUID!BM56</f>
        <v>0</v>
      </c>
      <c r="BJ13" s="16">
        <f>FLUID!BN56</f>
        <v>0</v>
      </c>
      <c r="BK13" s="16">
        <f>FLUID!BO56</f>
        <v>0</v>
      </c>
      <c r="BL13" s="16">
        <f>FLUID!BP56</f>
        <v>0</v>
      </c>
      <c r="BM13" s="16">
        <f>FLUID!BQ56</f>
        <v>0</v>
      </c>
      <c r="BN13" s="16">
        <f>FLUID!BR56</f>
        <v>0</v>
      </c>
      <c r="BO13" s="16">
        <f>FLUID!BS56</f>
        <v>0</v>
      </c>
      <c r="BP13" s="16">
        <f>FLUID!BT56</f>
        <v>0</v>
      </c>
      <c r="BQ13" s="16">
        <f>FLUID!BU56</f>
        <v>0</v>
      </c>
      <c r="BR13" s="16">
        <f>FLUID!BV56</f>
        <v>0</v>
      </c>
      <c r="BS13" s="16">
        <f>FLUID!BW56</f>
        <v>0</v>
      </c>
      <c r="BT13" s="16">
        <f>FLUID!BX56</f>
        <v>0</v>
      </c>
    </row>
    <row r="14" spans="1:72" ht="21.75" hidden="1" outlineLevel="1" thickBot="1" x14ac:dyDescent="0.4">
      <c r="A14" s="88">
        <f>FLUID!E57</f>
        <v>0</v>
      </c>
      <c r="B14" s="16" t="e">
        <f ca="1">FLUID!F57</f>
        <v>#N/A</v>
      </c>
      <c r="C14" s="16" t="e">
        <f ca="1">FLUID!G57</f>
        <v>#N/A</v>
      </c>
      <c r="D14" s="16" t="e">
        <f ca="1">FLUID!H57</f>
        <v>#N/A</v>
      </c>
      <c r="E14" s="16" t="e">
        <f ca="1">FLUID!I57</f>
        <v>#N/A</v>
      </c>
      <c r="F14" s="16" t="e">
        <f ca="1">FLUID!J57</f>
        <v>#N/A</v>
      </c>
      <c r="G14" s="16" t="e">
        <f ca="1">FLUID!K57</f>
        <v>#N/A</v>
      </c>
      <c r="H14" s="16" t="e">
        <f ca="1">FLUID!L57</f>
        <v>#N/A</v>
      </c>
      <c r="I14" s="16" t="e">
        <f ca="1">FLUID!M57</f>
        <v>#N/A</v>
      </c>
      <c r="J14" s="16" t="e">
        <f ca="1">FLUID!N57</f>
        <v>#N/A</v>
      </c>
      <c r="K14" s="16" t="e">
        <f ca="1">FLUID!O57</f>
        <v>#N/A</v>
      </c>
      <c r="L14" s="16" t="e">
        <f ca="1">FLUID!P57</f>
        <v>#N/A</v>
      </c>
      <c r="M14" s="16" t="e">
        <f ca="1">FLUID!Q57</f>
        <v>#N/A</v>
      </c>
      <c r="N14" s="16" t="e">
        <f ca="1">FLUID!R57</f>
        <v>#N/A</v>
      </c>
      <c r="O14" s="16" t="e">
        <f ca="1">FLUID!S57</f>
        <v>#N/A</v>
      </c>
      <c r="P14" s="16" t="e">
        <f ca="1">FLUID!T57</f>
        <v>#N/A</v>
      </c>
      <c r="Q14" s="16" t="e">
        <f ca="1">FLUID!U57</f>
        <v>#N/A</v>
      </c>
      <c r="R14" s="16" t="e">
        <f ca="1">FLUID!V57</f>
        <v>#N/A</v>
      </c>
      <c r="S14" s="16" t="e">
        <f ca="1">FLUID!W57</f>
        <v>#N/A</v>
      </c>
      <c r="T14" s="16" t="e">
        <f ca="1">FLUID!X57</f>
        <v>#N/A</v>
      </c>
      <c r="U14" s="16" t="e">
        <f ca="1">FLUID!Y57</f>
        <v>#N/A</v>
      </c>
      <c r="V14" s="16" t="e">
        <f ca="1">FLUID!Z57</f>
        <v>#N/A</v>
      </c>
      <c r="W14" s="16" t="e">
        <f ca="1">FLUID!AA57</f>
        <v>#N/A</v>
      </c>
      <c r="X14" s="16" t="e">
        <f ca="1">FLUID!AB57</f>
        <v>#N/A</v>
      </c>
      <c r="Y14" s="16" t="e">
        <f ca="1">FLUID!AC57</f>
        <v>#N/A</v>
      </c>
      <c r="Z14" s="16" t="e">
        <f ca="1">FLUID!AD57</f>
        <v>#N/A</v>
      </c>
      <c r="AA14" s="16" t="e">
        <f ca="1">FLUID!AE57</f>
        <v>#N/A</v>
      </c>
      <c r="AB14" s="16" t="e">
        <f ca="1">FLUID!AF57</f>
        <v>#N/A</v>
      </c>
      <c r="AC14" s="16" t="e">
        <f ca="1">FLUID!AG57</f>
        <v>#N/A</v>
      </c>
      <c r="AD14" s="16" t="e">
        <f ca="1">FLUID!AH57</f>
        <v>#N/A</v>
      </c>
      <c r="AE14" s="16" t="e">
        <f ca="1">FLUID!AI57</f>
        <v>#N/A</v>
      </c>
      <c r="AF14" s="16" t="e">
        <f ca="1">FLUID!AJ57</f>
        <v>#N/A</v>
      </c>
      <c r="AG14" s="16" t="e">
        <f ca="1">FLUID!AK57</f>
        <v>#N/A</v>
      </c>
      <c r="AH14" s="16" t="e">
        <f ca="1">FLUID!AL57</f>
        <v>#N/A</v>
      </c>
      <c r="AI14" s="16">
        <f>FLUID!AM57</f>
        <v>0</v>
      </c>
      <c r="AJ14" s="16">
        <f>FLUID!AN57</f>
        <v>0</v>
      </c>
      <c r="AK14" s="16">
        <f>FLUID!AO57</f>
        <v>0</v>
      </c>
      <c r="AL14" s="16">
        <f>FLUID!AP57</f>
        <v>0</v>
      </c>
      <c r="AM14" s="16">
        <f>FLUID!AQ57</f>
        <v>0</v>
      </c>
      <c r="AN14" s="16">
        <f>FLUID!AR57</f>
        <v>0</v>
      </c>
      <c r="AO14" s="16">
        <f>FLUID!AS57</f>
        <v>0</v>
      </c>
      <c r="AP14" s="16">
        <f>FLUID!AT57</f>
        <v>0</v>
      </c>
      <c r="AQ14" s="16">
        <f>FLUID!AU57</f>
        <v>0</v>
      </c>
      <c r="AR14" s="16">
        <f>FLUID!AV57</f>
        <v>0</v>
      </c>
      <c r="AS14" s="16">
        <f>FLUID!AW57</f>
        <v>0</v>
      </c>
      <c r="AT14" s="16">
        <f>FLUID!AX57</f>
        <v>0</v>
      </c>
      <c r="AU14" s="16">
        <f>FLUID!AY57</f>
        <v>0</v>
      </c>
      <c r="AV14" s="16">
        <f>FLUID!AZ57</f>
        <v>0</v>
      </c>
      <c r="AW14" s="16">
        <f>FLUID!BA57</f>
        <v>0</v>
      </c>
      <c r="AX14" s="16">
        <f>FLUID!BB57</f>
        <v>0</v>
      </c>
      <c r="AY14" s="16">
        <f>FLUID!BC57</f>
        <v>0</v>
      </c>
      <c r="AZ14" s="16">
        <f>FLUID!BD57</f>
        <v>0</v>
      </c>
      <c r="BA14" s="16">
        <f>FLUID!BE57</f>
        <v>0</v>
      </c>
      <c r="BB14" s="16">
        <f>FLUID!BF57</f>
        <v>0</v>
      </c>
      <c r="BC14" s="16">
        <f>FLUID!BG57</f>
        <v>0</v>
      </c>
      <c r="BD14" s="16">
        <f>FLUID!BH57</f>
        <v>0</v>
      </c>
      <c r="BE14" s="16">
        <f>FLUID!BI57</f>
        <v>0</v>
      </c>
      <c r="BF14" s="16">
        <f>FLUID!BJ57</f>
        <v>0</v>
      </c>
      <c r="BG14" s="16">
        <f>FLUID!BK57</f>
        <v>0</v>
      </c>
      <c r="BH14" s="16">
        <f>FLUID!BL57</f>
        <v>0</v>
      </c>
      <c r="BI14" s="16">
        <f>FLUID!BM57</f>
        <v>0</v>
      </c>
      <c r="BJ14" s="16">
        <f>FLUID!BN57</f>
        <v>0</v>
      </c>
      <c r="BK14" s="16">
        <f>FLUID!BO57</f>
        <v>0</v>
      </c>
      <c r="BL14" s="16">
        <f>FLUID!BP57</f>
        <v>0</v>
      </c>
      <c r="BM14" s="16">
        <f>FLUID!BQ57</f>
        <v>0</v>
      </c>
      <c r="BN14" s="16">
        <f>FLUID!BR57</f>
        <v>0</v>
      </c>
      <c r="BO14" s="16">
        <f>FLUID!BS57</f>
        <v>0</v>
      </c>
      <c r="BP14" s="16">
        <f>FLUID!BT57</f>
        <v>0</v>
      </c>
      <c r="BQ14" s="16">
        <f>FLUID!BU57</f>
        <v>0</v>
      </c>
      <c r="BR14" s="16">
        <f>FLUID!BV57</f>
        <v>0</v>
      </c>
      <c r="BS14" s="16">
        <f>FLUID!BW57</f>
        <v>0</v>
      </c>
      <c r="BT14" s="16">
        <f>FLUID!BX57</f>
        <v>0</v>
      </c>
    </row>
    <row r="15" spans="1:72" ht="21.75" hidden="1" outlineLevel="1" thickBot="1" x14ac:dyDescent="0.4">
      <c r="A15" s="88">
        <f>FLUID!E58</f>
        <v>0</v>
      </c>
      <c r="B15" s="16" t="e">
        <f ca="1">FLUID!F58</f>
        <v>#N/A</v>
      </c>
      <c r="C15" s="16" t="e">
        <f ca="1">FLUID!G58</f>
        <v>#N/A</v>
      </c>
      <c r="D15" s="16" t="e">
        <f ca="1">FLUID!H58</f>
        <v>#N/A</v>
      </c>
      <c r="E15" s="16" t="e">
        <f ca="1">FLUID!I58</f>
        <v>#N/A</v>
      </c>
      <c r="F15" s="16" t="e">
        <f ca="1">FLUID!J58</f>
        <v>#N/A</v>
      </c>
      <c r="G15" s="16" t="e">
        <f ca="1">FLUID!K58</f>
        <v>#N/A</v>
      </c>
      <c r="H15" s="16" t="e">
        <f ca="1">FLUID!L58</f>
        <v>#N/A</v>
      </c>
      <c r="I15" s="16" t="e">
        <f ca="1">FLUID!M58</f>
        <v>#N/A</v>
      </c>
      <c r="J15" s="16" t="e">
        <f ca="1">FLUID!N58</f>
        <v>#N/A</v>
      </c>
      <c r="K15" s="16" t="e">
        <f ca="1">FLUID!O58</f>
        <v>#N/A</v>
      </c>
      <c r="L15" s="16" t="e">
        <f ca="1">FLUID!P58</f>
        <v>#N/A</v>
      </c>
      <c r="M15" s="16" t="e">
        <f ca="1">FLUID!Q58</f>
        <v>#N/A</v>
      </c>
      <c r="N15" s="16" t="e">
        <f ca="1">FLUID!R58</f>
        <v>#N/A</v>
      </c>
      <c r="O15" s="16" t="e">
        <f ca="1">FLUID!S58</f>
        <v>#N/A</v>
      </c>
      <c r="P15" s="16" t="e">
        <f ca="1">FLUID!T58</f>
        <v>#N/A</v>
      </c>
      <c r="Q15" s="16" t="e">
        <f ca="1">FLUID!U58</f>
        <v>#N/A</v>
      </c>
      <c r="R15" s="16" t="e">
        <f ca="1">FLUID!V58</f>
        <v>#N/A</v>
      </c>
      <c r="S15" s="16" t="e">
        <f ca="1">FLUID!W58</f>
        <v>#N/A</v>
      </c>
      <c r="T15" s="16" t="e">
        <f ca="1">FLUID!X58</f>
        <v>#N/A</v>
      </c>
      <c r="U15" s="16" t="e">
        <f ca="1">FLUID!Y58</f>
        <v>#N/A</v>
      </c>
      <c r="V15" s="16" t="e">
        <f ca="1">FLUID!Z58</f>
        <v>#N/A</v>
      </c>
      <c r="W15" s="16" t="e">
        <f ca="1">FLUID!AA58</f>
        <v>#N/A</v>
      </c>
      <c r="X15" s="16" t="e">
        <f ca="1">FLUID!AB58</f>
        <v>#N/A</v>
      </c>
      <c r="Y15" s="16" t="e">
        <f ca="1">FLUID!AC58</f>
        <v>#N/A</v>
      </c>
      <c r="Z15" s="16" t="e">
        <f ca="1">FLUID!AD58</f>
        <v>#N/A</v>
      </c>
      <c r="AA15" s="16" t="e">
        <f ca="1">FLUID!AE58</f>
        <v>#N/A</v>
      </c>
      <c r="AB15" s="16" t="e">
        <f ca="1">FLUID!AF58</f>
        <v>#N/A</v>
      </c>
      <c r="AC15" s="16" t="e">
        <f ca="1">FLUID!AG58</f>
        <v>#N/A</v>
      </c>
      <c r="AD15" s="16" t="e">
        <f ca="1">FLUID!AH58</f>
        <v>#N/A</v>
      </c>
      <c r="AE15" s="16" t="e">
        <f ca="1">FLUID!AI58</f>
        <v>#N/A</v>
      </c>
      <c r="AF15" s="16" t="e">
        <f ca="1">FLUID!AJ58</f>
        <v>#N/A</v>
      </c>
      <c r="AG15" s="16" t="e">
        <f ca="1">FLUID!AK58</f>
        <v>#N/A</v>
      </c>
      <c r="AH15" s="16" t="e">
        <f ca="1">FLUID!AL58</f>
        <v>#N/A</v>
      </c>
      <c r="AI15" s="16">
        <f>FLUID!AM58</f>
        <v>0</v>
      </c>
      <c r="AJ15" s="16">
        <f>FLUID!AN58</f>
        <v>0</v>
      </c>
      <c r="AK15" s="16">
        <f>FLUID!AO58</f>
        <v>0</v>
      </c>
      <c r="AL15" s="16">
        <f>FLUID!AP58</f>
        <v>0</v>
      </c>
      <c r="AM15" s="16">
        <f>FLUID!AQ58</f>
        <v>0</v>
      </c>
      <c r="AN15" s="16">
        <f>FLUID!AR58</f>
        <v>0</v>
      </c>
      <c r="AO15" s="16">
        <f>FLUID!AS58</f>
        <v>0</v>
      </c>
      <c r="AP15" s="16">
        <f>FLUID!AT58</f>
        <v>0</v>
      </c>
      <c r="AQ15" s="16">
        <f>FLUID!AU58</f>
        <v>0</v>
      </c>
      <c r="AR15" s="16">
        <f>FLUID!AV58</f>
        <v>0</v>
      </c>
      <c r="AS15" s="16">
        <f>FLUID!AW58</f>
        <v>0</v>
      </c>
      <c r="AT15" s="16">
        <f>FLUID!AX58</f>
        <v>0</v>
      </c>
      <c r="AU15" s="16">
        <f>FLUID!AY58</f>
        <v>0</v>
      </c>
      <c r="AV15" s="16">
        <f>FLUID!AZ58</f>
        <v>0</v>
      </c>
      <c r="AW15" s="16">
        <f>FLUID!BA58</f>
        <v>0</v>
      </c>
      <c r="AX15" s="16">
        <f>FLUID!BB58</f>
        <v>0</v>
      </c>
      <c r="AY15" s="16">
        <f>FLUID!BC58</f>
        <v>0</v>
      </c>
      <c r="AZ15" s="16">
        <f>FLUID!BD58</f>
        <v>0</v>
      </c>
      <c r="BA15" s="16">
        <f>FLUID!BE58</f>
        <v>0</v>
      </c>
      <c r="BB15" s="16">
        <f>FLUID!BF58</f>
        <v>0</v>
      </c>
      <c r="BC15" s="16">
        <f>FLUID!BG58</f>
        <v>0</v>
      </c>
      <c r="BD15" s="16">
        <f>FLUID!BH58</f>
        <v>0</v>
      </c>
      <c r="BE15" s="16">
        <f>FLUID!BI58</f>
        <v>0</v>
      </c>
      <c r="BF15" s="16">
        <f>FLUID!BJ58</f>
        <v>0</v>
      </c>
      <c r="BG15" s="16">
        <f>FLUID!BK58</f>
        <v>0</v>
      </c>
      <c r="BH15" s="16">
        <f>FLUID!BL58</f>
        <v>0</v>
      </c>
      <c r="BI15" s="16">
        <f>FLUID!BM58</f>
        <v>0</v>
      </c>
      <c r="BJ15" s="16">
        <f>FLUID!BN58</f>
        <v>0</v>
      </c>
      <c r="BK15" s="16">
        <f>FLUID!BO58</f>
        <v>0</v>
      </c>
      <c r="BL15" s="16">
        <f>FLUID!BP58</f>
        <v>0</v>
      </c>
      <c r="BM15" s="16">
        <f>FLUID!BQ58</f>
        <v>0</v>
      </c>
      <c r="BN15" s="16">
        <f>FLUID!BR58</f>
        <v>0</v>
      </c>
      <c r="BO15" s="16">
        <f>FLUID!BS58</f>
        <v>0</v>
      </c>
      <c r="BP15" s="16">
        <f>FLUID!BT58</f>
        <v>0</v>
      </c>
      <c r="BQ15" s="16">
        <f>FLUID!BU58</f>
        <v>0</v>
      </c>
      <c r="BR15" s="16">
        <f>FLUID!BV58</f>
        <v>0</v>
      </c>
      <c r="BS15" s="16">
        <f>FLUID!BW58</f>
        <v>0</v>
      </c>
      <c r="BT15" s="16">
        <f>FLUID!BX58</f>
        <v>0</v>
      </c>
    </row>
    <row r="16" spans="1:72" ht="21.75" hidden="1" outlineLevel="1" thickBot="1" x14ac:dyDescent="0.4">
      <c r="A16" s="88">
        <f>FLUID!E59</f>
        <v>0</v>
      </c>
      <c r="B16" s="16" t="e">
        <f ca="1">FLUID!F59</f>
        <v>#N/A</v>
      </c>
      <c r="C16" s="16" t="e">
        <f ca="1">FLUID!G59</f>
        <v>#N/A</v>
      </c>
      <c r="D16" s="16" t="e">
        <f ca="1">FLUID!H59</f>
        <v>#N/A</v>
      </c>
      <c r="E16" s="16" t="e">
        <f ca="1">FLUID!I59</f>
        <v>#N/A</v>
      </c>
      <c r="F16" s="16" t="e">
        <f ca="1">FLUID!J59</f>
        <v>#N/A</v>
      </c>
      <c r="G16" s="16" t="e">
        <f ca="1">FLUID!K59</f>
        <v>#N/A</v>
      </c>
      <c r="H16" s="16" t="e">
        <f ca="1">FLUID!L59</f>
        <v>#N/A</v>
      </c>
      <c r="I16" s="16" t="e">
        <f ca="1">FLUID!M59</f>
        <v>#N/A</v>
      </c>
      <c r="J16" s="16" t="e">
        <f ca="1">FLUID!N59</f>
        <v>#N/A</v>
      </c>
      <c r="K16" s="16" t="e">
        <f ca="1">FLUID!O59</f>
        <v>#N/A</v>
      </c>
      <c r="L16" s="16" t="e">
        <f ca="1">FLUID!P59</f>
        <v>#N/A</v>
      </c>
      <c r="M16" s="16" t="e">
        <f ca="1">FLUID!Q59</f>
        <v>#N/A</v>
      </c>
      <c r="N16" s="16" t="e">
        <f ca="1">FLUID!R59</f>
        <v>#N/A</v>
      </c>
      <c r="O16" s="16" t="e">
        <f ca="1">FLUID!S59</f>
        <v>#N/A</v>
      </c>
      <c r="P16" s="16" t="e">
        <f ca="1">FLUID!T59</f>
        <v>#N/A</v>
      </c>
      <c r="Q16" s="16" t="e">
        <f ca="1">FLUID!U59</f>
        <v>#N/A</v>
      </c>
      <c r="R16" s="16" t="e">
        <f ca="1">FLUID!V59</f>
        <v>#N/A</v>
      </c>
      <c r="S16" s="16" t="e">
        <f ca="1">FLUID!W59</f>
        <v>#N/A</v>
      </c>
      <c r="T16" s="16" t="e">
        <f ca="1">FLUID!X59</f>
        <v>#N/A</v>
      </c>
      <c r="U16" s="16" t="e">
        <f ca="1">FLUID!Y59</f>
        <v>#N/A</v>
      </c>
      <c r="V16" s="16" t="e">
        <f ca="1">FLUID!Z59</f>
        <v>#N/A</v>
      </c>
      <c r="W16" s="16" t="e">
        <f ca="1">FLUID!AA59</f>
        <v>#N/A</v>
      </c>
      <c r="X16" s="16" t="e">
        <f ca="1">FLUID!AB59</f>
        <v>#N/A</v>
      </c>
      <c r="Y16" s="16" t="e">
        <f ca="1">FLUID!AC59</f>
        <v>#N/A</v>
      </c>
      <c r="Z16" s="16" t="e">
        <f ca="1">FLUID!AD59</f>
        <v>#N/A</v>
      </c>
      <c r="AA16" s="16" t="e">
        <f ca="1">FLUID!AE59</f>
        <v>#N/A</v>
      </c>
      <c r="AB16" s="16" t="e">
        <f ca="1">FLUID!AF59</f>
        <v>#N/A</v>
      </c>
      <c r="AC16" s="16" t="e">
        <f ca="1">FLUID!AG59</f>
        <v>#N/A</v>
      </c>
      <c r="AD16" s="16" t="e">
        <f ca="1">FLUID!AH59</f>
        <v>#N/A</v>
      </c>
      <c r="AE16" s="16" t="e">
        <f ca="1">FLUID!AI59</f>
        <v>#N/A</v>
      </c>
      <c r="AF16" s="16" t="e">
        <f ca="1">FLUID!AJ59</f>
        <v>#N/A</v>
      </c>
      <c r="AG16" s="16" t="e">
        <f ca="1">FLUID!AK59</f>
        <v>#N/A</v>
      </c>
      <c r="AH16" s="16" t="e">
        <f ca="1">FLUID!AL59</f>
        <v>#N/A</v>
      </c>
      <c r="AI16" s="16">
        <f>FLUID!AM59</f>
        <v>0</v>
      </c>
      <c r="AJ16" s="16">
        <f>FLUID!AN59</f>
        <v>0</v>
      </c>
      <c r="AK16" s="16">
        <f>FLUID!AO59</f>
        <v>0</v>
      </c>
      <c r="AL16" s="16">
        <f>FLUID!AP59</f>
        <v>0</v>
      </c>
      <c r="AM16" s="16">
        <f>FLUID!AQ59</f>
        <v>0</v>
      </c>
      <c r="AN16" s="16">
        <f>FLUID!AR59</f>
        <v>0</v>
      </c>
      <c r="AO16" s="16">
        <f>FLUID!AS59</f>
        <v>0</v>
      </c>
      <c r="AP16" s="16">
        <f>FLUID!AT59</f>
        <v>0</v>
      </c>
      <c r="AQ16" s="16">
        <f>FLUID!AU59</f>
        <v>0</v>
      </c>
      <c r="AR16" s="16">
        <f>FLUID!AV59</f>
        <v>0</v>
      </c>
      <c r="AS16" s="16">
        <f>FLUID!AW59</f>
        <v>0</v>
      </c>
      <c r="AT16" s="16">
        <f>FLUID!AX59</f>
        <v>0</v>
      </c>
      <c r="AU16" s="16">
        <f>FLUID!AY59</f>
        <v>0</v>
      </c>
      <c r="AV16" s="16">
        <f>FLUID!AZ59</f>
        <v>0</v>
      </c>
      <c r="AW16" s="16">
        <f>FLUID!BA59</f>
        <v>0</v>
      </c>
      <c r="AX16" s="16">
        <f>FLUID!BB59</f>
        <v>0</v>
      </c>
      <c r="AY16" s="16">
        <f>FLUID!BC59</f>
        <v>0</v>
      </c>
      <c r="AZ16" s="16">
        <f>FLUID!BD59</f>
        <v>0</v>
      </c>
      <c r="BA16" s="16">
        <f>FLUID!BE59</f>
        <v>0</v>
      </c>
      <c r="BB16" s="16">
        <f>FLUID!BF59</f>
        <v>0</v>
      </c>
      <c r="BC16" s="16">
        <f>FLUID!BG59</f>
        <v>0</v>
      </c>
      <c r="BD16" s="16">
        <f>FLUID!BH59</f>
        <v>0</v>
      </c>
      <c r="BE16" s="16">
        <f>FLUID!BI59</f>
        <v>0</v>
      </c>
      <c r="BF16" s="16">
        <f>FLUID!BJ59</f>
        <v>0</v>
      </c>
      <c r="BG16" s="16">
        <f>FLUID!BK59</f>
        <v>0</v>
      </c>
      <c r="BH16" s="16">
        <f>FLUID!BL59</f>
        <v>0</v>
      </c>
      <c r="BI16" s="16">
        <f>FLUID!BM59</f>
        <v>0</v>
      </c>
      <c r="BJ16" s="16">
        <f>FLUID!BN59</f>
        <v>0</v>
      </c>
      <c r="BK16" s="16">
        <f>FLUID!BO59</f>
        <v>0</v>
      </c>
      <c r="BL16" s="16">
        <f>FLUID!BP59</f>
        <v>0</v>
      </c>
      <c r="BM16" s="16">
        <f>FLUID!BQ59</f>
        <v>0</v>
      </c>
      <c r="BN16" s="16">
        <f>FLUID!BR59</f>
        <v>0</v>
      </c>
      <c r="BO16" s="16">
        <f>FLUID!BS59</f>
        <v>0</v>
      </c>
      <c r="BP16" s="16">
        <f>FLUID!BT59</f>
        <v>0</v>
      </c>
      <c r="BQ16" s="16">
        <f>FLUID!BU59</f>
        <v>0</v>
      </c>
      <c r="BR16" s="16">
        <f>FLUID!BV59</f>
        <v>0</v>
      </c>
      <c r="BS16" s="16">
        <f>FLUID!BW59</f>
        <v>0</v>
      </c>
      <c r="BT16" s="16">
        <f>FLUID!BX59</f>
        <v>0</v>
      </c>
    </row>
    <row r="17" spans="1:72" ht="21.75" hidden="1" outlineLevel="1" thickBot="1" x14ac:dyDescent="0.4">
      <c r="A17" s="88">
        <f>FLUID!E60</f>
        <v>0</v>
      </c>
      <c r="B17" s="16" t="e">
        <f ca="1">FLUID!F60</f>
        <v>#N/A</v>
      </c>
      <c r="C17" s="16" t="e">
        <f ca="1">FLUID!G60</f>
        <v>#N/A</v>
      </c>
      <c r="D17" s="16" t="e">
        <f ca="1">FLUID!H60</f>
        <v>#N/A</v>
      </c>
      <c r="E17" s="16" t="e">
        <f ca="1">FLUID!I60</f>
        <v>#N/A</v>
      </c>
      <c r="F17" s="16" t="e">
        <f ca="1">FLUID!J60</f>
        <v>#N/A</v>
      </c>
      <c r="G17" s="16" t="e">
        <f ca="1">FLUID!K60</f>
        <v>#N/A</v>
      </c>
      <c r="H17" s="16" t="e">
        <f ca="1">FLUID!L60</f>
        <v>#N/A</v>
      </c>
      <c r="I17" s="16" t="e">
        <f ca="1">FLUID!M60</f>
        <v>#N/A</v>
      </c>
      <c r="J17" s="16" t="e">
        <f ca="1">FLUID!N60</f>
        <v>#N/A</v>
      </c>
      <c r="K17" s="16" t="e">
        <f ca="1">FLUID!O60</f>
        <v>#N/A</v>
      </c>
      <c r="L17" s="16" t="e">
        <f ca="1">FLUID!P60</f>
        <v>#N/A</v>
      </c>
      <c r="M17" s="16" t="e">
        <f ca="1">FLUID!Q60</f>
        <v>#N/A</v>
      </c>
      <c r="N17" s="16" t="e">
        <f ca="1">FLUID!R60</f>
        <v>#N/A</v>
      </c>
      <c r="O17" s="16" t="e">
        <f ca="1">FLUID!S60</f>
        <v>#N/A</v>
      </c>
      <c r="P17" s="16" t="e">
        <f ca="1">FLUID!T60</f>
        <v>#N/A</v>
      </c>
      <c r="Q17" s="16" t="e">
        <f ca="1">FLUID!U60</f>
        <v>#N/A</v>
      </c>
      <c r="R17" s="16" t="e">
        <f ca="1">FLUID!V60</f>
        <v>#N/A</v>
      </c>
      <c r="S17" s="16" t="e">
        <f ca="1">FLUID!W60</f>
        <v>#N/A</v>
      </c>
      <c r="T17" s="16" t="e">
        <f ca="1">FLUID!X60</f>
        <v>#N/A</v>
      </c>
      <c r="U17" s="16" t="e">
        <f ca="1">FLUID!Y60</f>
        <v>#N/A</v>
      </c>
      <c r="V17" s="16" t="e">
        <f ca="1">FLUID!Z60</f>
        <v>#N/A</v>
      </c>
      <c r="W17" s="16" t="e">
        <f ca="1">FLUID!AA60</f>
        <v>#N/A</v>
      </c>
      <c r="X17" s="16" t="e">
        <f ca="1">FLUID!AB60</f>
        <v>#N/A</v>
      </c>
      <c r="Y17" s="16" t="e">
        <f ca="1">FLUID!AC60</f>
        <v>#N/A</v>
      </c>
      <c r="Z17" s="16" t="e">
        <f ca="1">FLUID!AD60</f>
        <v>#N/A</v>
      </c>
      <c r="AA17" s="16" t="e">
        <f ca="1">FLUID!AE60</f>
        <v>#N/A</v>
      </c>
      <c r="AB17" s="16" t="e">
        <f ca="1">FLUID!AF60</f>
        <v>#N/A</v>
      </c>
      <c r="AC17" s="16" t="e">
        <f ca="1">FLUID!AG60</f>
        <v>#N/A</v>
      </c>
      <c r="AD17" s="16" t="e">
        <f ca="1">FLUID!AH60</f>
        <v>#N/A</v>
      </c>
      <c r="AE17" s="16" t="e">
        <f ca="1">FLUID!AI60</f>
        <v>#N/A</v>
      </c>
      <c r="AF17" s="16" t="e">
        <f ca="1">FLUID!AJ60</f>
        <v>#N/A</v>
      </c>
      <c r="AG17" s="16" t="e">
        <f ca="1">FLUID!AK60</f>
        <v>#N/A</v>
      </c>
      <c r="AH17" s="16" t="e">
        <f ca="1">FLUID!AL60</f>
        <v>#N/A</v>
      </c>
      <c r="AI17" s="16">
        <f>FLUID!AM60</f>
        <v>0</v>
      </c>
      <c r="AJ17" s="16">
        <f>FLUID!AN60</f>
        <v>0</v>
      </c>
      <c r="AK17" s="16">
        <f>FLUID!AO60</f>
        <v>0</v>
      </c>
      <c r="AL17" s="16">
        <f>FLUID!AP60</f>
        <v>0</v>
      </c>
      <c r="AM17" s="16">
        <f>FLUID!AQ60</f>
        <v>0</v>
      </c>
      <c r="AN17" s="16">
        <f>FLUID!AR60</f>
        <v>0</v>
      </c>
      <c r="AO17" s="16">
        <f>FLUID!AS60</f>
        <v>0</v>
      </c>
      <c r="AP17" s="16">
        <f>FLUID!AT60</f>
        <v>0</v>
      </c>
      <c r="AQ17" s="16">
        <f>FLUID!AU60</f>
        <v>0</v>
      </c>
      <c r="AR17" s="16">
        <f>FLUID!AV60</f>
        <v>0</v>
      </c>
      <c r="AS17" s="16">
        <f>FLUID!AW60</f>
        <v>0</v>
      </c>
      <c r="AT17" s="16">
        <f>FLUID!AX60</f>
        <v>0</v>
      </c>
      <c r="AU17" s="16">
        <f>FLUID!AY60</f>
        <v>0</v>
      </c>
      <c r="AV17" s="16">
        <f>FLUID!AZ60</f>
        <v>0</v>
      </c>
      <c r="AW17" s="16">
        <f>FLUID!BA60</f>
        <v>0</v>
      </c>
      <c r="AX17" s="16">
        <f>FLUID!BB60</f>
        <v>0</v>
      </c>
      <c r="AY17" s="16">
        <f>FLUID!BC60</f>
        <v>0</v>
      </c>
      <c r="AZ17" s="16">
        <f>FLUID!BD60</f>
        <v>0</v>
      </c>
      <c r="BA17" s="16">
        <f>FLUID!BE60</f>
        <v>0</v>
      </c>
      <c r="BB17" s="16">
        <f>FLUID!BF60</f>
        <v>0</v>
      </c>
      <c r="BC17" s="16">
        <f>FLUID!BG60</f>
        <v>0</v>
      </c>
      <c r="BD17" s="16">
        <f>FLUID!BH60</f>
        <v>0</v>
      </c>
      <c r="BE17" s="16">
        <f>FLUID!BI60</f>
        <v>0</v>
      </c>
      <c r="BF17" s="16">
        <f>FLUID!BJ60</f>
        <v>0</v>
      </c>
      <c r="BG17" s="16">
        <f>FLUID!BK60</f>
        <v>0</v>
      </c>
      <c r="BH17" s="16">
        <f>FLUID!BL60</f>
        <v>0</v>
      </c>
      <c r="BI17" s="16">
        <f>FLUID!BM60</f>
        <v>0</v>
      </c>
      <c r="BJ17" s="16">
        <f>FLUID!BN60</f>
        <v>0</v>
      </c>
      <c r="BK17" s="16">
        <f>FLUID!BO60</f>
        <v>0</v>
      </c>
      <c r="BL17" s="16">
        <f>FLUID!BP60</f>
        <v>0</v>
      </c>
      <c r="BM17" s="16">
        <f>FLUID!BQ60</f>
        <v>0</v>
      </c>
      <c r="BN17" s="16">
        <f>FLUID!BR60</f>
        <v>0</v>
      </c>
      <c r="BO17" s="16">
        <f>FLUID!BS60</f>
        <v>0</v>
      </c>
      <c r="BP17" s="16">
        <f>FLUID!BT60</f>
        <v>0</v>
      </c>
      <c r="BQ17" s="16">
        <f>FLUID!BU60</f>
        <v>0</v>
      </c>
      <c r="BR17" s="16">
        <f>FLUID!BV60</f>
        <v>0</v>
      </c>
      <c r="BS17" s="16">
        <f>FLUID!BW60</f>
        <v>0</v>
      </c>
      <c r="BT17" s="16">
        <f>FLUID!BX60</f>
        <v>0</v>
      </c>
    </row>
    <row r="18" spans="1:72" ht="21.75" hidden="1" outlineLevel="1" thickBot="1" x14ac:dyDescent="0.4">
      <c r="A18" s="88">
        <f>FLUID!E61</f>
        <v>0</v>
      </c>
      <c r="B18" s="16" t="e">
        <f ca="1">FLUID!F61</f>
        <v>#N/A</v>
      </c>
      <c r="C18" s="16" t="e">
        <f ca="1">FLUID!G61</f>
        <v>#N/A</v>
      </c>
      <c r="D18" s="16" t="e">
        <f ca="1">FLUID!H61</f>
        <v>#N/A</v>
      </c>
      <c r="E18" s="16" t="e">
        <f ca="1">FLUID!I61</f>
        <v>#N/A</v>
      </c>
      <c r="F18" s="16" t="e">
        <f ca="1">FLUID!J61</f>
        <v>#N/A</v>
      </c>
      <c r="G18" s="16" t="e">
        <f ca="1">FLUID!K61</f>
        <v>#N/A</v>
      </c>
      <c r="H18" s="16" t="e">
        <f ca="1">FLUID!L61</f>
        <v>#N/A</v>
      </c>
      <c r="I18" s="16" t="e">
        <f ca="1">FLUID!M61</f>
        <v>#N/A</v>
      </c>
      <c r="J18" s="16" t="e">
        <f ca="1">FLUID!N61</f>
        <v>#N/A</v>
      </c>
      <c r="K18" s="16" t="e">
        <f ca="1">FLUID!O61</f>
        <v>#N/A</v>
      </c>
      <c r="L18" s="16" t="e">
        <f ca="1">FLUID!P61</f>
        <v>#N/A</v>
      </c>
      <c r="M18" s="16" t="e">
        <f ca="1">FLUID!Q61</f>
        <v>#N/A</v>
      </c>
      <c r="N18" s="16" t="e">
        <f ca="1">FLUID!R61</f>
        <v>#N/A</v>
      </c>
      <c r="O18" s="16" t="e">
        <f ca="1">FLUID!S61</f>
        <v>#N/A</v>
      </c>
      <c r="P18" s="16" t="e">
        <f ca="1">FLUID!T61</f>
        <v>#N/A</v>
      </c>
      <c r="Q18" s="16" t="e">
        <f ca="1">FLUID!U61</f>
        <v>#N/A</v>
      </c>
      <c r="R18" s="16" t="e">
        <f ca="1">FLUID!V61</f>
        <v>#N/A</v>
      </c>
      <c r="S18" s="16" t="e">
        <f ca="1">FLUID!W61</f>
        <v>#N/A</v>
      </c>
      <c r="T18" s="16" t="e">
        <f ca="1">FLUID!X61</f>
        <v>#N/A</v>
      </c>
      <c r="U18" s="16" t="e">
        <f ca="1">FLUID!Y61</f>
        <v>#N/A</v>
      </c>
      <c r="V18" s="16" t="e">
        <f ca="1">FLUID!Z61</f>
        <v>#N/A</v>
      </c>
      <c r="W18" s="16" t="e">
        <f ca="1">FLUID!AA61</f>
        <v>#N/A</v>
      </c>
      <c r="X18" s="16" t="e">
        <f ca="1">FLUID!AB61</f>
        <v>#N/A</v>
      </c>
      <c r="Y18" s="16" t="e">
        <f ca="1">FLUID!AC61</f>
        <v>#N/A</v>
      </c>
      <c r="Z18" s="16" t="e">
        <f ca="1">FLUID!AD61</f>
        <v>#N/A</v>
      </c>
      <c r="AA18" s="16" t="e">
        <f ca="1">FLUID!AE61</f>
        <v>#N/A</v>
      </c>
      <c r="AB18" s="16" t="e">
        <f ca="1">FLUID!AF61</f>
        <v>#N/A</v>
      </c>
      <c r="AC18" s="16" t="e">
        <f ca="1">FLUID!AG61</f>
        <v>#N/A</v>
      </c>
      <c r="AD18" s="16" t="e">
        <f ca="1">FLUID!AH61</f>
        <v>#N/A</v>
      </c>
      <c r="AE18" s="16" t="e">
        <f ca="1">FLUID!AI61</f>
        <v>#N/A</v>
      </c>
      <c r="AF18" s="16" t="e">
        <f ca="1">FLUID!AJ61</f>
        <v>#N/A</v>
      </c>
      <c r="AG18" s="16" t="e">
        <f ca="1">FLUID!AK61</f>
        <v>#N/A</v>
      </c>
      <c r="AH18" s="16" t="e">
        <f ca="1">FLUID!AL61</f>
        <v>#N/A</v>
      </c>
      <c r="AI18" s="16">
        <f>FLUID!AM61</f>
        <v>0</v>
      </c>
      <c r="AJ18" s="16">
        <f>FLUID!AN61</f>
        <v>0</v>
      </c>
      <c r="AK18" s="16">
        <f>FLUID!AO61</f>
        <v>0</v>
      </c>
      <c r="AL18" s="16">
        <f>FLUID!AP61</f>
        <v>0</v>
      </c>
      <c r="AM18" s="16">
        <f>FLUID!AQ61</f>
        <v>0</v>
      </c>
      <c r="AN18" s="16">
        <f>FLUID!AR61</f>
        <v>0</v>
      </c>
      <c r="AO18" s="16">
        <f>FLUID!AS61</f>
        <v>0</v>
      </c>
      <c r="AP18" s="16">
        <f>FLUID!AT61</f>
        <v>0</v>
      </c>
      <c r="AQ18" s="16">
        <f>FLUID!AU61</f>
        <v>0</v>
      </c>
      <c r="AR18" s="16">
        <f>FLUID!AV61</f>
        <v>0</v>
      </c>
      <c r="AS18" s="16">
        <f>FLUID!AW61</f>
        <v>0</v>
      </c>
      <c r="AT18" s="16">
        <f>FLUID!AX61</f>
        <v>0</v>
      </c>
      <c r="AU18" s="16">
        <f>FLUID!AY61</f>
        <v>0</v>
      </c>
      <c r="AV18" s="16">
        <f>FLUID!AZ61</f>
        <v>0</v>
      </c>
      <c r="AW18" s="16">
        <f>FLUID!BA61</f>
        <v>0</v>
      </c>
      <c r="AX18" s="16">
        <f>FLUID!BB61</f>
        <v>0</v>
      </c>
      <c r="AY18" s="16">
        <f>FLUID!BC61</f>
        <v>0</v>
      </c>
      <c r="AZ18" s="16">
        <f>FLUID!BD61</f>
        <v>0</v>
      </c>
      <c r="BA18" s="16">
        <f>FLUID!BE61</f>
        <v>0</v>
      </c>
      <c r="BB18" s="16">
        <f>FLUID!BF61</f>
        <v>0</v>
      </c>
      <c r="BC18" s="16">
        <f>FLUID!BG61</f>
        <v>0</v>
      </c>
      <c r="BD18" s="16">
        <f>FLUID!BH61</f>
        <v>0</v>
      </c>
      <c r="BE18" s="16">
        <f>FLUID!BI61</f>
        <v>0</v>
      </c>
      <c r="BF18" s="16">
        <f>FLUID!BJ61</f>
        <v>0</v>
      </c>
      <c r="BG18" s="16">
        <f>FLUID!BK61</f>
        <v>0</v>
      </c>
      <c r="BH18" s="16">
        <f>FLUID!BL61</f>
        <v>0</v>
      </c>
      <c r="BI18" s="16">
        <f>FLUID!BM61</f>
        <v>0</v>
      </c>
      <c r="BJ18" s="16">
        <f>FLUID!BN61</f>
        <v>0</v>
      </c>
      <c r="BK18" s="16">
        <f>FLUID!BO61</f>
        <v>0</v>
      </c>
      <c r="BL18" s="16">
        <f>FLUID!BP61</f>
        <v>0</v>
      </c>
      <c r="BM18" s="16">
        <f>FLUID!BQ61</f>
        <v>0</v>
      </c>
      <c r="BN18" s="16">
        <f>FLUID!BR61</f>
        <v>0</v>
      </c>
      <c r="BO18" s="16">
        <f>FLUID!BS61</f>
        <v>0</v>
      </c>
      <c r="BP18" s="16">
        <f>FLUID!BT61</f>
        <v>0</v>
      </c>
      <c r="BQ18" s="16">
        <f>FLUID!BU61</f>
        <v>0</v>
      </c>
      <c r="BR18" s="16">
        <f>FLUID!BV61</f>
        <v>0</v>
      </c>
      <c r="BS18" s="16">
        <f>FLUID!BW61</f>
        <v>0</v>
      </c>
      <c r="BT18" s="16">
        <f>FLUID!BX61</f>
        <v>0</v>
      </c>
    </row>
    <row r="19" spans="1:72" ht="22.5" hidden="1" customHeight="1" outlineLevel="1" thickBot="1" x14ac:dyDescent="0.4">
      <c r="A19" s="88">
        <f>FLUID!E62</f>
        <v>0</v>
      </c>
      <c r="B19" s="16" t="e">
        <f ca="1">FLUID!F62</f>
        <v>#N/A</v>
      </c>
      <c r="C19" s="16" t="e">
        <f ca="1">FLUID!G62</f>
        <v>#N/A</v>
      </c>
      <c r="D19" s="16" t="e">
        <f ca="1">FLUID!H62</f>
        <v>#N/A</v>
      </c>
      <c r="E19" s="16" t="e">
        <f ca="1">FLUID!I62</f>
        <v>#N/A</v>
      </c>
      <c r="F19" s="16" t="e">
        <f ca="1">FLUID!J62</f>
        <v>#N/A</v>
      </c>
      <c r="G19" s="16" t="e">
        <f ca="1">FLUID!K62</f>
        <v>#N/A</v>
      </c>
      <c r="H19" s="16" t="e">
        <f ca="1">FLUID!L62</f>
        <v>#N/A</v>
      </c>
      <c r="I19" s="16" t="e">
        <f ca="1">FLUID!M62</f>
        <v>#N/A</v>
      </c>
      <c r="J19" s="16" t="e">
        <f ca="1">FLUID!N62</f>
        <v>#N/A</v>
      </c>
      <c r="K19" s="16" t="e">
        <f ca="1">FLUID!O62</f>
        <v>#N/A</v>
      </c>
      <c r="L19" s="16" t="e">
        <f ca="1">FLUID!P62</f>
        <v>#N/A</v>
      </c>
      <c r="M19" s="16" t="e">
        <f ca="1">FLUID!Q62</f>
        <v>#N/A</v>
      </c>
      <c r="N19" s="16" t="e">
        <f ca="1">FLUID!R62</f>
        <v>#N/A</v>
      </c>
      <c r="O19" s="16" t="e">
        <f ca="1">FLUID!S62</f>
        <v>#N/A</v>
      </c>
      <c r="P19" s="16" t="e">
        <f ca="1">FLUID!T62</f>
        <v>#N/A</v>
      </c>
      <c r="Q19" s="16" t="e">
        <f ca="1">FLUID!U62</f>
        <v>#N/A</v>
      </c>
      <c r="R19" s="16" t="e">
        <f ca="1">FLUID!V62</f>
        <v>#N/A</v>
      </c>
      <c r="S19" s="16" t="e">
        <f ca="1">FLUID!W62</f>
        <v>#N/A</v>
      </c>
      <c r="T19" s="16" t="e">
        <f ca="1">FLUID!X62</f>
        <v>#N/A</v>
      </c>
      <c r="U19" s="16" t="e">
        <f ca="1">FLUID!Y62</f>
        <v>#N/A</v>
      </c>
      <c r="V19" s="16" t="e">
        <f ca="1">FLUID!Z62</f>
        <v>#N/A</v>
      </c>
      <c r="W19" s="16" t="e">
        <f ca="1">FLUID!AA62</f>
        <v>#N/A</v>
      </c>
      <c r="X19" s="16" t="e">
        <f ca="1">FLUID!AB62</f>
        <v>#N/A</v>
      </c>
      <c r="Y19" s="16" t="e">
        <f ca="1">FLUID!AC62</f>
        <v>#N/A</v>
      </c>
      <c r="Z19" s="16" t="e">
        <f ca="1">FLUID!AD62</f>
        <v>#N/A</v>
      </c>
      <c r="AA19" s="16" t="e">
        <f ca="1">FLUID!AE62</f>
        <v>#N/A</v>
      </c>
      <c r="AB19" s="16" t="e">
        <f ca="1">FLUID!AF62</f>
        <v>#N/A</v>
      </c>
      <c r="AC19" s="16" t="e">
        <f ca="1">FLUID!AG62</f>
        <v>#N/A</v>
      </c>
      <c r="AD19" s="16" t="e">
        <f ca="1">FLUID!AH62</f>
        <v>#N/A</v>
      </c>
      <c r="AE19" s="16" t="e">
        <f ca="1">FLUID!AI62</f>
        <v>#N/A</v>
      </c>
      <c r="AF19" s="16" t="e">
        <f ca="1">FLUID!AJ62</f>
        <v>#N/A</v>
      </c>
      <c r="AG19" s="16" t="e">
        <f ca="1">FLUID!AK62</f>
        <v>#N/A</v>
      </c>
      <c r="AH19" s="16" t="e">
        <f ca="1">FLUID!AL62</f>
        <v>#N/A</v>
      </c>
      <c r="AI19" s="16">
        <f>FLUID!AM62</f>
        <v>0</v>
      </c>
      <c r="AJ19" s="16">
        <f>FLUID!AN62</f>
        <v>0</v>
      </c>
      <c r="AK19" s="16">
        <f>FLUID!AO62</f>
        <v>0</v>
      </c>
      <c r="AL19" s="16">
        <f>FLUID!AP62</f>
        <v>0</v>
      </c>
      <c r="AM19" s="16">
        <f>FLUID!AQ62</f>
        <v>0</v>
      </c>
      <c r="AN19" s="16">
        <f>FLUID!AR62</f>
        <v>0</v>
      </c>
      <c r="AO19" s="16">
        <f>FLUID!AS62</f>
        <v>0</v>
      </c>
      <c r="AP19" s="16">
        <f>FLUID!AT62</f>
        <v>0</v>
      </c>
      <c r="AQ19" s="16">
        <f>FLUID!AU62</f>
        <v>0</v>
      </c>
      <c r="AR19" s="16">
        <f>FLUID!AV62</f>
        <v>0</v>
      </c>
      <c r="AS19" s="16">
        <f>FLUID!AW62</f>
        <v>0</v>
      </c>
      <c r="AT19" s="16">
        <f>FLUID!AX62</f>
        <v>0</v>
      </c>
      <c r="AU19" s="16">
        <f>FLUID!AY62</f>
        <v>0</v>
      </c>
      <c r="AV19" s="16">
        <f>FLUID!AZ62</f>
        <v>0</v>
      </c>
      <c r="AW19" s="16">
        <f>FLUID!BA62</f>
        <v>0</v>
      </c>
      <c r="AX19" s="16">
        <f>FLUID!BB62</f>
        <v>0</v>
      </c>
      <c r="AY19" s="16">
        <f>FLUID!BC62</f>
        <v>0</v>
      </c>
      <c r="AZ19" s="16">
        <f>FLUID!BD62</f>
        <v>0</v>
      </c>
      <c r="BA19" s="16">
        <f>FLUID!BE62</f>
        <v>0</v>
      </c>
      <c r="BB19" s="16">
        <f>FLUID!BF62</f>
        <v>0</v>
      </c>
      <c r="BC19" s="16">
        <f>FLUID!BG62</f>
        <v>0</v>
      </c>
      <c r="BD19" s="16">
        <f>FLUID!BH62</f>
        <v>0</v>
      </c>
      <c r="BE19" s="16">
        <f>FLUID!BI62</f>
        <v>0</v>
      </c>
      <c r="BF19" s="16">
        <f>FLUID!BJ62</f>
        <v>0</v>
      </c>
      <c r="BG19" s="16">
        <f>FLUID!BK62</f>
        <v>0</v>
      </c>
      <c r="BH19" s="16">
        <f>FLUID!BL62</f>
        <v>0</v>
      </c>
      <c r="BI19" s="16">
        <f>FLUID!BM62</f>
        <v>0</v>
      </c>
      <c r="BJ19" s="16">
        <f>FLUID!BN62</f>
        <v>0</v>
      </c>
      <c r="BK19" s="16">
        <f>FLUID!BO62</f>
        <v>0</v>
      </c>
      <c r="BL19" s="16">
        <f>FLUID!BP62</f>
        <v>0</v>
      </c>
      <c r="BM19" s="16">
        <f>FLUID!BQ62</f>
        <v>0</v>
      </c>
      <c r="BN19" s="16">
        <f>FLUID!BR62</f>
        <v>0</v>
      </c>
      <c r="BO19" s="16">
        <f>FLUID!BS62</f>
        <v>0</v>
      </c>
      <c r="BP19" s="16">
        <f>FLUID!BT62</f>
        <v>0</v>
      </c>
      <c r="BQ19" s="16">
        <f>FLUID!BU62</f>
        <v>0</v>
      </c>
      <c r="BR19" s="16">
        <f>FLUID!BV62</f>
        <v>0</v>
      </c>
      <c r="BS19" s="16">
        <f>FLUID!BW62</f>
        <v>0</v>
      </c>
      <c r="BT19" s="16">
        <f>FLUID!BX62</f>
        <v>0</v>
      </c>
    </row>
    <row r="20" spans="1:72" ht="22.5" hidden="1" customHeight="1" outlineLevel="1" thickBot="1" x14ac:dyDescent="0.4">
      <c r="A20" s="88">
        <f>FLUID!E63</f>
        <v>0</v>
      </c>
      <c r="B20" s="16" t="e">
        <f ca="1">FLUID!F63</f>
        <v>#N/A</v>
      </c>
      <c r="C20" s="16" t="e">
        <f ca="1">FLUID!G63</f>
        <v>#N/A</v>
      </c>
      <c r="D20" s="16" t="e">
        <f ca="1">FLUID!H63</f>
        <v>#N/A</v>
      </c>
      <c r="E20" s="16" t="e">
        <f ca="1">FLUID!I63</f>
        <v>#N/A</v>
      </c>
      <c r="F20" s="16" t="e">
        <f ca="1">FLUID!J63</f>
        <v>#N/A</v>
      </c>
      <c r="G20" s="16" t="e">
        <f ca="1">FLUID!K63</f>
        <v>#N/A</v>
      </c>
      <c r="H20" s="16" t="e">
        <f ca="1">FLUID!L63</f>
        <v>#N/A</v>
      </c>
      <c r="I20" s="16" t="e">
        <f ca="1">FLUID!M63</f>
        <v>#N/A</v>
      </c>
      <c r="J20" s="16" t="e">
        <f ca="1">FLUID!N63</f>
        <v>#N/A</v>
      </c>
      <c r="K20" s="16" t="e">
        <f ca="1">FLUID!O63</f>
        <v>#N/A</v>
      </c>
      <c r="L20" s="16" t="e">
        <f ca="1">FLUID!P63</f>
        <v>#N/A</v>
      </c>
      <c r="M20" s="16" t="e">
        <f ca="1">FLUID!Q63</f>
        <v>#N/A</v>
      </c>
      <c r="N20" s="16" t="e">
        <f ca="1">FLUID!R63</f>
        <v>#N/A</v>
      </c>
      <c r="O20" s="16" t="e">
        <f ca="1">FLUID!S63</f>
        <v>#N/A</v>
      </c>
      <c r="P20" s="16" t="e">
        <f ca="1">FLUID!T63</f>
        <v>#N/A</v>
      </c>
      <c r="Q20" s="16" t="e">
        <f ca="1">FLUID!U63</f>
        <v>#N/A</v>
      </c>
      <c r="R20" s="16" t="e">
        <f ca="1">FLUID!V63</f>
        <v>#N/A</v>
      </c>
      <c r="S20" s="16" t="e">
        <f ca="1">FLUID!W63</f>
        <v>#N/A</v>
      </c>
      <c r="T20" s="16" t="e">
        <f ca="1">FLUID!X63</f>
        <v>#N/A</v>
      </c>
      <c r="U20" s="16" t="e">
        <f ca="1">FLUID!Y63</f>
        <v>#N/A</v>
      </c>
      <c r="V20" s="16" t="e">
        <f ca="1">FLUID!Z63</f>
        <v>#N/A</v>
      </c>
      <c r="W20" s="16" t="e">
        <f ca="1">FLUID!AA63</f>
        <v>#N/A</v>
      </c>
      <c r="X20" s="16" t="e">
        <f ca="1">FLUID!AB63</f>
        <v>#N/A</v>
      </c>
      <c r="Y20" s="16" t="e">
        <f ca="1">FLUID!AC63</f>
        <v>#N/A</v>
      </c>
      <c r="Z20" s="16" t="e">
        <f ca="1">FLUID!AD63</f>
        <v>#N/A</v>
      </c>
      <c r="AA20" s="16" t="e">
        <f ca="1">FLUID!AE63</f>
        <v>#N/A</v>
      </c>
      <c r="AB20" s="16" t="e">
        <f ca="1">FLUID!AF63</f>
        <v>#N/A</v>
      </c>
      <c r="AC20" s="16" t="e">
        <f ca="1">FLUID!AG63</f>
        <v>#N/A</v>
      </c>
      <c r="AD20" s="16" t="e">
        <f ca="1">FLUID!AH63</f>
        <v>#N/A</v>
      </c>
      <c r="AE20" s="16" t="e">
        <f ca="1">FLUID!AI63</f>
        <v>#N/A</v>
      </c>
      <c r="AF20" s="16" t="e">
        <f ca="1">FLUID!AJ63</f>
        <v>#N/A</v>
      </c>
      <c r="AG20" s="16" t="e">
        <f ca="1">FLUID!AK63</f>
        <v>#N/A</v>
      </c>
      <c r="AH20" s="16" t="e">
        <f ca="1">FLUID!AL63</f>
        <v>#N/A</v>
      </c>
      <c r="AI20" s="16">
        <f>FLUID!AM63</f>
        <v>0</v>
      </c>
      <c r="AJ20" s="16">
        <f>FLUID!AN63</f>
        <v>0</v>
      </c>
      <c r="AK20" s="16">
        <f>FLUID!AO63</f>
        <v>0</v>
      </c>
      <c r="AL20" s="16">
        <f>FLUID!AP63</f>
        <v>0</v>
      </c>
      <c r="AM20" s="16">
        <f>FLUID!AQ63</f>
        <v>0</v>
      </c>
      <c r="AN20" s="16">
        <f>FLUID!AR63</f>
        <v>0</v>
      </c>
      <c r="AO20" s="16">
        <f>FLUID!AS63</f>
        <v>0</v>
      </c>
      <c r="AP20" s="16">
        <f>FLUID!AT63</f>
        <v>0</v>
      </c>
      <c r="AQ20" s="16">
        <f>FLUID!AU63</f>
        <v>0</v>
      </c>
      <c r="AR20" s="16">
        <f>FLUID!AV63</f>
        <v>0</v>
      </c>
      <c r="AS20" s="16">
        <f>FLUID!AW63</f>
        <v>0</v>
      </c>
      <c r="AT20" s="16">
        <f>FLUID!AX63</f>
        <v>0</v>
      </c>
      <c r="AU20" s="16">
        <f>FLUID!AY63</f>
        <v>0</v>
      </c>
      <c r="AV20" s="16">
        <f>FLUID!AZ63</f>
        <v>0</v>
      </c>
      <c r="AW20" s="16">
        <f>FLUID!BA63</f>
        <v>0</v>
      </c>
      <c r="AX20" s="16">
        <f>FLUID!BB63</f>
        <v>0</v>
      </c>
      <c r="AY20" s="16">
        <f>FLUID!BC63</f>
        <v>0</v>
      </c>
      <c r="AZ20" s="16">
        <f>FLUID!BD63</f>
        <v>0</v>
      </c>
      <c r="BA20" s="16">
        <f>FLUID!BE63</f>
        <v>0</v>
      </c>
      <c r="BB20" s="16">
        <f>FLUID!BF63</f>
        <v>0</v>
      </c>
      <c r="BC20" s="16">
        <f>FLUID!BG63</f>
        <v>0</v>
      </c>
      <c r="BD20" s="16">
        <f>FLUID!BH63</f>
        <v>0</v>
      </c>
      <c r="BE20" s="16">
        <f>FLUID!BI63</f>
        <v>0</v>
      </c>
      <c r="BF20" s="16">
        <f>FLUID!BJ63</f>
        <v>0</v>
      </c>
      <c r="BG20" s="16">
        <f>FLUID!BK63</f>
        <v>0</v>
      </c>
      <c r="BH20" s="16">
        <f>FLUID!BL63</f>
        <v>0</v>
      </c>
      <c r="BI20" s="16">
        <f>FLUID!BM63</f>
        <v>0</v>
      </c>
      <c r="BJ20" s="16">
        <f>FLUID!BN63</f>
        <v>0</v>
      </c>
      <c r="BK20" s="16">
        <f>FLUID!BO63</f>
        <v>0</v>
      </c>
      <c r="BL20" s="16">
        <f>FLUID!BP63</f>
        <v>0</v>
      </c>
      <c r="BM20" s="16">
        <f>FLUID!BQ63</f>
        <v>0</v>
      </c>
      <c r="BN20" s="16">
        <f>FLUID!BR63</f>
        <v>0</v>
      </c>
      <c r="BO20" s="16">
        <f>FLUID!BS63</f>
        <v>0</v>
      </c>
      <c r="BP20" s="16">
        <f>FLUID!BT63</f>
        <v>0</v>
      </c>
      <c r="BQ20" s="16">
        <f>FLUID!BU63</f>
        <v>0</v>
      </c>
      <c r="BR20" s="16">
        <f>FLUID!BV63</f>
        <v>0</v>
      </c>
      <c r="BS20" s="16">
        <f>FLUID!BW63</f>
        <v>0</v>
      </c>
      <c r="BT20" s="16">
        <f>FLUID!BX63</f>
        <v>0</v>
      </c>
    </row>
    <row r="21" spans="1:72" ht="22.5" hidden="1" customHeight="1" outlineLevel="1" thickBot="1" x14ac:dyDescent="0.4">
      <c r="A21" s="88">
        <f>FLUID!E64</f>
        <v>0</v>
      </c>
      <c r="B21" s="16" t="e">
        <f ca="1">FLUID!F64</f>
        <v>#N/A</v>
      </c>
      <c r="C21" s="16" t="e">
        <f ca="1">FLUID!G64</f>
        <v>#N/A</v>
      </c>
      <c r="D21" s="16" t="e">
        <f ca="1">FLUID!H64</f>
        <v>#N/A</v>
      </c>
      <c r="E21" s="16" t="e">
        <f ca="1">FLUID!I64</f>
        <v>#N/A</v>
      </c>
      <c r="F21" s="16" t="e">
        <f ca="1">FLUID!J64</f>
        <v>#N/A</v>
      </c>
      <c r="G21" s="16" t="e">
        <f ca="1">FLUID!K64</f>
        <v>#N/A</v>
      </c>
      <c r="H21" s="16" t="e">
        <f ca="1">FLUID!L64</f>
        <v>#N/A</v>
      </c>
      <c r="I21" s="16" t="e">
        <f ca="1">FLUID!M64</f>
        <v>#N/A</v>
      </c>
      <c r="J21" s="16" t="e">
        <f ca="1">FLUID!N64</f>
        <v>#N/A</v>
      </c>
      <c r="K21" s="16" t="e">
        <f ca="1">FLUID!O64</f>
        <v>#N/A</v>
      </c>
      <c r="L21" s="16" t="e">
        <f ca="1">FLUID!P64</f>
        <v>#N/A</v>
      </c>
      <c r="M21" s="16" t="e">
        <f ca="1">FLUID!Q64</f>
        <v>#N/A</v>
      </c>
      <c r="N21" s="16" t="e">
        <f ca="1">FLUID!R64</f>
        <v>#N/A</v>
      </c>
      <c r="O21" s="16" t="e">
        <f ca="1">FLUID!S64</f>
        <v>#N/A</v>
      </c>
      <c r="P21" s="16" t="e">
        <f ca="1">FLUID!T64</f>
        <v>#N/A</v>
      </c>
      <c r="Q21" s="16" t="e">
        <f ca="1">FLUID!U64</f>
        <v>#N/A</v>
      </c>
      <c r="R21" s="16" t="e">
        <f ca="1">FLUID!V64</f>
        <v>#N/A</v>
      </c>
      <c r="S21" s="16" t="e">
        <f ca="1">FLUID!W64</f>
        <v>#N/A</v>
      </c>
      <c r="T21" s="16" t="e">
        <f ca="1">FLUID!X64</f>
        <v>#N/A</v>
      </c>
      <c r="U21" s="16" t="e">
        <f ca="1">FLUID!Y64</f>
        <v>#N/A</v>
      </c>
      <c r="V21" s="16" t="e">
        <f ca="1">FLUID!Z64</f>
        <v>#N/A</v>
      </c>
      <c r="W21" s="16" t="e">
        <f ca="1">FLUID!AA64</f>
        <v>#N/A</v>
      </c>
      <c r="X21" s="16" t="e">
        <f ca="1">FLUID!AB64</f>
        <v>#N/A</v>
      </c>
      <c r="Y21" s="16" t="e">
        <f ca="1">FLUID!AC64</f>
        <v>#N/A</v>
      </c>
      <c r="Z21" s="16" t="e">
        <f ca="1">FLUID!AD64</f>
        <v>#N/A</v>
      </c>
      <c r="AA21" s="16" t="e">
        <f ca="1">FLUID!AE64</f>
        <v>#N/A</v>
      </c>
      <c r="AB21" s="16" t="e">
        <f ca="1">FLUID!AF64</f>
        <v>#N/A</v>
      </c>
      <c r="AC21" s="16" t="e">
        <f ca="1">FLUID!AG64</f>
        <v>#N/A</v>
      </c>
      <c r="AD21" s="16" t="e">
        <f ca="1">FLUID!AH64</f>
        <v>#N/A</v>
      </c>
      <c r="AE21" s="16" t="e">
        <f ca="1">FLUID!AI64</f>
        <v>#N/A</v>
      </c>
      <c r="AF21" s="16" t="e">
        <f ca="1">FLUID!AJ64</f>
        <v>#N/A</v>
      </c>
      <c r="AG21" s="16" t="e">
        <f ca="1">FLUID!AK64</f>
        <v>#N/A</v>
      </c>
      <c r="AH21" s="16" t="e">
        <f ca="1">FLUID!AL64</f>
        <v>#N/A</v>
      </c>
      <c r="AI21" s="16">
        <f>FLUID!AM64</f>
        <v>0</v>
      </c>
      <c r="AJ21" s="16">
        <f>FLUID!AN64</f>
        <v>0</v>
      </c>
      <c r="AK21" s="16">
        <f>FLUID!AO64</f>
        <v>0</v>
      </c>
      <c r="AL21" s="16">
        <f>FLUID!AP64</f>
        <v>0</v>
      </c>
      <c r="AM21" s="16">
        <f>FLUID!AQ64</f>
        <v>0</v>
      </c>
      <c r="AN21" s="16">
        <f>FLUID!AR64</f>
        <v>0</v>
      </c>
      <c r="AO21" s="16">
        <f>FLUID!AS64</f>
        <v>0</v>
      </c>
      <c r="AP21" s="16">
        <f>FLUID!AT64</f>
        <v>0</v>
      </c>
      <c r="AQ21" s="16">
        <f>FLUID!AU64</f>
        <v>0</v>
      </c>
      <c r="AR21" s="16">
        <f>FLUID!AV64</f>
        <v>0</v>
      </c>
      <c r="AS21" s="16">
        <f>FLUID!AW64</f>
        <v>0</v>
      </c>
      <c r="AT21" s="16">
        <f>FLUID!AX64</f>
        <v>0</v>
      </c>
      <c r="AU21" s="16">
        <f>FLUID!AY64</f>
        <v>0</v>
      </c>
      <c r="AV21" s="16">
        <f>FLUID!AZ64</f>
        <v>0</v>
      </c>
      <c r="AW21" s="16">
        <f>FLUID!BA64</f>
        <v>0</v>
      </c>
      <c r="AX21" s="16">
        <f>FLUID!BB64</f>
        <v>0</v>
      </c>
      <c r="AY21" s="16">
        <f>FLUID!BC64</f>
        <v>0</v>
      </c>
      <c r="AZ21" s="16">
        <f>FLUID!BD64</f>
        <v>0</v>
      </c>
      <c r="BA21" s="16">
        <f>FLUID!BE64</f>
        <v>0</v>
      </c>
      <c r="BB21" s="16">
        <f>FLUID!BF64</f>
        <v>0</v>
      </c>
      <c r="BC21" s="16">
        <f>FLUID!BG64</f>
        <v>0</v>
      </c>
      <c r="BD21" s="16">
        <f>FLUID!BH64</f>
        <v>0</v>
      </c>
      <c r="BE21" s="16">
        <f>FLUID!BI64</f>
        <v>0</v>
      </c>
      <c r="BF21" s="16">
        <f>FLUID!BJ64</f>
        <v>0</v>
      </c>
      <c r="BG21" s="16">
        <f>FLUID!BK64</f>
        <v>0</v>
      </c>
      <c r="BH21" s="16">
        <f>FLUID!BL64</f>
        <v>0</v>
      </c>
      <c r="BI21" s="16">
        <f>FLUID!BM64</f>
        <v>0</v>
      </c>
      <c r="BJ21" s="16">
        <f>FLUID!BN64</f>
        <v>0</v>
      </c>
      <c r="BK21" s="16">
        <f>FLUID!BO64</f>
        <v>0</v>
      </c>
      <c r="BL21" s="16">
        <f>FLUID!BP64</f>
        <v>0</v>
      </c>
      <c r="BM21" s="16">
        <f>FLUID!BQ64</f>
        <v>0</v>
      </c>
      <c r="BN21" s="16">
        <f>FLUID!BR64</f>
        <v>0</v>
      </c>
      <c r="BO21" s="16">
        <f>FLUID!BS64</f>
        <v>0</v>
      </c>
      <c r="BP21" s="16">
        <f>FLUID!BT64</f>
        <v>0</v>
      </c>
      <c r="BQ21" s="16">
        <f>FLUID!BU64</f>
        <v>0</v>
      </c>
      <c r="BR21" s="16">
        <f>FLUID!BV64</f>
        <v>0</v>
      </c>
      <c r="BS21" s="16">
        <f>FLUID!BW64</f>
        <v>0</v>
      </c>
      <c r="BT21" s="16">
        <f>FLUID!BX64</f>
        <v>0</v>
      </c>
    </row>
    <row r="22" spans="1:72" ht="22.5" hidden="1" customHeight="1" outlineLevel="1" thickBot="1" x14ac:dyDescent="0.4">
      <c r="A22" s="88">
        <f>FLUID!E65</f>
        <v>0</v>
      </c>
      <c r="B22" s="16" t="e">
        <f ca="1">FLUID!F65</f>
        <v>#N/A</v>
      </c>
      <c r="C22" s="16" t="e">
        <f ca="1">FLUID!G65</f>
        <v>#N/A</v>
      </c>
      <c r="D22" s="16" t="e">
        <f ca="1">FLUID!H65</f>
        <v>#N/A</v>
      </c>
      <c r="E22" s="16" t="e">
        <f ca="1">FLUID!I65</f>
        <v>#N/A</v>
      </c>
      <c r="F22" s="16" t="e">
        <f ca="1">FLUID!J65</f>
        <v>#N/A</v>
      </c>
      <c r="G22" s="16" t="e">
        <f ca="1">FLUID!K65</f>
        <v>#N/A</v>
      </c>
      <c r="H22" s="16" t="e">
        <f ca="1">FLUID!L65</f>
        <v>#N/A</v>
      </c>
      <c r="I22" s="16" t="e">
        <f ca="1">FLUID!M65</f>
        <v>#N/A</v>
      </c>
      <c r="J22" s="16" t="e">
        <f ca="1">FLUID!N65</f>
        <v>#N/A</v>
      </c>
      <c r="K22" s="16" t="e">
        <f ca="1">FLUID!O65</f>
        <v>#N/A</v>
      </c>
      <c r="L22" s="16" t="e">
        <f ca="1">FLUID!P65</f>
        <v>#N/A</v>
      </c>
      <c r="M22" s="16" t="e">
        <f ca="1">FLUID!Q65</f>
        <v>#N/A</v>
      </c>
      <c r="N22" s="16" t="e">
        <f ca="1">FLUID!R65</f>
        <v>#N/A</v>
      </c>
      <c r="O22" s="16" t="e">
        <f ca="1">FLUID!S65</f>
        <v>#N/A</v>
      </c>
      <c r="P22" s="16" t="e">
        <f ca="1">FLUID!T65</f>
        <v>#N/A</v>
      </c>
      <c r="Q22" s="16" t="e">
        <f ca="1">FLUID!U65</f>
        <v>#N/A</v>
      </c>
      <c r="R22" s="16" t="e">
        <f ca="1">FLUID!V65</f>
        <v>#N/A</v>
      </c>
      <c r="S22" s="16" t="e">
        <f ca="1">FLUID!W65</f>
        <v>#N/A</v>
      </c>
      <c r="T22" s="16" t="e">
        <f ca="1">FLUID!X65</f>
        <v>#N/A</v>
      </c>
      <c r="U22" s="16" t="e">
        <f ca="1">FLUID!Y65</f>
        <v>#N/A</v>
      </c>
      <c r="V22" s="16" t="e">
        <f ca="1">FLUID!Z65</f>
        <v>#N/A</v>
      </c>
      <c r="W22" s="16" t="e">
        <f ca="1">FLUID!AA65</f>
        <v>#N/A</v>
      </c>
      <c r="X22" s="16" t="e">
        <f ca="1">FLUID!AB65</f>
        <v>#N/A</v>
      </c>
      <c r="Y22" s="16" t="e">
        <f ca="1">FLUID!AC65</f>
        <v>#N/A</v>
      </c>
      <c r="Z22" s="16" t="e">
        <f ca="1">FLUID!AD65</f>
        <v>#N/A</v>
      </c>
      <c r="AA22" s="16" t="e">
        <f ca="1">FLUID!AE65</f>
        <v>#N/A</v>
      </c>
      <c r="AB22" s="16" t="e">
        <f ca="1">FLUID!AF65</f>
        <v>#N/A</v>
      </c>
      <c r="AC22" s="16" t="e">
        <f ca="1">FLUID!AG65</f>
        <v>#N/A</v>
      </c>
      <c r="AD22" s="16" t="e">
        <f ca="1">FLUID!AH65</f>
        <v>#N/A</v>
      </c>
      <c r="AE22" s="16" t="e">
        <f ca="1">FLUID!AI65</f>
        <v>#N/A</v>
      </c>
      <c r="AF22" s="16" t="e">
        <f ca="1">FLUID!AJ65</f>
        <v>#N/A</v>
      </c>
      <c r="AG22" s="16" t="e">
        <f ca="1">FLUID!AK65</f>
        <v>#N/A</v>
      </c>
      <c r="AH22" s="16" t="e">
        <f ca="1">FLUID!AL65</f>
        <v>#N/A</v>
      </c>
      <c r="AI22" s="16">
        <f>FLUID!AM65</f>
        <v>0</v>
      </c>
      <c r="AJ22" s="16">
        <f>FLUID!AN65</f>
        <v>0</v>
      </c>
      <c r="AK22" s="16">
        <f>FLUID!AO65</f>
        <v>0</v>
      </c>
      <c r="AL22" s="16">
        <f>FLUID!AP65</f>
        <v>0</v>
      </c>
      <c r="AM22" s="16">
        <f>FLUID!AQ65</f>
        <v>0</v>
      </c>
      <c r="AN22" s="16">
        <f>FLUID!AR65</f>
        <v>0</v>
      </c>
      <c r="AO22" s="16">
        <f>FLUID!AS65</f>
        <v>0</v>
      </c>
      <c r="AP22" s="16">
        <f>FLUID!AT65</f>
        <v>0</v>
      </c>
      <c r="AQ22" s="16">
        <f>FLUID!AU65</f>
        <v>0</v>
      </c>
      <c r="AR22" s="16">
        <f>FLUID!AV65</f>
        <v>0</v>
      </c>
      <c r="AS22" s="16">
        <f>FLUID!AW65</f>
        <v>0</v>
      </c>
      <c r="AT22" s="16">
        <f>FLUID!AX65</f>
        <v>0</v>
      </c>
      <c r="AU22" s="16">
        <f>FLUID!AY65</f>
        <v>0</v>
      </c>
      <c r="AV22" s="16">
        <f>FLUID!AZ65</f>
        <v>0</v>
      </c>
      <c r="AW22" s="16">
        <f>FLUID!BA65</f>
        <v>0</v>
      </c>
      <c r="AX22" s="16">
        <f>FLUID!BB65</f>
        <v>0</v>
      </c>
      <c r="AY22" s="16">
        <f>FLUID!BC65</f>
        <v>0</v>
      </c>
      <c r="AZ22" s="16">
        <f>FLUID!BD65</f>
        <v>0</v>
      </c>
      <c r="BA22" s="16">
        <f>FLUID!BE65</f>
        <v>0</v>
      </c>
      <c r="BB22" s="16">
        <f>FLUID!BF65</f>
        <v>0</v>
      </c>
      <c r="BC22" s="16">
        <f>FLUID!BG65</f>
        <v>0</v>
      </c>
      <c r="BD22" s="16">
        <f>FLUID!BH65</f>
        <v>0</v>
      </c>
      <c r="BE22" s="16">
        <f>FLUID!BI65</f>
        <v>0</v>
      </c>
      <c r="BF22" s="16">
        <f>FLUID!BJ65</f>
        <v>0</v>
      </c>
      <c r="BG22" s="16">
        <f>FLUID!BK65</f>
        <v>0</v>
      </c>
      <c r="BH22" s="16">
        <f>FLUID!BL65</f>
        <v>0</v>
      </c>
      <c r="BI22" s="16">
        <f>FLUID!BM65</f>
        <v>0</v>
      </c>
      <c r="BJ22" s="16">
        <f>FLUID!BN65</f>
        <v>0</v>
      </c>
      <c r="BK22" s="16">
        <f>FLUID!BO65</f>
        <v>0</v>
      </c>
      <c r="BL22" s="16">
        <f>FLUID!BP65</f>
        <v>0</v>
      </c>
      <c r="BM22" s="16">
        <f>FLUID!BQ65</f>
        <v>0</v>
      </c>
      <c r="BN22" s="16">
        <f>FLUID!BR65</f>
        <v>0</v>
      </c>
      <c r="BO22" s="16">
        <f>FLUID!BS65</f>
        <v>0</v>
      </c>
      <c r="BP22" s="16">
        <f>FLUID!BT65</f>
        <v>0</v>
      </c>
      <c r="BQ22" s="16">
        <f>FLUID!BU65</f>
        <v>0</v>
      </c>
      <c r="BR22" s="16">
        <f>FLUID!BV65</f>
        <v>0</v>
      </c>
      <c r="BS22" s="16">
        <f>FLUID!BW65</f>
        <v>0</v>
      </c>
      <c r="BT22" s="16">
        <f>FLUID!BX65</f>
        <v>0</v>
      </c>
    </row>
    <row r="23" spans="1:72" ht="22.5" hidden="1" customHeight="1" outlineLevel="1" thickBot="1" x14ac:dyDescent="0.4">
      <c r="A23" s="88">
        <f>FLUID!E66</f>
        <v>0</v>
      </c>
      <c r="B23" s="16" t="e">
        <f ca="1">FLUID!F66</f>
        <v>#N/A</v>
      </c>
      <c r="C23" s="16" t="e">
        <f ca="1">FLUID!G66</f>
        <v>#N/A</v>
      </c>
      <c r="D23" s="16" t="e">
        <f ca="1">FLUID!H66</f>
        <v>#N/A</v>
      </c>
      <c r="E23" s="16" t="e">
        <f ca="1">FLUID!I66</f>
        <v>#N/A</v>
      </c>
      <c r="F23" s="16" t="e">
        <f ca="1">FLUID!J66</f>
        <v>#N/A</v>
      </c>
      <c r="G23" s="16" t="e">
        <f ca="1">FLUID!K66</f>
        <v>#N/A</v>
      </c>
      <c r="H23" s="16" t="e">
        <f ca="1">FLUID!L66</f>
        <v>#N/A</v>
      </c>
      <c r="I23" s="16" t="e">
        <f ca="1">FLUID!M66</f>
        <v>#N/A</v>
      </c>
      <c r="J23" s="16" t="e">
        <f ca="1">FLUID!N66</f>
        <v>#N/A</v>
      </c>
      <c r="K23" s="16" t="e">
        <f ca="1">FLUID!O66</f>
        <v>#N/A</v>
      </c>
      <c r="L23" s="16" t="e">
        <f ca="1">FLUID!P66</f>
        <v>#N/A</v>
      </c>
      <c r="M23" s="16" t="e">
        <f ca="1">FLUID!Q66</f>
        <v>#N/A</v>
      </c>
      <c r="N23" s="16" t="e">
        <f ca="1">FLUID!R66</f>
        <v>#N/A</v>
      </c>
      <c r="O23" s="16" t="e">
        <f ca="1">FLUID!S66</f>
        <v>#N/A</v>
      </c>
      <c r="P23" s="16" t="e">
        <f ca="1">FLUID!T66</f>
        <v>#N/A</v>
      </c>
      <c r="Q23" s="16" t="e">
        <f ca="1">FLUID!U66</f>
        <v>#N/A</v>
      </c>
      <c r="R23" s="16" t="e">
        <f ca="1">FLUID!V66</f>
        <v>#N/A</v>
      </c>
      <c r="S23" s="16" t="e">
        <f ca="1">FLUID!W66</f>
        <v>#N/A</v>
      </c>
      <c r="T23" s="16" t="e">
        <f ca="1">FLUID!X66</f>
        <v>#N/A</v>
      </c>
      <c r="U23" s="16" t="e">
        <f ca="1">FLUID!Y66</f>
        <v>#N/A</v>
      </c>
      <c r="V23" s="16" t="e">
        <f ca="1">FLUID!Z66</f>
        <v>#N/A</v>
      </c>
      <c r="W23" s="16" t="e">
        <f ca="1">FLUID!AA66</f>
        <v>#N/A</v>
      </c>
      <c r="X23" s="16" t="e">
        <f ca="1">FLUID!AB66</f>
        <v>#N/A</v>
      </c>
      <c r="Y23" s="16" t="e">
        <f ca="1">FLUID!AC66</f>
        <v>#N/A</v>
      </c>
      <c r="Z23" s="16" t="e">
        <f ca="1">FLUID!AD66</f>
        <v>#N/A</v>
      </c>
      <c r="AA23" s="16" t="e">
        <f ca="1">FLUID!AE66</f>
        <v>#N/A</v>
      </c>
      <c r="AB23" s="16" t="e">
        <f ca="1">FLUID!AF66</f>
        <v>#N/A</v>
      </c>
      <c r="AC23" s="16" t="e">
        <f ca="1">FLUID!AG66</f>
        <v>#N/A</v>
      </c>
      <c r="AD23" s="16" t="e">
        <f ca="1">FLUID!AH66</f>
        <v>#N/A</v>
      </c>
      <c r="AE23" s="16" t="e">
        <f ca="1">FLUID!AI66</f>
        <v>#N/A</v>
      </c>
      <c r="AF23" s="16" t="e">
        <f ca="1">FLUID!AJ66</f>
        <v>#N/A</v>
      </c>
      <c r="AG23" s="16" t="e">
        <f ca="1">FLUID!AK66</f>
        <v>#N/A</v>
      </c>
      <c r="AH23" s="16" t="e">
        <f ca="1">FLUID!AL66</f>
        <v>#N/A</v>
      </c>
      <c r="AI23" s="16">
        <f>FLUID!AM66</f>
        <v>0</v>
      </c>
      <c r="AJ23" s="16">
        <f>FLUID!AN66</f>
        <v>0</v>
      </c>
      <c r="AK23" s="16">
        <f>FLUID!AO66</f>
        <v>0</v>
      </c>
      <c r="AL23" s="16">
        <f>FLUID!AP66</f>
        <v>0</v>
      </c>
      <c r="AM23" s="16">
        <f>FLUID!AQ66</f>
        <v>0</v>
      </c>
      <c r="AN23" s="16">
        <f>FLUID!AR66</f>
        <v>0</v>
      </c>
      <c r="AO23" s="16">
        <f>FLUID!AS66</f>
        <v>0</v>
      </c>
      <c r="AP23" s="16">
        <f>FLUID!AT66</f>
        <v>0</v>
      </c>
      <c r="AQ23" s="16">
        <f>FLUID!AU66</f>
        <v>0</v>
      </c>
      <c r="AR23" s="16">
        <f>FLUID!AV66</f>
        <v>0</v>
      </c>
      <c r="AS23" s="16">
        <f>FLUID!AW66</f>
        <v>0</v>
      </c>
      <c r="AT23" s="16">
        <f>FLUID!AX66</f>
        <v>0</v>
      </c>
      <c r="AU23" s="16">
        <f>FLUID!AY66</f>
        <v>0</v>
      </c>
      <c r="AV23" s="16">
        <f>FLUID!AZ66</f>
        <v>0</v>
      </c>
      <c r="AW23" s="16">
        <f>FLUID!BA66</f>
        <v>0</v>
      </c>
      <c r="AX23" s="16">
        <f>FLUID!BB66</f>
        <v>0</v>
      </c>
      <c r="AY23" s="16">
        <f>FLUID!BC66</f>
        <v>0</v>
      </c>
      <c r="AZ23" s="16">
        <f>FLUID!BD66</f>
        <v>0</v>
      </c>
      <c r="BA23" s="16">
        <f>FLUID!BE66</f>
        <v>0</v>
      </c>
      <c r="BB23" s="16">
        <f>FLUID!BF66</f>
        <v>0</v>
      </c>
      <c r="BC23" s="16">
        <f>FLUID!BG66</f>
        <v>0</v>
      </c>
      <c r="BD23" s="16">
        <f>FLUID!BH66</f>
        <v>0</v>
      </c>
      <c r="BE23" s="16">
        <f>FLUID!BI66</f>
        <v>0</v>
      </c>
      <c r="BF23" s="16">
        <f>FLUID!BJ66</f>
        <v>0</v>
      </c>
      <c r="BG23" s="16">
        <f>FLUID!BK66</f>
        <v>0</v>
      </c>
      <c r="BH23" s="16">
        <f>FLUID!BL66</f>
        <v>0</v>
      </c>
      <c r="BI23" s="16">
        <f>FLUID!BM66</f>
        <v>0</v>
      </c>
      <c r="BJ23" s="16">
        <f>FLUID!BN66</f>
        <v>0</v>
      </c>
      <c r="BK23" s="16">
        <f>FLUID!BO66</f>
        <v>0</v>
      </c>
      <c r="BL23" s="16">
        <f>FLUID!BP66</f>
        <v>0</v>
      </c>
      <c r="BM23" s="16">
        <f>FLUID!BQ66</f>
        <v>0</v>
      </c>
      <c r="BN23" s="16">
        <f>FLUID!BR66</f>
        <v>0</v>
      </c>
      <c r="BO23" s="16">
        <f>FLUID!BS66</f>
        <v>0</v>
      </c>
      <c r="BP23" s="16">
        <f>FLUID!BT66</f>
        <v>0</v>
      </c>
      <c r="BQ23" s="16">
        <f>FLUID!BU66</f>
        <v>0</v>
      </c>
      <c r="BR23" s="16">
        <f>FLUID!BV66</f>
        <v>0</v>
      </c>
      <c r="BS23" s="16">
        <f>FLUID!BW66</f>
        <v>0</v>
      </c>
      <c r="BT23" s="16">
        <f>FLUID!BX66</f>
        <v>0</v>
      </c>
    </row>
    <row r="24" spans="1:72" ht="22.5" hidden="1" customHeight="1" outlineLevel="1" thickBot="1" x14ac:dyDescent="0.4">
      <c r="A24" s="88">
        <f>FLUID!E67</f>
        <v>0</v>
      </c>
      <c r="B24" s="16" t="e">
        <f ca="1">FLUID!F67</f>
        <v>#N/A</v>
      </c>
      <c r="C24" s="16" t="e">
        <f ca="1">FLUID!G67</f>
        <v>#N/A</v>
      </c>
      <c r="D24" s="16" t="e">
        <f ca="1">FLUID!H67</f>
        <v>#N/A</v>
      </c>
      <c r="E24" s="16" t="e">
        <f ca="1">FLUID!I67</f>
        <v>#N/A</v>
      </c>
      <c r="F24" s="16" t="e">
        <f ca="1">FLUID!J67</f>
        <v>#N/A</v>
      </c>
      <c r="G24" s="16" t="e">
        <f ca="1">FLUID!K67</f>
        <v>#N/A</v>
      </c>
      <c r="H24" s="16" t="e">
        <f ca="1">FLUID!L67</f>
        <v>#N/A</v>
      </c>
      <c r="I24" s="16" t="e">
        <f ca="1">FLUID!M67</f>
        <v>#N/A</v>
      </c>
      <c r="J24" s="16" t="e">
        <f ca="1">FLUID!N67</f>
        <v>#N/A</v>
      </c>
      <c r="K24" s="16" t="e">
        <f ca="1">FLUID!O67</f>
        <v>#N/A</v>
      </c>
      <c r="L24" s="16" t="e">
        <f ca="1">FLUID!P67</f>
        <v>#N/A</v>
      </c>
      <c r="M24" s="16" t="e">
        <f ca="1">FLUID!Q67</f>
        <v>#N/A</v>
      </c>
      <c r="N24" s="16" t="e">
        <f ca="1">FLUID!R67</f>
        <v>#N/A</v>
      </c>
      <c r="O24" s="16" t="e">
        <f ca="1">FLUID!S67</f>
        <v>#N/A</v>
      </c>
      <c r="P24" s="16" t="e">
        <f ca="1">FLUID!T67</f>
        <v>#N/A</v>
      </c>
      <c r="Q24" s="16" t="e">
        <f ca="1">FLUID!U67</f>
        <v>#N/A</v>
      </c>
      <c r="R24" s="16" t="e">
        <f ca="1">FLUID!V67</f>
        <v>#N/A</v>
      </c>
      <c r="S24" s="16" t="e">
        <f ca="1">FLUID!W67</f>
        <v>#N/A</v>
      </c>
      <c r="T24" s="16" t="e">
        <f ca="1">FLUID!X67</f>
        <v>#N/A</v>
      </c>
      <c r="U24" s="16" t="e">
        <f ca="1">FLUID!Y67</f>
        <v>#N/A</v>
      </c>
      <c r="V24" s="16" t="e">
        <f ca="1">FLUID!Z67</f>
        <v>#N/A</v>
      </c>
      <c r="W24" s="16" t="e">
        <f ca="1">FLUID!AA67</f>
        <v>#N/A</v>
      </c>
      <c r="X24" s="16" t="e">
        <f ca="1">FLUID!AB67</f>
        <v>#N/A</v>
      </c>
      <c r="Y24" s="16" t="e">
        <f ca="1">FLUID!AC67</f>
        <v>#N/A</v>
      </c>
      <c r="Z24" s="16" t="e">
        <f ca="1">FLUID!AD67</f>
        <v>#N/A</v>
      </c>
      <c r="AA24" s="16" t="e">
        <f ca="1">FLUID!AE67</f>
        <v>#N/A</v>
      </c>
      <c r="AB24" s="16" t="e">
        <f ca="1">FLUID!AF67</f>
        <v>#N/A</v>
      </c>
      <c r="AC24" s="16" t="e">
        <f ca="1">FLUID!AG67</f>
        <v>#N/A</v>
      </c>
      <c r="AD24" s="16" t="e">
        <f ca="1">FLUID!AH67</f>
        <v>#N/A</v>
      </c>
      <c r="AE24" s="16" t="e">
        <f ca="1">FLUID!AI67</f>
        <v>#N/A</v>
      </c>
      <c r="AF24" s="16" t="e">
        <f ca="1">FLUID!AJ67</f>
        <v>#N/A</v>
      </c>
      <c r="AG24" s="16" t="e">
        <f ca="1">FLUID!AK67</f>
        <v>#N/A</v>
      </c>
      <c r="AH24" s="16" t="e">
        <f ca="1">FLUID!AL67</f>
        <v>#N/A</v>
      </c>
      <c r="AI24" s="16">
        <f>FLUID!AM67</f>
        <v>0</v>
      </c>
      <c r="AJ24" s="16">
        <f>FLUID!AN67</f>
        <v>0</v>
      </c>
      <c r="AK24" s="16">
        <f>FLUID!AO67</f>
        <v>0</v>
      </c>
      <c r="AL24" s="16">
        <f>FLUID!AP67</f>
        <v>0</v>
      </c>
      <c r="AM24" s="16">
        <f>FLUID!AQ67</f>
        <v>0</v>
      </c>
      <c r="AN24" s="16">
        <f>FLUID!AR67</f>
        <v>0</v>
      </c>
      <c r="AO24" s="16">
        <f>FLUID!AS67</f>
        <v>0</v>
      </c>
      <c r="AP24" s="16">
        <f>FLUID!AT67</f>
        <v>0</v>
      </c>
      <c r="AQ24" s="16">
        <f>FLUID!AU67</f>
        <v>0</v>
      </c>
      <c r="AR24" s="16">
        <f>FLUID!AV67</f>
        <v>0</v>
      </c>
      <c r="AS24" s="16">
        <f>FLUID!AW67</f>
        <v>0</v>
      </c>
      <c r="AT24" s="16">
        <f>FLUID!AX67</f>
        <v>0</v>
      </c>
      <c r="AU24" s="16">
        <f>FLUID!AY67</f>
        <v>0</v>
      </c>
      <c r="AV24" s="16">
        <f>FLUID!AZ67</f>
        <v>0</v>
      </c>
      <c r="AW24" s="16">
        <f>FLUID!BA67</f>
        <v>0</v>
      </c>
      <c r="AX24" s="16">
        <f>FLUID!BB67</f>
        <v>0</v>
      </c>
      <c r="AY24" s="16">
        <f>FLUID!BC67</f>
        <v>0</v>
      </c>
      <c r="AZ24" s="16">
        <f>FLUID!BD67</f>
        <v>0</v>
      </c>
      <c r="BA24" s="16">
        <f>FLUID!BE67</f>
        <v>0</v>
      </c>
      <c r="BB24" s="16">
        <f>FLUID!BF67</f>
        <v>0</v>
      </c>
      <c r="BC24" s="16">
        <f>FLUID!BG67</f>
        <v>0</v>
      </c>
      <c r="BD24" s="16">
        <f>FLUID!BH67</f>
        <v>0</v>
      </c>
      <c r="BE24" s="16">
        <f>FLUID!BI67</f>
        <v>0</v>
      </c>
      <c r="BF24" s="16">
        <f>FLUID!BJ67</f>
        <v>0</v>
      </c>
      <c r="BG24" s="16">
        <f>FLUID!BK67</f>
        <v>0</v>
      </c>
      <c r="BH24" s="16">
        <f>FLUID!BL67</f>
        <v>0</v>
      </c>
      <c r="BI24" s="16">
        <f>FLUID!BM67</f>
        <v>0</v>
      </c>
      <c r="BJ24" s="16">
        <f>FLUID!BN67</f>
        <v>0</v>
      </c>
      <c r="BK24" s="16">
        <f>FLUID!BO67</f>
        <v>0</v>
      </c>
      <c r="BL24" s="16">
        <f>FLUID!BP67</f>
        <v>0</v>
      </c>
      <c r="BM24" s="16">
        <f>FLUID!BQ67</f>
        <v>0</v>
      </c>
      <c r="BN24" s="16">
        <f>FLUID!BR67</f>
        <v>0</v>
      </c>
      <c r="BO24" s="16">
        <f>FLUID!BS67</f>
        <v>0</v>
      </c>
      <c r="BP24" s="16">
        <f>FLUID!BT67</f>
        <v>0</v>
      </c>
      <c r="BQ24" s="16">
        <f>FLUID!BU67</f>
        <v>0</v>
      </c>
      <c r="BR24" s="16">
        <f>FLUID!BV67</f>
        <v>0</v>
      </c>
      <c r="BS24" s="16">
        <f>FLUID!BW67</f>
        <v>0</v>
      </c>
      <c r="BT24" s="16">
        <f>FLUID!BX67</f>
        <v>0</v>
      </c>
    </row>
    <row r="25" spans="1:72" ht="22.5" hidden="1" customHeight="1" outlineLevel="1" thickBot="1" x14ac:dyDescent="0.4">
      <c r="A25" s="88">
        <f>FLUID!E68</f>
        <v>0</v>
      </c>
      <c r="B25" s="16" t="e">
        <f ca="1">FLUID!F68</f>
        <v>#N/A</v>
      </c>
      <c r="C25" s="16" t="e">
        <f ca="1">FLUID!G68</f>
        <v>#N/A</v>
      </c>
      <c r="D25" s="16" t="e">
        <f ca="1">FLUID!H68</f>
        <v>#N/A</v>
      </c>
      <c r="E25" s="16" t="e">
        <f ca="1">FLUID!I68</f>
        <v>#N/A</v>
      </c>
      <c r="F25" s="16" t="e">
        <f ca="1">FLUID!J68</f>
        <v>#N/A</v>
      </c>
      <c r="G25" s="16" t="e">
        <f ca="1">FLUID!K68</f>
        <v>#N/A</v>
      </c>
      <c r="H25" s="16" t="e">
        <f ca="1">FLUID!L68</f>
        <v>#N/A</v>
      </c>
      <c r="I25" s="16" t="e">
        <f ca="1">FLUID!M68</f>
        <v>#N/A</v>
      </c>
      <c r="J25" s="16" t="e">
        <f ca="1">FLUID!N68</f>
        <v>#N/A</v>
      </c>
      <c r="K25" s="16" t="e">
        <f ca="1">FLUID!O68</f>
        <v>#N/A</v>
      </c>
      <c r="L25" s="16" t="e">
        <f ca="1">FLUID!P68</f>
        <v>#N/A</v>
      </c>
      <c r="M25" s="16" t="e">
        <f ca="1">FLUID!Q68</f>
        <v>#N/A</v>
      </c>
      <c r="N25" s="16" t="e">
        <f ca="1">FLUID!R68</f>
        <v>#N/A</v>
      </c>
      <c r="O25" s="16" t="e">
        <f ca="1">FLUID!S68</f>
        <v>#N/A</v>
      </c>
      <c r="P25" s="16" t="e">
        <f ca="1">FLUID!T68</f>
        <v>#N/A</v>
      </c>
      <c r="Q25" s="16" t="e">
        <f ca="1">FLUID!U68</f>
        <v>#N/A</v>
      </c>
      <c r="R25" s="16" t="e">
        <f ca="1">FLUID!V68</f>
        <v>#N/A</v>
      </c>
      <c r="S25" s="16" t="e">
        <f ca="1">FLUID!W68</f>
        <v>#N/A</v>
      </c>
      <c r="T25" s="16" t="e">
        <f ca="1">FLUID!X68</f>
        <v>#N/A</v>
      </c>
      <c r="U25" s="16" t="e">
        <f ca="1">FLUID!Y68</f>
        <v>#N/A</v>
      </c>
      <c r="V25" s="16" t="e">
        <f ca="1">FLUID!Z68</f>
        <v>#N/A</v>
      </c>
      <c r="W25" s="16" t="e">
        <f ca="1">FLUID!AA68</f>
        <v>#N/A</v>
      </c>
      <c r="X25" s="16" t="e">
        <f ca="1">FLUID!AB68</f>
        <v>#N/A</v>
      </c>
      <c r="Y25" s="16" t="e">
        <f ca="1">FLUID!AC68</f>
        <v>#N/A</v>
      </c>
      <c r="Z25" s="16" t="e">
        <f ca="1">FLUID!AD68</f>
        <v>#N/A</v>
      </c>
      <c r="AA25" s="16" t="e">
        <f ca="1">FLUID!AE68</f>
        <v>#N/A</v>
      </c>
      <c r="AB25" s="16" t="e">
        <f ca="1">FLUID!AF68</f>
        <v>#N/A</v>
      </c>
      <c r="AC25" s="16" t="e">
        <f ca="1">FLUID!AG68</f>
        <v>#N/A</v>
      </c>
      <c r="AD25" s="16" t="e">
        <f ca="1">FLUID!AH68</f>
        <v>#N/A</v>
      </c>
      <c r="AE25" s="16" t="e">
        <f ca="1">FLUID!AI68</f>
        <v>#N/A</v>
      </c>
      <c r="AF25" s="16" t="e">
        <f ca="1">FLUID!AJ68</f>
        <v>#N/A</v>
      </c>
      <c r="AG25" s="16" t="e">
        <f ca="1">FLUID!AK68</f>
        <v>#N/A</v>
      </c>
      <c r="AH25" s="16" t="e">
        <f ca="1">FLUID!AL68</f>
        <v>#N/A</v>
      </c>
      <c r="AI25" s="16">
        <f>FLUID!AM68</f>
        <v>0</v>
      </c>
      <c r="AJ25" s="16">
        <f>FLUID!AN68</f>
        <v>0</v>
      </c>
      <c r="AK25" s="16">
        <f>FLUID!AO68</f>
        <v>0</v>
      </c>
      <c r="AL25" s="16">
        <f>FLUID!AP68</f>
        <v>0</v>
      </c>
      <c r="AM25" s="16">
        <f>FLUID!AQ68</f>
        <v>0</v>
      </c>
      <c r="AN25" s="16">
        <f>FLUID!AR68</f>
        <v>0</v>
      </c>
      <c r="AO25" s="16">
        <f>FLUID!AS68</f>
        <v>0</v>
      </c>
      <c r="AP25" s="16">
        <f>FLUID!AT68</f>
        <v>0</v>
      </c>
      <c r="AQ25" s="16">
        <f>FLUID!AU68</f>
        <v>0</v>
      </c>
      <c r="AR25" s="16">
        <f>FLUID!AV68</f>
        <v>0</v>
      </c>
      <c r="AS25" s="16">
        <f>FLUID!AW68</f>
        <v>0</v>
      </c>
      <c r="AT25" s="16">
        <f>FLUID!AX68</f>
        <v>0</v>
      </c>
      <c r="AU25" s="16">
        <f>FLUID!AY68</f>
        <v>0</v>
      </c>
      <c r="AV25" s="16">
        <f>FLUID!AZ68</f>
        <v>0</v>
      </c>
      <c r="AW25" s="16">
        <f>FLUID!BA68</f>
        <v>0</v>
      </c>
      <c r="AX25" s="16">
        <f>FLUID!BB68</f>
        <v>0</v>
      </c>
      <c r="AY25" s="16">
        <f>FLUID!BC68</f>
        <v>0</v>
      </c>
      <c r="AZ25" s="16">
        <f>FLUID!BD68</f>
        <v>0</v>
      </c>
      <c r="BA25" s="16">
        <f>FLUID!BE68</f>
        <v>0</v>
      </c>
      <c r="BB25" s="16">
        <f>FLUID!BF68</f>
        <v>0</v>
      </c>
      <c r="BC25" s="16">
        <f>FLUID!BG68</f>
        <v>0</v>
      </c>
      <c r="BD25" s="16">
        <f>FLUID!BH68</f>
        <v>0</v>
      </c>
      <c r="BE25" s="16">
        <f>FLUID!BI68</f>
        <v>0</v>
      </c>
      <c r="BF25" s="16">
        <f>FLUID!BJ68</f>
        <v>0</v>
      </c>
      <c r="BG25" s="16">
        <f>FLUID!BK68</f>
        <v>0</v>
      </c>
      <c r="BH25" s="16">
        <f>FLUID!BL68</f>
        <v>0</v>
      </c>
      <c r="BI25" s="16">
        <f>FLUID!BM68</f>
        <v>0</v>
      </c>
      <c r="BJ25" s="16">
        <f>FLUID!BN68</f>
        <v>0</v>
      </c>
      <c r="BK25" s="16">
        <f>FLUID!BO68</f>
        <v>0</v>
      </c>
      <c r="BL25" s="16">
        <f>FLUID!BP68</f>
        <v>0</v>
      </c>
      <c r="BM25" s="16">
        <f>FLUID!BQ68</f>
        <v>0</v>
      </c>
      <c r="BN25" s="16">
        <f>FLUID!BR68</f>
        <v>0</v>
      </c>
      <c r="BO25" s="16">
        <f>FLUID!BS68</f>
        <v>0</v>
      </c>
      <c r="BP25" s="16">
        <f>FLUID!BT68</f>
        <v>0</v>
      </c>
      <c r="BQ25" s="16">
        <f>FLUID!BU68</f>
        <v>0</v>
      </c>
      <c r="BR25" s="16">
        <f>FLUID!BV68</f>
        <v>0</v>
      </c>
      <c r="BS25" s="16">
        <f>FLUID!BW68</f>
        <v>0</v>
      </c>
      <c r="BT25" s="16">
        <f>FLUID!BX68</f>
        <v>0</v>
      </c>
    </row>
    <row r="26" spans="1:72" ht="22.5" hidden="1" customHeight="1" outlineLevel="1" thickBot="1" x14ac:dyDescent="0.4">
      <c r="A26" s="88">
        <f>FLUID!E69</f>
        <v>0</v>
      </c>
      <c r="B26" s="16" t="e">
        <f ca="1">FLUID!F69</f>
        <v>#N/A</v>
      </c>
      <c r="C26" s="16" t="e">
        <f ca="1">FLUID!G69</f>
        <v>#N/A</v>
      </c>
      <c r="D26" s="16" t="e">
        <f ca="1">FLUID!H69</f>
        <v>#N/A</v>
      </c>
      <c r="E26" s="16" t="e">
        <f ca="1">FLUID!I69</f>
        <v>#N/A</v>
      </c>
      <c r="F26" s="16" t="e">
        <f ca="1">FLUID!J69</f>
        <v>#N/A</v>
      </c>
      <c r="G26" s="16" t="e">
        <f ca="1">FLUID!K69</f>
        <v>#N/A</v>
      </c>
      <c r="H26" s="16" t="e">
        <f ca="1">FLUID!L69</f>
        <v>#N/A</v>
      </c>
      <c r="I26" s="16" t="e">
        <f ca="1">FLUID!M69</f>
        <v>#N/A</v>
      </c>
      <c r="J26" s="16" t="e">
        <f ca="1">FLUID!N69</f>
        <v>#N/A</v>
      </c>
      <c r="K26" s="16" t="e">
        <f ca="1">FLUID!O69</f>
        <v>#N/A</v>
      </c>
      <c r="L26" s="16" t="e">
        <f ca="1">FLUID!P69</f>
        <v>#N/A</v>
      </c>
      <c r="M26" s="16" t="e">
        <f ca="1">FLUID!Q69</f>
        <v>#N/A</v>
      </c>
      <c r="N26" s="16" t="e">
        <f ca="1">FLUID!R69</f>
        <v>#N/A</v>
      </c>
      <c r="O26" s="16" t="e">
        <f ca="1">FLUID!S69</f>
        <v>#N/A</v>
      </c>
      <c r="P26" s="16" t="e">
        <f ca="1">FLUID!T69</f>
        <v>#N/A</v>
      </c>
      <c r="Q26" s="16" t="e">
        <f ca="1">FLUID!U69</f>
        <v>#N/A</v>
      </c>
      <c r="R26" s="16" t="e">
        <f ca="1">FLUID!V69</f>
        <v>#N/A</v>
      </c>
      <c r="S26" s="16" t="e">
        <f ca="1">FLUID!W69</f>
        <v>#N/A</v>
      </c>
      <c r="T26" s="16" t="e">
        <f ca="1">FLUID!X69</f>
        <v>#N/A</v>
      </c>
      <c r="U26" s="16" t="e">
        <f ca="1">FLUID!Y69</f>
        <v>#N/A</v>
      </c>
      <c r="V26" s="16" t="e">
        <f ca="1">FLUID!Z69</f>
        <v>#N/A</v>
      </c>
      <c r="W26" s="16" t="e">
        <f ca="1">FLUID!AA69</f>
        <v>#N/A</v>
      </c>
      <c r="X26" s="16" t="e">
        <f ca="1">FLUID!AB69</f>
        <v>#N/A</v>
      </c>
      <c r="Y26" s="16" t="e">
        <f ca="1">FLUID!AC69</f>
        <v>#N/A</v>
      </c>
      <c r="Z26" s="16" t="e">
        <f ca="1">FLUID!AD69</f>
        <v>#N/A</v>
      </c>
      <c r="AA26" s="16" t="e">
        <f ca="1">FLUID!AE69</f>
        <v>#N/A</v>
      </c>
      <c r="AB26" s="16" t="e">
        <f ca="1">FLUID!AF69</f>
        <v>#N/A</v>
      </c>
      <c r="AC26" s="16" t="e">
        <f ca="1">FLUID!AG69</f>
        <v>#N/A</v>
      </c>
      <c r="AD26" s="16" t="e">
        <f ca="1">FLUID!AH69</f>
        <v>#N/A</v>
      </c>
      <c r="AE26" s="16" t="e">
        <f ca="1">FLUID!AI69</f>
        <v>#N/A</v>
      </c>
      <c r="AF26" s="16" t="e">
        <f ca="1">FLUID!AJ69</f>
        <v>#N/A</v>
      </c>
      <c r="AG26" s="16" t="e">
        <f ca="1">FLUID!AK69</f>
        <v>#N/A</v>
      </c>
      <c r="AH26" s="16" t="e">
        <f ca="1">FLUID!AL69</f>
        <v>#N/A</v>
      </c>
      <c r="AI26" s="16">
        <f>FLUID!AM69</f>
        <v>0</v>
      </c>
      <c r="AJ26" s="16">
        <f>FLUID!AN69</f>
        <v>0</v>
      </c>
      <c r="AK26" s="16">
        <f>FLUID!AO69</f>
        <v>0</v>
      </c>
      <c r="AL26" s="16">
        <f>FLUID!AP69</f>
        <v>0</v>
      </c>
      <c r="AM26" s="16">
        <f>FLUID!AQ69</f>
        <v>0</v>
      </c>
      <c r="AN26" s="16">
        <f>FLUID!AR69</f>
        <v>0</v>
      </c>
      <c r="AO26" s="16">
        <f>FLUID!AS69</f>
        <v>0</v>
      </c>
      <c r="AP26" s="16">
        <f>FLUID!AT69</f>
        <v>0</v>
      </c>
      <c r="AQ26" s="16">
        <f>FLUID!AU69</f>
        <v>0</v>
      </c>
      <c r="AR26" s="16">
        <f>FLUID!AV69</f>
        <v>0</v>
      </c>
      <c r="AS26" s="16">
        <f>FLUID!AW69</f>
        <v>0</v>
      </c>
      <c r="AT26" s="16">
        <f>FLUID!AX69</f>
        <v>0</v>
      </c>
      <c r="AU26" s="16">
        <f>FLUID!AY69</f>
        <v>0</v>
      </c>
      <c r="AV26" s="16">
        <f>FLUID!AZ69</f>
        <v>0</v>
      </c>
      <c r="AW26" s="16">
        <f>FLUID!BA69</f>
        <v>0</v>
      </c>
      <c r="AX26" s="16">
        <f>FLUID!BB69</f>
        <v>0</v>
      </c>
      <c r="AY26" s="16">
        <f>FLUID!BC69</f>
        <v>0</v>
      </c>
      <c r="AZ26" s="16">
        <f>FLUID!BD69</f>
        <v>0</v>
      </c>
      <c r="BA26" s="16">
        <f>FLUID!BE69</f>
        <v>0</v>
      </c>
      <c r="BB26" s="16">
        <f>FLUID!BF69</f>
        <v>0</v>
      </c>
      <c r="BC26" s="16">
        <f>FLUID!BG69</f>
        <v>0</v>
      </c>
      <c r="BD26" s="16">
        <f>FLUID!BH69</f>
        <v>0</v>
      </c>
      <c r="BE26" s="16">
        <f>FLUID!BI69</f>
        <v>0</v>
      </c>
      <c r="BF26" s="16">
        <f>FLUID!BJ69</f>
        <v>0</v>
      </c>
      <c r="BG26" s="16">
        <f>FLUID!BK69</f>
        <v>0</v>
      </c>
      <c r="BH26" s="16">
        <f>FLUID!BL69</f>
        <v>0</v>
      </c>
      <c r="BI26" s="16">
        <f>FLUID!BM69</f>
        <v>0</v>
      </c>
      <c r="BJ26" s="16">
        <f>FLUID!BN69</f>
        <v>0</v>
      </c>
      <c r="BK26" s="16">
        <f>FLUID!BO69</f>
        <v>0</v>
      </c>
      <c r="BL26" s="16">
        <f>FLUID!BP69</f>
        <v>0</v>
      </c>
      <c r="BM26" s="16">
        <f>FLUID!BQ69</f>
        <v>0</v>
      </c>
      <c r="BN26" s="16">
        <f>FLUID!BR69</f>
        <v>0</v>
      </c>
      <c r="BO26" s="16">
        <f>FLUID!BS69</f>
        <v>0</v>
      </c>
      <c r="BP26" s="16">
        <f>FLUID!BT69</f>
        <v>0</v>
      </c>
      <c r="BQ26" s="16">
        <f>FLUID!BU69</f>
        <v>0</v>
      </c>
      <c r="BR26" s="16">
        <f>FLUID!BV69</f>
        <v>0</v>
      </c>
      <c r="BS26" s="16">
        <f>FLUID!BW69</f>
        <v>0</v>
      </c>
      <c r="BT26" s="16">
        <f>FLUID!BX69</f>
        <v>0</v>
      </c>
    </row>
    <row r="27" spans="1:72" ht="22.5" hidden="1" customHeight="1" outlineLevel="1" thickBot="1" x14ac:dyDescent="0.4">
      <c r="A27" s="88">
        <f>FLUID!E70</f>
        <v>0</v>
      </c>
      <c r="B27" s="16" t="e">
        <f ca="1">FLUID!F70</f>
        <v>#N/A</v>
      </c>
      <c r="C27" s="16" t="e">
        <f ca="1">FLUID!G70</f>
        <v>#N/A</v>
      </c>
      <c r="D27" s="16" t="e">
        <f ca="1">FLUID!H70</f>
        <v>#N/A</v>
      </c>
      <c r="E27" s="16" t="e">
        <f ca="1">FLUID!I70</f>
        <v>#N/A</v>
      </c>
      <c r="F27" s="16" t="e">
        <f ca="1">FLUID!J70</f>
        <v>#N/A</v>
      </c>
      <c r="G27" s="16" t="e">
        <f ca="1">FLUID!K70</f>
        <v>#N/A</v>
      </c>
      <c r="H27" s="16" t="e">
        <f ca="1">FLUID!L70</f>
        <v>#N/A</v>
      </c>
      <c r="I27" s="16" t="e">
        <f ca="1">FLUID!M70</f>
        <v>#N/A</v>
      </c>
      <c r="J27" s="16" t="e">
        <f ca="1">FLUID!N70</f>
        <v>#N/A</v>
      </c>
      <c r="K27" s="16" t="e">
        <f ca="1">FLUID!O70</f>
        <v>#N/A</v>
      </c>
      <c r="L27" s="16" t="e">
        <f ca="1">FLUID!P70</f>
        <v>#N/A</v>
      </c>
      <c r="M27" s="16" t="e">
        <f ca="1">FLUID!Q70</f>
        <v>#N/A</v>
      </c>
      <c r="N27" s="16" t="e">
        <f ca="1">FLUID!R70</f>
        <v>#N/A</v>
      </c>
      <c r="O27" s="16" t="e">
        <f ca="1">FLUID!S70</f>
        <v>#N/A</v>
      </c>
      <c r="P27" s="16" t="e">
        <f ca="1">FLUID!T70</f>
        <v>#N/A</v>
      </c>
      <c r="Q27" s="16" t="e">
        <f ca="1">FLUID!U70</f>
        <v>#N/A</v>
      </c>
      <c r="R27" s="16" t="e">
        <f ca="1">FLUID!V70</f>
        <v>#N/A</v>
      </c>
      <c r="S27" s="16" t="e">
        <f ca="1">FLUID!W70</f>
        <v>#N/A</v>
      </c>
      <c r="T27" s="16" t="e">
        <f ca="1">FLUID!X70</f>
        <v>#N/A</v>
      </c>
      <c r="U27" s="16" t="e">
        <f ca="1">FLUID!Y70</f>
        <v>#N/A</v>
      </c>
      <c r="V27" s="16" t="e">
        <f ca="1">FLUID!Z70</f>
        <v>#N/A</v>
      </c>
      <c r="W27" s="16" t="e">
        <f ca="1">FLUID!AA70</f>
        <v>#N/A</v>
      </c>
      <c r="X27" s="16" t="e">
        <f ca="1">FLUID!AB70</f>
        <v>#N/A</v>
      </c>
      <c r="Y27" s="16" t="e">
        <f ca="1">FLUID!AC70</f>
        <v>#N/A</v>
      </c>
      <c r="Z27" s="16" t="e">
        <f ca="1">FLUID!AD70</f>
        <v>#N/A</v>
      </c>
      <c r="AA27" s="16" t="e">
        <f ca="1">FLUID!AE70</f>
        <v>#N/A</v>
      </c>
      <c r="AB27" s="16" t="e">
        <f ca="1">FLUID!AF70</f>
        <v>#N/A</v>
      </c>
      <c r="AC27" s="16" t="e">
        <f ca="1">FLUID!AG70</f>
        <v>#N/A</v>
      </c>
      <c r="AD27" s="16" t="e">
        <f ca="1">FLUID!AH70</f>
        <v>#N/A</v>
      </c>
      <c r="AE27" s="16" t="e">
        <f ca="1">FLUID!AI70</f>
        <v>#N/A</v>
      </c>
      <c r="AF27" s="16" t="e">
        <f ca="1">FLUID!AJ70</f>
        <v>#N/A</v>
      </c>
      <c r="AG27" s="16" t="e">
        <f ca="1">FLUID!AK70</f>
        <v>#N/A</v>
      </c>
      <c r="AH27" s="16" t="e">
        <f ca="1">FLUID!AL70</f>
        <v>#N/A</v>
      </c>
      <c r="AI27" s="16">
        <f>FLUID!AM70</f>
        <v>0</v>
      </c>
      <c r="AJ27" s="16">
        <f>FLUID!AN70</f>
        <v>0</v>
      </c>
      <c r="AK27" s="16">
        <f>FLUID!AO70</f>
        <v>0</v>
      </c>
      <c r="AL27" s="16">
        <f>FLUID!AP70</f>
        <v>0</v>
      </c>
      <c r="AM27" s="16">
        <f>FLUID!AQ70</f>
        <v>0</v>
      </c>
      <c r="AN27" s="16">
        <f>FLUID!AR70</f>
        <v>0</v>
      </c>
      <c r="AO27" s="16">
        <f>FLUID!AS70</f>
        <v>0</v>
      </c>
      <c r="AP27" s="16">
        <f>FLUID!AT70</f>
        <v>0</v>
      </c>
      <c r="AQ27" s="16">
        <f>FLUID!AU70</f>
        <v>0</v>
      </c>
      <c r="AR27" s="16">
        <f>FLUID!AV70</f>
        <v>0</v>
      </c>
      <c r="AS27" s="16">
        <f>FLUID!AW70</f>
        <v>0</v>
      </c>
      <c r="AT27" s="16">
        <f>FLUID!AX70</f>
        <v>0</v>
      </c>
      <c r="AU27" s="16">
        <f>FLUID!AY70</f>
        <v>0</v>
      </c>
      <c r="AV27" s="16">
        <f>FLUID!AZ70</f>
        <v>0</v>
      </c>
      <c r="AW27" s="16">
        <f>FLUID!BA70</f>
        <v>0</v>
      </c>
      <c r="AX27" s="16">
        <f>FLUID!BB70</f>
        <v>0</v>
      </c>
      <c r="AY27" s="16">
        <f>FLUID!BC70</f>
        <v>0</v>
      </c>
      <c r="AZ27" s="16">
        <f>FLUID!BD70</f>
        <v>0</v>
      </c>
      <c r="BA27" s="16">
        <f>FLUID!BE70</f>
        <v>0</v>
      </c>
      <c r="BB27" s="16">
        <f>FLUID!BF70</f>
        <v>0</v>
      </c>
      <c r="BC27" s="16">
        <f>FLUID!BG70</f>
        <v>0</v>
      </c>
      <c r="BD27" s="16">
        <f>FLUID!BH70</f>
        <v>0</v>
      </c>
      <c r="BE27" s="16">
        <f>FLUID!BI70</f>
        <v>0</v>
      </c>
      <c r="BF27" s="16">
        <f>FLUID!BJ70</f>
        <v>0</v>
      </c>
      <c r="BG27" s="16">
        <f>FLUID!BK70</f>
        <v>0</v>
      </c>
      <c r="BH27" s="16">
        <f>FLUID!BL70</f>
        <v>0</v>
      </c>
      <c r="BI27" s="16">
        <f>FLUID!BM70</f>
        <v>0</v>
      </c>
      <c r="BJ27" s="16">
        <f>FLUID!BN70</f>
        <v>0</v>
      </c>
      <c r="BK27" s="16">
        <f>FLUID!BO70</f>
        <v>0</v>
      </c>
      <c r="BL27" s="16">
        <f>FLUID!BP70</f>
        <v>0</v>
      </c>
      <c r="BM27" s="16">
        <f>FLUID!BQ70</f>
        <v>0</v>
      </c>
      <c r="BN27" s="16">
        <f>FLUID!BR70</f>
        <v>0</v>
      </c>
      <c r="BO27" s="16">
        <f>FLUID!BS70</f>
        <v>0</v>
      </c>
      <c r="BP27" s="16">
        <f>FLUID!BT70</f>
        <v>0</v>
      </c>
      <c r="BQ27" s="16">
        <f>FLUID!BU70</f>
        <v>0</v>
      </c>
      <c r="BR27" s="16">
        <f>FLUID!BV70</f>
        <v>0</v>
      </c>
      <c r="BS27" s="16">
        <f>FLUID!BW70</f>
        <v>0</v>
      </c>
      <c r="BT27" s="16">
        <f>FLUID!BX70</f>
        <v>0</v>
      </c>
    </row>
    <row r="28" spans="1:72" ht="22.5" hidden="1" customHeight="1" outlineLevel="1" thickBot="1" x14ac:dyDescent="0.4">
      <c r="A28" s="88">
        <f>FLUID!E71</f>
        <v>0</v>
      </c>
      <c r="B28" s="16" t="e">
        <f ca="1">FLUID!F71</f>
        <v>#N/A</v>
      </c>
      <c r="C28" s="16" t="e">
        <f ca="1">FLUID!G71</f>
        <v>#N/A</v>
      </c>
      <c r="D28" s="16" t="e">
        <f ca="1">FLUID!H71</f>
        <v>#N/A</v>
      </c>
      <c r="E28" s="16" t="e">
        <f ca="1">FLUID!I71</f>
        <v>#N/A</v>
      </c>
      <c r="F28" s="16" t="e">
        <f ca="1">FLUID!J71</f>
        <v>#N/A</v>
      </c>
      <c r="G28" s="16" t="e">
        <f ca="1">FLUID!K71</f>
        <v>#N/A</v>
      </c>
      <c r="H28" s="16" t="e">
        <f ca="1">FLUID!L71</f>
        <v>#N/A</v>
      </c>
      <c r="I28" s="16" t="e">
        <f ca="1">FLUID!M71</f>
        <v>#N/A</v>
      </c>
      <c r="J28" s="16" t="e">
        <f ca="1">FLUID!N71</f>
        <v>#N/A</v>
      </c>
      <c r="K28" s="16" t="e">
        <f ca="1">FLUID!O71</f>
        <v>#N/A</v>
      </c>
      <c r="L28" s="16" t="e">
        <f ca="1">FLUID!P71</f>
        <v>#N/A</v>
      </c>
      <c r="M28" s="16" t="e">
        <f ca="1">FLUID!Q71</f>
        <v>#N/A</v>
      </c>
      <c r="N28" s="16" t="e">
        <f ca="1">FLUID!R71</f>
        <v>#N/A</v>
      </c>
      <c r="O28" s="16" t="e">
        <f ca="1">FLUID!S71</f>
        <v>#N/A</v>
      </c>
      <c r="P28" s="16" t="e">
        <f ca="1">FLUID!T71</f>
        <v>#N/A</v>
      </c>
      <c r="Q28" s="16" t="e">
        <f ca="1">FLUID!U71</f>
        <v>#N/A</v>
      </c>
      <c r="R28" s="16" t="e">
        <f ca="1">FLUID!V71</f>
        <v>#N/A</v>
      </c>
      <c r="S28" s="16" t="e">
        <f ca="1">FLUID!W71</f>
        <v>#N/A</v>
      </c>
      <c r="T28" s="16" t="e">
        <f ca="1">FLUID!X71</f>
        <v>#N/A</v>
      </c>
      <c r="U28" s="16" t="e">
        <f ca="1">FLUID!Y71</f>
        <v>#N/A</v>
      </c>
      <c r="V28" s="16" t="e">
        <f ca="1">FLUID!Z71</f>
        <v>#N/A</v>
      </c>
      <c r="W28" s="16" t="e">
        <f ca="1">FLUID!AA71</f>
        <v>#N/A</v>
      </c>
      <c r="X28" s="16" t="e">
        <f ca="1">FLUID!AB71</f>
        <v>#N/A</v>
      </c>
      <c r="Y28" s="16" t="e">
        <f ca="1">FLUID!AC71</f>
        <v>#N/A</v>
      </c>
      <c r="Z28" s="16" t="e">
        <f ca="1">FLUID!AD71</f>
        <v>#N/A</v>
      </c>
      <c r="AA28" s="16" t="e">
        <f ca="1">FLUID!AE71</f>
        <v>#N/A</v>
      </c>
      <c r="AB28" s="16" t="e">
        <f ca="1">FLUID!AF71</f>
        <v>#N/A</v>
      </c>
      <c r="AC28" s="16" t="e">
        <f ca="1">FLUID!AG71</f>
        <v>#N/A</v>
      </c>
      <c r="AD28" s="16" t="e">
        <f ca="1">FLUID!AH71</f>
        <v>#N/A</v>
      </c>
      <c r="AE28" s="16" t="e">
        <f ca="1">FLUID!AI71</f>
        <v>#N/A</v>
      </c>
      <c r="AF28" s="16" t="e">
        <f ca="1">FLUID!AJ71</f>
        <v>#N/A</v>
      </c>
      <c r="AG28" s="16" t="e">
        <f ca="1">FLUID!AK71</f>
        <v>#N/A</v>
      </c>
      <c r="AH28" s="16" t="e">
        <f ca="1">FLUID!AL71</f>
        <v>#N/A</v>
      </c>
      <c r="AI28" s="16">
        <f>FLUID!AM71</f>
        <v>0</v>
      </c>
      <c r="AJ28" s="16">
        <f>FLUID!AN71</f>
        <v>0</v>
      </c>
      <c r="AK28" s="16">
        <f>FLUID!AO71</f>
        <v>0</v>
      </c>
      <c r="AL28" s="16">
        <f>FLUID!AP71</f>
        <v>0</v>
      </c>
      <c r="AM28" s="16">
        <f>FLUID!AQ71</f>
        <v>0</v>
      </c>
      <c r="AN28" s="16">
        <f>FLUID!AR71</f>
        <v>0</v>
      </c>
      <c r="AO28" s="16">
        <f>FLUID!AS71</f>
        <v>0</v>
      </c>
      <c r="AP28" s="16">
        <f>FLUID!AT71</f>
        <v>0</v>
      </c>
      <c r="AQ28" s="16">
        <f>FLUID!AU71</f>
        <v>0</v>
      </c>
      <c r="AR28" s="16">
        <f>FLUID!AV71</f>
        <v>0</v>
      </c>
      <c r="AS28" s="16">
        <f>FLUID!AW71</f>
        <v>0</v>
      </c>
      <c r="AT28" s="16">
        <f>FLUID!AX71</f>
        <v>0</v>
      </c>
      <c r="AU28" s="16">
        <f>FLUID!AY71</f>
        <v>0</v>
      </c>
      <c r="AV28" s="16">
        <f>FLUID!AZ71</f>
        <v>0</v>
      </c>
      <c r="AW28" s="16">
        <f>FLUID!BA71</f>
        <v>0</v>
      </c>
      <c r="AX28" s="16">
        <f>FLUID!BB71</f>
        <v>0</v>
      </c>
      <c r="AY28" s="16">
        <f>FLUID!BC71</f>
        <v>0</v>
      </c>
      <c r="AZ28" s="16">
        <f>FLUID!BD71</f>
        <v>0</v>
      </c>
      <c r="BA28" s="16">
        <f>FLUID!BE71</f>
        <v>0</v>
      </c>
      <c r="BB28" s="16">
        <f>FLUID!BF71</f>
        <v>0</v>
      </c>
      <c r="BC28" s="16">
        <f>FLUID!BG71</f>
        <v>0</v>
      </c>
      <c r="BD28" s="16">
        <f>FLUID!BH71</f>
        <v>0</v>
      </c>
      <c r="BE28" s="16">
        <f>FLUID!BI71</f>
        <v>0</v>
      </c>
      <c r="BF28" s="16">
        <f>FLUID!BJ71</f>
        <v>0</v>
      </c>
      <c r="BG28" s="16">
        <f>FLUID!BK71</f>
        <v>0</v>
      </c>
      <c r="BH28" s="16">
        <f>FLUID!BL71</f>
        <v>0</v>
      </c>
      <c r="BI28" s="16">
        <f>FLUID!BM71</f>
        <v>0</v>
      </c>
      <c r="BJ28" s="16">
        <f>FLUID!BN71</f>
        <v>0</v>
      </c>
      <c r="BK28" s="16">
        <f>FLUID!BO71</f>
        <v>0</v>
      </c>
      <c r="BL28" s="16">
        <f>FLUID!BP71</f>
        <v>0</v>
      </c>
      <c r="BM28" s="16">
        <f>FLUID!BQ71</f>
        <v>0</v>
      </c>
      <c r="BN28" s="16">
        <f>FLUID!BR71</f>
        <v>0</v>
      </c>
      <c r="BO28" s="16">
        <f>FLUID!BS71</f>
        <v>0</v>
      </c>
      <c r="BP28" s="16">
        <f>FLUID!BT71</f>
        <v>0</v>
      </c>
      <c r="BQ28" s="16">
        <f>FLUID!BU71</f>
        <v>0</v>
      </c>
      <c r="BR28" s="16">
        <f>FLUID!BV71</f>
        <v>0</v>
      </c>
      <c r="BS28" s="16">
        <f>FLUID!BW71</f>
        <v>0</v>
      </c>
      <c r="BT28" s="16">
        <f>FLUID!BX71</f>
        <v>0</v>
      </c>
    </row>
    <row r="29" spans="1:72" ht="22.5" hidden="1" customHeight="1" outlineLevel="1" thickBot="1" x14ac:dyDescent="0.4">
      <c r="A29" s="88">
        <f>FLUID!E72</f>
        <v>0</v>
      </c>
      <c r="B29" s="16" t="e">
        <f ca="1">FLUID!F72</f>
        <v>#N/A</v>
      </c>
      <c r="C29" s="16" t="e">
        <f ca="1">FLUID!G72</f>
        <v>#N/A</v>
      </c>
      <c r="D29" s="16" t="e">
        <f ca="1">FLUID!H72</f>
        <v>#N/A</v>
      </c>
      <c r="E29" s="16" t="e">
        <f ca="1">FLUID!I72</f>
        <v>#N/A</v>
      </c>
      <c r="F29" s="16" t="e">
        <f ca="1">FLUID!J72</f>
        <v>#N/A</v>
      </c>
      <c r="G29" s="16" t="e">
        <f ca="1">FLUID!K72</f>
        <v>#N/A</v>
      </c>
      <c r="H29" s="16" t="e">
        <f ca="1">FLUID!L72</f>
        <v>#N/A</v>
      </c>
      <c r="I29" s="16" t="e">
        <f ca="1">FLUID!M72</f>
        <v>#N/A</v>
      </c>
      <c r="J29" s="16" t="e">
        <f ca="1">FLUID!N72</f>
        <v>#N/A</v>
      </c>
      <c r="K29" s="16" t="e">
        <f ca="1">FLUID!O72</f>
        <v>#N/A</v>
      </c>
      <c r="L29" s="16" t="e">
        <f ca="1">FLUID!P72</f>
        <v>#N/A</v>
      </c>
      <c r="M29" s="16" t="e">
        <f ca="1">FLUID!Q72</f>
        <v>#N/A</v>
      </c>
      <c r="N29" s="16" t="e">
        <f ca="1">FLUID!R72</f>
        <v>#N/A</v>
      </c>
      <c r="O29" s="16" t="e">
        <f ca="1">FLUID!S72</f>
        <v>#N/A</v>
      </c>
      <c r="P29" s="16" t="e">
        <f ca="1">FLUID!T72</f>
        <v>#N/A</v>
      </c>
      <c r="Q29" s="16" t="e">
        <f ca="1">FLUID!U72</f>
        <v>#N/A</v>
      </c>
      <c r="R29" s="16" t="e">
        <f ca="1">FLUID!V72</f>
        <v>#N/A</v>
      </c>
      <c r="S29" s="16" t="e">
        <f ca="1">FLUID!W72</f>
        <v>#N/A</v>
      </c>
      <c r="T29" s="16" t="e">
        <f ca="1">FLUID!X72</f>
        <v>#N/A</v>
      </c>
      <c r="U29" s="16" t="e">
        <f ca="1">FLUID!Y72</f>
        <v>#N/A</v>
      </c>
      <c r="V29" s="16" t="e">
        <f ca="1">FLUID!Z72</f>
        <v>#N/A</v>
      </c>
      <c r="W29" s="16" t="e">
        <f ca="1">FLUID!AA72</f>
        <v>#N/A</v>
      </c>
      <c r="X29" s="16" t="e">
        <f ca="1">FLUID!AB72</f>
        <v>#N/A</v>
      </c>
      <c r="Y29" s="16" t="e">
        <f ca="1">FLUID!AC72</f>
        <v>#N/A</v>
      </c>
      <c r="Z29" s="16" t="e">
        <f ca="1">FLUID!AD72</f>
        <v>#N/A</v>
      </c>
      <c r="AA29" s="16" t="e">
        <f ca="1">FLUID!AE72</f>
        <v>#N/A</v>
      </c>
      <c r="AB29" s="16" t="e">
        <f ca="1">FLUID!AF72</f>
        <v>#N/A</v>
      </c>
      <c r="AC29" s="16" t="e">
        <f ca="1">FLUID!AG72</f>
        <v>#N/A</v>
      </c>
      <c r="AD29" s="16" t="e">
        <f ca="1">FLUID!AH72</f>
        <v>#N/A</v>
      </c>
      <c r="AE29" s="16" t="e">
        <f ca="1">FLUID!AI72</f>
        <v>#N/A</v>
      </c>
      <c r="AF29" s="16" t="e">
        <f ca="1">FLUID!AJ72</f>
        <v>#N/A</v>
      </c>
      <c r="AG29" s="16" t="e">
        <f ca="1">FLUID!AK72</f>
        <v>#N/A</v>
      </c>
      <c r="AH29" s="16" t="e">
        <f ca="1">FLUID!AL72</f>
        <v>#N/A</v>
      </c>
      <c r="AI29" s="16">
        <f>FLUID!AM72</f>
        <v>0</v>
      </c>
      <c r="AJ29" s="16">
        <f>FLUID!AN72</f>
        <v>0</v>
      </c>
      <c r="AK29" s="16">
        <f>FLUID!AO72</f>
        <v>0</v>
      </c>
      <c r="AL29" s="16">
        <f>FLUID!AP72</f>
        <v>0</v>
      </c>
      <c r="AM29" s="16">
        <f>FLUID!AQ72</f>
        <v>0</v>
      </c>
      <c r="AN29" s="16">
        <f>FLUID!AR72</f>
        <v>0</v>
      </c>
      <c r="AO29" s="16">
        <f>FLUID!AS72</f>
        <v>0</v>
      </c>
      <c r="AP29" s="16">
        <f>FLUID!AT72</f>
        <v>0</v>
      </c>
      <c r="AQ29" s="16">
        <f>FLUID!AU72</f>
        <v>0</v>
      </c>
      <c r="AR29" s="16">
        <f>FLUID!AV72</f>
        <v>0</v>
      </c>
      <c r="AS29" s="16">
        <f>FLUID!AW72</f>
        <v>0</v>
      </c>
      <c r="AT29" s="16">
        <f>FLUID!AX72</f>
        <v>0</v>
      </c>
      <c r="AU29" s="16">
        <f>FLUID!AY72</f>
        <v>0</v>
      </c>
      <c r="AV29" s="16">
        <f>FLUID!AZ72</f>
        <v>0</v>
      </c>
      <c r="AW29" s="16">
        <f>FLUID!BA72</f>
        <v>0</v>
      </c>
      <c r="AX29" s="16">
        <f>FLUID!BB72</f>
        <v>0</v>
      </c>
      <c r="AY29" s="16">
        <f>FLUID!BC72</f>
        <v>0</v>
      </c>
      <c r="AZ29" s="16">
        <f>FLUID!BD72</f>
        <v>0</v>
      </c>
      <c r="BA29" s="16">
        <f>FLUID!BE72</f>
        <v>0</v>
      </c>
      <c r="BB29" s="16">
        <f>FLUID!BF72</f>
        <v>0</v>
      </c>
      <c r="BC29" s="16">
        <f>FLUID!BG72</f>
        <v>0</v>
      </c>
      <c r="BD29" s="16">
        <f>FLUID!BH72</f>
        <v>0</v>
      </c>
      <c r="BE29" s="16">
        <f>FLUID!BI72</f>
        <v>0</v>
      </c>
      <c r="BF29" s="16">
        <f>FLUID!BJ72</f>
        <v>0</v>
      </c>
      <c r="BG29" s="16">
        <f>FLUID!BK72</f>
        <v>0</v>
      </c>
      <c r="BH29" s="16">
        <f>FLUID!BL72</f>
        <v>0</v>
      </c>
      <c r="BI29" s="16">
        <f>FLUID!BM72</f>
        <v>0</v>
      </c>
      <c r="BJ29" s="16">
        <f>FLUID!BN72</f>
        <v>0</v>
      </c>
      <c r="BK29" s="16">
        <f>FLUID!BO72</f>
        <v>0</v>
      </c>
      <c r="BL29" s="16">
        <f>FLUID!BP72</f>
        <v>0</v>
      </c>
      <c r="BM29" s="16">
        <f>FLUID!BQ72</f>
        <v>0</v>
      </c>
      <c r="BN29" s="16">
        <f>FLUID!BR72</f>
        <v>0</v>
      </c>
      <c r="BO29" s="16">
        <f>FLUID!BS72</f>
        <v>0</v>
      </c>
      <c r="BP29" s="16">
        <f>FLUID!BT72</f>
        <v>0</v>
      </c>
      <c r="BQ29" s="16">
        <f>FLUID!BU72</f>
        <v>0</v>
      </c>
      <c r="BR29" s="16">
        <f>FLUID!BV72</f>
        <v>0</v>
      </c>
      <c r="BS29" s="16">
        <f>FLUID!BW72</f>
        <v>0</v>
      </c>
      <c r="BT29" s="16">
        <f>FLUID!BX72</f>
        <v>0</v>
      </c>
    </row>
    <row r="30" spans="1:72" ht="22.5" hidden="1" customHeight="1" outlineLevel="1" thickBot="1" x14ac:dyDescent="0.4">
      <c r="A30" s="88">
        <f>FLUID!E73</f>
        <v>0</v>
      </c>
      <c r="B30" s="16" t="e">
        <f ca="1">FLUID!F73</f>
        <v>#N/A</v>
      </c>
      <c r="C30" s="16" t="e">
        <f ca="1">FLUID!G73</f>
        <v>#N/A</v>
      </c>
      <c r="D30" s="16" t="e">
        <f ca="1">FLUID!H73</f>
        <v>#N/A</v>
      </c>
      <c r="E30" s="16" t="e">
        <f ca="1">FLUID!I73</f>
        <v>#N/A</v>
      </c>
      <c r="F30" s="16" t="e">
        <f ca="1">FLUID!J73</f>
        <v>#N/A</v>
      </c>
      <c r="G30" s="16" t="e">
        <f ca="1">FLUID!K73</f>
        <v>#N/A</v>
      </c>
      <c r="H30" s="16" t="e">
        <f ca="1">FLUID!L73</f>
        <v>#N/A</v>
      </c>
      <c r="I30" s="16" t="e">
        <f ca="1">FLUID!M73</f>
        <v>#N/A</v>
      </c>
      <c r="J30" s="16" t="e">
        <f ca="1">FLUID!N73</f>
        <v>#N/A</v>
      </c>
      <c r="K30" s="16" t="e">
        <f ca="1">FLUID!O73</f>
        <v>#N/A</v>
      </c>
      <c r="L30" s="16" t="e">
        <f ca="1">FLUID!P73</f>
        <v>#N/A</v>
      </c>
      <c r="M30" s="16" t="e">
        <f ca="1">FLUID!Q73</f>
        <v>#N/A</v>
      </c>
      <c r="N30" s="16" t="e">
        <f ca="1">FLUID!R73</f>
        <v>#N/A</v>
      </c>
      <c r="O30" s="16" t="e">
        <f ca="1">FLUID!S73</f>
        <v>#N/A</v>
      </c>
      <c r="P30" s="16" t="e">
        <f ca="1">FLUID!T73</f>
        <v>#N/A</v>
      </c>
      <c r="Q30" s="16" t="e">
        <f ca="1">FLUID!U73</f>
        <v>#N/A</v>
      </c>
      <c r="R30" s="16" t="e">
        <f ca="1">FLUID!V73</f>
        <v>#N/A</v>
      </c>
      <c r="S30" s="16" t="e">
        <f ca="1">FLUID!W73</f>
        <v>#N/A</v>
      </c>
      <c r="T30" s="16" t="e">
        <f ca="1">FLUID!X73</f>
        <v>#N/A</v>
      </c>
      <c r="U30" s="16" t="e">
        <f ca="1">FLUID!Y73</f>
        <v>#N/A</v>
      </c>
      <c r="V30" s="16" t="e">
        <f ca="1">FLUID!Z73</f>
        <v>#N/A</v>
      </c>
      <c r="W30" s="16" t="e">
        <f ca="1">FLUID!AA73</f>
        <v>#N/A</v>
      </c>
      <c r="X30" s="16" t="e">
        <f ca="1">FLUID!AB73</f>
        <v>#N/A</v>
      </c>
      <c r="Y30" s="16" t="e">
        <f ca="1">FLUID!AC73</f>
        <v>#N/A</v>
      </c>
      <c r="Z30" s="16" t="e">
        <f ca="1">FLUID!AD73</f>
        <v>#N/A</v>
      </c>
      <c r="AA30" s="16" t="e">
        <f ca="1">FLUID!AE73</f>
        <v>#N/A</v>
      </c>
      <c r="AB30" s="16" t="e">
        <f ca="1">FLUID!AF73</f>
        <v>#N/A</v>
      </c>
      <c r="AC30" s="16" t="e">
        <f ca="1">FLUID!AG73</f>
        <v>#N/A</v>
      </c>
      <c r="AD30" s="16" t="e">
        <f ca="1">FLUID!AH73</f>
        <v>#N/A</v>
      </c>
      <c r="AE30" s="16" t="e">
        <f ca="1">FLUID!AI73</f>
        <v>#N/A</v>
      </c>
      <c r="AF30" s="16" t="e">
        <f ca="1">FLUID!AJ73</f>
        <v>#N/A</v>
      </c>
      <c r="AG30" s="16" t="e">
        <f ca="1">FLUID!AK73</f>
        <v>#N/A</v>
      </c>
      <c r="AH30" s="16" t="e">
        <f ca="1">FLUID!AL73</f>
        <v>#N/A</v>
      </c>
      <c r="AI30" s="16">
        <f>FLUID!AM73</f>
        <v>0</v>
      </c>
      <c r="AJ30" s="16">
        <f>FLUID!AN73</f>
        <v>0</v>
      </c>
      <c r="AK30" s="16">
        <f>FLUID!AO73</f>
        <v>0</v>
      </c>
      <c r="AL30" s="16">
        <f>FLUID!AP73</f>
        <v>0</v>
      </c>
      <c r="AM30" s="16">
        <f>FLUID!AQ73</f>
        <v>0</v>
      </c>
      <c r="AN30" s="16">
        <f>FLUID!AR73</f>
        <v>0</v>
      </c>
      <c r="AO30" s="16">
        <f>FLUID!AS73</f>
        <v>0</v>
      </c>
      <c r="AP30" s="16">
        <f>FLUID!AT73</f>
        <v>0</v>
      </c>
      <c r="AQ30" s="16">
        <f>FLUID!AU73</f>
        <v>0</v>
      </c>
      <c r="AR30" s="16">
        <f>FLUID!AV73</f>
        <v>0</v>
      </c>
      <c r="AS30" s="16">
        <f>FLUID!AW73</f>
        <v>0</v>
      </c>
      <c r="AT30" s="16">
        <f>FLUID!AX73</f>
        <v>0</v>
      </c>
      <c r="AU30" s="16">
        <f>FLUID!AY73</f>
        <v>0</v>
      </c>
      <c r="AV30" s="16">
        <f>FLUID!AZ73</f>
        <v>0</v>
      </c>
      <c r="AW30" s="16">
        <f>FLUID!BA73</f>
        <v>0</v>
      </c>
      <c r="AX30" s="16">
        <f>FLUID!BB73</f>
        <v>0</v>
      </c>
      <c r="AY30" s="16">
        <f>FLUID!BC73</f>
        <v>0</v>
      </c>
      <c r="AZ30" s="16">
        <f>FLUID!BD73</f>
        <v>0</v>
      </c>
      <c r="BA30" s="16">
        <f>FLUID!BE73</f>
        <v>0</v>
      </c>
      <c r="BB30" s="16">
        <f>FLUID!BF73</f>
        <v>0</v>
      </c>
      <c r="BC30" s="16">
        <f>FLUID!BG73</f>
        <v>0</v>
      </c>
      <c r="BD30" s="16">
        <f>FLUID!BH73</f>
        <v>0</v>
      </c>
      <c r="BE30" s="16">
        <f>FLUID!BI73</f>
        <v>0</v>
      </c>
      <c r="BF30" s="16">
        <f>FLUID!BJ73</f>
        <v>0</v>
      </c>
      <c r="BG30" s="16">
        <f>FLUID!BK73</f>
        <v>0</v>
      </c>
      <c r="BH30" s="16">
        <f>FLUID!BL73</f>
        <v>0</v>
      </c>
      <c r="BI30" s="16">
        <f>FLUID!BM73</f>
        <v>0</v>
      </c>
      <c r="BJ30" s="16">
        <f>FLUID!BN73</f>
        <v>0</v>
      </c>
      <c r="BK30" s="16">
        <f>FLUID!BO73</f>
        <v>0</v>
      </c>
      <c r="BL30" s="16">
        <f>FLUID!BP73</f>
        <v>0</v>
      </c>
      <c r="BM30" s="16">
        <f>FLUID!BQ73</f>
        <v>0</v>
      </c>
      <c r="BN30" s="16">
        <f>FLUID!BR73</f>
        <v>0</v>
      </c>
      <c r="BO30" s="16">
        <f>FLUID!BS73</f>
        <v>0</v>
      </c>
      <c r="BP30" s="16">
        <f>FLUID!BT73</f>
        <v>0</v>
      </c>
      <c r="BQ30" s="16">
        <f>FLUID!BU73</f>
        <v>0</v>
      </c>
      <c r="BR30" s="16">
        <f>FLUID!BV73</f>
        <v>0</v>
      </c>
      <c r="BS30" s="16">
        <f>FLUID!BW73</f>
        <v>0</v>
      </c>
      <c r="BT30" s="16">
        <f>FLUID!BX73</f>
        <v>0</v>
      </c>
    </row>
    <row r="31" spans="1:72" ht="22.5" hidden="1" customHeight="1" outlineLevel="1" thickBot="1" x14ac:dyDescent="0.4">
      <c r="A31" s="88">
        <f>FLUID!E74</f>
        <v>0</v>
      </c>
      <c r="B31" s="16" t="e">
        <f ca="1">FLUID!F74</f>
        <v>#N/A</v>
      </c>
      <c r="C31" s="16" t="e">
        <f ca="1">FLUID!G74</f>
        <v>#N/A</v>
      </c>
      <c r="D31" s="16" t="e">
        <f ca="1">FLUID!H74</f>
        <v>#N/A</v>
      </c>
      <c r="E31" s="16" t="e">
        <f ca="1">FLUID!I74</f>
        <v>#N/A</v>
      </c>
      <c r="F31" s="16" t="e">
        <f ca="1">FLUID!J74</f>
        <v>#N/A</v>
      </c>
      <c r="G31" s="16" t="e">
        <f ca="1">FLUID!K74</f>
        <v>#N/A</v>
      </c>
      <c r="H31" s="16" t="e">
        <f ca="1">FLUID!L74</f>
        <v>#N/A</v>
      </c>
      <c r="I31" s="16" t="e">
        <f ca="1">FLUID!M74</f>
        <v>#N/A</v>
      </c>
      <c r="J31" s="16" t="e">
        <f ca="1">FLUID!N74</f>
        <v>#N/A</v>
      </c>
      <c r="K31" s="16" t="e">
        <f ca="1">FLUID!O74</f>
        <v>#N/A</v>
      </c>
      <c r="L31" s="16" t="e">
        <f ca="1">FLUID!P74</f>
        <v>#N/A</v>
      </c>
      <c r="M31" s="16" t="e">
        <f ca="1">FLUID!Q74</f>
        <v>#N/A</v>
      </c>
      <c r="N31" s="16" t="e">
        <f ca="1">FLUID!R74</f>
        <v>#N/A</v>
      </c>
      <c r="O31" s="16" t="e">
        <f ca="1">FLUID!S74</f>
        <v>#N/A</v>
      </c>
      <c r="P31" s="16" t="e">
        <f ca="1">FLUID!T74</f>
        <v>#N/A</v>
      </c>
      <c r="Q31" s="16" t="e">
        <f ca="1">FLUID!U74</f>
        <v>#N/A</v>
      </c>
      <c r="R31" s="16" t="e">
        <f ca="1">FLUID!V74</f>
        <v>#N/A</v>
      </c>
      <c r="S31" s="16" t="e">
        <f ca="1">FLUID!W74</f>
        <v>#N/A</v>
      </c>
      <c r="T31" s="16" t="e">
        <f ca="1">FLUID!X74</f>
        <v>#N/A</v>
      </c>
      <c r="U31" s="16" t="e">
        <f ca="1">FLUID!Y74</f>
        <v>#N/A</v>
      </c>
      <c r="V31" s="16" t="e">
        <f ca="1">FLUID!Z74</f>
        <v>#N/A</v>
      </c>
      <c r="W31" s="16" t="e">
        <f ca="1">FLUID!AA74</f>
        <v>#N/A</v>
      </c>
      <c r="X31" s="16" t="e">
        <f ca="1">FLUID!AB74</f>
        <v>#N/A</v>
      </c>
      <c r="Y31" s="16" t="e">
        <f ca="1">FLUID!AC74</f>
        <v>#N/A</v>
      </c>
      <c r="Z31" s="16" t="e">
        <f ca="1">FLUID!AD74</f>
        <v>#N/A</v>
      </c>
      <c r="AA31" s="16" t="e">
        <f ca="1">FLUID!AE74</f>
        <v>#N/A</v>
      </c>
      <c r="AB31" s="16" t="e">
        <f ca="1">FLUID!AF74</f>
        <v>#N/A</v>
      </c>
      <c r="AC31" s="16" t="e">
        <f ca="1">FLUID!AG74</f>
        <v>#N/A</v>
      </c>
      <c r="AD31" s="16" t="e">
        <f ca="1">FLUID!AH74</f>
        <v>#N/A</v>
      </c>
      <c r="AE31" s="16" t="e">
        <f ca="1">FLUID!AI74</f>
        <v>#N/A</v>
      </c>
      <c r="AF31" s="16" t="e">
        <f ca="1">FLUID!AJ74</f>
        <v>#N/A</v>
      </c>
      <c r="AG31" s="16" t="e">
        <f ca="1">FLUID!AK74</f>
        <v>#N/A</v>
      </c>
      <c r="AH31" s="16" t="e">
        <f ca="1">FLUID!AL74</f>
        <v>#N/A</v>
      </c>
      <c r="AI31" s="16">
        <f>FLUID!AM74</f>
        <v>0</v>
      </c>
      <c r="AJ31" s="16">
        <f>FLUID!AN74</f>
        <v>0</v>
      </c>
      <c r="AK31" s="16">
        <f>FLUID!AO74</f>
        <v>0</v>
      </c>
      <c r="AL31" s="16">
        <f>FLUID!AP74</f>
        <v>0</v>
      </c>
      <c r="AM31" s="16">
        <f>FLUID!AQ74</f>
        <v>0</v>
      </c>
      <c r="AN31" s="16">
        <f>FLUID!AR74</f>
        <v>0</v>
      </c>
      <c r="AO31" s="16">
        <f>FLUID!AS74</f>
        <v>0</v>
      </c>
      <c r="AP31" s="16">
        <f>FLUID!AT74</f>
        <v>0</v>
      </c>
      <c r="AQ31" s="16">
        <f>FLUID!AU74</f>
        <v>0</v>
      </c>
      <c r="AR31" s="16">
        <f>FLUID!AV74</f>
        <v>0</v>
      </c>
      <c r="AS31" s="16">
        <f>FLUID!AW74</f>
        <v>0</v>
      </c>
      <c r="AT31" s="16">
        <f>FLUID!AX74</f>
        <v>0</v>
      </c>
      <c r="AU31" s="16">
        <f>FLUID!AY74</f>
        <v>0</v>
      </c>
      <c r="AV31" s="16">
        <f>FLUID!AZ74</f>
        <v>0</v>
      </c>
      <c r="AW31" s="16">
        <f>FLUID!BA74</f>
        <v>0</v>
      </c>
      <c r="AX31" s="16">
        <f>FLUID!BB74</f>
        <v>0</v>
      </c>
      <c r="AY31" s="16">
        <f>FLUID!BC74</f>
        <v>0</v>
      </c>
      <c r="AZ31" s="16">
        <f>FLUID!BD74</f>
        <v>0</v>
      </c>
      <c r="BA31" s="16">
        <f>FLUID!BE74</f>
        <v>0</v>
      </c>
      <c r="BB31" s="16">
        <f>FLUID!BF74</f>
        <v>0</v>
      </c>
      <c r="BC31" s="16">
        <f>FLUID!BG74</f>
        <v>0</v>
      </c>
      <c r="BD31" s="16">
        <f>FLUID!BH74</f>
        <v>0</v>
      </c>
      <c r="BE31" s="16">
        <f>FLUID!BI74</f>
        <v>0</v>
      </c>
      <c r="BF31" s="16">
        <f>FLUID!BJ74</f>
        <v>0</v>
      </c>
      <c r="BG31" s="16">
        <f>FLUID!BK74</f>
        <v>0</v>
      </c>
      <c r="BH31" s="16">
        <f>FLUID!BL74</f>
        <v>0</v>
      </c>
      <c r="BI31" s="16">
        <f>FLUID!BM74</f>
        <v>0</v>
      </c>
      <c r="BJ31" s="16">
        <f>FLUID!BN74</f>
        <v>0</v>
      </c>
      <c r="BK31" s="16">
        <f>FLUID!BO74</f>
        <v>0</v>
      </c>
      <c r="BL31" s="16">
        <f>FLUID!BP74</f>
        <v>0</v>
      </c>
      <c r="BM31" s="16">
        <f>FLUID!BQ74</f>
        <v>0</v>
      </c>
      <c r="BN31" s="16">
        <f>FLUID!BR74</f>
        <v>0</v>
      </c>
      <c r="BO31" s="16">
        <f>FLUID!BS74</f>
        <v>0</v>
      </c>
      <c r="BP31" s="16">
        <f>FLUID!BT74</f>
        <v>0</v>
      </c>
      <c r="BQ31" s="16">
        <f>FLUID!BU74</f>
        <v>0</v>
      </c>
      <c r="BR31" s="16">
        <f>FLUID!BV74</f>
        <v>0</v>
      </c>
      <c r="BS31" s="16">
        <f>FLUID!BW74</f>
        <v>0</v>
      </c>
      <c r="BT31" s="16">
        <f>FLUID!BX74</f>
        <v>0</v>
      </c>
    </row>
    <row r="32" spans="1:72" ht="22.5" hidden="1" customHeight="1" outlineLevel="1" thickBot="1" x14ac:dyDescent="0.4">
      <c r="A32" s="88">
        <f>FLUID!E75</f>
        <v>1</v>
      </c>
      <c r="B32" s="16">
        <f>FLUID!F75</f>
        <v>0</v>
      </c>
      <c r="C32" s="16">
        <f>FLUID!G75</f>
        <v>0</v>
      </c>
      <c r="D32" s="16">
        <f>FLUID!H75</f>
        <v>0</v>
      </c>
      <c r="E32" s="16">
        <f>FLUID!I75</f>
        <v>0</v>
      </c>
      <c r="F32" s="16">
        <f>FLUID!J75</f>
        <v>0</v>
      </c>
      <c r="G32" s="16">
        <f>FLUID!K75</f>
        <v>0</v>
      </c>
      <c r="H32" s="16">
        <f>FLUID!L75</f>
        <v>0</v>
      </c>
      <c r="I32" s="16">
        <f>FLUID!M75</f>
        <v>0</v>
      </c>
      <c r="J32" s="16">
        <f>FLUID!N75</f>
        <v>0</v>
      </c>
      <c r="K32" s="16">
        <f>FLUID!O75</f>
        <v>0</v>
      </c>
      <c r="L32" s="16">
        <f>FLUID!P75</f>
        <v>0</v>
      </c>
      <c r="M32" s="16">
        <f>FLUID!Q75</f>
        <v>0</v>
      </c>
      <c r="N32" s="16">
        <f>FLUID!R75</f>
        <v>0</v>
      </c>
      <c r="O32" s="16">
        <f>FLUID!S75</f>
        <v>0</v>
      </c>
      <c r="P32" s="16">
        <f>FLUID!T75</f>
        <v>0</v>
      </c>
      <c r="Q32" s="16">
        <f>FLUID!U75</f>
        <v>0</v>
      </c>
      <c r="R32" s="16">
        <f>FLUID!V75</f>
        <v>0</v>
      </c>
      <c r="S32" s="16">
        <f>FLUID!W75</f>
        <v>0</v>
      </c>
      <c r="T32" s="16">
        <f>FLUID!X75</f>
        <v>0</v>
      </c>
      <c r="U32" s="16">
        <f>FLUID!Y75</f>
        <v>0</v>
      </c>
      <c r="V32" s="16">
        <f>FLUID!Z75</f>
        <v>0</v>
      </c>
      <c r="W32" s="16">
        <f>FLUID!AA75</f>
        <v>0</v>
      </c>
      <c r="X32" s="16">
        <f>FLUID!AB75</f>
        <v>0</v>
      </c>
      <c r="Y32" s="16">
        <f>FLUID!AC75</f>
        <v>0</v>
      </c>
      <c r="Z32" s="16">
        <f>FLUID!AD75</f>
        <v>0</v>
      </c>
      <c r="AA32" s="16">
        <f>FLUID!AE75</f>
        <v>0</v>
      </c>
      <c r="AB32" s="16">
        <f>FLUID!AF75</f>
        <v>0</v>
      </c>
      <c r="AC32" s="16">
        <f>FLUID!AG75</f>
        <v>0</v>
      </c>
      <c r="AD32" s="16">
        <f>FLUID!AH75</f>
        <v>0</v>
      </c>
      <c r="AE32" s="16">
        <f>FLUID!AI75</f>
        <v>0</v>
      </c>
      <c r="AF32" s="16">
        <f>FLUID!AJ75</f>
        <v>0</v>
      </c>
      <c r="AG32" s="16">
        <f>FLUID!AK75</f>
        <v>0</v>
      </c>
      <c r="AH32" s="16">
        <f>FLUID!AL75</f>
        <v>0</v>
      </c>
      <c r="AI32" s="16">
        <f>FLUID!AM75</f>
        <v>0</v>
      </c>
      <c r="AJ32" s="16">
        <f>FLUID!AN75</f>
        <v>0</v>
      </c>
      <c r="AK32" s="16">
        <f>FLUID!AO75</f>
        <v>0</v>
      </c>
      <c r="AL32" s="16">
        <f>FLUID!AP75</f>
        <v>0</v>
      </c>
      <c r="AM32" s="16">
        <f>FLUID!AQ75</f>
        <v>0</v>
      </c>
      <c r="AN32" s="16">
        <f>FLUID!AR75</f>
        <v>0</v>
      </c>
      <c r="AO32" s="16">
        <f>FLUID!AS75</f>
        <v>0</v>
      </c>
      <c r="AP32" s="16">
        <f>FLUID!AT75</f>
        <v>0</v>
      </c>
      <c r="AQ32" s="16">
        <f>FLUID!AU75</f>
        <v>0</v>
      </c>
      <c r="AR32" s="16">
        <f>FLUID!AV75</f>
        <v>0</v>
      </c>
      <c r="AS32" s="16">
        <f>FLUID!AW75</f>
        <v>0</v>
      </c>
      <c r="AT32" s="16">
        <f>FLUID!AX75</f>
        <v>0</v>
      </c>
      <c r="AU32" s="16">
        <f>FLUID!AY75</f>
        <v>0</v>
      </c>
      <c r="AV32" s="16">
        <f>FLUID!AZ75</f>
        <v>0</v>
      </c>
      <c r="AW32" s="16">
        <f>FLUID!BA75</f>
        <v>0</v>
      </c>
      <c r="AX32" s="16">
        <f>FLUID!BB75</f>
        <v>0</v>
      </c>
      <c r="AY32" s="16">
        <f>FLUID!BC75</f>
        <v>0</v>
      </c>
      <c r="AZ32" s="16">
        <f>FLUID!BD75</f>
        <v>0</v>
      </c>
      <c r="BA32" s="16">
        <f>FLUID!BE75</f>
        <v>0</v>
      </c>
      <c r="BB32" s="16">
        <f>FLUID!BF75</f>
        <v>0</v>
      </c>
      <c r="BC32" s="16">
        <f>FLUID!BG75</f>
        <v>0</v>
      </c>
      <c r="BD32" s="16">
        <f>FLUID!BH75</f>
        <v>0</v>
      </c>
      <c r="BE32" s="16">
        <f>FLUID!BI75</f>
        <v>0</v>
      </c>
      <c r="BF32" s="16">
        <f>FLUID!BJ75</f>
        <v>0</v>
      </c>
      <c r="BG32" s="16">
        <f>FLUID!BK75</f>
        <v>0</v>
      </c>
      <c r="BH32" s="16">
        <f>FLUID!BL75</f>
        <v>0</v>
      </c>
      <c r="BI32" s="16">
        <f>FLUID!BM75</f>
        <v>0</v>
      </c>
      <c r="BJ32" s="16">
        <f>FLUID!BN75</f>
        <v>0</v>
      </c>
      <c r="BK32" s="16">
        <f>FLUID!BO75</f>
        <v>0</v>
      </c>
      <c r="BL32" s="16">
        <f>FLUID!BP75</f>
        <v>0</v>
      </c>
      <c r="BM32" s="16">
        <f>FLUID!BQ75</f>
        <v>0</v>
      </c>
      <c r="BN32" s="16">
        <f>FLUID!BR75</f>
        <v>0</v>
      </c>
      <c r="BO32" s="16">
        <f>FLUID!BS75</f>
        <v>0</v>
      </c>
      <c r="BP32" s="16">
        <f>FLUID!BT75</f>
        <v>0</v>
      </c>
      <c r="BQ32" s="16">
        <f>FLUID!BU75</f>
        <v>0</v>
      </c>
      <c r="BR32" s="16">
        <f>FLUID!BV75</f>
        <v>0</v>
      </c>
      <c r="BS32" s="16">
        <f>FLUID!BW75</f>
        <v>0</v>
      </c>
      <c r="BT32" s="16">
        <f>FLUID!BX75</f>
        <v>0</v>
      </c>
    </row>
    <row r="33" spans="1:72" ht="22.5" collapsed="1" thickTop="1" thickBot="1" x14ac:dyDescent="0.4">
      <c r="A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J33" s="36"/>
      <c r="AK33" s="36"/>
      <c r="AL33" s="36"/>
      <c r="AM33" s="36"/>
      <c r="AN33" s="36"/>
      <c r="AO33" s="36"/>
      <c r="AP33" s="36"/>
      <c r="AQ33" s="36"/>
      <c r="AR33" s="36"/>
      <c r="AS33" s="36"/>
      <c r="AT33" s="36"/>
      <c r="AU33" s="36"/>
      <c r="AV33" s="36"/>
      <c r="AW33" s="36"/>
      <c r="AX33" s="36"/>
      <c r="AY33" s="36"/>
      <c r="AZ33" s="36"/>
      <c r="BA33" s="36"/>
      <c r="BB33" s="36"/>
      <c r="BC33" s="36"/>
      <c r="BD33" s="36"/>
      <c r="BE33" s="36"/>
      <c r="BF33" s="36"/>
      <c r="BG33" s="36"/>
      <c r="BH33" s="36"/>
      <c r="BI33" s="36"/>
      <c r="BJ33" s="36"/>
      <c r="BK33" s="36"/>
      <c r="BL33" s="36"/>
      <c r="BM33" s="36"/>
      <c r="BN33" s="36"/>
      <c r="BO33" s="36"/>
      <c r="BP33" s="36"/>
      <c r="BQ33" s="36"/>
      <c r="BR33" s="36"/>
      <c r="BS33" s="36"/>
      <c r="BT33" s="36"/>
    </row>
    <row r="34" spans="1:72" ht="22.5" thickTop="1" thickBot="1" x14ac:dyDescent="0.4">
      <c r="A34" s="4" t="s">
        <v>28</v>
      </c>
      <c r="B34" s="63">
        <f>SOLID!F45</f>
        <v>273.10000000000002</v>
      </c>
      <c r="C34" s="63">
        <f>SOLID!G45</f>
        <v>289.7</v>
      </c>
      <c r="D34" s="63">
        <f>SOLID!H45</f>
        <v>306.2</v>
      </c>
      <c r="E34" s="63">
        <f>SOLID!I45</f>
        <v>322.7</v>
      </c>
      <c r="F34" s="63">
        <f>SOLID!J45</f>
        <v>339.2</v>
      </c>
      <c r="G34" s="63">
        <f>SOLID!K45</f>
        <v>355.7</v>
      </c>
      <c r="H34" s="63">
        <f>SOLID!L45</f>
        <v>372.3</v>
      </c>
      <c r="I34" s="63">
        <f>SOLID!M45</f>
        <v>388.8</v>
      </c>
      <c r="J34" s="63">
        <f>SOLID!N45</f>
        <v>405.3</v>
      </c>
      <c r="K34" s="63">
        <f>SOLID!O45</f>
        <v>471.4</v>
      </c>
      <c r="L34" s="63">
        <f>SOLID!P45</f>
        <v>487.9</v>
      </c>
      <c r="M34" s="63">
        <f>SOLID!Q45</f>
        <v>504.4</v>
      </c>
      <c r="N34" s="63">
        <f>SOLID!R45</f>
        <v>520.9</v>
      </c>
      <c r="O34" s="63">
        <f>SOLID!S45</f>
        <v>537.5</v>
      </c>
      <c r="P34" s="63">
        <f>SOLID!T45</f>
        <v>554</v>
      </c>
      <c r="Q34" s="63">
        <f>SOLID!U45</f>
        <v>570.5</v>
      </c>
      <c r="R34" s="63">
        <f>SOLID!V45</f>
        <v>587</v>
      </c>
      <c r="S34" s="63">
        <f>SOLID!W45</f>
        <v>603.5</v>
      </c>
      <c r="T34" s="63">
        <f>SOLID!X45</f>
        <v>620.1</v>
      </c>
      <c r="U34" s="63">
        <f>SOLID!Y45</f>
        <v>636.6</v>
      </c>
      <c r="V34" s="63">
        <f>SOLID!Z45</f>
        <v>653.1</v>
      </c>
      <c r="W34" s="63">
        <f>SOLID!AA45</f>
        <v>669.6</v>
      </c>
      <c r="X34" s="63">
        <f>SOLID!AB45</f>
        <v>735.7</v>
      </c>
      <c r="Y34" s="63">
        <f>SOLID!AC45</f>
        <v>752.2</v>
      </c>
      <c r="Z34" s="63">
        <f>SOLID!AD45</f>
        <v>768.7</v>
      </c>
      <c r="AA34" s="63">
        <f>SOLID!AE45</f>
        <v>785.2</v>
      </c>
      <c r="AB34" s="63">
        <f>SOLID!AF45</f>
        <v>801.8</v>
      </c>
      <c r="AC34" s="63">
        <f>SOLID!AG45</f>
        <v>818.3</v>
      </c>
      <c r="AD34" s="63">
        <f>SOLID!AH45</f>
        <v>834.8</v>
      </c>
      <c r="AE34" s="63">
        <f>SOLID!AI45</f>
        <v>851.3</v>
      </c>
      <c r="AF34" s="63">
        <f>SOLID!AJ45</f>
        <v>867.8</v>
      </c>
      <c r="AG34" s="63">
        <f>SOLID!AK45</f>
        <v>933.9</v>
      </c>
      <c r="AH34" s="63">
        <f>SOLID!AL45</f>
        <v>950.4</v>
      </c>
      <c r="AI34" s="63">
        <f>SOLID!AM45</f>
        <v>0</v>
      </c>
      <c r="AJ34" s="63">
        <f>SOLID!AN45</f>
        <v>0</v>
      </c>
      <c r="AK34" s="63">
        <f>SOLID!AO45</f>
        <v>0</v>
      </c>
      <c r="AL34" s="63">
        <f>SOLID!AP45</f>
        <v>0</v>
      </c>
      <c r="AM34" s="63">
        <f>SOLID!AQ45</f>
        <v>0</v>
      </c>
      <c r="AN34" s="63">
        <f>SOLID!AR45</f>
        <v>0</v>
      </c>
      <c r="AO34" s="63">
        <f>SOLID!AS45</f>
        <v>0</v>
      </c>
      <c r="AP34" s="63">
        <f>SOLID!AT45</f>
        <v>0</v>
      </c>
      <c r="AQ34" s="63">
        <f>SOLID!AU45</f>
        <v>0</v>
      </c>
      <c r="AR34" s="63">
        <f>SOLID!AV45</f>
        <v>0</v>
      </c>
      <c r="AS34" s="63">
        <f>SOLID!AW45</f>
        <v>0</v>
      </c>
      <c r="AT34" s="63">
        <f>SOLID!AX45</f>
        <v>0</v>
      </c>
      <c r="AU34" s="63">
        <f>SOLID!AY45</f>
        <v>0</v>
      </c>
      <c r="AV34" s="63">
        <f>SOLID!AZ45</f>
        <v>0</v>
      </c>
      <c r="AW34" s="63">
        <f>SOLID!BA45</f>
        <v>0</v>
      </c>
      <c r="AX34" s="63">
        <f>SOLID!BB45</f>
        <v>0</v>
      </c>
      <c r="AY34" s="63">
        <f>SOLID!BC45</f>
        <v>0</v>
      </c>
      <c r="AZ34" s="63">
        <f>SOLID!BD45</f>
        <v>0</v>
      </c>
      <c r="BA34" s="63">
        <f>SOLID!BE45</f>
        <v>0</v>
      </c>
      <c r="BB34" s="63">
        <f>SOLID!BF45</f>
        <v>0</v>
      </c>
      <c r="BC34" s="63">
        <f>SOLID!BG45</f>
        <v>0</v>
      </c>
      <c r="BD34" s="63">
        <f>SOLID!BH45</f>
        <v>0</v>
      </c>
      <c r="BE34" s="63">
        <f>SOLID!BI45</f>
        <v>0</v>
      </c>
      <c r="BF34" s="63">
        <f>SOLID!BJ45</f>
        <v>0</v>
      </c>
      <c r="BG34" s="63">
        <f>SOLID!BK45</f>
        <v>0</v>
      </c>
      <c r="BH34" s="63">
        <f>SOLID!BL45</f>
        <v>0</v>
      </c>
      <c r="BI34" s="63">
        <f>SOLID!BM45</f>
        <v>0</v>
      </c>
      <c r="BJ34" s="63">
        <f>SOLID!BN45</f>
        <v>0</v>
      </c>
      <c r="BK34" s="63">
        <f>SOLID!BO45</f>
        <v>0</v>
      </c>
      <c r="BL34" s="63">
        <f>SOLID!BP45</f>
        <v>0</v>
      </c>
      <c r="BM34" s="63">
        <f>SOLID!BQ45</f>
        <v>0</v>
      </c>
      <c r="BN34" s="63">
        <f>SOLID!BR45</f>
        <v>0</v>
      </c>
      <c r="BO34" s="63">
        <f>SOLID!BS45</f>
        <v>0</v>
      </c>
      <c r="BP34" s="63">
        <f>SOLID!BT45</f>
        <v>0</v>
      </c>
      <c r="BQ34" s="63">
        <f>SOLID!BU45</f>
        <v>0</v>
      </c>
      <c r="BR34" s="63">
        <f>SOLID!BV45</f>
        <v>0</v>
      </c>
      <c r="BS34" s="63">
        <f>SOLID!BW45</f>
        <v>0</v>
      </c>
      <c r="BT34" s="63">
        <f>SOLID!BX45</f>
        <v>0</v>
      </c>
    </row>
    <row r="35" spans="1:72" ht="22.5" hidden="1" outlineLevel="1" thickTop="1" thickBot="1" x14ac:dyDescent="0.4">
      <c r="A35" s="33" t="str">
        <f>SOLID!E46</f>
        <v>*Se[M]</v>
      </c>
      <c r="B35" s="16">
        <f ca="1">SOLID!F46</f>
        <v>-23.52</v>
      </c>
      <c r="C35" s="16">
        <f ca="1">SOLID!G46</f>
        <v>-22.41</v>
      </c>
      <c r="D35" s="16">
        <f ca="1">SOLID!H46</f>
        <v>-21.42</v>
      </c>
      <c r="E35" s="16">
        <f ca="1">SOLID!I46</f>
        <v>-20.54</v>
      </c>
      <c r="F35" s="16">
        <f ca="1">SOLID!J46</f>
        <v>-19.760000000000002</v>
      </c>
      <c r="G35" s="16">
        <f ca="1">SOLID!K46</f>
        <v>-19.8</v>
      </c>
      <c r="H35" s="16">
        <f ca="1">SOLID!L46</f>
        <v>-20.04</v>
      </c>
      <c r="I35" s="16">
        <f ca="1">SOLID!M46</f>
        <v>-20.28</v>
      </c>
      <c r="J35" s="16">
        <f ca="1">SOLID!N46</f>
        <v>-20.53</v>
      </c>
      <c r="K35" s="16">
        <f ca="1">SOLID!O46</f>
        <v>-21.53</v>
      </c>
      <c r="L35" s="16">
        <f ca="1">SOLID!P46</f>
        <v>-21.78</v>
      </c>
      <c r="M35" s="16">
        <f ca="1">SOLID!Q46</f>
        <v>-22.02</v>
      </c>
      <c r="N35" s="16">
        <f ca="1">SOLID!R46</f>
        <v>-22.27</v>
      </c>
      <c r="O35" s="16">
        <f ca="1">SOLID!S46</f>
        <v>-22.52</v>
      </c>
      <c r="P35" s="16">
        <f ca="1">SOLID!T46</f>
        <v>-22.76</v>
      </c>
      <c r="Q35" s="16">
        <f ca="1">SOLID!U46</f>
        <v>-23</v>
      </c>
      <c r="R35" s="16">
        <f ca="1">SOLID!V46</f>
        <v>-23.24</v>
      </c>
      <c r="S35" s="16">
        <f ca="1">SOLID!W46</f>
        <v>-23.48</v>
      </c>
      <c r="T35" s="16">
        <f ca="1">SOLID!X46</f>
        <v>-23.72</v>
      </c>
      <c r="U35" s="16">
        <f ca="1">SOLID!Y46</f>
        <v>-23.95</v>
      </c>
      <c r="V35" s="16">
        <f ca="1">SOLID!Z46</f>
        <v>-24.18</v>
      </c>
      <c r="W35" s="16">
        <f ca="1">SOLID!AA46</f>
        <v>-24.41</v>
      </c>
      <c r="X35" s="16">
        <f ca="1">SOLID!AB46</f>
        <v>-25.31</v>
      </c>
      <c r="Y35" s="16">
        <f ca="1">SOLID!AC46</f>
        <v>-25.53</v>
      </c>
      <c r="Z35" s="16">
        <f ca="1">SOLID!AD46</f>
        <v>-25.75</v>
      </c>
      <c r="AA35" s="16">
        <f ca="1">SOLID!AE46</f>
        <v>-25.97</v>
      </c>
      <c r="AB35" s="16">
        <f ca="1">SOLID!AF46</f>
        <v>-26.18</v>
      </c>
      <c r="AC35" s="16">
        <f ca="1">SOLID!AG46</f>
        <v>-26.39</v>
      </c>
      <c r="AD35" s="16">
        <f ca="1">SOLID!AH46</f>
        <v>-26.6</v>
      </c>
      <c r="AE35" s="16">
        <f ca="1">SOLID!AI46</f>
        <v>-26.81</v>
      </c>
      <c r="AF35" s="16">
        <f ca="1">SOLID!AJ46</f>
        <v>-27.02</v>
      </c>
      <c r="AG35" s="16">
        <f ca="1">SOLID!AK46</f>
        <v>-27.83</v>
      </c>
      <c r="AH35" s="16">
        <f ca="1">SOLID!AL46</f>
        <v>-28.03</v>
      </c>
      <c r="AI35" s="16">
        <f>SOLID!AM46</f>
        <v>0</v>
      </c>
      <c r="AJ35" s="16">
        <f>SOLID!AN46</f>
        <v>0</v>
      </c>
      <c r="AK35" s="16">
        <f>SOLID!AO46</f>
        <v>0</v>
      </c>
      <c r="AL35" s="16">
        <f>SOLID!AP46</f>
        <v>0</v>
      </c>
      <c r="AM35" s="16">
        <f>SOLID!AQ46</f>
        <v>0</v>
      </c>
      <c r="AN35" s="16">
        <f>SOLID!AR46</f>
        <v>0</v>
      </c>
      <c r="AO35" s="16">
        <f>SOLID!AS46</f>
        <v>0</v>
      </c>
      <c r="AP35" s="16">
        <f>SOLID!AT46</f>
        <v>0</v>
      </c>
      <c r="AQ35" s="16">
        <f>SOLID!AU46</f>
        <v>0</v>
      </c>
      <c r="AR35" s="16">
        <f>SOLID!AV46</f>
        <v>0</v>
      </c>
      <c r="AS35" s="16">
        <f>SOLID!AW46</f>
        <v>0</v>
      </c>
      <c r="AT35" s="16">
        <f>SOLID!AX46</f>
        <v>0</v>
      </c>
      <c r="AU35" s="16">
        <f>SOLID!AY46</f>
        <v>0</v>
      </c>
      <c r="AV35" s="16">
        <f>SOLID!AZ46</f>
        <v>0</v>
      </c>
      <c r="AW35" s="16">
        <f>SOLID!BA46</f>
        <v>0</v>
      </c>
      <c r="AX35" s="16">
        <f>SOLID!BB46</f>
        <v>0</v>
      </c>
      <c r="AY35" s="16">
        <f>SOLID!BC46</f>
        <v>0</v>
      </c>
      <c r="AZ35" s="16">
        <f>SOLID!BD46</f>
        <v>0</v>
      </c>
      <c r="BA35" s="16">
        <f>SOLID!BE46</f>
        <v>0</v>
      </c>
      <c r="BB35" s="16">
        <f>SOLID!BF46</f>
        <v>0</v>
      </c>
      <c r="BC35" s="16">
        <f>SOLID!BG46</f>
        <v>0</v>
      </c>
      <c r="BD35" s="16">
        <f>SOLID!BH46</f>
        <v>0</v>
      </c>
      <c r="BE35" s="16">
        <f>SOLID!BI46</f>
        <v>0</v>
      </c>
      <c r="BF35" s="16">
        <f>SOLID!BJ46</f>
        <v>0</v>
      </c>
      <c r="BG35" s="16">
        <f>SOLID!BK46</f>
        <v>0</v>
      </c>
      <c r="BH35" s="16">
        <f>SOLID!BL46</f>
        <v>0</v>
      </c>
      <c r="BI35" s="16">
        <f>SOLID!BM46</f>
        <v>0</v>
      </c>
      <c r="BJ35" s="16">
        <f>SOLID!BN46</f>
        <v>0</v>
      </c>
      <c r="BK35" s="16">
        <f>SOLID!BO46</f>
        <v>0</v>
      </c>
      <c r="BL35" s="16">
        <f>SOLID!BP46</f>
        <v>0</v>
      </c>
      <c r="BM35" s="16">
        <f>SOLID!BQ46</f>
        <v>0</v>
      </c>
      <c r="BN35" s="16">
        <f>SOLID!BR46</f>
        <v>0</v>
      </c>
      <c r="BO35" s="16">
        <f>SOLID!BS46</f>
        <v>0</v>
      </c>
      <c r="BP35" s="16">
        <f>SOLID!BT46</f>
        <v>0</v>
      </c>
      <c r="BQ35" s="16">
        <f>SOLID!BU46</f>
        <v>0</v>
      </c>
      <c r="BR35" s="16">
        <f>SOLID!BV46</f>
        <v>0</v>
      </c>
      <c r="BS35" s="16">
        <f>SOLID!BW46</f>
        <v>0</v>
      </c>
      <c r="BT35" s="16">
        <f>SOLID!BX46</f>
        <v>0</v>
      </c>
    </row>
    <row r="36" spans="1:72" ht="21.75" hidden="1" outlineLevel="1" thickBot="1" x14ac:dyDescent="0.4">
      <c r="A36" s="33" t="str">
        <f>SOLID!E47</f>
        <v>*Ge</v>
      </c>
      <c r="B36" s="16">
        <f ca="1">SOLID!F47</f>
        <v>-16.29</v>
      </c>
      <c r="C36" s="16">
        <f ca="1">SOLID!G47</f>
        <v>-15.65</v>
      </c>
      <c r="D36" s="16">
        <f ca="1">SOLID!H47</f>
        <v>-15.09</v>
      </c>
      <c r="E36" s="16">
        <f ca="1">SOLID!I47</f>
        <v>-14.59</v>
      </c>
      <c r="F36" s="16">
        <f ca="1">SOLID!J47</f>
        <v>-14.16</v>
      </c>
      <c r="G36" s="16">
        <f ca="1">SOLID!K47</f>
        <v>-13.03</v>
      </c>
      <c r="H36" s="16">
        <f ca="1">SOLID!L47</f>
        <v>-11.8</v>
      </c>
      <c r="I36" s="16">
        <f ca="1">SOLID!M47</f>
        <v>-10.67</v>
      </c>
      <c r="J36" s="16">
        <f ca="1">SOLID!N47</f>
        <v>-9.6129999999999995</v>
      </c>
      <c r="K36" s="16">
        <f ca="1">SOLID!O47</f>
        <v>-6.0380000000000003</v>
      </c>
      <c r="L36" s="16">
        <f ca="1">SOLID!P47</f>
        <v>-5.2729999999999997</v>
      </c>
      <c r="M36" s="16">
        <f ca="1">SOLID!Q47</f>
        <v>-4.55</v>
      </c>
      <c r="N36" s="16">
        <f ca="1">SOLID!R47</f>
        <v>-4.1150000000000002</v>
      </c>
      <c r="O36" s="16">
        <f ca="1">SOLID!S47</f>
        <v>-4.1550000000000002</v>
      </c>
      <c r="P36" s="16">
        <f ca="1">SOLID!T47</f>
        <v>-4.1950000000000003</v>
      </c>
      <c r="Q36" s="16">
        <f ca="1">SOLID!U47</f>
        <v>-4.2359999999999998</v>
      </c>
      <c r="R36" s="16">
        <f ca="1">SOLID!V47</f>
        <v>-4.2759999999999998</v>
      </c>
      <c r="S36" s="16">
        <f ca="1">SOLID!W47</f>
        <v>-4.3170000000000002</v>
      </c>
      <c r="T36" s="16">
        <f ca="1">SOLID!X47</f>
        <v>-4.3579999999999997</v>
      </c>
      <c r="U36" s="16">
        <f ca="1">SOLID!Y47</f>
        <v>-4.399</v>
      </c>
      <c r="V36" s="16">
        <f ca="1">SOLID!Z47</f>
        <v>-4.4400000000000004</v>
      </c>
      <c r="W36" s="16">
        <f ca="1">SOLID!AA47</f>
        <v>-4.4809999999999999</v>
      </c>
      <c r="X36" s="16">
        <f ca="1">SOLID!AB47</f>
        <v>-4.6429999999999998</v>
      </c>
      <c r="Y36" s="16">
        <f ca="1">SOLID!AC47</f>
        <v>-4.6829999999999998</v>
      </c>
      <c r="Z36" s="16">
        <f ca="1">SOLID!AD47</f>
        <v>-4.7220000000000004</v>
      </c>
      <c r="AA36" s="16">
        <f ca="1">SOLID!AE47</f>
        <v>-4.7619999999999996</v>
      </c>
      <c r="AB36" s="16">
        <f ca="1">SOLID!AF47</f>
        <v>-4.8010000000000002</v>
      </c>
      <c r="AC36" s="16">
        <f ca="1">SOLID!AG47</f>
        <v>-4.84</v>
      </c>
      <c r="AD36" s="16">
        <f ca="1">SOLID!AH47</f>
        <v>-4.8780000000000001</v>
      </c>
      <c r="AE36" s="16">
        <f ca="1">SOLID!AI47</f>
        <v>-4.9169999999999998</v>
      </c>
      <c r="AF36" s="16">
        <f ca="1">SOLID!AJ47</f>
        <v>-4.9550000000000001</v>
      </c>
      <c r="AG36" s="16">
        <f ca="1">SOLID!AK47</f>
        <v>-5.1040000000000001</v>
      </c>
      <c r="AH36" s="16">
        <f ca="1">SOLID!AL47</f>
        <v>-5.141</v>
      </c>
      <c r="AI36" s="16">
        <f>SOLID!AM47</f>
        <v>0</v>
      </c>
      <c r="AJ36" s="16">
        <f>SOLID!AN47</f>
        <v>0</v>
      </c>
      <c r="AK36" s="16">
        <f>SOLID!AO47</f>
        <v>0</v>
      </c>
      <c r="AL36" s="16">
        <f>SOLID!AP47</f>
        <v>0</v>
      </c>
      <c r="AM36" s="16">
        <f>SOLID!AQ47</f>
        <v>0</v>
      </c>
      <c r="AN36" s="16">
        <f>SOLID!AR47</f>
        <v>0</v>
      </c>
      <c r="AO36" s="16">
        <f>SOLID!AS47</f>
        <v>0</v>
      </c>
      <c r="AP36" s="16">
        <f>SOLID!AT47</f>
        <v>0</v>
      </c>
      <c r="AQ36" s="16">
        <f>SOLID!AU47</f>
        <v>0</v>
      </c>
      <c r="AR36" s="16">
        <f>SOLID!AV47</f>
        <v>0</v>
      </c>
      <c r="AS36" s="16">
        <f>SOLID!AW47</f>
        <v>0</v>
      </c>
      <c r="AT36" s="16">
        <f>SOLID!AX47</f>
        <v>0</v>
      </c>
      <c r="AU36" s="16">
        <f>SOLID!AY47</f>
        <v>0</v>
      </c>
      <c r="AV36" s="16">
        <f>SOLID!AZ47</f>
        <v>0</v>
      </c>
      <c r="AW36" s="16">
        <f>SOLID!BA47</f>
        <v>0</v>
      </c>
      <c r="AX36" s="16">
        <f>SOLID!BB47</f>
        <v>0</v>
      </c>
      <c r="AY36" s="16">
        <f>SOLID!BC47</f>
        <v>0</v>
      </c>
      <c r="AZ36" s="16">
        <f>SOLID!BD47</f>
        <v>0</v>
      </c>
      <c r="BA36" s="16">
        <f>SOLID!BE47</f>
        <v>0</v>
      </c>
      <c r="BB36" s="16">
        <f>SOLID!BF47</f>
        <v>0</v>
      </c>
      <c r="BC36" s="16">
        <f>SOLID!BG47</f>
        <v>0</v>
      </c>
      <c r="BD36" s="16">
        <f>SOLID!BH47</f>
        <v>0</v>
      </c>
      <c r="BE36" s="16">
        <f>SOLID!BI47</f>
        <v>0</v>
      </c>
      <c r="BF36" s="16">
        <f>SOLID!BJ47</f>
        <v>0</v>
      </c>
      <c r="BG36" s="16">
        <f>SOLID!BK47</f>
        <v>0</v>
      </c>
      <c r="BH36" s="16">
        <f>SOLID!BL47</f>
        <v>0</v>
      </c>
      <c r="BI36" s="16">
        <f>SOLID!BM47</f>
        <v>0</v>
      </c>
      <c r="BJ36" s="16">
        <f>SOLID!BN47</f>
        <v>0</v>
      </c>
      <c r="BK36" s="16">
        <f>SOLID!BO47</f>
        <v>0</v>
      </c>
      <c r="BL36" s="16">
        <f>SOLID!BP47</f>
        <v>0</v>
      </c>
      <c r="BM36" s="16">
        <f>SOLID!BQ47</f>
        <v>0</v>
      </c>
      <c r="BN36" s="16">
        <f>SOLID!BR47</f>
        <v>0</v>
      </c>
      <c r="BO36" s="16">
        <f>SOLID!BS47</f>
        <v>0</v>
      </c>
      <c r="BP36" s="16">
        <f>SOLID!BT47</f>
        <v>0</v>
      </c>
      <c r="BQ36" s="16">
        <f>SOLID!BU47</f>
        <v>0</v>
      </c>
      <c r="BR36" s="16">
        <f>SOLID!BV47</f>
        <v>0</v>
      </c>
      <c r="BS36" s="16">
        <f>SOLID!BW47</f>
        <v>0</v>
      </c>
      <c r="BT36" s="16">
        <f>SOLID!BX47</f>
        <v>0</v>
      </c>
    </row>
    <row r="37" spans="1:72" ht="21.75" hidden="1" outlineLevel="1" thickBot="1" x14ac:dyDescent="0.4">
      <c r="A37" s="33" t="str">
        <f>SOLID!E48</f>
        <v>*Ga2Se3</v>
      </c>
      <c r="B37" s="16">
        <f ca="1">SOLID!F48</f>
        <v>-201.68</v>
      </c>
      <c r="C37" s="16">
        <f ca="1">SOLID!G48</f>
        <v>-191.39</v>
      </c>
      <c r="D37" s="16">
        <f ca="1">SOLID!H48</f>
        <v>-182.22</v>
      </c>
      <c r="E37" s="16">
        <f ca="1">SOLID!I48</f>
        <v>-174.02</v>
      </c>
      <c r="F37" s="16">
        <f ca="1">SOLID!J48</f>
        <v>-166.7</v>
      </c>
      <c r="G37" s="16">
        <f ca="1">SOLID!K48</f>
        <v>-160.06</v>
      </c>
      <c r="H37" s="16">
        <f ca="1">SOLID!L48</f>
        <v>-154.04</v>
      </c>
      <c r="I37" s="16">
        <f ca="1">SOLID!M48</f>
        <v>-148.56</v>
      </c>
      <c r="J37" s="16">
        <f ca="1">SOLID!N48</f>
        <v>-143.55000000000001</v>
      </c>
      <c r="K37" s="16">
        <f ca="1">SOLID!O48</f>
        <v>-127.23</v>
      </c>
      <c r="L37" s="16">
        <f ca="1">SOLID!P48</f>
        <v>-123.9</v>
      </c>
      <c r="M37" s="16">
        <f ca="1">SOLID!Q48</f>
        <v>-120.76</v>
      </c>
      <c r="N37" s="16">
        <f ca="1">SOLID!R48</f>
        <v>-117.87</v>
      </c>
      <c r="O37" s="16">
        <f ca="1">SOLID!S48</f>
        <v>-115.18</v>
      </c>
      <c r="P37" s="16">
        <f ca="1">SOLID!T48</f>
        <v>-112.64</v>
      </c>
      <c r="Q37" s="16">
        <f ca="1">SOLID!U48</f>
        <v>-110.25999999999999</v>
      </c>
      <c r="R37" s="16">
        <f ca="1">SOLID!V48</f>
        <v>-108.03999999999999</v>
      </c>
      <c r="S37" s="16">
        <f ca="1">SOLID!W48</f>
        <v>-106.14</v>
      </c>
      <c r="T37" s="16">
        <f ca="1">SOLID!X48</f>
        <v>-104.86</v>
      </c>
      <c r="U37" s="16">
        <f ca="1">SOLID!Y48</f>
        <v>-103.64999999999999</v>
      </c>
      <c r="V37" s="16">
        <f ca="1">SOLID!Z48</f>
        <v>-102.53999999999999</v>
      </c>
      <c r="W37" s="16">
        <f ca="1">SOLID!AA48</f>
        <v>-101.49000000000001</v>
      </c>
      <c r="X37" s="16">
        <f ca="1">SOLID!AB48</f>
        <v>-97.929999999999993</v>
      </c>
      <c r="Y37" s="16">
        <f ca="1">SOLID!AC48</f>
        <v>-97.17</v>
      </c>
      <c r="Z37" s="16">
        <f ca="1">SOLID!AD48</f>
        <v>-96.462000000000003</v>
      </c>
      <c r="AA37" s="16">
        <f ca="1">SOLID!AE48</f>
        <v>-95.805999999999997</v>
      </c>
      <c r="AB37" s="16">
        <f ca="1">SOLID!AF48</f>
        <v>-95.165999999999997</v>
      </c>
      <c r="AC37" s="16">
        <f ca="1">SOLID!AG48</f>
        <v>-94.6</v>
      </c>
      <c r="AD37" s="16">
        <f ca="1">SOLID!AH48</f>
        <v>-95.394000000000005</v>
      </c>
      <c r="AE37" s="16">
        <f ca="1">SOLID!AI48</f>
        <v>-96.187999999999988</v>
      </c>
      <c r="AF37" s="16">
        <f ca="1">SOLID!AJ48</f>
        <v>-96.986000000000004</v>
      </c>
      <c r="AG37" s="16">
        <f ca="1">SOLID!AK48</f>
        <v>-100.128</v>
      </c>
      <c r="AH37" s="16">
        <f ca="1">SOLID!AL48</f>
        <v>-100.92</v>
      </c>
      <c r="AI37" s="16">
        <f>SOLID!AM48</f>
        <v>0</v>
      </c>
      <c r="AJ37" s="16">
        <f>SOLID!AN48</f>
        <v>0</v>
      </c>
      <c r="AK37" s="16">
        <f>SOLID!AO48</f>
        <v>0</v>
      </c>
      <c r="AL37" s="16">
        <f>SOLID!AP48</f>
        <v>0</v>
      </c>
      <c r="AM37" s="16">
        <f>SOLID!AQ48</f>
        <v>0</v>
      </c>
      <c r="AN37" s="16">
        <f>SOLID!AR48</f>
        <v>0</v>
      </c>
      <c r="AO37" s="16">
        <f>SOLID!AS48</f>
        <v>0</v>
      </c>
      <c r="AP37" s="16">
        <f>SOLID!AT48</f>
        <v>0</v>
      </c>
      <c r="AQ37" s="16">
        <f>SOLID!AU48</f>
        <v>0</v>
      </c>
      <c r="AR37" s="16">
        <f>SOLID!AV48</f>
        <v>0</v>
      </c>
      <c r="AS37" s="16">
        <f>SOLID!AW48</f>
        <v>0</v>
      </c>
      <c r="AT37" s="16">
        <f>SOLID!AX48</f>
        <v>0</v>
      </c>
      <c r="AU37" s="16">
        <f>SOLID!AY48</f>
        <v>0</v>
      </c>
      <c r="AV37" s="16">
        <f>SOLID!AZ48</f>
        <v>0</v>
      </c>
      <c r="AW37" s="16">
        <f>SOLID!BA48</f>
        <v>0</v>
      </c>
      <c r="AX37" s="16">
        <f>SOLID!BB48</f>
        <v>0</v>
      </c>
      <c r="AY37" s="16">
        <f>SOLID!BC48</f>
        <v>0</v>
      </c>
      <c r="AZ37" s="16">
        <f>SOLID!BD48</f>
        <v>0</v>
      </c>
      <c r="BA37" s="16">
        <f>SOLID!BE48</f>
        <v>0</v>
      </c>
      <c r="BB37" s="16">
        <f>SOLID!BF48</f>
        <v>0</v>
      </c>
      <c r="BC37" s="16">
        <f>SOLID!BG48</f>
        <v>0</v>
      </c>
      <c r="BD37" s="16">
        <f>SOLID!BH48</f>
        <v>0</v>
      </c>
      <c r="BE37" s="16">
        <f>SOLID!BI48</f>
        <v>0</v>
      </c>
      <c r="BF37" s="16">
        <f>SOLID!BJ48</f>
        <v>0</v>
      </c>
      <c r="BG37" s="16">
        <f>SOLID!BK48</f>
        <v>0</v>
      </c>
      <c r="BH37" s="16">
        <f>SOLID!BL48</f>
        <v>0</v>
      </c>
      <c r="BI37" s="16">
        <f>SOLID!BM48</f>
        <v>0</v>
      </c>
      <c r="BJ37" s="16">
        <f>SOLID!BN48</f>
        <v>0</v>
      </c>
      <c r="BK37" s="16">
        <f>SOLID!BO48</f>
        <v>0</v>
      </c>
      <c r="BL37" s="16">
        <f>SOLID!BP48</f>
        <v>0</v>
      </c>
      <c r="BM37" s="16">
        <f>SOLID!BQ48</f>
        <v>0</v>
      </c>
      <c r="BN37" s="16">
        <f>SOLID!BR48</f>
        <v>0</v>
      </c>
      <c r="BO37" s="16">
        <f>SOLID!BS48</f>
        <v>0</v>
      </c>
      <c r="BP37" s="16">
        <f>SOLID!BT48</f>
        <v>0</v>
      </c>
      <c r="BQ37" s="16">
        <f>SOLID!BU48</f>
        <v>0</v>
      </c>
      <c r="BR37" s="16">
        <f>SOLID!BV48</f>
        <v>0</v>
      </c>
      <c r="BS37" s="16">
        <f>SOLID!BW48</f>
        <v>0</v>
      </c>
      <c r="BT37" s="16">
        <f>SOLID!BX48</f>
        <v>0</v>
      </c>
    </row>
    <row r="38" spans="1:72" ht="21.75" hidden="1" outlineLevel="1" thickBot="1" x14ac:dyDescent="0.4">
      <c r="A38" s="33" t="str">
        <f>SOLID!E49</f>
        <v>*Ga[1]</v>
      </c>
      <c r="B38" s="16">
        <f ca="1">SOLID!F49</f>
        <v>-65.56</v>
      </c>
      <c r="C38" s="16">
        <f ca="1">SOLID!G49</f>
        <v>-62.08</v>
      </c>
      <c r="D38" s="16">
        <f ca="1">SOLID!H49</f>
        <v>-58.98</v>
      </c>
      <c r="E38" s="16">
        <f ca="1">SOLID!I49</f>
        <v>-56.2</v>
      </c>
      <c r="F38" s="16">
        <f ca="1">SOLID!J49</f>
        <v>-53.71</v>
      </c>
      <c r="G38" s="16">
        <f ca="1">SOLID!K49</f>
        <v>-50.33</v>
      </c>
      <c r="H38" s="16">
        <f ca="1">SOLID!L49</f>
        <v>-46.96</v>
      </c>
      <c r="I38" s="16">
        <f ca="1">SOLID!M49</f>
        <v>-43.86</v>
      </c>
      <c r="J38" s="16">
        <f ca="1">SOLID!N49</f>
        <v>-40.98</v>
      </c>
      <c r="K38" s="16">
        <f ca="1">SOLID!O49</f>
        <v>-31.32</v>
      </c>
      <c r="L38" s="16">
        <f ca="1">SOLID!P49</f>
        <v>-29.28</v>
      </c>
      <c r="M38" s="16">
        <f ca="1">SOLID!Q49</f>
        <v>-27.35</v>
      </c>
      <c r="N38" s="16">
        <f ca="1">SOLID!R49</f>
        <v>-25.53</v>
      </c>
      <c r="O38" s="16">
        <f ca="1">SOLID!S49</f>
        <v>-23.81</v>
      </c>
      <c r="P38" s="16">
        <f ca="1">SOLID!T49</f>
        <v>-22.18</v>
      </c>
      <c r="Q38" s="16">
        <f ca="1">SOLID!U49</f>
        <v>-20.63</v>
      </c>
      <c r="R38" s="16">
        <f ca="1">SOLID!V49</f>
        <v>-19.16</v>
      </c>
      <c r="S38" s="16">
        <f ca="1">SOLID!W49</f>
        <v>-17.850000000000001</v>
      </c>
      <c r="T38" s="16">
        <f ca="1">SOLID!X49</f>
        <v>-16.850000000000001</v>
      </c>
      <c r="U38" s="16">
        <f ca="1">SOLID!Y49</f>
        <v>-15.9</v>
      </c>
      <c r="V38" s="16">
        <f ca="1">SOLID!Z49</f>
        <v>-15</v>
      </c>
      <c r="W38" s="16">
        <f ca="1">SOLID!AA49</f>
        <v>-14.13</v>
      </c>
      <c r="X38" s="16">
        <f ca="1">SOLID!AB49</f>
        <v>-11</v>
      </c>
      <c r="Y38" s="16">
        <f ca="1">SOLID!AC49</f>
        <v>-10.29</v>
      </c>
      <c r="Z38" s="16">
        <f ca="1">SOLID!AD49</f>
        <v>-9.6059999999999999</v>
      </c>
      <c r="AA38" s="16">
        <f ca="1">SOLID!AE49</f>
        <v>-8.9480000000000004</v>
      </c>
      <c r="AB38" s="16">
        <f ca="1">SOLID!AF49</f>
        <v>-8.3130000000000006</v>
      </c>
      <c r="AC38" s="16">
        <f ca="1">SOLID!AG49</f>
        <v>-7.7149999999999999</v>
      </c>
      <c r="AD38" s="16">
        <f ca="1">SOLID!AH49</f>
        <v>-7.7969999999999997</v>
      </c>
      <c r="AE38" s="16">
        <f ca="1">SOLID!AI49</f>
        <v>-7.8789999999999996</v>
      </c>
      <c r="AF38" s="16">
        <f ca="1">SOLID!AJ49</f>
        <v>-7.9630000000000001</v>
      </c>
      <c r="AG38" s="16">
        <f ca="1">SOLID!AK49</f>
        <v>-8.3190000000000008</v>
      </c>
      <c r="AH38" s="16">
        <f ca="1">SOLID!AL49</f>
        <v>-8.4149999999999991</v>
      </c>
      <c r="AI38" s="16">
        <f>SOLID!AM49</f>
        <v>0</v>
      </c>
      <c r="AJ38" s="16">
        <f>SOLID!AN49</f>
        <v>0</v>
      </c>
      <c r="AK38" s="16">
        <f>SOLID!AO49</f>
        <v>0</v>
      </c>
      <c r="AL38" s="16">
        <f>SOLID!AP49</f>
        <v>0</v>
      </c>
      <c r="AM38" s="16">
        <f>SOLID!AQ49</f>
        <v>0</v>
      </c>
      <c r="AN38" s="16">
        <f>SOLID!AR49</f>
        <v>0</v>
      </c>
      <c r="AO38" s="16">
        <f>SOLID!AS49</f>
        <v>0</v>
      </c>
      <c r="AP38" s="16">
        <f>SOLID!AT49</f>
        <v>0</v>
      </c>
      <c r="AQ38" s="16">
        <f>SOLID!AU49</f>
        <v>0</v>
      </c>
      <c r="AR38" s="16">
        <f>SOLID!AV49</f>
        <v>0</v>
      </c>
      <c r="AS38" s="16">
        <f>SOLID!AW49</f>
        <v>0</v>
      </c>
      <c r="AT38" s="16">
        <f>SOLID!AX49</f>
        <v>0</v>
      </c>
      <c r="AU38" s="16">
        <f>SOLID!AY49</f>
        <v>0</v>
      </c>
      <c r="AV38" s="16">
        <f>SOLID!AZ49</f>
        <v>0</v>
      </c>
      <c r="AW38" s="16">
        <f>SOLID!BA49</f>
        <v>0</v>
      </c>
      <c r="AX38" s="16">
        <f>SOLID!BB49</f>
        <v>0</v>
      </c>
      <c r="AY38" s="16">
        <f>SOLID!BC49</f>
        <v>0</v>
      </c>
      <c r="AZ38" s="16">
        <f>SOLID!BD49</f>
        <v>0</v>
      </c>
      <c r="BA38" s="16">
        <f>SOLID!BE49</f>
        <v>0</v>
      </c>
      <c r="BB38" s="16">
        <f>SOLID!BF49</f>
        <v>0</v>
      </c>
      <c r="BC38" s="16">
        <f>SOLID!BG49</f>
        <v>0</v>
      </c>
      <c r="BD38" s="16">
        <f>SOLID!BH49</f>
        <v>0</v>
      </c>
      <c r="BE38" s="16">
        <f>SOLID!BI49</f>
        <v>0</v>
      </c>
      <c r="BF38" s="16">
        <f>SOLID!BJ49</f>
        <v>0</v>
      </c>
      <c r="BG38" s="16">
        <f>SOLID!BK49</f>
        <v>0</v>
      </c>
      <c r="BH38" s="16">
        <f>SOLID!BL49</f>
        <v>0</v>
      </c>
      <c r="BI38" s="16">
        <f>SOLID!BM49</f>
        <v>0</v>
      </c>
      <c r="BJ38" s="16">
        <f>SOLID!BN49</f>
        <v>0</v>
      </c>
      <c r="BK38" s="16">
        <f>SOLID!BO49</f>
        <v>0</v>
      </c>
      <c r="BL38" s="16">
        <f>SOLID!BP49</f>
        <v>0</v>
      </c>
      <c r="BM38" s="16">
        <f>SOLID!BQ49</f>
        <v>0</v>
      </c>
      <c r="BN38" s="16">
        <f>SOLID!BR49</f>
        <v>0</v>
      </c>
      <c r="BO38" s="16">
        <f>SOLID!BS49</f>
        <v>0</v>
      </c>
      <c r="BP38" s="16">
        <f>SOLID!BT49</f>
        <v>0</v>
      </c>
      <c r="BQ38" s="16">
        <f>SOLID!BU49</f>
        <v>0</v>
      </c>
      <c r="BR38" s="16">
        <f>SOLID!BV49</f>
        <v>0</v>
      </c>
      <c r="BS38" s="16">
        <f>SOLID!BW49</f>
        <v>0</v>
      </c>
      <c r="BT38" s="16">
        <f>SOLID!BX49</f>
        <v>0</v>
      </c>
    </row>
    <row r="39" spans="1:72" ht="21.75" hidden="1" outlineLevel="1" thickBot="1" x14ac:dyDescent="0.4">
      <c r="A39" s="33" t="str">
        <f>SOLID!E50</f>
        <v>*GeSe2</v>
      </c>
      <c r="B39" s="16">
        <f ca="1">SOLID!F50</f>
        <v>-63.33</v>
      </c>
      <c r="C39" s="16">
        <f ca="1">SOLID!G50</f>
        <v>-60.47</v>
      </c>
      <c r="D39" s="16">
        <f ca="1">SOLID!H50</f>
        <v>-57.930000000000007</v>
      </c>
      <c r="E39" s="16">
        <f ca="1">SOLID!I50</f>
        <v>-55.67</v>
      </c>
      <c r="F39" s="16">
        <f ca="1">SOLID!J50</f>
        <v>-53.680000000000007</v>
      </c>
      <c r="G39" s="16">
        <f ca="1">SOLID!K50</f>
        <v>-52.63</v>
      </c>
      <c r="H39" s="16">
        <f ca="1">SOLID!L50</f>
        <v>-51.879999999999995</v>
      </c>
      <c r="I39" s="16">
        <f ca="1">SOLID!M50</f>
        <v>-51.230000000000004</v>
      </c>
      <c r="J39" s="16">
        <f ca="1">SOLID!N50</f>
        <v>-50.673000000000002</v>
      </c>
      <c r="K39" s="16">
        <f ca="1">SOLID!O50</f>
        <v>-49.097999999999999</v>
      </c>
      <c r="L39" s="16">
        <f ca="1">SOLID!P50</f>
        <v>-48.832999999999998</v>
      </c>
      <c r="M39" s="16">
        <f ca="1">SOLID!Q50</f>
        <v>-48.589999999999996</v>
      </c>
      <c r="N39" s="16">
        <f ca="1">SOLID!R50</f>
        <v>-48.655000000000001</v>
      </c>
      <c r="O39" s="16">
        <f ca="1">SOLID!S50</f>
        <v>-49.195</v>
      </c>
      <c r="P39" s="16">
        <f ca="1">SOLID!T50</f>
        <v>-49.715000000000003</v>
      </c>
      <c r="Q39" s="16">
        <f ca="1">SOLID!U50</f>
        <v>-50.235999999999997</v>
      </c>
      <c r="R39" s="16">
        <f ca="1">SOLID!V50</f>
        <v>-50.756</v>
      </c>
      <c r="S39" s="16">
        <f ca="1">SOLID!W50</f>
        <v>-51.277000000000001</v>
      </c>
      <c r="T39" s="16">
        <f ca="1">SOLID!X50</f>
        <v>-51.797999999999995</v>
      </c>
      <c r="U39" s="16">
        <f ca="1">SOLID!Y50</f>
        <v>-52.298999999999999</v>
      </c>
      <c r="V39" s="16">
        <f ca="1">SOLID!Z50</f>
        <v>-52.8</v>
      </c>
      <c r="W39" s="16">
        <f ca="1">SOLID!AA50</f>
        <v>-53.301000000000002</v>
      </c>
      <c r="X39" s="16">
        <f ca="1">SOLID!AB50</f>
        <v>-55.262999999999998</v>
      </c>
      <c r="Y39" s="16">
        <f ca="1">SOLID!AC50</f>
        <v>-55.743000000000002</v>
      </c>
      <c r="Z39" s="16">
        <f ca="1">SOLID!AD50</f>
        <v>-56.222000000000001</v>
      </c>
      <c r="AA39" s="16">
        <f ca="1">SOLID!AE50</f>
        <v>-56.701999999999998</v>
      </c>
      <c r="AB39" s="16">
        <f ca="1">SOLID!AF50</f>
        <v>-57.161000000000001</v>
      </c>
      <c r="AC39" s="16">
        <f ca="1">SOLID!AG50</f>
        <v>-57.620000000000005</v>
      </c>
      <c r="AD39" s="16">
        <f ca="1">SOLID!AH50</f>
        <v>-58.078000000000003</v>
      </c>
      <c r="AE39" s="16">
        <f ca="1">SOLID!AI50</f>
        <v>-58.536999999999999</v>
      </c>
      <c r="AF39" s="16">
        <f ca="1">SOLID!AJ50</f>
        <v>-58.994999999999997</v>
      </c>
      <c r="AG39" s="16">
        <f ca="1">SOLID!AK50</f>
        <v>-60.763999999999996</v>
      </c>
      <c r="AH39" s="16">
        <f ca="1">SOLID!AL50</f>
        <v>-61.201000000000001</v>
      </c>
      <c r="AI39" s="16">
        <f>SOLID!AM50</f>
        <v>0</v>
      </c>
      <c r="AJ39" s="16">
        <f>SOLID!AN50</f>
        <v>0</v>
      </c>
      <c r="AK39" s="16">
        <f>SOLID!AO50</f>
        <v>0</v>
      </c>
      <c r="AL39" s="16">
        <f>SOLID!AP50</f>
        <v>0</v>
      </c>
      <c r="AM39" s="16">
        <f>SOLID!AQ50</f>
        <v>0</v>
      </c>
      <c r="AN39" s="16">
        <f>SOLID!AR50</f>
        <v>0</v>
      </c>
      <c r="AO39" s="16">
        <f>SOLID!AS50</f>
        <v>0</v>
      </c>
      <c r="AP39" s="16">
        <f>SOLID!AT50</f>
        <v>0</v>
      </c>
      <c r="AQ39" s="16">
        <f>SOLID!AU50</f>
        <v>0</v>
      </c>
      <c r="AR39" s="16">
        <f>SOLID!AV50</f>
        <v>0</v>
      </c>
      <c r="AS39" s="16">
        <f>SOLID!AW50</f>
        <v>0</v>
      </c>
      <c r="AT39" s="16">
        <f>SOLID!AX50</f>
        <v>0</v>
      </c>
      <c r="AU39" s="16">
        <f>SOLID!AY50</f>
        <v>0</v>
      </c>
      <c r="AV39" s="16">
        <f>SOLID!AZ50</f>
        <v>0</v>
      </c>
      <c r="AW39" s="16">
        <f>SOLID!BA50</f>
        <v>0</v>
      </c>
      <c r="AX39" s="16">
        <f>SOLID!BB50</f>
        <v>0</v>
      </c>
      <c r="AY39" s="16">
        <f>SOLID!BC50</f>
        <v>0</v>
      </c>
      <c r="AZ39" s="16">
        <f>SOLID!BD50</f>
        <v>0</v>
      </c>
      <c r="BA39" s="16">
        <f>SOLID!BE50</f>
        <v>0</v>
      </c>
      <c r="BB39" s="16">
        <f>SOLID!BF50</f>
        <v>0</v>
      </c>
      <c r="BC39" s="16">
        <f>SOLID!BG50</f>
        <v>0</v>
      </c>
      <c r="BD39" s="16">
        <f>SOLID!BH50</f>
        <v>0</v>
      </c>
      <c r="BE39" s="16">
        <f>SOLID!BI50</f>
        <v>0</v>
      </c>
      <c r="BF39" s="16">
        <f>SOLID!BJ50</f>
        <v>0</v>
      </c>
      <c r="BG39" s="16">
        <f>SOLID!BK50</f>
        <v>0</v>
      </c>
      <c r="BH39" s="16">
        <f>SOLID!BL50</f>
        <v>0</v>
      </c>
      <c r="BI39" s="16">
        <f>SOLID!BM50</f>
        <v>0</v>
      </c>
      <c r="BJ39" s="16">
        <f>SOLID!BN50</f>
        <v>0</v>
      </c>
      <c r="BK39" s="16">
        <f>SOLID!BO50</f>
        <v>0</v>
      </c>
      <c r="BL39" s="16">
        <f>SOLID!BP50</f>
        <v>0</v>
      </c>
      <c r="BM39" s="16">
        <f>SOLID!BQ50</f>
        <v>0</v>
      </c>
      <c r="BN39" s="16">
        <f>SOLID!BR50</f>
        <v>0</v>
      </c>
      <c r="BO39" s="16">
        <f>SOLID!BS50</f>
        <v>0</v>
      </c>
      <c r="BP39" s="16">
        <f>SOLID!BT50</f>
        <v>0</v>
      </c>
      <c r="BQ39" s="16">
        <f>SOLID!BU50</f>
        <v>0</v>
      </c>
      <c r="BR39" s="16">
        <f>SOLID!BV50</f>
        <v>0</v>
      </c>
      <c r="BS39" s="16">
        <f>SOLID!BW50</f>
        <v>0</v>
      </c>
      <c r="BT39" s="16">
        <f>SOLID!BX50</f>
        <v>0</v>
      </c>
    </row>
    <row r="40" spans="1:72" ht="21.75" hidden="1" outlineLevel="1" thickBot="1" x14ac:dyDescent="0.4">
      <c r="A40" s="33" t="str">
        <f>SOLID!E51</f>
        <v>*GaSe</v>
      </c>
      <c r="B40" s="16">
        <f ca="1">SOLID!F51</f>
        <v>-89.08</v>
      </c>
      <c r="C40" s="16">
        <f ca="1">SOLID!G51</f>
        <v>-84.49</v>
      </c>
      <c r="D40" s="16">
        <f ca="1">SOLID!H51</f>
        <v>-80.400000000000006</v>
      </c>
      <c r="E40" s="16">
        <f ca="1">SOLID!I51</f>
        <v>-76.740000000000009</v>
      </c>
      <c r="F40" s="16">
        <f ca="1">SOLID!J51</f>
        <v>-73.47</v>
      </c>
      <c r="G40" s="16">
        <f ca="1">SOLID!K51</f>
        <v>-70.13</v>
      </c>
      <c r="H40" s="16">
        <f ca="1">SOLID!L51</f>
        <v>-67</v>
      </c>
      <c r="I40" s="16">
        <f ca="1">SOLID!M51</f>
        <v>-64.14</v>
      </c>
      <c r="J40" s="16">
        <f ca="1">SOLID!N51</f>
        <v>-61.51</v>
      </c>
      <c r="K40" s="16">
        <f ca="1">SOLID!O51</f>
        <v>-52.85</v>
      </c>
      <c r="L40" s="16">
        <f ca="1">SOLID!P51</f>
        <v>-51.06</v>
      </c>
      <c r="M40" s="16">
        <f ca="1">SOLID!Q51</f>
        <v>-49.370000000000005</v>
      </c>
      <c r="N40" s="16">
        <f ca="1">SOLID!R51</f>
        <v>-47.8</v>
      </c>
      <c r="O40" s="16">
        <f ca="1">SOLID!S51</f>
        <v>-46.33</v>
      </c>
      <c r="P40" s="16">
        <f ca="1">SOLID!T51</f>
        <v>-44.94</v>
      </c>
      <c r="Q40" s="16">
        <f ca="1">SOLID!U51</f>
        <v>-43.629999999999995</v>
      </c>
      <c r="R40" s="16">
        <f ca="1">SOLID!V51</f>
        <v>-42.4</v>
      </c>
      <c r="S40" s="16">
        <f ca="1">SOLID!W51</f>
        <v>-41.33</v>
      </c>
      <c r="T40" s="16">
        <f ca="1">SOLID!X51</f>
        <v>-40.57</v>
      </c>
      <c r="U40" s="16">
        <f ca="1">SOLID!Y51</f>
        <v>-39.85</v>
      </c>
      <c r="V40" s="16">
        <f ca="1">SOLID!Z51</f>
        <v>-39.18</v>
      </c>
      <c r="W40" s="16">
        <f ca="1">SOLID!AA51</f>
        <v>-38.54</v>
      </c>
      <c r="X40" s="16">
        <f ca="1">SOLID!AB51</f>
        <v>-36.31</v>
      </c>
      <c r="Y40" s="16">
        <f ca="1">SOLID!AC51</f>
        <v>-35.82</v>
      </c>
      <c r="Z40" s="16">
        <f ca="1">SOLID!AD51</f>
        <v>-35.356000000000002</v>
      </c>
      <c r="AA40" s="16">
        <f ca="1">SOLID!AE51</f>
        <v>-34.917999999999999</v>
      </c>
      <c r="AB40" s="16">
        <f ca="1">SOLID!AF51</f>
        <v>-34.493000000000002</v>
      </c>
      <c r="AC40" s="16">
        <f ca="1">SOLID!AG51</f>
        <v>-34.105000000000004</v>
      </c>
      <c r="AD40" s="16">
        <f ca="1">SOLID!AH51</f>
        <v>-34.396999999999998</v>
      </c>
      <c r="AE40" s="16">
        <f ca="1">SOLID!AI51</f>
        <v>-34.689</v>
      </c>
      <c r="AF40" s="16">
        <f ca="1">SOLID!AJ51</f>
        <v>-34.982999999999997</v>
      </c>
      <c r="AG40" s="16">
        <f ca="1">SOLID!AK51</f>
        <v>-36.149000000000001</v>
      </c>
      <c r="AH40" s="16">
        <f ca="1">SOLID!AL51</f>
        <v>-36.445</v>
      </c>
      <c r="AI40" s="16">
        <f>SOLID!AM51</f>
        <v>0</v>
      </c>
      <c r="AJ40" s="16">
        <f>SOLID!AN51</f>
        <v>0</v>
      </c>
      <c r="AK40" s="16">
        <f>SOLID!AO51</f>
        <v>0</v>
      </c>
      <c r="AL40" s="16">
        <f>SOLID!AP51</f>
        <v>0</v>
      </c>
      <c r="AM40" s="16">
        <f>SOLID!AQ51</f>
        <v>0</v>
      </c>
      <c r="AN40" s="16">
        <f>SOLID!AR51</f>
        <v>0</v>
      </c>
      <c r="AO40" s="16">
        <f>SOLID!AS51</f>
        <v>0</v>
      </c>
      <c r="AP40" s="16">
        <f>SOLID!AT51</f>
        <v>0</v>
      </c>
      <c r="AQ40" s="16">
        <f>SOLID!AU51</f>
        <v>0</v>
      </c>
      <c r="AR40" s="16">
        <f>SOLID!AV51</f>
        <v>0</v>
      </c>
      <c r="AS40" s="16">
        <f>SOLID!AW51</f>
        <v>0</v>
      </c>
      <c r="AT40" s="16">
        <f>SOLID!AX51</f>
        <v>0</v>
      </c>
      <c r="AU40" s="16">
        <f>SOLID!AY51</f>
        <v>0</v>
      </c>
      <c r="AV40" s="16">
        <f>SOLID!AZ51</f>
        <v>0</v>
      </c>
      <c r="AW40" s="16">
        <f>SOLID!BA51</f>
        <v>0</v>
      </c>
      <c r="AX40" s="16">
        <f>SOLID!BB51</f>
        <v>0</v>
      </c>
      <c r="AY40" s="16">
        <f>SOLID!BC51</f>
        <v>0</v>
      </c>
      <c r="AZ40" s="16">
        <f>SOLID!BD51</f>
        <v>0</v>
      </c>
      <c r="BA40" s="16">
        <f>SOLID!BE51</f>
        <v>0</v>
      </c>
      <c r="BB40" s="16">
        <f>SOLID!BF51</f>
        <v>0</v>
      </c>
      <c r="BC40" s="16">
        <f>SOLID!BG51</f>
        <v>0</v>
      </c>
      <c r="BD40" s="16">
        <f>SOLID!BH51</f>
        <v>0</v>
      </c>
      <c r="BE40" s="16">
        <f>SOLID!BI51</f>
        <v>0</v>
      </c>
      <c r="BF40" s="16">
        <f>SOLID!BJ51</f>
        <v>0</v>
      </c>
      <c r="BG40" s="16">
        <f>SOLID!BK51</f>
        <v>0</v>
      </c>
      <c r="BH40" s="16">
        <f>SOLID!BL51</f>
        <v>0</v>
      </c>
      <c r="BI40" s="16">
        <f>SOLID!BM51</f>
        <v>0</v>
      </c>
      <c r="BJ40" s="16">
        <f>SOLID!BN51</f>
        <v>0</v>
      </c>
      <c r="BK40" s="16">
        <f>SOLID!BO51</f>
        <v>0</v>
      </c>
      <c r="BL40" s="16">
        <f>SOLID!BP51</f>
        <v>0</v>
      </c>
      <c r="BM40" s="16">
        <f>SOLID!BQ51</f>
        <v>0</v>
      </c>
      <c r="BN40" s="16">
        <f>SOLID!BR51</f>
        <v>0</v>
      </c>
      <c r="BO40" s="16">
        <f>SOLID!BS51</f>
        <v>0</v>
      </c>
      <c r="BP40" s="16">
        <f>SOLID!BT51</f>
        <v>0</v>
      </c>
      <c r="BQ40" s="16">
        <f>SOLID!BU51</f>
        <v>0</v>
      </c>
      <c r="BR40" s="16">
        <f>SOLID!BV51</f>
        <v>0</v>
      </c>
      <c r="BS40" s="16">
        <f>SOLID!BW51</f>
        <v>0</v>
      </c>
      <c r="BT40" s="16">
        <f>SOLID!BX51</f>
        <v>0</v>
      </c>
    </row>
    <row r="41" spans="1:72" ht="21.75" hidden="1" outlineLevel="1" thickBot="1" x14ac:dyDescent="0.4">
      <c r="A41" s="33" t="str">
        <f>SOLID!E52</f>
        <v>*Ge[l]</v>
      </c>
      <c r="B41" s="16">
        <f ca="1">SOLID!F52</f>
        <v>-16.29</v>
      </c>
      <c r="C41" s="16">
        <f ca="1">SOLID!G52</f>
        <v>-15.65</v>
      </c>
      <c r="D41" s="16">
        <f ca="1">SOLID!H52</f>
        <v>-15.09</v>
      </c>
      <c r="E41" s="16">
        <f ca="1">SOLID!I52</f>
        <v>-14.59</v>
      </c>
      <c r="F41" s="16">
        <f ca="1">SOLID!J52</f>
        <v>-14.16</v>
      </c>
      <c r="G41" s="16">
        <f ca="1">SOLID!K52</f>
        <v>-13.03</v>
      </c>
      <c r="H41" s="16">
        <f ca="1">SOLID!L52</f>
        <v>-11.8</v>
      </c>
      <c r="I41" s="16">
        <f ca="1">SOLID!M52</f>
        <v>-10.67</v>
      </c>
      <c r="J41" s="16">
        <f ca="1">SOLID!N52</f>
        <v>-9.6129999999999995</v>
      </c>
      <c r="K41" s="16">
        <f ca="1">SOLID!O52</f>
        <v>-6.0380000000000003</v>
      </c>
      <c r="L41" s="16">
        <f ca="1">SOLID!P52</f>
        <v>-5.2729999999999997</v>
      </c>
      <c r="M41" s="16">
        <f ca="1">SOLID!Q52</f>
        <v>-4.55</v>
      </c>
      <c r="N41" s="16">
        <f ca="1">SOLID!R52</f>
        <v>-4.1150000000000002</v>
      </c>
      <c r="O41" s="16">
        <f ca="1">SOLID!S52</f>
        <v>-4.1550000000000002</v>
      </c>
      <c r="P41" s="16">
        <f ca="1">SOLID!T52</f>
        <v>-4.1950000000000003</v>
      </c>
      <c r="Q41" s="16">
        <f ca="1">SOLID!U52</f>
        <v>-4.2359999999999998</v>
      </c>
      <c r="R41" s="16">
        <f ca="1">SOLID!V52</f>
        <v>-4.2759999999999998</v>
      </c>
      <c r="S41" s="16">
        <f ca="1">SOLID!W52</f>
        <v>-4.3170000000000002</v>
      </c>
      <c r="T41" s="16">
        <f ca="1">SOLID!X52</f>
        <v>-4.3579999999999997</v>
      </c>
      <c r="U41" s="16">
        <f ca="1">SOLID!Y52</f>
        <v>-4.399</v>
      </c>
      <c r="V41" s="16">
        <f ca="1">SOLID!Z52</f>
        <v>-4.4400000000000004</v>
      </c>
      <c r="W41" s="16">
        <f ca="1">SOLID!AA52</f>
        <v>-4.4809999999999999</v>
      </c>
      <c r="X41" s="16">
        <f ca="1">SOLID!AB52</f>
        <v>-4.6429999999999998</v>
      </c>
      <c r="Y41" s="16">
        <f ca="1">SOLID!AC52</f>
        <v>-4.6829999999999998</v>
      </c>
      <c r="Z41" s="16">
        <f ca="1">SOLID!AD52</f>
        <v>-4.7220000000000004</v>
      </c>
      <c r="AA41" s="16">
        <f ca="1">SOLID!AE52</f>
        <v>-4.7619999999999996</v>
      </c>
      <c r="AB41" s="16">
        <f ca="1">SOLID!AF52</f>
        <v>-4.8010000000000002</v>
      </c>
      <c r="AC41" s="16">
        <f ca="1">SOLID!AG52</f>
        <v>-4.84</v>
      </c>
      <c r="AD41" s="16">
        <f ca="1">SOLID!AH52</f>
        <v>-4.8780000000000001</v>
      </c>
      <c r="AE41" s="16">
        <f ca="1">SOLID!AI52</f>
        <v>-4.9169999999999998</v>
      </c>
      <c r="AF41" s="16">
        <f ca="1">SOLID!AJ52</f>
        <v>-4.9550000000000001</v>
      </c>
      <c r="AG41" s="16">
        <f ca="1">SOLID!AK52</f>
        <v>-5.1040000000000001</v>
      </c>
      <c r="AH41" s="16">
        <f ca="1">SOLID!AL52</f>
        <v>-5.141</v>
      </c>
      <c r="AI41" s="16">
        <f>SOLID!AM52</f>
        <v>0</v>
      </c>
      <c r="AJ41" s="16">
        <f>SOLID!AN52</f>
        <v>0</v>
      </c>
      <c r="AK41" s="16">
        <f>SOLID!AO52</f>
        <v>0</v>
      </c>
      <c r="AL41" s="16">
        <f>SOLID!AP52</f>
        <v>0</v>
      </c>
      <c r="AM41" s="16">
        <f>SOLID!AQ52</f>
        <v>0</v>
      </c>
      <c r="AN41" s="16">
        <f>SOLID!AR52</f>
        <v>0</v>
      </c>
      <c r="AO41" s="16">
        <f>SOLID!AS52</f>
        <v>0</v>
      </c>
      <c r="AP41" s="16">
        <f>SOLID!AT52</f>
        <v>0</v>
      </c>
      <c r="AQ41" s="16">
        <f>SOLID!AU52</f>
        <v>0</v>
      </c>
      <c r="AR41" s="16">
        <f>SOLID!AV52</f>
        <v>0</v>
      </c>
      <c r="AS41" s="16">
        <f>SOLID!AW52</f>
        <v>0</v>
      </c>
      <c r="AT41" s="16">
        <f>SOLID!AX52</f>
        <v>0</v>
      </c>
      <c r="AU41" s="16">
        <f>SOLID!AY52</f>
        <v>0</v>
      </c>
      <c r="AV41" s="16">
        <f>SOLID!AZ52</f>
        <v>0</v>
      </c>
      <c r="AW41" s="16">
        <f>SOLID!BA52</f>
        <v>0</v>
      </c>
      <c r="AX41" s="16">
        <f>SOLID!BB52</f>
        <v>0</v>
      </c>
      <c r="AY41" s="16">
        <f>SOLID!BC52</f>
        <v>0</v>
      </c>
      <c r="AZ41" s="16">
        <f>SOLID!BD52</f>
        <v>0</v>
      </c>
      <c r="BA41" s="16">
        <f>SOLID!BE52</f>
        <v>0</v>
      </c>
      <c r="BB41" s="16">
        <f>SOLID!BF52</f>
        <v>0</v>
      </c>
      <c r="BC41" s="16">
        <f>SOLID!BG52</f>
        <v>0</v>
      </c>
      <c r="BD41" s="16">
        <f>SOLID!BH52</f>
        <v>0</v>
      </c>
      <c r="BE41" s="16">
        <f>SOLID!BI52</f>
        <v>0</v>
      </c>
      <c r="BF41" s="16">
        <f>SOLID!BJ52</f>
        <v>0</v>
      </c>
      <c r="BG41" s="16">
        <f>SOLID!BK52</f>
        <v>0</v>
      </c>
      <c r="BH41" s="16">
        <f>SOLID!BL52</f>
        <v>0</v>
      </c>
      <c r="BI41" s="16">
        <f>SOLID!BM52</f>
        <v>0</v>
      </c>
      <c r="BJ41" s="16">
        <f>SOLID!BN52</f>
        <v>0</v>
      </c>
      <c r="BK41" s="16">
        <f>SOLID!BO52</f>
        <v>0</v>
      </c>
      <c r="BL41" s="16">
        <f>SOLID!BP52</f>
        <v>0</v>
      </c>
      <c r="BM41" s="16">
        <f>SOLID!BQ52</f>
        <v>0</v>
      </c>
      <c r="BN41" s="16">
        <f>SOLID!BR52</f>
        <v>0</v>
      </c>
      <c r="BO41" s="16">
        <f>SOLID!BS52</f>
        <v>0</v>
      </c>
      <c r="BP41" s="16">
        <f>SOLID!BT52</f>
        <v>0</v>
      </c>
      <c r="BQ41" s="16">
        <f>SOLID!BU52</f>
        <v>0</v>
      </c>
      <c r="BR41" s="16">
        <f>SOLID!BV52</f>
        <v>0</v>
      </c>
      <c r="BS41" s="16">
        <f>SOLID!BW52</f>
        <v>0</v>
      </c>
      <c r="BT41" s="16">
        <f>SOLID!BX52</f>
        <v>0</v>
      </c>
    </row>
    <row r="42" spans="1:72" ht="21.75" hidden="1" outlineLevel="1" thickBot="1" x14ac:dyDescent="0.4">
      <c r="A42" s="33" t="str">
        <f>SOLID!E53</f>
        <v>*GeSe</v>
      </c>
      <c r="B42" s="16">
        <f ca="1">SOLID!F53</f>
        <v>-39.81</v>
      </c>
      <c r="C42" s="16">
        <f ca="1">SOLID!G53</f>
        <v>-38.06</v>
      </c>
      <c r="D42" s="16">
        <f ca="1">SOLID!H53</f>
        <v>-36.510000000000005</v>
      </c>
      <c r="E42" s="16">
        <f ca="1">SOLID!I53</f>
        <v>-35.129999999999995</v>
      </c>
      <c r="F42" s="16">
        <f ca="1">SOLID!J53</f>
        <v>-33.92</v>
      </c>
      <c r="G42" s="16">
        <f ca="1">SOLID!K53</f>
        <v>-32.83</v>
      </c>
      <c r="H42" s="16">
        <f ca="1">SOLID!L53</f>
        <v>-31.84</v>
      </c>
      <c r="I42" s="16">
        <f ca="1">SOLID!M53</f>
        <v>-30.950000000000003</v>
      </c>
      <c r="J42" s="16">
        <f ca="1">SOLID!N53</f>
        <v>-30.143000000000001</v>
      </c>
      <c r="K42" s="16">
        <f ca="1">SOLID!O53</f>
        <v>-27.568000000000001</v>
      </c>
      <c r="L42" s="16">
        <f ca="1">SOLID!P53</f>
        <v>-27.053000000000001</v>
      </c>
      <c r="M42" s="16">
        <f ca="1">SOLID!Q53</f>
        <v>-26.57</v>
      </c>
      <c r="N42" s="16">
        <f ca="1">SOLID!R53</f>
        <v>-26.384999999999998</v>
      </c>
      <c r="O42" s="16">
        <f ca="1">SOLID!S53</f>
        <v>-26.675000000000001</v>
      </c>
      <c r="P42" s="16">
        <f ca="1">SOLID!T53</f>
        <v>-26.955000000000002</v>
      </c>
      <c r="Q42" s="16">
        <f ca="1">SOLID!U53</f>
        <v>-27.236000000000001</v>
      </c>
      <c r="R42" s="16">
        <f ca="1">SOLID!V53</f>
        <v>-27.515999999999998</v>
      </c>
      <c r="S42" s="16">
        <f ca="1">SOLID!W53</f>
        <v>-27.797000000000001</v>
      </c>
      <c r="T42" s="16">
        <f ca="1">SOLID!X53</f>
        <v>-28.077999999999999</v>
      </c>
      <c r="U42" s="16">
        <f ca="1">SOLID!Y53</f>
        <v>-28.349</v>
      </c>
      <c r="V42" s="16">
        <f ca="1">SOLID!Z53</f>
        <v>-28.62</v>
      </c>
      <c r="W42" s="16">
        <f ca="1">SOLID!AA53</f>
        <v>-28.890999999999998</v>
      </c>
      <c r="X42" s="16">
        <f ca="1">SOLID!AB53</f>
        <v>-29.952999999999999</v>
      </c>
      <c r="Y42" s="16">
        <f ca="1">SOLID!AC53</f>
        <v>-30.213000000000001</v>
      </c>
      <c r="Z42" s="16">
        <f ca="1">SOLID!AD53</f>
        <v>-30.472000000000001</v>
      </c>
      <c r="AA42" s="16">
        <f ca="1">SOLID!AE53</f>
        <v>-30.731999999999999</v>
      </c>
      <c r="AB42" s="16">
        <f ca="1">SOLID!AF53</f>
        <v>-30.981000000000002</v>
      </c>
      <c r="AC42" s="16">
        <f ca="1">SOLID!AG53</f>
        <v>-31.23</v>
      </c>
      <c r="AD42" s="16">
        <f ca="1">SOLID!AH53</f>
        <v>-31.478000000000002</v>
      </c>
      <c r="AE42" s="16">
        <f ca="1">SOLID!AI53</f>
        <v>-31.726999999999997</v>
      </c>
      <c r="AF42" s="16">
        <f ca="1">SOLID!AJ53</f>
        <v>-31.975000000000001</v>
      </c>
      <c r="AG42" s="16">
        <f ca="1">SOLID!AK53</f>
        <v>-32.933999999999997</v>
      </c>
      <c r="AH42" s="16">
        <f ca="1">SOLID!AL53</f>
        <v>-33.170999999999999</v>
      </c>
      <c r="AI42" s="16">
        <f>SOLID!AM53</f>
        <v>0</v>
      </c>
      <c r="AJ42" s="16">
        <f>SOLID!AN53</f>
        <v>0</v>
      </c>
      <c r="AK42" s="16">
        <f>SOLID!AO53</f>
        <v>0</v>
      </c>
      <c r="AL42" s="16">
        <f>SOLID!AP53</f>
        <v>0</v>
      </c>
      <c r="AM42" s="16">
        <f>SOLID!AQ53</f>
        <v>0</v>
      </c>
      <c r="AN42" s="16">
        <f>SOLID!AR53</f>
        <v>0</v>
      </c>
      <c r="AO42" s="16">
        <f>SOLID!AS53</f>
        <v>0</v>
      </c>
      <c r="AP42" s="16">
        <f>SOLID!AT53</f>
        <v>0</v>
      </c>
      <c r="AQ42" s="16">
        <f>SOLID!AU53</f>
        <v>0</v>
      </c>
      <c r="AR42" s="16">
        <f>SOLID!AV53</f>
        <v>0</v>
      </c>
      <c r="AS42" s="16">
        <f>SOLID!AW53</f>
        <v>0</v>
      </c>
      <c r="AT42" s="16">
        <f>SOLID!AX53</f>
        <v>0</v>
      </c>
      <c r="AU42" s="16">
        <f>SOLID!AY53</f>
        <v>0</v>
      </c>
      <c r="AV42" s="16">
        <f>SOLID!AZ53</f>
        <v>0</v>
      </c>
      <c r="AW42" s="16">
        <f>SOLID!BA53</f>
        <v>0</v>
      </c>
      <c r="AX42" s="16">
        <f>SOLID!BB53</f>
        <v>0</v>
      </c>
      <c r="AY42" s="16">
        <f>SOLID!BC53</f>
        <v>0</v>
      </c>
      <c r="AZ42" s="16">
        <f>SOLID!BD53</f>
        <v>0</v>
      </c>
      <c r="BA42" s="16">
        <f>SOLID!BE53</f>
        <v>0</v>
      </c>
      <c r="BB42" s="16">
        <f>SOLID!BF53</f>
        <v>0</v>
      </c>
      <c r="BC42" s="16">
        <f>SOLID!BG53</f>
        <v>0</v>
      </c>
      <c r="BD42" s="16">
        <f>SOLID!BH53</f>
        <v>0</v>
      </c>
      <c r="BE42" s="16">
        <f>SOLID!BI53</f>
        <v>0</v>
      </c>
      <c r="BF42" s="16">
        <f>SOLID!BJ53</f>
        <v>0</v>
      </c>
      <c r="BG42" s="16">
        <f>SOLID!BK53</f>
        <v>0</v>
      </c>
      <c r="BH42" s="16">
        <f>SOLID!BL53</f>
        <v>0</v>
      </c>
      <c r="BI42" s="16">
        <f>SOLID!BM53</f>
        <v>0</v>
      </c>
      <c r="BJ42" s="16">
        <f>SOLID!BN53</f>
        <v>0</v>
      </c>
      <c r="BK42" s="16">
        <f>SOLID!BO53</f>
        <v>0</v>
      </c>
      <c r="BL42" s="16">
        <f>SOLID!BP53</f>
        <v>0</v>
      </c>
      <c r="BM42" s="16">
        <f>SOLID!BQ53</f>
        <v>0</v>
      </c>
      <c r="BN42" s="16">
        <f>SOLID!BR53</f>
        <v>0</v>
      </c>
      <c r="BO42" s="16">
        <f>SOLID!BS53</f>
        <v>0</v>
      </c>
      <c r="BP42" s="16">
        <f>SOLID!BT53</f>
        <v>0</v>
      </c>
      <c r="BQ42" s="16">
        <f>SOLID!BU53</f>
        <v>0</v>
      </c>
      <c r="BR42" s="16">
        <f>SOLID!BV53</f>
        <v>0</v>
      </c>
      <c r="BS42" s="16">
        <f>SOLID!BW53</f>
        <v>0</v>
      </c>
      <c r="BT42" s="16">
        <f>SOLID!BX53</f>
        <v>0</v>
      </c>
    </row>
    <row r="43" spans="1:72" ht="21.75" hidden="1" outlineLevel="1" thickBot="1" x14ac:dyDescent="0.4">
      <c r="A43" s="33" t="str">
        <f>SOLID!E54</f>
        <v>Ga2Se</v>
      </c>
      <c r="B43" s="16">
        <f ca="1">SOLID!F54</f>
        <v>-154.64000000000001</v>
      </c>
      <c r="C43" s="16">
        <f ca="1">SOLID!G54</f>
        <v>-146.57</v>
      </c>
      <c r="D43" s="16">
        <f ca="1">SOLID!H54</f>
        <v>-139.38</v>
      </c>
      <c r="E43" s="16">
        <f ca="1">SOLID!I54</f>
        <v>-132.94</v>
      </c>
      <c r="F43" s="16">
        <f ca="1">SOLID!J54</f>
        <v>-127.18</v>
      </c>
      <c r="G43" s="16">
        <f ca="1">SOLID!K54</f>
        <v>-120.46</v>
      </c>
      <c r="H43" s="16">
        <f ca="1">SOLID!L54</f>
        <v>-113.96000000000001</v>
      </c>
      <c r="I43" s="16">
        <f ca="1">SOLID!M54</f>
        <v>-108</v>
      </c>
      <c r="J43" s="16">
        <f ca="1">SOLID!N54</f>
        <v>-102.49</v>
      </c>
      <c r="K43" s="16">
        <f ca="1">SOLID!O54</f>
        <v>-84.17</v>
      </c>
      <c r="L43" s="16">
        <f ca="1">SOLID!P54</f>
        <v>-80.34</v>
      </c>
      <c r="M43" s="16">
        <f ca="1">SOLID!Q54</f>
        <v>-76.72</v>
      </c>
      <c r="N43" s="16">
        <f ca="1">SOLID!R54</f>
        <v>-73.33</v>
      </c>
      <c r="O43" s="16">
        <f ca="1">SOLID!S54</f>
        <v>-70.14</v>
      </c>
      <c r="P43" s="16">
        <f ca="1">SOLID!T54</f>
        <v>-67.12</v>
      </c>
      <c r="Q43" s="16">
        <f ca="1">SOLID!U54</f>
        <v>-64.259999999999991</v>
      </c>
      <c r="R43" s="16">
        <f ca="1">SOLID!V54</f>
        <v>-61.56</v>
      </c>
      <c r="S43" s="16">
        <f ca="1">SOLID!W54</f>
        <v>-59.180000000000007</v>
      </c>
      <c r="T43" s="16">
        <f ca="1">SOLID!X54</f>
        <v>-57.42</v>
      </c>
      <c r="U43" s="16">
        <f ca="1">SOLID!Y54</f>
        <v>-55.75</v>
      </c>
      <c r="V43" s="16">
        <f ca="1">SOLID!Z54</f>
        <v>-54.18</v>
      </c>
      <c r="W43" s="16">
        <f ca="1">SOLID!AA54</f>
        <v>-52.67</v>
      </c>
      <c r="X43" s="16">
        <f ca="1">SOLID!AB54</f>
        <v>-47.31</v>
      </c>
      <c r="Y43" s="16">
        <f ca="1">SOLID!AC54</f>
        <v>-46.11</v>
      </c>
      <c r="Z43" s="16">
        <f ca="1">SOLID!AD54</f>
        <v>-44.962000000000003</v>
      </c>
      <c r="AA43" s="16">
        <f ca="1">SOLID!AE54</f>
        <v>-43.866</v>
      </c>
      <c r="AB43" s="16">
        <f ca="1">SOLID!AF54</f>
        <v>-42.805999999999997</v>
      </c>
      <c r="AC43" s="16">
        <f ca="1">SOLID!AG54</f>
        <v>-41.82</v>
      </c>
      <c r="AD43" s="16">
        <f ca="1">SOLID!AH54</f>
        <v>-42.194000000000003</v>
      </c>
      <c r="AE43" s="16">
        <f ca="1">SOLID!AI54</f>
        <v>-42.567999999999998</v>
      </c>
      <c r="AF43" s="16">
        <f ca="1">SOLID!AJ54</f>
        <v>-42.945999999999998</v>
      </c>
      <c r="AG43" s="16">
        <f ca="1">SOLID!AK54</f>
        <v>-44.468000000000004</v>
      </c>
      <c r="AH43" s="16">
        <f ca="1">SOLID!AL54</f>
        <v>-44.86</v>
      </c>
      <c r="AI43" s="16">
        <f>SOLID!AM54</f>
        <v>0</v>
      </c>
      <c r="AJ43" s="16">
        <f>SOLID!AN54</f>
        <v>0</v>
      </c>
      <c r="AK43" s="16">
        <f>SOLID!AO54</f>
        <v>0</v>
      </c>
      <c r="AL43" s="16">
        <f>SOLID!AP54</f>
        <v>0</v>
      </c>
      <c r="AM43" s="16">
        <f>SOLID!AQ54</f>
        <v>0</v>
      </c>
      <c r="AN43" s="16">
        <f>SOLID!AR54</f>
        <v>0</v>
      </c>
      <c r="AO43" s="16">
        <f>SOLID!AS54</f>
        <v>0</v>
      </c>
      <c r="AP43" s="16">
        <f>SOLID!AT54</f>
        <v>0</v>
      </c>
      <c r="AQ43" s="16">
        <f>SOLID!AU54</f>
        <v>0</v>
      </c>
      <c r="AR43" s="16">
        <f>SOLID!AV54</f>
        <v>0</v>
      </c>
      <c r="AS43" s="16">
        <f>SOLID!AW54</f>
        <v>0</v>
      </c>
      <c r="AT43" s="16">
        <f>SOLID!AX54</f>
        <v>0</v>
      </c>
      <c r="AU43" s="16">
        <f>SOLID!AY54</f>
        <v>0</v>
      </c>
      <c r="AV43" s="16">
        <f>SOLID!AZ54</f>
        <v>0</v>
      </c>
      <c r="AW43" s="16">
        <f>SOLID!BA54</f>
        <v>0</v>
      </c>
      <c r="AX43" s="16">
        <f>SOLID!BB54</f>
        <v>0</v>
      </c>
      <c r="AY43" s="16">
        <f>SOLID!BC54</f>
        <v>0</v>
      </c>
      <c r="AZ43" s="16">
        <f>SOLID!BD54</f>
        <v>0</v>
      </c>
      <c r="BA43" s="16">
        <f>SOLID!BE54</f>
        <v>0</v>
      </c>
      <c r="BB43" s="16">
        <f>SOLID!BF54</f>
        <v>0</v>
      </c>
      <c r="BC43" s="16">
        <f>SOLID!BG54</f>
        <v>0</v>
      </c>
      <c r="BD43" s="16">
        <f>SOLID!BH54</f>
        <v>0</v>
      </c>
      <c r="BE43" s="16">
        <f>SOLID!BI54</f>
        <v>0</v>
      </c>
      <c r="BF43" s="16">
        <f>SOLID!BJ54</f>
        <v>0</v>
      </c>
      <c r="BG43" s="16">
        <f>SOLID!BK54</f>
        <v>0</v>
      </c>
      <c r="BH43" s="16">
        <f>SOLID!BL54</f>
        <v>0</v>
      </c>
      <c r="BI43" s="16">
        <f>SOLID!BM54</f>
        <v>0</v>
      </c>
      <c r="BJ43" s="16">
        <f>SOLID!BN54</f>
        <v>0</v>
      </c>
      <c r="BK43" s="16">
        <f>SOLID!BO54</f>
        <v>0</v>
      </c>
      <c r="BL43" s="16">
        <f>SOLID!BP54</f>
        <v>0</v>
      </c>
      <c r="BM43" s="16">
        <f>SOLID!BQ54</f>
        <v>0</v>
      </c>
      <c r="BN43" s="16">
        <f>SOLID!BR54</f>
        <v>0</v>
      </c>
      <c r="BO43" s="16">
        <f>SOLID!BS54</f>
        <v>0</v>
      </c>
      <c r="BP43" s="16">
        <f>SOLID!BT54</f>
        <v>0</v>
      </c>
      <c r="BQ43" s="16">
        <f>SOLID!BU54</f>
        <v>0</v>
      </c>
      <c r="BR43" s="16">
        <f>SOLID!BV54</f>
        <v>0</v>
      </c>
      <c r="BS43" s="16">
        <f>SOLID!BW54</f>
        <v>0</v>
      </c>
      <c r="BT43" s="16">
        <f>SOLID!BX54</f>
        <v>0</v>
      </c>
    </row>
    <row r="44" spans="1:72" ht="21.75" hidden="1" outlineLevel="1" thickBot="1" x14ac:dyDescent="0.4">
      <c r="A44" s="33" t="str">
        <f>SOLID!E55</f>
        <v>Ar</v>
      </c>
      <c r="B44" s="16">
        <f ca="1">SOLID!F55</f>
        <v>-18.62</v>
      </c>
      <c r="C44" s="16">
        <f ca="1">SOLID!G55</f>
        <v>-18.61</v>
      </c>
      <c r="D44" s="16">
        <f ca="1">SOLID!H55</f>
        <v>-18.61</v>
      </c>
      <c r="E44" s="16">
        <f ca="1">SOLID!I55</f>
        <v>-18.62</v>
      </c>
      <c r="F44" s="16">
        <f ca="1">SOLID!J55</f>
        <v>-18.63</v>
      </c>
      <c r="G44" s="16">
        <f ca="1">SOLID!K55</f>
        <v>-18.649999999999999</v>
      </c>
      <c r="H44" s="16">
        <f ca="1">SOLID!L55</f>
        <v>-18.670000000000002</v>
      </c>
      <c r="I44" s="16">
        <f ca="1">SOLID!M55</f>
        <v>-18.690000000000001</v>
      </c>
      <c r="J44" s="16">
        <f ca="1">SOLID!N55</f>
        <v>-18.72</v>
      </c>
      <c r="K44" s="16">
        <f ca="1">SOLID!O55</f>
        <v>-18.84</v>
      </c>
      <c r="L44" s="16">
        <f ca="1">SOLID!P55</f>
        <v>-18.87</v>
      </c>
      <c r="M44" s="16">
        <f ca="1">SOLID!Q55</f>
        <v>-18.899999999999999</v>
      </c>
      <c r="N44" s="16">
        <f ca="1">SOLID!R55</f>
        <v>-18.940000000000001</v>
      </c>
      <c r="O44" s="16">
        <f ca="1">SOLID!S55</f>
        <v>-18.97</v>
      </c>
      <c r="P44" s="16">
        <f ca="1">SOLID!T55</f>
        <v>-19.010000000000002</v>
      </c>
      <c r="Q44" s="16">
        <f ca="1">SOLID!U55</f>
        <v>-19.04</v>
      </c>
      <c r="R44" s="16">
        <f ca="1">SOLID!V55</f>
        <v>-19.07</v>
      </c>
      <c r="S44" s="16">
        <f ca="1">SOLID!W55</f>
        <v>-19.11</v>
      </c>
      <c r="T44" s="16">
        <f ca="1">SOLID!X55</f>
        <v>-19.14</v>
      </c>
      <c r="U44" s="16">
        <f ca="1">SOLID!Y55</f>
        <v>-19.18</v>
      </c>
      <c r="V44" s="16">
        <f ca="1">SOLID!Z55</f>
        <v>-19.21</v>
      </c>
      <c r="W44" s="16">
        <f ca="1">SOLID!AA55</f>
        <v>-19.25</v>
      </c>
      <c r="X44" s="16">
        <f ca="1">SOLID!AB55</f>
        <v>-19.38</v>
      </c>
      <c r="Y44" s="16">
        <f ca="1">SOLID!AC55</f>
        <v>-19.420000000000002</v>
      </c>
      <c r="Z44" s="16">
        <f ca="1">SOLID!AD55</f>
        <v>-19.45</v>
      </c>
      <c r="AA44" s="16">
        <f ca="1">SOLID!AE55</f>
        <v>-19.48</v>
      </c>
      <c r="AB44" s="16">
        <f ca="1">SOLID!AF55</f>
        <v>-19.510000000000002</v>
      </c>
      <c r="AC44" s="16">
        <f ca="1">SOLID!AG55</f>
        <v>-19.55</v>
      </c>
      <c r="AD44" s="16">
        <f ca="1">SOLID!AH55</f>
        <v>-19.579999999999998</v>
      </c>
      <c r="AE44" s="16">
        <f ca="1">SOLID!AI55</f>
        <v>-19.61</v>
      </c>
      <c r="AF44" s="16">
        <f ca="1">SOLID!AJ55</f>
        <v>-19.64</v>
      </c>
      <c r="AG44" s="16">
        <f ca="1">SOLID!AK55</f>
        <v>-19.760000000000002</v>
      </c>
      <c r="AH44" s="16">
        <f ca="1">SOLID!AL55</f>
        <v>-19.79</v>
      </c>
      <c r="AI44" s="16">
        <f>SOLID!AM55</f>
        <v>0</v>
      </c>
      <c r="AJ44" s="16">
        <f>SOLID!AN55</f>
        <v>0</v>
      </c>
      <c r="AK44" s="16">
        <f>SOLID!AO55</f>
        <v>0</v>
      </c>
      <c r="AL44" s="16">
        <f>SOLID!AP55</f>
        <v>0</v>
      </c>
      <c r="AM44" s="16">
        <f>SOLID!AQ55</f>
        <v>0</v>
      </c>
      <c r="AN44" s="16">
        <f>SOLID!AR55</f>
        <v>0</v>
      </c>
      <c r="AO44" s="16">
        <f>SOLID!AS55</f>
        <v>0</v>
      </c>
      <c r="AP44" s="16">
        <f>SOLID!AT55</f>
        <v>0</v>
      </c>
      <c r="AQ44" s="16">
        <f>SOLID!AU55</f>
        <v>0</v>
      </c>
      <c r="AR44" s="16">
        <f>SOLID!AV55</f>
        <v>0</v>
      </c>
      <c r="AS44" s="16">
        <f>SOLID!AW55</f>
        <v>0</v>
      </c>
      <c r="AT44" s="16">
        <f>SOLID!AX55</f>
        <v>0</v>
      </c>
      <c r="AU44" s="16">
        <f>SOLID!AY55</f>
        <v>0</v>
      </c>
      <c r="AV44" s="16">
        <f>SOLID!AZ55</f>
        <v>0</v>
      </c>
      <c r="AW44" s="16">
        <f>SOLID!BA55</f>
        <v>0</v>
      </c>
      <c r="AX44" s="16">
        <f>SOLID!BB55</f>
        <v>0</v>
      </c>
      <c r="AY44" s="16">
        <f>SOLID!BC55</f>
        <v>0</v>
      </c>
      <c r="AZ44" s="16">
        <f>SOLID!BD55</f>
        <v>0</v>
      </c>
      <c r="BA44" s="16">
        <f>SOLID!BE55</f>
        <v>0</v>
      </c>
      <c r="BB44" s="16">
        <f>SOLID!BF55</f>
        <v>0</v>
      </c>
      <c r="BC44" s="16">
        <f>SOLID!BG55</f>
        <v>0</v>
      </c>
      <c r="BD44" s="16">
        <f>SOLID!BH55</f>
        <v>0</v>
      </c>
      <c r="BE44" s="16">
        <f>SOLID!BI55</f>
        <v>0</v>
      </c>
      <c r="BF44" s="16">
        <f>SOLID!BJ55</f>
        <v>0</v>
      </c>
      <c r="BG44" s="16">
        <f>SOLID!BK55</f>
        <v>0</v>
      </c>
      <c r="BH44" s="16">
        <f>SOLID!BL55</f>
        <v>0</v>
      </c>
      <c r="BI44" s="16">
        <f>SOLID!BM55</f>
        <v>0</v>
      </c>
      <c r="BJ44" s="16">
        <f>SOLID!BN55</f>
        <v>0</v>
      </c>
      <c r="BK44" s="16">
        <f>SOLID!BO55</f>
        <v>0</v>
      </c>
      <c r="BL44" s="16">
        <f>SOLID!BP55</f>
        <v>0</v>
      </c>
      <c r="BM44" s="16">
        <f>SOLID!BQ55</f>
        <v>0</v>
      </c>
      <c r="BN44" s="16">
        <f>SOLID!BR55</f>
        <v>0</v>
      </c>
      <c r="BO44" s="16">
        <f>SOLID!BS55</f>
        <v>0</v>
      </c>
      <c r="BP44" s="16">
        <f>SOLID!BT55</f>
        <v>0</v>
      </c>
      <c r="BQ44" s="16">
        <f>SOLID!BU55</f>
        <v>0</v>
      </c>
      <c r="BR44" s="16">
        <f>SOLID!BV55</f>
        <v>0</v>
      </c>
      <c r="BS44" s="16">
        <f>SOLID!BW55</f>
        <v>0</v>
      </c>
      <c r="BT44" s="16">
        <f>SOLID!BX55</f>
        <v>0</v>
      </c>
    </row>
    <row r="45" spans="1:72" ht="21.75" hidden="1" outlineLevel="1" thickBot="1" x14ac:dyDescent="0.4">
      <c r="A45" s="33" t="str">
        <f>SOLID!E56</f>
        <v>(1)Ga[l]</v>
      </c>
      <c r="B45" s="16">
        <f ca="1">SOLID!F56</f>
        <v>-65.56</v>
      </c>
      <c r="C45" s="16">
        <f ca="1">SOLID!G56</f>
        <v>-62.08</v>
      </c>
      <c r="D45" s="16">
        <f ca="1">SOLID!H56</f>
        <v>-58.98</v>
      </c>
      <c r="E45" s="16">
        <f ca="1">SOLID!I56</f>
        <v>-56.2</v>
      </c>
      <c r="F45" s="16">
        <f ca="1">SOLID!J56</f>
        <v>-53.71</v>
      </c>
      <c r="G45" s="16">
        <f ca="1">SOLID!K56</f>
        <v>-50.33</v>
      </c>
      <c r="H45" s="16">
        <f ca="1">SOLID!L56</f>
        <v>-46.96</v>
      </c>
      <c r="I45" s="16">
        <f ca="1">SOLID!M56</f>
        <v>-43.86</v>
      </c>
      <c r="J45" s="16">
        <f ca="1">SOLID!N56</f>
        <v>-40.98</v>
      </c>
      <c r="K45" s="16">
        <f ca="1">SOLID!O56</f>
        <v>-31.32</v>
      </c>
      <c r="L45" s="16">
        <f ca="1">SOLID!P56</f>
        <v>-29.28</v>
      </c>
      <c r="M45" s="16">
        <f ca="1">SOLID!Q56</f>
        <v>-27.35</v>
      </c>
      <c r="N45" s="16">
        <f ca="1">SOLID!R56</f>
        <v>-25.53</v>
      </c>
      <c r="O45" s="16">
        <f ca="1">SOLID!S56</f>
        <v>-23.81</v>
      </c>
      <c r="P45" s="16">
        <f ca="1">SOLID!T56</f>
        <v>-22.18</v>
      </c>
      <c r="Q45" s="16">
        <f ca="1">SOLID!U56</f>
        <v>-20.63</v>
      </c>
      <c r="R45" s="16">
        <f ca="1">SOLID!V56</f>
        <v>-19.16</v>
      </c>
      <c r="S45" s="16">
        <f ca="1">SOLID!W56</f>
        <v>-17.850000000000001</v>
      </c>
      <c r="T45" s="16">
        <f ca="1">SOLID!X56</f>
        <v>-16.850000000000001</v>
      </c>
      <c r="U45" s="16">
        <f ca="1">SOLID!Y56</f>
        <v>-15.9</v>
      </c>
      <c r="V45" s="16">
        <f ca="1">SOLID!Z56</f>
        <v>-15</v>
      </c>
      <c r="W45" s="16">
        <f ca="1">SOLID!AA56</f>
        <v>-14.13</v>
      </c>
      <c r="X45" s="16">
        <f ca="1">SOLID!AB56</f>
        <v>-11</v>
      </c>
      <c r="Y45" s="16">
        <f ca="1">SOLID!AC56</f>
        <v>-10.29</v>
      </c>
      <c r="Z45" s="16">
        <f ca="1">SOLID!AD56</f>
        <v>-9.6059999999999999</v>
      </c>
      <c r="AA45" s="16">
        <f ca="1">SOLID!AE56</f>
        <v>-8.9480000000000004</v>
      </c>
      <c r="AB45" s="16">
        <f ca="1">SOLID!AF56</f>
        <v>-8.3130000000000006</v>
      </c>
      <c r="AC45" s="16">
        <f ca="1">SOLID!AG56</f>
        <v>-7.7149999999999999</v>
      </c>
      <c r="AD45" s="16">
        <f ca="1">SOLID!AH56</f>
        <v>-7.7969999999999997</v>
      </c>
      <c r="AE45" s="16">
        <f ca="1">SOLID!AI56</f>
        <v>-7.8789999999999996</v>
      </c>
      <c r="AF45" s="16">
        <f ca="1">SOLID!AJ56</f>
        <v>-7.9630000000000001</v>
      </c>
      <c r="AG45" s="16">
        <f ca="1">SOLID!AK56</f>
        <v>-8.3190000000000008</v>
      </c>
      <c r="AH45" s="16">
        <f ca="1">SOLID!AL56</f>
        <v>-8.4149999999999991</v>
      </c>
      <c r="AI45" s="16">
        <f>SOLID!AM56</f>
        <v>0</v>
      </c>
      <c r="AJ45" s="16">
        <f>SOLID!AN56</f>
        <v>0</v>
      </c>
      <c r="AK45" s="16">
        <f>SOLID!AO56</f>
        <v>0</v>
      </c>
      <c r="AL45" s="16">
        <f>SOLID!AP56</f>
        <v>0</v>
      </c>
      <c r="AM45" s="16">
        <f>SOLID!AQ56</f>
        <v>0</v>
      </c>
      <c r="AN45" s="16">
        <f>SOLID!AR56</f>
        <v>0</v>
      </c>
      <c r="AO45" s="16">
        <f>SOLID!AS56</f>
        <v>0</v>
      </c>
      <c r="AP45" s="16">
        <f>SOLID!AT56</f>
        <v>0</v>
      </c>
      <c r="AQ45" s="16">
        <f>SOLID!AU56</f>
        <v>0</v>
      </c>
      <c r="AR45" s="16">
        <f>SOLID!AV56</f>
        <v>0</v>
      </c>
      <c r="AS45" s="16">
        <f>SOLID!AW56</f>
        <v>0</v>
      </c>
      <c r="AT45" s="16">
        <f>SOLID!AX56</f>
        <v>0</v>
      </c>
      <c r="AU45" s="16">
        <f>SOLID!AY56</f>
        <v>0</v>
      </c>
      <c r="AV45" s="16">
        <f>SOLID!AZ56</f>
        <v>0</v>
      </c>
      <c r="AW45" s="16">
        <f>SOLID!BA56</f>
        <v>0</v>
      </c>
      <c r="AX45" s="16">
        <f>SOLID!BB56</f>
        <v>0</v>
      </c>
      <c r="AY45" s="16">
        <f>SOLID!BC56</f>
        <v>0</v>
      </c>
      <c r="AZ45" s="16">
        <f>SOLID!BD56</f>
        <v>0</v>
      </c>
      <c r="BA45" s="16">
        <f>SOLID!BE56</f>
        <v>0</v>
      </c>
      <c r="BB45" s="16">
        <f>SOLID!BF56</f>
        <v>0</v>
      </c>
      <c r="BC45" s="16">
        <f>SOLID!BG56</f>
        <v>0</v>
      </c>
      <c r="BD45" s="16">
        <f>SOLID!BH56</f>
        <v>0</v>
      </c>
      <c r="BE45" s="16">
        <f>SOLID!BI56</f>
        <v>0</v>
      </c>
      <c r="BF45" s="16">
        <f>SOLID!BJ56</f>
        <v>0</v>
      </c>
      <c r="BG45" s="16">
        <f>SOLID!BK56</f>
        <v>0</v>
      </c>
      <c r="BH45" s="16">
        <f>SOLID!BL56</f>
        <v>0</v>
      </c>
      <c r="BI45" s="16">
        <f>SOLID!BM56</f>
        <v>0</v>
      </c>
      <c r="BJ45" s="16">
        <f>SOLID!BN56</f>
        <v>0</v>
      </c>
      <c r="BK45" s="16">
        <f>SOLID!BO56</f>
        <v>0</v>
      </c>
      <c r="BL45" s="16">
        <f>SOLID!BP56</f>
        <v>0</v>
      </c>
      <c r="BM45" s="16">
        <f>SOLID!BQ56</f>
        <v>0</v>
      </c>
      <c r="BN45" s="16">
        <f>SOLID!BR56</f>
        <v>0</v>
      </c>
      <c r="BO45" s="16">
        <f>SOLID!BS56</f>
        <v>0</v>
      </c>
      <c r="BP45" s="16">
        <f>SOLID!BT56</f>
        <v>0</v>
      </c>
      <c r="BQ45" s="16">
        <f>SOLID!BU56</f>
        <v>0</v>
      </c>
      <c r="BR45" s="16">
        <f>SOLID!BV56</f>
        <v>0</v>
      </c>
      <c r="BS45" s="16">
        <f>SOLID!BW56</f>
        <v>0</v>
      </c>
      <c r="BT45" s="16">
        <f>SOLID!BX56</f>
        <v>0</v>
      </c>
    </row>
    <row r="46" spans="1:72" ht="21.75" hidden="1" outlineLevel="1" thickBot="1" x14ac:dyDescent="0.4">
      <c r="A46" s="33" t="str">
        <f>SOLID!E57</f>
        <v>(1)GeSe[l]</v>
      </c>
      <c r="B46" s="16">
        <f ca="1">SOLID!F57</f>
        <v>-39.81</v>
      </c>
      <c r="C46" s="16">
        <f ca="1">SOLID!G57</f>
        <v>-38.06</v>
      </c>
      <c r="D46" s="16">
        <f ca="1">SOLID!H57</f>
        <v>-36.510000000000005</v>
      </c>
      <c r="E46" s="16">
        <f ca="1">SOLID!I57</f>
        <v>-35.129999999999995</v>
      </c>
      <c r="F46" s="16">
        <f ca="1">SOLID!J57</f>
        <v>-33.92</v>
      </c>
      <c r="G46" s="16">
        <f ca="1">SOLID!K57</f>
        <v>-32.83</v>
      </c>
      <c r="H46" s="16">
        <f ca="1">SOLID!L57</f>
        <v>-31.84</v>
      </c>
      <c r="I46" s="16">
        <f ca="1">SOLID!M57</f>
        <v>-30.950000000000003</v>
      </c>
      <c r="J46" s="16">
        <f ca="1">SOLID!N57</f>
        <v>-30.143000000000001</v>
      </c>
      <c r="K46" s="16">
        <f ca="1">SOLID!O57</f>
        <v>-27.568000000000001</v>
      </c>
      <c r="L46" s="16">
        <f ca="1">SOLID!P57</f>
        <v>-27.053000000000001</v>
      </c>
      <c r="M46" s="16">
        <f ca="1">SOLID!Q57</f>
        <v>-26.57</v>
      </c>
      <c r="N46" s="16">
        <f ca="1">SOLID!R57</f>
        <v>-26.384999999999998</v>
      </c>
      <c r="O46" s="16">
        <f ca="1">SOLID!S57</f>
        <v>-26.675000000000001</v>
      </c>
      <c r="P46" s="16">
        <f ca="1">SOLID!T57</f>
        <v>-26.955000000000002</v>
      </c>
      <c r="Q46" s="16">
        <f ca="1">SOLID!U57</f>
        <v>-27.236000000000001</v>
      </c>
      <c r="R46" s="16">
        <f ca="1">SOLID!V57</f>
        <v>-27.515999999999998</v>
      </c>
      <c r="S46" s="16">
        <f ca="1">SOLID!W57</f>
        <v>-27.797000000000001</v>
      </c>
      <c r="T46" s="16">
        <f ca="1">SOLID!X57</f>
        <v>-28.077999999999999</v>
      </c>
      <c r="U46" s="16">
        <f ca="1">SOLID!Y57</f>
        <v>-28.349</v>
      </c>
      <c r="V46" s="16">
        <f ca="1">SOLID!Z57</f>
        <v>-28.62</v>
      </c>
      <c r="W46" s="16">
        <f ca="1">SOLID!AA57</f>
        <v>-28.890999999999998</v>
      </c>
      <c r="X46" s="16">
        <f ca="1">SOLID!AB57</f>
        <v>-29.952999999999999</v>
      </c>
      <c r="Y46" s="16">
        <f ca="1">SOLID!AC57</f>
        <v>-30.213000000000001</v>
      </c>
      <c r="Z46" s="16">
        <f ca="1">SOLID!AD57</f>
        <v>-30.472000000000001</v>
      </c>
      <c r="AA46" s="16">
        <f ca="1">SOLID!AE57</f>
        <v>-30.731999999999999</v>
      </c>
      <c r="AB46" s="16">
        <f ca="1">SOLID!AF57</f>
        <v>-30.981000000000002</v>
      </c>
      <c r="AC46" s="16">
        <f ca="1">SOLID!AG57</f>
        <v>-31.23</v>
      </c>
      <c r="AD46" s="16">
        <f ca="1">SOLID!AH57</f>
        <v>-31.478000000000002</v>
      </c>
      <c r="AE46" s="16">
        <f ca="1">SOLID!AI57</f>
        <v>-31.726999999999997</v>
      </c>
      <c r="AF46" s="16">
        <f ca="1">SOLID!AJ57</f>
        <v>-31.975000000000001</v>
      </c>
      <c r="AG46" s="16">
        <f ca="1">SOLID!AK57</f>
        <v>-32.933999999999997</v>
      </c>
      <c r="AH46" s="16">
        <f ca="1">SOLID!AL57</f>
        <v>-33.170999999999999</v>
      </c>
      <c r="AI46" s="16">
        <f>SOLID!AM57</f>
        <v>0</v>
      </c>
      <c r="AJ46" s="16">
        <f>SOLID!AN57</f>
        <v>0</v>
      </c>
      <c r="AK46" s="16">
        <f>SOLID!AO57</f>
        <v>0</v>
      </c>
      <c r="AL46" s="16">
        <f>SOLID!AP57</f>
        <v>0</v>
      </c>
      <c r="AM46" s="16">
        <f>SOLID!AQ57</f>
        <v>0</v>
      </c>
      <c r="AN46" s="16">
        <f>SOLID!AR57</f>
        <v>0</v>
      </c>
      <c r="AO46" s="16">
        <f>SOLID!AS57</f>
        <v>0</v>
      </c>
      <c r="AP46" s="16">
        <f>SOLID!AT57</f>
        <v>0</v>
      </c>
      <c r="AQ46" s="16">
        <f>SOLID!AU57</f>
        <v>0</v>
      </c>
      <c r="AR46" s="16">
        <f>SOLID!AV57</f>
        <v>0</v>
      </c>
      <c r="AS46" s="16">
        <f>SOLID!AW57</f>
        <v>0</v>
      </c>
      <c r="AT46" s="16">
        <f>SOLID!AX57</f>
        <v>0</v>
      </c>
      <c r="AU46" s="16">
        <f>SOLID!AY57</f>
        <v>0</v>
      </c>
      <c r="AV46" s="16">
        <f>SOLID!AZ57</f>
        <v>0</v>
      </c>
      <c r="AW46" s="16">
        <f>SOLID!BA57</f>
        <v>0</v>
      </c>
      <c r="AX46" s="16">
        <f>SOLID!BB57</f>
        <v>0</v>
      </c>
      <c r="AY46" s="16">
        <f>SOLID!BC57</f>
        <v>0</v>
      </c>
      <c r="AZ46" s="16">
        <f>SOLID!BD57</f>
        <v>0</v>
      </c>
      <c r="BA46" s="16">
        <f>SOLID!BE57</f>
        <v>0</v>
      </c>
      <c r="BB46" s="16">
        <f>SOLID!BF57</f>
        <v>0</v>
      </c>
      <c r="BC46" s="16">
        <f>SOLID!BG57</f>
        <v>0</v>
      </c>
      <c r="BD46" s="16">
        <f>SOLID!BH57</f>
        <v>0</v>
      </c>
      <c r="BE46" s="16">
        <f>SOLID!BI57</f>
        <v>0</v>
      </c>
      <c r="BF46" s="16">
        <f>SOLID!BJ57</f>
        <v>0</v>
      </c>
      <c r="BG46" s="16">
        <f>SOLID!BK57</f>
        <v>0</v>
      </c>
      <c r="BH46" s="16">
        <f>SOLID!BL57</f>
        <v>0</v>
      </c>
      <c r="BI46" s="16">
        <f>SOLID!BM57</f>
        <v>0</v>
      </c>
      <c r="BJ46" s="16">
        <f>SOLID!BN57</f>
        <v>0</v>
      </c>
      <c r="BK46" s="16">
        <f>SOLID!BO57</f>
        <v>0</v>
      </c>
      <c r="BL46" s="16">
        <f>SOLID!BP57</f>
        <v>0</v>
      </c>
      <c r="BM46" s="16">
        <f>SOLID!BQ57</f>
        <v>0</v>
      </c>
      <c r="BN46" s="16">
        <f>SOLID!BR57</f>
        <v>0</v>
      </c>
      <c r="BO46" s="16">
        <f>SOLID!BS57</f>
        <v>0</v>
      </c>
      <c r="BP46" s="16">
        <f>SOLID!BT57</f>
        <v>0</v>
      </c>
      <c r="BQ46" s="16">
        <f>SOLID!BU57</f>
        <v>0</v>
      </c>
      <c r="BR46" s="16">
        <f>SOLID!BV57</f>
        <v>0</v>
      </c>
      <c r="BS46" s="16">
        <f>SOLID!BW57</f>
        <v>0</v>
      </c>
      <c r="BT46" s="16">
        <f>SOLID!BX57</f>
        <v>0</v>
      </c>
    </row>
    <row r="47" spans="1:72" ht="21.75" hidden="1" outlineLevel="1" thickBot="1" x14ac:dyDescent="0.4">
      <c r="A47" s="33" t="str">
        <f>SOLID!E58</f>
        <v>(1)Ge[l]</v>
      </c>
      <c r="B47" s="16">
        <f ca="1">SOLID!F58</f>
        <v>-16.29</v>
      </c>
      <c r="C47" s="16">
        <f ca="1">SOLID!G58</f>
        <v>-15.65</v>
      </c>
      <c r="D47" s="16">
        <f ca="1">SOLID!H58</f>
        <v>-15.09</v>
      </c>
      <c r="E47" s="16">
        <f ca="1">SOLID!I58</f>
        <v>-14.59</v>
      </c>
      <c r="F47" s="16">
        <f ca="1">SOLID!J58</f>
        <v>-14.16</v>
      </c>
      <c r="G47" s="16">
        <f ca="1">SOLID!K58</f>
        <v>-13.03</v>
      </c>
      <c r="H47" s="16">
        <f ca="1">SOLID!L58</f>
        <v>-11.8</v>
      </c>
      <c r="I47" s="16">
        <f ca="1">SOLID!M58</f>
        <v>-10.67</v>
      </c>
      <c r="J47" s="16">
        <f ca="1">SOLID!N58</f>
        <v>-9.6129999999999995</v>
      </c>
      <c r="K47" s="16">
        <f ca="1">SOLID!O58</f>
        <v>-6.0380000000000003</v>
      </c>
      <c r="L47" s="16">
        <f ca="1">SOLID!P58</f>
        <v>-5.2729999999999997</v>
      </c>
      <c r="M47" s="16">
        <f ca="1">SOLID!Q58</f>
        <v>-4.55</v>
      </c>
      <c r="N47" s="16">
        <f ca="1">SOLID!R58</f>
        <v>-4.1150000000000002</v>
      </c>
      <c r="O47" s="16">
        <f ca="1">SOLID!S58</f>
        <v>-4.1550000000000002</v>
      </c>
      <c r="P47" s="16">
        <f ca="1">SOLID!T58</f>
        <v>-4.1950000000000003</v>
      </c>
      <c r="Q47" s="16">
        <f ca="1">SOLID!U58</f>
        <v>-4.2359999999999998</v>
      </c>
      <c r="R47" s="16">
        <f ca="1">SOLID!V58</f>
        <v>-4.2759999999999998</v>
      </c>
      <c r="S47" s="16">
        <f ca="1">SOLID!W58</f>
        <v>-4.3170000000000002</v>
      </c>
      <c r="T47" s="16">
        <f ca="1">SOLID!X58</f>
        <v>-4.3579999999999997</v>
      </c>
      <c r="U47" s="16">
        <f ca="1">SOLID!Y58</f>
        <v>-4.399</v>
      </c>
      <c r="V47" s="16">
        <f ca="1">SOLID!Z58</f>
        <v>-4.4400000000000004</v>
      </c>
      <c r="W47" s="16">
        <f ca="1">SOLID!AA58</f>
        <v>-4.4809999999999999</v>
      </c>
      <c r="X47" s="16">
        <f ca="1">SOLID!AB58</f>
        <v>-4.6429999999999998</v>
      </c>
      <c r="Y47" s="16">
        <f ca="1">SOLID!AC58</f>
        <v>-4.6829999999999998</v>
      </c>
      <c r="Z47" s="16">
        <f ca="1">SOLID!AD58</f>
        <v>-4.7220000000000004</v>
      </c>
      <c r="AA47" s="16">
        <f ca="1">SOLID!AE58</f>
        <v>-4.7619999999999996</v>
      </c>
      <c r="AB47" s="16">
        <f ca="1">SOLID!AF58</f>
        <v>-4.8010000000000002</v>
      </c>
      <c r="AC47" s="16">
        <f ca="1">SOLID!AG58</f>
        <v>-4.84</v>
      </c>
      <c r="AD47" s="16">
        <f ca="1">SOLID!AH58</f>
        <v>-4.8780000000000001</v>
      </c>
      <c r="AE47" s="16">
        <f ca="1">SOLID!AI58</f>
        <v>-4.9169999999999998</v>
      </c>
      <c r="AF47" s="16">
        <f ca="1">SOLID!AJ58</f>
        <v>-4.9550000000000001</v>
      </c>
      <c r="AG47" s="16">
        <f ca="1">SOLID!AK58</f>
        <v>-5.1040000000000001</v>
      </c>
      <c r="AH47" s="16">
        <f ca="1">SOLID!AL58</f>
        <v>-5.141</v>
      </c>
      <c r="AI47" s="16">
        <f>SOLID!AM58</f>
        <v>0</v>
      </c>
      <c r="AJ47" s="16">
        <f>SOLID!AN58</f>
        <v>0</v>
      </c>
      <c r="AK47" s="16">
        <f>SOLID!AO58</f>
        <v>0</v>
      </c>
      <c r="AL47" s="16">
        <f>SOLID!AP58</f>
        <v>0</v>
      </c>
      <c r="AM47" s="16">
        <f>SOLID!AQ58</f>
        <v>0</v>
      </c>
      <c r="AN47" s="16">
        <f>SOLID!AR58</f>
        <v>0</v>
      </c>
      <c r="AO47" s="16">
        <f>SOLID!AS58</f>
        <v>0</v>
      </c>
      <c r="AP47" s="16">
        <f>SOLID!AT58</f>
        <v>0</v>
      </c>
      <c r="AQ47" s="16">
        <f>SOLID!AU58</f>
        <v>0</v>
      </c>
      <c r="AR47" s="16">
        <f>SOLID!AV58</f>
        <v>0</v>
      </c>
      <c r="AS47" s="16">
        <f>SOLID!AW58</f>
        <v>0</v>
      </c>
      <c r="AT47" s="16">
        <f>SOLID!AX58</f>
        <v>0</v>
      </c>
      <c r="AU47" s="16">
        <f>SOLID!AY58</f>
        <v>0</v>
      </c>
      <c r="AV47" s="16">
        <f>SOLID!AZ58</f>
        <v>0</v>
      </c>
      <c r="AW47" s="16">
        <f>SOLID!BA58</f>
        <v>0</v>
      </c>
      <c r="AX47" s="16">
        <f>SOLID!BB58</f>
        <v>0</v>
      </c>
      <c r="AY47" s="16">
        <f>SOLID!BC58</f>
        <v>0</v>
      </c>
      <c r="AZ47" s="16">
        <f>SOLID!BD58</f>
        <v>0</v>
      </c>
      <c r="BA47" s="16">
        <f>SOLID!BE58</f>
        <v>0</v>
      </c>
      <c r="BB47" s="16">
        <f>SOLID!BF58</f>
        <v>0</v>
      </c>
      <c r="BC47" s="16">
        <f>SOLID!BG58</f>
        <v>0</v>
      </c>
      <c r="BD47" s="16">
        <f>SOLID!BH58</f>
        <v>0</v>
      </c>
      <c r="BE47" s="16">
        <f>SOLID!BI58</f>
        <v>0</v>
      </c>
      <c r="BF47" s="16">
        <f>SOLID!BJ58</f>
        <v>0</v>
      </c>
      <c r="BG47" s="16">
        <f>SOLID!BK58</f>
        <v>0</v>
      </c>
      <c r="BH47" s="16">
        <f>SOLID!BL58</f>
        <v>0</v>
      </c>
      <c r="BI47" s="16">
        <f>SOLID!BM58</f>
        <v>0</v>
      </c>
      <c r="BJ47" s="16">
        <f>SOLID!BN58</f>
        <v>0</v>
      </c>
      <c r="BK47" s="16">
        <f>SOLID!BO58</f>
        <v>0</v>
      </c>
      <c r="BL47" s="16">
        <f>SOLID!BP58</f>
        <v>0</v>
      </c>
      <c r="BM47" s="16">
        <f>SOLID!BQ58</f>
        <v>0</v>
      </c>
      <c r="BN47" s="16">
        <f>SOLID!BR58</f>
        <v>0</v>
      </c>
      <c r="BO47" s="16">
        <f>SOLID!BS58</f>
        <v>0</v>
      </c>
      <c r="BP47" s="16">
        <f>SOLID!BT58</f>
        <v>0</v>
      </c>
      <c r="BQ47" s="16">
        <f>SOLID!BU58</f>
        <v>0</v>
      </c>
      <c r="BR47" s="16">
        <f>SOLID!BV58</f>
        <v>0</v>
      </c>
      <c r="BS47" s="16">
        <f>SOLID!BW58</f>
        <v>0</v>
      </c>
      <c r="BT47" s="16">
        <f>SOLID!BX58</f>
        <v>0</v>
      </c>
    </row>
    <row r="48" spans="1:72" ht="21.75" hidden="1" outlineLevel="1" thickBot="1" x14ac:dyDescent="0.4">
      <c r="A48" s="33" t="str">
        <f>SOLID!E59</f>
        <v>H (Ar)</v>
      </c>
      <c r="B48" s="16">
        <f ca="1">SOLID!F59</f>
        <v>-18.62</v>
      </c>
      <c r="C48" s="16">
        <f ca="1">SOLID!G59</f>
        <v>-18.61</v>
      </c>
      <c r="D48" s="16">
        <f ca="1">SOLID!H59</f>
        <v>-18.61</v>
      </c>
      <c r="E48" s="16">
        <f ca="1">SOLID!I59</f>
        <v>-18.62</v>
      </c>
      <c r="F48" s="16">
        <f ca="1">SOLID!J59</f>
        <v>-18.63</v>
      </c>
      <c r="G48" s="16">
        <f ca="1">SOLID!K59</f>
        <v>-18.649999999999999</v>
      </c>
      <c r="H48" s="16">
        <f ca="1">SOLID!L59</f>
        <v>-18.670000000000002</v>
      </c>
      <c r="I48" s="16">
        <f ca="1">SOLID!M59</f>
        <v>-18.690000000000001</v>
      </c>
      <c r="J48" s="16">
        <f ca="1">SOLID!N59</f>
        <v>-18.72</v>
      </c>
      <c r="K48" s="16">
        <f ca="1">SOLID!O59</f>
        <v>-18.84</v>
      </c>
      <c r="L48" s="16">
        <f ca="1">SOLID!P59</f>
        <v>-18.87</v>
      </c>
      <c r="M48" s="16">
        <f ca="1">SOLID!Q59</f>
        <v>-18.899999999999999</v>
      </c>
      <c r="N48" s="16">
        <f ca="1">SOLID!R59</f>
        <v>-18.940000000000001</v>
      </c>
      <c r="O48" s="16">
        <f ca="1">SOLID!S59</f>
        <v>-18.97</v>
      </c>
      <c r="P48" s="16">
        <f ca="1">SOLID!T59</f>
        <v>-19.010000000000002</v>
      </c>
      <c r="Q48" s="16">
        <f ca="1">SOLID!U59</f>
        <v>-19.04</v>
      </c>
      <c r="R48" s="16">
        <f ca="1">SOLID!V59</f>
        <v>-19.07</v>
      </c>
      <c r="S48" s="16">
        <f ca="1">SOLID!W59</f>
        <v>-19.11</v>
      </c>
      <c r="T48" s="16">
        <f ca="1">SOLID!X59</f>
        <v>-19.14</v>
      </c>
      <c r="U48" s="16">
        <f ca="1">SOLID!Y59</f>
        <v>-19.18</v>
      </c>
      <c r="V48" s="16">
        <f ca="1">SOLID!Z59</f>
        <v>-19.21</v>
      </c>
      <c r="W48" s="16">
        <f ca="1">SOLID!AA59</f>
        <v>-19.25</v>
      </c>
      <c r="X48" s="16">
        <f ca="1">SOLID!AB59</f>
        <v>-19.38</v>
      </c>
      <c r="Y48" s="16">
        <f ca="1">SOLID!AC59</f>
        <v>-19.420000000000002</v>
      </c>
      <c r="Z48" s="16">
        <f ca="1">SOLID!AD59</f>
        <v>-19.45</v>
      </c>
      <c r="AA48" s="16">
        <f ca="1">SOLID!AE59</f>
        <v>-19.48</v>
      </c>
      <c r="AB48" s="16">
        <f ca="1">SOLID!AF59</f>
        <v>-19.510000000000002</v>
      </c>
      <c r="AC48" s="16">
        <f ca="1">SOLID!AG59</f>
        <v>-19.55</v>
      </c>
      <c r="AD48" s="16">
        <f ca="1">SOLID!AH59</f>
        <v>-19.579999999999998</v>
      </c>
      <c r="AE48" s="16">
        <f ca="1">SOLID!AI59</f>
        <v>-19.61</v>
      </c>
      <c r="AF48" s="16">
        <f ca="1">SOLID!AJ59</f>
        <v>-19.64</v>
      </c>
      <c r="AG48" s="16">
        <f ca="1">SOLID!AK59</f>
        <v>-19.760000000000002</v>
      </c>
      <c r="AH48" s="16">
        <f ca="1">SOLID!AL59</f>
        <v>-19.79</v>
      </c>
      <c r="AI48" s="16">
        <f>SOLID!AM59</f>
        <v>0</v>
      </c>
      <c r="AJ48" s="16">
        <f>SOLID!AN59</f>
        <v>0</v>
      </c>
      <c r="AK48" s="16">
        <f>SOLID!AO59</f>
        <v>0</v>
      </c>
      <c r="AL48" s="16">
        <f>SOLID!AP59</f>
        <v>0</v>
      </c>
      <c r="AM48" s="16">
        <f>SOLID!AQ59</f>
        <v>0</v>
      </c>
      <c r="AN48" s="16">
        <f>SOLID!AR59</f>
        <v>0</v>
      </c>
      <c r="AO48" s="16">
        <f>SOLID!AS59</f>
        <v>0</v>
      </c>
      <c r="AP48" s="16">
        <f>SOLID!AT59</f>
        <v>0</v>
      </c>
      <c r="AQ48" s="16">
        <f>SOLID!AU59</f>
        <v>0</v>
      </c>
      <c r="AR48" s="16">
        <f>SOLID!AV59</f>
        <v>0</v>
      </c>
      <c r="AS48" s="16">
        <f>SOLID!AW59</f>
        <v>0</v>
      </c>
      <c r="AT48" s="16">
        <f>SOLID!AX59</f>
        <v>0</v>
      </c>
      <c r="AU48" s="16">
        <f>SOLID!AY59</f>
        <v>0</v>
      </c>
      <c r="AV48" s="16">
        <f>SOLID!AZ59</f>
        <v>0</v>
      </c>
      <c r="AW48" s="16">
        <f>SOLID!BA59</f>
        <v>0</v>
      </c>
      <c r="AX48" s="16">
        <f>SOLID!BB59</f>
        <v>0</v>
      </c>
      <c r="AY48" s="16">
        <f>SOLID!BC59</f>
        <v>0</v>
      </c>
      <c r="AZ48" s="16">
        <f>SOLID!BD59</f>
        <v>0</v>
      </c>
      <c r="BA48" s="16">
        <f>SOLID!BE59</f>
        <v>0</v>
      </c>
      <c r="BB48" s="16">
        <f>SOLID!BF59</f>
        <v>0</v>
      </c>
      <c r="BC48" s="16">
        <f>SOLID!BG59</f>
        <v>0</v>
      </c>
      <c r="BD48" s="16">
        <f>SOLID!BH59</f>
        <v>0</v>
      </c>
      <c r="BE48" s="16">
        <f>SOLID!BI59</f>
        <v>0</v>
      </c>
      <c r="BF48" s="16">
        <f>SOLID!BJ59</f>
        <v>0</v>
      </c>
      <c r="BG48" s="16">
        <f>SOLID!BK59</f>
        <v>0</v>
      </c>
      <c r="BH48" s="16">
        <f>SOLID!BL59</f>
        <v>0</v>
      </c>
      <c r="BI48" s="16">
        <f>SOLID!BM59</f>
        <v>0</v>
      </c>
      <c r="BJ48" s="16">
        <f>SOLID!BN59</f>
        <v>0</v>
      </c>
      <c r="BK48" s="16">
        <f>SOLID!BO59</f>
        <v>0</v>
      </c>
      <c r="BL48" s="16">
        <f>SOLID!BP59</f>
        <v>0</v>
      </c>
      <c r="BM48" s="16">
        <f>SOLID!BQ59</f>
        <v>0</v>
      </c>
      <c r="BN48" s="16">
        <f>SOLID!BR59</f>
        <v>0</v>
      </c>
      <c r="BO48" s="16">
        <f>SOLID!BS59</f>
        <v>0</v>
      </c>
      <c r="BP48" s="16">
        <f>SOLID!BT59</f>
        <v>0</v>
      </c>
      <c r="BQ48" s="16">
        <f>SOLID!BU59</f>
        <v>0</v>
      </c>
      <c r="BR48" s="16">
        <f>SOLID!BV59</f>
        <v>0</v>
      </c>
      <c r="BS48" s="16">
        <f>SOLID!BW59</f>
        <v>0</v>
      </c>
      <c r="BT48" s="16">
        <f>SOLID!BX59</f>
        <v>0</v>
      </c>
    </row>
    <row r="49" spans="1:72" ht="21.75" hidden="1" outlineLevel="1" thickBot="1" x14ac:dyDescent="0.4">
      <c r="A49" s="33" t="str">
        <f>SOLID!E60</f>
        <v>H (Ga)</v>
      </c>
      <c r="B49" s="16">
        <f ca="1">SOLID!F60</f>
        <v>-65.56</v>
      </c>
      <c r="C49" s="16">
        <f ca="1">SOLID!G60</f>
        <v>-62.08</v>
      </c>
      <c r="D49" s="16">
        <f ca="1">SOLID!H60</f>
        <v>-58.98</v>
      </c>
      <c r="E49" s="16">
        <f ca="1">SOLID!I60</f>
        <v>-56.2</v>
      </c>
      <c r="F49" s="16">
        <f ca="1">SOLID!J60</f>
        <v>-53.71</v>
      </c>
      <c r="G49" s="16">
        <f ca="1">SOLID!K60</f>
        <v>-50.33</v>
      </c>
      <c r="H49" s="16">
        <f ca="1">SOLID!L60</f>
        <v>-46.96</v>
      </c>
      <c r="I49" s="16">
        <f ca="1">SOLID!M60</f>
        <v>-43.86</v>
      </c>
      <c r="J49" s="16">
        <f ca="1">SOLID!N60</f>
        <v>-40.98</v>
      </c>
      <c r="K49" s="16">
        <f ca="1">SOLID!O60</f>
        <v>-31.32</v>
      </c>
      <c r="L49" s="16">
        <f ca="1">SOLID!P60</f>
        <v>-29.28</v>
      </c>
      <c r="M49" s="16">
        <f ca="1">SOLID!Q60</f>
        <v>-27.35</v>
      </c>
      <c r="N49" s="16">
        <f ca="1">SOLID!R60</f>
        <v>-25.53</v>
      </c>
      <c r="O49" s="16">
        <f ca="1">SOLID!S60</f>
        <v>-23.81</v>
      </c>
      <c r="P49" s="16">
        <f ca="1">SOLID!T60</f>
        <v>-22.18</v>
      </c>
      <c r="Q49" s="16">
        <f ca="1">SOLID!U60</f>
        <v>-20.63</v>
      </c>
      <c r="R49" s="16">
        <f ca="1">SOLID!V60</f>
        <v>-19.16</v>
      </c>
      <c r="S49" s="16">
        <f ca="1">SOLID!W60</f>
        <v>-17.850000000000001</v>
      </c>
      <c r="T49" s="16">
        <f ca="1">SOLID!X60</f>
        <v>-16.850000000000001</v>
      </c>
      <c r="U49" s="16">
        <f ca="1">SOLID!Y60</f>
        <v>-15.9</v>
      </c>
      <c r="V49" s="16">
        <f ca="1">SOLID!Z60</f>
        <v>-15</v>
      </c>
      <c r="W49" s="16">
        <f ca="1">SOLID!AA60</f>
        <v>-14.13</v>
      </c>
      <c r="X49" s="16">
        <f ca="1">SOLID!AB60</f>
        <v>-11</v>
      </c>
      <c r="Y49" s="16">
        <f ca="1">SOLID!AC60</f>
        <v>-10.29</v>
      </c>
      <c r="Z49" s="16">
        <f ca="1">SOLID!AD60</f>
        <v>-9.6059999999999999</v>
      </c>
      <c r="AA49" s="16">
        <f ca="1">SOLID!AE60</f>
        <v>-8.9480000000000004</v>
      </c>
      <c r="AB49" s="16">
        <f ca="1">SOLID!AF60</f>
        <v>-8.3130000000000006</v>
      </c>
      <c r="AC49" s="16">
        <f ca="1">SOLID!AG60</f>
        <v>-7.7149999999999999</v>
      </c>
      <c r="AD49" s="16">
        <f ca="1">SOLID!AH60</f>
        <v>-7.7969999999999997</v>
      </c>
      <c r="AE49" s="16">
        <f ca="1">SOLID!AI60</f>
        <v>-7.8789999999999996</v>
      </c>
      <c r="AF49" s="16">
        <f ca="1">SOLID!AJ60</f>
        <v>-7.9630000000000001</v>
      </c>
      <c r="AG49" s="16">
        <f ca="1">SOLID!AK60</f>
        <v>-8.3190000000000008</v>
      </c>
      <c r="AH49" s="16">
        <f ca="1">SOLID!AL60</f>
        <v>-8.4149999999999991</v>
      </c>
      <c r="AI49" s="16">
        <f>SOLID!AM60</f>
        <v>0</v>
      </c>
      <c r="AJ49" s="16">
        <f>SOLID!AN60</f>
        <v>0</v>
      </c>
      <c r="AK49" s="16">
        <f>SOLID!AO60</f>
        <v>0</v>
      </c>
      <c r="AL49" s="16">
        <f>SOLID!AP60</f>
        <v>0</v>
      </c>
      <c r="AM49" s="16">
        <f>SOLID!AQ60</f>
        <v>0</v>
      </c>
      <c r="AN49" s="16">
        <f>SOLID!AR60</f>
        <v>0</v>
      </c>
      <c r="AO49" s="16">
        <f>SOLID!AS60</f>
        <v>0</v>
      </c>
      <c r="AP49" s="16">
        <f>SOLID!AT60</f>
        <v>0</v>
      </c>
      <c r="AQ49" s="16">
        <f>SOLID!AU60</f>
        <v>0</v>
      </c>
      <c r="AR49" s="16">
        <f>SOLID!AV60</f>
        <v>0</v>
      </c>
      <c r="AS49" s="16">
        <f>SOLID!AW60</f>
        <v>0</v>
      </c>
      <c r="AT49" s="16">
        <f>SOLID!AX60</f>
        <v>0</v>
      </c>
      <c r="AU49" s="16">
        <f>SOLID!AY60</f>
        <v>0</v>
      </c>
      <c r="AV49" s="16">
        <f>SOLID!AZ60</f>
        <v>0</v>
      </c>
      <c r="AW49" s="16">
        <f>SOLID!BA60</f>
        <v>0</v>
      </c>
      <c r="AX49" s="16">
        <f>SOLID!BB60</f>
        <v>0</v>
      </c>
      <c r="AY49" s="16">
        <f>SOLID!BC60</f>
        <v>0</v>
      </c>
      <c r="AZ49" s="16">
        <f>SOLID!BD60</f>
        <v>0</v>
      </c>
      <c r="BA49" s="16">
        <f>SOLID!BE60</f>
        <v>0</v>
      </c>
      <c r="BB49" s="16">
        <f>SOLID!BF60</f>
        <v>0</v>
      </c>
      <c r="BC49" s="16">
        <f>SOLID!BG60</f>
        <v>0</v>
      </c>
      <c r="BD49" s="16">
        <f>SOLID!BH60</f>
        <v>0</v>
      </c>
      <c r="BE49" s="16">
        <f>SOLID!BI60</f>
        <v>0</v>
      </c>
      <c r="BF49" s="16">
        <f>SOLID!BJ60</f>
        <v>0</v>
      </c>
      <c r="BG49" s="16">
        <f>SOLID!BK60</f>
        <v>0</v>
      </c>
      <c r="BH49" s="16">
        <f>SOLID!BL60</f>
        <v>0</v>
      </c>
      <c r="BI49" s="16">
        <f>SOLID!BM60</f>
        <v>0</v>
      </c>
      <c r="BJ49" s="16">
        <f>SOLID!BN60</f>
        <v>0</v>
      </c>
      <c r="BK49" s="16">
        <f>SOLID!BO60</f>
        <v>0</v>
      </c>
      <c r="BL49" s="16">
        <f>SOLID!BP60</f>
        <v>0</v>
      </c>
      <c r="BM49" s="16">
        <f>SOLID!BQ60</f>
        <v>0</v>
      </c>
      <c r="BN49" s="16">
        <f>SOLID!BR60</f>
        <v>0</v>
      </c>
      <c r="BO49" s="16">
        <f>SOLID!BS60</f>
        <v>0</v>
      </c>
      <c r="BP49" s="16">
        <f>SOLID!BT60</f>
        <v>0</v>
      </c>
      <c r="BQ49" s="16">
        <f>SOLID!BU60</f>
        <v>0</v>
      </c>
      <c r="BR49" s="16">
        <f>SOLID!BV60</f>
        <v>0</v>
      </c>
      <c r="BS49" s="16">
        <f>SOLID!BW60</f>
        <v>0</v>
      </c>
      <c r="BT49" s="16">
        <f>SOLID!BX60</f>
        <v>0</v>
      </c>
    </row>
    <row r="50" spans="1:72" ht="21.75" hidden="1" outlineLevel="1" thickBot="1" x14ac:dyDescent="0.4">
      <c r="A50" s="33" t="str">
        <f>SOLID!E61</f>
        <v>H (Ge)</v>
      </c>
      <c r="B50" s="16">
        <f ca="1">SOLID!F61</f>
        <v>-16.29</v>
      </c>
      <c r="C50" s="16">
        <f ca="1">SOLID!G61</f>
        <v>-15.65</v>
      </c>
      <c r="D50" s="16">
        <f ca="1">SOLID!H61</f>
        <v>-15.09</v>
      </c>
      <c r="E50" s="16">
        <f ca="1">SOLID!I61</f>
        <v>-14.59</v>
      </c>
      <c r="F50" s="16">
        <f ca="1">SOLID!J61</f>
        <v>-14.16</v>
      </c>
      <c r="G50" s="16">
        <f ca="1">SOLID!K61</f>
        <v>-13.03</v>
      </c>
      <c r="H50" s="16">
        <f ca="1">SOLID!L61</f>
        <v>-11.8</v>
      </c>
      <c r="I50" s="16">
        <f ca="1">SOLID!M61</f>
        <v>-10.67</v>
      </c>
      <c r="J50" s="16">
        <f ca="1">SOLID!N61</f>
        <v>-9.6129999999999995</v>
      </c>
      <c r="K50" s="16">
        <f ca="1">SOLID!O61</f>
        <v>-6.0380000000000003</v>
      </c>
      <c r="L50" s="16">
        <f ca="1">SOLID!P61</f>
        <v>-5.2729999999999997</v>
      </c>
      <c r="M50" s="16">
        <f ca="1">SOLID!Q61</f>
        <v>-4.55</v>
      </c>
      <c r="N50" s="16">
        <f ca="1">SOLID!R61</f>
        <v>-4.1150000000000002</v>
      </c>
      <c r="O50" s="16">
        <f ca="1">SOLID!S61</f>
        <v>-4.1550000000000002</v>
      </c>
      <c r="P50" s="16">
        <f ca="1">SOLID!T61</f>
        <v>-4.1950000000000003</v>
      </c>
      <c r="Q50" s="16">
        <f ca="1">SOLID!U61</f>
        <v>-4.2359999999999998</v>
      </c>
      <c r="R50" s="16">
        <f ca="1">SOLID!V61</f>
        <v>-4.2759999999999998</v>
      </c>
      <c r="S50" s="16">
        <f ca="1">SOLID!W61</f>
        <v>-4.3170000000000002</v>
      </c>
      <c r="T50" s="16">
        <f ca="1">SOLID!X61</f>
        <v>-4.3579999999999997</v>
      </c>
      <c r="U50" s="16">
        <f ca="1">SOLID!Y61</f>
        <v>-4.399</v>
      </c>
      <c r="V50" s="16">
        <f ca="1">SOLID!Z61</f>
        <v>-4.4400000000000004</v>
      </c>
      <c r="W50" s="16">
        <f ca="1">SOLID!AA61</f>
        <v>-4.4809999999999999</v>
      </c>
      <c r="X50" s="16">
        <f ca="1">SOLID!AB61</f>
        <v>-4.6429999999999998</v>
      </c>
      <c r="Y50" s="16">
        <f ca="1">SOLID!AC61</f>
        <v>-4.6829999999999998</v>
      </c>
      <c r="Z50" s="16">
        <f ca="1">SOLID!AD61</f>
        <v>-4.7220000000000004</v>
      </c>
      <c r="AA50" s="16">
        <f ca="1">SOLID!AE61</f>
        <v>-4.7619999999999996</v>
      </c>
      <c r="AB50" s="16">
        <f ca="1">SOLID!AF61</f>
        <v>-4.8010000000000002</v>
      </c>
      <c r="AC50" s="16">
        <f ca="1">SOLID!AG61</f>
        <v>-4.84</v>
      </c>
      <c r="AD50" s="16">
        <f ca="1">SOLID!AH61</f>
        <v>-4.8780000000000001</v>
      </c>
      <c r="AE50" s="16">
        <f ca="1">SOLID!AI61</f>
        <v>-4.9169999999999998</v>
      </c>
      <c r="AF50" s="16">
        <f ca="1">SOLID!AJ61</f>
        <v>-4.9550000000000001</v>
      </c>
      <c r="AG50" s="16">
        <f ca="1">SOLID!AK61</f>
        <v>-5.1040000000000001</v>
      </c>
      <c r="AH50" s="16">
        <f ca="1">SOLID!AL61</f>
        <v>-5.141</v>
      </c>
      <c r="AI50" s="16">
        <f>SOLID!AM61</f>
        <v>0</v>
      </c>
      <c r="AJ50" s="16">
        <f>SOLID!AN61</f>
        <v>0</v>
      </c>
      <c r="AK50" s="16">
        <f>SOLID!AO61</f>
        <v>0</v>
      </c>
      <c r="AL50" s="16">
        <f>SOLID!AP61</f>
        <v>0</v>
      </c>
      <c r="AM50" s="16">
        <f>SOLID!AQ61</f>
        <v>0</v>
      </c>
      <c r="AN50" s="16">
        <f>SOLID!AR61</f>
        <v>0</v>
      </c>
      <c r="AO50" s="16">
        <f>SOLID!AS61</f>
        <v>0</v>
      </c>
      <c r="AP50" s="16">
        <f>SOLID!AT61</f>
        <v>0</v>
      </c>
      <c r="AQ50" s="16">
        <f>SOLID!AU61</f>
        <v>0</v>
      </c>
      <c r="AR50" s="16">
        <f>SOLID!AV61</f>
        <v>0</v>
      </c>
      <c r="AS50" s="16">
        <f>SOLID!AW61</f>
        <v>0</v>
      </c>
      <c r="AT50" s="16">
        <f>SOLID!AX61</f>
        <v>0</v>
      </c>
      <c r="AU50" s="16">
        <f>SOLID!AY61</f>
        <v>0</v>
      </c>
      <c r="AV50" s="16">
        <f>SOLID!AZ61</f>
        <v>0</v>
      </c>
      <c r="AW50" s="16">
        <f>SOLID!BA61</f>
        <v>0</v>
      </c>
      <c r="AX50" s="16">
        <f>SOLID!BB61</f>
        <v>0</v>
      </c>
      <c r="AY50" s="16">
        <f>SOLID!BC61</f>
        <v>0</v>
      </c>
      <c r="AZ50" s="16">
        <f>SOLID!BD61</f>
        <v>0</v>
      </c>
      <c r="BA50" s="16">
        <f>SOLID!BE61</f>
        <v>0</v>
      </c>
      <c r="BB50" s="16">
        <f>SOLID!BF61</f>
        <v>0</v>
      </c>
      <c r="BC50" s="16">
        <f>SOLID!BG61</f>
        <v>0</v>
      </c>
      <c r="BD50" s="16">
        <f>SOLID!BH61</f>
        <v>0</v>
      </c>
      <c r="BE50" s="16">
        <f>SOLID!BI61</f>
        <v>0</v>
      </c>
      <c r="BF50" s="16">
        <f>SOLID!BJ61</f>
        <v>0</v>
      </c>
      <c r="BG50" s="16">
        <f>SOLID!BK61</f>
        <v>0</v>
      </c>
      <c r="BH50" s="16">
        <f>SOLID!BL61</f>
        <v>0</v>
      </c>
      <c r="BI50" s="16">
        <f>SOLID!BM61</f>
        <v>0</v>
      </c>
      <c r="BJ50" s="16">
        <f>SOLID!BN61</f>
        <v>0</v>
      </c>
      <c r="BK50" s="16">
        <f>SOLID!BO61</f>
        <v>0</v>
      </c>
      <c r="BL50" s="16">
        <f>SOLID!BP61</f>
        <v>0</v>
      </c>
      <c r="BM50" s="16">
        <f>SOLID!BQ61</f>
        <v>0</v>
      </c>
      <c r="BN50" s="16">
        <f>SOLID!BR61</f>
        <v>0</v>
      </c>
      <c r="BO50" s="16">
        <f>SOLID!BS61</f>
        <v>0</v>
      </c>
      <c r="BP50" s="16">
        <f>SOLID!BT61</f>
        <v>0</v>
      </c>
      <c r="BQ50" s="16">
        <f>SOLID!BU61</f>
        <v>0</v>
      </c>
      <c r="BR50" s="16">
        <f>SOLID!BV61</f>
        <v>0</v>
      </c>
      <c r="BS50" s="16">
        <f>SOLID!BW61</f>
        <v>0</v>
      </c>
      <c r="BT50" s="16">
        <f>SOLID!BX61</f>
        <v>0</v>
      </c>
    </row>
    <row r="51" spans="1:72" ht="21.75" hidden="1" outlineLevel="1" thickBot="1" x14ac:dyDescent="0.4">
      <c r="A51" s="33" t="str">
        <f>SOLID!E62</f>
        <v>H (Se)</v>
      </c>
      <c r="B51" s="16">
        <f ca="1">SOLID!F62</f>
        <v>-23.52</v>
      </c>
      <c r="C51" s="16">
        <f ca="1">SOLID!G62</f>
        <v>-22.41</v>
      </c>
      <c r="D51" s="16">
        <f ca="1">SOLID!H62</f>
        <v>-21.42</v>
      </c>
      <c r="E51" s="16">
        <f ca="1">SOLID!I62</f>
        <v>-20.54</v>
      </c>
      <c r="F51" s="16">
        <f ca="1">SOLID!J62</f>
        <v>-19.760000000000002</v>
      </c>
      <c r="G51" s="16">
        <f ca="1">SOLID!K62</f>
        <v>-19.8</v>
      </c>
      <c r="H51" s="16">
        <f ca="1">SOLID!L62</f>
        <v>-20.04</v>
      </c>
      <c r="I51" s="16">
        <f ca="1">SOLID!M62</f>
        <v>-20.28</v>
      </c>
      <c r="J51" s="16">
        <f ca="1">SOLID!N62</f>
        <v>-20.53</v>
      </c>
      <c r="K51" s="16">
        <f ca="1">SOLID!O62</f>
        <v>-21.53</v>
      </c>
      <c r="L51" s="16">
        <f ca="1">SOLID!P62</f>
        <v>-21.78</v>
      </c>
      <c r="M51" s="16">
        <f ca="1">SOLID!Q62</f>
        <v>-22.02</v>
      </c>
      <c r="N51" s="16">
        <f ca="1">SOLID!R62</f>
        <v>-22.27</v>
      </c>
      <c r="O51" s="16">
        <f ca="1">SOLID!S62</f>
        <v>-22.52</v>
      </c>
      <c r="P51" s="16">
        <f ca="1">SOLID!T62</f>
        <v>-22.76</v>
      </c>
      <c r="Q51" s="16">
        <f ca="1">SOLID!U62</f>
        <v>-23</v>
      </c>
      <c r="R51" s="16">
        <f ca="1">SOLID!V62</f>
        <v>-23.24</v>
      </c>
      <c r="S51" s="16">
        <f ca="1">SOLID!W62</f>
        <v>-23.48</v>
      </c>
      <c r="T51" s="16">
        <f ca="1">SOLID!X62</f>
        <v>-23.72</v>
      </c>
      <c r="U51" s="16">
        <f ca="1">SOLID!Y62</f>
        <v>-23.95</v>
      </c>
      <c r="V51" s="16">
        <f ca="1">SOLID!Z62</f>
        <v>-24.18</v>
      </c>
      <c r="W51" s="16">
        <f ca="1">SOLID!AA62</f>
        <v>-24.41</v>
      </c>
      <c r="X51" s="16">
        <f ca="1">SOLID!AB62</f>
        <v>-25.31</v>
      </c>
      <c r="Y51" s="16">
        <f ca="1">SOLID!AC62</f>
        <v>-25.53</v>
      </c>
      <c r="Z51" s="16">
        <f ca="1">SOLID!AD62</f>
        <v>-25.75</v>
      </c>
      <c r="AA51" s="16">
        <f ca="1">SOLID!AE62</f>
        <v>-25.97</v>
      </c>
      <c r="AB51" s="16">
        <f ca="1">SOLID!AF62</f>
        <v>-26.18</v>
      </c>
      <c r="AC51" s="16">
        <f ca="1">SOLID!AG62</f>
        <v>-26.39</v>
      </c>
      <c r="AD51" s="16">
        <f ca="1">SOLID!AH62</f>
        <v>-26.6</v>
      </c>
      <c r="AE51" s="16">
        <f ca="1">SOLID!AI62</f>
        <v>-26.81</v>
      </c>
      <c r="AF51" s="16">
        <f ca="1">SOLID!AJ62</f>
        <v>-27.02</v>
      </c>
      <c r="AG51" s="16">
        <f ca="1">SOLID!AK62</f>
        <v>-27.83</v>
      </c>
      <c r="AH51" s="16">
        <f ca="1">SOLID!AL62</f>
        <v>-28.03</v>
      </c>
      <c r="AI51" s="16">
        <f>SOLID!AM62</f>
        <v>0</v>
      </c>
      <c r="AJ51" s="16">
        <f>SOLID!AN62</f>
        <v>0</v>
      </c>
      <c r="AK51" s="16">
        <f>SOLID!AO62</f>
        <v>0</v>
      </c>
      <c r="AL51" s="16">
        <f>SOLID!AP62</f>
        <v>0</v>
      </c>
      <c r="AM51" s="16">
        <f>SOLID!AQ62</f>
        <v>0</v>
      </c>
      <c r="AN51" s="16">
        <f>SOLID!AR62</f>
        <v>0</v>
      </c>
      <c r="AO51" s="16">
        <f>SOLID!AS62</f>
        <v>0</v>
      </c>
      <c r="AP51" s="16">
        <f>SOLID!AT62</f>
        <v>0</v>
      </c>
      <c r="AQ51" s="16">
        <f>SOLID!AU62</f>
        <v>0</v>
      </c>
      <c r="AR51" s="16">
        <f>SOLID!AV62</f>
        <v>0</v>
      </c>
      <c r="AS51" s="16">
        <f>SOLID!AW62</f>
        <v>0</v>
      </c>
      <c r="AT51" s="16">
        <f>SOLID!AX62</f>
        <v>0</v>
      </c>
      <c r="AU51" s="16">
        <f>SOLID!AY62</f>
        <v>0</v>
      </c>
      <c r="AV51" s="16">
        <f>SOLID!AZ62</f>
        <v>0</v>
      </c>
      <c r="AW51" s="16">
        <f>SOLID!BA62</f>
        <v>0</v>
      </c>
      <c r="AX51" s="16">
        <f>SOLID!BB62</f>
        <v>0</v>
      </c>
      <c r="AY51" s="16">
        <f>SOLID!BC62</f>
        <v>0</v>
      </c>
      <c r="AZ51" s="16">
        <f>SOLID!BD62</f>
        <v>0</v>
      </c>
      <c r="BA51" s="16">
        <f>SOLID!BE62</f>
        <v>0</v>
      </c>
      <c r="BB51" s="16">
        <f>SOLID!BF62</f>
        <v>0</v>
      </c>
      <c r="BC51" s="16">
        <f>SOLID!BG62</f>
        <v>0</v>
      </c>
      <c r="BD51" s="16">
        <f>SOLID!BH62</f>
        <v>0</v>
      </c>
      <c r="BE51" s="16">
        <f>SOLID!BI62</f>
        <v>0</v>
      </c>
      <c r="BF51" s="16">
        <f>SOLID!BJ62</f>
        <v>0</v>
      </c>
      <c r="BG51" s="16">
        <f>SOLID!BK62</f>
        <v>0</v>
      </c>
      <c r="BH51" s="16">
        <f>SOLID!BL62</f>
        <v>0</v>
      </c>
      <c r="BI51" s="16">
        <f>SOLID!BM62</f>
        <v>0</v>
      </c>
      <c r="BJ51" s="16">
        <f>SOLID!BN62</f>
        <v>0</v>
      </c>
      <c r="BK51" s="16">
        <f>SOLID!BO62</f>
        <v>0</v>
      </c>
      <c r="BL51" s="16">
        <f>SOLID!BP62</f>
        <v>0</v>
      </c>
      <c r="BM51" s="16">
        <f>SOLID!BQ62</f>
        <v>0</v>
      </c>
      <c r="BN51" s="16">
        <f>SOLID!BR62</f>
        <v>0</v>
      </c>
      <c r="BO51" s="16">
        <f>SOLID!BS62</f>
        <v>0</v>
      </c>
      <c r="BP51" s="16">
        <f>SOLID!BT62</f>
        <v>0</v>
      </c>
      <c r="BQ51" s="16">
        <f>SOLID!BU62</f>
        <v>0</v>
      </c>
      <c r="BR51" s="16">
        <f>SOLID!BV62</f>
        <v>0</v>
      </c>
      <c r="BS51" s="16">
        <f>SOLID!BW62</f>
        <v>0</v>
      </c>
      <c r="BT51" s="16">
        <f>SOLID!BX62</f>
        <v>0</v>
      </c>
    </row>
    <row r="52" spans="1:72" ht="21.75" hidden="1" outlineLevel="1" thickBot="1" x14ac:dyDescent="0.4">
      <c r="A52" s="33">
        <f>SOLID!E63</f>
        <v>0</v>
      </c>
      <c r="B52" s="16">
        <f ca="1">SOLID!F63</f>
        <v>0</v>
      </c>
      <c r="C52" s="16">
        <f ca="1">SOLID!G63</f>
        <v>0</v>
      </c>
      <c r="D52" s="16">
        <f ca="1">SOLID!H63</f>
        <v>0</v>
      </c>
      <c r="E52" s="16">
        <f ca="1">SOLID!I63</f>
        <v>0</v>
      </c>
      <c r="F52" s="16">
        <f ca="1">SOLID!J63</f>
        <v>0</v>
      </c>
      <c r="G52" s="16">
        <f ca="1">SOLID!K63</f>
        <v>0</v>
      </c>
      <c r="H52" s="16">
        <f ca="1">SOLID!L63</f>
        <v>0</v>
      </c>
      <c r="I52" s="16">
        <f ca="1">SOLID!M63</f>
        <v>0</v>
      </c>
      <c r="J52" s="16">
        <f ca="1">SOLID!N63</f>
        <v>0</v>
      </c>
      <c r="K52" s="16">
        <f ca="1">SOLID!O63</f>
        <v>0</v>
      </c>
      <c r="L52" s="16">
        <f ca="1">SOLID!P63</f>
        <v>0</v>
      </c>
      <c r="M52" s="16">
        <f ca="1">SOLID!Q63</f>
        <v>0</v>
      </c>
      <c r="N52" s="16">
        <f ca="1">SOLID!R63</f>
        <v>0</v>
      </c>
      <c r="O52" s="16">
        <f ca="1">SOLID!S63</f>
        <v>0</v>
      </c>
      <c r="P52" s="16">
        <f ca="1">SOLID!T63</f>
        <v>0</v>
      </c>
      <c r="Q52" s="16">
        <f ca="1">SOLID!U63</f>
        <v>0</v>
      </c>
      <c r="R52" s="16">
        <f ca="1">SOLID!V63</f>
        <v>0</v>
      </c>
      <c r="S52" s="16">
        <f ca="1">SOLID!W63</f>
        <v>0</v>
      </c>
      <c r="T52" s="16">
        <f ca="1">SOLID!X63</f>
        <v>0</v>
      </c>
      <c r="U52" s="16">
        <f ca="1">SOLID!Y63</f>
        <v>0</v>
      </c>
      <c r="V52" s="16">
        <f ca="1">SOLID!Z63</f>
        <v>0</v>
      </c>
      <c r="W52" s="16">
        <f ca="1">SOLID!AA63</f>
        <v>0</v>
      </c>
      <c r="X52" s="16">
        <f ca="1">SOLID!AB63</f>
        <v>0</v>
      </c>
      <c r="Y52" s="16">
        <f ca="1">SOLID!AC63</f>
        <v>0</v>
      </c>
      <c r="Z52" s="16">
        <f ca="1">SOLID!AD63</f>
        <v>0</v>
      </c>
      <c r="AA52" s="16">
        <f ca="1">SOLID!AE63</f>
        <v>0</v>
      </c>
      <c r="AB52" s="16">
        <f ca="1">SOLID!AF63</f>
        <v>0</v>
      </c>
      <c r="AC52" s="16">
        <f ca="1">SOLID!AG63</f>
        <v>0</v>
      </c>
      <c r="AD52" s="16">
        <f ca="1">SOLID!AH63</f>
        <v>0</v>
      </c>
      <c r="AE52" s="16">
        <f ca="1">SOLID!AI63</f>
        <v>0</v>
      </c>
      <c r="AF52" s="16">
        <f ca="1">SOLID!AJ63</f>
        <v>0</v>
      </c>
      <c r="AG52" s="16">
        <f ca="1">SOLID!AK63</f>
        <v>0</v>
      </c>
      <c r="AH52" s="16">
        <f ca="1">SOLID!AL63</f>
        <v>0</v>
      </c>
      <c r="AI52" s="16">
        <f>SOLID!AM63</f>
        <v>0</v>
      </c>
      <c r="AJ52" s="16">
        <f>SOLID!AN63</f>
        <v>0</v>
      </c>
      <c r="AK52" s="16">
        <f>SOLID!AO63</f>
        <v>0</v>
      </c>
      <c r="AL52" s="16">
        <f>SOLID!AP63</f>
        <v>0</v>
      </c>
      <c r="AM52" s="16">
        <f>SOLID!AQ63</f>
        <v>0</v>
      </c>
      <c r="AN52" s="16">
        <f>SOLID!AR63</f>
        <v>0</v>
      </c>
      <c r="AO52" s="16">
        <f>SOLID!AS63</f>
        <v>0</v>
      </c>
      <c r="AP52" s="16">
        <f>SOLID!AT63</f>
        <v>0</v>
      </c>
      <c r="AQ52" s="16">
        <f>SOLID!AU63</f>
        <v>0</v>
      </c>
      <c r="AR52" s="16">
        <f>SOLID!AV63</f>
        <v>0</v>
      </c>
      <c r="AS52" s="16">
        <f>SOLID!AW63</f>
        <v>0</v>
      </c>
      <c r="AT52" s="16">
        <f>SOLID!AX63</f>
        <v>0</v>
      </c>
      <c r="AU52" s="16">
        <f>SOLID!AY63</f>
        <v>0</v>
      </c>
      <c r="AV52" s="16">
        <f>SOLID!AZ63</f>
        <v>0</v>
      </c>
      <c r="AW52" s="16">
        <f>SOLID!BA63</f>
        <v>0</v>
      </c>
      <c r="AX52" s="16">
        <f>SOLID!BB63</f>
        <v>0</v>
      </c>
      <c r="AY52" s="16">
        <f>SOLID!BC63</f>
        <v>0</v>
      </c>
      <c r="AZ52" s="16">
        <f>SOLID!BD63</f>
        <v>0</v>
      </c>
      <c r="BA52" s="16">
        <f>SOLID!BE63</f>
        <v>0</v>
      </c>
      <c r="BB52" s="16">
        <f>SOLID!BF63</f>
        <v>0</v>
      </c>
      <c r="BC52" s="16">
        <f>SOLID!BG63</f>
        <v>0</v>
      </c>
      <c r="BD52" s="16">
        <f>SOLID!BH63</f>
        <v>0</v>
      </c>
      <c r="BE52" s="16">
        <f>SOLID!BI63</f>
        <v>0</v>
      </c>
      <c r="BF52" s="16">
        <f>SOLID!BJ63</f>
        <v>0</v>
      </c>
      <c r="BG52" s="16">
        <f>SOLID!BK63</f>
        <v>0</v>
      </c>
      <c r="BH52" s="16">
        <f>SOLID!BL63</f>
        <v>0</v>
      </c>
      <c r="BI52" s="16">
        <f>SOLID!BM63</f>
        <v>0</v>
      </c>
      <c r="BJ52" s="16">
        <f>SOLID!BN63</f>
        <v>0</v>
      </c>
      <c r="BK52" s="16">
        <f>SOLID!BO63</f>
        <v>0</v>
      </c>
      <c r="BL52" s="16">
        <f>SOLID!BP63</f>
        <v>0</v>
      </c>
      <c r="BM52" s="16">
        <f>SOLID!BQ63</f>
        <v>0</v>
      </c>
      <c r="BN52" s="16">
        <f>SOLID!BR63</f>
        <v>0</v>
      </c>
      <c r="BO52" s="16">
        <f>SOLID!BS63</f>
        <v>0</v>
      </c>
      <c r="BP52" s="16">
        <f>SOLID!BT63</f>
        <v>0</v>
      </c>
      <c r="BQ52" s="16">
        <f>SOLID!BU63</f>
        <v>0</v>
      </c>
      <c r="BR52" s="16">
        <f>SOLID!BV63</f>
        <v>0</v>
      </c>
      <c r="BS52" s="16">
        <f>SOLID!BW63</f>
        <v>0</v>
      </c>
      <c r="BT52" s="16">
        <f>SOLID!BX63</f>
        <v>0</v>
      </c>
    </row>
    <row r="53" spans="1:72" ht="21.75" hidden="1" outlineLevel="1" thickBot="1" x14ac:dyDescent="0.4">
      <c r="A53" s="33">
        <f>SOLID!E64</f>
        <v>0</v>
      </c>
      <c r="B53" s="16">
        <f ca="1">SOLID!F64</f>
        <v>0</v>
      </c>
      <c r="C53" s="16">
        <f ca="1">SOLID!G64</f>
        <v>0</v>
      </c>
      <c r="D53" s="16">
        <f ca="1">SOLID!H64</f>
        <v>0</v>
      </c>
      <c r="E53" s="16">
        <f ca="1">SOLID!I64</f>
        <v>0</v>
      </c>
      <c r="F53" s="16">
        <f ca="1">SOLID!J64</f>
        <v>0</v>
      </c>
      <c r="G53" s="16">
        <f ca="1">SOLID!K64</f>
        <v>0</v>
      </c>
      <c r="H53" s="16">
        <f ca="1">SOLID!L64</f>
        <v>0</v>
      </c>
      <c r="I53" s="16">
        <f ca="1">SOLID!M64</f>
        <v>0</v>
      </c>
      <c r="J53" s="16">
        <f ca="1">SOLID!N64</f>
        <v>0</v>
      </c>
      <c r="K53" s="16">
        <f ca="1">SOLID!O64</f>
        <v>0</v>
      </c>
      <c r="L53" s="16">
        <f ca="1">SOLID!P64</f>
        <v>0</v>
      </c>
      <c r="M53" s="16">
        <f ca="1">SOLID!Q64</f>
        <v>0</v>
      </c>
      <c r="N53" s="16">
        <f ca="1">SOLID!R64</f>
        <v>0</v>
      </c>
      <c r="O53" s="16">
        <f ca="1">SOLID!S64</f>
        <v>0</v>
      </c>
      <c r="P53" s="16">
        <f ca="1">SOLID!T64</f>
        <v>0</v>
      </c>
      <c r="Q53" s="16">
        <f ca="1">SOLID!U64</f>
        <v>0</v>
      </c>
      <c r="R53" s="16">
        <f ca="1">SOLID!V64</f>
        <v>0</v>
      </c>
      <c r="S53" s="16">
        <f ca="1">SOLID!W64</f>
        <v>0</v>
      </c>
      <c r="T53" s="16">
        <f ca="1">SOLID!X64</f>
        <v>0</v>
      </c>
      <c r="U53" s="16">
        <f ca="1">SOLID!Y64</f>
        <v>0</v>
      </c>
      <c r="V53" s="16">
        <f ca="1">SOLID!Z64</f>
        <v>0</v>
      </c>
      <c r="W53" s="16">
        <f ca="1">SOLID!AA64</f>
        <v>0</v>
      </c>
      <c r="X53" s="16">
        <f ca="1">SOLID!AB64</f>
        <v>0</v>
      </c>
      <c r="Y53" s="16">
        <f ca="1">SOLID!AC64</f>
        <v>0</v>
      </c>
      <c r="Z53" s="16">
        <f ca="1">SOLID!AD64</f>
        <v>0</v>
      </c>
      <c r="AA53" s="16">
        <f ca="1">SOLID!AE64</f>
        <v>0</v>
      </c>
      <c r="AB53" s="16">
        <f ca="1">SOLID!AF64</f>
        <v>0</v>
      </c>
      <c r="AC53" s="16">
        <f ca="1">SOLID!AG64</f>
        <v>0</v>
      </c>
      <c r="AD53" s="16">
        <f ca="1">SOLID!AH64</f>
        <v>0</v>
      </c>
      <c r="AE53" s="16">
        <f ca="1">SOLID!AI64</f>
        <v>0</v>
      </c>
      <c r="AF53" s="16">
        <f ca="1">SOLID!AJ64</f>
        <v>0</v>
      </c>
      <c r="AG53" s="16">
        <f ca="1">SOLID!AK64</f>
        <v>0</v>
      </c>
      <c r="AH53" s="16">
        <f ca="1">SOLID!AL64</f>
        <v>0</v>
      </c>
      <c r="AI53" s="16">
        <f>SOLID!AM64</f>
        <v>0</v>
      </c>
      <c r="AJ53" s="16">
        <f>SOLID!AN64</f>
        <v>0</v>
      </c>
      <c r="AK53" s="16">
        <f>SOLID!AO64</f>
        <v>0</v>
      </c>
      <c r="AL53" s="16">
        <f>SOLID!AP64</f>
        <v>0</v>
      </c>
      <c r="AM53" s="16">
        <f>SOLID!AQ64</f>
        <v>0</v>
      </c>
      <c r="AN53" s="16">
        <f>SOLID!AR64</f>
        <v>0</v>
      </c>
      <c r="AO53" s="16">
        <f>SOLID!AS64</f>
        <v>0</v>
      </c>
      <c r="AP53" s="16">
        <f>SOLID!AT64</f>
        <v>0</v>
      </c>
      <c r="AQ53" s="16">
        <f>SOLID!AU64</f>
        <v>0</v>
      </c>
      <c r="AR53" s="16">
        <f>SOLID!AV64</f>
        <v>0</v>
      </c>
      <c r="AS53" s="16">
        <f>SOLID!AW64</f>
        <v>0</v>
      </c>
      <c r="AT53" s="16">
        <f>SOLID!AX64</f>
        <v>0</v>
      </c>
      <c r="AU53" s="16">
        <f>SOLID!AY64</f>
        <v>0</v>
      </c>
      <c r="AV53" s="16">
        <f>SOLID!AZ64</f>
        <v>0</v>
      </c>
      <c r="AW53" s="16">
        <f>SOLID!BA64</f>
        <v>0</v>
      </c>
      <c r="AX53" s="16">
        <f>SOLID!BB64</f>
        <v>0</v>
      </c>
      <c r="AY53" s="16">
        <f>SOLID!BC64</f>
        <v>0</v>
      </c>
      <c r="AZ53" s="16">
        <f>SOLID!BD64</f>
        <v>0</v>
      </c>
      <c r="BA53" s="16">
        <f>SOLID!BE64</f>
        <v>0</v>
      </c>
      <c r="BB53" s="16">
        <f>SOLID!BF64</f>
        <v>0</v>
      </c>
      <c r="BC53" s="16">
        <f>SOLID!BG64</f>
        <v>0</v>
      </c>
      <c r="BD53" s="16">
        <f>SOLID!BH64</f>
        <v>0</v>
      </c>
      <c r="BE53" s="16">
        <f>SOLID!BI64</f>
        <v>0</v>
      </c>
      <c r="BF53" s="16">
        <f>SOLID!BJ64</f>
        <v>0</v>
      </c>
      <c r="BG53" s="16">
        <f>SOLID!BK64</f>
        <v>0</v>
      </c>
      <c r="BH53" s="16">
        <f>SOLID!BL64</f>
        <v>0</v>
      </c>
      <c r="BI53" s="16">
        <f>SOLID!BM64</f>
        <v>0</v>
      </c>
      <c r="BJ53" s="16">
        <f>SOLID!BN64</f>
        <v>0</v>
      </c>
      <c r="BK53" s="16">
        <f>SOLID!BO64</f>
        <v>0</v>
      </c>
      <c r="BL53" s="16">
        <f>SOLID!BP64</f>
        <v>0</v>
      </c>
      <c r="BM53" s="16">
        <f>SOLID!BQ64</f>
        <v>0</v>
      </c>
      <c r="BN53" s="16">
        <f>SOLID!BR64</f>
        <v>0</v>
      </c>
      <c r="BO53" s="16">
        <f>SOLID!BS64</f>
        <v>0</v>
      </c>
      <c r="BP53" s="16">
        <f>SOLID!BT64</f>
        <v>0</v>
      </c>
      <c r="BQ53" s="16">
        <f>SOLID!BU64</f>
        <v>0</v>
      </c>
      <c r="BR53" s="16">
        <f>SOLID!BV64</f>
        <v>0</v>
      </c>
      <c r="BS53" s="16">
        <f>SOLID!BW64</f>
        <v>0</v>
      </c>
      <c r="BT53" s="16">
        <f>SOLID!BX64</f>
        <v>0</v>
      </c>
    </row>
    <row r="54" spans="1:72" ht="21.75" hidden="1" outlineLevel="1" thickBot="1" x14ac:dyDescent="0.4">
      <c r="A54" s="33">
        <f>SOLID!E65</f>
        <v>0</v>
      </c>
      <c r="B54" s="16">
        <f ca="1">SOLID!F65</f>
        <v>0</v>
      </c>
      <c r="C54" s="16">
        <f ca="1">SOLID!G65</f>
        <v>0</v>
      </c>
      <c r="D54" s="16">
        <f ca="1">SOLID!H65</f>
        <v>0</v>
      </c>
      <c r="E54" s="16">
        <f ca="1">SOLID!I65</f>
        <v>0</v>
      </c>
      <c r="F54" s="16">
        <f ca="1">SOLID!J65</f>
        <v>0</v>
      </c>
      <c r="G54" s="16">
        <f ca="1">SOLID!K65</f>
        <v>0</v>
      </c>
      <c r="H54" s="16">
        <f ca="1">SOLID!L65</f>
        <v>0</v>
      </c>
      <c r="I54" s="16">
        <f ca="1">SOLID!M65</f>
        <v>0</v>
      </c>
      <c r="J54" s="16">
        <f ca="1">SOLID!N65</f>
        <v>0</v>
      </c>
      <c r="K54" s="16">
        <f ca="1">SOLID!O65</f>
        <v>0</v>
      </c>
      <c r="L54" s="16">
        <f ca="1">SOLID!P65</f>
        <v>0</v>
      </c>
      <c r="M54" s="16">
        <f ca="1">SOLID!Q65</f>
        <v>0</v>
      </c>
      <c r="N54" s="16">
        <f ca="1">SOLID!R65</f>
        <v>0</v>
      </c>
      <c r="O54" s="16">
        <f ca="1">SOLID!S65</f>
        <v>0</v>
      </c>
      <c r="P54" s="16">
        <f ca="1">SOLID!T65</f>
        <v>0</v>
      </c>
      <c r="Q54" s="16">
        <f ca="1">SOLID!U65</f>
        <v>0</v>
      </c>
      <c r="R54" s="16">
        <f ca="1">SOLID!V65</f>
        <v>0</v>
      </c>
      <c r="S54" s="16">
        <f ca="1">SOLID!W65</f>
        <v>0</v>
      </c>
      <c r="T54" s="16">
        <f ca="1">SOLID!X65</f>
        <v>0</v>
      </c>
      <c r="U54" s="16">
        <f ca="1">SOLID!Y65</f>
        <v>0</v>
      </c>
      <c r="V54" s="16">
        <f ca="1">SOLID!Z65</f>
        <v>0</v>
      </c>
      <c r="W54" s="16">
        <f ca="1">SOLID!AA65</f>
        <v>0</v>
      </c>
      <c r="X54" s="16">
        <f ca="1">SOLID!AB65</f>
        <v>0</v>
      </c>
      <c r="Y54" s="16">
        <f ca="1">SOLID!AC65</f>
        <v>0</v>
      </c>
      <c r="Z54" s="16">
        <f ca="1">SOLID!AD65</f>
        <v>0</v>
      </c>
      <c r="AA54" s="16">
        <f ca="1">SOLID!AE65</f>
        <v>0</v>
      </c>
      <c r="AB54" s="16">
        <f ca="1">SOLID!AF65</f>
        <v>0</v>
      </c>
      <c r="AC54" s="16">
        <f ca="1">SOLID!AG65</f>
        <v>0</v>
      </c>
      <c r="AD54" s="16">
        <f ca="1">SOLID!AH65</f>
        <v>0</v>
      </c>
      <c r="AE54" s="16">
        <f ca="1">SOLID!AI65</f>
        <v>0</v>
      </c>
      <c r="AF54" s="16">
        <f ca="1">SOLID!AJ65</f>
        <v>0</v>
      </c>
      <c r="AG54" s="16">
        <f ca="1">SOLID!AK65</f>
        <v>0</v>
      </c>
      <c r="AH54" s="16">
        <f ca="1">SOLID!AL65</f>
        <v>0</v>
      </c>
      <c r="AI54" s="16">
        <f>SOLID!AM65</f>
        <v>0</v>
      </c>
      <c r="AJ54" s="16">
        <f>SOLID!AN65</f>
        <v>0</v>
      </c>
      <c r="AK54" s="16">
        <f>SOLID!AO65</f>
        <v>0</v>
      </c>
      <c r="AL54" s="16">
        <f>SOLID!AP65</f>
        <v>0</v>
      </c>
      <c r="AM54" s="16">
        <f>SOLID!AQ65</f>
        <v>0</v>
      </c>
      <c r="AN54" s="16">
        <f>SOLID!AR65</f>
        <v>0</v>
      </c>
      <c r="AO54" s="16">
        <f>SOLID!AS65</f>
        <v>0</v>
      </c>
      <c r="AP54" s="16">
        <f>SOLID!AT65</f>
        <v>0</v>
      </c>
      <c r="AQ54" s="16">
        <f>SOLID!AU65</f>
        <v>0</v>
      </c>
      <c r="AR54" s="16">
        <f>SOLID!AV65</f>
        <v>0</v>
      </c>
      <c r="AS54" s="16">
        <f>SOLID!AW65</f>
        <v>0</v>
      </c>
      <c r="AT54" s="16">
        <f>SOLID!AX65</f>
        <v>0</v>
      </c>
      <c r="AU54" s="16">
        <f>SOLID!AY65</f>
        <v>0</v>
      </c>
      <c r="AV54" s="16">
        <f>SOLID!AZ65</f>
        <v>0</v>
      </c>
      <c r="AW54" s="16">
        <f>SOLID!BA65</f>
        <v>0</v>
      </c>
      <c r="AX54" s="16">
        <f>SOLID!BB65</f>
        <v>0</v>
      </c>
      <c r="AY54" s="16">
        <f>SOLID!BC65</f>
        <v>0</v>
      </c>
      <c r="AZ54" s="16">
        <f>SOLID!BD65</f>
        <v>0</v>
      </c>
      <c r="BA54" s="16">
        <f>SOLID!BE65</f>
        <v>0</v>
      </c>
      <c r="BB54" s="16">
        <f>SOLID!BF65</f>
        <v>0</v>
      </c>
      <c r="BC54" s="16">
        <f>SOLID!BG65</f>
        <v>0</v>
      </c>
      <c r="BD54" s="16">
        <f>SOLID!BH65</f>
        <v>0</v>
      </c>
      <c r="BE54" s="16">
        <f>SOLID!BI65</f>
        <v>0</v>
      </c>
      <c r="BF54" s="16">
        <f>SOLID!BJ65</f>
        <v>0</v>
      </c>
      <c r="BG54" s="16">
        <f>SOLID!BK65</f>
        <v>0</v>
      </c>
      <c r="BH54" s="16">
        <f>SOLID!BL65</f>
        <v>0</v>
      </c>
      <c r="BI54" s="16">
        <f>SOLID!BM65</f>
        <v>0</v>
      </c>
      <c r="BJ54" s="16">
        <f>SOLID!BN65</f>
        <v>0</v>
      </c>
      <c r="BK54" s="16">
        <f>SOLID!BO65</f>
        <v>0</v>
      </c>
      <c r="BL54" s="16">
        <f>SOLID!BP65</f>
        <v>0</v>
      </c>
      <c r="BM54" s="16">
        <f>SOLID!BQ65</f>
        <v>0</v>
      </c>
      <c r="BN54" s="16">
        <f>SOLID!BR65</f>
        <v>0</v>
      </c>
      <c r="BO54" s="16">
        <f>SOLID!BS65</f>
        <v>0</v>
      </c>
      <c r="BP54" s="16">
        <f>SOLID!BT65</f>
        <v>0</v>
      </c>
      <c r="BQ54" s="16">
        <f>SOLID!BU65</f>
        <v>0</v>
      </c>
      <c r="BR54" s="16">
        <f>SOLID!BV65</f>
        <v>0</v>
      </c>
      <c r="BS54" s="16">
        <f>SOLID!BW65</f>
        <v>0</v>
      </c>
      <c r="BT54" s="16">
        <f>SOLID!BX65</f>
        <v>0</v>
      </c>
    </row>
    <row r="55" spans="1:72" ht="21.75" hidden="1" outlineLevel="1" thickBot="1" x14ac:dyDescent="0.4">
      <c r="A55" s="33">
        <f>SOLID!E66</f>
        <v>0</v>
      </c>
      <c r="B55" s="16">
        <f ca="1">SOLID!F66</f>
        <v>0</v>
      </c>
      <c r="C55" s="16">
        <f ca="1">SOLID!G66</f>
        <v>0</v>
      </c>
      <c r="D55" s="16">
        <f ca="1">SOLID!H66</f>
        <v>0</v>
      </c>
      <c r="E55" s="16">
        <f ca="1">SOLID!I66</f>
        <v>0</v>
      </c>
      <c r="F55" s="16">
        <f ca="1">SOLID!J66</f>
        <v>0</v>
      </c>
      <c r="G55" s="16">
        <f ca="1">SOLID!K66</f>
        <v>0</v>
      </c>
      <c r="H55" s="16">
        <f ca="1">SOLID!L66</f>
        <v>0</v>
      </c>
      <c r="I55" s="16">
        <f ca="1">SOLID!M66</f>
        <v>0</v>
      </c>
      <c r="J55" s="16">
        <f ca="1">SOLID!N66</f>
        <v>0</v>
      </c>
      <c r="K55" s="16">
        <f ca="1">SOLID!O66</f>
        <v>0</v>
      </c>
      <c r="L55" s="16">
        <f ca="1">SOLID!P66</f>
        <v>0</v>
      </c>
      <c r="M55" s="16">
        <f ca="1">SOLID!Q66</f>
        <v>0</v>
      </c>
      <c r="N55" s="16">
        <f ca="1">SOLID!R66</f>
        <v>0</v>
      </c>
      <c r="O55" s="16">
        <f ca="1">SOLID!S66</f>
        <v>0</v>
      </c>
      <c r="P55" s="16">
        <f ca="1">SOLID!T66</f>
        <v>0</v>
      </c>
      <c r="Q55" s="16">
        <f ca="1">SOLID!U66</f>
        <v>0</v>
      </c>
      <c r="R55" s="16">
        <f ca="1">SOLID!V66</f>
        <v>0</v>
      </c>
      <c r="S55" s="16">
        <f ca="1">SOLID!W66</f>
        <v>0</v>
      </c>
      <c r="T55" s="16">
        <f ca="1">SOLID!X66</f>
        <v>0</v>
      </c>
      <c r="U55" s="16">
        <f ca="1">SOLID!Y66</f>
        <v>0</v>
      </c>
      <c r="V55" s="16">
        <f ca="1">SOLID!Z66</f>
        <v>0</v>
      </c>
      <c r="W55" s="16">
        <f ca="1">SOLID!AA66</f>
        <v>0</v>
      </c>
      <c r="X55" s="16">
        <f ca="1">SOLID!AB66</f>
        <v>0</v>
      </c>
      <c r="Y55" s="16">
        <f ca="1">SOLID!AC66</f>
        <v>0</v>
      </c>
      <c r="Z55" s="16">
        <f ca="1">SOLID!AD66</f>
        <v>0</v>
      </c>
      <c r="AA55" s="16">
        <f ca="1">SOLID!AE66</f>
        <v>0</v>
      </c>
      <c r="AB55" s="16">
        <f ca="1">SOLID!AF66</f>
        <v>0</v>
      </c>
      <c r="AC55" s="16">
        <f ca="1">SOLID!AG66</f>
        <v>0</v>
      </c>
      <c r="AD55" s="16">
        <f ca="1">SOLID!AH66</f>
        <v>0</v>
      </c>
      <c r="AE55" s="16">
        <f ca="1">SOLID!AI66</f>
        <v>0</v>
      </c>
      <c r="AF55" s="16">
        <f ca="1">SOLID!AJ66</f>
        <v>0</v>
      </c>
      <c r="AG55" s="16">
        <f ca="1">SOLID!AK66</f>
        <v>0</v>
      </c>
      <c r="AH55" s="16">
        <f ca="1">SOLID!AL66</f>
        <v>0</v>
      </c>
      <c r="AI55" s="16">
        <f>SOLID!AM66</f>
        <v>0</v>
      </c>
      <c r="AJ55" s="16">
        <f>SOLID!AN66</f>
        <v>0</v>
      </c>
      <c r="AK55" s="16">
        <f>SOLID!AO66</f>
        <v>0</v>
      </c>
      <c r="AL55" s="16">
        <f>SOLID!AP66</f>
        <v>0</v>
      </c>
      <c r="AM55" s="16">
        <f>SOLID!AQ66</f>
        <v>0</v>
      </c>
      <c r="AN55" s="16">
        <f>SOLID!AR66</f>
        <v>0</v>
      </c>
      <c r="AO55" s="16">
        <f>SOLID!AS66</f>
        <v>0</v>
      </c>
      <c r="AP55" s="16">
        <f>SOLID!AT66</f>
        <v>0</v>
      </c>
      <c r="AQ55" s="16">
        <f>SOLID!AU66</f>
        <v>0</v>
      </c>
      <c r="AR55" s="16">
        <f>SOLID!AV66</f>
        <v>0</v>
      </c>
      <c r="AS55" s="16">
        <f>SOLID!AW66</f>
        <v>0</v>
      </c>
      <c r="AT55" s="16">
        <f>SOLID!AX66</f>
        <v>0</v>
      </c>
      <c r="AU55" s="16">
        <f>SOLID!AY66</f>
        <v>0</v>
      </c>
      <c r="AV55" s="16">
        <f>SOLID!AZ66</f>
        <v>0</v>
      </c>
      <c r="AW55" s="16">
        <f>SOLID!BA66</f>
        <v>0</v>
      </c>
      <c r="AX55" s="16">
        <f>SOLID!BB66</f>
        <v>0</v>
      </c>
      <c r="AY55" s="16">
        <f>SOLID!BC66</f>
        <v>0</v>
      </c>
      <c r="AZ55" s="16">
        <f>SOLID!BD66</f>
        <v>0</v>
      </c>
      <c r="BA55" s="16">
        <f>SOLID!BE66</f>
        <v>0</v>
      </c>
      <c r="BB55" s="16">
        <f>SOLID!BF66</f>
        <v>0</v>
      </c>
      <c r="BC55" s="16">
        <f>SOLID!BG66</f>
        <v>0</v>
      </c>
      <c r="BD55" s="16">
        <f>SOLID!BH66</f>
        <v>0</v>
      </c>
      <c r="BE55" s="16">
        <f>SOLID!BI66</f>
        <v>0</v>
      </c>
      <c r="BF55" s="16">
        <f>SOLID!BJ66</f>
        <v>0</v>
      </c>
      <c r="BG55" s="16">
        <f>SOLID!BK66</f>
        <v>0</v>
      </c>
      <c r="BH55" s="16">
        <f>SOLID!BL66</f>
        <v>0</v>
      </c>
      <c r="BI55" s="16">
        <f>SOLID!BM66</f>
        <v>0</v>
      </c>
      <c r="BJ55" s="16">
        <f>SOLID!BN66</f>
        <v>0</v>
      </c>
      <c r="BK55" s="16">
        <f>SOLID!BO66</f>
        <v>0</v>
      </c>
      <c r="BL55" s="16">
        <f>SOLID!BP66</f>
        <v>0</v>
      </c>
      <c r="BM55" s="16">
        <f>SOLID!BQ66</f>
        <v>0</v>
      </c>
      <c r="BN55" s="16">
        <f>SOLID!BR66</f>
        <v>0</v>
      </c>
      <c r="BO55" s="16">
        <f>SOLID!BS66</f>
        <v>0</v>
      </c>
      <c r="BP55" s="16">
        <f>SOLID!BT66</f>
        <v>0</v>
      </c>
      <c r="BQ55" s="16">
        <f>SOLID!BU66</f>
        <v>0</v>
      </c>
      <c r="BR55" s="16">
        <f>SOLID!BV66</f>
        <v>0</v>
      </c>
      <c r="BS55" s="16">
        <f>SOLID!BW66</f>
        <v>0</v>
      </c>
      <c r="BT55" s="16">
        <f>SOLID!BX66</f>
        <v>0</v>
      </c>
    </row>
    <row r="56" spans="1:72" ht="21.75" hidden="1" outlineLevel="1" thickBot="1" x14ac:dyDescent="0.4">
      <c r="A56" s="33">
        <f>SOLID!E67</f>
        <v>0</v>
      </c>
      <c r="B56" s="16">
        <f ca="1">SOLID!F67</f>
        <v>0</v>
      </c>
      <c r="C56" s="16">
        <f ca="1">SOLID!G67</f>
        <v>0</v>
      </c>
      <c r="D56" s="16">
        <f ca="1">SOLID!H67</f>
        <v>0</v>
      </c>
      <c r="E56" s="16">
        <f ca="1">SOLID!I67</f>
        <v>0</v>
      </c>
      <c r="F56" s="16">
        <f ca="1">SOLID!J67</f>
        <v>0</v>
      </c>
      <c r="G56" s="16">
        <f ca="1">SOLID!K67</f>
        <v>0</v>
      </c>
      <c r="H56" s="16">
        <f ca="1">SOLID!L67</f>
        <v>0</v>
      </c>
      <c r="I56" s="16">
        <f ca="1">SOLID!M67</f>
        <v>0</v>
      </c>
      <c r="J56" s="16">
        <f ca="1">SOLID!N67</f>
        <v>0</v>
      </c>
      <c r="K56" s="16">
        <f ca="1">SOLID!O67</f>
        <v>0</v>
      </c>
      <c r="L56" s="16">
        <f ca="1">SOLID!P67</f>
        <v>0</v>
      </c>
      <c r="M56" s="16">
        <f ca="1">SOLID!Q67</f>
        <v>0</v>
      </c>
      <c r="N56" s="16">
        <f ca="1">SOLID!R67</f>
        <v>0</v>
      </c>
      <c r="O56" s="16">
        <f ca="1">SOLID!S67</f>
        <v>0</v>
      </c>
      <c r="P56" s="16">
        <f ca="1">SOLID!T67</f>
        <v>0</v>
      </c>
      <c r="Q56" s="16">
        <f ca="1">SOLID!U67</f>
        <v>0</v>
      </c>
      <c r="R56" s="16">
        <f ca="1">SOLID!V67</f>
        <v>0</v>
      </c>
      <c r="S56" s="16">
        <f ca="1">SOLID!W67</f>
        <v>0</v>
      </c>
      <c r="T56" s="16">
        <f ca="1">SOLID!X67</f>
        <v>0</v>
      </c>
      <c r="U56" s="16">
        <f ca="1">SOLID!Y67</f>
        <v>0</v>
      </c>
      <c r="V56" s="16">
        <f ca="1">SOLID!Z67</f>
        <v>0</v>
      </c>
      <c r="W56" s="16">
        <f ca="1">SOLID!AA67</f>
        <v>0</v>
      </c>
      <c r="X56" s="16">
        <f ca="1">SOLID!AB67</f>
        <v>0</v>
      </c>
      <c r="Y56" s="16">
        <f ca="1">SOLID!AC67</f>
        <v>0</v>
      </c>
      <c r="Z56" s="16">
        <f ca="1">SOLID!AD67</f>
        <v>0</v>
      </c>
      <c r="AA56" s="16">
        <f ca="1">SOLID!AE67</f>
        <v>0</v>
      </c>
      <c r="AB56" s="16">
        <f ca="1">SOLID!AF67</f>
        <v>0</v>
      </c>
      <c r="AC56" s="16">
        <f ca="1">SOLID!AG67</f>
        <v>0</v>
      </c>
      <c r="AD56" s="16">
        <f ca="1">SOLID!AH67</f>
        <v>0</v>
      </c>
      <c r="AE56" s="16">
        <f ca="1">SOLID!AI67</f>
        <v>0</v>
      </c>
      <c r="AF56" s="16">
        <f ca="1">SOLID!AJ67</f>
        <v>0</v>
      </c>
      <c r="AG56" s="16">
        <f ca="1">SOLID!AK67</f>
        <v>0</v>
      </c>
      <c r="AH56" s="16">
        <f ca="1">SOLID!AL67</f>
        <v>0</v>
      </c>
      <c r="AI56" s="16">
        <f>SOLID!AM67</f>
        <v>0</v>
      </c>
      <c r="AJ56" s="16">
        <f>SOLID!AN67</f>
        <v>0</v>
      </c>
      <c r="AK56" s="16">
        <f>SOLID!AO67</f>
        <v>0</v>
      </c>
      <c r="AL56" s="16">
        <f>SOLID!AP67</f>
        <v>0</v>
      </c>
      <c r="AM56" s="16">
        <f>SOLID!AQ67</f>
        <v>0</v>
      </c>
      <c r="AN56" s="16">
        <f>SOLID!AR67</f>
        <v>0</v>
      </c>
      <c r="AO56" s="16">
        <f>SOLID!AS67</f>
        <v>0</v>
      </c>
      <c r="AP56" s="16">
        <f>SOLID!AT67</f>
        <v>0</v>
      </c>
      <c r="AQ56" s="16">
        <f>SOLID!AU67</f>
        <v>0</v>
      </c>
      <c r="AR56" s="16">
        <f>SOLID!AV67</f>
        <v>0</v>
      </c>
      <c r="AS56" s="16">
        <f>SOLID!AW67</f>
        <v>0</v>
      </c>
      <c r="AT56" s="16">
        <f>SOLID!AX67</f>
        <v>0</v>
      </c>
      <c r="AU56" s="16">
        <f>SOLID!AY67</f>
        <v>0</v>
      </c>
      <c r="AV56" s="16">
        <f>SOLID!AZ67</f>
        <v>0</v>
      </c>
      <c r="AW56" s="16">
        <f>SOLID!BA67</f>
        <v>0</v>
      </c>
      <c r="AX56" s="16">
        <f>SOLID!BB67</f>
        <v>0</v>
      </c>
      <c r="AY56" s="16">
        <f>SOLID!BC67</f>
        <v>0</v>
      </c>
      <c r="AZ56" s="16">
        <f>SOLID!BD67</f>
        <v>0</v>
      </c>
      <c r="BA56" s="16">
        <f>SOLID!BE67</f>
        <v>0</v>
      </c>
      <c r="BB56" s="16">
        <f>SOLID!BF67</f>
        <v>0</v>
      </c>
      <c r="BC56" s="16">
        <f>SOLID!BG67</f>
        <v>0</v>
      </c>
      <c r="BD56" s="16">
        <f>SOLID!BH67</f>
        <v>0</v>
      </c>
      <c r="BE56" s="16">
        <f>SOLID!BI67</f>
        <v>0</v>
      </c>
      <c r="BF56" s="16">
        <f>SOLID!BJ67</f>
        <v>0</v>
      </c>
      <c r="BG56" s="16">
        <f>SOLID!BK67</f>
        <v>0</v>
      </c>
      <c r="BH56" s="16">
        <f>SOLID!BL67</f>
        <v>0</v>
      </c>
      <c r="BI56" s="16">
        <f>SOLID!BM67</f>
        <v>0</v>
      </c>
      <c r="BJ56" s="16">
        <f>SOLID!BN67</f>
        <v>0</v>
      </c>
      <c r="BK56" s="16">
        <f>SOLID!BO67</f>
        <v>0</v>
      </c>
      <c r="BL56" s="16">
        <f>SOLID!BP67</f>
        <v>0</v>
      </c>
      <c r="BM56" s="16">
        <f>SOLID!BQ67</f>
        <v>0</v>
      </c>
      <c r="BN56" s="16">
        <f>SOLID!BR67</f>
        <v>0</v>
      </c>
      <c r="BO56" s="16">
        <f>SOLID!BS67</f>
        <v>0</v>
      </c>
      <c r="BP56" s="16">
        <f>SOLID!BT67</f>
        <v>0</v>
      </c>
      <c r="BQ56" s="16">
        <f>SOLID!BU67</f>
        <v>0</v>
      </c>
      <c r="BR56" s="16">
        <f>SOLID!BV67</f>
        <v>0</v>
      </c>
      <c r="BS56" s="16">
        <f>SOLID!BW67</f>
        <v>0</v>
      </c>
      <c r="BT56" s="16">
        <f>SOLID!BX67</f>
        <v>0</v>
      </c>
    </row>
    <row r="57" spans="1:72" ht="21.75" hidden="1" outlineLevel="1" thickBot="1" x14ac:dyDescent="0.4">
      <c r="A57" s="33">
        <f>SOLID!E68</f>
        <v>0</v>
      </c>
      <c r="B57" s="16">
        <f ca="1">SOLID!F68</f>
        <v>0</v>
      </c>
      <c r="C57" s="16">
        <f ca="1">SOLID!G68</f>
        <v>0</v>
      </c>
      <c r="D57" s="16">
        <f ca="1">SOLID!H68</f>
        <v>0</v>
      </c>
      <c r="E57" s="16">
        <f ca="1">SOLID!I68</f>
        <v>0</v>
      </c>
      <c r="F57" s="16">
        <f ca="1">SOLID!J68</f>
        <v>0</v>
      </c>
      <c r="G57" s="16">
        <f ca="1">SOLID!K68</f>
        <v>0</v>
      </c>
      <c r="H57" s="16">
        <f ca="1">SOLID!L68</f>
        <v>0</v>
      </c>
      <c r="I57" s="16">
        <f ca="1">SOLID!M68</f>
        <v>0</v>
      </c>
      <c r="J57" s="16">
        <f ca="1">SOLID!N68</f>
        <v>0</v>
      </c>
      <c r="K57" s="16">
        <f ca="1">SOLID!O68</f>
        <v>0</v>
      </c>
      <c r="L57" s="16">
        <f ca="1">SOLID!P68</f>
        <v>0</v>
      </c>
      <c r="M57" s="16">
        <f ca="1">SOLID!Q68</f>
        <v>0</v>
      </c>
      <c r="N57" s="16">
        <f ca="1">SOLID!R68</f>
        <v>0</v>
      </c>
      <c r="O57" s="16">
        <f ca="1">SOLID!S68</f>
        <v>0</v>
      </c>
      <c r="P57" s="16">
        <f ca="1">SOLID!T68</f>
        <v>0</v>
      </c>
      <c r="Q57" s="16">
        <f ca="1">SOLID!U68</f>
        <v>0</v>
      </c>
      <c r="R57" s="16">
        <f ca="1">SOLID!V68</f>
        <v>0</v>
      </c>
      <c r="S57" s="16">
        <f ca="1">SOLID!W68</f>
        <v>0</v>
      </c>
      <c r="T57" s="16">
        <f ca="1">SOLID!X68</f>
        <v>0</v>
      </c>
      <c r="U57" s="16">
        <f ca="1">SOLID!Y68</f>
        <v>0</v>
      </c>
      <c r="V57" s="16">
        <f ca="1">SOLID!Z68</f>
        <v>0</v>
      </c>
      <c r="W57" s="16">
        <f ca="1">SOLID!AA68</f>
        <v>0</v>
      </c>
      <c r="X57" s="16">
        <f ca="1">SOLID!AB68</f>
        <v>0</v>
      </c>
      <c r="Y57" s="16">
        <f ca="1">SOLID!AC68</f>
        <v>0</v>
      </c>
      <c r="Z57" s="16">
        <f ca="1">SOLID!AD68</f>
        <v>0</v>
      </c>
      <c r="AA57" s="16">
        <f ca="1">SOLID!AE68</f>
        <v>0</v>
      </c>
      <c r="AB57" s="16">
        <f ca="1">SOLID!AF68</f>
        <v>0</v>
      </c>
      <c r="AC57" s="16">
        <f ca="1">SOLID!AG68</f>
        <v>0</v>
      </c>
      <c r="AD57" s="16">
        <f ca="1">SOLID!AH68</f>
        <v>0</v>
      </c>
      <c r="AE57" s="16">
        <f ca="1">SOLID!AI68</f>
        <v>0</v>
      </c>
      <c r="AF57" s="16">
        <f ca="1">SOLID!AJ68</f>
        <v>0</v>
      </c>
      <c r="AG57" s="16">
        <f ca="1">SOLID!AK68</f>
        <v>0</v>
      </c>
      <c r="AH57" s="16">
        <f ca="1">SOLID!AL68</f>
        <v>0</v>
      </c>
      <c r="AI57" s="16">
        <f>SOLID!AM68</f>
        <v>0</v>
      </c>
      <c r="AJ57" s="16">
        <f>SOLID!AN68</f>
        <v>0</v>
      </c>
      <c r="AK57" s="16">
        <f>SOLID!AO68</f>
        <v>0</v>
      </c>
      <c r="AL57" s="16">
        <f>SOLID!AP68</f>
        <v>0</v>
      </c>
      <c r="AM57" s="16">
        <f>SOLID!AQ68</f>
        <v>0</v>
      </c>
      <c r="AN57" s="16">
        <f>SOLID!AR68</f>
        <v>0</v>
      </c>
      <c r="AO57" s="16">
        <f>SOLID!AS68</f>
        <v>0</v>
      </c>
      <c r="AP57" s="16">
        <f>SOLID!AT68</f>
        <v>0</v>
      </c>
      <c r="AQ57" s="16">
        <f>SOLID!AU68</f>
        <v>0</v>
      </c>
      <c r="AR57" s="16">
        <f>SOLID!AV68</f>
        <v>0</v>
      </c>
      <c r="AS57" s="16">
        <f>SOLID!AW68</f>
        <v>0</v>
      </c>
      <c r="AT57" s="16">
        <f>SOLID!AX68</f>
        <v>0</v>
      </c>
      <c r="AU57" s="16">
        <f>SOLID!AY68</f>
        <v>0</v>
      </c>
      <c r="AV57" s="16">
        <f>SOLID!AZ68</f>
        <v>0</v>
      </c>
      <c r="AW57" s="16">
        <f>SOLID!BA68</f>
        <v>0</v>
      </c>
      <c r="AX57" s="16">
        <f>SOLID!BB68</f>
        <v>0</v>
      </c>
      <c r="AY57" s="16">
        <f>SOLID!BC68</f>
        <v>0</v>
      </c>
      <c r="AZ57" s="16">
        <f>SOLID!BD68</f>
        <v>0</v>
      </c>
      <c r="BA57" s="16">
        <f>SOLID!BE68</f>
        <v>0</v>
      </c>
      <c r="BB57" s="16">
        <f>SOLID!BF68</f>
        <v>0</v>
      </c>
      <c r="BC57" s="16">
        <f>SOLID!BG68</f>
        <v>0</v>
      </c>
      <c r="BD57" s="16">
        <f>SOLID!BH68</f>
        <v>0</v>
      </c>
      <c r="BE57" s="16">
        <f>SOLID!BI68</f>
        <v>0</v>
      </c>
      <c r="BF57" s="16">
        <f>SOLID!BJ68</f>
        <v>0</v>
      </c>
      <c r="BG57" s="16">
        <f>SOLID!BK68</f>
        <v>0</v>
      </c>
      <c r="BH57" s="16">
        <f>SOLID!BL68</f>
        <v>0</v>
      </c>
      <c r="BI57" s="16">
        <f>SOLID!BM68</f>
        <v>0</v>
      </c>
      <c r="BJ57" s="16">
        <f>SOLID!BN68</f>
        <v>0</v>
      </c>
      <c r="BK57" s="16">
        <f>SOLID!BO68</f>
        <v>0</v>
      </c>
      <c r="BL57" s="16">
        <f>SOLID!BP68</f>
        <v>0</v>
      </c>
      <c r="BM57" s="16">
        <f>SOLID!BQ68</f>
        <v>0</v>
      </c>
      <c r="BN57" s="16">
        <f>SOLID!BR68</f>
        <v>0</v>
      </c>
      <c r="BO57" s="16">
        <f>SOLID!BS68</f>
        <v>0</v>
      </c>
      <c r="BP57" s="16">
        <f>SOLID!BT68</f>
        <v>0</v>
      </c>
      <c r="BQ57" s="16">
        <f>SOLID!BU68</f>
        <v>0</v>
      </c>
      <c r="BR57" s="16">
        <f>SOLID!BV68</f>
        <v>0</v>
      </c>
      <c r="BS57" s="16">
        <f>SOLID!BW68</f>
        <v>0</v>
      </c>
      <c r="BT57" s="16">
        <f>SOLID!BX68</f>
        <v>0</v>
      </c>
    </row>
    <row r="58" spans="1:72" ht="21.75" hidden="1" outlineLevel="1" thickBot="1" x14ac:dyDescent="0.4">
      <c r="A58" s="33">
        <f>SOLID!E69</f>
        <v>0</v>
      </c>
      <c r="B58" s="16">
        <f ca="1">SOLID!F69</f>
        <v>0</v>
      </c>
      <c r="C58" s="16">
        <f ca="1">SOLID!G69</f>
        <v>0</v>
      </c>
      <c r="D58" s="16">
        <f ca="1">SOLID!H69</f>
        <v>0</v>
      </c>
      <c r="E58" s="16">
        <f ca="1">SOLID!I69</f>
        <v>0</v>
      </c>
      <c r="F58" s="16">
        <f ca="1">SOLID!J69</f>
        <v>0</v>
      </c>
      <c r="G58" s="16">
        <f ca="1">SOLID!K69</f>
        <v>0</v>
      </c>
      <c r="H58" s="16">
        <f ca="1">SOLID!L69</f>
        <v>0</v>
      </c>
      <c r="I58" s="16">
        <f ca="1">SOLID!M69</f>
        <v>0</v>
      </c>
      <c r="J58" s="16">
        <f ca="1">SOLID!N69</f>
        <v>0</v>
      </c>
      <c r="K58" s="16">
        <f ca="1">SOLID!O69</f>
        <v>0</v>
      </c>
      <c r="L58" s="16">
        <f ca="1">SOLID!P69</f>
        <v>0</v>
      </c>
      <c r="M58" s="16">
        <f ca="1">SOLID!Q69</f>
        <v>0</v>
      </c>
      <c r="N58" s="16">
        <f ca="1">SOLID!R69</f>
        <v>0</v>
      </c>
      <c r="O58" s="16">
        <f ca="1">SOLID!S69</f>
        <v>0</v>
      </c>
      <c r="P58" s="16">
        <f ca="1">SOLID!T69</f>
        <v>0</v>
      </c>
      <c r="Q58" s="16">
        <f ca="1">SOLID!U69</f>
        <v>0</v>
      </c>
      <c r="R58" s="16">
        <f ca="1">SOLID!V69</f>
        <v>0</v>
      </c>
      <c r="S58" s="16">
        <f ca="1">SOLID!W69</f>
        <v>0</v>
      </c>
      <c r="T58" s="16">
        <f ca="1">SOLID!X69</f>
        <v>0</v>
      </c>
      <c r="U58" s="16">
        <f ca="1">SOLID!Y69</f>
        <v>0</v>
      </c>
      <c r="V58" s="16">
        <f ca="1">SOLID!Z69</f>
        <v>0</v>
      </c>
      <c r="W58" s="16">
        <f ca="1">SOLID!AA69</f>
        <v>0</v>
      </c>
      <c r="X58" s="16">
        <f ca="1">SOLID!AB69</f>
        <v>0</v>
      </c>
      <c r="Y58" s="16">
        <f ca="1">SOLID!AC69</f>
        <v>0</v>
      </c>
      <c r="Z58" s="16">
        <f ca="1">SOLID!AD69</f>
        <v>0</v>
      </c>
      <c r="AA58" s="16">
        <f ca="1">SOLID!AE69</f>
        <v>0</v>
      </c>
      <c r="AB58" s="16">
        <f ca="1">SOLID!AF69</f>
        <v>0</v>
      </c>
      <c r="AC58" s="16">
        <f ca="1">SOLID!AG69</f>
        <v>0</v>
      </c>
      <c r="AD58" s="16">
        <f ca="1">SOLID!AH69</f>
        <v>0</v>
      </c>
      <c r="AE58" s="16">
        <f ca="1">SOLID!AI69</f>
        <v>0</v>
      </c>
      <c r="AF58" s="16">
        <f ca="1">SOLID!AJ69</f>
        <v>0</v>
      </c>
      <c r="AG58" s="16">
        <f ca="1">SOLID!AK69</f>
        <v>0</v>
      </c>
      <c r="AH58" s="16">
        <f ca="1">SOLID!AL69</f>
        <v>0</v>
      </c>
      <c r="AI58" s="16">
        <f>SOLID!AM69</f>
        <v>0</v>
      </c>
      <c r="AJ58" s="16">
        <f>SOLID!AN69</f>
        <v>0</v>
      </c>
      <c r="AK58" s="16">
        <f>SOLID!AO69</f>
        <v>0</v>
      </c>
      <c r="AL58" s="16">
        <f>SOLID!AP69</f>
        <v>0</v>
      </c>
      <c r="AM58" s="16">
        <f>SOLID!AQ69</f>
        <v>0</v>
      </c>
      <c r="AN58" s="16">
        <f>SOLID!AR69</f>
        <v>0</v>
      </c>
      <c r="AO58" s="16">
        <f>SOLID!AS69</f>
        <v>0</v>
      </c>
      <c r="AP58" s="16">
        <f>SOLID!AT69</f>
        <v>0</v>
      </c>
      <c r="AQ58" s="16">
        <f>SOLID!AU69</f>
        <v>0</v>
      </c>
      <c r="AR58" s="16">
        <f>SOLID!AV69</f>
        <v>0</v>
      </c>
      <c r="AS58" s="16">
        <f>SOLID!AW69</f>
        <v>0</v>
      </c>
      <c r="AT58" s="16">
        <f>SOLID!AX69</f>
        <v>0</v>
      </c>
      <c r="AU58" s="16">
        <f>SOLID!AY69</f>
        <v>0</v>
      </c>
      <c r="AV58" s="16">
        <f>SOLID!AZ69</f>
        <v>0</v>
      </c>
      <c r="AW58" s="16">
        <f>SOLID!BA69</f>
        <v>0</v>
      </c>
      <c r="AX58" s="16">
        <f>SOLID!BB69</f>
        <v>0</v>
      </c>
      <c r="AY58" s="16">
        <f>SOLID!BC69</f>
        <v>0</v>
      </c>
      <c r="AZ58" s="16">
        <f>SOLID!BD69</f>
        <v>0</v>
      </c>
      <c r="BA58" s="16">
        <f>SOLID!BE69</f>
        <v>0</v>
      </c>
      <c r="BB58" s="16">
        <f>SOLID!BF69</f>
        <v>0</v>
      </c>
      <c r="BC58" s="16">
        <f>SOLID!BG69</f>
        <v>0</v>
      </c>
      <c r="BD58" s="16">
        <f>SOLID!BH69</f>
        <v>0</v>
      </c>
      <c r="BE58" s="16">
        <f>SOLID!BI69</f>
        <v>0</v>
      </c>
      <c r="BF58" s="16">
        <f>SOLID!BJ69</f>
        <v>0</v>
      </c>
      <c r="BG58" s="16">
        <f>SOLID!BK69</f>
        <v>0</v>
      </c>
      <c r="BH58" s="16">
        <f>SOLID!BL69</f>
        <v>0</v>
      </c>
      <c r="BI58" s="16">
        <f>SOLID!BM69</f>
        <v>0</v>
      </c>
      <c r="BJ58" s="16">
        <f>SOLID!BN69</f>
        <v>0</v>
      </c>
      <c r="BK58" s="16">
        <f>SOLID!BO69</f>
        <v>0</v>
      </c>
      <c r="BL58" s="16">
        <f>SOLID!BP69</f>
        <v>0</v>
      </c>
      <c r="BM58" s="16">
        <f>SOLID!BQ69</f>
        <v>0</v>
      </c>
      <c r="BN58" s="16">
        <f>SOLID!BR69</f>
        <v>0</v>
      </c>
      <c r="BO58" s="16">
        <f>SOLID!BS69</f>
        <v>0</v>
      </c>
      <c r="BP58" s="16">
        <f>SOLID!BT69</f>
        <v>0</v>
      </c>
      <c r="BQ58" s="16">
        <f>SOLID!BU69</f>
        <v>0</v>
      </c>
      <c r="BR58" s="16">
        <f>SOLID!BV69</f>
        <v>0</v>
      </c>
      <c r="BS58" s="16">
        <f>SOLID!BW69</f>
        <v>0</v>
      </c>
      <c r="BT58" s="16">
        <f>SOLID!BX69</f>
        <v>0</v>
      </c>
    </row>
    <row r="59" spans="1:72" ht="21.75" hidden="1" outlineLevel="1" thickBot="1" x14ac:dyDescent="0.4">
      <c r="A59" s="33">
        <f>SOLID!E70</f>
        <v>0</v>
      </c>
      <c r="B59" s="16">
        <f ca="1">SOLID!F70</f>
        <v>0</v>
      </c>
      <c r="C59" s="16">
        <f ca="1">SOLID!G70</f>
        <v>0</v>
      </c>
      <c r="D59" s="16">
        <f ca="1">SOLID!H70</f>
        <v>0</v>
      </c>
      <c r="E59" s="16">
        <f ca="1">SOLID!I70</f>
        <v>0</v>
      </c>
      <c r="F59" s="16">
        <f ca="1">SOLID!J70</f>
        <v>0</v>
      </c>
      <c r="G59" s="16">
        <f ca="1">SOLID!K70</f>
        <v>0</v>
      </c>
      <c r="H59" s="16">
        <f ca="1">SOLID!L70</f>
        <v>0</v>
      </c>
      <c r="I59" s="16">
        <f ca="1">SOLID!M70</f>
        <v>0</v>
      </c>
      <c r="J59" s="16">
        <f ca="1">SOLID!N70</f>
        <v>0</v>
      </c>
      <c r="K59" s="16">
        <f ca="1">SOLID!O70</f>
        <v>0</v>
      </c>
      <c r="L59" s="16">
        <f ca="1">SOLID!P70</f>
        <v>0</v>
      </c>
      <c r="M59" s="16">
        <f ca="1">SOLID!Q70</f>
        <v>0</v>
      </c>
      <c r="N59" s="16">
        <f ca="1">SOLID!R70</f>
        <v>0</v>
      </c>
      <c r="O59" s="16">
        <f ca="1">SOLID!S70</f>
        <v>0</v>
      </c>
      <c r="P59" s="16">
        <f ca="1">SOLID!T70</f>
        <v>0</v>
      </c>
      <c r="Q59" s="16">
        <f ca="1">SOLID!U70</f>
        <v>0</v>
      </c>
      <c r="R59" s="16">
        <f ca="1">SOLID!V70</f>
        <v>0</v>
      </c>
      <c r="S59" s="16">
        <f ca="1">SOLID!W70</f>
        <v>0</v>
      </c>
      <c r="T59" s="16">
        <f ca="1">SOLID!X70</f>
        <v>0</v>
      </c>
      <c r="U59" s="16">
        <f ca="1">SOLID!Y70</f>
        <v>0</v>
      </c>
      <c r="V59" s="16">
        <f ca="1">SOLID!Z70</f>
        <v>0</v>
      </c>
      <c r="W59" s="16">
        <f ca="1">SOLID!AA70</f>
        <v>0</v>
      </c>
      <c r="X59" s="16">
        <f ca="1">SOLID!AB70</f>
        <v>0</v>
      </c>
      <c r="Y59" s="16">
        <f ca="1">SOLID!AC70</f>
        <v>0</v>
      </c>
      <c r="Z59" s="16">
        <f ca="1">SOLID!AD70</f>
        <v>0</v>
      </c>
      <c r="AA59" s="16">
        <f ca="1">SOLID!AE70</f>
        <v>0</v>
      </c>
      <c r="AB59" s="16">
        <f ca="1">SOLID!AF70</f>
        <v>0</v>
      </c>
      <c r="AC59" s="16">
        <f ca="1">SOLID!AG70</f>
        <v>0</v>
      </c>
      <c r="AD59" s="16">
        <f ca="1">SOLID!AH70</f>
        <v>0</v>
      </c>
      <c r="AE59" s="16">
        <f ca="1">SOLID!AI70</f>
        <v>0</v>
      </c>
      <c r="AF59" s="16">
        <f ca="1">SOLID!AJ70</f>
        <v>0</v>
      </c>
      <c r="AG59" s="16">
        <f ca="1">SOLID!AK70</f>
        <v>0</v>
      </c>
      <c r="AH59" s="16">
        <f ca="1">SOLID!AL70</f>
        <v>0</v>
      </c>
      <c r="AI59" s="16">
        <f>SOLID!AM70</f>
        <v>0</v>
      </c>
      <c r="AJ59" s="16">
        <f>SOLID!AN70</f>
        <v>0</v>
      </c>
      <c r="AK59" s="16">
        <f>SOLID!AO70</f>
        <v>0</v>
      </c>
      <c r="AL59" s="16">
        <f>SOLID!AP70</f>
        <v>0</v>
      </c>
      <c r="AM59" s="16">
        <f>SOLID!AQ70</f>
        <v>0</v>
      </c>
      <c r="AN59" s="16">
        <f>SOLID!AR70</f>
        <v>0</v>
      </c>
      <c r="AO59" s="16">
        <f>SOLID!AS70</f>
        <v>0</v>
      </c>
      <c r="AP59" s="16">
        <f>SOLID!AT70</f>
        <v>0</v>
      </c>
      <c r="AQ59" s="16">
        <f>SOLID!AU70</f>
        <v>0</v>
      </c>
      <c r="AR59" s="16">
        <f>SOLID!AV70</f>
        <v>0</v>
      </c>
      <c r="AS59" s="16">
        <f>SOLID!AW70</f>
        <v>0</v>
      </c>
      <c r="AT59" s="16">
        <f>SOLID!AX70</f>
        <v>0</v>
      </c>
      <c r="AU59" s="16">
        <f>SOLID!AY70</f>
        <v>0</v>
      </c>
      <c r="AV59" s="16">
        <f>SOLID!AZ70</f>
        <v>0</v>
      </c>
      <c r="AW59" s="16">
        <f>SOLID!BA70</f>
        <v>0</v>
      </c>
      <c r="AX59" s="16">
        <f>SOLID!BB70</f>
        <v>0</v>
      </c>
      <c r="AY59" s="16">
        <f>SOLID!BC70</f>
        <v>0</v>
      </c>
      <c r="AZ59" s="16">
        <f>SOLID!BD70</f>
        <v>0</v>
      </c>
      <c r="BA59" s="16">
        <f>SOLID!BE70</f>
        <v>0</v>
      </c>
      <c r="BB59" s="16">
        <f>SOLID!BF70</f>
        <v>0</v>
      </c>
      <c r="BC59" s="16">
        <f>SOLID!BG70</f>
        <v>0</v>
      </c>
      <c r="BD59" s="16">
        <f>SOLID!BH70</f>
        <v>0</v>
      </c>
      <c r="BE59" s="16">
        <f>SOLID!BI70</f>
        <v>0</v>
      </c>
      <c r="BF59" s="16">
        <f>SOLID!BJ70</f>
        <v>0</v>
      </c>
      <c r="BG59" s="16">
        <f>SOLID!BK70</f>
        <v>0</v>
      </c>
      <c r="BH59" s="16">
        <f>SOLID!BL70</f>
        <v>0</v>
      </c>
      <c r="BI59" s="16">
        <f>SOLID!BM70</f>
        <v>0</v>
      </c>
      <c r="BJ59" s="16">
        <f>SOLID!BN70</f>
        <v>0</v>
      </c>
      <c r="BK59" s="16">
        <f>SOLID!BO70</f>
        <v>0</v>
      </c>
      <c r="BL59" s="16">
        <f>SOLID!BP70</f>
        <v>0</v>
      </c>
      <c r="BM59" s="16">
        <f>SOLID!BQ70</f>
        <v>0</v>
      </c>
      <c r="BN59" s="16">
        <f>SOLID!BR70</f>
        <v>0</v>
      </c>
      <c r="BO59" s="16">
        <f>SOLID!BS70</f>
        <v>0</v>
      </c>
      <c r="BP59" s="16">
        <f>SOLID!BT70</f>
        <v>0</v>
      </c>
      <c r="BQ59" s="16">
        <f>SOLID!BU70</f>
        <v>0</v>
      </c>
      <c r="BR59" s="16">
        <f>SOLID!BV70</f>
        <v>0</v>
      </c>
      <c r="BS59" s="16">
        <f>SOLID!BW70</f>
        <v>0</v>
      </c>
      <c r="BT59" s="16">
        <f>SOLID!BX70</f>
        <v>0</v>
      </c>
    </row>
    <row r="60" spans="1:72" ht="21.75" hidden="1" outlineLevel="1" thickBot="1" x14ac:dyDescent="0.4">
      <c r="A60" s="33">
        <f>SOLID!E71</f>
        <v>0</v>
      </c>
      <c r="B60" s="16">
        <f ca="1">SOLID!F71</f>
        <v>0</v>
      </c>
      <c r="C60" s="16">
        <f ca="1">SOLID!G71</f>
        <v>0</v>
      </c>
      <c r="D60" s="16">
        <f ca="1">SOLID!H71</f>
        <v>0</v>
      </c>
      <c r="E60" s="16">
        <f ca="1">SOLID!I71</f>
        <v>0</v>
      </c>
      <c r="F60" s="16">
        <f ca="1">SOLID!J71</f>
        <v>0</v>
      </c>
      <c r="G60" s="16">
        <f ca="1">SOLID!K71</f>
        <v>0</v>
      </c>
      <c r="H60" s="16">
        <f ca="1">SOLID!L71</f>
        <v>0</v>
      </c>
      <c r="I60" s="16">
        <f ca="1">SOLID!M71</f>
        <v>0</v>
      </c>
      <c r="J60" s="16">
        <f ca="1">SOLID!N71</f>
        <v>0</v>
      </c>
      <c r="K60" s="16">
        <f ca="1">SOLID!O71</f>
        <v>0</v>
      </c>
      <c r="L60" s="16">
        <f ca="1">SOLID!P71</f>
        <v>0</v>
      </c>
      <c r="M60" s="16">
        <f ca="1">SOLID!Q71</f>
        <v>0</v>
      </c>
      <c r="N60" s="16">
        <f ca="1">SOLID!R71</f>
        <v>0</v>
      </c>
      <c r="O60" s="16">
        <f ca="1">SOLID!S71</f>
        <v>0</v>
      </c>
      <c r="P60" s="16">
        <f ca="1">SOLID!T71</f>
        <v>0</v>
      </c>
      <c r="Q60" s="16">
        <f ca="1">SOLID!U71</f>
        <v>0</v>
      </c>
      <c r="R60" s="16">
        <f ca="1">SOLID!V71</f>
        <v>0</v>
      </c>
      <c r="S60" s="16">
        <f ca="1">SOLID!W71</f>
        <v>0</v>
      </c>
      <c r="T60" s="16">
        <f ca="1">SOLID!X71</f>
        <v>0</v>
      </c>
      <c r="U60" s="16">
        <f ca="1">SOLID!Y71</f>
        <v>0</v>
      </c>
      <c r="V60" s="16">
        <f ca="1">SOLID!Z71</f>
        <v>0</v>
      </c>
      <c r="W60" s="16">
        <f ca="1">SOLID!AA71</f>
        <v>0</v>
      </c>
      <c r="X60" s="16">
        <f ca="1">SOLID!AB71</f>
        <v>0</v>
      </c>
      <c r="Y60" s="16">
        <f ca="1">SOLID!AC71</f>
        <v>0</v>
      </c>
      <c r="Z60" s="16">
        <f ca="1">SOLID!AD71</f>
        <v>0</v>
      </c>
      <c r="AA60" s="16">
        <f ca="1">SOLID!AE71</f>
        <v>0</v>
      </c>
      <c r="AB60" s="16">
        <f ca="1">SOLID!AF71</f>
        <v>0</v>
      </c>
      <c r="AC60" s="16">
        <f ca="1">SOLID!AG71</f>
        <v>0</v>
      </c>
      <c r="AD60" s="16">
        <f ca="1">SOLID!AH71</f>
        <v>0</v>
      </c>
      <c r="AE60" s="16">
        <f ca="1">SOLID!AI71</f>
        <v>0</v>
      </c>
      <c r="AF60" s="16">
        <f ca="1">SOLID!AJ71</f>
        <v>0</v>
      </c>
      <c r="AG60" s="16">
        <f ca="1">SOLID!AK71</f>
        <v>0</v>
      </c>
      <c r="AH60" s="16">
        <f ca="1">SOLID!AL71</f>
        <v>0</v>
      </c>
      <c r="AI60" s="16">
        <f>SOLID!AM71</f>
        <v>0</v>
      </c>
      <c r="AJ60" s="16">
        <f>SOLID!AN71</f>
        <v>0</v>
      </c>
      <c r="AK60" s="16">
        <f>SOLID!AO71</f>
        <v>0</v>
      </c>
      <c r="AL60" s="16">
        <f>SOLID!AP71</f>
        <v>0</v>
      </c>
      <c r="AM60" s="16">
        <f>SOLID!AQ71</f>
        <v>0</v>
      </c>
      <c r="AN60" s="16">
        <f>SOLID!AR71</f>
        <v>0</v>
      </c>
      <c r="AO60" s="16">
        <f>SOLID!AS71</f>
        <v>0</v>
      </c>
      <c r="AP60" s="16">
        <f>SOLID!AT71</f>
        <v>0</v>
      </c>
      <c r="AQ60" s="16">
        <f>SOLID!AU71</f>
        <v>0</v>
      </c>
      <c r="AR60" s="16">
        <f>SOLID!AV71</f>
        <v>0</v>
      </c>
      <c r="AS60" s="16">
        <f>SOLID!AW71</f>
        <v>0</v>
      </c>
      <c r="AT60" s="16">
        <f>SOLID!AX71</f>
        <v>0</v>
      </c>
      <c r="AU60" s="16">
        <f>SOLID!AY71</f>
        <v>0</v>
      </c>
      <c r="AV60" s="16">
        <f>SOLID!AZ71</f>
        <v>0</v>
      </c>
      <c r="AW60" s="16">
        <f>SOLID!BA71</f>
        <v>0</v>
      </c>
      <c r="AX60" s="16">
        <f>SOLID!BB71</f>
        <v>0</v>
      </c>
      <c r="AY60" s="16">
        <f>SOLID!BC71</f>
        <v>0</v>
      </c>
      <c r="AZ60" s="16">
        <f>SOLID!BD71</f>
        <v>0</v>
      </c>
      <c r="BA60" s="16">
        <f>SOLID!BE71</f>
        <v>0</v>
      </c>
      <c r="BB60" s="16">
        <f>SOLID!BF71</f>
        <v>0</v>
      </c>
      <c r="BC60" s="16">
        <f>SOLID!BG71</f>
        <v>0</v>
      </c>
      <c r="BD60" s="16">
        <f>SOLID!BH71</f>
        <v>0</v>
      </c>
      <c r="BE60" s="16">
        <f>SOLID!BI71</f>
        <v>0</v>
      </c>
      <c r="BF60" s="16">
        <f>SOLID!BJ71</f>
        <v>0</v>
      </c>
      <c r="BG60" s="16">
        <f>SOLID!BK71</f>
        <v>0</v>
      </c>
      <c r="BH60" s="16">
        <f>SOLID!BL71</f>
        <v>0</v>
      </c>
      <c r="BI60" s="16">
        <f>SOLID!BM71</f>
        <v>0</v>
      </c>
      <c r="BJ60" s="16">
        <f>SOLID!BN71</f>
        <v>0</v>
      </c>
      <c r="BK60" s="16">
        <f>SOLID!BO71</f>
        <v>0</v>
      </c>
      <c r="BL60" s="16">
        <f>SOLID!BP71</f>
        <v>0</v>
      </c>
      <c r="BM60" s="16">
        <f>SOLID!BQ71</f>
        <v>0</v>
      </c>
      <c r="BN60" s="16">
        <f>SOLID!BR71</f>
        <v>0</v>
      </c>
      <c r="BO60" s="16">
        <f>SOLID!BS71</f>
        <v>0</v>
      </c>
      <c r="BP60" s="16">
        <f>SOLID!BT71</f>
        <v>0</v>
      </c>
      <c r="BQ60" s="16">
        <f>SOLID!BU71</f>
        <v>0</v>
      </c>
      <c r="BR60" s="16">
        <f>SOLID!BV71</f>
        <v>0</v>
      </c>
      <c r="BS60" s="16">
        <f>SOLID!BW71</f>
        <v>0</v>
      </c>
      <c r="BT60" s="16">
        <f>SOLID!BX71</f>
        <v>0</v>
      </c>
    </row>
    <row r="61" spans="1:72" ht="21.75" hidden="1" outlineLevel="1" thickBot="1" x14ac:dyDescent="0.4">
      <c r="A61" s="33">
        <f>SOLID!E72</f>
        <v>0</v>
      </c>
      <c r="B61" s="16">
        <f ca="1">SOLID!F72</f>
        <v>0</v>
      </c>
      <c r="C61" s="16">
        <f ca="1">SOLID!G72</f>
        <v>0</v>
      </c>
      <c r="D61" s="16">
        <f ca="1">SOLID!H72</f>
        <v>0</v>
      </c>
      <c r="E61" s="16">
        <f ca="1">SOLID!I72</f>
        <v>0</v>
      </c>
      <c r="F61" s="16">
        <f ca="1">SOLID!J72</f>
        <v>0</v>
      </c>
      <c r="G61" s="16">
        <f ca="1">SOLID!K72</f>
        <v>0</v>
      </c>
      <c r="H61" s="16">
        <f ca="1">SOLID!L72</f>
        <v>0</v>
      </c>
      <c r="I61" s="16">
        <f ca="1">SOLID!M72</f>
        <v>0</v>
      </c>
      <c r="J61" s="16">
        <f ca="1">SOLID!N72</f>
        <v>0</v>
      </c>
      <c r="K61" s="16">
        <f ca="1">SOLID!O72</f>
        <v>0</v>
      </c>
      <c r="L61" s="16">
        <f ca="1">SOLID!P72</f>
        <v>0</v>
      </c>
      <c r="M61" s="16">
        <f ca="1">SOLID!Q72</f>
        <v>0</v>
      </c>
      <c r="N61" s="16">
        <f ca="1">SOLID!R72</f>
        <v>0</v>
      </c>
      <c r="O61" s="16">
        <f ca="1">SOLID!S72</f>
        <v>0</v>
      </c>
      <c r="P61" s="16">
        <f ca="1">SOLID!T72</f>
        <v>0</v>
      </c>
      <c r="Q61" s="16">
        <f ca="1">SOLID!U72</f>
        <v>0</v>
      </c>
      <c r="R61" s="16">
        <f ca="1">SOLID!V72</f>
        <v>0</v>
      </c>
      <c r="S61" s="16">
        <f ca="1">SOLID!W72</f>
        <v>0</v>
      </c>
      <c r="T61" s="16">
        <f ca="1">SOLID!X72</f>
        <v>0</v>
      </c>
      <c r="U61" s="16">
        <f ca="1">SOLID!Y72</f>
        <v>0</v>
      </c>
      <c r="V61" s="16">
        <f ca="1">SOLID!Z72</f>
        <v>0</v>
      </c>
      <c r="W61" s="16">
        <f ca="1">SOLID!AA72</f>
        <v>0</v>
      </c>
      <c r="X61" s="16">
        <f ca="1">SOLID!AB72</f>
        <v>0</v>
      </c>
      <c r="Y61" s="16">
        <f ca="1">SOLID!AC72</f>
        <v>0</v>
      </c>
      <c r="Z61" s="16">
        <f ca="1">SOLID!AD72</f>
        <v>0</v>
      </c>
      <c r="AA61" s="16">
        <f ca="1">SOLID!AE72</f>
        <v>0</v>
      </c>
      <c r="AB61" s="16">
        <f ca="1">SOLID!AF72</f>
        <v>0</v>
      </c>
      <c r="AC61" s="16">
        <f ca="1">SOLID!AG72</f>
        <v>0</v>
      </c>
      <c r="AD61" s="16">
        <f ca="1">SOLID!AH72</f>
        <v>0</v>
      </c>
      <c r="AE61" s="16">
        <f ca="1">SOLID!AI72</f>
        <v>0</v>
      </c>
      <c r="AF61" s="16">
        <f ca="1">SOLID!AJ72</f>
        <v>0</v>
      </c>
      <c r="AG61" s="16">
        <f ca="1">SOLID!AK72</f>
        <v>0</v>
      </c>
      <c r="AH61" s="16">
        <f ca="1">SOLID!AL72</f>
        <v>0</v>
      </c>
      <c r="AI61" s="16">
        <f>SOLID!AM72</f>
        <v>0</v>
      </c>
      <c r="AJ61" s="16">
        <f>SOLID!AN72</f>
        <v>0</v>
      </c>
      <c r="AK61" s="16">
        <f>SOLID!AO72</f>
        <v>0</v>
      </c>
      <c r="AL61" s="16">
        <f>SOLID!AP72</f>
        <v>0</v>
      </c>
      <c r="AM61" s="16">
        <f>SOLID!AQ72</f>
        <v>0</v>
      </c>
      <c r="AN61" s="16">
        <f>SOLID!AR72</f>
        <v>0</v>
      </c>
      <c r="AO61" s="16">
        <f>SOLID!AS72</f>
        <v>0</v>
      </c>
      <c r="AP61" s="16">
        <f>SOLID!AT72</f>
        <v>0</v>
      </c>
      <c r="AQ61" s="16">
        <f>SOLID!AU72</f>
        <v>0</v>
      </c>
      <c r="AR61" s="16">
        <f>SOLID!AV72</f>
        <v>0</v>
      </c>
      <c r="AS61" s="16">
        <f>SOLID!AW72</f>
        <v>0</v>
      </c>
      <c r="AT61" s="16">
        <f>SOLID!AX72</f>
        <v>0</v>
      </c>
      <c r="AU61" s="16">
        <f>SOLID!AY72</f>
        <v>0</v>
      </c>
      <c r="AV61" s="16">
        <f>SOLID!AZ72</f>
        <v>0</v>
      </c>
      <c r="AW61" s="16">
        <f>SOLID!BA72</f>
        <v>0</v>
      </c>
      <c r="AX61" s="16">
        <f>SOLID!BB72</f>
        <v>0</v>
      </c>
      <c r="AY61" s="16">
        <f>SOLID!BC72</f>
        <v>0</v>
      </c>
      <c r="AZ61" s="16">
        <f>SOLID!BD72</f>
        <v>0</v>
      </c>
      <c r="BA61" s="16">
        <f>SOLID!BE72</f>
        <v>0</v>
      </c>
      <c r="BB61" s="16">
        <f>SOLID!BF72</f>
        <v>0</v>
      </c>
      <c r="BC61" s="16">
        <f>SOLID!BG72</f>
        <v>0</v>
      </c>
      <c r="BD61" s="16">
        <f>SOLID!BH72</f>
        <v>0</v>
      </c>
      <c r="BE61" s="16">
        <f>SOLID!BI72</f>
        <v>0</v>
      </c>
      <c r="BF61" s="16">
        <f>SOLID!BJ72</f>
        <v>0</v>
      </c>
      <c r="BG61" s="16">
        <f>SOLID!BK72</f>
        <v>0</v>
      </c>
      <c r="BH61" s="16">
        <f>SOLID!BL72</f>
        <v>0</v>
      </c>
      <c r="BI61" s="16">
        <f>SOLID!BM72</f>
        <v>0</v>
      </c>
      <c r="BJ61" s="16">
        <f>SOLID!BN72</f>
        <v>0</v>
      </c>
      <c r="BK61" s="16">
        <f>SOLID!BO72</f>
        <v>0</v>
      </c>
      <c r="BL61" s="16">
        <f>SOLID!BP72</f>
        <v>0</v>
      </c>
      <c r="BM61" s="16">
        <f>SOLID!BQ72</f>
        <v>0</v>
      </c>
      <c r="BN61" s="16">
        <f>SOLID!BR72</f>
        <v>0</v>
      </c>
      <c r="BO61" s="16">
        <f>SOLID!BS72</f>
        <v>0</v>
      </c>
      <c r="BP61" s="16">
        <f>SOLID!BT72</f>
        <v>0</v>
      </c>
      <c r="BQ61" s="16">
        <f>SOLID!BU72</f>
        <v>0</v>
      </c>
      <c r="BR61" s="16">
        <f>SOLID!BV72</f>
        <v>0</v>
      </c>
      <c r="BS61" s="16">
        <f>SOLID!BW72</f>
        <v>0</v>
      </c>
      <c r="BT61" s="16">
        <f>SOLID!BX72</f>
        <v>0</v>
      </c>
    </row>
    <row r="62" spans="1:72" ht="21.75" hidden="1" outlineLevel="1" thickBot="1" x14ac:dyDescent="0.4">
      <c r="A62" s="33">
        <f>SOLID!E73</f>
        <v>0</v>
      </c>
      <c r="B62" s="16">
        <f ca="1">SOLID!F73</f>
        <v>0</v>
      </c>
      <c r="C62" s="16">
        <f ca="1">SOLID!G73</f>
        <v>0</v>
      </c>
      <c r="D62" s="16">
        <f ca="1">SOLID!H73</f>
        <v>0</v>
      </c>
      <c r="E62" s="16">
        <f ca="1">SOLID!I73</f>
        <v>0</v>
      </c>
      <c r="F62" s="16">
        <f ca="1">SOLID!J73</f>
        <v>0</v>
      </c>
      <c r="G62" s="16">
        <f ca="1">SOLID!K73</f>
        <v>0</v>
      </c>
      <c r="H62" s="16">
        <f ca="1">SOLID!L73</f>
        <v>0</v>
      </c>
      <c r="I62" s="16">
        <f ca="1">SOLID!M73</f>
        <v>0</v>
      </c>
      <c r="J62" s="16">
        <f ca="1">SOLID!N73</f>
        <v>0</v>
      </c>
      <c r="K62" s="16">
        <f ca="1">SOLID!O73</f>
        <v>0</v>
      </c>
      <c r="L62" s="16">
        <f ca="1">SOLID!P73</f>
        <v>0</v>
      </c>
      <c r="M62" s="16">
        <f ca="1">SOLID!Q73</f>
        <v>0</v>
      </c>
      <c r="N62" s="16">
        <f ca="1">SOLID!R73</f>
        <v>0</v>
      </c>
      <c r="O62" s="16">
        <f ca="1">SOLID!S73</f>
        <v>0</v>
      </c>
      <c r="P62" s="16">
        <f ca="1">SOLID!T73</f>
        <v>0</v>
      </c>
      <c r="Q62" s="16">
        <f ca="1">SOLID!U73</f>
        <v>0</v>
      </c>
      <c r="R62" s="16">
        <f ca="1">SOLID!V73</f>
        <v>0</v>
      </c>
      <c r="S62" s="16">
        <f ca="1">SOLID!W73</f>
        <v>0</v>
      </c>
      <c r="T62" s="16">
        <f ca="1">SOLID!X73</f>
        <v>0</v>
      </c>
      <c r="U62" s="16">
        <f ca="1">SOLID!Y73</f>
        <v>0</v>
      </c>
      <c r="V62" s="16">
        <f ca="1">SOLID!Z73</f>
        <v>0</v>
      </c>
      <c r="W62" s="16">
        <f ca="1">SOLID!AA73</f>
        <v>0</v>
      </c>
      <c r="X62" s="16">
        <f ca="1">SOLID!AB73</f>
        <v>0</v>
      </c>
      <c r="Y62" s="16">
        <f ca="1">SOLID!AC73</f>
        <v>0</v>
      </c>
      <c r="Z62" s="16">
        <f ca="1">SOLID!AD73</f>
        <v>0</v>
      </c>
      <c r="AA62" s="16">
        <f ca="1">SOLID!AE73</f>
        <v>0</v>
      </c>
      <c r="AB62" s="16">
        <f ca="1">SOLID!AF73</f>
        <v>0</v>
      </c>
      <c r="AC62" s="16">
        <f ca="1">SOLID!AG73</f>
        <v>0</v>
      </c>
      <c r="AD62" s="16">
        <f ca="1">SOLID!AH73</f>
        <v>0</v>
      </c>
      <c r="AE62" s="16">
        <f ca="1">SOLID!AI73</f>
        <v>0</v>
      </c>
      <c r="AF62" s="16">
        <f ca="1">SOLID!AJ73</f>
        <v>0</v>
      </c>
      <c r="AG62" s="16">
        <f ca="1">SOLID!AK73</f>
        <v>0</v>
      </c>
      <c r="AH62" s="16">
        <f ca="1">SOLID!AL73</f>
        <v>0</v>
      </c>
      <c r="AI62" s="16">
        <f>SOLID!AM73</f>
        <v>0</v>
      </c>
      <c r="AJ62" s="16">
        <f>SOLID!AN73</f>
        <v>0</v>
      </c>
      <c r="AK62" s="16">
        <f>SOLID!AO73</f>
        <v>0</v>
      </c>
      <c r="AL62" s="16">
        <f>SOLID!AP73</f>
        <v>0</v>
      </c>
      <c r="AM62" s="16">
        <f>SOLID!AQ73</f>
        <v>0</v>
      </c>
      <c r="AN62" s="16">
        <f>SOLID!AR73</f>
        <v>0</v>
      </c>
      <c r="AO62" s="16">
        <f>SOLID!AS73</f>
        <v>0</v>
      </c>
      <c r="AP62" s="16">
        <f>SOLID!AT73</f>
        <v>0</v>
      </c>
      <c r="AQ62" s="16">
        <f>SOLID!AU73</f>
        <v>0</v>
      </c>
      <c r="AR62" s="16">
        <f>SOLID!AV73</f>
        <v>0</v>
      </c>
      <c r="AS62" s="16">
        <f>SOLID!AW73</f>
        <v>0</v>
      </c>
      <c r="AT62" s="16">
        <f>SOLID!AX73</f>
        <v>0</v>
      </c>
      <c r="AU62" s="16">
        <f>SOLID!AY73</f>
        <v>0</v>
      </c>
      <c r="AV62" s="16">
        <f>SOLID!AZ73</f>
        <v>0</v>
      </c>
      <c r="AW62" s="16">
        <f>SOLID!BA73</f>
        <v>0</v>
      </c>
      <c r="AX62" s="16">
        <f>SOLID!BB73</f>
        <v>0</v>
      </c>
      <c r="AY62" s="16">
        <f>SOLID!BC73</f>
        <v>0</v>
      </c>
      <c r="AZ62" s="16">
        <f>SOLID!BD73</f>
        <v>0</v>
      </c>
      <c r="BA62" s="16">
        <f>SOLID!BE73</f>
        <v>0</v>
      </c>
      <c r="BB62" s="16">
        <f>SOLID!BF73</f>
        <v>0</v>
      </c>
      <c r="BC62" s="16">
        <f>SOLID!BG73</f>
        <v>0</v>
      </c>
      <c r="BD62" s="16">
        <f>SOLID!BH73</f>
        <v>0</v>
      </c>
      <c r="BE62" s="16">
        <f>SOLID!BI73</f>
        <v>0</v>
      </c>
      <c r="BF62" s="16">
        <f>SOLID!BJ73</f>
        <v>0</v>
      </c>
      <c r="BG62" s="16">
        <f>SOLID!BK73</f>
        <v>0</v>
      </c>
      <c r="BH62" s="16">
        <f>SOLID!BL73</f>
        <v>0</v>
      </c>
      <c r="BI62" s="16">
        <f>SOLID!BM73</f>
        <v>0</v>
      </c>
      <c r="BJ62" s="16">
        <f>SOLID!BN73</f>
        <v>0</v>
      </c>
      <c r="BK62" s="16">
        <f>SOLID!BO73</f>
        <v>0</v>
      </c>
      <c r="BL62" s="16">
        <f>SOLID!BP73</f>
        <v>0</v>
      </c>
      <c r="BM62" s="16">
        <f>SOLID!BQ73</f>
        <v>0</v>
      </c>
      <c r="BN62" s="16">
        <f>SOLID!BR73</f>
        <v>0</v>
      </c>
      <c r="BO62" s="16">
        <f>SOLID!BS73</f>
        <v>0</v>
      </c>
      <c r="BP62" s="16">
        <f>SOLID!BT73</f>
        <v>0</v>
      </c>
      <c r="BQ62" s="16">
        <f>SOLID!BU73</f>
        <v>0</v>
      </c>
      <c r="BR62" s="16">
        <f>SOLID!BV73</f>
        <v>0</v>
      </c>
      <c r="BS62" s="16">
        <f>SOLID!BW73</f>
        <v>0</v>
      </c>
      <c r="BT62" s="16">
        <f>SOLID!BX73</f>
        <v>0</v>
      </c>
    </row>
    <row r="63" spans="1:72" ht="21.75" hidden="1" outlineLevel="1" thickBot="1" x14ac:dyDescent="0.4">
      <c r="A63" s="33">
        <f>SOLID!E74</f>
        <v>0</v>
      </c>
      <c r="B63" s="16">
        <f ca="1">SOLID!F74</f>
        <v>0</v>
      </c>
      <c r="C63" s="16">
        <f ca="1">SOLID!G74</f>
        <v>0</v>
      </c>
      <c r="D63" s="16">
        <f ca="1">SOLID!H74</f>
        <v>0</v>
      </c>
      <c r="E63" s="16">
        <f ca="1">SOLID!I74</f>
        <v>0</v>
      </c>
      <c r="F63" s="16">
        <f ca="1">SOLID!J74</f>
        <v>0</v>
      </c>
      <c r="G63" s="16">
        <f ca="1">SOLID!K74</f>
        <v>0</v>
      </c>
      <c r="H63" s="16">
        <f ca="1">SOLID!L74</f>
        <v>0</v>
      </c>
      <c r="I63" s="16">
        <f ca="1">SOLID!M74</f>
        <v>0</v>
      </c>
      <c r="J63" s="16">
        <f ca="1">SOLID!N74</f>
        <v>0</v>
      </c>
      <c r="K63" s="16">
        <f ca="1">SOLID!O74</f>
        <v>0</v>
      </c>
      <c r="L63" s="16">
        <f ca="1">SOLID!P74</f>
        <v>0</v>
      </c>
      <c r="M63" s="16">
        <f ca="1">SOLID!Q74</f>
        <v>0</v>
      </c>
      <c r="N63" s="16">
        <f ca="1">SOLID!R74</f>
        <v>0</v>
      </c>
      <c r="O63" s="16">
        <f ca="1">SOLID!S74</f>
        <v>0</v>
      </c>
      <c r="P63" s="16">
        <f ca="1">SOLID!T74</f>
        <v>0</v>
      </c>
      <c r="Q63" s="16">
        <f ca="1">SOLID!U74</f>
        <v>0</v>
      </c>
      <c r="R63" s="16">
        <f ca="1">SOLID!V74</f>
        <v>0</v>
      </c>
      <c r="S63" s="16">
        <f ca="1">SOLID!W74</f>
        <v>0</v>
      </c>
      <c r="T63" s="16">
        <f ca="1">SOLID!X74</f>
        <v>0</v>
      </c>
      <c r="U63" s="16">
        <f ca="1">SOLID!Y74</f>
        <v>0</v>
      </c>
      <c r="V63" s="16">
        <f ca="1">SOLID!Z74</f>
        <v>0</v>
      </c>
      <c r="W63" s="16">
        <f ca="1">SOLID!AA74</f>
        <v>0</v>
      </c>
      <c r="X63" s="16">
        <f ca="1">SOLID!AB74</f>
        <v>0</v>
      </c>
      <c r="Y63" s="16">
        <f ca="1">SOLID!AC74</f>
        <v>0</v>
      </c>
      <c r="Z63" s="16">
        <f ca="1">SOLID!AD74</f>
        <v>0</v>
      </c>
      <c r="AA63" s="16">
        <f ca="1">SOLID!AE74</f>
        <v>0</v>
      </c>
      <c r="AB63" s="16">
        <f ca="1">SOLID!AF74</f>
        <v>0</v>
      </c>
      <c r="AC63" s="16">
        <f ca="1">SOLID!AG74</f>
        <v>0</v>
      </c>
      <c r="AD63" s="16">
        <f ca="1">SOLID!AH74</f>
        <v>0</v>
      </c>
      <c r="AE63" s="16">
        <f ca="1">SOLID!AI74</f>
        <v>0</v>
      </c>
      <c r="AF63" s="16">
        <f ca="1">SOLID!AJ74</f>
        <v>0</v>
      </c>
      <c r="AG63" s="16">
        <f ca="1">SOLID!AK74</f>
        <v>0</v>
      </c>
      <c r="AH63" s="16">
        <f ca="1">SOLID!AL74</f>
        <v>0</v>
      </c>
      <c r="AI63" s="16">
        <f>SOLID!AM74</f>
        <v>0</v>
      </c>
      <c r="AJ63" s="16">
        <f>SOLID!AN74</f>
        <v>0</v>
      </c>
      <c r="AK63" s="16">
        <f>SOLID!AO74</f>
        <v>0</v>
      </c>
      <c r="AL63" s="16">
        <f>SOLID!AP74</f>
        <v>0</v>
      </c>
      <c r="AM63" s="16">
        <f>SOLID!AQ74</f>
        <v>0</v>
      </c>
      <c r="AN63" s="16">
        <f>SOLID!AR74</f>
        <v>0</v>
      </c>
      <c r="AO63" s="16">
        <f>SOLID!AS74</f>
        <v>0</v>
      </c>
      <c r="AP63" s="16">
        <f>SOLID!AT74</f>
        <v>0</v>
      </c>
      <c r="AQ63" s="16">
        <f>SOLID!AU74</f>
        <v>0</v>
      </c>
      <c r="AR63" s="16">
        <f>SOLID!AV74</f>
        <v>0</v>
      </c>
      <c r="AS63" s="16">
        <f>SOLID!AW74</f>
        <v>0</v>
      </c>
      <c r="AT63" s="16">
        <f>SOLID!AX74</f>
        <v>0</v>
      </c>
      <c r="AU63" s="16">
        <f>SOLID!AY74</f>
        <v>0</v>
      </c>
      <c r="AV63" s="16">
        <f>SOLID!AZ74</f>
        <v>0</v>
      </c>
      <c r="AW63" s="16">
        <f>SOLID!BA74</f>
        <v>0</v>
      </c>
      <c r="AX63" s="16">
        <f>SOLID!BB74</f>
        <v>0</v>
      </c>
      <c r="AY63" s="16">
        <f>SOLID!BC74</f>
        <v>0</v>
      </c>
      <c r="AZ63" s="16">
        <f>SOLID!BD74</f>
        <v>0</v>
      </c>
      <c r="BA63" s="16">
        <f>SOLID!BE74</f>
        <v>0</v>
      </c>
      <c r="BB63" s="16">
        <f>SOLID!BF74</f>
        <v>0</v>
      </c>
      <c r="BC63" s="16">
        <f>SOLID!BG74</f>
        <v>0</v>
      </c>
      <c r="BD63" s="16">
        <f>SOLID!BH74</f>
        <v>0</v>
      </c>
      <c r="BE63" s="16">
        <f>SOLID!BI74</f>
        <v>0</v>
      </c>
      <c r="BF63" s="16">
        <f>SOLID!BJ74</f>
        <v>0</v>
      </c>
      <c r="BG63" s="16">
        <f>SOLID!BK74</f>
        <v>0</v>
      </c>
      <c r="BH63" s="16">
        <f>SOLID!BL74</f>
        <v>0</v>
      </c>
      <c r="BI63" s="16">
        <f>SOLID!BM74</f>
        <v>0</v>
      </c>
      <c r="BJ63" s="16">
        <f>SOLID!BN74</f>
        <v>0</v>
      </c>
      <c r="BK63" s="16">
        <f>SOLID!BO74</f>
        <v>0</v>
      </c>
      <c r="BL63" s="16">
        <f>SOLID!BP74</f>
        <v>0</v>
      </c>
      <c r="BM63" s="16">
        <f>SOLID!BQ74</f>
        <v>0</v>
      </c>
      <c r="BN63" s="16">
        <f>SOLID!BR74</f>
        <v>0</v>
      </c>
      <c r="BO63" s="16">
        <f>SOLID!BS74</f>
        <v>0</v>
      </c>
      <c r="BP63" s="16">
        <f>SOLID!BT74</f>
        <v>0</v>
      </c>
      <c r="BQ63" s="16">
        <f>SOLID!BU74</f>
        <v>0</v>
      </c>
      <c r="BR63" s="16">
        <f>SOLID!BV74</f>
        <v>0</v>
      </c>
      <c r="BS63" s="16">
        <f>SOLID!BW74</f>
        <v>0</v>
      </c>
      <c r="BT63" s="16">
        <f>SOLID!BX74</f>
        <v>0</v>
      </c>
    </row>
    <row r="64" spans="1:72" ht="21.75" hidden="1" outlineLevel="1" thickBot="1" x14ac:dyDescent="0.4">
      <c r="A64" s="33">
        <f>SOLID!E75</f>
        <v>1</v>
      </c>
      <c r="B64" s="16">
        <f>SOLID!F75</f>
        <v>0</v>
      </c>
      <c r="C64" s="16">
        <f>SOLID!G75</f>
        <v>0</v>
      </c>
      <c r="D64" s="16">
        <f>SOLID!H75</f>
        <v>0</v>
      </c>
      <c r="E64" s="16">
        <f>SOLID!I75</f>
        <v>0</v>
      </c>
      <c r="F64" s="16">
        <f>SOLID!J75</f>
        <v>0</v>
      </c>
      <c r="G64" s="16">
        <f>SOLID!K75</f>
        <v>0</v>
      </c>
      <c r="H64" s="16">
        <f>SOLID!L75</f>
        <v>0</v>
      </c>
      <c r="I64" s="16">
        <f>SOLID!M75</f>
        <v>0</v>
      </c>
      <c r="J64" s="16">
        <f>SOLID!N75</f>
        <v>0</v>
      </c>
      <c r="K64" s="16">
        <f>SOLID!O75</f>
        <v>0</v>
      </c>
      <c r="L64" s="16">
        <f>SOLID!P75</f>
        <v>0</v>
      </c>
      <c r="M64" s="16">
        <f>SOLID!Q75</f>
        <v>0</v>
      </c>
      <c r="N64" s="16">
        <f>SOLID!R75</f>
        <v>0</v>
      </c>
      <c r="O64" s="16">
        <f>SOLID!S75</f>
        <v>0</v>
      </c>
      <c r="P64" s="16">
        <f>SOLID!T75</f>
        <v>0</v>
      </c>
      <c r="Q64" s="16">
        <f>SOLID!U75</f>
        <v>0</v>
      </c>
      <c r="R64" s="16">
        <f>SOLID!V75</f>
        <v>0</v>
      </c>
      <c r="S64" s="16">
        <f>SOLID!W75</f>
        <v>0</v>
      </c>
      <c r="T64" s="16">
        <f>SOLID!X75</f>
        <v>0</v>
      </c>
      <c r="U64" s="16">
        <f>SOLID!Y75</f>
        <v>0</v>
      </c>
      <c r="V64" s="16">
        <f>SOLID!Z75</f>
        <v>0</v>
      </c>
      <c r="W64" s="16">
        <f>SOLID!AA75</f>
        <v>0</v>
      </c>
      <c r="X64" s="16">
        <f>SOLID!AB75</f>
        <v>0</v>
      </c>
      <c r="Y64" s="16">
        <f>SOLID!AC75</f>
        <v>0</v>
      </c>
      <c r="Z64" s="16">
        <f>SOLID!AD75</f>
        <v>0</v>
      </c>
      <c r="AA64" s="16">
        <f>SOLID!AE75</f>
        <v>0</v>
      </c>
      <c r="AB64" s="16">
        <f>SOLID!AF75</f>
        <v>0</v>
      </c>
      <c r="AC64" s="16">
        <f>SOLID!AG75</f>
        <v>0</v>
      </c>
      <c r="AD64" s="16">
        <f>SOLID!AH75</f>
        <v>0</v>
      </c>
      <c r="AE64" s="16">
        <f>SOLID!AI75</f>
        <v>0</v>
      </c>
      <c r="AF64" s="16">
        <f>SOLID!AJ75</f>
        <v>0</v>
      </c>
      <c r="AG64" s="16">
        <f>SOLID!AK75</f>
        <v>0</v>
      </c>
      <c r="AH64" s="16">
        <f>SOLID!AL75</f>
        <v>0</v>
      </c>
      <c r="AI64" s="16">
        <f>SOLID!AM75</f>
        <v>0</v>
      </c>
      <c r="AJ64" s="16">
        <f>SOLID!AN75</f>
        <v>0</v>
      </c>
      <c r="AK64" s="16">
        <f>SOLID!AO75</f>
        <v>0</v>
      </c>
      <c r="AL64" s="16">
        <f>SOLID!AP75</f>
        <v>0</v>
      </c>
      <c r="AM64" s="16">
        <f>SOLID!AQ75</f>
        <v>0</v>
      </c>
      <c r="AN64" s="16">
        <f>SOLID!AR75</f>
        <v>0</v>
      </c>
      <c r="AO64" s="16">
        <f>SOLID!AS75</f>
        <v>0</v>
      </c>
      <c r="AP64" s="16">
        <f>SOLID!AT75</f>
        <v>0</v>
      </c>
      <c r="AQ64" s="16">
        <f>SOLID!AU75</f>
        <v>0</v>
      </c>
      <c r="AR64" s="16">
        <f>SOLID!AV75</f>
        <v>0</v>
      </c>
      <c r="AS64" s="16">
        <f>SOLID!AW75</f>
        <v>0</v>
      </c>
      <c r="AT64" s="16">
        <f>SOLID!AX75</f>
        <v>0</v>
      </c>
      <c r="AU64" s="16">
        <f>SOLID!AY75</f>
        <v>0</v>
      </c>
      <c r="AV64" s="16">
        <f>SOLID!AZ75</f>
        <v>0</v>
      </c>
      <c r="AW64" s="16">
        <f>SOLID!BA75</f>
        <v>0</v>
      </c>
      <c r="AX64" s="16">
        <f>SOLID!BB75</f>
        <v>0</v>
      </c>
      <c r="AY64" s="16">
        <f>SOLID!BC75</f>
        <v>0</v>
      </c>
      <c r="AZ64" s="16">
        <f>SOLID!BD75</f>
        <v>0</v>
      </c>
      <c r="BA64" s="16">
        <f>SOLID!BE75</f>
        <v>0</v>
      </c>
      <c r="BB64" s="16">
        <f>SOLID!BF75</f>
        <v>0</v>
      </c>
      <c r="BC64" s="16">
        <f>SOLID!BG75</f>
        <v>0</v>
      </c>
      <c r="BD64" s="16">
        <f>SOLID!BH75</f>
        <v>0</v>
      </c>
      <c r="BE64" s="16">
        <f>SOLID!BI75</f>
        <v>0</v>
      </c>
      <c r="BF64" s="16">
        <f>SOLID!BJ75</f>
        <v>0</v>
      </c>
      <c r="BG64" s="16">
        <f>SOLID!BK75</f>
        <v>0</v>
      </c>
      <c r="BH64" s="16">
        <f>SOLID!BL75</f>
        <v>0</v>
      </c>
      <c r="BI64" s="16">
        <f>SOLID!BM75</f>
        <v>0</v>
      </c>
      <c r="BJ64" s="16">
        <f>SOLID!BN75</f>
        <v>0</v>
      </c>
      <c r="BK64" s="16">
        <f>SOLID!BO75</f>
        <v>0</v>
      </c>
      <c r="BL64" s="16">
        <f>SOLID!BP75</f>
        <v>0</v>
      </c>
      <c r="BM64" s="16">
        <f>SOLID!BQ75</f>
        <v>0</v>
      </c>
      <c r="BN64" s="16">
        <f>SOLID!BR75</f>
        <v>0</v>
      </c>
      <c r="BO64" s="16">
        <f>SOLID!BS75</f>
        <v>0</v>
      </c>
      <c r="BP64" s="16">
        <f>SOLID!BT75</f>
        <v>0</v>
      </c>
      <c r="BQ64" s="16">
        <f>SOLID!BU75</f>
        <v>0</v>
      </c>
      <c r="BR64" s="16">
        <f>SOLID!BV75</f>
        <v>0</v>
      </c>
      <c r="BS64" s="16">
        <f>SOLID!BW75</f>
        <v>0</v>
      </c>
      <c r="BT64" s="16">
        <f>SOLID!BX75</f>
        <v>0</v>
      </c>
    </row>
    <row r="65" spans="1:72" ht="22.5" collapsed="1" thickTop="1" thickBot="1" x14ac:dyDescent="0.4">
      <c r="A65" s="36"/>
      <c r="F65" s="36"/>
      <c r="G65" s="36"/>
      <c r="H65" s="36"/>
      <c r="I65" s="36"/>
      <c r="J65" s="36"/>
      <c r="K65" s="36"/>
      <c r="L65" s="36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  <c r="BK65" s="36"/>
      <c r="BL65" s="36"/>
      <c r="BM65" s="36"/>
      <c r="BN65" s="36"/>
      <c r="BO65" s="36"/>
      <c r="BP65" s="36"/>
      <c r="BQ65" s="36"/>
      <c r="BR65" s="36"/>
      <c r="BS65" s="36"/>
      <c r="BT65" s="36"/>
    </row>
    <row r="66" spans="1:72" ht="22.5" thickTop="1" thickBot="1" x14ac:dyDescent="0.4">
      <c r="A66" s="4" t="s">
        <v>29</v>
      </c>
      <c r="B66" s="63">
        <f>ALL!F45</f>
        <v>273.10000000000002</v>
      </c>
      <c r="C66" s="63">
        <f>ALL!G45</f>
        <v>289.7</v>
      </c>
      <c r="D66" s="63">
        <f>ALL!H45</f>
        <v>306.2</v>
      </c>
      <c r="E66" s="63">
        <f>ALL!I45</f>
        <v>322.7</v>
      </c>
      <c r="F66" s="63">
        <f>ALL!J45</f>
        <v>339.2</v>
      </c>
      <c r="G66" s="63">
        <f>ALL!K45</f>
        <v>405.3</v>
      </c>
      <c r="H66" s="63">
        <f>ALL!L45</f>
        <v>421.8</v>
      </c>
      <c r="I66" s="63">
        <f>ALL!M45</f>
        <v>438.3</v>
      </c>
      <c r="J66" s="63">
        <f>ALL!N45</f>
        <v>454.9</v>
      </c>
      <c r="K66" s="63">
        <f>ALL!O45</f>
        <v>471.4</v>
      </c>
      <c r="L66" s="63">
        <f>ALL!P45</f>
        <v>487.9</v>
      </c>
      <c r="M66" s="63">
        <f>ALL!Q45</f>
        <v>504.4</v>
      </c>
      <c r="N66" s="63">
        <f>ALL!R45</f>
        <v>520.9</v>
      </c>
      <c r="O66" s="63">
        <f>ALL!S45</f>
        <v>537.5</v>
      </c>
      <c r="P66" s="63">
        <f>ALL!T45</f>
        <v>554</v>
      </c>
      <c r="Q66" s="63">
        <f>ALL!U45</f>
        <v>570.5</v>
      </c>
      <c r="R66" s="63">
        <f>ALL!V45</f>
        <v>587</v>
      </c>
      <c r="S66" s="63">
        <f>ALL!W45</f>
        <v>603.5</v>
      </c>
      <c r="T66" s="63">
        <f>ALL!X45</f>
        <v>620.1</v>
      </c>
      <c r="U66" s="63">
        <f>ALL!Y45</f>
        <v>636.6</v>
      </c>
      <c r="V66" s="63">
        <f>ALL!Z45</f>
        <v>653.1</v>
      </c>
      <c r="W66" s="63">
        <f>ALL!AA45</f>
        <v>669.6</v>
      </c>
      <c r="X66" s="63">
        <f>ALL!AB45</f>
        <v>735.7</v>
      </c>
      <c r="Y66" s="63">
        <f>ALL!AC45</f>
        <v>801.8</v>
      </c>
      <c r="Z66" s="63">
        <f>ALL!AD45</f>
        <v>867.8</v>
      </c>
      <c r="AA66" s="63">
        <f>ALL!AE45</f>
        <v>884.4</v>
      </c>
      <c r="AB66" s="63">
        <f>ALL!AF45</f>
        <v>900.9</v>
      </c>
      <c r="AC66" s="63">
        <f>ALL!AG45</f>
        <v>917.4</v>
      </c>
      <c r="AD66" s="63">
        <f>ALL!AH45</f>
        <v>933.9</v>
      </c>
      <c r="AE66" s="63">
        <f>ALL!AI45</f>
        <v>950.4</v>
      </c>
      <c r="AF66" s="63">
        <f>ALL!AJ45</f>
        <v>967</v>
      </c>
      <c r="AG66" s="63">
        <f>ALL!AK45</f>
        <v>983.5</v>
      </c>
      <c r="AH66" s="63">
        <f>ALL!AL45</f>
        <v>1000</v>
      </c>
      <c r="AI66" s="63">
        <f>ALL!AM45</f>
        <v>0</v>
      </c>
      <c r="AJ66" s="63">
        <f>ALL!AN45</f>
        <v>0</v>
      </c>
      <c r="AK66" s="63">
        <f>ALL!AO45</f>
        <v>0</v>
      </c>
      <c r="AL66" s="63">
        <f>ALL!AP45</f>
        <v>0</v>
      </c>
      <c r="AM66" s="63">
        <f>ALL!AQ45</f>
        <v>0</v>
      </c>
      <c r="AN66" s="63">
        <f>ALL!AR45</f>
        <v>0</v>
      </c>
      <c r="AO66" s="63">
        <f>ALL!AS45</f>
        <v>0</v>
      </c>
      <c r="AP66" s="63">
        <f>ALL!AT45</f>
        <v>0</v>
      </c>
      <c r="AQ66" s="63">
        <f>ALL!AU45</f>
        <v>0</v>
      </c>
      <c r="AR66" s="63">
        <f>ALL!AV45</f>
        <v>0</v>
      </c>
      <c r="AS66" s="63">
        <f>ALL!AW45</f>
        <v>0</v>
      </c>
      <c r="AT66" s="63">
        <f>ALL!AX45</f>
        <v>0</v>
      </c>
      <c r="AU66" s="63">
        <f>ALL!AY45</f>
        <v>0</v>
      </c>
      <c r="AV66" s="63">
        <f>ALL!AZ45</f>
        <v>0</v>
      </c>
      <c r="AW66" s="63">
        <f>ALL!BA45</f>
        <v>0</v>
      </c>
      <c r="AX66" s="63">
        <f>ALL!BB45</f>
        <v>0</v>
      </c>
      <c r="AY66" s="63">
        <f>ALL!BC45</f>
        <v>0</v>
      </c>
      <c r="AZ66" s="63">
        <f>ALL!BD45</f>
        <v>0</v>
      </c>
      <c r="BA66" s="63">
        <f>ALL!BE45</f>
        <v>0</v>
      </c>
      <c r="BB66" s="63">
        <f>ALL!BF45</f>
        <v>0</v>
      </c>
      <c r="BC66" s="63">
        <f>ALL!BG45</f>
        <v>0</v>
      </c>
      <c r="BD66" s="63">
        <f>ALL!BH45</f>
        <v>0</v>
      </c>
      <c r="BE66" s="63">
        <f>ALL!BI45</f>
        <v>0</v>
      </c>
      <c r="BF66" s="63">
        <f>ALL!BJ45</f>
        <v>0</v>
      </c>
      <c r="BG66" s="63">
        <f>ALL!BK45</f>
        <v>0</v>
      </c>
      <c r="BH66" s="63">
        <f>ALL!BL45</f>
        <v>0</v>
      </c>
      <c r="BI66" s="63">
        <f>ALL!BM45</f>
        <v>0</v>
      </c>
      <c r="BJ66" s="63">
        <f>ALL!BN45</f>
        <v>0</v>
      </c>
      <c r="BK66" s="63">
        <f>ALL!BO45</f>
        <v>0</v>
      </c>
      <c r="BL66" s="63">
        <f>ALL!BP45</f>
        <v>0</v>
      </c>
      <c r="BM66" s="63">
        <f>ALL!BQ45</f>
        <v>0</v>
      </c>
      <c r="BN66" s="63">
        <f>ALL!BR45</f>
        <v>0</v>
      </c>
      <c r="BO66" s="63">
        <f>ALL!BS45</f>
        <v>0</v>
      </c>
      <c r="BP66" s="63">
        <f>ALL!BT45</f>
        <v>0</v>
      </c>
      <c r="BQ66" s="63">
        <f>ALL!BU45</f>
        <v>0</v>
      </c>
      <c r="BR66" s="63">
        <f>ALL!BV45</f>
        <v>0</v>
      </c>
      <c r="BS66" s="63">
        <f>ALL!BW45</f>
        <v>0</v>
      </c>
      <c r="BT66" s="63">
        <f>ALL!BX45</f>
        <v>0</v>
      </c>
    </row>
    <row r="67" spans="1:72" ht="22.5" hidden="1" outlineLevel="1" thickTop="1" thickBot="1" x14ac:dyDescent="0.4">
      <c r="A67" s="34" t="str">
        <f>ALL!E46</f>
        <v>*Se[M]</v>
      </c>
      <c r="B67" s="16">
        <f ca="1">ALL!F46</f>
        <v>-23.56</v>
      </c>
      <c r="C67" s="16">
        <f ca="1">ALL!G46</f>
        <v>-22.54</v>
      </c>
      <c r="D67" s="16">
        <f ca="1">ALL!H46</f>
        <v>-21.78</v>
      </c>
      <c r="E67" s="16">
        <f ca="1">ALL!I46</f>
        <v>-21.32</v>
      </c>
      <c r="F67" s="16">
        <f ca="1">ALL!J46</f>
        <v>-21.15</v>
      </c>
      <c r="G67" s="16">
        <f ca="1">ALL!K46</f>
        <v>-21.73</v>
      </c>
      <c r="H67" s="16">
        <f ca="1">ALL!L46</f>
        <v>-21.95</v>
      </c>
      <c r="I67" s="16">
        <f ca="1">ALL!M46</f>
        <v>-22.15</v>
      </c>
      <c r="J67" s="16">
        <f ca="1">ALL!N46</f>
        <v>-22.32</v>
      </c>
      <c r="K67" s="16">
        <f ca="1">ALL!O46</f>
        <v>-22.46</v>
      </c>
      <c r="L67" s="16">
        <f ca="1">ALL!P46</f>
        <v>-22.6</v>
      </c>
      <c r="M67" s="16">
        <f ca="1">ALL!Q46</f>
        <v>-22.76</v>
      </c>
      <c r="N67" s="16">
        <f ca="1">ALL!R46</f>
        <v>-22.95</v>
      </c>
      <c r="O67" s="16">
        <f ca="1">ALL!S46</f>
        <v>-23.15</v>
      </c>
      <c r="P67" s="16">
        <f ca="1">ALL!T46</f>
        <v>-23.37</v>
      </c>
      <c r="Q67" s="16">
        <f ca="1">ALL!U46</f>
        <v>-23.6</v>
      </c>
      <c r="R67" s="16">
        <f ca="1">ALL!V46</f>
        <v>-23.84</v>
      </c>
      <c r="S67" s="16">
        <f ca="1">ALL!W46</f>
        <v>-24.07</v>
      </c>
      <c r="T67" s="16">
        <f ca="1">ALL!X46</f>
        <v>-24.31</v>
      </c>
      <c r="U67" s="16">
        <f ca="1">ALL!Y46</f>
        <v>-24.54</v>
      </c>
      <c r="V67" s="16">
        <f ca="1">ALL!Z46</f>
        <v>-24.77</v>
      </c>
      <c r="W67" s="16">
        <f ca="1">ALL!AA46</f>
        <v>-25</v>
      </c>
      <c r="X67" s="16">
        <f ca="1">ALL!AB46</f>
        <v>-25.9</v>
      </c>
      <c r="Y67" s="16">
        <f ca="1">ALL!AC46</f>
        <v>-26.75</v>
      </c>
      <c r="Z67" s="16">
        <f ca="1">ALL!AD46</f>
        <v>-27.55</v>
      </c>
      <c r="AA67" s="16">
        <f ca="1">ALL!AE46</f>
        <v>-27.75</v>
      </c>
      <c r="AB67" s="16">
        <f ca="1">ALL!AF46</f>
        <v>-27.95</v>
      </c>
      <c r="AC67" s="16">
        <f ca="1">ALL!AG46</f>
        <v>-28.15</v>
      </c>
      <c r="AD67" s="16">
        <f ca="1">ALL!AH46</f>
        <v>-28.35</v>
      </c>
      <c r="AE67" s="16">
        <f ca="1">ALL!AI46</f>
        <v>-28.54</v>
      </c>
      <c r="AF67" s="16">
        <f ca="1">ALL!AJ46</f>
        <v>-28.74</v>
      </c>
      <c r="AG67" s="16">
        <f ca="1">ALL!AK46</f>
        <v>-28.94</v>
      </c>
      <c r="AH67" s="16">
        <f ca="1">ALL!AL46</f>
        <v>-29.13</v>
      </c>
      <c r="AI67" s="16">
        <f>ALL!AM46</f>
        <v>0</v>
      </c>
      <c r="AJ67" s="16">
        <f>ALL!AN46</f>
        <v>0</v>
      </c>
      <c r="AK67" s="16">
        <f>ALL!AO46</f>
        <v>0</v>
      </c>
      <c r="AL67" s="16">
        <f>ALL!AP46</f>
        <v>0</v>
      </c>
      <c r="AM67" s="16">
        <f>ALL!AQ46</f>
        <v>0</v>
      </c>
      <c r="AN67" s="16">
        <f>ALL!AR46</f>
        <v>0</v>
      </c>
      <c r="AO67" s="16">
        <f>ALL!AS46</f>
        <v>0</v>
      </c>
      <c r="AP67" s="16">
        <f>ALL!AT46</f>
        <v>0</v>
      </c>
      <c r="AQ67" s="16">
        <f>ALL!AU46</f>
        <v>0</v>
      </c>
      <c r="AR67" s="16">
        <f>ALL!AV46</f>
        <v>0</v>
      </c>
      <c r="AS67" s="16">
        <f>ALL!AW46</f>
        <v>0</v>
      </c>
      <c r="AT67" s="16">
        <f>ALL!AX46</f>
        <v>0</v>
      </c>
      <c r="AU67" s="16">
        <f>ALL!AY46</f>
        <v>0</v>
      </c>
      <c r="AV67" s="16">
        <f>ALL!AZ46</f>
        <v>0</v>
      </c>
      <c r="AW67" s="16">
        <f>ALL!BA46</f>
        <v>0</v>
      </c>
      <c r="AX67" s="16">
        <f>ALL!BB46</f>
        <v>0</v>
      </c>
      <c r="AY67" s="16">
        <f>ALL!BC46</f>
        <v>0</v>
      </c>
      <c r="AZ67" s="16">
        <f>ALL!BD46</f>
        <v>0</v>
      </c>
      <c r="BA67" s="16">
        <f>ALL!BE46</f>
        <v>0</v>
      </c>
      <c r="BB67" s="16">
        <f>ALL!BF46</f>
        <v>0</v>
      </c>
      <c r="BC67" s="16">
        <f>ALL!BG46</f>
        <v>0</v>
      </c>
      <c r="BD67" s="16">
        <f>ALL!BH46</f>
        <v>0</v>
      </c>
      <c r="BE67" s="16">
        <f>ALL!BI46</f>
        <v>0</v>
      </c>
      <c r="BF67" s="16">
        <f>ALL!BJ46</f>
        <v>0</v>
      </c>
      <c r="BG67" s="16">
        <f>ALL!BK46</f>
        <v>0</v>
      </c>
      <c r="BH67" s="16">
        <f>ALL!BL46</f>
        <v>0</v>
      </c>
      <c r="BI67" s="16">
        <f>ALL!BM46</f>
        <v>0</v>
      </c>
      <c r="BJ67" s="16">
        <f>ALL!BN46</f>
        <v>0</v>
      </c>
      <c r="BK67" s="16">
        <f>ALL!BO46</f>
        <v>0</v>
      </c>
      <c r="BL67" s="16">
        <f>ALL!BP46</f>
        <v>0</v>
      </c>
      <c r="BM67" s="16">
        <f>ALL!BQ46</f>
        <v>0</v>
      </c>
      <c r="BN67" s="16">
        <f>ALL!BR46</f>
        <v>0</v>
      </c>
      <c r="BO67" s="16">
        <f>ALL!BS46</f>
        <v>0</v>
      </c>
      <c r="BP67" s="16">
        <f>ALL!BT46</f>
        <v>0</v>
      </c>
      <c r="BQ67" s="16">
        <f>ALL!BU46</f>
        <v>0</v>
      </c>
      <c r="BR67" s="16">
        <f>ALL!BV46</f>
        <v>0</v>
      </c>
      <c r="BS67" s="16">
        <f>ALL!BW46</f>
        <v>0</v>
      </c>
      <c r="BT67" s="16">
        <f>ALL!BX46</f>
        <v>0</v>
      </c>
    </row>
    <row r="68" spans="1:72" ht="21.75" hidden="1" outlineLevel="1" thickBot="1" x14ac:dyDescent="0.4">
      <c r="A68" s="34" t="str">
        <f>ALL!E47</f>
        <v>*GeSe</v>
      </c>
      <c r="B68" s="16">
        <f ca="1">ALL!F47</f>
        <v>-40.65</v>
      </c>
      <c r="C68" s="16">
        <f ca="1">ALL!G47</f>
        <v>-38.869999999999997</v>
      </c>
      <c r="D68" s="16">
        <f ca="1">ALL!H47</f>
        <v>-37.270000000000003</v>
      </c>
      <c r="E68" s="16">
        <f ca="1">ALL!I47</f>
        <v>-35.82</v>
      </c>
      <c r="F68" s="16">
        <f ca="1">ALL!J47</f>
        <v>-34.53</v>
      </c>
      <c r="G68" s="16">
        <f ca="1">ALL!K47</f>
        <v>-30.672000000000001</v>
      </c>
      <c r="H68" s="16">
        <f ca="1">ALL!L47</f>
        <v>-29.969000000000001</v>
      </c>
      <c r="I68" s="16">
        <f ca="1">ALL!M47</f>
        <v>-29.364999999999998</v>
      </c>
      <c r="J68" s="16">
        <f ca="1">ALL!N47</f>
        <v>-28.877000000000002</v>
      </c>
      <c r="K68" s="16">
        <f ca="1">ALL!O47</f>
        <v>-28.516000000000002</v>
      </c>
      <c r="L68" s="16">
        <f ca="1">ALL!P47</f>
        <v>-28.305</v>
      </c>
      <c r="M68" s="16">
        <f ca="1">ALL!Q47</f>
        <v>-28.243000000000002</v>
      </c>
      <c r="N68" s="16">
        <f ca="1">ALL!R47</f>
        <v>-28.314</v>
      </c>
      <c r="O68" s="16">
        <f ca="1">ALL!S47</f>
        <v>-28.468999999999998</v>
      </c>
      <c r="P68" s="16">
        <f ca="1">ALL!T47</f>
        <v>-28.689</v>
      </c>
      <c r="Q68" s="16">
        <f ca="1">ALL!U47</f>
        <v>-28.944000000000003</v>
      </c>
      <c r="R68" s="16">
        <f ca="1">ALL!V47</f>
        <v>-29.219000000000001</v>
      </c>
      <c r="S68" s="16">
        <f ca="1">ALL!W47</f>
        <v>-29.488</v>
      </c>
      <c r="T68" s="16">
        <f ca="1">ALL!X47</f>
        <v>-29.768999999999998</v>
      </c>
      <c r="U68" s="16">
        <f ca="1">ALL!Y47</f>
        <v>-30.038999999999998</v>
      </c>
      <c r="V68" s="16">
        <f ca="1">ALL!Z47</f>
        <v>-30.31</v>
      </c>
      <c r="W68" s="16">
        <f ca="1">ALL!AA47</f>
        <v>-30.58</v>
      </c>
      <c r="X68" s="16">
        <f ca="1">ALL!AB47</f>
        <v>-31.643000000000001</v>
      </c>
      <c r="Y68" s="16">
        <f ca="1">ALL!AC47</f>
        <v>-32.667000000000002</v>
      </c>
      <c r="Z68" s="16">
        <f ca="1">ALL!AD47</f>
        <v>-33.676000000000002</v>
      </c>
      <c r="AA68" s="16">
        <f ca="1">ALL!AE47</f>
        <v>-33.924999999999997</v>
      </c>
      <c r="AB68" s="16">
        <f ca="1">ALL!AF47</f>
        <v>-34.170999999999999</v>
      </c>
      <c r="AC68" s="16">
        <f ca="1">ALL!AG47</f>
        <v>-34.412999999999997</v>
      </c>
      <c r="AD68" s="16">
        <f ca="1">ALL!AH47</f>
        <v>-34.652999999999999</v>
      </c>
      <c r="AE68" s="16">
        <f ca="1">ALL!AI47</f>
        <v>-34.881999999999998</v>
      </c>
      <c r="AF68" s="16">
        <f ca="1">ALL!AJ47</f>
        <v>-35.119</v>
      </c>
      <c r="AG68" s="16">
        <f ca="1">ALL!AK47</f>
        <v>-35.356000000000002</v>
      </c>
      <c r="AH68" s="16">
        <f ca="1">ALL!AL47</f>
        <v>-35.582000000000001</v>
      </c>
      <c r="AI68" s="16">
        <f>ALL!AM47</f>
        <v>0</v>
      </c>
      <c r="AJ68" s="16">
        <f>ALL!AN47</f>
        <v>0</v>
      </c>
      <c r="AK68" s="16">
        <f>ALL!AO47</f>
        <v>0</v>
      </c>
      <c r="AL68" s="16">
        <f>ALL!AP47</f>
        <v>0</v>
      </c>
      <c r="AM68" s="16">
        <f>ALL!AQ47</f>
        <v>0</v>
      </c>
      <c r="AN68" s="16">
        <f>ALL!AR47</f>
        <v>0</v>
      </c>
      <c r="AO68" s="16">
        <f>ALL!AS47</f>
        <v>0</v>
      </c>
      <c r="AP68" s="16">
        <f>ALL!AT47</f>
        <v>0</v>
      </c>
      <c r="AQ68" s="16">
        <f>ALL!AU47</f>
        <v>0</v>
      </c>
      <c r="AR68" s="16">
        <f>ALL!AV47</f>
        <v>0</v>
      </c>
      <c r="AS68" s="16">
        <f>ALL!AW47</f>
        <v>0</v>
      </c>
      <c r="AT68" s="16">
        <f>ALL!AX47</f>
        <v>0</v>
      </c>
      <c r="AU68" s="16">
        <f>ALL!AY47</f>
        <v>0</v>
      </c>
      <c r="AV68" s="16">
        <f>ALL!AZ47</f>
        <v>0</v>
      </c>
      <c r="AW68" s="16">
        <f>ALL!BA47</f>
        <v>0</v>
      </c>
      <c r="AX68" s="16">
        <f>ALL!BB47</f>
        <v>0</v>
      </c>
      <c r="AY68" s="16">
        <f>ALL!BC47</f>
        <v>0</v>
      </c>
      <c r="AZ68" s="16">
        <f>ALL!BD47</f>
        <v>0</v>
      </c>
      <c r="BA68" s="16">
        <f>ALL!BE47</f>
        <v>0</v>
      </c>
      <c r="BB68" s="16">
        <f>ALL!BF47</f>
        <v>0</v>
      </c>
      <c r="BC68" s="16">
        <f>ALL!BG47</f>
        <v>0</v>
      </c>
      <c r="BD68" s="16">
        <f>ALL!BH47</f>
        <v>0</v>
      </c>
      <c r="BE68" s="16">
        <f>ALL!BI47</f>
        <v>0</v>
      </c>
      <c r="BF68" s="16">
        <f>ALL!BJ47</f>
        <v>0</v>
      </c>
      <c r="BG68" s="16">
        <f>ALL!BK47</f>
        <v>0</v>
      </c>
      <c r="BH68" s="16">
        <f>ALL!BL47</f>
        <v>0</v>
      </c>
      <c r="BI68" s="16">
        <f>ALL!BM47</f>
        <v>0</v>
      </c>
      <c r="BJ68" s="16">
        <f>ALL!BN47</f>
        <v>0</v>
      </c>
      <c r="BK68" s="16">
        <f>ALL!BO47</f>
        <v>0</v>
      </c>
      <c r="BL68" s="16">
        <f>ALL!BP47</f>
        <v>0</v>
      </c>
      <c r="BM68" s="16">
        <f>ALL!BQ47</f>
        <v>0</v>
      </c>
      <c r="BN68" s="16">
        <f>ALL!BR47</f>
        <v>0</v>
      </c>
      <c r="BO68" s="16">
        <f>ALL!BS47</f>
        <v>0</v>
      </c>
      <c r="BP68" s="16">
        <f>ALL!BT47</f>
        <v>0</v>
      </c>
      <c r="BQ68" s="16">
        <f>ALL!BU47</f>
        <v>0</v>
      </c>
      <c r="BR68" s="16">
        <f>ALL!BV47</f>
        <v>0</v>
      </c>
      <c r="BS68" s="16">
        <f>ALL!BW47</f>
        <v>0</v>
      </c>
      <c r="BT68" s="16">
        <f>ALL!BX47</f>
        <v>0</v>
      </c>
    </row>
    <row r="69" spans="1:72" ht="21.75" hidden="1" outlineLevel="1" thickBot="1" x14ac:dyDescent="0.4">
      <c r="A69" s="34" t="str">
        <f>ALL!E48</f>
        <v>Ar</v>
      </c>
      <c r="B69" s="16">
        <f ca="1">ALL!F48</f>
        <v>-18.62</v>
      </c>
      <c r="C69" s="16">
        <f ca="1">ALL!G48</f>
        <v>-18.61</v>
      </c>
      <c r="D69" s="16">
        <f ca="1">ALL!H48</f>
        <v>-18.61</v>
      </c>
      <c r="E69" s="16">
        <f ca="1">ALL!I48</f>
        <v>-18.62</v>
      </c>
      <c r="F69" s="16">
        <f ca="1">ALL!J48</f>
        <v>-18.63</v>
      </c>
      <c r="G69" s="16">
        <f ca="1">ALL!K48</f>
        <v>-18.72</v>
      </c>
      <c r="H69" s="16">
        <f ca="1">ALL!L48</f>
        <v>-18.75</v>
      </c>
      <c r="I69" s="16">
        <f ca="1">ALL!M48</f>
        <v>-18.78</v>
      </c>
      <c r="J69" s="16">
        <f ca="1">ALL!N48</f>
        <v>-18.809999999999999</v>
      </c>
      <c r="K69" s="16">
        <f ca="1">ALL!O48</f>
        <v>-18.84</v>
      </c>
      <c r="L69" s="16">
        <f ca="1">ALL!P48</f>
        <v>-18.87</v>
      </c>
      <c r="M69" s="16">
        <f ca="1">ALL!Q48</f>
        <v>-18.899999999999999</v>
      </c>
      <c r="N69" s="16">
        <f ca="1">ALL!R48</f>
        <v>-18.940000000000001</v>
      </c>
      <c r="O69" s="16">
        <f ca="1">ALL!S48</f>
        <v>-18.97</v>
      </c>
      <c r="P69" s="16">
        <f ca="1">ALL!T48</f>
        <v>-19.010000000000002</v>
      </c>
      <c r="Q69" s="16">
        <f ca="1">ALL!U48</f>
        <v>-19.04</v>
      </c>
      <c r="R69" s="16">
        <f ca="1">ALL!V48</f>
        <v>-19.07</v>
      </c>
      <c r="S69" s="16">
        <f ca="1">ALL!W48</f>
        <v>-19.11</v>
      </c>
      <c r="T69" s="16">
        <f ca="1">ALL!X48</f>
        <v>-19.14</v>
      </c>
      <c r="U69" s="16">
        <f ca="1">ALL!Y48</f>
        <v>-19.18</v>
      </c>
      <c r="V69" s="16">
        <f ca="1">ALL!Z48</f>
        <v>-19.21</v>
      </c>
      <c r="W69" s="16">
        <f ca="1">ALL!AA48</f>
        <v>-19.25</v>
      </c>
      <c r="X69" s="16">
        <f ca="1">ALL!AB48</f>
        <v>-19.38</v>
      </c>
      <c r="Y69" s="16">
        <f ca="1">ALL!AC48</f>
        <v>-19.510000000000002</v>
      </c>
      <c r="Z69" s="16">
        <f ca="1">ALL!AD48</f>
        <v>-19.64</v>
      </c>
      <c r="AA69" s="16">
        <f ca="1">ALL!AE48</f>
        <v>-19.670000000000002</v>
      </c>
      <c r="AB69" s="16">
        <f ca="1">ALL!AF48</f>
        <v>-19.7</v>
      </c>
      <c r="AC69" s="16">
        <f ca="1">ALL!AG48</f>
        <v>-19.73</v>
      </c>
      <c r="AD69" s="16">
        <f ca="1">ALL!AH48</f>
        <v>-19.760000000000002</v>
      </c>
      <c r="AE69" s="16">
        <f ca="1">ALL!AI48</f>
        <v>-19.79</v>
      </c>
      <c r="AF69" s="16">
        <f ca="1">ALL!AJ48</f>
        <v>-19.82</v>
      </c>
      <c r="AG69" s="16">
        <f ca="1">ALL!AK48</f>
        <v>-19.850000000000001</v>
      </c>
      <c r="AH69" s="16">
        <f ca="1">ALL!AL48</f>
        <v>-19.88</v>
      </c>
      <c r="AI69" s="16">
        <f>ALL!AM48</f>
        <v>0</v>
      </c>
      <c r="AJ69" s="16">
        <f>ALL!AN48</f>
        <v>0</v>
      </c>
      <c r="AK69" s="16">
        <f>ALL!AO48</f>
        <v>0</v>
      </c>
      <c r="AL69" s="16">
        <f>ALL!AP48</f>
        <v>0</v>
      </c>
      <c r="AM69" s="16">
        <f>ALL!AQ48</f>
        <v>0</v>
      </c>
      <c r="AN69" s="16">
        <f>ALL!AR48</f>
        <v>0</v>
      </c>
      <c r="AO69" s="16">
        <f>ALL!AS48</f>
        <v>0</v>
      </c>
      <c r="AP69" s="16">
        <f>ALL!AT48</f>
        <v>0</v>
      </c>
      <c r="AQ69" s="16">
        <f>ALL!AU48</f>
        <v>0</v>
      </c>
      <c r="AR69" s="16">
        <f>ALL!AV48</f>
        <v>0</v>
      </c>
      <c r="AS69" s="16">
        <f>ALL!AW48</f>
        <v>0</v>
      </c>
      <c r="AT69" s="16">
        <f>ALL!AX48</f>
        <v>0</v>
      </c>
      <c r="AU69" s="16">
        <f>ALL!AY48</f>
        <v>0</v>
      </c>
      <c r="AV69" s="16">
        <f>ALL!AZ48</f>
        <v>0</v>
      </c>
      <c r="AW69" s="16">
        <f>ALL!BA48</f>
        <v>0</v>
      </c>
      <c r="AX69" s="16">
        <f>ALL!BB48</f>
        <v>0</v>
      </c>
      <c r="AY69" s="16">
        <f>ALL!BC48</f>
        <v>0</v>
      </c>
      <c r="AZ69" s="16">
        <f>ALL!BD48</f>
        <v>0</v>
      </c>
      <c r="BA69" s="16">
        <f>ALL!BE48</f>
        <v>0</v>
      </c>
      <c r="BB69" s="16">
        <f>ALL!BF48</f>
        <v>0</v>
      </c>
      <c r="BC69" s="16">
        <f>ALL!BG48</f>
        <v>0</v>
      </c>
      <c r="BD69" s="16">
        <f>ALL!BH48</f>
        <v>0</v>
      </c>
      <c r="BE69" s="16">
        <f>ALL!BI48</f>
        <v>0</v>
      </c>
      <c r="BF69" s="16">
        <f>ALL!BJ48</f>
        <v>0</v>
      </c>
      <c r="BG69" s="16">
        <f>ALL!BK48</f>
        <v>0</v>
      </c>
      <c r="BH69" s="16">
        <f>ALL!BL48</f>
        <v>0</v>
      </c>
      <c r="BI69" s="16">
        <f>ALL!BM48</f>
        <v>0</v>
      </c>
      <c r="BJ69" s="16">
        <f>ALL!BN48</f>
        <v>0</v>
      </c>
      <c r="BK69" s="16">
        <f>ALL!BO48</f>
        <v>0</v>
      </c>
      <c r="BL69" s="16">
        <f>ALL!BP48</f>
        <v>0</v>
      </c>
      <c r="BM69" s="16">
        <f>ALL!BQ48</f>
        <v>0</v>
      </c>
      <c r="BN69" s="16">
        <f>ALL!BR48</f>
        <v>0</v>
      </c>
      <c r="BO69" s="16">
        <f>ALL!BS48</f>
        <v>0</v>
      </c>
      <c r="BP69" s="16">
        <f>ALL!BT48</f>
        <v>0</v>
      </c>
      <c r="BQ69" s="16">
        <f>ALL!BU48</f>
        <v>0</v>
      </c>
      <c r="BR69" s="16">
        <f>ALL!BV48</f>
        <v>0</v>
      </c>
      <c r="BS69" s="16">
        <f>ALL!BW48</f>
        <v>0</v>
      </c>
      <c r="BT69" s="16">
        <f>ALL!BX48</f>
        <v>0</v>
      </c>
    </row>
    <row r="70" spans="1:72" ht="21.75" hidden="1" outlineLevel="1" thickBot="1" x14ac:dyDescent="0.4">
      <c r="A70" s="34" t="str">
        <f>ALL!E49</f>
        <v>(DGeSe2</v>
      </c>
      <c r="B70" s="16">
        <f ca="1">ALL!F49</f>
        <v>-64.209999999999994</v>
      </c>
      <c r="C70" s="16">
        <f ca="1">ALL!G49</f>
        <v>-61.41</v>
      </c>
      <c r="D70" s="16">
        <f ca="1">ALL!H49</f>
        <v>-59.050000000000004</v>
      </c>
      <c r="E70" s="16">
        <f ca="1">ALL!I49</f>
        <v>-57.14</v>
      </c>
      <c r="F70" s="16">
        <f ca="1">ALL!J49</f>
        <v>-55.68</v>
      </c>
      <c r="G70" s="16">
        <f ca="1">ALL!K49</f>
        <v>-52.402000000000001</v>
      </c>
      <c r="H70" s="16">
        <f ca="1">ALL!L49</f>
        <v>-51.918999999999997</v>
      </c>
      <c r="I70" s="16">
        <f ca="1">ALL!M49</f>
        <v>-51.515000000000001</v>
      </c>
      <c r="J70" s="16">
        <f ca="1">ALL!N49</f>
        <v>-51.197000000000003</v>
      </c>
      <c r="K70" s="16">
        <f ca="1">ALL!O49</f>
        <v>-50.975999999999999</v>
      </c>
      <c r="L70" s="16">
        <f ca="1">ALL!P49</f>
        <v>-50.905000000000001</v>
      </c>
      <c r="M70" s="16">
        <f ca="1">ALL!Q49</f>
        <v>-51.003</v>
      </c>
      <c r="N70" s="16">
        <f ca="1">ALL!R49</f>
        <v>-51.263999999999996</v>
      </c>
      <c r="O70" s="16">
        <f ca="1">ALL!S49</f>
        <v>-51.619</v>
      </c>
      <c r="P70" s="16">
        <f ca="1">ALL!T49</f>
        <v>-52.059000000000005</v>
      </c>
      <c r="Q70" s="16">
        <f ca="1">ALL!U49</f>
        <v>-52.544000000000004</v>
      </c>
      <c r="R70" s="16">
        <f ca="1">ALL!V49</f>
        <v>-53.058999999999997</v>
      </c>
      <c r="S70" s="16">
        <f ca="1">ALL!W49</f>
        <v>-53.558</v>
      </c>
      <c r="T70" s="16">
        <f ca="1">ALL!X49</f>
        <v>-54.078999999999994</v>
      </c>
      <c r="U70" s="16">
        <f ca="1">ALL!Y49</f>
        <v>-54.579000000000001</v>
      </c>
      <c r="V70" s="16">
        <f ca="1">ALL!Z49</f>
        <v>-55.08</v>
      </c>
      <c r="W70" s="16">
        <f ca="1">ALL!AA49</f>
        <v>-55.58</v>
      </c>
      <c r="X70" s="16">
        <f ca="1">ALL!AB49</f>
        <v>-57.542999999999999</v>
      </c>
      <c r="Y70" s="16">
        <f ca="1">ALL!AC49</f>
        <v>-59.417000000000002</v>
      </c>
      <c r="Z70" s="16">
        <f ca="1">ALL!AD49</f>
        <v>-61.225999999999999</v>
      </c>
      <c r="AA70" s="16">
        <f ca="1">ALL!AE49</f>
        <v>-61.674999999999997</v>
      </c>
      <c r="AB70" s="16">
        <f ca="1">ALL!AF49</f>
        <v>-62.120999999999995</v>
      </c>
      <c r="AC70" s="16">
        <f ca="1">ALL!AG49</f>
        <v>-62.562999999999995</v>
      </c>
      <c r="AD70" s="16">
        <f ca="1">ALL!AH49</f>
        <v>-63.003</v>
      </c>
      <c r="AE70" s="16">
        <f ca="1">ALL!AI49</f>
        <v>-63.421999999999997</v>
      </c>
      <c r="AF70" s="16">
        <f ca="1">ALL!AJ49</f>
        <v>-63.858999999999995</v>
      </c>
      <c r="AG70" s="16">
        <f ca="1">ALL!AK49</f>
        <v>-64.296000000000006</v>
      </c>
      <c r="AH70" s="16">
        <f ca="1">ALL!AL49</f>
        <v>-64.712000000000003</v>
      </c>
      <c r="AI70" s="16">
        <f>ALL!AM49</f>
        <v>0</v>
      </c>
      <c r="AJ70" s="16">
        <f>ALL!AN49</f>
        <v>0</v>
      </c>
      <c r="AK70" s="16">
        <f>ALL!AO49</f>
        <v>0</v>
      </c>
      <c r="AL70" s="16">
        <f>ALL!AP49</f>
        <v>0</v>
      </c>
      <c r="AM70" s="16">
        <f>ALL!AQ49</f>
        <v>0</v>
      </c>
      <c r="AN70" s="16">
        <f>ALL!AR49</f>
        <v>0</v>
      </c>
      <c r="AO70" s="16">
        <f>ALL!AS49</f>
        <v>0</v>
      </c>
      <c r="AP70" s="16">
        <f>ALL!AT49</f>
        <v>0</v>
      </c>
      <c r="AQ70" s="16">
        <f>ALL!AU49</f>
        <v>0</v>
      </c>
      <c r="AR70" s="16">
        <f>ALL!AV49</f>
        <v>0</v>
      </c>
      <c r="AS70" s="16">
        <f>ALL!AW49</f>
        <v>0</v>
      </c>
      <c r="AT70" s="16">
        <f>ALL!AX49</f>
        <v>0</v>
      </c>
      <c r="AU70" s="16">
        <f>ALL!AY49</f>
        <v>0</v>
      </c>
      <c r="AV70" s="16">
        <f>ALL!AZ49</f>
        <v>0</v>
      </c>
      <c r="AW70" s="16">
        <f>ALL!BA49</f>
        <v>0</v>
      </c>
      <c r="AX70" s="16">
        <f>ALL!BB49</f>
        <v>0</v>
      </c>
      <c r="AY70" s="16">
        <f>ALL!BC49</f>
        <v>0</v>
      </c>
      <c r="AZ70" s="16">
        <f>ALL!BD49</f>
        <v>0</v>
      </c>
      <c r="BA70" s="16">
        <f>ALL!BE49</f>
        <v>0</v>
      </c>
      <c r="BB70" s="16">
        <f>ALL!BF49</f>
        <v>0</v>
      </c>
      <c r="BC70" s="16">
        <f>ALL!BG49</f>
        <v>0</v>
      </c>
      <c r="BD70" s="16">
        <f>ALL!BH49</f>
        <v>0</v>
      </c>
      <c r="BE70" s="16">
        <f>ALL!BI49</f>
        <v>0</v>
      </c>
      <c r="BF70" s="16">
        <f>ALL!BJ49</f>
        <v>0</v>
      </c>
      <c r="BG70" s="16">
        <f>ALL!BK49</f>
        <v>0</v>
      </c>
      <c r="BH70" s="16">
        <f>ALL!BL49</f>
        <v>0</v>
      </c>
      <c r="BI70" s="16">
        <f>ALL!BM49</f>
        <v>0</v>
      </c>
      <c r="BJ70" s="16">
        <f>ALL!BN49</f>
        <v>0</v>
      </c>
      <c r="BK70" s="16">
        <f>ALL!BO49</f>
        <v>0</v>
      </c>
      <c r="BL70" s="16">
        <f>ALL!BP49</f>
        <v>0</v>
      </c>
      <c r="BM70" s="16">
        <f>ALL!BQ49</f>
        <v>0</v>
      </c>
      <c r="BN70" s="16">
        <f>ALL!BR49</f>
        <v>0</v>
      </c>
      <c r="BO70" s="16">
        <f>ALL!BS49</f>
        <v>0</v>
      </c>
      <c r="BP70" s="16">
        <f>ALL!BT49</f>
        <v>0</v>
      </c>
      <c r="BQ70" s="16">
        <f>ALL!BU49</f>
        <v>0</v>
      </c>
      <c r="BR70" s="16">
        <f>ALL!BV49</f>
        <v>0</v>
      </c>
      <c r="BS70" s="16">
        <f>ALL!BW49</f>
        <v>0</v>
      </c>
      <c r="BT70" s="16">
        <f>ALL!BX49</f>
        <v>0</v>
      </c>
    </row>
    <row r="71" spans="1:72" ht="21.75" hidden="1" outlineLevel="1" thickBot="1" x14ac:dyDescent="0.4">
      <c r="A71" s="34" t="str">
        <f>ALL!E50</f>
        <v>(DGeSe</v>
      </c>
      <c r="B71" s="16">
        <f ca="1">ALL!F50</f>
        <v>-40.65</v>
      </c>
      <c r="C71" s="16">
        <f ca="1">ALL!G50</f>
        <v>-38.869999999999997</v>
      </c>
      <c r="D71" s="16">
        <f ca="1">ALL!H50</f>
        <v>-37.270000000000003</v>
      </c>
      <c r="E71" s="16">
        <f ca="1">ALL!I50</f>
        <v>-35.82</v>
      </c>
      <c r="F71" s="16">
        <f ca="1">ALL!J50</f>
        <v>-34.53</v>
      </c>
      <c r="G71" s="16">
        <f ca="1">ALL!K50</f>
        <v>-30.672000000000001</v>
      </c>
      <c r="H71" s="16">
        <f ca="1">ALL!L50</f>
        <v>-29.969000000000001</v>
      </c>
      <c r="I71" s="16">
        <f ca="1">ALL!M50</f>
        <v>-29.364999999999998</v>
      </c>
      <c r="J71" s="16">
        <f ca="1">ALL!N50</f>
        <v>-28.877000000000002</v>
      </c>
      <c r="K71" s="16">
        <f ca="1">ALL!O50</f>
        <v>-28.516000000000002</v>
      </c>
      <c r="L71" s="16">
        <f ca="1">ALL!P50</f>
        <v>-28.305</v>
      </c>
      <c r="M71" s="16">
        <f ca="1">ALL!Q50</f>
        <v>-28.243000000000002</v>
      </c>
      <c r="N71" s="16">
        <f ca="1">ALL!R50</f>
        <v>-28.314</v>
      </c>
      <c r="O71" s="16">
        <f ca="1">ALL!S50</f>
        <v>-28.468999999999998</v>
      </c>
      <c r="P71" s="16">
        <f ca="1">ALL!T50</f>
        <v>-28.689</v>
      </c>
      <c r="Q71" s="16">
        <f ca="1">ALL!U50</f>
        <v>-28.944000000000003</v>
      </c>
      <c r="R71" s="16">
        <f ca="1">ALL!V50</f>
        <v>-29.219000000000001</v>
      </c>
      <c r="S71" s="16">
        <f ca="1">ALL!W50</f>
        <v>-29.488</v>
      </c>
      <c r="T71" s="16">
        <f ca="1">ALL!X50</f>
        <v>-29.768999999999998</v>
      </c>
      <c r="U71" s="16">
        <f ca="1">ALL!Y50</f>
        <v>-30.038999999999998</v>
      </c>
      <c r="V71" s="16">
        <f ca="1">ALL!Z50</f>
        <v>-30.31</v>
      </c>
      <c r="W71" s="16">
        <f ca="1">ALL!AA50</f>
        <v>-30.58</v>
      </c>
      <c r="X71" s="16">
        <f ca="1">ALL!AB50</f>
        <v>-31.643000000000001</v>
      </c>
      <c r="Y71" s="16">
        <f ca="1">ALL!AC50</f>
        <v>-32.667000000000002</v>
      </c>
      <c r="Z71" s="16">
        <f ca="1">ALL!AD50</f>
        <v>-33.676000000000002</v>
      </c>
      <c r="AA71" s="16">
        <f ca="1">ALL!AE50</f>
        <v>-33.924999999999997</v>
      </c>
      <c r="AB71" s="16">
        <f ca="1">ALL!AF50</f>
        <v>-34.170999999999999</v>
      </c>
      <c r="AC71" s="16">
        <f ca="1">ALL!AG50</f>
        <v>-34.412999999999997</v>
      </c>
      <c r="AD71" s="16">
        <f ca="1">ALL!AH50</f>
        <v>-34.652999999999999</v>
      </c>
      <c r="AE71" s="16">
        <f ca="1">ALL!AI50</f>
        <v>-34.881999999999998</v>
      </c>
      <c r="AF71" s="16">
        <f ca="1">ALL!AJ50</f>
        <v>-35.119</v>
      </c>
      <c r="AG71" s="16">
        <f ca="1">ALL!AK50</f>
        <v>-35.356000000000002</v>
      </c>
      <c r="AH71" s="16">
        <f ca="1">ALL!AL50</f>
        <v>-35.582000000000001</v>
      </c>
      <c r="AI71" s="16">
        <f>ALL!AM50</f>
        <v>0</v>
      </c>
      <c r="AJ71" s="16">
        <f>ALL!AN50</f>
        <v>0</v>
      </c>
      <c r="AK71" s="16">
        <f>ALL!AO50</f>
        <v>0</v>
      </c>
      <c r="AL71" s="16">
        <f>ALL!AP50</f>
        <v>0</v>
      </c>
      <c r="AM71" s="16">
        <f>ALL!AQ50</f>
        <v>0</v>
      </c>
      <c r="AN71" s="16">
        <f>ALL!AR50</f>
        <v>0</v>
      </c>
      <c r="AO71" s="16">
        <f>ALL!AS50</f>
        <v>0</v>
      </c>
      <c r="AP71" s="16">
        <f>ALL!AT50</f>
        <v>0</v>
      </c>
      <c r="AQ71" s="16">
        <f>ALL!AU50</f>
        <v>0</v>
      </c>
      <c r="AR71" s="16">
        <f>ALL!AV50</f>
        <v>0</v>
      </c>
      <c r="AS71" s="16">
        <f>ALL!AW50</f>
        <v>0</v>
      </c>
      <c r="AT71" s="16">
        <f>ALL!AX50</f>
        <v>0</v>
      </c>
      <c r="AU71" s="16">
        <f>ALL!AY50</f>
        <v>0</v>
      </c>
      <c r="AV71" s="16">
        <f>ALL!AZ50</f>
        <v>0</v>
      </c>
      <c r="AW71" s="16">
        <f>ALL!BA50</f>
        <v>0</v>
      </c>
      <c r="AX71" s="16">
        <f>ALL!BB50</f>
        <v>0</v>
      </c>
      <c r="AY71" s="16">
        <f>ALL!BC50</f>
        <v>0</v>
      </c>
      <c r="AZ71" s="16">
        <f>ALL!BD50</f>
        <v>0</v>
      </c>
      <c r="BA71" s="16">
        <f>ALL!BE50</f>
        <v>0</v>
      </c>
      <c r="BB71" s="16">
        <f>ALL!BF50</f>
        <v>0</v>
      </c>
      <c r="BC71" s="16">
        <f>ALL!BG50</f>
        <v>0</v>
      </c>
      <c r="BD71" s="16">
        <f>ALL!BH50</f>
        <v>0</v>
      </c>
      <c r="BE71" s="16">
        <f>ALL!BI50</f>
        <v>0</v>
      </c>
      <c r="BF71" s="16">
        <f>ALL!BJ50</f>
        <v>0</v>
      </c>
      <c r="BG71" s="16">
        <f>ALL!BK50</f>
        <v>0</v>
      </c>
      <c r="BH71" s="16">
        <f>ALL!BL50</f>
        <v>0</v>
      </c>
      <c r="BI71" s="16">
        <f>ALL!BM50</f>
        <v>0</v>
      </c>
      <c r="BJ71" s="16">
        <f>ALL!BN50</f>
        <v>0</v>
      </c>
      <c r="BK71" s="16">
        <f>ALL!BO50</f>
        <v>0</v>
      </c>
      <c r="BL71" s="16">
        <f>ALL!BP50</f>
        <v>0</v>
      </c>
      <c r="BM71" s="16">
        <f>ALL!BQ50</f>
        <v>0</v>
      </c>
      <c r="BN71" s="16">
        <f>ALL!BR50</f>
        <v>0</v>
      </c>
      <c r="BO71" s="16">
        <f>ALL!BS50</f>
        <v>0</v>
      </c>
      <c r="BP71" s="16">
        <f>ALL!BT50</f>
        <v>0</v>
      </c>
      <c r="BQ71" s="16">
        <f>ALL!BU50</f>
        <v>0</v>
      </c>
      <c r="BR71" s="16">
        <f>ALL!BV50</f>
        <v>0</v>
      </c>
      <c r="BS71" s="16">
        <f>ALL!BW50</f>
        <v>0</v>
      </c>
      <c r="BT71" s="16">
        <f>ALL!BX50</f>
        <v>0</v>
      </c>
    </row>
    <row r="72" spans="1:72" ht="21.75" hidden="1" outlineLevel="1" thickBot="1" x14ac:dyDescent="0.4">
      <c r="A72" s="34" t="str">
        <f>ALL!E51</f>
        <v>(DGa2Sej</v>
      </c>
      <c r="B72" s="16">
        <f ca="1">ALL!F51</f>
        <v>-156.52000000000001</v>
      </c>
      <c r="C72" s="16">
        <f ca="1">ALL!G51</f>
        <v>-148.28</v>
      </c>
      <c r="D72" s="16">
        <f ca="1">ALL!H51</f>
        <v>-140.68</v>
      </c>
      <c r="E72" s="16">
        <f ca="1">ALL!I51</f>
        <v>-133.47999999999999</v>
      </c>
      <c r="F72" s="16">
        <f ca="1">ALL!J51</f>
        <v>-126.57</v>
      </c>
      <c r="G72" s="16">
        <f ca="1">ALL!K51</f>
        <v>-102.39</v>
      </c>
      <c r="H72" s="16">
        <f ca="1">ALL!L51</f>
        <v>-97.41</v>
      </c>
      <c r="I72" s="16">
        <f ca="1">ALL!M51</f>
        <v>-92.830000000000013</v>
      </c>
      <c r="J72" s="16">
        <f ca="1">ALL!N51</f>
        <v>-88.66</v>
      </c>
      <c r="K72" s="16">
        <f ca="1">ALL!O51</f>
        <v>-84.86</v>
      </c>
      <c r="L72" s="16">
        <f ca="1">ALL!P51</f>
        <v>-81.38</v>
      </c>
      <c r="M72" s="16">
        <f ca="1">ALL!Q51</f>
        <v>-78.14</v>
      </c>
      <c r="N72" s="16">
        <f ca="1">ALL!R51</f>
        <v>-75.11</v>
      </c>
      <c r="O72" s="16">
        <f ca="1">ALL!S51</f>
        <v>-72.289999999999992</v>
      </c>
      <c r="P72" s="16">
        <f ca="1">ALL!T51</f>
        <v>-69.67</v>
      </c>
      <c r="Q72" s="16">
        <f ca="1">ALL!U51</f>
        <v>-67.28</v>
      </c>
      <c r="R72" s="16">
        <f ca="1">ALL!V51</f>
        <v>-65.12</v>
      </c>
      <c r="S72" s="16">
        <f ca="1">ALL!W51</f>
        <v>-63.13</v>
      </c>
      <c r="T72" s="16">
        <f ca="1">ALL!X51</f>
        <v>-61.31</v>
      </c>
      <c r="U72" s="16">
        <f ca="1">ALL!Y51</f>
        <v>-59.6</v>
      </c>
      <c r="V72" s="16">
        <f ca="1">ALL!Z51</f>
        <v>-58.010000000000005</v>
      </c>
      <c r="W72" s="16">
        <f ca="1">ALL!AA51</f>
        <v>-56.480000000000004</v>
      </c>
      <c r="X72" s="16">
        <f ca="1">ALL!AB51</f>
        <v>-51.14</v>
      </c>
      <c r="Y72" s="16">
        <f ca="1">ALL!AC51</f>
        <v>-46.989999999999995</v>
      </c>
      <c r="Z72" s="16">
        <f ca="1">ALL!AD51</f>
        <v>-45.268000000000001</v>
      </c>
      <c r="AA72" s="16">
        <f ca="1">ALL!AE51</f>
        <v>-45.269999999999996</v>
      </c>
      <c r="AB72" s="16">
        <f ca="1">ALL!AF51</f>
        <v>-45.378</v>
      </c>
      <c r="AC72" s="16">
        <f ca="1">ALL!AG51</f>
        <v>-45.552</v>
      </c>
      <c r="AD72" s="16">
        <f ca="1">ALL!AH51</f>
        <v>-45.766000000000005</v>
      </c>
      <c r="AE72" s="16">
        <f ca="1">ALL!AI51</f>
        <v>-45.995999999999995</v>
      </c>
      <c r="AF72" s="16">
        <f ca="1">ALL!AJ51</f>
        <v>-46.247999999999998</v>
      </c>
      <c r="AG72" s="16">
        <f ca="1">ALL!AK51</f>
        <v>-46.510000000000005</v>
      </c>
      <c r="AH72" s="16">
        <f ca="1">ALL!AL51</f>
        <v>-46.765999999999998</v>
      </c>
      <c r="AI72" s="16">
        <f>ALL!AM51</f>
        <v>0</v>
      </c>
      <c r="AJ72" s="16">
        <f>ALL!AN51</f>
        <v>0</v>
      </c>
      <c r="AK72" s="16">
        <f>ALL!AO51</f>
        <v>0</v>
      </c>
      <c r="AL72" s="16">
        <f>ALL!AP51</f>
        <v>0</v>
      </c>
      <c r="AM72" s="16">
        <f>ALL!AQ51</f>
        <v>0</v>
      </c>
      <c r="AN72" s="16">
        <f>ALL!AR51</f>
        <v>0</v>
      </c>
      <c r="AO72" s="16">
        <f>ALL!AS51</f>
        <v>0</v>
      </c>
      <c r="AP72" s="16">
        <f>ALL!AT51</f>
        <v>0</v>
      </c>
      <c r="AQ72" s="16">
        <f>ALL!AU51</f>
        <v>0</v>
      </c>
      <c r="AR72" s="16">
        <f>ALL!AV51</f>
        <v>0</v>
      </c>
      <c r="AS72" s="16">
        <f>ALL!AW51</f>
        <v>0</v>
      </c>
      <c r="AT72" s="16">
        <f>ALL!AX51</f>
        <v>0</v>
      </c>
      <c r="AU72" s="16">
        <f>ALL!AY51</f>
        <v>0</v>
      </c>
      <c r="AV72" s="16">
        <f>ALL!AZ51</f>
        <v>0</v>
      </c>
      <c r="AW72" s="16">
        <f>ALL!BA51</f>
        <v>0</v>
      </c>
      <c r="AX72" s="16">
        <f>ALL!BB51</f>
        <v>0</v>
      </c>
      <c r="AY72" s="16">
        <f>ALL!BC51</f>
        <v>0</v>
      </c>
      <c r="AZ72" s="16">
        <f>ALL!BD51</f>
        <v>0</v>
      </c>
      <c r="BA72" s="16">
        <f>ALL!BE51</f>
        <v>0</v>
      </c>
      <c r="BB72" s="16">
        <f>ALL!BF51</f>
        <v>0</v>
      </c>
      <c r="BC72" s="16">
        <f>ALL!BG51</f>
        <v>0</v>
      </c>
      <c r="BD72" s="16">
        <f>ALL!BH51</f>
        <v>0</v>
      </c>
      <c r="BE72" s="16">
        <f>ALL!BI51</f>
        <v>0</v>
      </c>
      <c r="BF72" s="16">
        <f>ALL!BJ51</f>
        <v>0</v>
      </c>
      <c r="BG72" s="16">
        <f>ALL!BK51</f>
        <v>0</v>
      </c>
      <c r="BH72" s="16">
        <f>ALL!BL51</f>
        <v>0</v>
      </c>
      <c r="BI72" s="16">
        <f>ALL!BM51</f>
        <v>0</v>
      </c>
      <c r="BJ72" s="16">
        <f>ALL!BN51</f>
        <v>0</v>
      </c>
      <c r="BK72" s="16">
        <f>ALL!BO51</f>
        <v>0</v>
      </c>
      <c r="BL72" s="16">
        <f>ALL!BP51</f>
        <v>0</v>
      </c>
      <c r="BM72" s="16">
        <f>ALL!BQ51</f>
        <v>0</v>
      </c>
      <c r="BN72" s="16">
        <f>ALL!BR51</f>
        <v>0</v>
      </c>
      <c r="BO72" s="16">
        <f>ALL!BS51</f>
        <v>0</v>
      </c>
      <c r="BP72" s="16">
        <f>ALL!BT51</f>
        <v>0</v>
      </c>
      <c r="BQ72" s="16">
        <f>ALL!BU51</f>
        <v>0</v>
      </c>
      <c r="BR72" s="16">
        <f>ALL!BV51</f>
        <v>0</v>
      </c>
      <c r="BS72" s="16">
        <f>ALL!BW51</f>
        <v>0</v>
      </c>
      <c r="BT72" s="16">
        <f>ALL!BX51</f>
        <v>0</v>
      </c>
    </row>
    <row r="73" spans="1:72" ht="21.75" hidden="1" outlineLevel="1" thickBot="1" x14ac:dyDescent="0.4">
      <c r="A73" s="34" t="str">
        <f>ALL!E52</f>
        <v>(DGaSe</v>
      </c>
      <c r="B73" s="16">
        <f ca="1">ALL!F52</f>
        <v>-90.04</v>
      </c>
      <c r="C73" s="16">
        <f ca="1">ALL!G52</f>
        <v>-85.41</v>
      </c>
      <c r="D73" s="16">
        <f ca="1">ALL!H52</f>
        <v>-81.23</v>
      </c>
      <c r="E73" s="16">
        <f ca="1">ALL!I52</f>
        <v>-77.400000000000006</v>
      </c>
      <c r="F73" s="16">
        <f ca="1">ALL!J52</f>
        <v>-73.86</v>
      </c>
      <c r="G73" s="16">
        <f ca="1">ALL!K52</f>
        <v>-62.06</v>
      </c>
      <c r="H73" s="16">
        <f ca="1">ALL!L52</f>
        <v>-59.679999999999993</v>
      </c>
      <c r="I73" s="16">
        <f ca="1">ALL!M52</f>
        <v>-57.49</v>
      </c>
      <c r="J73" s="16">
        <f ca="1">ALL!N52</f>
        <v>-55.49</v>
      </c>
      <c r="K73" s="16">
        <f ca="1">ALL!O52</f>
        <v>-53.66</v>
      </c>
      <c r="L73" s="16">
        <f ca="1">ALL!P52</f>
        <v>-51.99</v>
      </c>
      <c r="M73" s="16">
        <f ca="1">ALL!Q52</f>
        <v>-50.45</v>
      </c>
      <c r="N73" s="16">
        <f ca="1">ALL!R52</f>
        <v>-49.03</v>
      </c>
      <c r="O73" s="16">
        <f ca="1">ALL!S52</f>
        <v>-47.72</v>
      </c>
      <c r="P73" s="16">
        <f ca="1">ALL!T52</f>
        <v>-46.519999999999996</v>
      </c>
      <c r="Q73" s="16">
        <f ca="1">ALL!U52</f>
        <v>-45.44</v>
      </c>
      <c r="R73" s="16">
        <f ca="1">ALL!V52</f>
        <v>-44.480000000000004</v>
      </c>
      <c r="S73" s="16">
        <f ca="1">ALL!W52</f>
        <v>-43.6</v>
      </c>
      <c r="T73" s="16">
        <f ca="1">ALL!X52</f>
        <v>-42.81</v>
      </c>
      <c r="U73" s="16">
        <f ca="1">ALL!Y52</f>
        <v>-42.07</v>
      </c>
      <c r="V73" s="16">
        <f ca="1">ALL!Z52</f>
        <v>-41.39</v>
      </c>
      <c r="W73" s="16">
        <f ca="1">ALL!AA52</f>
        <v>-40.74</v>
      </c>
      <c r="X73" s="16">
        <f ca="1">ALL!AB52</f>
        <v>-38.519999999999996</v>
      </c>
      <c r="Y73" s="16">
        <f ca="1">ALL!AC52</f>
        <v>-36.869999999999997</v>
      </c>
      <c r="Z73" s="16">
        <f ca="1">ALL!AD52</f>
        <v>-36.408999999999999</v>
      </c>
      <c r="AA73" s="16">
        <f ca="1">ALL!AE52</f>
        <v>-36.51</v>
      </c>
      <c r="AB73" s="16">
        <f ca="1">ALL!AF52</f>
        <v>-36.664000000000001</v>
      </c>
      <c r="AC73" s="16">
        <f ca="1">ALL!AG52</f>
        <v>-36.850999999999999</v>
      </c>
      <c r="AD73" s="16">
        <f ca="1">ALL!AH52</f>
        <v>-37.058</v>
      </c>
      <c r="AE73" s="16">
        <f ca="1">ALL!AI52</f>
        <v>-37.268000000000001</v>
      </c>
      <c r="AF73" s="16">
        <f ca="1">ALL!AJ52</f>
        <v>-37.494</v>
      </c>
      <c r="AG73" s="16">
        <f ca="1">ALL!AK52</f>
        <v>-37.725000000000001</v>
      </c>
      <c r="AH73" s="16">
        <f ca="1">ALL!AL52</f>
        <v>-37.948</v>
      </c>
      <c r="AI73" s="16">
        <f>ALL!AM52</f>
        <v>0</v>
      </c>
      <c r="AJ73" s="16">
        <f>ALL!AN52</f>
        <v>0</v>
      </c>
      <c r="AK73" s="16">
        <f>ALL!AO52</f>
        <v>0</v>
      </c>
      <c r="AL73" s="16">
        <f>ALL!AP52</f>
        <v>0</v>
      </c>
      <c r="AM73" s="16">
        <f>ALL!AQ52</f>
        <v>0</v>
      </c>
      <c r="AN73" s="16">
        <f>ALL!AR52</f>
        <v>0</v>
      </c>
      <c r="AO73" s="16">
        <f>ALL!AS52</f>
        <v>0</v>
      </c>
      <c r="AP73" s="16">
        <f>ALL!AT52</f>
        <v>0</v>
      </c>
      <c r="AQ73" s="16">
        <f>ALL!AU52</f>
        <v>0</v>
      </c>
      <c r="AR73" s="16">
        <f>ALL!AV52</f>
        <v>0</v>
      </c>
      <c r="AS73" s="16">
        <f>ALL!AW52</f>
        <v>0</v>
      </c>
      <c r="AT73" s="16">
        <f>ALL!AX52</f>
        <v>0</v>
      </c>
      <c r="AU73" s="16">
        <f>ALL!AY52</f>
        <v>0</v>
      </c>
      <c r="AV73" s="16">
        <f>ALL!AZ52</f>
        <v>0</v>
      </c>
      <c r="AW73" s="16">
        <f>ALL!BA52</f>
        <v>0</v>
      </c>
      <c r="AX73" s="16">
        <f>ALL!BB52</f>
        <v>0</v>
      </c>
      <c r="AY73" s="16">
        <f>ALL!BC52</f>
        <v>0</v>
      </c>
      <c r="AZ73" s="16">
        <f>ALL!BD52</f>
        <v>0</v>
      </c>
      <c r="BA73" s="16">
        <f>ALL!BE52</f>
        <v>0</v>
      </c>
      <c r="BB73" s="16">
        <f>ALL!BF52</f>
        <v>0</v>
      </c>
      <c r="BC73" s="16">
        <f>ALL!BG52</f>
        <v>0</v>
      </c>
      <c r="BD73" s="16">
        <f>ALL!BH52</f>
        <v>0</v>
      </c>
      <c r="BE73" s="16">
        <f>ALL!BI52</f>
        <v>0</v>
      </c>
      <c r="BF73" s="16">
        <f>ALL!BJ52</f>
        <v>0</v>
      </c>
      <c r="BG73" s="16">
        <f>ALL!BK52</f>
        <v>0</v>
      </c>
      <c r="BH73" s="16">
        <f>ALL!BL52</f>
        <v>0</v>
      </c>
      <c r="BI73" s="16">
        <f>ALL!BM52</f>
        <v>0</v>
      </c>
      <c r="BJ73" s="16">
        <f>ALL!BN52</f>
        <v>0</v>
      </c>
      <c r="BK73" s="16">
        <f>ALL!BO52</f>
        <v>0</v>
      </c>
      <c r="BL73" s="16">
        <f>ALL!BP52</f>
        <v>0</v>
      </c>
      <c r="BM73" s="16">
        <f>ALL!BQ52</f>
        <v>0</v>
      </c>
      <c r="BN73" s="16">
        <f>ALL!BR52</f>
        <v>0</v>
      </c>
      <c r="BO73" s="16">
        <f>ALL!BS52</f>
        <v>0</v>
      </c>
      <c r="BP73" s="16">
        <f>ALL!BT52</f>
        <v>0</v>
      </c>
      <c r="BQ73" s="16">
        <f>ALL!BU52</f>
        <v>0</v>
      </c>
      <c r="BR73" s="16">
        <f>ALL!BV52</f>
        <v>0</v>
      </c>
      <c r="BS73" s="16">
        <f>ALL!BW52</f>
        <v>0</v>
      </c>
      <c r="BT73" s="16">
        <f>ALL!BX52</f>
        <v>0</v>
      </c>
    </row>
    <row r="74" spans="1:72" ht="21.75" hidden="1" outlineLevel="1" thickBot="1" x14ac:dyDescent="0.4">
      <c r="A74" s="34" t="str">
        <f>ALL!E53</f>
        <v>(DGe</v>
      </c>
      <c r="B74" s="16">
        <f ca="1">ALL!F53</f>
        <v>-17.09</v>
      </c>
      <c r="C74" s="16">
        <f ca="1">ALL!G53</f>
        <v>-16.329999999999998</v>
      </c>
      <c r="D74" s="16">
        <f ca="1">ALL!H53</f>
        <v>-15.49</v>
      </c>
      <c r="E74" s="16">
        <f ca="1">ALL!I53</f>
        <v>-14.5</v>
      </c>
      <c r="F74" s="16">
        <f ca="1">ALL!J53</f>
        <v>-13.38</v>
      </c>
      <c r="G74" s="16">
        <f ca="1">ALL!K53</f>
        <v>-8.9420000000000002</v>
      </c>
      <c r="H74" s="16">
        <f ca="1">ALL!L53</f>
        <v>-8.0190000000000001</v>
      </c>
      <c r="I74" s="16">
        <f ca="1">ALL!M53</f>
        <v>-7.2149999999999999</v>
      </c>
      <c r="J74" s="16">
        <f ca="1">ALL!N53</f>
        <v>-6.5570000000000004</v>
      </c>
      <c r="K74" s="16">
        <f ca="1">ALL!O53</f>
        <v>-6.056</v>
      </c>
      <c r="L74" s="16">
        <f ca="1">ALL!P53</f>
        <v>-5.7050000000000001</v>
      </c>
      <c r="M74" s="16">
        <f ca="1">ALL!Q53</f>
        <v>-5.4829999999999997</v>
      </c>
      <c r="N74" s="16">
        <f ca="1">ALL!R53</f>
        <v>-5.3639999999999999</v>
      </c>
      <c r="O74" s="16">
        <f ca="1">ALL!S53</f>
        <v>-5.319</v>
      </c>
      <c r="P74" s="16">
        <f ca="1">ALL!T53</f>
        <v>-5.319</v>
      </c>
      <c r="Q74" s="16">
        <f ca="1">ALL!U53</f>
        <v>-5.3440000000000003</v>
      </c>
      <c r="R74" s="16">
        <f ca="1">ALL!V53</f>
        <v>-5.3789999999999996</v>
      </c>
      <c r="S74" s="16">
        <f ca="1">ALL!W53</f>
        <v>-5.4180000000000001</v>
      </c>
      <c r="T74" s="16">
        <f ca="1">ALL!X53</f>
        <v>-5.4589999999999996</v>
      </c>
      <c r="U74" s="16">
        <f ca="1">ALL!Y53</f>
        <v>-5.4989999999999997</v>
      </c>
      <c r="V74" s="16">
        <f ca="1">ALL!Z53</f>
        <v>-5.54</v>
      </c>
      <c r="W74" s="16">
        <f ca="1">ALL!AA53</f>
        <v>-5.58</v>
      </c>
      <c r="X74" s="16">
        <f ca="1">ALL!AB53</f>
        <v>-5.7430000000000003</v>
      </c>
      <c r="Y74" s="16">
        <f ca="1">ALL!AC53</f>
        <v>-5.9169999999999998</v>
      </c>
      <c r="Z74" s="16">
        <f ca="1">ALL!AD53</f>
        <v>-6.1260000000000003</v>
      </c>
      <c r="AA74" s="16">
        <f ca="1">ALL!AE53</f>
        <v>-6.1749999999999998</v>
      </c>
      <c r="AB74" s="16">
        <f ca="1">ALL!AF53</f>
        <v>-6.2210000000000001</v>
      </c>
      <c r="AC74" s="16">
        <f ca="1">ALL!AG53</f>
        <v>-6.2629999999999999</v>
      </c>
      <c r="AD74" s="16">
        <f ca="1">ALL!AH53</f>
        <v>-6.3029999999999999</v>
      </c>
      <c r="AE74" s="16">
        <f ca="1">ALL!AI53</f>
        <v>-6.3419999999999996</v>
      </c>
      <c r="AF74" s="16">
        <f ca="1">ALL!AJ53</f>
        <v>-6.3789999999999996</v>
      </c>
      <c r="AG74" s="16">
        <f ca="1">ALL!AK53</f>
        <v>-6.4160000000000004</v>
      </c>
      <c r="AH74" s="16">
        <f ca="1">ALL!AL53</f>
        <v>-6.452</v>
      </c>
      <c r="AI74" s="16">
        <f>ALL!AM53</f>
        <v>0</v>
      </c>
      <c r="AJ74" s="16">
        <f>ALL!AN53</f>
        <v>0</v>
      </c>
      <c r="AK74" s="16">
        <f>ALL!AO53</f>
        <v>0</v>
      </c>
      <c r="AL74" s="16">
        <f>ALL!AP53</f>
        <v>0</v>
      </c>
      <c r="AM74" s="16">
        <f>ALL!AQ53</f>
        <v>0</v>
      </c>
      <c r="AN74" s="16">
        <f>ALL!AR53</f>
        <v>0</v>
      </c>
      <c r="AO74" s="16">
        <f>ALL!AS53</f>
        <v>0</v>
      </c>
      <c r="AP74" s="16">
        <f>ALL!AT53</f>
        <v>0</v>
      </c>
      <c r="AQ74" s="16">
        <f>ALL!AU53</f>
        <v>0</v>
      </c>
      <c r="AR74" s="16">
        <f>ALL!AV53</f>
        <v>0</v>
      </c>
      <c r="AS74" s="16">
        <f>ALL!AW53</f>
        <v>0</v>
      </c>
      <c r="AT74" s="16">
        <f>ALL!AX53</f>
        <v>0</v>
      </c>
      <c r="AU74" s="16">
        <f>ALL!AY53</f>
        <v>0</v>
      </c>
      <c r="AV74" s="16">
        <f>ALL!AZ53</f>
        <v>0</v>
      </c>
      <c r="AW74" s="16">
        <f>ALL!BA53</f>
        <v>0</v>
      </c>
      <c r="AX74" s="16">
        <f>ALL!BB53</f>
        <v>0</v>
      </c>
      <c r="AY74" s="16">
        <f>ALL!BC53</f>
        <v>0</v>
      </c>
      <c r="AZ74" s="16">
        <f>ALL!BD53</f>
        <v>0</v>
      </c>
      <c r="BA74" s="16">
        <f>ALL!BE53</f>
        <v>0</v>
      </c>
      <c r="BB74" s="16">
        <f>ALL!BF53</f>
        <v>0</v>
      </c>
      <c r="BC74" s="16">
        <f>ALL!BG53</f>
        <v>0</v>
      </c>
      <c r="BD74" s="16">
        <f>ALL!BH53</f>
        <v>0</v>
      </c>
      <c r="BE74" s="16">
        <f>ALL!BI53</f>
        <v>0</v>
      </c>
      <c r="BF74" s="16">
        <f>ALL!BJ53</f>
        <v>0</v>
      </c>
      <c r="BG74" s="16">
        <f>ALL!BK53</f>
        <v>0</v>
      </c>
      <c r="BH74" s="16">
        <f>ALL!BL53</f>
        <v>0</v>
      </c>
      <c r="BI74" s="16">
        <f>ALL!BM53</f>
        <v>0</v>
      </c>
      <c r="BJ74" s="16">
        <f>ALL!BN53</f>
        <v>0</v>
      </c>
      <c r="BK74" s="16">
        <f>ALL!BO53</f>
        <v>0</v>
      </c>
      <c r="BL74" s="16">
        <f>ALL!BP53</f>
        <v>0</v>
      </c>
      <c r="BM74" s="16">
        <f>ALL!BQ53</f>
        <v>0</v>
      </c>
      <c r="BN74" s="16">
        <f>ALL!BR53</f>
        <v>0</v>
      </c>
      <c r="BO74" s="16">
        <f>ALL!BS53</f>
        <v>0</v>
      </c>
      <c r="BP74" s="16">
        <f>ALL!BT53</f>
        <v>0</v>
      </c>
      <c r="BQ74" s="16">
        <f>ALL!BU53</f>
        <v>0</v>
      </c>
      <c r="BR74" s="16">
        <f>ALL!BV53</f>
        <v>0</v>
      </c>
      <c r="BS74" s="16">
        <f>ALL!BW53</f>
        <v>0</v>
      </c>
      <c r="BT74" s="16">
        <f>ALL!BX53</f>
        <v>0</v>
      </c>
    </row>
    <row r="75" spans="1:72" ht="21.75" hidden="1" outlineLevel="1" thickBot="1" x14ac:dyDescent="0.4">
      <c r="A75" s="34" t="str">
        <f>ALL!E54</f>
        <v>(DGa</v>
      </c>
      <c r="B75" s="16">
        <f ca="1">ALL!F54</f>
        <v>-66.48</v>
      </c>
      <c r="C75" s="16">
        <f ca="1">ALL!G54</f>
        <v>-62.87</v>
      </c>
      <c r="D75" s="16">
        <f ca="1">ALL!H54</f>
        <v>-59.45</v>
      </c>
      <c r="E75" s="16">
        <f ca="1">ALL!I54</f>
        <v>-56.08</v>
      </c>
      <c r="F75" s="16">
        <f ca="1">ALL!J54</f>
        <v>-52.71</v>
      </c>
      <c r="G75" s="16">
        <f ca="1">ALL!K54</f>
        <v>-40.33</v>
      </c>
      <c r="H75" s="16">
        <f ca="1">ALL!L54</f>
        <v>-37.729999999999997</v>
      </c>
      <c r="I75" s="16">
        <f ca="1">ALL!M54</f>
        <v>-35.340000000000003</v>
      </c>
      <c r="J75" s="16">
        <f ca="1">ALL!N54</f>
        <v>-33.17</v>
      </c>
      <c r="K75" s="16">
        <f ca="1">ALL!O54</f>
        <v>-31.2</v>
      </c>
      <c r="L75" s="16">
        <f ca="1">ALL!P54</f>
        <v>-29.39</v>
      </c>
      <c r="M75" s="16">
        <f ca="1">ALL!Q54</f>
        <v>-27.69</v>
      </c>
      <c r="N75" s="16">
        <f ca="1">ALL!R54</f>
        <v>-26.08</v>
      </c>
      <c r="O75" s="16">
        <f ca="1">ALL!S54</f>
        <v>-24.57</v>
      </c>
      <c r="P75" s="16">
        <f ca="1">ALL!T54</f>
        <v>-23.15</v>
      </c>
      <c r="Q75" s="16">
        <f ca="1">ALL!U54</f>
        <v>-21.84</v>
      </c>
      <c r="R75" s="16">
        <f ca="1">ALL!V54</f>
        <v>-20.64</v>
      </c>
      <c r="S75" s="16">
        <f ca="1">ALL!W54</f>
        <v>-19.53</v>
      </c>
      <c r="T75" s="16">
        <f ca="1">ALL!X54</f>
        <v>-18.5</v>
      </c>
      <c r="U75" s="16">
        <f ca="1">ALL!Y54</f>
        <v>-17.53</v>
      </c>
      <c r="V75" s="16">
        <f ca="1">ALL!Z54</f>
        <v>-16.62</v>
      </c>
      <c r="W75" s="16">
        <f ca="1">ALL!AA54</f>
        <v>-15.74</v>
      </c>
      <c r="X75" s="16">
        <f ca="1">ALL!AB54</f>
        <v>-12.62</v>
      </c>
      <c r="Y75" s="16">
        <f ca="1">ALL!AC54</f>
        <v>-10.119999999999999</v>
      </c>
      <c r="Z75" s="16">
        <f ca="1">ALL!AD54</f>
        <v>-8.859</v>
      </c>
      <c r="AA75" s="16">
        <f ca="1">ALL!AE54</f>
        <v>-8.76</v>
      </c>
      <c r="AB75" s="16">
        <f ca="1">ALL!AF54</f>
        <v>-8.7140000000000004</v>
      </c>
      <c r="AC75" s="16">
        <f ca="1">ALL!AG54</f>
        <v>-8.7010000000000005</v>
      </c>
      <c r="AD75" s="16">
        <f ca="1">ALL!AH54</f>
        <v>-8.7080000000000002</v>
      </c>
      <c r="AE75" s="16">
        <f ca="1">ALL!AI54</f>
        <v>-8.7279999999999998</v>
      </c>
      <c r="AF75" s="16">
        <f ca="1">ALL!AJ54</f>
        <v>-8.7539999999999996</v>
      </c>
      <c r="AG75" s="16">
        <f ca="1">ALL!AK54</f>
        <v>-8.7850000000000001</v>
      </c>
      <c r="AH75" s="16">
        <f ca="1">ALL!AL54</f>
        <v>-8.8179999999999996</v>
      </c>
      <c r="AI75" s="16">
        <f>ALL!AM54</f>
        <v>0</v>
      </c>
      <c r="AJ75" s="16">
        <f>ALL!AN54</f>
        <v>0</v>
      </c>
      <c r="AK75" s="16">
        <f>ALL!AO54</f>
        <v>0</v>
      </c>
      <c r="AL75" s="16">
        <f>ALL!AP54</f>
        <v>0</v>
      </c>
      <c r="AM75" s="16">
        <f>ALL!AQ54</f>
        <v>0</v>
      </c>
      <c r="AN75" s="16">
        <f>ALL!AR54</f>
        <v>0</v>
      </c>
      <c r="AO75" s="16">
        <f>ALL!AS54</f>
        <v>0</v>
      </c>
      <c r="AP75" s="16">
        <f>ALL!AT54</f>
        <v>0</v>
      </c>
      <c r="AQ75" s="16">
        <f>ALL!AU54</f>
        <v>0</v>
      </c>
      <c r="AR75" s="16">
        <f>ALL!AV54</f>
        <v>0</v>
      </c>
      <c r="AS75" s="16">
        <f>ALL!AW54</f>
        <v>0</v>
      </c>
      <c r="AT75" s="16">
        <f>ALL!AX54</f>
        <v>0</v>
      </c>
      <c r="AU75" s="16">
        <f>ALL!AY54</f>
        <v>0</v>
      </c>
      <c r="AV75" s="16">
        <f>ALL!AZ54</f>
        <v>0</v>
      </c>
      <c r="AW75" s="16">
        <f>ALL!BA54</f>
        <v>0</v>
      </c>
      <c r="AX75" s="16">
        <f>ALL!BB54</f>
        <v>0</v>
      </c>
      <c r="AY75" s="16">
        <f>ALL!BC54</f>
        <v>0</v>
      </c>
      <c r="AZ75" s="16">
        <f>ALL!BD54</f>
        <v>0</v>
      </c>
      <c r="BA75" s="16">
        <f>ALL!BE54</f>
        <v>0</v>
      </c>
      <c r="BB75" s="16">
        <f>ALL!BF54</f>
        <v>0</v>
      </c>
      <c r="BC75" s="16">
        <f>ALL!BG54</f>
        <v>0</v>
      </c>
      <c r="BD75" s="16">
        <f>ALL!BH54</f>
        <v>0</v>
      </c>
      <c r="BE75" s="16">
        <f>ALL!BI54</f>
        <v>0</v>
      </c>
      <c r="BF75" s="16">
        <f>ALL!BJ54</f>
        <v>0</v>
      </c>
      <c r="BG75" s="16">
        <f>ALL!BK54</f>
        <v>0</v>
      </c>
      <c r="BH75" s="16">
        <f>ALL!BL54</f>
        <v>0</v>
      </c>
      <c r="BI75" s="16">
        <f>ALL!BM54</f>
        <v>0</v>
      </c>
      <c r="BJ75" s="16">
        <f>ALL!BN54</f>
        <v>0</v>
      </c>
      <c r="BK75" s="16">
        <f>ALL!BO54</f>
        <v>0</v>
      </c>
      <c r="BL75" s="16">
        <f>ALL!BP54</f>
        <v>0</v>
      </c>
      <c r="BM75" s="16">
        <f>ALL!BQ54</f>
        <v>0</v>
      </c>
      <c r="BN75" s="16">
        <f>ALL!BR54</f>
        <v>0</v>
      </c>
      <c r="BO75" s="16">
        <f>ALL!BS54</f>
        <v>0</v>
      </c>
      <c r="BP75" s="16">
        <f>ALL!BT54</f>
        <v>0</v>
      </c>
      <c r="BQ75" s="16">
        <f>ALL!BU54</f>
        <v>0</v>
      </c>
      <c r="BR75" s="16">
        <f>ALL!BV54</f>
        <v>0</v>
      </c>
      <c r="BS75" s="16">
        <f>ALL!BW54</f>
        <v>0</v>
      </c>
      <c r="BT75" s="16">
        <f>ALL!BX54</f>
        <v>0</v>
      </c>
    </row>
    <row r="76" spans="1:72" ht="21.75" hidden="1" outlineLevel="1" thickBot="1" x14ac:dyDescent="0.4">
      <c r="A76" s="34" t="str">
        <f>ALL!E55</f>
        <v>(1)Se[A]</v>
      </c>
      <c r="B76" s="16">
        <f ca="1">ALL!F55</f>
        <v>-23.56</v>
      </c>
      <c r="C76" s="16">
        <f ca="1">ALL!G55</f>
        <v>-22.54</v>
      </c>
      <c r="D76" s="16">
        <f ca="1">ALL!H55</f>
        <v>-21.78</v>
      </c>
      <c r="E76" s="16">
        <f ca="1">ALL!I55</f>
        <v>-21.32</v>
      </c>
      <c r="F76" s="16">
        <f ca="1">ALL!J55</f>
        <v>-21.15</v>
      </c>
      <c r="G76" s="16">
        <f ca="1">ALL!K55</f>
        <v>-21.73</v>
      </c>
      <c r="H76" s="16">
        <f ca="1">ALL!L55</f>
        <v>-21.95</v>
      </c>
      <c r="I76" s="16">
        <f ca="1">ALL!M55</f>
        <v>-22.15</v>
      </c>
      <c r="J76" s="16">
        <f ca="1">ALL!N55</f>
        <v>-22.32</v>
      </c>
      <c r="K76" s="16">
        <f ca="1">ALL!O55</f>
        <v>-22.46</v>
      </c>
      <c r="L76" s="16">
        <f ca="1">ALL!P55</f>
        <v>-22.6</v>
      </c>
      <c r="M76" s="16">
        <f ca="1">ALL!Q55</f>
        <v>-22.76</v>
      </c>
      <c r="N76" s="16">
        <f ca="1">ALL!R55</f>
        <v>-22.95</v>
      </c>
      <c r="O76" s="16">
        <f ca="1">ALL!S55</f>
        <v>-23.15</v>
      </c>
      <c r="P76" s="16">
        <f ca="1">ALL!T55</f>
        <v>-23.37</v>
      </c>
      <c r="Q76" s="16">
        <f ca="1">ALL!U55</f>
        <v>-23.6</v>
      </c>
      <c r="R76" s="16">
        <f ca="1">ALL!V55</f>
        <v>-23.84</v>
      </c>
      <c r="S76" s="16">
        <f ca="1">ALL!W55</f>
        <v>-24.07</v>
      </c>
      <c r="T76" s="16">
        <f ca="1">ALL!X55</f>
        <v>-24.31</v>
      </c>
      <c r="U76" s="16">
        <f ca="1">ALL!Y55</f>
        <v>-24.54</v>
      </c>
      <c r="V76" s="16">
        <f ca="1">ALL!Z55</f>
        <v>-24.77</v>
      </c>
      <c r="W76" s="16">
        <f ca="1">ALL!AA55</f>
        <v>-25</v>
      </c>
      <c r="X76" s="16">
        <f ca="1">ALL!AB55</f>
        <v>-25.9</v>
      </c>
      <c r="Y76" s="16">
        <f ca="1">ALL!AC55</f>
        <v>-26.75</v>
      </c>
      <c r="Z76" s="16">
        <f ca="1">ALL!AD55</f>
        <v>-27.55</v>
      </c>
      <c r="AA76" s="16">
        <f ca="1">ALL!AE55</f>
        <v>-27.75</v>
      </c>
      <c r="AB76" s="16">
        <f ca="1">ALL!AF55</f>
        <v>-27.95</v>
      </c>
      <c r="AC76" s="16">
        <f ca="1">ALL!AG55</f>
        <v>-28.15</v>
      </c>
      <c r="AD76" s="16">
        <f ca="1">ALL!AH55</f>
        <v>-28.35</v>
      </c>
      <c r="AE76" s="16">
        <f ca="1">ALL!AI55</f>
        <v>-28.54</v>
      </c>
      <c r="AF76" s="16">
        <f ca="1">ALL!AJ55</f>
        <v>-28.74</v>
      </c>
      <c r="AG76" s="16">
        <f ca="1">ALL!AK55</f>
        <v>-28.94</v>
      </c>
      <c r="AH76" s="16">
        <f ca="1">ALL!AL55</f>
        <v>-29.13</v>
      </c>
      <c r="AI76" s="16">
        <f>ALL!AM55</f>
        <v>0</v>
      </c>
      <c r="AJ76" s="16">
        <f>ALL!AN55</f>
        <v>0</v>
      </c>
      <c r="AK76" s="16">
        <f>ALL!AO55</f>
        <v>0</v>
      </c>
      <c r="AL76" s="16">
        <f>ALL!AP55</f>
        <v>0</v>
      </c>
      <c r="AM76" s="16">
        <f>ALL!AQ55</f>
        <v>0</v>
      </c>
      <c r="AN76" s="16">
        <f>ALL!AR55</f>
        <v>0</v>
      </c>
      <c r="AO76" s="16">
        <f>ALL!AS55</f>
        <v>0</v>
      </c>
      <c r="AP76" s="16">
        <f>ALL!AT55</f>
        <v>0</v>
      </c>
      <c r="AQ76" s="16">
        <f>ALL!AU55</f>
        <v>0</v>
      </c>
      <c r="AR76" s="16">
        <f>ALL!AV55</f>
        <v>0</v>
      </c>
      <c r="AS76" s="16">
        <f>ALL!AW55</f>
        <v>0</v>
      </c>
      <c r="AT76" s="16">
        <f>ALL!AX55</f>
        <v>0</v>
      </c>
      <c r="AU76" s="16">
        <f>ALL!AY55</f>
        <v>0</v>
      </c>
      <c r="AV76" s="16">
        <f>ALL!AZ55</f>
        <v>0</v>
      </c>
      <c r="AW76" s="16">
        <f>ALL!BA55</f>
        <v>0</v>
      </c>
      <c r="AX76" s="16">
        <f>ALL!BB55</f>
        <v>0</v>
      </c>
      <c r="AY76" s="16">
        <f>ALL!BC55</f>
        <v>0</v>
      </c>
      <c r="AZ76" s="16">
        <f>ALL!BD55</f>
        <v>0</v>
      </c>
      <c r="BA76" s="16">
        <f>ALL!BE55</f>
        <v>0</v>
      </c>
      <c r="BB76" s="16">
        <f>ALL!BF55</f>
        <v>0</v>
      </c>
      <c r="BC76" s="16">
        <f>ALL!BG55</f>
        <v>0</v>
      </c>
      <c r="BD76" s="16">
        <f>ALL!BH55</f>
        <v>0</v>
      </c>
      <c r="BE76" s="16">
        <f>ALL!BI55</f>
        <v>0</v>
      </c>
      <c r="BF76" s="16">
        <f>ALL!BJ55</f>
        <v>0</v>
      </c>
      <c r="BG76" s="16">
        <f>ALL!BK55</f>
        <v>0</v>
      </c>
      <c r="BH76" s="16">
        <f>ALL!BL55</f>
        <v>0</v>
      </c>
      <c r="BI76" s="16">
        <f>ALL!BM55</f>
        <v>0</v>
      </c>
      <c r="BJ76" s="16">
        <f>ALL!BN55</f>
        <v>0</v>
      </c>
      <c r="BK76" s="16">
        <f>ALL!BO55</f>
        <v>0</v>
      </c>
      <c r="BL76" s="16">
        <f>ALL!BP55</f>
        <v>0</v>
      </c>
      <c r="BM76" s="16">
        <f>ALL!BQ55</f>
        <v>0</v>
      </c>
      <c r="BN76" s="16">
        <f>ALL!BR55</f>
        <v>0</v>
      </c>
      <c r="BO76" s="16">
        <f>ALL!BS55</f>
        <v>0</v>
      </c>
      <c r="BP76" s="16">
        <f>ALL!BT55</f>
        <v>0</v>
      </c>
      <c r="BQ76" s="16">
        <f>ALL!BU55</f>
        <v>0</v>
      </c>
      <c r="BR76" s="16">
        <f>ALL!BV55</f>
        <v>0</v>
      </c>
      <c r="BS76" s="16">
        <f>ALL!BW55</f>
        <v>0</v>
      </c>
      <c r="BT76" s="16">
        <f>ALL!BX55</f>
        <v>0</v>
      </c>
    </row>
    <row r="77" spans="1:72" ht="21.75" hidden="1" outlineLevel="1" thickBot="1" x14ac:dyDescent="0.4">
      <c r="A77" s="34" t="str">
        <f>ALL!E56</f>
        <v>(1)Se[M]</v>
      </c>
      <c r="B77" s="16">
        <f ca="1">ALL!F56</f>
        <v>-23.56</v>
      </c>
      <c r="C77" s="16">
        <f ca="1">ALL!G56</f>
        <v>-22.54</v>
      </c>
      <c r="D77" s="16">
        <f ca="1">ALL!H56</f>
        <v>-21.78</v>
      </c>
      <c r="E77" s="16">
        <f ca="1">ALL!I56</f>
        <v>-21.32</v>
      </c>
      <c r="F77" s="16">
        <f ca="1">ALL!J56</f>
        <v>-21.15</v>
      </c>
      <c r="G77" s="16">
        <f ca="1">ALL!K56</f>
        <v>-21.73</v>
      </c>
      <c r="H77" s="16">
        <f ca="1">ALL!L56</f>
        <v>-21.95</v>
      </c>
      <c r="I77" s="16">
        <f ca="1">ALL!M56</f>
        <v>-22.15</v>
      </c>
      <c r="J77" s="16">
        <f ca="1">ALL!N56</f>
        <v>-22.32</v>
      </c>
      <c r="K77" s="16">
        <f ca="1">ALL!O56</f>
        <v>-22.46</v>
      </c>
      <c r="L77" s="16">
        <f ca="1">ALL!P56</f>
        <v>-22.6</v>
      </c>
      <c r="M77" s="16">
        <f ca="1">ALL!Q56</f>
        <v>-22.76</v>
      </c>
      <c r="N77" s="16">
        <f ca="1">ALL!R56</f>
        <v>-22.95</v>
      </c>
      <c r="O77" s="16">
        <f ca="1">ALL!S56</f>
        <v>-23.15</v>
      </c>
      <c r="P77" s="16">
        <f ca="1">ALL!T56</f>
        <v>-23.37</v>
      </c>
      <c r="Q77" s="16">
        <f ca="1">ALL!U56</f>
        <v>-23.6</v>
      </c>
      <c r="R77" s="16">
        <f ca="1">ALL!V56</f>
        <v>-23.84</v>
      </c>
      <c r="S77" s="16">
        <f ca="1">ALL!W56</f>
        <v>-24.07</v>
      </c>
      <c r="T77" s="16">
        <f ca="1">ALL!X56</f>
        <v>-24.31</v>
      </c>
      <c r="U77" s="16">
        <f ca="1">ALL!Y56</f>
        <v>-24.54</v>
      </c>
      <c r="V77" s="16">
        <f ca="1">ALL!Z56</f>
        <v>-24.77</v>
      </c>
      <c r="W77" s="16">
        <f ca="1">ALL!AA56</f>
        <v>-25</v>
      </c>
      <c r="X77" s="16">
        <f ca="1">ALL!AB56</f>
        <v>-25.9</v>
      </c>
      <c r="Y77" s="16">
        <f ca="1">ALL!AC56</f>
        <v>-26.75</v>
      </c>
      <c r="Z77" s="16">
        <f ca="1">ALL!AD56</f>
        <v>-27.55</v>
      </c>
      <c r="AA77" s="16">
        <f ca="1">ALL!AE56</f>
        <v>-27.75</v>
      </c>
      <c r="AB77" s="16">
        <f ca="1">ALL!AF56</f>
        <v>-27.95</v>
      </c>
      <c r="AC77" s="16">
        <f ca="1">ALL!AG56</f>
        <v>-28.15</v>
      </c>
      <c r="AD77" s="16">
        <f ca="1">ALL!AH56</f>
        <v>-28.35</v>
      </c>
      <c r="AE77" s="16">
        <f ca="1">ALL!AI56</f>
        <v>-28.54</v>
      </c>
      <c r="AF77" s="16">
        <f ca="1">ALL!AJ56</f>
        <v>-28.74</v>
      </c>
      <c r="AG77" s="16">
        <f ca="1">ALL!AK56</f>
        <v>-28.94</v>
      </c>
      <c r="AH77" s="16">
        <f ca="1">ALL!AL56</f>
        <v>-29.13</v>
      </c>
      <c r="AI77" s="16">
        <f>ALL!AM56</f>
        <v>0</v>
      </c>
      <c r="AJ77" s="16">
        <f>ALL!AN56</f>
        <v>0</v>
      </c>
      <c r="AK77" s="16">
        <f>ALL!AO56</f>
        <v>0</v>
      </c>
      <c r="AL77" s="16">
        <f>ALL!AP56</f>
        <v>0</v>
      </c>
      <c r="AM77" s="16">
        <f>ALL!AQ56</f>
        <v>0</v>
      </c>
      <c r="AN77" s="16">
        <f>ALL!AR56</f>
        <v>0</v>
      </c>
      <c r="AO77" s="16">
        <f>ALL!AS56</f>
        <v>0</v>
      </c>
      <c r="AP77" s="16">
        <f>ALL!AT56</f>
        <v>0</v>
      </c>
      <c r="AQ77" s="16">
        <f>ALL!AU56</f>
        <v>0</v>
      </c>
      <c r="AR77" s="16">
        <f>ALL!AV56</f>
        <v>0</v>
      </c>
      <c r="AS77" s="16">
        <f>ALL!AW56</f>
        <v>0</v>
      </c>
      <c r="AT77" s="16">
        <f>ALL!AX56</f>
        <v>0</v>
      </c>
      <c r="AU77" s="16">
        <f>ALL!AY56</f>
        <v>0</v>
      </c>
      <c r="AV77" s="16">
        <f>ALL!AZ56</f>
        <v>0</v>
      </c>
      <c r="AW77" s="16">
        <f>ALL!BA56</f>
        <v>0</v>
      </c>
      <c r="AX77" s="16">
        <f>ALL!BB56</f>
        <v>0</v>
      </c>
      <c r="AY77" s="16">
        <f>ALL!BC56</f>
        <v>0</v>
      </c>
      <c r="AZ77" s="16">
        <f>ALL!BD56</f>
        <v>0</v>
      </c>
      <c r="BA77" s="16">
        <f>ALL!BE56</f>
        <v>0</v>
      </c>
      <c r="BB77" s="16">
        <f>ALL!BF56</f>
        <v>0</v>
      </c>
      <c r="BC77" s="16">
        <f>ALL!BG56</f>
        <v>0</v>
      </c>
      <c r="BD77" s="16">
        <f>ALL!BH56</f>
        <v>0</v>
      </c>
      <c r="BE77" s="16">
        <f>ALL!BI56</f>
        <v>0</v>
      </c>
      <c r="BF77" s="16">
        <f>ALL!BJ56</f>
        <v>0</v>
      </c>
      <c r="BG77" s="16">
        <f>ALL!BK56</f>
        <v>0</v>
      </c>
      <c r="BH77" s="16">
        <f>ALL!BL56</f>
        <v>0</v>
      </c>
      <c r="BI77" s="16">
        <f>ALL!BM56</f>
        <v>0</v>
      </c>
      <c r="BJ77" s="16">
        <f>ALL!BN56</f>
        <v>0</v>
      </c>
      <c r="BK77" s="16">
        <f>ALL!BO56</f>
        <v>0</v>
      </c>
      <c r="BL77" s="16">
        <f>ALL!BP56</f>
        <v>0</v>
      </c>
      <c r="BM77" s="16">
        <f>ALL!BQ56</f>
        <v>0</v>
      </c>
      <c r="BN77" s="16">
        <f>ALL!BR56</f>
        <v>0</v>
      </c>
      <c r="BO77" s="16">
        <f>ALL!BS56</f>
        <v>0</v>
      </c>
      <c r="BP77" s="16">
        <f>ALL!BT56</f>
        <v>0</v>
      </c>
      <c r="BQ77" s="16">
        <f>ALL!BU56</f>
        <v>0</v>
      </c>
      <c r="BR77" s="16">
        <f>ALL!BV56</f>
        <v>0</v>
      </c>
      <c r="BS77" s="16">
        <f>ALL!BW56</f>
        <v>0</v>
      </c>
      <c r="BT77" s="16">
        <f>ALL!BX56</f>
        <v>0</v>
      </c>
    </row>
    <row r="78" spans="1:72" ht="21.75" hidden="1" outlineLevel="1" thickBot="1" x14ac:dyDescent="0.4">
      <c r="A78" s="34" t="str">
        <f>ALL!E57</f>
        <v>(1)Se</v>
      </c>
      <c r="B78" s="16">
        <f ca="1">ALL!F57</f>
        <v>-23.56</v>
      </c>
      <c r="C78" s="16">
        <f ca="1">ALL!G57</f>
        <v>-22.54</v>
      </c>
      <c r="D78" s="16">
        <f ca="1">ALL!H57</f>
        <v>-21.78</v>
      </c>
      <c r="E78" s="16">
        <f ca="1">ALL!I57</f>
        <v>-21.32</v>
      </c>
      <c r="F78" s="16">
        <f ca="1">ALL!J57</f>
        <v>-21.15</v>
      </c>
      <c r="G78" s="16">
        <f ca="1">ALL!K57</f>
        <v>-21.73</v>
      </c>
      <c r="H78" s="16">
        <f ca="1">ALL!L57</f>
        <v>-21.95</v>
      </c>
      <c r="I78" s="16">
        <f ca="1">ALL!M57</f>
        <v>-22.15</v>
      </c>
      <c r="J78" s="16">
        <f ca="1">ALL!N57</f>
        <v>-22.32</v>
      </c>
      <c r="K78" s="16">
        <f ca="1">ALL!O57</f>
        <v>-22.46</v>
      </c>
      <c r="L78" s="16">
        <f ca="1">ALL!P57</f>
        <v>-22.6</v>
      </c>
      <c r="M78" s="16">
        <f ca="1">ALL!Q57</f>
        <v>-22.76</v>
      </c>
      <c r="N78" s="16">
        <f ca="1">ALL!R57</f>
        <v>-22.95</v>
      </c>
      <c r="O78" s="16">
        <f ca="1">ALL!S57</f>
        <v>-23.15</v>
      </c>
      <c r="P78" s="16">
        <f ca="1">ALL!T57</f>
        <v>-23.37</v>
      </c>
      <c r="Q78" s="16">
        <f ca="1">ALL!U57</f>
        <v>-23.6</v>
      </c>
      <c r="R78" s="16">
        <f ca="1">ALL!V57</f>
        <v>-23.84</v>
      </c>
      <c r="S78" s="16">
        <f ca="1">ALL!W57</f>
        <v>-24.07</v>
      </c>
      <c r="T78" s="16">
        <f ca="1">ALL!X57</f>
        <v>-24.31</v>
      </c>
      <c r="U78" s="16">
        <f ca="1">ALL!Y57</f>
        <v>-24.54</v>
      </c>
      <c r="V78" s="16">
        <f ca="1">ALL!Z57</f>
        <v>-24.77</v>
      </c>
      <c r="W78" s="16">
        <f ca="1">ALL!AA57</f>
        <v>-25</v>
      </c>
      <c r="X78" s="16">
        <f ca="1">ALL!AB57</f>
        <v>-25.9</v>
      </c>
      <c r="Y78" s="16">
        <f ca="1">ALL!AC57</f>
        <v>-26.75</v>
      </c>
      <c r="Z78" s="16">
        <f ca="1">ALL!AD57</f>
        <v>-27.55</v>
      </c>
      <c r="AA78" s="16">
        <f ca="1">ALL!AE57</f>
        <v>-27.75</v>
      </c>
      <c r="AB78" s="16">
        <f ca="1">ALL!AF57</f>
        <v>-27.95</v>
      </c>
      <c r="AC78" s="16">
        <f ca="1">ALL!AG57</f>
        <v>-28.15</v>
      </c>
      <c r="AD78" s="16">
        <f ca="1">ALL!AH57</f>
        <v>-28.35</v>
      </c>
      <c r="AE78" s="16">
        <f ca="1">ALL!AI57</f>
        <v>-28.54</v>
      </c>
      <c r="AF78" s="16">
        <f ca="1">ALL!AJ57</f>
        <v>-28.74</v>
      </c>
      <c r="AG78" s="16">
        <f ca="1">ALL!AK57</f>
        <v>-28.94</v>
      </c>
      <c r="AH78" s="16">
        <f ca="1">ALL!AL57</f>
        <v>-29.13</v>
      </c>
      <c r="AI78" s="16">
        <f>ALL!AM57</f>
        <v>0</v>
      </c>
      <c r="AJ78" s="16">
        <f>ALL!AN57</f>
        <v>0</v>
      </c>
      <c r="AK78" s="16">
        <f>ALL!AO57</f>
        <v>0</v>
      </c>
      <c r="AL78" s="16">
        <f>ALL!AP57</f>
        <v>0</v>
      </c>
      <c r="AM78" s="16">
        <f>ALL!AQ57</f>
        <v>0</v>
      </c>
      <c r="AN78" s="16">
        <f>ALL!AR57</f>
        <v>0</v>
      </c>
      <c r="AO78" s="16">
        <f>ALL!AS57</f>
        <v>0</v>
      </c>
      <c r="AP78" s="16">
        <f>ALL!AT57</f>
        <v>0</v>
      </c>
      <c r="AQ78" s="16">
        <f>ALL!AU57</f>
        <v>0</v>
      </c>
      <c r="AR78" s="16">
        <f>ALL!AV57</f>
        <v>0</v>
      </c>
      <c r="AS78" s="16">
        <f>ALL!AW57</f>
        <v>0</v>
      </c>
      <c r="AT78" s="16">
        <f>ALL!AX57</f>
        <v>0</v>
      </c>
      <c r="AU78" s="16">
        <f>ALL!AY57</f>
        <v>0</v>
      </c>
      <c r="AV78" s="16">
        <f>ALL!AZ57</f>
        <v>0</v>
      </c>
      <c r="AW78" s="16">
        <f>ALL!BA57</f>
        <v>0</v>
      </c>
      <c r="AX78" s="16">
        <f>ALL!BB57</f>
        <v>0</v>
      </c>
      <c r="AY78" s="16">
        <f>ALL!BC57</f>
        <v>0</v>
      </c>
      <c r="AZ78" s="16">
        <f>ALL!BD57</f>
        <v>0</v>
      </c>
      <c r="BA78" s="16">
        <f>ALL!BE57</f>
        <v>0</v>
      </c>
      <c r="BB78" s="16">
        <f>ALL!BF57</f>
        <v>0</v>
      </c>
      <c r="BC78" s="16">
        <f>ALL!BG57</f>
        <v>0</v>
      </c>
      <c r="BD78" s="16">
        <f>ALL!BH57</f>
        <v>0</v>
      </c>
      <c r="BE78" s="16">
        <f>ALL!BI57</f>
        <v>0</v>
      </c>
      <c r="BF78" s="16">
        <f>ALL!BJ57</f>
        <v>0</v>
      </c>
      <c r="BG78" s="16">
        <f>ALL!BK57</f>
        <v>0</v>
      </c>
      <c r="BH78" s="16">
        <f>ALL!BL57</f>
        <v>0</v>
      </c>
      <c r="BI78" s="16">
        <f>ALL!BM57</f>
        <v>0</v>
      </c>
      <c r="BJ78" s="16">
        <f>ALL!BN57</f>
        <v>0</v>
      </c>
      <c r="BK78" s="16">
        <f>ALL!BO57</f>
        <v>0</v>
      </c>
      <c r="BL78" s="16">
        <f>ALL!BP57</f>
        <v>0</v>
      </c>
      <c r="BM78" s="16">
        <f>ALL!BQ57</f>
        <v>0</v>
      </c>
      <c r="BN78" s="16">
        <f>ALL!BR57</f>
        <v>0</v>
      </c>
      <c r="BO78" s="16">
        <f>ALL!BS57</f>
        <v>0</v>
      </c>
      <c r="BP78" s="16">
        <f>ALL!BT57</f>
        <v>0</v>
      </c>
      <c r="BQ78" s="16">
        <f>ALL!BU57</f>
        <v>0</v>
      </c>
      <c r="BR78" s="16">
        <f>ALL!BV57</f>
        <v>0</v>
      </c>
      <c r="BS78" s="16">
        <f>ALL!BW57</f>
        <v>0</v>
      </c>
      <c r="BT78" s="16">
        <f>ALL!BX57</f>
        <v>0</v>
      </c>
    </row>
    <row r="79" spans="1:72" ht="21.75" hidden="1" outlineLevel="1" thickBot="1" x14ac:dyDescent="0.4">
      <c r="A79" s="34" t="str">
        <f>ALL!E58</f>
        <v>(2)Ga[l]</v>
      </c>
      <c r="B79" s="16">
        <f ca="1">ALL!F58</f>
        <v>-66.48</v>
      </c>
      <c r="C79" s="16">
        <f ca="1">ALL!G58</f>
        <v>-62.87</v>
      </c>
      <c r="D79" s="16">
        <f ca="1">ALL!H58</f>
        <v>-59.45</v>
      </c>
      <c r="E79" s="16">
        <f ca="1">ALL!I58</f>
        <v>-56.08</v>
      </c>
      <c r="F79" s="16">
        <f ca="1">ALL!J58</f>
        <v>-52.71</v>
      </c>
      <c r="G79" s="16">
        <f ca="1">ALL!K58</f>
        <v>-40.33</v>
      </c>
      <c r="H79" s="16">
        <f ca="1">ALL!L58</f>
        <v>-37.729999999999997</v>
      </c>
      <c r="I79" s="16">
        <f ca="1">ALL!M58</f>
        <v>-35.340000000000003</v>
      </c>
      <c r="J79" s="16">
        <f ca="1">ALL!N58</f>
        <v>-33.17</v>
      </c>
      <c r="K79" s="16">
        <f ca="1">ALL!O58</f>
        <v>-31.2</v>
      </c>
      <c r="L79" s="16">
        <f ca="1">ALL!P58</f>
        <v>-29.39</v>
      </c>
      <c r="M79" s="16">
        <f ca="1">ALL!Q58</f>
        <v>-27.69</v>
      </c>
      <c r="N79" s="16">
        <f ca="1">ALL!R58</f>
        <v>-26.08</v>
      </c>
      <c r="O79" s="16">
        <f ca="1">ALL!S58</f>
        <v>-24.57</v>
      </c>
      <c r="P79" s="16">
        <f ca="1">ALL!T58</f>
        <v>-23.15</v>
      </c>
      <c r="Q79" s="16">
        <f ca="1">ALL!U58</f>
        <v>-21.84</v>
      </c>
      <c r="R79" s="16">
        <f ca="1">ALL!V58</f>
        <v>-20.64</v>
      </c>
      <c r="S79" s="16">
        <f ca="1">ALL!W58</f>
        <v>-19.53</v>
      </c>
      <c r="T79" s="16">
        <f ca="1">ALL!X58</f>
        <v>-18.5</v>
      </c>
      <c r="U79" s="16">
        <f ca="1">ALL!Y58</f>
        <v>-17.53</v>
      </c>
      <c r="V79" s="16">
        <f ca="1">ALL!Z58</f>
        <v>-16.62</v>
      </c>
      <c r="W79" s="16">
        <f ca="1">ALL!AA58</f>
        <v>-15.74</v>
      </c>
      <c r="X79" s="16">
        <f ca="1">ALL!AB58</f>
        <v>-12.62</v>
      </c>
      <c r="Y79" s="16">
        <f ca="1">ALL!AC58</f>
        <v>-10.119999999999999</v>
      </c>
      <c r="Z79" s="16">
        <f ca="1">ALL!AD58</f>
        <v>-8.859</v>
      </c>
      <c r="AA79" s="16">
        <f ca="1">ALL!AE58</f>
        <v>-8.76</v>
      </c>
      <c r="AB79" s="16">
        <f ca="1">ALL!AF58</f>
        <v>-8.7140000000000004</v>
      </c>
      <c r="AC79" s="16">
        <f ca="1">ALL!AG58</f>
        <v>-8.7010000000000005</v>
      </c>
      <c r="AD79" s="16">
        <f ca="1">ALL!AH58</f>
        <v>-8.7080000000000002</v>
      </c>
      <c r="AE79" s="16">
        <f ca="1">ALL!AI58</f>
        <v>-8.7279999999999998</v>
      </c>
      <c r="AF79" s="16">
        <f ca="1">ALL!AJ58</f>
        <v>-8.7539999999999996</v>
      </c>
      <c r="AG79" s="16">
        <f ca="1">ALL!AK58</f>
        <v>-8.7850000000000001</v>
      </c>
      <c r="AH79" s="16">
        <f ca="1">ALL!AL58</f>
        <v>-8.8179999999999996</v>
      </c>
      <c r="AI79" s="16">
        <f>ALL!AM58</f>
        <v>0</v>
      </c>
      <c r="AJ79" s="16">
        <f>ALL!AN58</f>
        <v>0</v>
      </c>
      <c r="AK79" s="16">
        <f>ALL!AO58</f>
        <v>0</v>
      </c>
      <c r="AL79" s="16">
        <f>ALL!AP58</f>
        <v>0</v>
      </c>
      <c r="AM79" s="16">
        <f>ALL!AQ58</f>
        <v>0</v>
      </c>
      <c r="AN79" s="16">
        <f>ALL!AR58</f>
        <v>0</v>
      </c>
      <c r="AO79" s="16">
        <f>ALL!AS58</f>
        <v>0</v>
      </c>
      <c r="AP79" s="16">
        <f>ALL!AT58</f>
        <v>0</v>
      </c>
      <c r="AQ79" s="16">
        <f>ALL!AU58</f>
        <v>0</v>
      </c>
      <c r="AR79" s="16">
        <f>ALL!AV58</f>
        <v>0</v>
      </c>
      <c r="AS79" s="16">
        <f>ALL!AW58</f>
        <v>0</v>
      </c>
      <c r="AT79" s="16">
        <f>ALL!AX58</f>
        <v>0</v>
      </c>
      <c r="AU79" s="16">
        <f>ALL!AY58</f>
        <v>0</v>
      </c>
      <c r="AV79" s="16">
        <f>ALL!AZ58</f>
        <v>0</v>
      </c>
      <c r="AW79" s="16">
        <f>ALL!BA58</f>
        <v>0</v>
      </c>
      <c r="AX79" s="16">
        <f>ALL!BB58</f>
        <v>0</v>
      </c>
      <c r="AY79" s="16">
        <f>ALL!BC58</f>
        <v>0</v>
      </c>
      <c r="AZ79" s="16">
        <f>ALL!BD58</f>
        <v>0</v>
      </c>
      <c r="BA79" s="16">
        <f>ALL!BE58</f>
        <v>0</v>
      </c>
      <c r="BB79" s="16">
        <f>ALL!BF58</f>
        <v>0</v>
      </c>
      <c r="BC79" s="16">
        <f>ALL!BG58</f>
        <v>0</v>
      </c>
      <c r="BD79" s="16">
        <f>ALL!BH58</f>
        <v>0</v>
      </c>
      <c r="BE79" s="16">
        <f>ALL!BI58</f>
        <v>0</v>
      </c>
      <c r="BF79" s="16">
        <f>ALL!BJ58</f>
        <v>0</v>
      </c>
      <c r="BG79" s="16">
        <f>ALL!BK58</f>
        <v>0</v>
      </c>
      <c r="BH79" s="16">
        <f>ALL!BL58</f>
        <v>0</v>
      </c>
      <c r="BI79" s="16">
        <f>ALL!BM58</f>
        <v>0</v>
      </c>
      <c r="BJ79" s="16">
        <f>ALL!BN58</f>
        <v>0</v>
      </c>
      <c r="BK79" s="16">
        <f>ALL!BO58</f>
        <v>0</v>
      </c>
      <c r="BL79" s="16">
        <f>ALL!BP58</f>
        <v>0</v>
      </c>
      <c r="BM79" s="16">
        <f>ALL!BQ58</f>
        <v>0</v>
      </c>
      <c r="BN79" s="16">
        <f>ALL!BR58</f>
        <v>0</v>
      </c>
      <c r="BO79" s="16">
        <f>ALL!BS58</f>
        <v>0</v>
      </c>
      <c r="BP79" s="16">
        <f>ALL!BT58</f>
        <v>0</v>
      </c>
      <c r="BQ79" s="16">
        <f>ALL!BU58</f>
        <v>0</v>
      </c>
      <c r="BR79" s="16">
        <f>ALL!BV58</f>
        <v>0</v>
      </c>
      <c r="BS79" s="16">
        <f>ALL!BW58</f>
        <v>0</v>
      </c>
      <c r="BT79" s="16">
        <f>ALL!BX58</f>
        <v>0</v>
      </c>
    </row>
    <row r="80" spans="1:72" ht="21.75" hidden="1" outlineLevel="1" thickBot="1" x14ac:dyDescent="0.4">
      <c r="A80" s="34" t="str">
        <f>ALL!E59</f>
        <v>H (Ar)</v>
      </c>
      <c r="B80" s="16">
        <f ca="1">ALL!F59</f>
        <v>-18.62</v>
      </c>
      <c r="C80" s="16">
        <f ca="1">ALL!G59</f>
        <v>-18.61</v>
      </c>
      <c r="D80" s="16">
        <f ca="1">ALL!H59</f>
        <v>-18.61</v>
      </c>
      <c r="E80" s="16">
        <f ca="1">ALL!I59</f>
        <v>-18.62</v>
      </c>
      <c r="F80" s="16">
        <f ca="1">ALL!J59</f>
        <v>-18.63</v>
      </c>
      <c r="G80" s="16">
        <f ca="1">ALL!K59</f>
        <v>-18.72</v>
      </c>
      <c r="H80" s="16">
        <f ca="1">ALL!L59</f>
        <v>-18.75</v>
      </c>
      <c r="I80" s="16">
        <f ca="1">ALL!M59</f>
        <v>-18.78</v>
      </c>
      <c r="J80" s="16">
        <f ca="1">ALL!N59</f>
        <v>-18.809999999999999</v>
      </c>
      <c r="K80" s="16">
        <f ca="1">ALL!O59</f>
        <v>-18.84</v>
      </c>
      <c r="L80" s="16">
        <f ca="1">ALL!P59</f>
        <v>-18.87</v>
      </c>
      <c r="M80" s="16">
        <f ca="1">ALL!Q59</f>
        <v>-18.899999999999999</v>
      </c>
      <c r="N80" s="16">
        <f ca="1">ALL!R59</f>
        <v>-18.940000000000001</v>
      </c>
      <c r="O80" s="16">
        <f ca="1">ALL!S59</f>
        <v>-18.97</v>
      </c>
      <c r="P80" s="16">
        <f ca="1">ALL!T59</f>
        <v>-19.010000000000002</v>
      </c>
      <c r="Q80" s="16">
        <f ca="1">ALL!U59</f>
        <v>-19.04</v>
      </c>
      <c r="R80" s="16">
        <f ca="1">ALL!V59</f>
        <v>-19.07</v>
      </c>
      <c r="S80" s="16">
        <f ca="1">ALL!W59</f>
        <v>-19.11</v>
      </c>
      <c r="T80" s="16">
        <f ca="1">ALL!X59</f>
        <v>-19.14</v>
      </c>
      <c r="U80" s="16">
        <f ca="1">ALL!Y59</f>
        <v>-19.18</v>
      </c>
      <c r="V80" s="16">
        <f ca="1">ALL!Z59</f>
        <v>-19.21</v>
      </c>
      <c r="W80" s="16">
        <f ca="1">ALL!AA59</f>
        <v>-19.25</v>
      </c>
      <c r="X80" s="16">
        <f ca="1">ALL!AB59</f>
        <v>-19.38</v>
      </c>
      <c r="Y80" s="16">
        <f ca="1">ALL!AC59</f>
        <v>-19.510000000000002</v>
      </c>
      <c r="Z80" s="16">
        <f ca="1">ALL!AD59</f>
        <v>-19.64</v>
      </c>
      <c r="AA80" s="16">
        <f ca="1">ALL!AE59</f>
        <v>-19.670000000000002</v>
      </c>
      <c r="AB80" s="16">
        <f ca="1">ALL!AF59</f>
        <v>-19.7</v>
      </c>
      <c r="AC80" s="16">
        <f ca="1">ALL!AG59</f>
        <v>-19.73</v>
      </c>
      <c r="AD80" s="16">
        <f ca="1">ALL!AH59</f>
        <v>-19.760000000000002</v>
      </c>
      <c r="AE80" s="16">
        <f ca="1">ALL!AI59</f>
        <v>-19.79</v>
      </c>
      <c r="AF80" s="16">
        <f ca="1">ALL!AJ59</f>
        <v>-19.82</v>
      </c>
      <c r="AG80" s="16">
        <f ca="1">ALL!AK59</f>
        <v>-19.850000000000001</v>
      </c>
      <c r="AH80" s="16">
        <f ca="1">ALL!AL59</f>
        <v>-19.88</v>
      </c>
      <c r="AI80" s="16">
        <f>ALL!AM59</f>
        <v>0</v>
      </c>
      <c r="AJ80" s="16">
        <f>ALL!AN59</f>
        <v>0</v>
      </c>
      <c r="AK80" s="16">
        <f>ALL!AO59</f>
        <v>0</v>
      </c>
      <c r="AL80" s="16">
        <f>ALL!AP59</f>
        <v>0</v>
      </c>
      <c r="AM80" s="16">
        <f>ALL!AQ59</f>
        <v>0</v>
      </c>
      <c r="AN80" s="16">
        <f>ALL!AR59</f>
        <v>0</v>
      </c>
      <c r="AO80" s="16">
        <f>ALL!AS59</f>
        <v>0</v>
      </c>
      <c r="AP80" s="16">
        <f>ALL!AT59</f>
        <v>0</v>
      </c>
      <c r="AQ80" s="16">
        <f>ALL!AU59</f>
        <v>0</v>
      </c>
      <c r="AR80" s="16">
        <f>ALL!AV59</f>
        <v>0</v>
      </c>
      <c r="AS80" s="16">
        <f>ALL!AW59</f>
        <v>0</v>
      </c>
      <c r="AT80" s="16">
        <f>ALL!AX59</f>
        <v>0</v>
      </c>
      <c r="AU80" s="16">
        <f>ALL!AY59</f>
        <v>0</v>
      </c>
      <c r="AV80" s="16">
        <f>ALL!AZ59</f>
        <v>0</v>
      </c>
      <c r="AW80" s="16">
        <f>ALL!BA59</f>
        <v>0</v>
      </c>
      <c r="AX80" s="16">
        <f>ALL!BB59</f>
        <v>0</v>
      </c>
      <c r="AY80" s="16">
        <f>ALL!BC59</f>
        <v>0</v>
      </c>
      <c r="AZ80" s="16">
        <f>ALL!BD59</f>
        <v>0</v>
      </c>
      <c r="BA80" s="16">
        <f>ALL!BE59</f>
        <v>0</v>
      </c>
      <c r="BB80" s="16">
        <f>ALL!BF59</f>
        <v>0</v>
      </c>
      <c r="BC80" s="16">
        <f>ALL!BG59</f>
        <v>0</v>
      </c>
      <c r="BD80" s="16">
        <f>ALL!BH59</f>
        <v>0</v>
      </c>
      <c r="BE80" s="16">
        <f>ALL!BI59</f>
        <v>0</v>
      </c>
      <c r="BF80" s="16">
        <f>ALL!BJ59</f>
        <v>0</v>
      </c>
      <c r="BG80" s="16">
        <f>ALL!BK59</f>
        <v>0</v>
      </c>
      <c r="BH80" s="16">
        <f>ALL!BL59</f>
        <v>0</v>
      </c>
      <c r="BI80" s="16">
        <f>ALL!BM59</f>
        <v>0</v>
      </c>
      <c r="BJ80" s="16">
        <f>ALL!BN59</f>
        <v>0</v>
      </c>
      <c r="BK80" s="16">
        <f>ALL!BO59</f>
        <v>0</v>
      </c>
      <c r="BL80" s="16">
        <f>ALL!BP59</f>
        <v>0</v>
      </c>
      <c r="BM80" s="16">
        <f>ALL!BQ59</f>
        <v>0</v>
      </c>
      <c r="BN80" s="16">
        <f>ALL!BR59</f>
        <v>0</v>
      </c>
      <c r="BO80" s="16">
        <f>ALL!BS59</f>
        <v>0</v>
      </c>
      <c r="BP80" s="16">
        <f>ALL!BT59</f>
        <v>0</v>
      </c>
      <c r="BQ80" s="16">
        <f>ALL!BU59</f>
        <v>0</v>
      </c>
      <c r="BR80" s="16">
        <f>ALL!BV59</f>
        <v>0</v>
      </c>
      <c r="BS80" s="16">
        <f>ALL!BW59</f>
        <v>0</v>
      </c>
      <c r="BT80" s="16">
        <f>ALL!BX59</f>
        <v>0</v>
      </c>
    </row>
    <row r="81" spans="1:72" ht="21.75" hidden="1" outlineLevel="1" thickBot="1" x14ac:dyDescent="0.4">
      <c r="A81" s="34" t="str">
        <f>ALL!E60</f>
        <v>H (Ga)</v>
      </c>
      <c r="B81" s="16">
        <f ca="1">ALL!F60</f>
        <v>-66.48</v>
      </c>
      <c r="C81" s="16">
        <f ca="1">ALL!G60</f>
        <v>-62.87</v>
      </c>
      <c r="D81" s="16">
        <f ca="1">ALL!H60</f>
        <v>-59.45</v>
      </c>
      <c r="E81" s="16">
        <f ca="1">ALL!I60</f>
        <v>-56.08</v>
      </c>
      <c r="F81" s="16">
        <f ca="1">ALL!J60</f>
        <v>-52.71</v>
      </c>
      <c r="G81" s="16">
        <f ca="1">ALL!K60</f>
        <v>-40.33</v>
      </c>
      <c r="H81" s="16">
        <f ca="1">ALL!L60</f>
        <v>-37.729999999999997</v>
      </c>
      <c r="I81" s="16">
        <f ca="1">ALL!M60</f>
        <v>-35.340000000000003</v>
      </c>
      <c r="J81" s="16">
        <f ca="1">ALL!N60</f>
        <v>-33.17</v>
      </c>
      <c r="K81" s="16">
        <f ca="1">ALL!O60</f>
        <v>-31.2</v>
      </c>
      <c r="L81" s="16">
        <f ca="1">ALL!P60</f>
        <v>-29.39</v>
      </c>
      <c r="M81" s="16">
        <f ca="1">ALL!Q60</f>
        <v>-27.69</v>
      </c>
      <c r="N81" s="16">
        <f ca="1">ALL!R60</f>
        <v>-26.08</v>
      </c>
      <c r="O81" s="16">
        <f ca="1">ALL!S60</f>
        <v>-24.57</v>
      </c>
      <c r="P81" s="16">
        <f ca="1">ALL!T60</f>
        <v>-23.15</v>
      </c>
      <c r="Q81" s="16">
        <f ca="1">ALL!U60</f>
        <v>-21.84</v>
      </c>
      <c r="R81" s="16">
        <f ca="1">ALL!V60</f>
        <v>-20.64</v>
      </c>
      <c r="S81" s="16">
        <f ca="1">ALL!W60</f>
        <v>-19.53</v>
      </c>
      <c r="T81" s="16">
        <f ca="1">ALL!X60</f>
        <v>-18.5</v>
      </c>
      <c r="U81" s="16">
        <f ca="1">ALL!Y60</f>
        <v>-17.53</v>
      </c>
      <c r="V81" s="16">
        <f ca="1">ALL!Z60</f>
        <v>-16.62</v>
      </c>
      <c r="W81" s="16">
        <f ca="1">ALL!AA60</f>
        <v>-15.74</v>
      </c>
      <c r="X81" s="16">
        <f ca="1">ALL!AB60</f>
        <v>-12.62</v>
      </c>
      <c r="Y81" s="16">
        <f ca="1">ALL!AC60</f>
        <v>-10.119999999999999</v>
      </c>
      <c r="Z81" s="16">
        <f ca="1">ALL!AD60</f>
        <v>-8.859</v>
      </c>
      <c r="AA81" s="16">
        <f ca="1">ALL!AE60</f>
        <v>-8.76</v>
      </c>
      <c r="AB81" s="16">
        <f ca="1">ALL!AF60</f>
        <v>-8.7140000000000004</v>
      </c>
      <c r="AC81" s="16">
        <f ca="1">ALL!AG60</f>
        <v>-8.7010000000000005</v>
      </c>
      <c r="AD81" s="16">
        <f ca="1">ALL!AH60</f>
        <v>-8.7080000000000002</v>
      </c>
      <c r="AE81" s="16">
        <f ca="1">ALL!AI60</f>
        <v>-8.7279999999999998</v>
      </c>
      <c r="AF81" s="16">
        <f ca="1">ALL!AJ60</f>
        <v>-8.7539999999999996</v>
      </c>
      <c r="AG81" s="16">
        <f ca="1">ALL!AK60</f>
        <v>-8.7850000000000001</v>
      </c>
      <c r="AH81" s="16">
        <f ca="1">ALL!AL60</f>
        <v>-8.8179999999999996</v>
      </c>
      <c r="AI81" s="16">
        <f>ALL!AM60</f>
        <v>0</v>
      </c>
      <c r="AJ81" s="16">
        <f>ALL!AN60</f>
        <v>0</v>
      </c>
      <c r="AK81" s="16">
        <f>ALL!AO60</f>
        <v>0</v>
      </c>
      <c r="AL81" s="16">
        <f>ALL!AP60</f>
        <v>0</v>
      </c>
      <c r="AM81" s="16">
        <f>ALL!AQ60</f>
        <v>0</v>
      </c>
      <c r="AN81" s="16">
        <f>ALL!AR60</f>
        <v>0</v>
      </c>
      <c r="AO81" s="16">
        <f>ALL!AS60</f>
        <v>0</v>
      </c>
      <c r="AP81" s="16">
        <f>ALL!AT60</f>
        <v>0</v>
      </c>
      <c r="AQ81" s="16">
        <f>ALL!AU60</f>
        <v>0</v>
      </c>
      <c r="AR81" s="16">
        <f>ALL!AV60</f>
        <v>0</v>
      </c>
      <c r="AS81" s="16">
        <f>ALL!AW60</f>
        <v>0</v>
      </c>
      <c r="AT81" s="16">
        <f>ALL!AX60</f>
        <v>0</v>
      </c>
      <c r="AU81" s="16">
        <f>ALL!AY60</f>
        <v>0</v>
      </c>
      <c r="AV81" s="16">
        <f>ALL!AZ60</f>
        <v>0</v>
      </c>
      <c r="AW81" s="16">
        <f>ALL!BA60</f>
        <v>0</v>
      </c>
      <c r="AX81" s="16">
        <f>ALL!BB60</f>
        <v>0</v>
      </c>
      <c r="AY81" s="16">
        <f>ALL!BC60</f>
        <v>0</v>
      </c>
      <c r="AZ81" s="16">
        <f>ALL!BD60</f>
        <v>0</v>
      </c>
      <c r="BA81" s="16">
        <f>ALL!BE60</f>
        <v>0</v>
      </c>
      <c r="BB81" s="16">
        <f>ALL!BF60</f>
        <v>0</v>
      </c>
      <c r="BC81" s="16">
        <f>ALL!BG60</f>
        <v>0</v>
      </c>
      <c r="BD81" s="16">
        <f>ALL!BH60</f>
        <v>0</v>
      </c>
      <c r="BE81" s="16">
        <f>ALL!BI60</f>
        <v>0</v>
      </c>
      <c r="BF81" s="16">
        <f>ALL!BJ60</f>
        <v>0</v>
      </c>
      <c r="BG81" s="16">
        <f>ALL!BK60</f>
        <v>0</v>
      </c>
      <c r="BH81" s="16">
        <f>ALL!BL60</f>
        <v>0</v>
      </c>
      <c r="BI81" s="16">
        <f>ALL!BM60</f>
        <v>0</v>
      </c>
      <c r="BJ81" s="16">
        <f>ALL!BN60</f>
        <v>0</v>
      </c>
      <c r="BK81" s="16">
        <f>ALL!BO60</f>
        <v>0</v>
      </c>
      <c r="BL81" s="16">
        <f>ALL!BP60</f>
        <v>0</v>
      </c>
      <c r="BM81" s="16">
        <f>ALL!BQ60</f>
        <v>0</v>
      </c>
      <c r="BN81" s="16">
        <f>ALL!BR60</f>
        <v>0</v>
      </c>
      <c r="BO81" s="16">
        <f>ALL!BS60</f>
        <v>0</v>
      </c>
      <c r="BP81" s="16">
        <f>ALL!BT60</f>
        <v>0</v>
      </c>
      <c r="BQ81" s="16">
        <f>ALL!BU60</f>
        <v>0</v>
      </c>
      <c r="BR81" s="16">
        <f>ALL!BV60</f>
        <v>0</v>
      </c>
      <c r="BS81" s="16">
        <f>ALL!BW60</f>
        <v>0</v>
      </c>
      <c r="BT81" s="16">
        <f>ALL!BX60</f>
        <v>0</v>
      </c>
    </row>
    <row r="82" spans="1:72" ht="21.75" hidden="1" outlineLevel="1" thickBot="1" x14ac:dyDescent="0.4">
      <c r="A82" s="34" t="str">
        <f>ALL!E61</f>
        <v>H (Ge)</v>
      </c>
      <c r="B82" s="16">
        <f ca="1">ALL!F61</f>
        <v>-17.09</v>
      </c>
      <c r="C82" s="16">
        <f ca="1">ALL!G61</f>
        <v>-16.329999999999998</v>
      </c>
      <c r="D82" s="16">
        <f ca="1">ALL!H61</f>
        <v>-15.49</v>
      </c>
      <c r="E82" s="16">
        <f ca="1">ALL!I61</f>
        <v>-14.5</v>
      </c>
      <c r="F82" s="16">
        <f ca="1">ALL!J61</f>
        <v>-13.38</v>
      </c>
      <c r="G82" s="16">
        <f ca="1">ALL!K61</f>
        <v>-8.9420000000000002</v>
      </c>
      <c r="H82" s="16">
        <f ca="1">ALL!L61</f>
        <v>-8.0190000000000001</v>
      </c>
      <c r="I82" s="16">
        <f ca="1">ALL!M61</f>
        <v>-7.2149999999999999</v>
      </c>
      <c r="J82" s="16">
        <f ca="1">ALL!N61</f>
        <v>-6.5570000000000004</v>
      </c>
      <c r="K82" s="16">
        <f ca="1">ALL!O61</f>
        <v>-6.056</v>
      </c>
      <c r="L82" s="16">
        <f ca="1">ALL!P61</f>
        <v>-5.7050000000000001</v>
      </c>
      <c r="M82" s="16">
        <f ca="1">ALL!Q61</f>
        <v>-5.4829999999999997</v>
      </c>
      <c r="N82" s="16">
        <f ca="1">ALL!R61</f>
        <v>-5.3639999999999999</v>
      </c>
      <c r="O82" s="16">
        <f ca="1">ALL!S61</f>
        <v>-5.319</v>
      </c>
      <c r="P82" s="16">
        <f ca="1">ALL!T61</f>
        <v>-5.319</v>
      </c>
      <c r="Q82" s="16">
        <f ca="1">ALL!U61</f>
        <v>-5.3440000000000003</v>
      </c>
      <c r="R82" s="16">
        <f ca="1">ALL!V61</f>
        <v>-5.3789999999999996</v>
      </c>
      <c r="S82" s="16">
        <f ca="1">ALL!W61</f>
        <v>-5.4180000000000001</v>
      </c>
      <c r="T82" s="16">
        <f ca="1">ALL!X61</f>
        <v>-5.4589999999999996</v>
      </c>
      <c r="U82" s="16">
        <f ca="1">ALL!Y61</f>
        <v>-5.4989999999999997</v>
      </c>
      <c r="V82" s="16">
        <f ca="1">ALL!Z61</f>
        <v>-5.54</v>
      </c>
      <c r="W82" s="16">
        <f ca="1">ALL!AA61</f>
        <v>-5.58</v>
      </c>
      <c r="X82" s="16">
        <f ca="1">ALL!AB61</f>
        <v>-5.7430000000000003</v>
      </c>
      <c r="Y82" s="16">
        <f ca="1">ALL!AC61</f>
        <v>-5.9169999999999998</v>
      </c>
      <c r="Z82" s="16">
        <f ca="1">ALL!AD61</f>
        <v>-6.1260000000000003</v>
      </c>
      <c r="AA82" s="16">
        <f ca="1">ALL!AE61</f>
        <v>-6.1749999999999998</v>
      </c>
      <c r="AB82" s="16">
        <f ca="1">ALL!AF61</f>
        <v>-6.2210000000000001</v>
      </c>
      <c r="AC82" s="16">
        <f ca="1">ALL!AG61</f>
        <v>-6.2629999999999999</v>
      </c>
      <c r="AD82" s="16">
        <f ca="1">ALL!AH61</f>
        <v>-6.3029999999999999</v>
      </c>
      <c r="AE82" s="16">
        <f ca="1">ALL!AI61</f>
        <v>-6.3419999999999996</v>
      </c>
      <c r="AF82" s="16">
        <f ca="1">ALL!AJ61</f>
        <v>-6.3789999999999996</v>
      </c>
      <c r="AG82" s="16">
        <f ca="1">ALL!AK61</f>
        <v>-6.4160000000000004</v>
      </c>
      <c r="AH82" s="16">
        <f ca="1">ALL!AL61</f>
        <v>-6.452</v>
      </c>
      <c r="AI82" s="16">
        <f>ALL!AM61</f>
        <v>0</v>
      </c>
      <c r="AJ82" s="16">
        <f>ALL!AN61</f>
        <v>0</v>
      </c>
      <c r="AK82" s="16">
        <f>ALL!AO61</f>
        <v>0</v>
      </c>
      <c r="AL82" s="16">
        <f>ALL!AP61</f>
        <v>0</v>
      </c>
      <c r="AM82" s="16">
        <f>ALL!AQ61</f>
        <v>0</v>
      </c>
      <c r="AN82" s="16">
        <f>ALL!AR61</f>
        <v>0</v>
      </c>
      <c r="AO82" s="16">
        <f>ALL!AS61</f>
        <v>0</v>
      </c>
      <c r="AP82" s="16">
        <f>ALL!AT61</f>
        <v>0</v>
      </c>
      <c r="AQ82" s="16">
        <f>ALL!AU61</f>
        <v>0</v>
      </c>
      <c r="AR82" s="16">
        <f>ALL!AV61</f>
        <v>0</v>
      </c>
      <c r="AS82" s="16">
        <f>ALL!AW61</f>
        <v>0</v>
      </c>
      <c r="AT82" s="16">
        <f>ALL!AX61</f>
        <v>0</v>
      </c>
      <c r="AU82" s="16">
        <f>ALL!AY61</f>
        <v>0</v>
      </c>
      <c r="AV82" s="16">
        <f>ALL!AZ61</f>
        <v>0</v>
      </c>
      <c r="AW82" s="16">
        <f>ALL!BA61</f>
        <v>0</v>
      </c>
      <c r="AX82" s="16">
        <f>ALL!BB61</f>
        <v>0</v>
      </c>
      <c r="AY82" s="16">
        <f>ALL!BC61</f>
        <v>0</v>
      </c>
      <c r="AZ82" s="16">
        <f>ALL!BD61</f>
        <v>0</v>
      </c>
      <c r="BA82" s="16">
        <f>ALL!BE61</f>
        <v>0</v>
      </c>
      <c r="BB82" s="16">
        <f>ALL!BF61</f>
        <v>0</v>
      </c>
      <c r="BC82" s="16">
        <f>ALL!BG61</f>
        <v>0</v>
      </c>
      <c r="BD82" s="16">
        <f>ALL!BH61</f>
        <v>0</v>
      </c>
      <c r="BE82" s="16">
        <f>ALL!BI61</f>
        <v>0</v>
      </c>
      <c r="BF82" s="16">
        <f>ALL!BJ61</f>
        <v>0</v>
      </c>
      <c r="BG82" s="16">
        <f>ALL!BK61</f>
        <v>0</v>
      </c>
      <c r="BH82" s="16">
        <f>ALL!BL61</f>
        <v>0</v>
      </c>
      <c r="BI82" s="16">
        <f>ALL!BM61</f>
        <v>0</v>
      </c>
      <c r="BJ82" s="16">
        <f>ALL!BN61</f>
        <v>0</v>
      </c>
      <c r="BK82" s="16">
        <f>ALL!BO61</f>
        <v>0</v>
      </c>
      <c r="BL82" s="16">
        <f>ALL!BP61</f>
        <v>0</v>
      </c>
      <c r="BM82" s="16">
        <f>ALL!BQ61</f>
        <v>0</v>
      </c>
      <c r="BN82" s="16">
        <f>ALL!BR61</f>
        <v>0</v>
      </c>
      <c r="BO82" s="16">
        <f>ALL!BS61</f>
        <v>0</v>
      </c>
      <c r="BP82" s="16">
        <f>ALL!BT61</f>
        <v>0</v>
      </c>
      <c r="BQ82" s="16">
        <f>ALL!BU61</f>
        <v>0</v>
      </c>
      <c r="BR82" s="16">
        <f>ALL!BV61</f>
        <v>0</v>
      </c>
      <c r="BS82" s="16">
        <f>ALL!BW61</f>
        <v>0</v>
      </c>
      <c r="BT82" s="16">
        <f>ALL!BX61</f>
        <v>0</v>
      </c>
    </row>
    <row r="83" spans="1:72" ht="21.75" hidden="1" outlineLevel="1" thickBot="1" x14ac:dyDescent="0.4">
      <c r="A83" s="34" t="str">
        <f>ALL!E62</f>
        <v>H (Se)</v>
      </c>
      <c r="B83" s="16">
        <f ca="1">ALL!F62</f>
        <v>-23.56</v>
      </c>
      <c r="C83" s="16">
        <f ca="1">ALL!G62</f>
        <v>-22.54</v>
      </c>
      <c r="D83" s="16">
        <f ca="1">ALL!H62</f>
        <v>-21.78</v>
      </c>
      <c r="E83" s="16">
        <f ca="1">ALL!I62</f>
        <v>-21.32</v>
      </c>
      <c r="F83" s="16">
        <f ca="1">ALL!J62</f>
        <v>-21.15</v>
      </c>
      <c r="G83" s="16">
        <f ca="1">ALL!K62</f>
        <v>-21.73</v>
      </c>
      <c r="H83" s="16">
        <f ca="1">ALL!L62</f>
        <v>-21.95</v>
      </c>
      <c r="I83" s="16">
        <f ca="1">ALL!M62</f>
        <v>-22.15</v>
      </c>
      <c r="J83" s="16">
        <f ca="1">ALL!N62</f>
        <v>-22.32</v>
      </c>
      <c r="K83" s="16">
        <f ca="1">ALL!O62</f>
        <v>-22.46</v>
      </c>
      <c r="L83" s="16">
        <f ca="1">ALL!P62</f>
        <v>-22.6</v>
      </c>
      <c r="M83" s="16">
        <f ca="1">ALL!Q62</f>
        <v>-22.76</v>
      </c>
      <c r="N83" s="16">
        <f ca="1">ALL!R62</f>
        <v>-22.95</v>
      </c>
      <c r="O83" s="16">
        <f ca="1">ALL!S62</f>
        <v>-23.15</v>
      </c>
      <c r="P83" s="16">
        <f ca="1">ALL!T62</f>
        <v>-23.37</v>
      </c>
      <c r="Q83" s="16">
        <f ca="1">ALL!U62</f>
        <v>-23.6</v>
      </c>
      <c r="R83" s="16">
        <f ca="1">ALL!V62</f>
        <v>-23.84</v>
      </c>
      <c r="S83" s="16">
        <f ca="1">ALL!W62</f>
        <v>-24.07</v>
      </c>
      <c r="T83" s="16">
        <f ca="1">ALL!X62</f>
        <v>-24.31</v>
      </c>
      <c r="U83" s="16">
        <f ca="1">ALL!Y62</f>
        <v>-24.54</v>
      </c>
      <c r="V83" s="16">
        <f ca="1">ALL!Z62</f>
        <v>-24.77</v>
      </c>
      <c r="W83" s="16">
        <f ca="1">ALL!AA62</f>
        <v>-25</v>
      </c>
      <c r="X83" s="16">
        <f ca="1">ALL!AB62</f>
        <v>-25.9</v>
      </c>
      <c r="Y83" s="16">
        <f ca="1">ALL!AC62</f>
        <v>-26.75</v>
      </c>
      <c r="Z83" s="16">
        <f ca="1">ALL!AD62</f>
        <v>-27.55</v>
      </c>
      <c r="AA83" s="16">
        <f ca="1">ALL!AE62</f>
        <v>-27.75</v>
      </c>
      <c r="AB83" s="16">
        <f ca="1">ALL!AF62</f>
        <v>-27.95</v>
      </c>
      <c r="AC83" s="16">
        <f ca="1">ALL!AG62</f>
        <v>-28.15</v>
      </c>
      <c r="AD83" s="16">
        <f ca="1">ALL!AH62</f>
        <v>-28.35</v>
      </c>
      <c r="AE83" s="16">
        <f ca="1">ALL!AI62</f>
        <v>-28.54</v>
      </c>
      <c r="AF83" s="16">
        <f ca="1">ALL!AJ62</f>
        <v>-28.74</v>
      </c>
      <c r="AG83" s="16">
        <f ca="1">ALL!AK62</f>
        <v>-28.94</v>
      </c>
      <c r="AH83" s="16">
        <f ca="1">ALL!AL62</f>
        <v>-29.13</v>
      </c>
      <c r="AI83" s="16">
        <f>ALL!AM62</f>
        <v>0</v>
      </c>
      <c r="AJ83" s="16">
        <f>ALL!AN62</f>
        <v>0</v>
      </c>
      <c r="AK83" s="16">
        <f>ALL!AO62</f>
        <v>0</v>
      </c>
      <c r="AL83" s="16">
        <f>ALL!AP62</f>
        <v>0</v>
      </c>
      <c r="AM83" s="16">
        <f>ALL!AQ62</f>
        <v>0</v>
      </c>
      <c r="AN83" s="16">
        <f>ALL!AR62</f>
        <v>0</v>
      </c>
      <c r="AO83" s="16">
        <f>ALL!AS62</f>
        <v>0</v>
      </c>
      <c r="AP83" s="16">
        <f>ALL!AT62</f>
        <v>0</v>
      </c>
      <c r="AQ83" s="16">
        <f>ALL!AU62</f>
        <v>0</v>
      </c>
      <c r="AR83" s="16">
        <f>ALL!AV62</f>
        <v>0</v>
      </c>
      <c r="AS83" s="16">
        <f>ALL!AW62</f>
        <v>0</v>
      </c>
      <c r="AT83" s="16">
        <f>ALL!AX62</f>
        <v>0</v>
      </c>
      <c r="AU83" s="16">
        <f>ALL!AY62</f>
        <v>0</v>
      </c>
      <c r="AV83" s="16">
        <f>ALL!AZ62</f>
        <v>0</v>
      </c>
      <c r="AW83" s="16">
        <f>ALL!BA62</f>
        <v>0</v>
      </c>
      <c r="AX83" s="16">
        <f>ALL!BB62</f>
        <v>0</v>
      </c>
      <c r="AY83" s="16">
        <f>ALL!BC62</f>
        <v>0</v>
      </c>
      <c r="AZ83" s="16">
        <f>ALL!BD62</f>
        <v>0</v>
      </c>
      <c r="BA83" s="16">
        <f>ALL!BE62</f>
        <v>0</v>
      </c>
      <c r="BB83" s="16">
        <f>ALL!BF62</f>
        <v>0</v>
      </c>
      <c r="BC83" s="16">
        <f>ALL!BG62</f>
        <v>0</v>
      </c>
      <c r="BD83" s="16">
        <f>ALL!BH62</f>
        <v>0</v>
      </c>
      <c r="BE83" s="16">
        <f>ALL!BI62</f>
        <v>0</v>
      </c>
      <c r="BF83" s="16">
        <f>ALL!BJ62</f>
        <v>0</v>
      </c>
      <c r="BG83" s="16">
        <f>ALL!BK62</f>
        <v>0</v>
      </c>
      <c r="BH83" s="16">
        <f>ALL!BL62</f>
        <v>0</v>
      </c>
      <c r="BI83" s="16">
        <f>ALL!BM62</f>
        <v>0</v>
      </c>
      <c r="BJ83" s="16">
        <f>ALL!BN62</f>
        <v>0</v>
      </c>
      <c r="BK83" s="16">
        <f>ALL!BO62</f>
        <v>0</v>
      </c>
      <c r="BL83" s="16">
        <f>ALL!BP62</f>
        <v>0</v>
      </c>
      <c r="BM83" s="16">
        <f>ALL!BQ62</f>
        <v>0</v>
      </c>
      <c r="BN83" s="16">
        <f>ALL!BR62</f>
        <v>0</v>
      </c>
      <c r="BO83" s="16">
        <f>ALL!BS62</f>
        <v>0</v>
      </c>
      <c r="BP83" s="16">
        <f>ALL!BT62</f>
        <v>0</v>
      </c>
      <c r="BQ83" s="16">
        <f>ALL!BU62</f>
        <v>0</v>
      </c>
      <c r="BR83" s="16">
        <f>ALL!BV62</f>
        <v>0</v>
      </c>
      <c r="BS83" s="16">
        <f>ALL!BW62</f>
        <v>0</v>
      </c>
      <c r="BT83" s="16">
        <f>ALL!BX62</f>
        <v>0</v>
      </c>
    </row>
    <row r="84" spans="1:72" ht="21.75" hidden="1" outlineLevel="1" thickBot="1" x14ac:dyDescent="0.4">
      <c r="A84" s="34">
        <f>ALL!E63</f>
        <v>0</v>
      </c>
      <c r="B84" s="16">
        <f ca="1">ALL!F63</f>
        <v>0</v>
      </c>
      <c r="C84" s="16">
        <f ca="1">ALL!G63</f>
        <v>0</v>
      </c>
      <c r="D84" s="16">
        <f ca="1">ALL!H63</f>
        <v>0</v>
      </c>
      <c r="E84" s="16">
        <f ca="1">ALL!I63</f>
        <v>0</v>
      </c>
      <c r="F84" s="16">
        <f ca="1">ALL!J63</f>
        <v>0</v>
      </c>
      <c r="G84" s="16">
        <f ca="1">ALL!K63</f>
        <v>0</v>
      </c>
      <c r="H84" s="16">
        <f ca="1">ALL!L63</f>
        <v>0</v>
      </c>
      <c r="I84" s="16">
        <f ca="1">ALL!M63</f>
        <v>0</v>
      </c>
      <c r="J84" s="16">
        <f ca="1">ALL!N63</f>
        <v>0</v>
      </c>
      <c r="K84" s="16">
        <f ca="1">ALL!O63</f>
        <v>0</v>
      </c>
      <c r="L84" s="16">
        <f ca="1">ALL!P63</f>
        <v>0</v>
      </c>
      <c r="M84" s="16">
        <f ca="1">ALL!Q63</f>
        <v>0</v>
      </c>
      <c r="N84" s="16">
        <f ca="1">ALL!R63</f>
        <v>0</v>
      </c>
      <c r="O84" s="16">
        <f ca="1">ALL!S63</f>
        <v>0</v>
      </c>
      <c r="P84" s="16">
        <f ca="1">ALL!T63</f>
        <v>0</v>
      </c>
      <c r="Q84" s="16">
        <f ca="1">ALL!U63</f>
        <v>0</v>
      </c>
      <c r="R84" s="16">
        <f ca="1">ALL!V63</f>
        <v>0</v>
      </c>
      <c r="S84" s="16">
        <f ca="1">ALL!W63</f>
        <v>0</v>
      </c>
      <c r="T84" s="16">
        <f ca="1">ALL!X63</f>
        <v>0</v>
      </c>
      <c r="U84" s="16">
        <f ca="1">ALL!Y63</f>
        <v>0</v>
      </c>
      <c r="V84" s="16">
        <f ca="1">ALL!Z63</f>
        <v>0</v>
      </c>
      <c r="W84" s="16">
        <f ca="1">ALL!AA63</f>
        <v>0</v>
      </c>
      <c r="X84" s="16">
        <f ca="1">ALL!AB63</f>
        <v>0</v>
      </c>
      <c r="Y84" s="16">
        <f ca="1">ALL!AC63</f>
        <v>0</v>
      </c>
      <c r="Z84" s="16">
        <f ca="1">ALL!AD63</f>
        <v>0</v>
      </c>
      <c r="AA84" s="16">
        <f ca="1">ALL!AE63</f>
        <v>0</v>
      </c>
      <c r="AB84" s="16">
        <f ca="1">ALL!AF63</f>
        <v>0</v>
      </c>
      <c r="AC84" s="16">
        <f ca="1">ALL!AG63</f>
        <v>0</v>
      </c>
      <c r="AD84" s="16">
        <f ca="1">ALL!AH63</f>
        <v>0</v>
      </c>
      <c r="AE84" s="16">
        <f ca="1">ALL!AI63</f>
        <v>0</v>
      </c>
      <c r="AF84" s="16">
        <f ca="1">ALL!AJ63</f>
        <v>0</v>
      </c>
      <c r="AG84" s="16">
        <f ca="1">ALL!AK63</f>
        <v>0</v>
      </c>
      <c r="AH84" s="16">
        <f ca="1">ALL!AL63</f>
        <v>0</v>
      </c>
      <c r="AI84" s="16">
        <f>ALL!AM63</f>
        <v>0</v>
      </c>
      <c r="AJ84" s="16">
        <f>ALL!AN63</f>
        <v>0</v>
      </c>
      <c r="AK84" s="16">
        <f>ALL!AO63</f>
        <v>0</v>
      </c>
      <c r="AL84" s="16">
        <f>ALL!AP63</f>
        <v>0</v>
      </c>
      <c r="AM84" s="16">
        <f>ALL!AQ63</f>
        <v>0</v>
      </c>
      <c r="AN84" s="16">
        <f>ALL!AR63</f>
        <v>0</v>
      </c>
      <c r="AO84" s="16">
        <f>ALL!AS63</f>
        <v>0</v>
      </c>
      <c r="AP84" s="16">
        <f>ALL!AT63</f>
        <v>0</v>
      </c>
      <c r="AQ84" s="16">
        <f>ALL!AU63</f>
        <v>0</v>
      </c>
      <c r="AR84" s="16">
        <f>ALL!AV63</f>
        <v>0</v>
      </c>
      <c r="AS84" s="16">
        <f>ALL!AW63</f>
        <v>0</v>
      </c>
      <c r="AT84" s="16">
        <f>ALL!AX63</f>
        <v>0</v>
      </c>
      <c r="AU84" s="16">
        <f>ALL!AY63</f>
        <v>0</v>
      </c>
      <c r="AV84" s="16">
        <f>ALL!AZ63</f>
        <v>0</v>
      </c>
      <c r="AW84" s="16">
        <f>ALL!BA63</f>
        <v>0</v>
      </c>
      <c r="AX84" s="16">
        <f>ALL!BB63</f>
        <v>0</v>
      </c>
      <c r="AY84" s="16">
        <f>ALL!BC63</f>
        <v>0</v>
      </c>
      <c r="AZ84" s="16">
        <f>ALL!BD63</f>
        <v>0</v>
      </c>
      <c r="BA84" s="16">
        <f>ALL!BE63</f>
        <v>0</v>
      </c>
      <c r="BB84" s="16">
        <f>ALL!BF63</f>
        <v>0</v>
      </c>
      <c r="BC84" s="16">
        <f>ALL!BG63</f>
        <v>0</v>
      </c>
      <c r="BD84" s="16">
        <f>ALL!BH63</f>
        <v>0</v>
      </c>
      <c r="BE84" s="16">
        <f>ALL!BI63</f>
        <v>0</v>
      </c>
      <c r="BF84" s="16">
        <f>ALL!BJ63</f>
        <v>0</v>
      </c>
      <c r="BG84" s="16">
        <f>ALL!BK63</f>
        <v>0</v>
      </c>
      <c r="BH84" s="16">
        <f>ALL!BL63</f>
        <v>0</v>
      </c>
      <c r="BI84" s="16">
        <f>ALL!BM63</f>
        <v>0</v>
      </c>
      <c r="BJ84" s="16">
        <f>ALL!BN63</f>
        <v>0</v>
      </c>
      <c r="BK84" s="16">
        <f>ALL!BO63</f>
        <v>0</v>
      </c>
      <c r="BL84" s="16">
        <f>ALL!BP63</f>
        <v>0</v>
      </c>
      <c r="BM84" s="16">
        <f>ALL!BQ63</f>
        <v>0</v>
      </c>
      <c r="BN84" s="16">
        <f>ALL!BR63</f>
        <v>0</v>
      </c>
      <c r="BO84" s="16">
        <f>ALL!BS63</f>
        <v>0</v>
      </c>
      <c r="BP84" s="16">
        <f>ALL!BT63</f>
        <v>0</v>
      </c>
      <c r="BQ84" s="16">
        <f>ALL!BU63</f>
        <v>0</v>
      </c>
      <c r="BR84" s="16">
        <f>ALL!BV63</f>
        <v>0</v>
      </c>
      <c r="BS84" s="16">
        <f>ALL!BW63</f>
        <v>0</v>
      </c>
      <c r="BT84" s="16">
        <f>ALL!BX63</f>
        <v>0</v>
      </c>
    </row>
    <row r="85" spans="1:72" ht="21.75" hidden="1" outlineLevel="1" thickBot="1" x14ac:dyDescent="0.4">
      <c r="A85" s="34">
        <f>ALL!E64</f>
        <v>0</v>
      </c>
      <c r="B85" s="16">
        <f ca="1">ALL!F64</f>
        <v>0</v>
      </c>
      <c r="C85" s="16">
        <f ca="1">ALL!G64</f>
        <v>0</v>
      </c>
      <c r="D85" s="16">
        <f ca="1">ALL!H64</f>
        <v>0</v>
      </c>
      <c r="E85" s="16">
        <f ca="1">ALL!I64</f>
        <v>0</v>
      </c>
      <c r="F85" s="16">
        <f ca="1">ALL!J64</f>
        <v>0</v>
      </c>
      <c r="G85" s="16">
        <f ca="1">ALL!K64</f>
        <v>0</v>
      </c>
      <c r="H85" s="16">
        <f ca="1">ALL!L64</f>
        <v>0</v>
      </c>
      <c r="I85" s="16">
        <f ca="1">ALL!M64</f>
        <v>0</v>
      </c>
      <c r="J85" s="16">
        <f ca="1">ALL!N64</f>
        <v>0</v>
      </c>
      <c r="K85" s="16">
        <f ca="1">ALL!O64</f>
        <v>0</v>
      </c>
      <c r="L85" s="16">
        <f ca="1">ALL!P64</f>
        <v>0</v>
      </c>
      <c r="M85" s="16">
        <f ca="1">ALL!Q64</f>
        <v>0</v>
      </c>
      <c r="N85" s="16">
        <f ca="1">ALL!R64</f>
        <v>0</v>
      </c>
      <c r="O85" s="16">
        <f ca="1">ALL!S64</f>
        <v>0</v>
      </c>
      <c r="P85" s="16">
        <f ca="1">ALL!T64</f>
        <v>0</v>
      </c>
      <c r="Q85" s="16">
        <f ca="1">ALL!U64</f>
        <v>0</v>
      </c>
      <c r="R85" s="16">
        <f ca="1">ALL!V64</f>
        <v>0</v>
      </c>
      <c r="S85" s="16">
        <f ca="1">ALL!W64</f>
        <v>0</v>
      </c>
      <c r="T85" s="16">
        <f ca="1">ALL!X64</f>
        <v>0</v>
      </c>
      <c r="U85" s="16">
        <f ca="1">ALL!Y64</f>
        <v>0</v>
      </c>
      <c r="V85" s="16">
        <f ca="1">ALL!Z64</f>
        <v>0</v>
      </c>
      <c r="W85" s="16">
        <f ca="1">ALL!AA64</f>
        <v>0</v>
      </c>
      <c r="X85" s="16">
        <f ca="1">ALL!AB64</f>
        <v>0</v>
      </c>
      <c r="Y85" s="16">
        <f ca="1">ALL!AC64</f>
        <v>0</v>
      </c>
      <c r="Z85" s="16">
        <f ca="1">ALL!AD64</f>
        <v>0</v>
      </c>
      <c r="AA85" s="16">
        <f ca="1">ALL!AE64</f>
        <v>0</v>
      </c>
      <c r="AB85" s="16">
        <f ca="1">ALL!AF64</f>
        <v>0</v>
      </c>
      <c r="AC85" s="16">
        <f ca="1">ALL!AG64</f>
        <v>0</v>
      </c>
      <c r="AD85" s="16">
        <f ca="1">ALL!AH64</f>
        <v>0</v>
      </c>
      <c r="AE85" s="16">
        <f ca="1">ALL!AI64</f>
        <v>0</v>
      </c>
      <c r="AF85" s="16">
        <f ca="1">ALL!AJ64</f>
        <v>0</v>
      </c>
      <c r="AG85" s="16">
        <f ca="1">ALL!AK64</f>
        <v>0</v>
      </c>
      <c r="AH85" s="16">
        <f ca="1">ALL!AL64</f>
        <v>0</v>
      </c>
      <c r="AI85" s="16">
        <f>ALL!AM64</f>
        <v>0</v>
      </c>
      <c r="AJ85" s="16">
        <f>ALL!AN64</f>
        <v>0</v>
      </c>
      <c r="AK85" s="16">
        <f>ALL!AO64</f>
        <v>0</v>
      </c>
      <c r="AL85" s="16">
        <f>ALL!AP64</f>
        <v>0</v>
      </c>
      <c r="AM85" s="16">
        <f>ALL!AQ64</f>
        <v>0</v>
      </c>
      <c r="AN85" s="16">
        <f>ALL!AR64</f>
        <v>0</v>
      </c>
      <c r="AO85" s="16">
        <f>ALL!AS64</f>
        <v>0</v>
      </c>
      <c r="AP85" s="16">
        <f>ALL!AT64</f>
        <v>0</v>
      </c>
      <c r="AQ85" s="16">
        <f>ALL!AU64</f>
        <v>0</v>
      </c>
      <c r="AR85" s="16">
        <f>ALL!AV64</f>
        <v>0</v>
      </c>
      <c r="AS85" s="16">
        <f>ALL!AW64</f>
        <v>0</v>
      </c>
      <c r="AT85" s="16">
        <f>ALL!AX64</f>
        <v>0</v>
      </c>
      <c r="AU85" s="16">
        <f>ALL!AY64</f>
        <v>0</v>
      </c>
      <c r="AV85" s="16">
        <f>ALL!AZ64</f>
        <v>0</v>
      </c>
      <c r="AW85" s="16">
        <f>ALL!BA64</f>
        <v>0</v>
      </c>
      <c r="AX85" s="16">
        <f>ALL!BB64</f>
        <v>0</v>
      </c>
      <c r="AY85" s="16">
        <f>ALL!BC64</f>
        <v>0</v>
      </c>
      <c r="AZ85" s="16">
        <f>ALL!BD64</f>
        <v>0</v>
      </c>
      <c r="BA85" s="16">
        <f>ALL!BE64</f>
        <v>0</v>
      </c>
      <c r="BB85" s="16">
        <f>ALL!BF64</f>
        <v>0</v>
      </c>
      <c r="BC85" s="16">
        <f>ALL!BG64</f>
        <v>0</v>
      </c>
      <c r="BD85" s="16">
        <f>ALL!BH64</f>
        <v>0</v>
      </c>
      <c r="BE85" s="16">
        <f>ALL!BI64</f>
        <v>0</v>
      </c>
      <c r="BF85" s="16">
        <f>ALL!BJ64</f>
        <v>0</v>
      </c>
      <c r="BG85" s="16">
        <f>ALL!BK64</f>
        <v>0</v>
      </c>
      <c r="BH85" s="16">
        <f>ALL!BL64</f>
        <v>0</v>
      </c>
      <c r="BI85" s="16">
        <f>ALL!BM64</f>
        <v>0</v>
      </c>
      <c r="BJ85" s="16">
        <f>ALL!BN64</f>
        <v>0</v>
      </c>
      <c r="BK85" s="16">
        <f>ALL!BO64</f>
        <v>0</v>
      </c>
      <c r="BL85" s="16">
        <f>ALL!BP64</f>
        <v>0</v>
      </c>
      <c r="BM85" s="16">
        <f>ALL!BQ64</f>
        <v>0</v>
      </c>
      <c r="BN85" s="16">
        <f>ALL!BR64</f>
        <v>0</v>
      </c>
      <c r="BO85" s="16">
        <f>ALL!BS64</f>
        <v>0</v>
      </c>
      <c r="BP85" s="16">
        <f>ALL!BT64</f>
        <v>0</v>
      </c>
      <c r="BQ85" s="16">
        <f>ALL!BU64</f>
        <v>0</v>
      </c>
      <c r="BR85" s="16">
        <f>ALL!BV64</f>
        <v>0</v>
      </c>
      <c r="BS85" s="16">
        <f>ALL!BW64</f>
        <v>0</v>
      </c>
      <c r="BT85" s="16">
        <f>ALL!BX64</f>
        <v>0</v>
      </c>
    </row>
    <row r="86" spans="1:72" ht="21.75" hidden="1" outlineLevel="1" thickBot="1" x14ac:dyDescent="0.4">
      <c r="A86" s="34">
        <f>ALL!E65</f>
        <v>0</v>
      </c>
      <c r="B86" s="16">
        <f ca="1">ALL!F65</f>
        <v>0</v>
      </c>
      <c r="C86" s="16">
        <f ca="1">ALL!G65</f>
        <v>0</v>
      </c>
      <c r="D86" s="16">
        <f ca="1">ALL!H65</f>
        <v>0</v>
      </c>
      <c r="E86" s="16">
        <f ca="1">ALL!I65</f>
        <v>0</v>
      </c>
      <c r="F86" s="16">
        <f ca="1">ALL!J65</f>
        <v>0</v>
      </c>
      <c r="G86" s="16">
        <f ca="1">ALL!K65</f>
        <v>0</v>
      </c>
      <c r="H86" s="16">
        <f ca="1">ALL!L65</f>
        <v>0</v>
      </c>
      <c r="I86" s="16">
        <f ca="1">ALL!M65</f>
        <v>0</v>
      </c>
      <c r="J86" s="16">
        <f ca="1">ALL!N65</f>
        <v>0</v>
      </c>
      <c r="K86" s="16">
        <f ca="1">ALL!O65</f>
        <v>0</v>
      </c>
      <c r="L86" s="16">
        <f ca="1">ALL!P65</f>
        <v>0</v>
      </c>
      <c r="M86" s="16">
        <f ca="1">ALL!Q65</f>
        <v>0</v>
      </c>
      <c r="N86" s="16">
        <f ca="1">ALL!R65</f>
        <v>0</v>
      </c>
      <c r="O86" s="16">
        <f ca="1">ALL!S65</f>
        <v>0</v>
      </c>
      <c r="P86" s="16">
        <f ca="1">ALL!T65</f>
        <v>0</v>
      </c>
      <c r="Q86" s="16">
        <f ca="1">ALL!U65</f>
        <v>0</v>
      </c>
      <c r="R86" s="16">
        <f ca="1">ALL!V65</f>
        <v>0</v>
      </c>
      <c r="S86" s="16">
        <f ca="1">ALL!W65</f>
        <v>0</v>
      </c>
      <c r="T86" s="16">
        <f ca="1">ALL!X65</f>
        <v>0</v>
      </c>
      <c r="U86" s="16">
        <f ca="1">ALL!Y65</f>
        <v>0</v>
      </c>
      <c r="V86" s="16">
        <f ca="1">ALL!Z65</f>
        <v>0</v>
      </c>
      <c r="W86" s="16">
        <f ca="1">ALL!AA65</f>
        <v>0</v>
      </c>
      <c r="X86" s="16">
        <f ca="1">ALL!AB65</f>
        <v>0</v>
      </c>
      <c r="Y86" s="16">
        <f ca="1">ALL!AC65</f>
        <v>0</v>
      </c>
      <c r="Z86" s="16">
        <f ca="1">ALL!AD65</f>
        <v>0</v>
      </c>
      <c r="AA86" s="16">
        <f ca="1">ALL!AE65</f>
        <v>0</v>
      </c>
      <c r="AB86" s="16">
        <f ca="1">ALL!AF65</f>
        <v>0</v>
      </c>
      <c r="AC86" s="16">
        <f ca="1">ALL!AG65</f>
        <v>0</v>
      </c>
      <c r="AD86" s="16">
        <f ca="1">ALL!AH65</f>
        <v>0</v>
      </c>
      <c r="AE86" s="16">
        <f ca="1">ALL!AI65</f>
        <v>0</v>
      </c>
      <c r="AF86" s="16">
        <f ca="1">ALL!AJ65</f>
        <v>0</v>
      </c>
      <c r="AG86" s="16">
        <f ca="1">ALL!AK65</f>
        <v>0</v>
      </c>
      <c r="AH86" s="16">
        <f ca="1">ALL!AL65</f>
        <v>0</v>
      </c>
      <c r="AI86" s="16">
        <f>ALL!AM65</f>
        <v>0</v>
      </c>
      <c r="AJ86" s="16">
        <f>ALL!AN65</f>
        <v>0</v>
      </c>
      <c r="AK86" s="16">
        <f>ALL!AO65</f>
        <v>0</v>
      </c>
      <c r="AL86" s="16">
        <f>ALL!AP65</f>
        <v>0</v>
      </c>
      <c r="AM86" s="16">
        <f>ALL!AQ65</f>
        <v>0</v>
      </c>
      <c r="AN86" s="16">
        <f>ALL!AR65</f>
        <v>0</v>
      </c>
      <c r="AO86" s="16">
        <f>ALL!AS65</f>
        <v>0</v>
      </c>
      <c r="AP86" s="16">
        <f>ALL!AT65</f>
        <v>0</v>
      </c>
      <c r="AQ86" s="16">
        <f>ALL!AU65</f>
        <v>0</v>
      </c>
      <c r="AR86" s="16">
        <f>ALL!AV65</f>
        <v>0</v>
      </c>
      <c r="AS86" s="16">
        <f>ALL!AW65</f>
        <v>0</v>
      </c>
      <c r="AT86" s="16">
        <f>ALL!AX65</f>
        <v>0</v>
      </c>
      <c r="AU86" s="16">
        <f>ALL!AY65</f>
        <v>0</v>
      </c>
      <c r="AV86" s="16">
        <f>ALL!AZ65</f>
        <v>0</v>
      </c>
      <c r="AW86" s="16">
        <f>ALL!BA65</f>
        <v>0</v>
      </c>
      <c r="AX86" s="16">
        <f>ALL!BB65</f>
        <v>0</v>
      </c>
      <c r="AY86" s="16">
        <f>ALL!BC65</f>
        <v>0</v>
      </c>
      <c r="AZ86" s="16">
        <f>ALL!BD65</f>
        <v>0</v>
      </c>
      <c r="BA86" s="16">
        <f>ALL!BE65</f>
        <v>0</v>
      </c>
      <c r="BB86" s="16">
        <f>ALL!BF65</f>
        <v>0</v>
      </c>
      <c r="BC86" s="16">
        <f>ALL!BG65</f>
        <v>0</v>
      </c>
      <c r="BD86" s="16">
        <f>ALL!BH65</f>
        <v>0</v>
      </c>
      <c r="BE86" s="16">
        <f>ALL!BI65</f>
        <v>0</v>
      </c>
      <c r="BF86" s="16">
        <f>ALL!BJ65</f>
        <v>0</v>
      </c>
      <c r="BG86" s="16">
        <f>ALL!BK65</f>
        <v>0</v>
      </c>
      <c r="BH86" s="16">
        <f>ALL!BL65</f>
        <v>0</v>
      </c>
      <c r="BI86" s="16">
        <f>ALL!BM65</f>
        <v>0</v>
      </c>
      <c r="BJ86" s="16">
        <f>ALL!BN65</f>
        <v>0</v>
      </c>
      <c r="BK86" s="16">
        <f>ALL!BO65</f>
        <v>0</v>
      </c>
      <c r="BL86" s="16">
        <f>ALL!BP65</f>
        <v>0</v>
      </c>
      <c r="BM86" s="16">
        <f>ALL!BQ65</f>
        <v>0</v>
      </c>
      <c r="BN86" s="16">
        <f>ALL!BR65</f>
        <v>0</v>
      </c>
      <c r="BO86" s="16">
        <f>ALL!BS65</f>
        <v>0</v>
      </c>
      <c r="BP86" s="16">
        <f>ALL!BT65</f>
        <v>0</v>
      </c>
      <c r="BQ86" s="16">
        <f>ALL!BU65</f>
        <v>0</v>
      </c>
      <c r="BR86" s="16">
        <f>ALL!BV65</f>
        <v>0</v>
      </c>
      <c r="BS86" s="16">
        <f>ALL!BW65</f>
        <v>0</v>
      </c>
      <c r="BT86" s="16">
        <f>ALL!BX65</f>
        <v>0</v>
      </c>
    </row>
    <row r="87" spans="1:72" ht="21.75" hidden="1" outlineLevel="1" thickBot="1" x14ac:dyDescent="0.4">
      <c r="A87" s="34">
        <f>ALL!E66</f>
        <v>0</v>
      </c>
      <c r="B87" s="16">
        <f ca="1">ALL!F66</f>
        <v>0</v>
      </c>
      <c r="C87" s="16">
        <f ca="1">ALL!G66</f>
        <v>0</v>
      </c>
      <c r="D87" s="16">
        <f ca="1">ALL!H66</f>
        <v>0</v>
      </c>
      <c r="E87" s="16">
        <f ca="1">ALL!I66</f>
        <v>0</v>
      </c>
      <c r="F87" s="16">
        <f ca="1">ALL!J66</f>
        <v>0</v>
      </c>
      <c r="G87" s="16">
        <f ca="1">ALL!K66</f>
        <v>0</v>
      </c>
      <c r="H87" s="16">
        <f ca="1">ALL!L66</f>
        <v>0</v>
      </c>
      <c r="I87" s="16">
        <f ca="1">ALL!M66</f>
        <v>0</v>
      </c>
      <c r="J87" s="16">
        <f ca="1">ALL!N66</f>
        <v>0</v>
      </c>
      <c r="K87" s="16">
        <f ca="1">ALL!O66</f>
        <v>0</v>
      </c>
      <c r="L87" s="16">
        <f ca="1">ALL!P66</f>
        <v>0</v>
      </c>
      <c r="M87" s="16">
        <f ca="1">ALL!Q66</f>
        <v>0</v>
      </c>
      <c r="N87" s="16">
        <f ca="1">ALL!R66</f>
        <v>0</v>
      </c>
      <c r="O87" s="16">
        <f ca="1">ALL!S66</f>
        <v>0</v>
      </c>
      <c r="P87" s="16">
        <f ca="1">ALL!T66</f>
        <v>0</v>
      </c>
      <c r="Q87" s="16">
        <f ca="1">ALL!U66</f>
        <v>0</v>
      </c>
      <c r="R87" s="16">
        <f ca="1">ALL!V66</f>
        <v>0</v>
      </c>
      <c r="S87" s="16">
        <f ca="1">ALL!W66</f>
        <v>0</v>
      </c>
      <c r="T87" s="16">
        <f ca="1">ALL!X66</f>
        <v>0</v>
      </c>
      <c r="U87" s="16">
        <f ca="1">ALL!Y66</f>
        <v>0</v>
      </c>
      <c r="V87" s="16">
        <f ca="1">ALL!Z66</f>
        <v>0</v>
      </c>
      <c r="W87" s="16">
        <f ca="1">ALL!AA66</f>
        <v>0</v>
      </c>
      <c r="X87" s="16">
        <f ca="1">ALL!AB66</f>
        <v>0</v>
      </c>
      <c r="Y87" s="16">
        <f ca="1">ALL!AC66</f>
        <v>0</v>
      </c>
      <c r="Z87" s="16">
        <f ca="1">ALL!AD66</f>
        <v>0</v>
      </c>
      <c r="AA87" s="16">
        <f ca="1">ALL!AE66</f>
        <v>0</v>
      </c>
      <c r="AB87" s="16">
        <f ca="1">ALL!AF66</f>
        <v>0</v>
      </c>
      <c r="AC87" s="16">
        <f ca="1">ALL!AG66</f>
        <v>0</v>
      </c>
      <c r="AD87" s="16">
        <f ca="1">ALL!AH66</f>
        <v>0</v>
      </c>
      <c r="AE87" s="16">
        <f ca="1">ALL!AI66</f>
        <v>0</v>
      </c>
      <c r="AF87" s="16">
        <f ca="1">ALL!AJ66</f>
        <v>0</v>
      </c>
      <c r="AG87" s="16">
        <f ca="1">ALL!AK66</f>
        <v>0</v>
      </c>
      <c r="AH87" s="16">
        <f ca="1">ALL!AL66</f>
        <v>0</v>
      </c>
      <c r="AI87" s="16">
        <f>ALL!AM66</f>
        <v>0</v>
      </c>
      <c r="AJ87" s="16">
        <f>ALL!AN66</f>
        <v>0</v>
      </c>
      <c r="AK87" s="16">
        <f>ALL!AO66</f>
        <v>0</v>
      </c>
      <c r="AL87" s="16">
        <f>ALL!AP66</f>
        <v>0</v>
      </c>
      <c r="AM87" s="16">
        <f>ALL!AQ66</f>
        <v>0</v>
      </c>
      <c r="AN87" s="16">
        <f>ALL!AR66</f>
        <v>0</v>
      </c>
      <c r="AO87" s="16">
        <f>ALL!AS66</f>
        <v>0</v>
      </c>
      <c r="AP87" s="16">
        <f>ALL!AT66</f>
        <v>0</v>
      </c>
      <c r="AQ87" s="16">
        <f>ALL!AU66</f>
        <v>0</v>
      </c>
      <c r="AR87" s="16">
        <f>ALL!AV66</f>
        <v>0</v>
      </c>
      <c r="AS87" s="16">
        <f>ALL!AW66</f>
        <v>0</v>
      </c>
      <c r="AT87" s="16">
        <f>ALL!AX66</f>
        <v>0</v>
      </c>
      <c r="AU87" s="16">
        <f>ALL!AY66</f>
        <v>0</v>
      </c>
      <c r="AV87" s="16">
        <f>ALL!AZ66</f>
        <v>0</v>
      </c>
      <c r="AW87" s="16">
        <f>ALL!BA66</f>
        <v>0</v>
      </c>
      <c r="AX87" s="16">
        <f>ALL!BB66</f>
        <v>0</v>
      </c>
      <c r="AY87" s="16">
        <f>ALL!BC66</f>
        <v>0</v>
      </c>
      <c r="AZ87" s="16">
        <f>ALL!BD66</f>
        <v>0</v>
      </c>
      <c r="BA87" s="16">
        <f>ALL!BE66</f>
        <v>0</v>
      </c>
      <c r="BB87" s="16">
        <f>ALL!BF66</f>
        <v>0</v>
      </c>
      <c r="BC87" s="16">
        <f>ALL!BG66</f>
        <v>0</v>
      </c>
      <c r="BD87" s="16">
        <f>ALL!BH66</f>
        <v>0</v>
      </c>
      <c r="BE87" s="16">
        <f>ALL!BI66</f>
        <v>0</v>
      </c>
      <c r="BF87" s="16">
        <f>ALL!BJ66</f>
        <v>0</v>
      </c>
      <c r="BG87" s="16">
        <f>ALL!BK66</f>
        <v>0</v>
      </c>
      <c r="BH87" s="16">
        <f>ALL!BL66</f>
        <v>0</v>
      </c>
      <c r="BI87" s="16">
        <f>ALL!BM66</f>
        <v>0</v>
      </c>
      <c r="BJ87" s="16">
        <f>ALL!BN66</f>
        <v>0</v>
      </c>
      <c r="BK87" s="16">
        <f>ALL!BO66</f>
        <v>0</v>
      </c>
      <c r="BL87" s="16">
        <f>ALL!BP66</f>
        <v>0</v>
      </c>
      <c r="BM87" s="16">
        <f>ALL!BQ66</f>
        <v>0</v>
      </c>
      <c r="BN87" s="16">
        <f>ALL!BR66</f>
        <v>0</v>
      </c>
      <c r="BO87" s="16">
        <f>ALL!BS66</f>
        <v>0</v>
      </c>
      <c r="BP87" s="16">
        <f>ALL!BT66</f>
        <v>0</v>
      </c>
      <c r="BQ87" s="16">
        <f>ALL!BU66</f>
        <v>0</v>
      </c>
      <c r="BR87" s="16">
        <f>ALL!BV66</f>
        <v>0</v>
      </c>
      <c r="BS87" s="16">
        <f>ALL!BW66</f>
        <v>0</v>
      </c>
      <c r="BT87" s="16">
        <f>ALL!BX66</f>
        <v>0</v>
      </c>
    </row>
    <row r="88" spans="1:72" ht="21.75" hidden="1" outlineLevel="1" thickBot="1" x14ac:dyDescent="0.4">
      <c r="A88" s="34">
        <f>ALL!E67</f>
        <v>0</v>
      </c>
      <c r="B88" s="16">
        <f ca="1">ALL!F67</f>
        <v>0</v>
      </c>
      <c r="C88" s="16">
        <f ca="1">ALL!G67</f>
        <v>0</v>
      </c>
      <c r="D88" s="16">
        <f ca="1">ALL!H67</f>
        <v>0</v>
      </c>
      <c r="E88" s="16">
        <f ca="1">ALL!I67</f>
        <v>0</v>
      </c>
      <c r="F88" s="16">
        <f ca="1">ALL!J67</f>
        <v>0</v>
      </c>
      <c r="G88" s="16">
        <f ca="1">ALL!K67</f>
        <v>0</v>
      </c>
      <c r="H88" s="16">
        <f ca="1">ALL!L67</f>
        <v>0</v>
      </c>
      <c r="I88" s="16">
        <f ca="1">ALL!M67</f>
        <v>0</v>
      </c>
      <c r="J88" s="16">
        <f ca="1">ALL!N67</f>
        <v>0</v>
      </c>
      <c r="K88" s="16">
        <f ca="1">ALL!O67</f>
        <v>0</v>
      </c>
      <c r="L88" s="16">
        <f ca="1">ALL!P67</f>
        <v>0</v>
      </c>
      <c r="M88" s="16">
        <f ca="1">ALL!Q67</f>
        <v>0</v>
      </c>
      <c r="N88" s="16">
        <f ca="1">ALL!R67</f>
        <v>0</v>
      </c>
      <c r="O88" s="16">
        <f ca="1">ALL!S67</f>
        <v>0</v>
      </c>
      <c r="P88" s="16">
        <f ca="1">ALL!T67</f>
        <v>0</v>
      </c>
      <c r="Q88" s="16">
        <f ca="1">ALL!U67</f>
        <v>0</v>
      </c>
      <c r="R88" s="16">
        <f ca="1">ALL!V67</f>
        <v>0</v>
      </c>
      <c r="S88" s="16">
        <f ca="1">ALL!W67</f>
        <v>0</v>
      </c>
      <c r="T88" s="16">
        <f ca="1">ALL!X67</f>
        <v>0</v>
      </c>
      <c r="U88" s="16">
        <f ca="1">ALL!Y67</f>
        <v>0</v>
      </c>
      <c r="V88" s="16">
        <f ca="1">ALL!Z67</f>
        <v>0</v>
      </c>
      <c r="W88" s="16">
        <f ca="1">ALL!AA67</f>
        <v>0</v>
      </c>
      <c r="X88" s="16">
        <f ca="1">ALL!AB67</f>
        <v>0</v>
      </c>
      <c r="Y88" s="16">
        <f ca="1">ALL!AC67</f>
        <v>0</v>
      </c>
      <c r="Z88" s="16">
        <f ca="1">ALL!AD67</f>
        <v>0</v>
      </c>
      <c r="AA88" s="16">
        <f ca="1">ALL!AE67</f>
        <v>0</v>
      </c>
      <c r="AB88" s="16">
        <f ca="1">ALL!AF67</f>
        <v>0</v>
      </c>
      <c r="AC88" s="16">
        <f ca="1">ALL!AG67</f>
        <v>0</v>
      </c>
      <c r="AD88" s="16">
        <f ca="1">ALL!AH67</f>
        <v>0</v>
      </c>
      <c r="AE88" s="16">
        <f ca="1">ALL!AI67</f>
        <v>0</v>
      </c>
      <c r="AF88" s="16">
        <f ca="1">ALL!AJ67</f>
        <v>0</v>
      </c>
      <c r="AG88" s="16">
        <f ca="1">ALL!AK67</f>
        <v>0</v>
      </c>
      <c r="AH88" s="16">
        <f ca="1">ALL!AL67</f>
        <v>0</v>
      </c>
      <c r="AI88" s="16">
        <f>ALL!AM67</f>
        <v>0</v>
      </c>
      <c r="AJ88" s="16">
        <f>ALL!AN67</f>
        <v>0</v>
      </c>
      <c r="AK88" s="16">
        <f>ALL!AO67</f>
        <v>0</v>
      </c>
      <c r="AL88" s="16">
        <f>ALL!AP67</f>
        <v>0</v>
      </c>
      <c r="AM88" s="16">
        <f>ALL!AQ67</f>
        <v>0</v>
      </c>
      <c r="AN88" s="16">
        <f>ALL!AR67</f>
        <v>0</v>
      </c>
      <c r="AO88" s="16">
        <f>ALL!AS67</f>
        <v>0</v>
      </c>
      <c r="AP88" s="16">
        <f>ALL!AT67</f>
        <v>0</v>
      </c>
      <c r="AQ88" s="16">
        <f>ALL!AU67</f>
        <v>0</v>
      </c>
      <c r="AR88" s="16">
        <f>ALL!AV67</f>
        <v>0</v>
      </c>
      <c r="AS88" s="16">
        <f>ALL!AW67</f>
        <v>0</v>
      </c>
      <c r="AT88" s="16">
        <f>ALL!AX67</f>
        <v>0</v>
      </c>
      <c r="AU88" s="16">
        <f>ALL!AY67</f>
        <v>0</v>
      </c>
      <c r="AV88" s="16">
        <f>ALL!AZ67</f>
        <v>0</v>
      </c>
      <c r="AW88" s="16">
        <f>ALL!BA67</f>
        <v>0</v>
      </c>
      <c r="AX88" s="16">
        <f>ALL!BB67</f>
        <v>0</v>
      </c>
      <c r="AY88" s="16">
        <f>ALL!BC67</f>
        <v>0</v>
      </c>
      <c r="AZ88" s="16">
        <f>ALL!BD67</f>
        <v>0</v>
      </c>
      <c r="BA88" s="16">
        <f>ALL!BE67</f>
        <v>0</v>
      </c>
      <c r="BB88" s="16">
        <f>ALL!BF67</f>
        <v>0</v>
      </c>
      <c r="BC88" s="16">
        <f>ALL!BG67</f>
        <v>0</v>
      </c>
      <c r="BD88" s="16">
        <f>ALL!BH67</f>
        <v>0</v>
      </c>
      <c r="BE88" s="16">
        <f>ALL!BI67</f>
        <v>0</v>
      </c>
      <c r="BF88" s="16">
        <f>ALL!BJ67</f>
        <v>0</v>
      </c>
      <c r="BG88" s="16">
        <f>ALL!BK67</f>
        <v>0</v>
      </c>
      <c r="BH88" s="16">
        <f>ALL!BL67</f>
        <v>0</v>
      </c>
      <c r="BI88" s="16">
        <f>ALL!BM67</f>
        <v>0</v>
      </c>
      <c r="BJ88" s="16">
        <f>ALL!BN67</f>
        <v>0</v>
      </c>
      <c r="BK88" s="16">
        <f>ALL!BO67</f>
        <v>0</v>
      </c>
      <c r="BL88" s="16">
        <f>ALL!BP67</f>
        <v>0</v>
      </c>
      <c r="BM88" s="16">
        <f>ALL!BQ67</f>
        <v>0</v>
      </c>
      <c r="BN88" s="16">
        <f>ALL!BR67</f>
        <v>0</v>
      </c>
      <c r="BO88" s="16">
        <f>ALL!BS67</f>
        <v>0</v>
      </c>
      <c r="BP88" s="16">
        <f>ALL!BT67</f>
        <v>0</v>
      </c>
      <c r="BQ88" s="16">
        <f>ALL!BU67</f>
        <v>0</v>
      </c>
      <c r="BR88" s="16">
        <f>ALL!BV67</f>
        <v>0</v>
      </c>
      <c r="BS88" s="16">
        <f>ALL!BW67</f>
        <v>0</v>
      </c>
      <c r="BT88" s="16">
        <f>ALL!BX67</f>
        <v>0</v>
      </c>
    </row>
    <row r="89" spans="1:72" ht="21.75" hidden="1" outlineLevel="1" thickBot="1" x14ac:dyDescent="0.4">
      <c r="A89" s="34">
        <f>ALL!E68</f>
        <v>0</v>
      </c>
      <c r="B89" s="16">
        <f ca="1">ALL!F68</f>
        <v>0</v>
      </c>
      <c r="C89" s="16">
        <f ca="1">ALL!G68</f>
        <v>0</v>
      </c>
      <c r="D89" s="16">
        <f ca="1">ALL!H68</f>
        <v>0</v>
      </c>
      <c r="E89" s="16">
        <f ca="1">ALL!I68</f>
        <v>0</v>
      </c>
      <c r="F89" s="16">
        <f ca="1">ALL!J68</f>
        <v>0</v>
      </c>
      <c r="G89" s="16">
        <f ca="1">ALL!K68</f>
        <v>0</v>
      </c>
      <c r="H89" s="16">
        <f ca="1">ALL!L68</f>
        <v>0</v>
      </c>
      <c r="I89" s="16">
        <f ca="1">ALL!M68</f>
        <v>0</v>
      </c>
      <c r="J89" s="16">
        <f ca="1">ALL!N68</f>
        <v>0</v>
      </c>
      <c r="K89" s="16">
        <f ca="1">ALL!O68</f>
        <v>0</v>
      </c>
      <c r="L89" s="16">
        <f ca="1">ALL!P68</f>
        <v>0</v>
      </c>
      <c r="M89" s="16">
        <f ca="1">ALL!Q68</f>
        <v>0</v>
      </c>
      <c r="N89" s="16">
        <f ca="1">ALL!R68</f>
        <v>0</v>
      </c>
      <c r="O89" s="16">
        <f ca="1">ALL!S68</f>
        <v>0</v>
      </c>
      <c r="P89" s="16">
        <f ca="1">ALL!T68</f>
        <v>0</v>
      </c>
      <c r="Q89" s="16">
        <f ca="1">ALL!U68</f>
        <v>0</v>
      </c>
      <c r="R89" s="16">
        <f ca="1">ALL!V68</f>
        <v>0</v>
      </c>
      <c r="S89" s="16">
        <f ca="1">ALL!W68</f>
        <v>0</v>
      </c>
      <c r="T89" s="16">
        <f ca="1">ALL!X68</f>
        <v>0</v>
      </c>
      <c r="U89" s="16">
        <f ca="1">ALL!Y68</f>
        <v>0</v>
      </c>
      <c r="V89" s="16">
        <f ca="1">ALL!Z68</f>
        <v>0</v>
      </c>
      <c r="W89" s="16">
        <f ca="1">ALL!AA68</f>
        <v>0</v>
      </c>
      <c r="X89" s="16">
        <f ca="1">ALL!AB68</f>
        <v>0</v>
      </c>
      <c r="Y89" s="16">
        <f ca="1">ALL!AC68</f>
        <v>0</v>
      </c>
      <c r="Z89" s="16">
        <f ca="1">ALL!AD68</f>
        <v>0</v>
      </c>
      <c r="AA89" s="16">
        <f ca="1">ALL!AE68</f>
        <v>0</v>
      </c>
      <c r="AB89" s="16">
        <f ca="1">ALL!AF68</f>
        <v>0</v>
      </c>
      <c r="AC89" s="16">
        <f ca="1">ALL!AG68</f>
        <v>0</v>
      </c>
      <c r="AD89" s="16">
        <f ca="1">ALL!AH68</f>
        <v>0</v>
      </c>
      <c r="AE89" s="16">
        <f ca="1">ALL!AI68</f>
        <v>0</v>
      </c>
      <c r="AF89" s="16">
        <f ca="1">ALL!AJ68</f>
        <v>0</v>
      </c>
      <c r="AG89" s="16">
        <f ca="1">ALL!AK68</f>
        <v>0</v>
      </c>
      <c r="AH89" s="16">
        <f ca="1">ALL!AL68</f>
        <v>0</v>
      </c>
      <c r="AI89" s="16">
        <f>ALL!AM68</f>
        <v>0</v>
      </c>
      <c r="AJ89" s="16">
        <f>ALL!AN68</f>
        <v>0</v>
      </c>
      <c r="AK89" s="16">
        <f>ALL!AO68</f>
        <v>0</v>
      </c>
      <c r="AL89" s="16">
        <f>ALL!AP68</f>
        <v>0</v>
      </c>
      <c r="AM89" s="16">
        <f>ALL!AQ68</f>
        <v>0</v>
      </c>
      <c r="AN89" s="16">
        <f>ALL!AR68</f>
        <v>0</v>
      </c>
      <c r="AO89" s="16">
        <f>ALL!AS68</f>
        <v>0</v>
      </c>
      <c r="AP89" s="16">
        <f>ALL!AT68</f>
        <v>0</v>
      </c>
      <c r="AQ89" s="16">
        <f>ALL!AU68</f>
        <v>0</v>
      </c>
      <c r="AR89" s="16">
        <f>ALL!AV68</f>
        <v>0</v>
      </c>
      <c r="AS89" s="16">
        <f>ALL!AW68</f>
        <v>0</v>
      </c>
      <c r="AT89" s="16">
        <f>ALL!AX68</f>
        <v>0</v>
      </c>
      <c r="AU89" s="16">
        <f>ALL!AY68</f>
        <v>0</v>
      </c>
      <c r="AV89" s="16">
        <f>ALL!AZ68</f>
        <v>0</v>
      </c>
      <c r="AW89" s="16">
        <f>ALL!BA68</f>
        <v>0</v>
      </c>
      <c r="AX89" s="16">
        <f>ALL!BB68</f>
        <v>0</v>
      </c>
      <c r="AY89" s="16">
        <f>ALL!BC68</f>
        <v>0</v>
      </c>
      <c r="AZ89" s="16">
        <f>ALL!BD68</f>
        <v>0</v>
      </c>
      <c r="BA89" s="16">
        <f>ALL!BE68</f>
        <v>0</v>
      </c>
      <c r="BB89" s="16">
        <f>ALL!BF68</f>
        <v>0</v>
      </c>
      <c r="BC89" s="16">
        <f>ALL!BG68</f>
        <v>0</v>
      </c>
      <c r="BD89" s="16">
        <f>ALL!BH68</f>
        <v>0</v>
      </c>
      <c r="BE89" s="16">
        <f>ALL!BI68</f>
        <v>0</v>
      </c>
      <c r="BF89" s="16">
        <f>ALL!BJ68</f>
        <v>0</v>
      </c>
      <c r="BG89" s="16">
        <f>ALL!BK68</f>
        <v>0</v>
      </c>
      <c r="BH89" s="16">
        <f>ALL!BL68</f>
        <v>0</v>
      </c>
      <c r="BI89" s="16">
        <f>ALL!BM68</f>
        <v>0</v>
      </c>
      <c r="BJ89" s="16">
        <f>ALL!BN68</f>
        <v>0</v>
      </c>
      <c r="BK89" s="16">
        <f>ALL!BO68</f>
        <v>0</v>
      </c>
      <c r="BL89" s="16">
        <f>ALL!BP68</f>
        <v>0</v>
      </c>
      <c r="BM89" s="16">
        <f>ALL!BQ68</f>
        <v>0</v>
      </c>
      <c r="BN89" s="16">
        <f>ALL!BR68</f>
        <v>0</v>
      </c>
      <c r="BO89" s="16">
        <f>ALL!BS68</f>
        <v>0</v>
      </c>
      <c r="BP89" s="16">
        <f>ALL!BT68</f>
        <v>0</v>
      </c>
      <c r="BQ89" s="16">
        <f>ALL!BU68</f>
        <v>0</v>
      </c>
      <c r="BR89" s="16">
        <f>ALL!BV68</f>
        <v>0</v>
      </c>
      <c r="BS89" s="16">
        <f>ALL!BW68</f>
        <v>0</v>
      </c>
      <c r="BT89" s="16">
        <f>ALL!BX68</f>
        <v>0</v>
      </c>
    </row>
    <row r="90" spans="1:72" ht="21.75" hidden="1" outlineLevel="1" thickBot="1" x14ac:dyDescent="0.4">
      <c r="A90" s="34">
        <f>ALL!E69</f>
        <v>0</v>
      </c>
      <c r="B90" s="16">
        <f ca="1">ALL!F69</f>
        <v>0</v>
      </c>
      <c r="C90" s="16">
        <f ca="1">ALL!G69</f>
        <v>0</v>
      </c>
      <c r="D90" s="16">
        <f ca="1">ALL!H69</f>
        <v>0</v>
      </c>
      <c r="E90" s="16">
        <f ca="1">ALL!I69</f>
        <v>0</v>
      </c>
      <c r="F90" s="16">
        <f ca="1">ALL!J69</f>
        <v>0</v>
      </c>
      <c r="G90" s="16">
        <f ca="1">ALL!K69</f>
        <v>0</v>
      </c>
      <c r="H90" s="16">
        <f ca="1">ALL!L69</f>
        <v>0</v>
      </c>
      <c r="I90" s="16">
        <f ca="1">ALL!M69</f>
        <v>0</v>
      </c>
      <c r="J90" s="16">
        <f ca="1">ALL!N69</f>
        <v>0</v>
      </c>
      <c r="K90" s="16">
        <f ca="1">ALL!O69</f>
        <v>0</v>
      </c>
      <c r="L90" s="16">
        <f ca="1">ALL!P69</f>
        <v>0</v>
      </c>
      <c r="M90" s="16">
        <f ca="1">ALL!Q69</f>
        <v>0</v>
      </c>
      <c r="N90" s="16">
        <f ca="1">ALL!R69</f>
        <v>0</v>
      </c>
      <c r="O90" s="16">
        <f ca="1">ALL!S69</f>
        <v>0</v>
      </c>
      <c r="P90" s="16">
        <f ca="1">ALL!T69</f>
        <v>0</v>
      </c>
      <c r="Q90" s="16">
        <f ca="1">ALL!U69</f>
        <v>0</v>
      </c>
      <c r="R90" s="16">
        <f ca="1">ALL!V69</f>
        <v>0</v>
      </c>
      <c r="S90" s="16">
        <f ca="1">ALL!W69</f>
        <v>0</v>
      </c>
      <c r="T90" s="16">
        <f ca="1">ALL!X69</f>
        <v>0</v>
      </c>
      <c r="U90" s="16">
        <f ca="1">ALL!Y69</f>
        <v>0</v>
      </c>
      <c r="V90" s="16">
        <f ca="1">ALL!Z69</f>
        <v>0</v>
      </c>
      <c r="W90" s="16">
        <f ca="1">ALL!AA69</f>
        <v>0</v>
      </c>
      <c r="X90" s="16">
        <f ca="1">ALL!AB69</f>
        <v>0</v>
      </c>
      <c r="Y90" s="16">
        <f ca="1">ALL!AC69</f>
        <v>0</v>
      </c>
      <c r="Z90" s="16">
        <f ca="1">ALL!AD69</f>
        <v>0</v>
      </c>
      <c r="AA90" s="16">
        <f ca="1">ALL!AE69</f>
        <v>0</v>
      </c>
      <c r="AB90" s="16">
        <f ca="1">ALL!AF69</f>
        <v>0</v>
      </c>
      <c r="AC90" s="16">
        <f ca="1">ALL!AG69</f>
        <v>0</v>
      </c>
      <c r="AD90" s="16">
        <f ca="1">ALL!AH69</f>
        <v>0</v>
      </c>
      <c r="AE90" s="16">
        <f ca="1">ALL!AI69</f>
        <v>0</v>
      </c>
      <c r="AF90" s="16">
        <f ca="1">ALL!AJ69</f>
        <v>0</v>
      </c>
      <c r="AG90" s="16">
        <f ca="1">ALL!AK69</f>
        <v>0</v>
      </c>
      <c r="AH90" s="16">
        <f ca="1">ALL!AL69</f>
        <v>0</v>
      </c>
      <c r="AI90" s="16">
        <f>ALL!AM69</f>
        <v>0</v>
      </c>
      <c r="AJ90" s="16">
        <f>ALL!AN69</f>
        <v>0</v>
      </c>
      <c r="AK90" s="16">
        <f>ALL!AO69</f>
        <v>0</v>
      </c>
      <c r="AL90" s="16">
        <f>ALL!AP69</f>
        <v>0</v>
      </c>
      <c r="AM90" s="16">
        <f>ALL!AQ69</f>
        <v>0</v>
      </c>
      <c r="AN90" s="16">
        <f>ALL!AR69</f>
        <v>0</v>
      </c>
      <c r="AO90" s="16">
        <f>ALL!AS69</f>
        <v>0</v>
      </c>
      <c r="AP90" s="16">
        <f>ALL!AT69</f>
        <v>0</v>
      </c>
      <c r="AQ90" s="16">
        <f>ALL!AU69</f>
        <v>0</v>
      </c>
      <c r="AR90" s="16">
        <f>ALL!AV69</f>
        <v>0</v>
      </c>
      <c r="AS90" s="16">
        <f>ALL!AW69</f>
        <v>0</v>
      </c>
      <c r="AT90" s="16">
        <f>ALL!AX69</f>
        <v>0</v>
      </c>
      <c r="AU90" s="16">
        <f>ALL!AY69</f>
        <v>0</v>
      </c>
      <c r="AV90" s="16">
        <f>ALL!AZ69</f>
        <v>0</v>
      </c>
      <c r="AW90" s="16">
        <f>ALL!BA69</f>
        <v>0</v>
      </c>
      <c r="AX90" s="16">
        <f>ALL!BB69</f>
        <v>0</v>
      </c>
      <c r="AY90" s="16">
        <f>ALL!BC69</f>
        <v>0</v>
      </c>
      <c r="AZ90" s="16">
        <f>ALL!BD69</f>
        <v>0</v>
      </c>
      <c r="BA90" s="16">
        <f>ALL!BE69</f>
        <v>0</v>
      </c>
      <c r="BB90" s="16">
        <f>ALL!BF69</f>
        <v>0</v>
      </c>
      <c r="BC90" s="16">
        <f>ALL!BG69</f>
        <v>0</v>
      </c>
      <c r="BD90" s="16">
        <f>ALL!BH69</f>
        <v>0</v>
      </c>
      <c r="BE90" s="16">
        <f>ALL!BI69</f>
        <v>0</v>
      </c>
      <c r="BF90" s="16">
        <f>ALL!BJ69</f>
        <v>0</v>
      </c>
      <c r="BG90" s="16">
        <f>ALL!BK69</f>
        <v>0</v>
      </c>
      <c r="BH90" s="16">
        <f>ALL!BL69</f>
        <v>0</v>
      </c>
      <c r="BI90" s="16">
        <f>ALL!BM69</f>
        <v>0</v>
      </c>
      <c r="BJ90" s="16">
        <f>ALL!BN69</f>
        <v>0</v>
      </c>
      <c r="BK90" s="16">
        <f>ALL!BO69</f>
        <v>0</v>
      </c>
      <c r="BL90" s="16">
        <f>ALL!BP69</f>
        <v>0</v>
      </c>
      <c r="BM90" s="16">
        <f>ALL!BQ69</f>
        <v>0</v>
      </c>
      <c r="BN90" s="16">
        <f>ALL!BR69</f>
        <v>0</v>
      </c>
      <c r="BO90" s="16">
        <f>ALL!BS69</f>
        <v>0</v>
      </c>
      <c r="BP90" s="16">
        <f>ALL!BT69</f>
        <v>0</v>
      </c>
      <c r="BQ90" s="16">
        <f>ALL!BU69</f>
        <v>0</v>
      </c>
      <c r="BR90" s="16">
        <f>ALL!BV69</f>
        <v>0</v>
      </c>
      <c r="BS90" s="16">
        <f>ALL!BW69</f>
        <v>0</v>
      </c>
      <c r="BT90" s="16">
        <f>ALL!BX69</f>
        <v>0</v>
      </c>
    </row>
    <row r="91" spans="1:72" ht="21.75" hidden="1" outlineLevel="1" thickBot="1" x14ac:dyDescent="0.4">
      <c r="A91" s="34">
        <f>ALL!E70</f>
        <v>0</v>
      </c>
      <c r="B91" s="16">
        <f ca="1">ALL!F70</f>
        <v>0</v>
      </c>
      <c r="C91" s="16">
        <f ca="1">ALL!G70</f>
        <v>0</v>
      </c>
      <c r="D91" s="16">
        <f ca="1">ALL!H70</f>
        <v>0</v>
      </c>
      <c r="E91" s="16">
        <f ca="1">ALL!I70</f>
        <v>0</v>
      </c>
      <c r="F91" s="16">
        <f ca="1">ALL!J70</f>
        <v>0</v>
      </c>
      <c r="G91" s="16">
        <f ca="1">ALL!K70</f>
        <v>0</v>
      </c>
      <c r="H91" s="16">
        <f ca="1">ALL!L70</f>
        <v>0</v>
      </c>
      <c r="I91" s="16">
        <f ca="1">ALL!M70</f>
        <v>0</v>
      </c>
      <c r="J91" s="16">
        <f ca="1">ALL!N70</f>
        <v>0</v>
      </c>
      <c r="K91" s="16">
        <f ca="1">ALL!O70</f>
        <v>0</v>
      </c>
      <c r="L91" s="16">
        <f ca="1">ALL!P70</f>
        <v>0</v>
      </c>
      <c r="M91" s="16">
        <f ca="1">ALL!Q70</f>
        <v>0</v>
      </c>
      <c r="N91" s="16">
        <f ca="1">ALL!R70</f>
        <v>0</v>
      </c>
      <c r="O91" s="16">
        <f ca="1">ALL!S70</f>
        <v>0</v>
      </c>
      <c r="P91" s="16">
        <f ca="1">ALL!T70</f>
        <v>0</v>
      </c>
      <c r="Q91" s="16">
        <f ca="1">ALL!U70</f>
        <v>0</v>
      </c>
      <c r="R91" s="16">
        <f ca="1">ALL!V70</f>
        <v>0</v>
      </c>
      <c r="S91" s="16">
        <f ca="1">ALL!W70</f>
        <v>0</v>
      </c>
      <c r="T91" s="16">
        <f ca="1">ALL!X70</f>
        <v>0</v>
      </c>
      <c r="U91" s="16">
        <f ca="1">ALL!Y70</f>
        <v>0</v>
      </c>
      <c r="V91" s="16">
        <f ca="1">ALL!Z70</f>
        <v>0</v>
      </c>
      <c r="W91" s="16">
        <f ca="1">ALL!AA70</f>
        <v>0</v>
      </c>
      <c r="X91" s="16">
        <f ca="1">ALL!AB70</f>
        <v>0</v>
      </c>
      <c r="Y91" s="16">
        <f ca="1">ALL!AC70</f>
        <v>0</v>
      </c>
      <c r="Z91" s="16">
        <f ca="1">ALL!AD70</f>
        <v>0</v>
      </c>
      <c r="AA91" s="16">
        <f ca="1">ALL!AE70</f>
        <v>0</v>
      </c>
      <c r="AB91" s="16">
        <f ca="1">ALL!AF70</f>
        <v>0</v>
      </c>
      <c r="AC91" s="16">
        <f ca="1">ALL!AG70</f>
        <v>0</v>
      </c>
      <c r="AD91" s="16">
        <f ca="1">ALL!AH70</f>
        <v>0</v>
      </c>
      <c r="AE91" s="16">
        <f ca="1">ALL!AI70</f>
        <v>0</v>
      </c>
      <c r="AF91" s="16">
        <f ca="1">ALL!AJ70</f>
        <v>0</v>
      </c>
      <c r="AG91" s="16">
        <f ca="1">ALL!AK70</f>
        <v>0</v>
      </c>
      <c r="AH91" s="16">
        <f ca="1">ALL!AL70</f>
        <v>0</v>
      </c>
      <c r="AI91" s="16">
        <f>ALL!AM70</f>
        <v>0</v>
      </c>
      <c r="AJ91" s="16">
        <f>ALL!AN70</f>
        <v>0</v>
      </c>
      <c r="AK91" s="16">
        <f>ALL!AO70</f>
        <v>0</v>
      </c>
      <c r="AL91" s="16">
        <f>ALL!AP70</f>
        <v>0</v>
      </c>
      <c r="AM91" s="16">
        <f>ALL!AQ70</f>
        <v>0</v>
      </c>
      <c r="AN91" s="16">
        <f>ALL!AR70</f>
        <v>0</v>
      </c>
      <c r="AO91" s="16">
        <f>ALL!AS70</f>
        <v>0</v>
      </c>
      <c r="AP91" s="16">
        <f>ALL!AT70</f>
        <v>0</v>
      </c>
      <c r="AQ91" s="16">
        <f>ALL!AU70</f>
        <v>0</v>
      </c>
      <c r="AR91" s="16">
        <f>ALL!AV70</f>
        <v>0</v>
      </c>
      <c r="AS91" s="16">
        <f>ALL!AW70</f>
        <v>0</v>
      </c>
      <c r="AT91" s="16">
        <f>ALL!AX70</f>
        <v>0</v>
      </c>
      <c r="AU91" s="16">
        <f>ALL!AY70</f>
        <v>0</v>
      </c>
      <c r="AV91" s="16">
        <f>ALL!AZ70</f>
        <v>0</v>
      </c>
      <c r="AW91" s="16">
        <f>ALL!BA70</f>
        <v>0</v>
      </c>
      <c r="AX91" s="16">
        <f>ALL!BB70</f>
        <v>0</v>
      </c>
      <c r="AY91" s="16">
        <f>ALL!BC70</f>
        <v>0</v>
      </c>
      <c r="AZ91" s="16">
        <f>ALL!BD70</f>
        <v>0</v>
      </c>
      <c r="BA91" s="16">
        <f>ALL!BE70</f>
        <v>0</v>
      </c>
      <c r="BB91" s="16">
        <f>ALL!BF70</f>
        <v>0</v>
      </c>
      <c r="BC91" s="16">
        <f>ALL!BG70</f>
        <v>0</v>
      </c>
      <c r="BD91" s="16">
        <f>ALL!BH70</f>
        <v>0</v>
      </c>
      <c r="BE91" s="16">
        <f>ALL!BI70</f>
        <v>0</v>
      </c>
      <c r="BF91" s="16">
        <f>ALL!BJ70</f>
        <v>0</v>
      </c>
      <c r="BG91" s="16">
        <f>ALL!BK70</f>
        <v>0</v>
      </c>
      <c r="BH91" s="16">
        <f>ALL!BL70</f>
        <v>0</v>
      </c>
      <c r="BI91" s="16">
        <f>ALL!BM70</f>
        <v>0</v>
      </c>
      <c r="BJ91" s="16">
        <f>ALL!BN70</f>
        <v>0</v>
      </c>
      <c r="BK91" s="16">
        <f>ALL!BO70</f>
        <v>0</v>
      </c>
      <c r="BL91" s="16">
        <f>ALL!BP70</f>
        <v>0</v>
      </c>
      <c r="BM91" s="16">
        <f>ALL!BQ70</f>
        <v>0</v>
      </c>
      <c r="BN91" s="16">
        <f>ALL!BR70</f>
        <v>0</v>
      </c>
      <c r="BO91" s="16">
        <f>ALL!BS70</f>
        <v>0</v>
      </c>
      <c r="BP91" s="16">
        <f>ALL!BT70</f>
        <v>0</v>
      </c>
      <c r="BQ91" s="16">
        <f>ALL!BU70</f>
        <v>0</v>
      </c>
      <c r="BR91" s="16">
        <f>ALL!BV70</f>
        <v>0</v>
      </c>
      <c r="BS91" s="16">
        <f>ALL!BW70</f>
        <v>0</v>
      </c>
      <c r="BT91" s="16">
        <f>ALL!BX70</f>
        <v>0</v>
      </c>
    </row>
    <row r="92" spans="1:72" ht="21.75" hidden="1" outlineLevel="1" thickBot="1" x14ac:dyDescent="0.4">
      <c r="A92" s="34">
        <f>ALL!E71</f>
        <v>0</v>
      </c>
      <c r="B92" s="16">
        <f ca="1">ALL!F71</f>
        <v>0</v>
      </c>
      <c r="C92" s="16">
        <f ca="1">ALL!G71</f>
        <v>0</v>
      </c>
      <c r="D92" s="16">
        <f ca="1">ALL!H71</f>
        <v>0</v>
      </c>
      <c r="E92" s="16">
        <f ca="1">ALL!I71</f>
        <v>0</v>
      </c>
      <c r="F92" s="16">
        <f ca="1">ALL!J71</f>
        <v>0</v>
      </c>
      <c r="G92" s="16">
        <f ca="1">ALL!K71</f>
        <v>0</v>
      </c>
      <c r="H92" s="16">
        <f ca="1">ALL!L71</f>
        <v>0</v>
      </c>
      <c r="I92" s="16">
        <f ca="1">ALL!M71</f>
        <v>0</v>
      </c>
      <c r="J92" s="16">
        <f ca="1">ALL!N71</f>
        <v>0</v>
      </c>
      <c r="K92" s="16">
        <f ca="1">ALL!O71</f>
        <v>0</v>
      </c>
      <c r="L92" s="16">
        <f ca="1">ALL!P71</f>
        <v>0</v>
      </c>
      <c r="M92" s="16">
        <f ca="1">ALL!Q71</f>
        <v>0</v>
      </c>
      <c r="N92" s="16">
        <f ca="1">ALL!R71</f>
        <v>0</v>
      </c>
      <c r="O92" s="16">
        <f ca="1">ALL!S71</f>
        <v>0</v>
      </c>
      <c r="P92" s="16">
        <f ca="1">ALL!T71</f>
        <v>0</v>
      </c>
      <c r="Q92" s="16">
        <f ca="1">ALL!U71</f>
        <v>0</v>
      </c>
      <c r="R92" s="16">
        <f ca="1">ALL!V71</f>
        <v>0</v>
      </c>
      <c r="S92" s="16">
        <f ca="1">ALL!W71</f>
        <v>0</v>
      </c>
      <c r="T92" s="16">
        <f ca="1">ALL!X71</f>
        <v>0</v>
      </c>
      <c r="U92" s="16">
        <f ca="1">ALL!Y71</f>
        <v>0</v>
      </c>
      <c r="V92" s="16">
        <f ca="1">ALL!Z71</f>
        <v>0</v>
      </c>
      <c r="W92" s="16">
        <f ca="1">ALL!AA71</f>
        <v>0</v>
      </c>
      <c r="X92" s="16">
        <f ca="1">ALL!AB71</f>
        <v>0</v>
      </c>
      <c r="Y92" s="16">
        <f ca="1">ALL!AC71</f>
        <v>0</v>
      </c>
      <c r="Z92" s="16">
        <f ca="1">ALL!AD71</f>
        <v>0</v>
      </c>
      <c r="AA92" s="16">
        <f ca="1">ALL!AE71</f>
        <v>0</v>
      </c>
      <c r="AB92" s="16">
        <f ca="1">ALL!AF71</f>
        <v>0</v>
      </c>
      <c r="AC92" s="16">
        <f ca="1">ALL!AG71</f>
        <v>0</v>
      </c>
      <c r="AD92" s="16">
        <f ca="1">ALL!AH71</f>
        <v>0</v>
      </c>
      <c r="AE92" s="16">
        <f ca="1">ALL!AI71</f>
        <v>0</v>
      </c>
      <c r="AF92" s="16">
        <f ca="1">ALL!AJ71</f>
        <v>0</v>
      </c>
      <c r="AG92" s="16">
        <f ca="1">ALL!AK71</f>
        <v>0</v>
      </c>
      <c r="AH92" s="16">
        <f ca="1">ALL!AL71</f>
        <v>0</v>
      </c>
      <c r="AI92" s="16">
        <f>ALL!AM71</f>
        <v>0</v>
      </c>
      <c r="AJ92" s="16">
        <f>ALL!AN71</f>
        <v>0</v>
      </c>
      <c r="AK92" s="16">
        <f>ALL!AO71</f>
        <v>0</v>
      </c>
      <c r="AL92" s="16">
        <f>ALL!AP71</f>
        <v>0</v>
      </c>
      <c r="AM92" s="16">
        <f>ALL!AQ71</f>
        <v>0</v>
      </c>
      <c r="AN92" s="16">
        <f>ALL!AR71</f>
        <v>0</v>
      </c>
      <c r="AO92" s="16">
        <f>ALL!AS71</f>
        <v>0</v>
      </c>
      <c r="AP92" s="16">
        <f>ALL!AT71</f>
        <v>0</v>
      </c>
      <c r="AQ92" s="16">
        <f>ALL!AU71</f>
        <v>0</v>
      </c>
      <c r="AR92" s="16">
        <f>ALL!AV71</f>
        <v>0</v>
      </c>
      <c r="AS92" s="16">
        <f>ALL!AW71</f>
        <v>0</v>
      </c>
      <c r="AT92" s="16">
        <f>ALL!AX71</f>
        <v>0</v>
      </c>
      <c r="AU92" s="16">
        <f>ALL!AY71</f>
        <v>0</v>
      </c>
      <c r="AV92" s="16">
        <f>ALL!AZ71</f>
        <v>0</v>
      </c>
      <c r="AW92" s="16">
        <f>ALL!BA71</f>
        <v>0</v>
      </c>
      <c r="AX92" s="16">
        <f>ALL!BB71</f>
        <v>0</v>
      </c>
      <c r="AY92" s="16">
        <f>ALL!BC71</f>
        <v>0</v>
      </c>
      <c r="AZ92" s="16">
        <f>ALL!BD71</f>
        <v>0</v>
      </c>
      <c r="BA92" s="16">
        <f>ALL!BE71</f>
        <v>0</v>
      </c>
      <c r="BB92" s="16">
        <f>ALL!BF71</f>
        <v>0</v>
      </c>
      <c r="BC92" s="16">
        <f>ALL!BG71</f>
        <v>0</v>
      </c>
      <c r="BD92" s="16">
        <f>ALL!BH71</f>
        <v>0</v>
      </c>
      <c r="BE92" s="16">
        <f>ALL!BI71</f>
        <v>0</v>
      </c>
      <c r="BF92" s="16">
        <f>ALL!BJ71</f>
        <v>0</v>
      </c>
      <c r="BG92" s="16">
        <f>ALL!BK71</f>
        <v>0</v>
      </c>
      <c r="BH92" s="16">
        <f>ALL!BL71</f>
        <v>0</v>
      </c>
      <c r="BI92" s="16">
        <f>ALL!BM71</f>
        <v>0</v>
      </c>
      <c r="BJ92" s="16">
        <f>ALL!BN71</f>
        <v>0</v>
      </c>
      <c r="BK92" s="16">
        <f>ALL!BO71</f>
        <v>0</v>
      </c>
      <c r="BL92" s="16">
        <f>ALL!BP71</f>
        <v>0</v>
      </c>
      <c r="BM92" s="16">
        <f>ALL!BQ71</f>
        <v>0</v>
      </c>
      <c r="BN92" s="16">
        <f>ALL!BR71</f>
        <v>0</v>
      </c>
      <c r="BO92" s="16">
        <f>ALL!BS71</f>
        <v>0</v>
      </c>
      <c r="BP92" s="16">
        <f>ALL!BT71</f>
        <v>0</v>
      </c>
      <c r="BQ92" s="16">
        <f>ALL!BU71</f>
        <v>0</v>
      </c>
      <c r="BR92" s="16">
        <f>ALL!BV71</f>
        <v>0</v>
      </c>
      <c r="BS92" s="16">
        <f>ALL!BW71</f>
        <v>0</v>
      </c>
      <c r="BT92" s="16">
        <f>ALL!BX71</f>
        <v>0</v>
      </c>
    </row>
    <row r="93" spans="1:72" ht="21.75" hidden="1" outlineLevel="1" thickBot="1" x14ac:dyDescent="0.4">
      <c r="A93" s="34">
        <f>ALL!E72</f>
        <v>0</v>
      </c>
      <c r="B93" s="16">
        <f ca="1">ALL!F72</f>
        <v>0</v>
      </c>
      <c r="C93" s="16">
        <f ca="1">ALL!G72</f>
        <v>0</v>
      </c>
      <c r="D93" s="16">
        <f ca="1">ALL!H72</f>
        <v>0</v>
      </c>
      <c r="E93" s="16">
        <f ca="1">ALL!I72</f>
        <v>0</v>
      </c>
      <c r="F93" s="16">
        <f ca="1">ALL!J72</f>
        <v>0</v>
      </c>
      <c r="G93" s="16">
        <f ca="1">ALL!K72</f>
        <v>0</v>
      </c>
      <c r="H93" s="16">
        <f ca="1">ALL!L72</f>
        <v>0</v>
      </c>
      <c r="I93" s="16">
        <f ca="1">ALL!M72</f>
        <v>0</v>
      </c>
      <c r="J93" s="16">
        <f ca="1">ALL!N72</f>
        <v>0</v>
      </c>
      <c r="K93" s="16">
        <f ca="1">ALL!O72</f>
        <v>0</v>
      </c>
      <c r="L93" s="16">
        <f ca="1">ALL!P72</f>
        <v>0</v>
      </c>
      <c r="M93" s="16">
        <f ca="1">ALL!Q72</f>
        <v>0</v>
      </c>
      <c r="N93" s="16">
        <f ca="1">ALL!R72</f>
        <v>0</v>
      </c>
      <c r="O93" s="16">
        <f ca="1">ALL!S72</f>
        <v>0</v>
      </c>
      <c r="P93" s="16">
        <f ca="1">ALL!T72</f>
        <v>0</v>
      </c>
      <c r="Q93" s="16">
        <f ca="1">ALL!U72</f>
        <v>0</v>
      </c>
      <c r="R93" s="16">
        <f ca="1">ALL!V72</f>
        <v>0</v>
      </c>
      <c r="S93" s="16">
        <f ca="1">ALL!W72</f>
        <v>0</v>
      </c>
      <c r="T93" s="16">
        <f ca="1">ALL!X72</f>
        <v>0</v>
      </c>
      <c r="U93" s="16">
        <f ca="1">ALL!Y72</f>
        <v>0</v>
      </c>
      <c r="V93" s="16">
        <f ca="1">ALL!Z72</f>
        <v>0</v>
      </c>
      <c r="W93" s="16">
        <f ca="1">ALL!AA72</f>
        <v>0</v>
      </c>
      <c r="X93" s="16">
        <f ca="1">ALL!AB72</f>
        <v>0</v>
      </c>
      <c r="Y93" s="16">
        <f ca="1">ALL!AC72</f>
        <v>0</v>
      </c>
      <c r="Z93" s="16">
        <f ca="1">ALL!AD72</f>
        <v>0</v>
      </c>
      <c r="AA93" s="16">
        <f ca="1">ALL!AE72</f>
        <v>0</v>
      </c>
      <c r="AB93" s="16">
        <f ca="1">ALL!AF72</f>
        <v>0</v>
      </c>
      <c r="AC93" s="16">
        <f ca="1">ALL!AG72</f>
        <v>0</v>
      </c>
      <c r="AD93" s="16">
        <f ca="1">ALL!AH72</f>
        <v>0</v>
      </c>
      <c r="AE93" s="16">
        <f ca="1">ALL!AI72</f>
        <v>0</v>
      </c>
      <c r="AF93" s="16">
        <f ca="1">ALL!AJ72</f>
        <v>0</v>
      </c>
      <c r="AG93" s="16">
        <f ca="1">ALL!AK72</f>
        <v>0</v>
      </c>
      <c r="AH93" s="16">
        <f ca="1">ALL!AL72</f>
        <v>0</v>
      </c>
      <c r="AI93" s="16">
        <f>ALL!AM72</f>
        <v>0</v>
      </c>
      <c r="AJ93" s="16">
        <f>ALL!AN72</f>
        <v>0</v>
      </c>
      <c r="AK93" s="16">
        <f>ALL!AO72</f>
        <v>0</v>
      </c>
      <c r="AL93" s="16">
        <f>ALL!AP72</f>
        <v>0</v>
      </c>
      <c r="AM93" s="16">
        <f>ALL!AQ72</f>
        <v>0</v>
      </c>
      <c r="AN93" s="16">
        <f>ALL!AR72</f>
        <v>0</v>
      </c>
      <c r="AO93" s="16">
        <f>ALL!AS72</f>
        <v>0</v>
      </c>
      <c r="AP93" s="16">
        <f>ALL!AT72</f>
        <v>0</v>
      </c>
      <c r="AQ93" s="16">
        <f>ALL!AU72</f>
        <v>0</v>
      </c>
      <c r="AR93" s="16">
        <f>ALL!AV72</f>
        <v>0</v>
      </c>
      <c r="AS93" s="16">
        <f>ALL!AW72</f>
        <v>0</v>
      </c>
      <c r="AT93" s="16">
        <f>ALL!AX72</f>
        <v>0</v>
      </c>
      <c r="AU93" s="16">
        <f>ALL!AY72</f>
        <v>0</v>
      </c>
      <c r="AV93" s="16">
        <f>ALL!AZ72</f>
        <v>0</v>
      </c>
      <c r="AW93" s="16">
        <f>ALL!BA72</f>
        <v>0</v>
      </c>
      <c r="AX93" s="16">
        <f>ALL!BB72</f>
        <v>0</v>
      </c>
      <c r="AY93" s="16">
        <f>ALL!BC72</f>
        <v>0</v>
      </c>
      <c r="AZ93" s="16">
        <f>ALL!BD72</f>
        <v>0</v>
      </c>
      <c r="BA93" s="16">
        <f>ALL!BE72</f>
        <v>0</v>
      </c>
      <c r="BB93" s="16">
        <f>ALL!BF72</f>
        <v>0</v>
      </c>
      <c r="BC93" s="16">
        <f>ALL!BG72</f>
        <v>0</v>
      </c>
      <c r="BD93" s="16">
        <f>ALL!BH72</f>
        <v>0</v>
      </c>
      <c r="BE93" s="16">
        <f>ALL!BI72</f>
        <v>0</v>
      </c>
      <c r="BF93" s="16">
        <f>ALL!BJ72</f>
        <v>0</v>
      </c>
      <c r="BG93" s="16">
        <f>ALL!BK72</f>
        <v>0</v>
      </c>
      <c r="BH93" s="16">
        <f>ALL!BL72</f>
        <v>0</v>
      </c>
      <c r="BI93" s="16">
        <f>ALL!BM72</f>
        <v>0</v>
      </c>
      <c r="BJ93" s="16">
        <f>ALL!BN72</f>
        <v>0</v>
      </c>
      <c r="BK93" s="16">
        <f>ALL!BO72</f>
        <v>0</v>
      </c>
      <c r="BL93" s="16">
        <f>ALL!BP72</f>
        <v>0</v>
      </c>
      <c r="BM93" s="16">
        <f>ALL!BQ72</f>
        <v>0</v>
      </c>
      <c r="BN93" s="16">
        <f>ALL!BR72</f>
        <v>0</v>
      </c>
      <c r="BO93" s="16">
        <f>ALL!BS72</f>
        <v>0</v>
      </c>
      <c r="BP93" s="16">
        <f>ALL!BT72</f>
        <v>0</v>
      </c>
      <c r="BQ93" s="16">
        <f>ALL!BU72</f>
        <v>0</v>
      </c>
      <c r="BR93" s="16">
        <f>ALL!BV72</f>
        <v>0</v>
      </c>
      <c r="BS93" s="16">
        <f>ALL!BW72</f>
        <v>0</v>
      </c>
      <c r="BT93" s="16">
        <f>ALL!BX72</f>
        <v>0</v>
      </c>
    </row>
    <row r="94" spans="1:72" ht="21.75" hidden="1" outlineLevel="1" thickBot="1" x14ac:dyDescent="0.4">
      <c r="A94" s="34">
        <f>ALL!E73</f>
        <v>0</v>
      </c>
      <c r="B94" s="16">
        <f ca="1">ALL!F73</f>
        <v>0</v>
      </c>
      <c r="C94" s="16">
        <f ca="1">ALL!G73</f>
        <v>0</v>
      </c>
      <c r="D94" s="16">
        <f ca="1">ALL!H73</f>
        <v>0</v>
      </c>
      <c r="E94" s="16">
        <f ca="1">ALL!I73</f>
        <v>0</v>
      </c>
      <c r="F94" s="16">
        <f ca="1">ALL!J73</f>
        <v>0</v>
      </c>
      <c r="G94" s="16">
        <f ca="1">ALL!K73</f>
        <v>0</v>
      </c>
      <c r="H94" s="16">
        <f ca="1">ALL!L73</f>
        <v>0</v>
      </c>
      <c r="I94" s="16">
        <f ca="1">ALL!M73</f>
        <v>0</v>
      </c>
      <c r="J94" s="16">
        <f ca="1">ALL!N73</f>
        <v>0</v>
      </c>
      <c r="K94" s="16">
        <f ca="1">ALL!O73</f>
        <v>0</v>
      </c>
      <c r="L94" s="16">
        <f ca="1">ALL!P73</f>
        <v>0</v>
      </c>
      <c r="M94" s="16">
        <f ca="1">ALL!Q73</f>
        <v>0</v>
      </c>
      <c r="N94" s="16">
        <f ca="1">ALL!R73</f>
        <v>0</v>
      </c>
      <c r="O94" s="16">
        <f ca="1">ALL!S73</f>
        <v>0</v>
      </c>
      <c r="P94" s="16">
        <f ca="1">ALL!T73</f>
        <v>0</v>
      </c>
      <c r="Q94" s="16">
        <f ca="1">ALL!U73</f>
        <v>0</v>
      </c>
      <c r="R94" s="16">
        <f ca="1">ALL!V73</f>
        <v>0</v>
      </c>
      <c r="S94" s="16">
        <f ca="1">ALL!W73</f>
        <v>0</v>
      </c>
      <c r="T94" s="16">
        <f ca="1">ALL!X73</f>
        <v>0</v>
      </c>
      <c r="U94" s="16">
        <f ca="1">ALL!Y73</f>
        <v>0</v>
      </c>
      <c r="V94" s="16">
        <f ca="1">ALL!Z73</f>
        <v>0</v>
      </c>
      <c r="W94" s="16">
        <f ca="1">ALL!AA73</f>
        <v>0</v>
      </c>
      <c r="X94" s="16">
        <f ca="1">ALL!AB73</f>
        <v>0</v>
      </c>
      <c r="Y94" s="16">
        <f ca="1">ALL!AC73</f>
        <v>0</v>
      </c>
      <c r="Z94" s="16">
        <f ca="1">ALL!AD73</f>
        <v>0</v>
      </c>
      <c r="AA94" s="16">
        <f ca="1">ALL!AE73</f>
        <v>0</v>
      </c>
      <c r="AB94" s="16">
        <f ca="1">ALL!AF73</f>
        <v>0</v>
      </c>
      <c r="AC94" s="16">
        <f ca="1">ALL!AG73</f>
        <v>0</v>
      </c>
      <c r="AD94" s="16">
        <f ca="1">ALL!AH73</f>
        <v>0</v>
      </c>
      <c r="AE94" s="16">
        <f ca="1">ALL!AI73</f>
        <v>0</v>
      </c>
      <c r="AF94" s="16">
        <f ca="1">ALL!AJ73</f>
        <v>0</v>
      </c>
      <c r="AG94" s="16">
        <f ca="1">ALL!AK73</f>
        <v>0</v>
      </c>
      <c r="AH94" s="16">
        <f ca="1">ALL!AL73</f>
        <v>0</v>
      </c>
      <c r="AI94" s="16">
        <f>ALL!AM73</f>
        <v>0</v>
      </c>
      <c r="AJ94" s="16">
        <f>ALL!AN73</f>
        <v>0</v>
      </c>
      <c r="AK94" s="16">
        <f>ALL!AO73</f>
        <v>0</v>
      </c>
      <c r="AL94" s="16">
        <f>ALL!AP73</f>
        <v>0</v>
      </c>
      <c r="AM94" s="16">
        <f>ALL!AQ73</f>
        <v>0</v>
      </c>
      <c r="AN94" s="16">
        <f>ALL!AR73</f>
        <v>0</v>
      </c>
      <c r="AO94" s="16">
        <f>ALL!AS73</f>
        <v>0</v>
      </c>
      <c r="AP94" s="16">
        <f>ALL!AT73</f>
        <v>0</v>
      </c>
      <c r="AQ94" s="16">
        <f>ALL!AU73</f>
        <v>0</v>
      </c>
      <c r="AR94" s="16">
        <f>ALL!AV73</f>
        <v>0</v>
      </c>
      <c r="AS94" s="16">
        <f>ALL!AW73</f>
        <v>0</v>
      </c>
      <c r="AT94" s="16">
        <f>ALL!AX73</f>
        <v>0</v>
      </c>
      <c r="AU94" s="16">
        <f>ALL!AY73</f>
        <v>0</v>
      </c>
      <c r="AV94" s="16">
        <f>ALL!AZ73</f>
        <v>0</v>
      </c>
      <c r="AW94" s="16">
        <f>ALL!BA73</f>
        <v>0</v>
      </c>
      <c r="AX94" s="16">
        <f>ALL!BB73</f>
        <v>0</v>
      </c>
      <c r="AY94" s="16">
        <f>ALL!BC73</f>
        <v>0</v>
      </c>
      <c r="AZ94" s="16">
        <f>ALL!BD73</f>
        <v>0</v>
      </c>
      <c r="BA94" s="16">
        <f>ALL!BE73</f>
        <v>0</v>
      </c>
      <c r="BB94" s="16">
        <f>ALL!BF73</f>
        <v>0</v>
      </c>
      <c r="BC94" s="16">
        <f>ALL!BG73</f>
        <v>0</v>
      </c>
      <c r="BD94" s="16">
        <f>ALL!BH73</f>
        <v>0</v>
      </c>
      <c r="BE94" s="16">
        <f>ALL!BI73</f>
        <v>0</v>
      </c>
      <c r="BF94" s="16">
        <f>ALL!BJ73</f>
        <v>0</v>
      </c>
      <c r="BG94" s="16">
        <f>ALL!BK73</f>
        <v>0</v>
      </c>
      <c r="BH94" s="16">
        <f>ALL!BL73</f>
        <v>0</v>
      </c>
      <c r="BI94" s="16">
        <f>ALL!BM73</f>
        <v>0</v>
      </c>
      <c r="BJ94" s="16">
        <f>ALL!BN73</f>
        <v>0</v>
      </c>
      <c r="BK94" s="16">
        <f>ALL!BO73</f>
        <v>0</v>
      </c>
      <c r="BL94" s="16">
        <f>ALL!BP73</f>
        <v>0</v>
      </c>
      <c r="BM94" s="16">
        <f>ALL!BQ73</f>
        <v>0</v>
      </c>
      <c r="BN94" s="16">
        <f>ALL!BR73</f>
        <v>0</v>
      </c>
      <c r="BO94" s="16">
        <f>ALL!BS73</f>
        <v>0</v>
      </c>
      <c r="BP94" s="16">
        <f>ALL!BT73</f>
        <v>0</v>
      </c>
      <c r="BQ94" s="16">
        <f>ALL!BU73</f>
        <v>0</v>
      </c>
      <c r="BR94" s="16">
        <f>ALL!BV73</f>
        <v>0</v>
      </c>
      <c r="BS94" s="16">
        <f>ALL!BW73</f>
        <v>0</v>
      </c>
      <c r="BT94" s="16">
        <f>ALL!BX73</f>
        <v>0</v>
      </c>
    </row>
    <row r="95" spans="1:72" ht="21.75" hidden="1" outlineLevel="1" thickBot="1" x14ac:dyDescent="0.4">
      <c r="A95" s="34">
        <f>ALL!E74</f>
        <v>0</v>
      </c>
      <c r="B95" s="16">
        <f ca="1">ALL!F74</f>
        <v>0</v>
      </c>
      <c r="C95" s="16">
        <f ca="1">ALL!G74</f>
        <v>0</v>
      </c>
      <c r="D95" s="16">
        <f ca="1">ALL!H74</f>
        <v>0</v>
      </c>
      <c r="E95" s="16">
        <f ca="1">ALL!I74</f>
        <v>0</v>
      </c>
      <c r="F95" s="16">
        <f ca="1">ALL!J74</f>
        <v>0</v>
      </c>
      <c r="G95" s="16">
        <f ca="1">ALL!K74</f>
        <v>0</v>
      </c>
      <c r="H95" s="16">
        <f ca="1">ALL!L74</f>
        <v>0</v>
      </c>
      <c r="I95" s="16">
        <f ca="1">ALL!M74</f>
        <v>0</v>
      </c>
      <c r="J95" s="16">
        <f ca="1">ALL!N74</f>
        <v>0</v>
      </c>
      <c r="K95" s="16">
        <f ca="1">ALL!O74</f>
        <v>0</v>
      </c>
      <c r="L95" s="16">
        <f ca="1">ALL!P74</f>
        <v>0</v>
      </c>
      <c r="M95" s="16">
        <f ca="1">ALL!Q74</f>
        <v>0</v>
      </c>
      <c r="N95" s="16">
        <f ca="1">ALL!R74</f>
        <v>0</v>
      </c>
      <c r="O95" s="16">
        <f ca="1">ALL!S74</f>
        <v>0</v>
      </c>
      <c r="P95" s="16">
        <f ca="1">ALL!T74</f>
        <v>0</v>
      </c>
      <c r="Q95" s="16">
        <f ca="1">ALL!U74</f>
        <v>0</v>
      </c>
      <c r="R95" s="16">
        <f ca="1">ALL!V74</f>
        <v>0</v>
      </c>
      <c r="S95" s="16">
        <f ca="1">ALL!W74</f>
        <v>0</v>
      </c>
      <c r="T95" s="16">
        <f ca="1">ALL!X74</f>
        <v>0</v>
      </c>
      <c r="U95" s="16">
        <f ca="1">ALL!Y74</f>
        <v>0</v>
      </c>
      <c r="V95" s="16">
        <f ca="1">ALL!Z74</f>
        <v>0</v>
      </c>
      <c r="W95" s="16">
        <f ca="1">ALL!AA74</f>
        <v>0</v>
      </c>
      <c r="X95" s="16">
        <f ca="1">ALL!AB74</f>
        <v>0</v>
      </c>
      <c r="Y95" s="16">
        <f ca="1">ALL!AC74</f>
        <v>0</v>
      </c>
      <c r="Z95" s="16">
        <f ca="1">ALL!AD74</f>
        <v>0</v>
      </c>
      <c r="AA95" s="16">
        <f ca="1">ALL!AE74</f>
        <v>0</v>
      </c>
      <c r="AB95" s="16">
        <f ca="1">ALL!AF74</f>
        <v>0</v>
      </c>
      <c r="AC95" s="16">
        <f ca="1">ALL!AG74</f>
        <v>0</v>
      </c>
      <c r="AD95" s="16">
        <f ca="1">ALL!AH74</f>
        <v>0</v>
      </c>
      <c r="AE95" s="16">
        <f ca="1">ALL!AI74</f>
        <v>0</v>
      </c>
      <c r="AF95" s="16">
        <f ca="1">ALL!AJ74</f>
        <v>0</v>
      </c>
      <c r="AG95" s="16">
        <f ca="1">ALL!AK74</f>
        <v>0</v>
      </c>
      <c r="AH95" s="16">
        <f ca="1">ALL!AL74</f>
        <v>0</v>
      </c>
      <c r="AI95" s="16">
        <f>ALL!AM74</f>
        <v>0</v>
      </c>
      <c r="AJ95" s="16">
        <f>ALL!AN74</f>
        <v>0</v>
      </c>
      <c r="AK95" s="16">
        <f>ALL!AO74</f>
        <v>0</v>
      </c>
      <c r="AL95" s="16">
        <f>ALL!AP74</f>
        <v>0</v>
      </c>
      <c r="AM95" s="16">
        <f>ALL!AQ74</f>
        <v>0</v>
      </c>
      <c r="AN95" s="16">
        <f>ALL!AR74</f>
        <v>0</v>
      </c>
      <c r="AO95" s="16">
        <f>ALL!AS74</f>
        <v>0</v>
      </c>
      <c r="AP95" s="16">
        <f>ALL!AT74</f>
        <v>0</v>
      </c>
      <c r="AQ95" s="16">
        <f>ALL!AU74</f>
        <v>0</v>
      </c>
      <c r="AR95" s="16">
        <f>ALL!AV74</f>
        <v>0</v>
      </c>
      <c r="AS95" s="16">
        <f>ALL!AW74</f>
        <v>0</v>
      </c>
      <c r="AT95" s="16">
        <f>ALL!AX74</f>
        <v>0</v>
      </c>
      <c r="AU95" s="16">
        <f>ALL!AY74</f>
        <v>0</v>
      </c>
      <c r="AV95" s="16">
        <f>ALL!AZ74</f>
        <v>0</v>
      </c>
      <c r="AW95" s="16">
        <f>ALL!BA74</f>
        <v>0</v>
      </c>
      <c r="AX95" s="16">
        <f>ALL!BB74</f>
        <v>0</v>
      </c>
      <c r="AY95" s="16">
        <f>ALL!BC74</f>
        <v>0</v>
      </c>
      <c r="AZ95" s="16">
        <f>ALL!BD74</f>
        <v>0</v>
      </c>
      <c r="BA95" s="16">
        <f>ALL!BE74</f>
        <v>0</v>
      </c>
      <c r="BB95" s="16">
        <f>ALL!BF74</f>
        <v>0</v>
      </c>
      <c r="BC95" s="16">
        <f>ALL!BG74</f>
        <v>0</v>
      </c>
      <c r="BD95" s="16">
        <f>ALL!BH74</f>
        <v>0</v>
      </c>
      <c r="BE95" s="16">
        <f>ALL!BI74</f>
        <v>0</v>
      </c>
      <c r="BF95" s="16">
        <f>ALL!BJ74</f>
        <v>0</v>
      </c>
      <c r="BG95" s="16">
        <f>ALL!BK74</f>
        <v>0</v>
      </c>
      <c r="BH95" s="16">
        <f>ALL!BL74</f>
        <v>0</v>
      </c>
      <c r="BI95" s="16">
        <f>ALL!BM74</f>
        <v>0</v>
      </c>
      <c r="BJ95" s="16">
        <f>ALL!BN74</f>
        <v>0</v>
      </c>
      <c r="BK95" s="16">
        <f>ALL!BO74</f>
        <v>0</v>
      </c>
      <c r="BL95" s="16">
        <f>ALL!BP74</f>
        <v>0</v>
      </c>
      <c r="BM95" s="16">
        <f>ALL!BQ74</f>
        <v>0</v>
      </c>
      <c r="BN95" s="16">
        <f>ALL!BR74</f>
        <v>0</v>
      </c>
      <c r="BO95" s="16">
        <f>ALL!BS74</f>
        <v>0</v>
      </c>
      <c r="BP95" s="16">
        <f>ALL!BT74</f>
        <v>0</v>
      </c>
      <c r="BQ95" s="16">
        <f>ALL!BU74</f>
        <v>0</v>
      </c>
      <c r="BR95" s="16">
        <f>ALL!BV74</f>
        <v>0</v>
      </c>
      <c r="BS95" s="16">
        <f>ALL!BW74</f>
        <v>0</v>
      </c>
      <c r="BT95" s="16">
        <f>ALL!BX74</f>
        <v>0</v>
      </c>
    </row>
    <row r="96" spans="1:72" ht="21.75" hidden="1" outlineLevel="1" thickBot="1" x14ac:dyDescent="0.4">
      <c r="A96" s="34">
        <f>ALL!E75</f>
        <v>1</v>
      </c>
      <c r="B96" s="16">
        <f>ALL!F75</f>
        <v>0</v>
      </c>
      <c r="C96" s="16">
        <f>ALL!G75</f>
        <v>0</v>
      </c>
      <c r="D96" s="16">
        <f>ALL!H75</f>
        <v>0</v>
      </c>
      <c r="E96" s="16">
        <f>ALL!I75</f>
        <v>0</v>
      </c>
      <c r="F96" s="16">
        <f>ALL!J75</f>
        <v>0</v>
      </c>
      <c r="G96" s="16">
        <f>ALL!K75</f>
        <v>0</v>
      </c>
      <c r="H96" s="16">
        <f>ALL!L75</f>
        <v>0</v>
      </c>
      <c r="I96" s="16">
        <f>ALL!M75</f>
        <v>0</v>
      </c>
      <c r="J96" s="16">
        <f>ALL!N75</f>
        <v>0</v>
      </c>
      <c r="K96" s="16">
        <f>ALL!O75</f>
        <v>0</v>
      </c>
      <c r="L96" s="16">
        <f>ALL!P75</f>
        <v>0</v>
      </c>
      <c r="M96" s="16">
        <f>ALL!Q75</f>
        <v>0</v>
      </c>
      <c r="N96" s="16">
        <f>ALL!R75</f>
        <v>0</v>
      </c>
      <c r="O96" s="16">
        <f>ALL!S75</f>
        <v>0</v>
      </c>
      <c r="P96" s="16">
        <f>ALL!T75</f>
        <v>0</v>
      </c>
      <c r="Q96" s="16">
        <f>ALL!U75</f>
        <v>0</v>
      </c>
      <c r="R96" s="16">
        <f>ALL!V75</f>
        <v>0</v>
      </c>
      <c r="S96" s="16">
        <f>ALL!W75</f>
        <v>0</v>
      </c>
      <c r="T96" s="16">
        <f>ALL!X75</f>
        <v>0</v>
      </c>
      <c r="U96" s="16">
        <f>ALL!Y75</f>
        <v>0</v>
      </c>
      <c r="V96" s="16">
        <f>ALL!Z75</f>
        <v>0</v>
      </c>
      <c r="W96" s="16">
        <f>ALL!AA75</f>
        <v>0</v>
      </c>
      <c r="X96" s="16">
        <f>ALL!AB75</f>
        <v>0</v>
      </c>
      <c r="Y96" s="16">
        <f>ALL!AC75</f>
        <v>0</v>
      </c>
      <c r="Z96" s="16">
        <f>ALL!AD75</f>
        <v>0</v>
      </c>
      <c r="AA96" s="16">
        <f>ALL!AE75</f>
        <v>0</v>
      </c>
      <c r="AB96" s="16">
        <f>ALL!AF75</f>
        <v>0</v>
      </c>
      <c r="AC96" s="16">
        <f>ALL!AG75</f>
        <v>0</v>
      </c>
      <c r="AD96" s="16">
        <f>ALL!AH75</f>
        <v>0</v>
      </c>
      <c r="AE96" s="16">
        <f>ALL!AI75</f>
        <v>0</v>
      </c>
      <c r="AF96" s="16">
        <f>ALL!AJ75</f>
        <v>0</v>
      </c>
      <c r="AG96" s="16">
        <f>ALL!AK75</f>
        <v>0</v>
      </c>
      <c r="AH96" s="16">
        <f>ALL!AL75</f>
        <v>0</v>
      </c>
      <c r="AI96" s="16">
        <f>ALL!AM75</f>
        <v>0</v>
      </c>
      <c r="AJ96" s="16">
        <f>ALL!AN75</f>
        <v>0</v>
      </c>
      <c r="AK96" s="16">
        <f>ALL!AO75</f>
        <v>0</v>
      </c>
      <c r="AL96" s="16">
        <f>ALL!AP75</f>
        <v>0</v>
      </c>
      <c r="AM96" s="16">
        <f>ALL!AQ75</f>
        <v>0</v>
      </c>
      <c r="AN96" s="16">
        <f>ALL!AR75</f>
        <v>0</v>
      </c>
      <c r="AO96" s="16">
        <f>ALL!AS75</f>
        <v>0</v>
      </c>
      <c r="AP96" s="16">
        <f>ALL!AT75</f>
        <v>0</v>
      </c>
      <c r="AQ96" s="16">
        <f>ALL!AU75</f>
        <v>0</v>
      </c>
      <c r="AR96" s="16">
        <f>ALL!AV75</f>
        <v>0</v>
      </c>
      <c r="AS96" s="16">
        <f>ALL!AW75</f>
        <v>0</v>
      </c>
      <c r="AT96" s="16">
        <f>ALL!AX75</f>
        <v>0</v>
      </c>
      <c r="AU96" s="16">
        <f>ALL!AY75</f>
        <v>0</v>
      </c>
      <c r="AV96" s="16">
        <f>ALL!AZ75</f>
        <v>0</v>
      </c>
      <c r="AW96" s="16">
        <f>ALL!BA75</f>
        <v>0</v>
      </c>
      <c r="AX96" s="16">
        <f>ALL!BB75</f>
        <v>0</v>
      </c>
      <c r="AY96" s="16">
        <f>ALL!BC75</f>
        <v>0</v>
      </c>
      <c r="AZ96" s="16">
        <f>ALL!BD75</f>
        <v>0</v>
      </c>
      <c r="BA96" s="16">
        <f>ALL!BE75</f>
        <v>0</v>
      </c>
      <c r="BB96" s="16">
        <f>ALL!BF75</f>
        <v>0</v>
      </c>
      <c r="BC96" s="16">
        <f>ALL!BG75</f>
        <v>0</v>
      </c>
      <c r="BD96" s="16">
        <f>ALL!BH75</f>
        <v>0</v>
      </c>
      <c r="BE96" s="16">
        <f>ALL!BI75</f>
        <v>0</v>
      </c>
      <c r="BF96" s="16">
        <f>ALL!BJ75</f>
        <v>0</v>
      </c>
      <c r="BG96" s="16">
        <f>ALL!BK75</f>
        <v>0</v>
      </c>
      <c r="BH96" s="16">
        <f>ALL!BL75</f>
        <v>0</v>
      </c>
      <c r="BI96" s="16">
        <f>ALL!BM75</f>
        <v>0</v>
      </c>
      <c r="BJ96" s="16">
        <f>ALL!BN75</f>
        <v>0</v>
      </c>
      <c r="BK96" s="16">
        <f>ALL!BO75</f>
        <v>0</v>
      </c>
      <c r="BL96" s="16">
        <f>ALL!BP75</f>
        <v>0</v>
      </c>
      <c r="BM96" s="16">
        <f>ALL!BQ75</f>
        <v>0</v>
      </c>
      <c r="BN96" s="16">
        <f>ALL!BR75</f>
        <v>0</v>
      </c>
      <c r="BO96" s="16">
        <f>ALL!BS75</f>
        <v>0</v>
      </c>
      <c r="BP96" s="16">
        <f>ALL!BT75</f>
        <v>0</v>
      </c>
      <c r="BQ96" s="16">
        <f>ALL!BU75</f>
        <v>0</v>
      </c>
      <c r="BR96" s="16">
        <f>ALL!BV75</f>
        <v>0</v>
      </c>
      <c r="BS96" s="16">
        <f>ALL!BW75</f>
        <v>0</v>
      </c>
      <c r="BT96" s="16">
        <f>ALL!BX75</f>
        <v>0</v>
      </c>
    </row>
    <row r="97" spans="1:72" ht="21.75" collapsed="1" thickTop="1" x14ac:dyDescent="0.35">
      <c r="A97" s="94"/>
      <c r="B97" s="94"/>
      <c r="C97" s="94"/>
      <c r="D97" s="94"/>
      <c r="E97" s="94"/>
      <c r="F97" s="94"/>
      <c r="G97" s="94"/>
      <c r="H97" s="94"/>
      <c r="I97" s="94"/>
      <c r="J97" s="94"/>
      <c r="K97" s="94"/>
      <c r="L97" s="94"/>
      <c r="M97" s="94"/>
      <c r="N97" s="94"/>
      <c r="O97" s="94"/>
      <c r="P97" s="94"/>
      <c r="Q97" s="94"/>
      <c r="R97" s="94"/>
      <c r="S97" s="94"/>
      <c r="T97" s="94"/>
      <c r="U97" s="94"/>
      <c r="V97" s="94"/>
      <c r="W97" s="94"/>
      <c r="X97" s="94"/>
      <c r="Y97" s="94"/>
      <c r="Z97" s="94"/>
      <c r="AA97" s="94"/>
      <c r="AB97" s="94"/>
      <c r="AC97" s="94"/>
      <c r="AD97" s="94"/>
      <c r="AE97" s="94"/>
      <c r="AF97" s="94"/>
      <c r="AG97" s="94"/>
      <c r="AH97" s="94"/>
      <c r="AI97" s="94"/>
      <c r="AJ97" s="94"/>
      <c r="AK97" s="94"/>
      <c r="AL97" s="94"/>
      <c r="AM97" s="94"/>
      <c r="AN97" s="94"/>
      <c r="AO97" s="94"/>
      <c r="AP97" s="94"/>
      <c r="AQ97" s="94"/>
      <c r="AR97" s="94"/>
      <c r="AS97" s="94"/>
      <c r="AT97" s="94"/>
      <c r="AU97" s="94"/>
      <c r="AV97" s="94"/>
      <c r="AW97" s="94"/>
      <c r="AX97" s="94"/>
      <c r="AY97" s="94"/>
      <c r="AZ97" s="94"/>
      <c r="BA97" s="94"/>
      <c r="BB97" s="94"/>
      <c r="BC97" s="94"/>
      <c r="BD97" s="94"/>
      <c r="BE97" s="94"/>
      <c r="BF97" s="94"/>
      <c r="BG97" s="94"/>
      <c r="BH97" s="94"/>
      <c r="BI97" s="94"/>
      <c r="BJ97" s="94"/>
      <c r="BK97" s="94"/>
      <c r="BL97" s="94"/>
      <c r="BM97" s="94"/>
      <c r="BN97" s="94"/>
      <c r="BO97" s="94"/>
      <c r="BP97" s="94"/>
      <c r="BQ97" s="94"/>
      <c r="BR97" s="94"/>
      <c r="BS97" s="94"/>
      <c r="BT97" s="94"/>
    </row>
    <row r="98" spans="1:72" x14ac:dyDescent="0.35">
      <c r="A98" s="48"/>
      <c r="B98" s="48"/>
      <c r="AI98" s="48"/>
      <c r="AJ98" s="48"/>
      <c r="AK98" s="48"/>
      <c r="AL98" s="48"/>
      <c r="AM98" s="48"/>
      <c r="AN98" s="48"/>
      <c r="AO98" s="48"/>
      <c r="AP98" s="48"/>
      <c r="AQ98" s="48"/>
      <c r="AR98" s="48"/>
      <c r="AS98" s="48"/>
      <c r="AT98" s="48"/>
      <c r="AU98" s="48"/>
      <c r="AV98" s="48"/>
      <c r="AW98" s="48"/>
      <c r="AX98" s="48"/>
      <c r="AY98" s="48"/>
      <c r="AZ98" s="48"/>
      <c r="BA98" s="48"/>
      <c r="BB98" s="48"/>
      <c r="BC98" s="48"/>
      <c r="BD98" s="48"/>
      <c r="BE98" s="48"/>
      <c r="BF98" s="48"/>
      <c r="BG98" s="48"/>
      <c r="BH98" s="48"/>
      <c r="BI98" s="48"/>
      <c r="BJ98" s="48"/>
      <c r="BK98" s="48"/>
      <c r="BL98" s="48"/>
      <c r="BM98" s="48"/>
      <c r="BN98" s="48"/>
      <c r="BO98" s="48"/>
      <c r="BP98" s="48"/>
      <c r="BS98" s="48"/>
      <c r="BT98" s="48"/>
    </row>
    <row r="99" spans="1:72" ht="29.25" thickBot="1" x14ac:dyDescent="0.5">
      <c r="A99" s="97" t="s">
        <v>50</v>
      </c>
      <c r="B99" s="95"/>
      <c r="C99" s="96"/>
      <c r="D99" s="96"/>
      <c r="E99" s="96"/>
      <c r="F99" s="95"/>
      <c r="G99" s="95"/>
      <c r="H99" s="95"/>
      <c r="I99" s="95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  <c r="AB99" s="95"/>
      <c r="AC99" s="95"/>
      <c r="AD99" s="95"/>
      <c r="AE99" s="95"/>
      <c r="AF99" s="95"/>
      <c r="AG99" s="95"/>
      <c r="AH99" s="95"/>
      <c r="AI99" s="95"/>
      <c r="AJ99" s="95"/>
      <c r="AK99" s="95"/>
      <c r="AL99" s="95"/>
      <c r="AM99" s="95"/>
      <c r="AN99" s="95"/>
      <c r="AO99" s="95"/>
      <c r="AP99" s="95"/>
      <c r="AQ99" s="95"/>
      <c r="AR99" s="95"/>
      <c r="AS99" s="95"/>
      <c r="AT99" s="95"/>
      <c r="AU99" s="95"/>
      <c r="AV99" s="95"/>
      <c r="AW99" s="95"/>
      <c r="AX99" s="95"/>
      <c r="AY99" s="95"/>
      <c r="AZ99" s="95"/>
      <c r="BA99" s="95"/>
      <c r="BB99" s="95"/>
      <c r="BC99" s="95"/>
      <c r="BD99" s="95"/>
      <c r="BE99" s="95"/>
      <c r="BF99" s="95"/>
      <c r="BG99" s="95"/>
      <c r="BH99" s="95"/>
      <c r="BI99" s="95"/>
      <c r="BJ99" s="95"/>
      <c r="BK99" s="95"/>
      <c r="BL99" s="95"/>
      <c r="BM99" s="95"/>
      <c r="BN99" s="95"/>
      <c r="BO99" s="95"/>
      <c r="BP99" s="95"/>
      <c r="BQ99" s="95"/>
      <c r="BR99" s="95"/>
      <c r="BS99" s="95"/>
      <c r="BT99" s="95"/>
    </row>
    <row r="100" spans="1:72" ht="22.5" thickTop="1" thickBot="1" x14ac:dyDescent="0.4">
      <c r="A100" s="4" t="s">
        <v>28</v>
      </c>
      <c r="B100" s="4">
        <v>300</v>
      </c>
      <c r="C100" s="4">
        <v>310</v>
      </c>
      <c r="D100" s="4">
        <v>320</v>
      </c>
      <c r="E100" s="4">
        <v>330</v>
      </c>
      <c r="F100" s="4">
        <v>340</v>
      </c>
      <c r="G100" s="4">
        <v>350</v>
      </c>
      <c r="H100" s="4">
        <v>360</v>
      </c>
      <c r="I100" s="4">
        <v>370</v>
      </c>
      <c r="J100" s="4">
        <v>380</v>
      </c>
      <c r="K100" s="4">
        <v>390</v>
      </c>
      <c r="L100" s="4">
        <v>400</v>
      </c>
      <c r="M100" s="4">
        <v>410</v>
      </c>
      <c r="N100" s="4">
        <v>420</v>
      </c>
      <c r="O100" s="4">
        <v>430</v>
      </c>
      <c r="P100" s="4">
        <v>440</v>
      </c>
      <c r="Q100" s="4">
        <v>450</v>
      </c>
      <c r="R100" s="4">
        <v>460</v>
      </c>
      <c r="S100" s="4">
        <v>470</v>
      </c>
      <c r="T100" s="4">
        <v>480</v>
      </c>
      <c r="U100" s="4">
        <v>490</v>
      </c>
      <c r="V100" s="4">
        <v>500</v>
      </c>
      <c r="W100" s="4">
        <v>510</v>
      </c>
      <c r="X100" s="4">
        <v>520</v>
      </c>
      <c r="Y100" s="4">
        <v>530</v>
      </c>
      <c r="Z100" s="4">
        <v>540</v>
      </c>
      <c r="AA100" s="4">
        <v>550</v>
      </c>
      <c r="AB100" s="4">
        <v>560</v>
      </c>
      <c r="AC100" s="4">
        <v>570</v>
      </c>
      <c r="AD100" s="4">
        <v>580</v>
      </c>
      <c r="AE100" s="4">
        <v>590</v>
      </c>
      <c r="AF100" s="4">
        <v>600</v>
      </c>
      <c r="AG100" s="4">
        <v>610</v>
      </c>
      <c r="AH100" s="4">
        <v>620</v>
      </c>
      <c r="AI100" s="4">
        <v>630</v>
      </c>
      <c r="AJ100" s="4">
        <v>640</v>
      </c>
      <c r="AK100" s="4">
        <v>650</v>
      </c>
      <c r="AL100" s="4">
        <v>660</v>
      </c>
      <c r="AM100" s="4">
        <v>670</v>
      </c>
      <c r="AN100" s="4">
        <v>680</v>
      </c>
      <c r="AO100" s="4">
        <v>690</v>
      </c>
      <c r="AP100" s="4">
        <v>700</v>
      </c>
      <c r="AQ100" s="4">
        <v>710</v>
      </c>
      <c r="AR100" s="4">
        <v>720</v>
      </c>
      <c r="AS100" s="4">
        <v>730</v>
      </c>
      <c r="AT100" s="4">
        <v>740</v>
      </c>
      <c r="AU100" s="4">
        <v>750</v>
      </c>
      <c r="AV100" s="4">
        <v>760</v>
      </c>
      <c r="AW100" s="4">
        <v>770</v>
      </c>
      <c r="AX100" s="4">
        <v>780</v>
      </c>
      <c r="AY100" s="4">
        <v>790</v>
      </c>
      <c r="AZ100" s="4">
        <v>800</v>
      </c>
      <c r="BA100" s="4">
        <v>810</v>
      </c>
      <c r="BB100" s="4">
        <v>820</v>
      </c>
      <c r="BC100" s="4">
        <v>830</v>
      </c>
      <c r="BD100" s="4">
        <v>840</v>
      </c>
      <c r="BE100" s="4">
        <v>850</v>
      </c>
      <c r="BF100" s="4">
        <v>860</v>
      </c>
      <c r="BG100" s="4">
        <v>870</v>
      </c>
      <c r="BH100" s="4">
        <v>880</v>
      </c>
      <c r="BI100" s="4">
        <v>890</v>
      </c>
      <c r="BJ100" s="4">
        <v>900</v>
      </c>
      <c r="BK100" s="4">
        <v>910</v>
      </c>
      <c r="BL100" s="4">
        <v>920</v>
      </c>
      <c r="BM100" s="4">
        <v>930</v>
      </c>
      <c r="BN100" s="4">
        <v>940</v>
      </c>
      <c r="BO100" s="4">
        <v>950</v>
      </c>
      <c r="BP100" s="4">
        <v>960</v>
      </c>
      <c r="BQ100" s="4">
        <v>970</v>
      </c>
      <c r="BR100" s="4">
        <v>980</v>
      </c>
      <c r="BS100" s="4">
        <v>990</v>
      </c>
      <c r="BT100" s="4">
        <v>1000</v>
      </c>
    </row>
    <row r="101" spans="1:72" ht="22.5" thickTop="1" thickBot="1" x14ac:dyDescent="0.4">
      <c r="A101" s="46" t="s">
        <v>51</v>
      </c>
      <c r="B101" s="36">
        <v>-21.792000000000002</v>
      </c>
      <c r="C101" s="36">
        <v>-21.217333333333332</v>
      </c>
      <c r="D101" s="48">
        <v>-20.683999999999997</v>
      </c>
      <c r="E101" s="48">
        <v>-20.194909090909089</v>
      </c>
      <c r="F101" s="48">
        <v>-19.761939393939397</v>
      </c>
      <c r="G101" s="48">
        <v>-19.78618181818182</v>
      </c>
      <c r="H101" s="48">
        <v>-19.862168674698797</v>
      </c>
      <c r="I101" s="48">
        <v>-20.006746987951807</v>
      </c>
      <c r="J101" s="48">
        <v>-20.152000000000001</v>
      </c>
      <c r="K101" s="48">
        <v>-20.298181818181821</v>
      </c>
      <c r="L101" s="48">
        <v>-20.449696969696969</v>
      </c>
      <c r="M101" s="48">
        <v>-20.601104387291983</v>
      </c>
      <c r="N101" s="48">
        <v>-20.752390317700456</v>
      </c>
      <c r="O101" s="48">
        <v>-20.903676248108926</v>
      </c>
      <c r="P101" s="48">
        <v>-21.0549621785174</v>
      </c>
      <c r="Q101" s="48">
        <v>-21.20624810892587</v>
      </c>
      <c r="R101" s="48">
        <v>-21.357534039334343</v>
      </c>
      <c r="S101" s="48">
        <v>-21.508819969742817</v>
      </c>
      <c r="T101" s="48">
        <v>-21.66030303030303</v>
      </c>
      <c r="U101" s="48">
        <v>-21.810545454545455</v>
      </c>
      <c r="V101" s="48">
        <v>-21.956</v>
      </c>
      <c r="W101" s="48">
        <v>-22.104848484848485</v>
      </c>
      <c r="X101" s="48">
        <v>-22.256363636363638</v>
      </c>
      <c r="Y101" s="48">
        <v>-22.407048192771086</v>
      </c>
      <c r="Z101" s="48">
        <v>-22.556363636363635</v>
      </c>
      <c r="AA101" s="48">
        <v>-22.701818181818183</v>
      </c>
      <c r="AB101" s="48">
        <v>-22.847272727272728</v>
      </c>
      <c r="AC101" s="48">
        <v>-22.992727272727272</v>
      </c>
      <c r="AD101" s="48">
        <v>-23.138181818181817</v>
      </c>
      <c r="AE101" s="48">
        <v>-23.283636363636361</v>
      </c>
      <c r="AF101" s="48">
        <v>-23.42909090909091</v>
      </c>
      <c r="AG101" s="48">
        <v>-23.573975903614457</v>
      </c>
      <c r="AH101" s="48">
        <v>-23.718554216867467</v>
      </c>
      <c r="AI101" s="48">
        <v>-23.858000000000001</v>
      </c>
      <c r="AJ101" s="48">
        <v>-23.997393939393938</v>
      </c>
      <c r="AK101" s="48">
        <v>-24.136787878787878</v>
      </c>
      <c r="AL101" s="48">
        <v>-24.276181818181819</v>
      </c>
      <c r="AM101" s="48">
        <v>-24.415446293494703</v>
      </c>
      <c r="AN101" s="48">
        <v>-24.551603630862328</v>
      </c>
      <c r="AO101" s="48">
        <v>-24.687760968229952</v>
      </c>
      <c r="AP101" s="48">
        <v>-24.82391830559758</v>
      </c>
      <c r="AQ101" s="48">
        <v>-24.960075642965204</v>
      </c>
      <c r="AR101" s="48">
        <v>-25.096232980332829</v>
      </c>
      <c r="AS101" s="48">
        <v>-25.232390317700453</v>
      </c>
      <c r="AT101" s="48">
        <v>-25.367333333333331</v>
      </c>
      <c r="AU101" s="48">
        <v>-25.500666666666667</v>
      </c>
      <c r="AV101" s="48">
        <v>-25.634</v>
      </c>
      <c r="AW101" s="48">
        <v>-25.767333333333333</v>
      </c>
      <c r="AX101" s="48">
        <v>-25.900666666666666</v>
      </c>
      <c r="AY101" s="48">
        <v>-26.030722891566263</v>
      </c>
      <c r="AZ101" s="48">
        <v>-26.15722891566265</v>
      </c>
      <c r="BA101" s="48">
        <v>-26.284363636363636</v>
      </c>
      <c r="BB101" s="48">
        <v>-26.411636363636365</v>
      </c>
      <c r="BC101" s="48">
        <v>-26.538909090909094</v>
      </c>
      <c r="BD101" s="48">
        <v>-26.666181818181819</v>
      </c>
      <c r="BE101" s="48">
        <v>-26.793454545454544</v>
      </c>
      <c r="BF101" s="48">
        <v>-26.920727272727273</v>
      </c>
      <c r="BG101" s="48">
        <v>-27.046959152798788</v>
      </c>
      <c r="BH101" s="48">
        <v>-27.169500756429652</v>
      </c>
      <c r="BI101" s="48">
        <v>-27.292042360060513</v>
      </c>
      <c r="BJ101" s="48">
        <v>-27.414583963691378</v>
      </c>
      <c r="BK101" s="48">
        <v>-27.537125567322239</v>
      </c>
      <c r="BL101" s="48">
        <v>-27.659667170953099</v>
      </c>
      <c r="BM101" s="48">
        <v>-27.782208774583964</v>
      </c>
      <c r="BN101" s="48">
        <v>-27.903939393939392</v>
      </c>
      <c r="BO101" s="48">
        <v>-28.025151515151517</v>
      </c>
      <c r="BP101" s="48"/>
      <c r="BS101" s="48"/>
      <c r="BT101" s="48"/>
    </row>
    <row r="102" spans="1:72" ht="21.75" thickBot="1" x14ac:dyDescent="0.4">
      <c r="A102" s="46" t="s">
        <v>52</v>
      </c>
      <c r="B102" s="36">
        <v>-15.300424242424242</v>
      </c>
      <c r="C102" s="36">
        <v>-14.974848484848485</v>
      </c>
      <c r="D102" s="48">
        <v>-14.671818181818182</v>
      </c>
      <c r="E102" s="48">
        <v>-14.399757575757576</v>
      </c>
      <c r="F102" s="48">
        <v>-14.105212121212121</v>
      </c>
      <c r="G102" s="48">
        <v>-13.420363636363636</v>
      </c>
      <c r="H102" s="48">
        <v>-12.711385542168674</v>
      </c>
      <c r="I102" s="48">
        <v>-11.970421686746988</v>
      </c>
      <c r="J102" s="48">
        <v>-11.272666666666668</v>
      </c>
      <c r="K102" s="48">
        <v>-10.593127272727273</v>
      </c>
      <c r="L102" s="48">
        <v>-9.9525212121212121</v>
      </c>
      <c r="M102" s="48">
        <v>-9.3588018154311658</v>
      </c>
      <c r="N102" s="48">
        <v>-8.8179546142208771</v>
      </c>
      <c r="O102" s="48">
        <v>-8.2771074130105902</v>
      </c>
      <c r="P102" s="48">
        <v>-7.7362602118003023</v>
      </c>
      <c r="Q102" s="48">
        <v>-7.1954130105900145</v>
      </c>
      <c r="R102" s="48">
        <v>-6.6545658093797275</v>
      </c>
      <c r="S102" s="48">
        <v>-6.1137186081694388</v>
      </c>
      <c r="T102" s="48">
        <v>-5.6392727272727265</v>
      </c>
      <c r="U102" s="48">
        <v>-5.1809818181818166</v>
      </c>
      <c r="V102" s="48">
        <v>-4.742799999999999</v>
      </c>
      <c r="W102" s="48">
        <v>-4.4023636363636358</v>
      </c>
      <c r="X102" s="48">
        <v>-4.1387272727272721</v>
      </c>
      <c r="Y102" s="48">
        <v>-4.1369277108433735</v>
      </c>
      <c r="Z102" s="48">
        <v>-4.1610606060606061</v>
      </c>
      <c r="AA102" s="48">
        <v>-4.1853030303030305</v>
      </c>
      <c r="AB102" s="48">
        <v>-4.2099090909090906</v>
      </c>
      <c r="AC102" s="48">
        <v>-4.2347575757575759</v>
      </c>
      <c r="AD102" s="48">
        <v>-4.2590303030303032</v>
      </c>
      <c r="AE102" s="48">
        <v>-4.2834545454545454</v>
      </c>
      <c r="AF102" s="48">
        <v>-4.3083030303030307</v>
      </c>
      <c r="AG102" s="48">
        <v>-4.3330542168674695</v>
      </c>
      <c r="AH102" s="48">
        <v>-4.3577530120481924</v>
      </c>
      <c r="AI102" s="48">
        <v>-4.3826000000000001</v>
      </c>
      <c r="AJ102" s="48">
        <v>-4.4074484848484845</v>
      </c>
      <c r="AK102" s="48">
        <v>-4.4322969696969698</v>
      </c>
      <c r="AL102" s="48">
        <v>-4.4571454545454543</v>
      </c>
      <c r="AM102" s="48">
        <v>-4.4819803328290471</v>
      </c>
      <c r="AN102" s="48">
        <v>-4.5064886535552189</v>
      </c>
      <c r="AO102" s="48">
        <v>-4.5309969742813916</v>
      </c>
      <c r="AP102" s="48">
        <v>-4.5555052950075643</v>
      </c>
      <c r="AQ102" s="48">
        <v>-4.5800136157337361</v>
      </c>
      <c r="AR102" s="48">
        <v>-4.6045219364599088</v>
      </c>
      <c r="AS102" s="48">
        <v>-4.6290302571860815</v>
      </c>
      <c r="AT102" s="48">
        <v>-4.6534242424242418</v>
      </c>
      <c r="AU102" s="48">
        <v>-4.6776666666666662</v>
      </c>
      <c r="AV102" s="48">
        <v>-4.7014363636363639</v>
      </c>
      <c r="AW102" s="48">
        <v>-4.7251515151515155</v>
      </c>
      <c r="AX102" s="48">
        <v>-4.7493939393939391</v>
      </c>
      <c r="AY102" s="48">
        <v>-4.7732771084337342</v>
      </c>
      <c r="AZ102" s="48">
        <v>-4.7967710843373492</v>
      </c>
      <c r="BA102" s="48">
        <v>-4.8203818181818185</v>
      </c>
      <c r="BB102" s="48">
        <v>-4.8439151515151515</v>
      </c>
      <c r="BC102" s="48">
        <v>-4.8669454545454549</v>
      </c>
      <c r="BD102" s="48">
        <v>-4.8902909090909095</v>
      </c>
      <c r="BE102" s="48">
        <v>-4.9139272727272729</v>
      </c>
      <c r="BF102" s="48">
        <v>-4.9370363636363637</v>
      </c>
      <c r="BG102" s="48">
        <v>-4.9599591527987901</v>
      </c>
      <c r="BH102" s="48">
        <v>-4.9825007564296522</v>
      </c>
      <c r="BI102" s="48">
        <v>-5.0050423600605143</v>
      </c>
      <c r="BJ102" s="48">
        <v>-5.0275839636913773</v>
      </c>
      <c r="BK102" s="48">
        <v>-5.0501255673222394</v>
      </c>
      <c r="BL102" s="48">
        <v>-5.0726671709531015</v>
      </c>
      <c r="BM102" s="48">
        <v>-5.0952087745839636</v>
      </c>
      <c r="BN102" s="48">
        <v>-5.1176787878787877</v>
      </c>
      <c r="BO102" s="48">
        <v>-5.1401030303030302</v>
      </c>
      <c r="BP102" s="48"/>
      <c r="BS102" s="48"/>
      <c r="BT102" s="48"/>
    </row>
    <row r="103" spans="1:72" ht="21.75" thickBot="1" x14ac:dyDescent="0.4">
      <c r="A103" s="46" t="s">
        <v>67</v>
      </c>
      <c r="B103" s="36">
        <v>-185.66569696969697</v>
      </c>
      <c r="C103" s="36">
        <v>-180.33151515151513</v>
      </c>
      <c r="D103" s="48">
        <v>-175.36181818181819</v>
      </c>
      <c r="E103" s="48">
        <v>-170.78145454545455</v>
      </c>
      <c r="F103" s="48">
        <v>-166.37806060606059</v>
      </c>
      <c r="G103" s="48">
        <v>-162.35381818181818</v>
      </c>
      <c r="H103" s="48">
        <v>-158.50060240963856</v>
      </c>
      <c r="I103" s="48">
        <v>-154.87409638554217</v>
      </c>
      <c r="J103" s="48">
        <v>-151.48266666666666</v>
      </c>
      <c r="K103" s="48">
        <v>-148.19563636363637</v>
      </c>
      <c r="L103" s="48">
        <v>-145.15927272727274</v>
      </c>
      <c r="M103" s="48">
        <v>-142.38957639939488</v>
      </c>
      <c r="N103" s="48">
        <v>-139.9205900151286</v>
      </c>
      <c r="O103" s="48">
        <v>-137.45160363086234</v>
      </c>
      <c r="P103" s="48">
        <v>-134.98261724659608</v>
      </c>
      <c r="Q103" s="48">
        <v>-132.51363086232982</v>
      </c>
      <c r="R103" s="48">
        <v>-130.04464447806353</v>
      </c>
      <c r="S103" s="48">
        <v>-127.57565809379727</v>
      </c>
      <c r="T103" s="48">
        <v>-125.49436363636363</v>
      </c>
      <c r="U103" s="48">
        <v>-123.50036363636364</v>
      </c>
      <c r="V103" s="48">
        <v>-121.59733333333334</v>
      </c>
      <c r="W103" s="48">
        <v>-119.77915151515151</v>
      </c>
      <c r="X103" s="48">
        <v>-118.02763636363636</v>
      </c>
      <c r="Y103" s="48">
        <v>-116.39536144578314</v>
      </c>
      <c r="Z103" s="48">
        <v>-114.79515151515152</v>
      </c>
      <c r="AA103" s="48">
        <v>-113.25575757575758</v>
      </c>
      <c r="AB103" s="48">
        <v>-111.77454545454545</v>
      </c>
      <c r="AC103" s="48">
        <v>-110.33212121212121</v>
      </c>
      <c r="AD103" s="48">
        <v>-108.98181818181817</v>
      </c>
      <c r="AE103" s="48">
        <v>-107.69454545454545</v>
      </c>
      <c r="AF103" s="48">
        <v>-106.54303030303031</v>
      </c>
      <c r="AG103" s="48">
        <v>-105.63879518072289</v>
      </c>
      <c r="AH103" s="48">
        <v>-104.8677108433735</v>
      </c>
      <c r="AI103" s="48">
        <v>-104.134</v>
      </c>
      <c r="AJ103" s="48">
        <v>-103.42127272727272</v>
      </c>
      <c r="AK103" s="48">
        <v>-102.74854545454545</v>
      </c>
      <c r="AL103" s="48">
        <v>-102.10090909090908</v>
      </c>
      <c r="AM103" s="48">
        <v>-101.46845688350984</v>
      </c>
      <c r="AN103" s="48">
        <v>-100.92987897125568</v>
      </c>
      <c r="AO103" s="48">
        <v>-100.39130105900152</v>
      </c>
      <c r="AP103" s="48">
        <v>-99.852723146747351</v>
      </c>
      <c r="AQ103" s="48">
        <v>-99.314145234493196</v>
      </c>
      <c r="AR103" s="48">
        <v>-98.775567322239027</v>
      </c>
      <c r="AS103" s="48">
        <v>-98.236989409984872</v>
      </c>
      <c r="AT103" s="48">
        <v>-97.731939393939385</v>
      </c>
      <c r="AU103" s="48">
        <v>-97.271333333333331</v>
      </c>
      <c r="AV103" s="48">
        <v>-96.835309090909092</v>
      </c>
      <c r="AW103" s="48">
        <v>-96.41031515151515</v>
      </c>
      <c r="AX103" s="48">
        <v>-96.012739393939398</v>
      </c>
      <c r="AY103" s="48">
        <v>-95.620939759036148</v>
      </c>
      <c r="AZ103" s="48">
        <v>-95.235397590361444</v>
      </c>
      <c r="BA103" s="48">
        <v>-94.884715151515152</v>
      </c>
      <c r="BB103" s="48">
        <v>-94.681806060606064</v>
      </c>
      <c r="BC103" s="48">
        <v>-95.163018181818188</v>
      </c>
      <c r="BD103" s="48">
        <v>-95.644230303030312</v>
      </c>
      <c r="BE103" s="48">
        <v>-96.125442424242422</v>
      </c>
      <c r="BF103" s="48">
        <v>-96.608763636363634</v>
      </c>
      <c r="BG103" s="48">
        <v>-97.090574886535563</v>
      </c>
      <c r="BH103" s="48">
        <v>-97.565915279878979</v>
      </c>
      <c r="BI103" s="48">
        <v>-98.041255673222395</v>
      </c>
      <c r="BJ103" s="48">
        <v>-98.51659606656581</v>
      </c>
      <c r="BK103" s="48">
        <v>-98.991936459909226</v>
      </c>
      <c r="BL103" s="48">
        <v>-99.467276853252656</v>
      </c>
      <c r="BM103" s="48">
        <v>-99.942617246596072</v>
      </c>
      <c r="BN103" s="48">
        <v>-100.4208</v>
      </c>
      <c r="BO103" s="48">
        <v>-100.9008</v>
      </c>
      <c r="BP103" s="48"/>
      <c r="BS103" s="48"/>
      <c r="BT103" s="48"/>
    </row>
    <row r="104" spans="1:72" ht="21.75" thickBot="1" x14ac:dyDescent="0.4">
      <c r="A104" s="46" t="s">
        <v>61</v>
      </c>
      <c r="B104" s="36">
        <v>-60.144848484848481</v>
      </c>
      <c r="C104" s="36">
        <v>-58.339757575757574</v>
      </c>
      <c r="D104" s="48">
        <v>-56.654909090909094</v>
      </c>
      <c r="E104" s="48">
        <v>-55.098363636363636</v>
      </c>
      <c r="F104" s="48">
        <v>-53.546121212121207</v>
      </c>
      <c r="G104" s="48">
        <v>-51.49763636363636</v>
      </c>
      <c r="H104" s="48">
        <v>-49.457048192771083</v>
      </c>
      <c r="I104" s="48">
        <v>-47.426927710843373</v>
      </c>
      <c r="J104" s="48">
        <v>-45.513333333333335</v>
      </c>
      <c r="K104" s="48">
        <v>-43.650545454545458</v>
      </c>
      <c r="L104" s="48">
        <v>-41.905090909090909</v>
      </c>
      <c r="M104" s="48">
        <v>-40.293131618759453</v>
      </c>
      <c r="N104" s="48">
        <v>-38.831709531013615</v>
      </c>
      <c r="O104" s="48">
        <v>-37.370287443267777</v>
      </c>
      <c r="P104" s="48">
        <v>-35.908865355521932</v>
      </c>
      <c r="Q104" s="48">
        <v>-34.447443267776094</v>
      </c>
      <c r="R104" s="48">
        <v>-32.986021180030257</v>
      </c>
      <c r="S104" s="48">
        <v>-31.524599092284415</v>
      </c>
      <c r="T104" s="48">
        <v>-30.256727272727272</v>
      </c>
      <c r="U104" s="48">
        <v>-29.034363636363636</v>
      </c>
      <c r="V104" s="48">
        <v>-27.864666666666665</v>
      </c>
      <c r="W104" s="48">
        <v>-26.732303030303029</v>
      </c>
      <c r="X104" s="48">
        <v>-25.629272727272728</v>
      </c>
      <c r="Y104" s="48">
        <v>-24.58710843373494</v>
      </c>
      <c r="Z104" s="48">
        <v>-23.563030303030303</v>
      </c>
      <c r="AA104" s="48">
        <v>-22.575151515151514</v>
      </c>
      <c r="AB104" s="48">
        <v>-21.616363636363637</v>
      </c>
      <c r="AC104" s="48">
        <v>-20.676969696969696</v>
      </c>
      <c r="AD104" s="48">
        <v>-19.783636363636361</v>
      </c>
      <c r="AE104" s="48">
        <v>-18.921818181818182</v>
      </c>
      <c r="AF104" s="48">
        <v>-18.127878787878789</v>
      </c>
      <c r="AG104" s="48">
        <v>-17.45843373493976</v>
      </c>
      <c r="AH104" s="48">
        <v>-16.856024096385546</v>
      </c>
      <c r="AI104" s="48">
        <v>-16.28</v>
      </c>
      <c r="AJ104" s="48">
        <v>-15.714545454545457</v>
      </c>
      <c r="AK104" s="48">
        <v>-15.16909090909091</v>
      </c>
      <c r="AL104" s="48">
        <v>-14.63618181818182</v>
      </c>
      <c r="AM104" s="48">
        <v>-14.111059001512862</v>
      </c>
      <c r="AN104" s="48">
        <v>-13.637534039334344</v>
      </c>
      <c r="AO104" s="48">
        <v>-13.164009077155827</v>
      </c>
      <c r="AP104" s="48">
        <v>-12.690484114977309</v>
      </c>
      <c r="AQ104" s="48">
        <v>-12.216959152798792</v>
      </c>
      <c r="AR104" s="48">
        <v>-11.743434190620274</v>
      </c>
      <c r="AS104" s="48">
        <v>-11.269909228441756</v>
      </c>
      <c r="AT104" s="48">
        <v>-10.814969696969699</v>
      </c>
      <c r="AU104" s="48">
        <v>-10.384666666666668</v>
      </c>
      <c r="AV104" s="48">
        <v>-9.9666545454545474</v>
      </c>
      <c r="AW104" s="48">
        <v>-9.5541575757575767</v>
      </c>
      <c r="AX104" s="48">
        <v>-9.1553696969696983</v>
      </c>
      <c r="AY104" s="48">
        <v>-8.7643855421686752</v>
      </c>
      <c r="AZ104" s="48">
        <v>-8.3818554216867458</v>
      </c>
      <c r="BA104" s="48">
        <v>-8.0158121212121198</v>
      </c>
      <c r="BB104" s="48">
        <v>-7.7234484848484852</v>
      </c>
      <c r="BC104" s="48">
        <v>-7.7731454545454541</v>
      </c>
      <c r="BD104" s="48">
        <v>-7.8228424242424239</v>
      </c>
      <c r="BE104" s="48">
        <v>-7.8725393939393937</v>
      </c>
      <c r="BF104" s="48">
        <v>-7.9232909090909089</v>
      </c>
      <c r="BG104" s="48">
        <v>-7.9748487140695916</v>
      </c>
      <c r="BH104" s="48">
        <v>-8.0287065052950073</v>
      </c>
      <c r="BI104" s="48">
        <v>-8.0825642965204239</v>
      </c>
      <c r="BJ104" s="48">
        <v>-8.1364220877458404</v>
      </c>
      <c r="BK104" s="48">
        <v>-8.190279878971257</v>
      </c>
      <c r="BL104" s="48">
        <v>-8.2441376701966718</v>
      </c>
      <c r="BM104" s="48">
        <v>-8.2979954614220883</v>
      </c>
      <c r="BN104" s="48">
        <v>-8.3544909090909094</v>
      </c>
      <c r="BO104" s="48">
        <v>-8.4126727272727262</v>
      </c>
      <c r="BP104" s="48"/>
      <c r="BS104" s="48"/>
      <c r="BT104" s="48"/>
    </row>
    <row r="105" spans="1:72" ht="21.75" thickBot="1" x14ac:dyDescent="0.4">
      <c r="A105" s="46" t="s">
        <v>68</v>
      </c>
      <c r="B105" s="36">
        <v>-58.884424242424245</v>
      </c>
      <c r="C105" s="36">
        <v>-57.409515151515158</v>
      </c>
      <c r="D105" s="48">
        <v>-56.039818181818184</v>
      </c>
      <c r="E105" s="48">
        <v>-54.789575757575761</v>
      </c>
      <c r="F105" s="48">
        <v>-53.629090909090912</v>
      </c>
      <c r="G105" s="48">
        <v>-52.992727272727279</v>
      </c>
      <c r="H105" s="48">
        <v>-52.435722891566265</v>
      </c>
      <c r="I105" s="48">
        <v>-51.983915662650602</v>
      </c>
      <c r="J105" s="48">
        <v>-51.576666666666668</v>
      </c>
      <c r="K105" s="48">
        <v>-51.189490909090914</v>
      </c>
      <c r="L105" s="48">
        <v>-50.851915151515158</v>
      </c>
      <c r="M105" s="48">
        <v>-50.56101059001513</v>
      </c>
      <c r="N105" s="48">
        <v>-50.322735249621786</v>
      </c>
      <c r="O105" s="48">
        <v>-50.084459909228443</v>
      </c>
      <c r="P105" s="48">
        <v>-49.846184568835099</v>
      </c>
      <c r="Q105" s="48">
        <v>-49.607909228441756</v>
      </c>
      <c r="R105" s="48">
        <v>-49.369633888048412</v>
      </c>
      <c r="S105" s="48">
        <v>-49.131358547655068</v>
      </c>
      <c r="T105" s="48">
        <v>-48.959878787878786</v>
      </c>
      <c r="U105" s="48">
        <v>-48.802072727272723</v>
      </c>
      <c r="V105" s="48">
        <v>-48.654799999999994</v>
      </c>
      <c r="W105" s="48">
        <v>-48.612060606060602</v>
      </c>
      <c r="X105" s="48">
        <v>-48.651454545454548</v>
      </c>
      <c r="Y105" s="48">
        <v>-48.951024096385545</v>
      </c>
      <c r="Z105" s="48">
        <v>-49.273787878787878</v>
      </c>
      <c r="AA105" s="48">
        <v>-49.588939393939398</v>
      </c>
      <c r="AB105" s="48">
        <v>-49.904454545454549</v>
      </c>
      <c r="AC105" s="48">
        <v>-50.220212121212121</v>
      </c>
      <c r="AD105" s="48">
        <v>-50.535393939393941</v>
      </c>
      <c r="AE105" s="48">
        <v>-50.850727272727276</v>
      </c>
      <c r="AF105" s="48">
        <v>-51.166484848484849</v>
      </c>
      <c r="AG105" s="48">
        <v>-51.481006024096381</v>
      </c>
      <c r="AH105" s="48">
        <v>-51.794861445783127</v>
      </c>
      <c r="AI105" s="48">
        <v>-52.098599999999998</v>
      </c>
      <c r="AJ105" s="48">
        <v>-52.402236363636362</v>
      </c>
      <c r="AK105" s="48">
        <v>-52.705872727272727</v>
      </c>
      <c r="AL105" s="48">
        <v>-53.009509090909091</v>
      </c>
      <c r="AM105" s="48">
        <v>-53.31287291981846</v>
      </c>
      <c r="AN105" s="48">
        <v>-53.609695915279879</v>
      </c>
      <c r="AO105" s="48">
        <v>-53.906518910741298</v>
      </c>
      <c r="AP105" s="48">
        <v>-54.203341906202724</v>
      </c>
      <c r="AQ105" s="48">
        <v>-54.500164901664142</v>
      </c>
      <c r="AR105" s="48">
        <v>-54.796987897125568</v>
      </c>
      <c r="AS105" s="48">
        <v>-55.093810892586987</v>
      </c>
      <c r="AT105" s="48">
        <v>-55.388090909090906</v>
      </c>
      <c r="AU105" s="48">
        <v>-55.679000000000002</v>
      </c>
      <c r="AV105" s="48">
        <v>-55.969436363636362</v>
      </c>
      <c r="AW105" s="48">
        <v>-56.259818181818183</v>
      </c>
      <c r="AX105" s="48">
        <v>-56.550727272727272</v>
      </c>
      <c r="AY105" s="48">
        <v>-56.834722891566265</v>
      </c>
      <c r="AZ105" s="48">
        <v>-57.11122891566265</v>
      </c>
      <c r="BA105" s="48">
        <v>-57.389109090909095</v>
      </c>
      <c r="BB105" s="48">
        <v>-57.667187878787885</v>
      </c>
      <c r="BC105" s="48">
        <v>-57.944763636363639</v>
      </c>
      <c r="BD105" s="48">
        <v>-58.222654545454546</v>
      </c>
      <c r="BE105" s="48">
        <v>-58.500836363636367</v>
      </c>
      <c r="BF105" s="48">
        <v>-58.778490909090905</v>
      </c>
      <c r="BG105" s="48">
        <v>-59.053877458396364</v>
      </c>
      <c r="BH105" s="48">
        <v>-59.321502269288956</v>
      </c>
      <c r="BI105" s="48">
        <v>-59.589127080181541</v>
      </c>
      <c r="BJ105" s="48">
        <v>-59.856751891074126</v>
      </c>
      <c r="BK105" s="48">
        <v>-60.124376701966717</v>
      </c>
      <c r="BL105" s="48">
        <v>-60.392001512859302</v>
      </c>
      <c r="BM105" s="48">
        <v>-60.659626323751887</v>
      </c>
      <c r="BN105" s="48">
        <v>-60.925557575757573</v>
      </c>
      <c r="BO105" s="48">
        <v>-61.190406060606058</v>
      </c>
      <c r="BP105" s="48"/>
      <c r="BS105" s="48"/>
      <c r="BT105" s="48"/>
    </row>
    <row r="106" spans="1:72" ht="21.75" thickBot="1" x14ac:dyDescent="0.4">
      <c r="A106" s="46" t="s">
        <v>53</v>
      </c>
      <c r="B106" s="36">
        <v>-81.936848484848483</v>
      </c>
      <c r="C106" s="36">
        <v>-79.557090909090917</v>
      </c>
      <c r="D106" s="48">
        <v>-77.338909090909098</v>
      </c>
      <c r="E106" s="48">
        <v>-75.293272727272736</v>
      </c>
      <c r="F106" s="48">
        <v>-73.308060606060607</v>
      </c>
      <c r="G106" s="48">
        <v>-71.283818181818177</v>
      </c>
      <c r="H106" s="48">
        <v>-69.319216867469876</v>
      </c>
      <c r="I106" s="48">
        <v>-67.433674698795187</v>
      </c>
      <c r="J106" s="48">
        <v>-65.665333333333336</v>
      </c>
      <c r="K106" s="48">
        <v>-63.948727272727275</v>
      </c>
      <c r="L106" s="48">
        <v>-62.354787878787882</v>
      </c>
      <c r="M106" s="48">
        <v>-60.894236006051436</v>
      </c>
      <c r="N106" s="48">
        <v>-59.584099848714068</v>
      </c>
      <c r="O106" s="48">
        <v>-58.2739636913767</v>
      </c>
      <c r="P106" s="48">
        <v>-56.963827534039332</v>
      </c>
      <c r="Q106" s="48">
        <v>-55.653691376701964</v>
      </c>
      <c r="R106" s="48">
        <v>-54.343555219364596</v>
      </c>
      <c r="S106" s="48">
        <v>-53.033419062027228</v>
      </c>
      <c r="T106" s="48">
        <v>-51.917030303030302</v>
      </c>
      <c r="U106" s="48">
        <v>-50.844909090909091</v>
      </c>
      <c r="V106" s="48">
        <v>-49.820666666666668</v>
      </c>
      <c r="W106" s="48">
        <v>-48.837151515151518</v>
      </c>
      <c r="X106" s="48">
        <v>-47.885636363636358</v>
      </c>
      <c r="Y106" s="48">
        <v>-46.994156626506019</v>
      </c>
      <c r="Z106" s="48">
        <v>-46.119393939393937</v>
      </c>
      <c r="AA106" s="48">
        <v>-45.276969696969694</v>
      </c>
      <c r="AB106" s="48">
        <v>-44.463636363636361</v>
      </c>
      <c r="AC106" s="48">
        <v>-43.669696969696965</v>
      </c>
      <c r="AD106" s="48">
        <v>-42.921818181818182</v>
      </c>
      <c r="AE106" s="48">
        <v>-42.205454545454543</v>
      </c>
      <c r="AF106" s="48">
        <v>-41.556969696969695</v>
      </c>
      <c r="AG106" s="48">
        <v>-41.032409638554213</v>
      </c>
      <c r="AH106" s="48">
        <v>-40.574578313253014</v>
      </c>
      <c r="AI106" s="48">
        <v>-40.138000000000005</v>
      </c>
      <c r="AJ106" s="48">
        <v>-39.711939393939396</v>
      </c>
      <c r="AK106" s="48">
        <v>-39.30587878787879</v>
      </c>
      <c r="AL106" s="48">
        <v>-38.912363636363636</v>
      </c>
      <c r="AM106" s="48">
        <v>-38.526505295007567</v>
      </c>
      <c r="AN106" s="48">
        <v>-38.189137670196672</v>
      </c>
      <c r="AO106" s="48">
        <v>-37.851770045385777</v>
      </c>
      <c r="AP106" s="48">
        <v>-37.514402420574889</v>
      </c>
      <c r="AQ106" s="48">
        <v>-37.177034795763994</v>
      </c>
      <c r="AR106" s="48">
        <v>-36.839667170953106</v>
      </c>
      <c r="AS106" s="48">
        <v>-36.502299546142211</v>
      </c>
      <c r="AT106" s="48">
        <v>-36.182303030303032</v>
      </c>
      <c r="AU106" s="48">
        <v>-35.885333333333335</v>
      </c>
      <c r="AV106" s="48">
        <v>-35.600654545454546</v>
      </c>
      <c r="AW106" s="48">
        <v>-35.321490909090912</v>
      </c>
      <c r="AX106" s="48">
        <v>-35.056036363636366</v>
      </c>
      <c r="AY106" s="48">
        <v>-34.795108433734939</v>
      </c>
      <c r="AZ106" s="48">
        <v>-34.539084337349401</v>
      </c>
      <c r="BA106" s="48">
        <v>-34.300175757575758</v>
      </c>
      <c r="BB106" s="48">
        <v>-34.135084848484851</v>
      </c>
      <c r="BC106" s="48">
        <v>-34.312054545454544</v>
      </c>
      <c r="BD106" s="48">
        <v>-34.489024242424243</v>
      </c>
      <c r="BE106" s="48">
        <v>-34.665993939393942</v>
      </c>
      <c r="BF106" s="48">
        <v>-34.844018181818178</v>
      </c>
      <c r="BG106" s="48">
        <v>-35.021807866868379</v>
      </c>
      <c r="BH106" s="48">
        <v>-35.198207261724662</v>
      </c>
      <c r="BI106" s="48">
        <v>-35.374606656580937</v>
      </c>
      <c r="BJ106" s="48">
        <v>-35.551006051437213</v>
      </c>
      <c r="BK106" s="48">
        <v>-35.727405446293496</v>
      </c>
      <c r="BL106" s="48">
        <v>-35.903804841149771</v>
      </c>
      <c r="BM106" s="48">
        <v>-36.080204236006054</v>
      </c>
      <c r="BN106" s="48">
        <v>-36.258430303030302</v>
      </c>
      <c r="BO106" s="48">
        <v>-36.437824242424242</v>
      </c>
      <c r="BP106" s="48"/>
      <c r="BS106" s="48"/>
      <c r="BT106" s="48"/>
    </row>
    <row r="107" spans="1:72" ht="21.75" thickBot="1" x14ac:dyDescent="0.4">
      <c r="A107" s="46" t="s">
        <v>54</v>
      </c>
      <c r="B107" s="36">
        <v>-15.300424242424242</v>
      </c>
      <c r="C107" s="36">
        <v>-14.974848484848485</v>
      </c>
      <c r="D107" s="48">
        <v>-14.671818181818182</v>
      </c>
      <c r="E107" s="48">
        <v>-14.399757575757576</v>
      </c>
      <c r="F107" s="48">
        <v>-14.105212121212121</v>
      </c>
      <c r="G107" s="48">
        <v>-13.420363636363636</v>
      </c>
      <c r="H107" s="48">
        <v>-12.711385542168674</v>
      </c>
      <c r="I107" s="48">
        <v>-11.970421686746988</v>
      </c>
      <c r="J107" s="48">
        <v>-11.272666666666668</v>
      </c>
      <c r="K107" s="48">
        <v>-10.593127272727273</v>
      </c>
      <c r="L107" s="48">
        <v>-9.9525212121212121</v>
      </c>
      <c r="M107" s="48">
        <v>-9.3588018154311658</v>
      </c>
      <c r="N107" s="48">
        <v>-8.8179546142208771</v>
      </c>
      <c r="O107" s="48">
        <v>-8.2771074130105902</v>
      </c>
      <c r="P107" s="48">
        <v>-7.7362602118003023</v>
      </c>
      <c r="Q107" s="48">
        <v>-7.1954130105900145</v>
      </c>
      <c r="R107" s="48">
        <v>-6.6545658093797275</v>
      </c>
      <c r="S107" s="48">
        <v>-6.1137186081694388</v>
      </c>
      <c r="T107" s="48">
        <v>-5.6392727272727265</v>
      </c>
      <c r="U107" s="48">
        <v>-5.1809818181818166</v>
      </c>
      <c r="V107" s="48">
        <v>-4.742799999999999</v>
      </c>
      <c r="W107" s="48">
        <v>-4.4023636363636358</v>
      </c>
      <c r="X107" s="48">
        <v>-4.1387272727272721</v>
      </c>
      <c r="Y107" s="48">
        <v>-4.1369277108433735</v>
      </c>
      <c r="Z107" s="48">
        <v>-4.1610606060606061</v>
      </c>
      <c r="AA107" s="48">
        <v>-4.1853030303030305</v>
      </c>
      <c r="AB107" s="48">
        <v>-4.2099090909090906</v>
      </c>
      <c r="AC107" s="48">
        <v>-4.2347575757575759</v>
      </c>
      <c r="AD107" s="48">
        <v>-4.2590303030303032</v>
      </c>
      <c r="AE107" s="48">
        <v>-4.2834545454545454</v>
      </c>
      <c r="AF107" s="48">
        <v>-4.3083030303030307</v>
      </c>
      <c r="AG107" s="48">
        <v>-4.3330542168674695</v>
      </c>
      <c r="AH107" s="48">
        <v>-4.3577530120481924</v>
      </c>
      <c r="AI107" s="48">
        <v>-4.3826000000000001</v>
      </c>
      <c r="AJ107" s="48">
        <v>-4.4074484848484845</v>
      </c>
      <c r="AK107" s="48">
        <v>-4.4322969696969698</v>
      </c>
      <c r="AL107" s="48">
        <v>-4.4571454545454543</v>
      </c>
      <c r="AM107" s="48">
        <v>-4.4819803328290471</v>
      </c>
      <c r="AN107" s="48">
        <v>-4.5064886535552189</v>
      </c>
      <c r="AO107" s="48">
        <v>-4.5309969742813916</v>
      </c>
      <c r="AP107" s="48">
        <v>-4.5555052950075643</v>
      </c>
      <c r="AQ107" s="48">
        <v>-4.5800136157337361</v>
      </c>
      <c r="AR107" s="48">
        <v>-4.6045219364599088</v>
      </c>
      <c r="AS107" s="48">
        <v>-4.6290302571860815</v>
      </c>
      <c r="AT107" s="48">
        <v>-4.6534242424242418</v>
      </c>
      <c r="AU107" s="48">
        <v>-4.6776666666666662</v>
      </c>
      <c r="AV107" s="48">
        <v>-4.7014363636363639</v>
      </c>
      <c r="AW107" s="48">
        <v>-4.7251515151515155</v>
      </c>
      <c r="AX107" s="48">
        <v>-4.7493939393939391</v>
      </c>
      <c r="AY107" s="48">
        <v>-4.7732771084337342</v>
      </c>
      <c r="AZ107" s="48">
        <v>-4.7967710843373492</v>
      </c>
      <c r="BA107" s="48">
        <v>-4.8203818181818185</v>
      </c>
      <c r="BB107" s="48">
        <v>-4.8439151515151515</v>
      </c>
      <c r="BC107" s="48">
        <v>-4.8669454545454549</v>
      </c>
      <c r="BD107" s="48">
        <v>-4.8902909090909095</v>
      </c>
      <c r="BE107" s="48">
        <v>-4.9139272727272729</v>
      </c>
      <c r="BF107" s="48">
        <v>-4.9370363636363637</v>
      </c>
      <c r="BG107" s="48">
        <v>-4.9599591527987901</v>
      </c>
      <c r="BH107" s="48">
        <v>-4.9825007564296522</v>
      </c>
      <c r="BI107" s="48">
        <v>-5.0050423600605143</v>
      </c>
      <c r="BJ107" s="48">
        <v>-5.0275839636913773</v>
      </c>
      <c r="BK107" s="48">
        <v>-5.0501255673222394</v>
      </c>
      <c r="BL107" s="48">
        <v>-5.0726671709531015</v>
      </c>
      <c r="BM107" s="48">
        <v>-5.0952087745839636</v>
      </c>
      <c r="BN107" s="48">
        <v>-5.1176787878787877</v>
      </c>
      <c r="BO107" s="48">
        <v>-5.1401030303030302</v>
      </c>
      <c r="BP107" s="48"/>
      <c r="BS107" s="48"/>
      <c r="BT107" s="48"/>
    </row>
    <row r="108" spans="1:72" ht="21.75" thickBot="1" x14ac:dyDescent="0.4">
      <c r="A108" s="46" t="s">
        <v>55</v>
      </c>
      <c r="B108" s="36">
        <v>-37.092424242424244</v>
      </c>
      <c r="C108" s="36">
        <v>-36.192181818181822</v>
      </c>
      <c r="D108" s="48">
        <v>-35.355818181818179</v>
      </c>
      <c r="E108" s="48">
        <v>-34.594666666666662</v>
      </c>
      <c r="F108" s="48">
        <v>-33.867151515151519</v>
      </c>
      <c r="G108" s="48">
        <v>-33.206545454545456</v>
      </c>
      <c r="H108" s="48">
        <v>-32.573554216867471</v>
      </c>
      <c r="I108" s="48">
        <v>-31.977168674698795</v>
      </c>
      <c r="J108" s="48">
        <v>-31.424666666666667</v>
      </c>
      <c r="K108" s="48">
        <v>-30.891309090909093</v>
      </c>
      <c r="L108" s="48">
        <v>-30.402218181818185</v>
      </c>
      <c r="M108" s="48">
        <v>-29.959906202723147</v>
      </c>
      <c r="N108" s="48">
        <v>-29.570344931921333</v>
      </c>
      <c r="O108" s="48">
        <v>-29.180783661119516</v>
      </c>
      <c r="P108" s="48">
        <v>-28.791222390317703</v>
      </c>
      <c r="Q108" s="48">
        <v>-28.401661119515886</v>
      </c>
      <c r="R108" s="48">
        <v>-28.012099848714069</v>
      </c>
      <c r="S108" s="48">
        <v>-27.622538577912255</v>
      </c>
      <c r="T108" s="48">
        <v>-27.299575757575759</v>
      </c>
      <c r="U108" s="48">
        <v>-26.991527272727271</v>
      </c>
      <c r="V108" s="48">
        <v>-26.698799999999999</v>
      </c>
      <c r="W108" s="48">
        <v>-26.50721212121212</v>
      </c>
      <c r="X108" s="48">
        <v>-26.395090909090907</v>
      </c>
      <c r="Y108" s="48">
        <v>-26.543975903614456</v>
      </c>
      <c r="Z108" s="48">
        <v>-26.717424242424244</v>
      </c>
      <c r="AA108" s="48">
        <v>-26.887121212121215</v>
      </c>
      <c r="AB108" s="48">
        <v>-27.057181818181821</v>
      </c>
      <c r="AC108" s="48">
        <v>-27.227484848484849</v>
      </c>
      <c r="AD108" s="48">
        <v>-27.397212121212121</v>
      </c>
      <c r="AE108" s="48">
        <v>-27.567090909090908</v>
      </c>
      <c r="AF108" s="48">
        <v>-27.737393939393939</v>
      </c>
      <c r="AG108" s="48">
        <v>-27.907030120481927</v>
      </c>
      <c r="AH108" s="48">
        <v>-28.076307228915663</v>
      </c>
      <c r="AI108" s="48">
        <v>-28.240600000000001</v>
      </c>
      <c r="AJ108" s="48">
        <v>-28.404842424242425</v>
      </c>
      <c r="AK108" s="48">
        <v>-28.569084848484849</v>
      </c>
      <c r="AL108" s="48">
        <v>-28.733327272727273</v>
      </c>
      <c r="AM108" s="48">
        <v>-28.89742662632375</v>
      </c>
      <c r="AN108" s="48">
        <v>-29.058092284417548</v>
      </c>
      <c r="AO108" s="48">
        <v>-29.218757942511346</v>
      </c>
      <c r="AP108" s="48">
        <v>-29.379423600605143</v>
      </c>
      <c r="AQ108" s="48">
        <v>-29.540089258698938</v>
      </c>
      <c r="AR108" s="48">
        <v>-29.700754916792736</v>
      </c>
      <c r="AS108" s="48">
        <v>-29.861420574886534</v>
      </c>
      <c r="AT108" s="48">
        <v>-30.020757575757575</v>
      </c>
      <c r="AU108" s="48">
        <v>-30.178333333333335</v>
      </c>
      <c r="AV108" s="48">
        <v>-30.335436363636365</v>
      </c>
      <c r="AW108" s="48">
        <v>-30.49248484848485</v>
      </c>
      <c r="AX108" s="48">
        <v>-30.650060606060606</v>
      </c>
      <c r="AY108" s="48">
        <v>-30.803999999999998</v>
      </c>
      <c r="AZ108" s="48">
        <v>-30.954000000000001</v>
      </c>
      <c r="BA108" s="48">
        <v>-31.104745454545455</v>
      </c>
      <c r="BB108" s="48">
        <v>-31.255551515151517</v>
      </c>
      <c r="BC108" s="48">
        <v>-31.405854545454549</v>
      </c>
      <c r="BD108" s="48">
        <v>-31.556472727272727</v>
      </c>
      <c r="BE108" s="48">
        <v>-31.707381818181815</v>
      </c>
      <c r="BF108" s="48">
        <v>-31.857763636363636</v>
      </c>
      <c r="BG108" s="48">
        <v>-32.00691830559758</v>
      </c>
      <c r="BH108" s="48">
        <v>-32.152001512859307</v>
      </c>
      <c r="BI108" s="48">
        <v>-32.297084720121028</v>
      </c>
      <c r="BJ108" s="48">
        <v>-32.442167927382755</v>
      </c>
      <c r="BK108" s="48">
        <v>-32.587251134644475</v>
      </c>
      <c r="BL108" s="48">
        <v>-32.732334341906203</v>
      </c>
      <c r="BM108" s="48">
        <v>-32.877417549167923</v>
      </c>
      <c r="BN108" s="48">
        <v>-33.021618181818184</v>
      </c>
      <c r="BO108" s="48">
        <v>-33.165254545454545</v>
      </c>
      <c r="BP108" s="48"/>
      <c r="BS108" s="48"/>
      <c r="BT108" s="48"/>
    </row>
    <row r="109" spans="1:72" ht="21.75" thickBot="1" x14ac:dyDescent="0.4">
      <c r="A109" s="46" t="s">
        <v>69</v>
      </c>
      <c r="B109" s="36">
        <v>-142.08169696969696</v>
      </c>
      <c r="C109" s="36">
        <v>-137.89684848484848</v>
      </c>
      <c r="D109" s="48">
        <v>-133.99381818181817</v>
      </c>
      <c r="E109" s="48">
        <v>-130.39163636363637</v>
      </c>
      <c r="F109" s="48">
        <v>-126.85418181818181</v>
      </c>
      <c r="G109" s="48">
        <v>-122.78145454545454</v>
      </c>
      <c r="H109" s="48">
        <v>-118.77626506024096</v>
      </c>
      <c r="I109" s="48">
        <v>-114.86060240963856</v>
      </c>
      <c r="J109" s="48">
        <v>-111.17866666666667</v>
      </c>
      <c r="K109" s="48">
        <v>-107.59927272727273</v>
      </c>
      <c r="L109" s="48">
        <v>-104.25987878787879</v>
      </c>
      <c r="M109" s="48">
        <v>-101.18736762481089</v>
      </c>
      <c r="N109" s="48">
        <v>-98.415809379727676</v>
      </c>
      <c r="O109" s="48">
        <v>-95.644251134644477</v>
      </c>
      <c r="P109" s="48">
        <v>-92.872692889561264</v>
      </c>
      <c r="Q109" s="48">
        <v>-90.101134644478066</v>
      </c>
      <c r="R109" s="48">
        <v>-87.329576399394853</v>
      </c>
      <c r="S109" s="48">
        <v>-84.55801815431164</v>
      </c>
      <c r="T109" s="48">
        <v>-82.173757575757577</v>
      </c>
      <c r="U109" s="48">
        <v>-79.879272727272721</v>
      </c>
      <c r="V109" s="48">
        <v>-77.685333333333332</v>
      </c>
      <c r="W109" s="48">
        <v>-75.569454545454533</v>
      </c>
      <c r="X109" s="48">
        <v>-73.514909090909086</v>
      </c>
      <c r="Y109" s="48">
        <v>-71.581265060240966</v>
      </c>
      <c r="Z109" s="48">
        <v>-69.682424242424247</v>
      </c>
      <c r="AA109" s="48">
        <v>-67.852121212121219</v>
      </c>
      <c r="AB109" s="48">
        <v>-66.08</v>
      </c>
      <c r="AC109" s="48">
        <v>-64.346666666666664</v>
      </c>
      <c r="AD109" s="48">
        <v>-62.705454545454543</v>
      </c>
      <c r="AE109" s="48">
        <v>-61.127272727272732</v>
      </c>
      <c r="AF109" s="48">
        <v>-59.684848484848487</v>
      </c>
      <c r="AG109" s="48">
        <v>-58.490843373493981</v>
      </c>
      <c r="AH109" s="48">
        <v>-57.43060240963856</v>
      </c>
      <c r="AI109" s="48">
        <v>-56.418000000000006</v>
      </c>
      <c r="AJ109" s="48">
        <v>-55.426484848484847</v>
      </c>
      <c r="AK109" s="48">
        <v>-54.474969696969701</v>
      </c>
      <c r="AL109" s="48">
        <v>-53.548545454545454</v>
      </c>
      <c r="AM109" s="48">
        <v>-52.637564296520431</v>
      </c>
      <c r="AN109" s="48">
        <v>-51.82667170953102</v>
      </c>
      <c r="AO109" s="48">
        <v>-51.015779122541609</v>
      </c>
      <c r="AP109" s="48">
        <v>-50.204886535552198</v>
      </c>
      <c r="AQ109" s="48">
        <v>-49.393993948562787</v>
      </c>
      <c r="AR109" s="48">
        <v>-48.583101361573377</v>
      </c>
      <c r="AS109" s="48">
        <v>-47.772208774583973</v>
      </c>
      <c r="AT109" s="48">
        <v>-46.99727272727273</v>
      </c>
      <c r="AU109" s="48">
        <v>-46.27</v>
      </c>
      <c r="AV109" s="48">
        <v>-45.567309090909099</v>
      </c>
      <c r="AW109" s="48">
        <v>-44.87564848484849</v>
      </c>
      <c r="AX109" s="48">
        <v>-44.211406060606066</v>
      </c>
      <c r="AY109" s="48">
        <v>-43.559493975903614</v>
      </c>
      <c r="AZ109" s="48">
        <v>-42.920939759036138</v>
      </c>
      <c r="BA109" s="48">
        <v>-42.315987878787872</v>
      </c>
      <c r="BB109" s="48">
        <v>-41.858533333333334</v>
      </c>
      <c r="BC109" s="48">
        <v>-42.0852</v>
      </c>
      <c r="BD109" s="48">
        <v>-42.311866666666667</v>
      </c>
      <c r="BE109" s="48">
        <v>-42.538533333333334</v>
      </c>
      <c r="BF109" s="48">
        <v>-42.767309090909087</v>
      </c>
      <c r="BG109" s="48">
        <v>-42.996656580937973</v>
      </c>
      <c r="BH109" s="48">
        <v>-43.226913767019667</v>
      </c>
      <c r="BI109" s="48">
        <v>-43.457170953101361</v>
      </c>
      <c r="BJ109" s="48">
        <v>-43.687428139183055</v>
      </c>
      <c r="BK109" s="48">
        <v>-43.917685325264756</v>
      </c>
      <c r="BL109" s="48">
        <v>-44.14794251134645</v>
      </c>
      <c r="BM109" s="48">
        <v>-44.378199697428144</v>
      </c>
      <c r="BN109" s="48">
        <v>-44.612921212121215</v>
      </c>
      <c r="BO109" s="48">
        <v>-44.85049696969697</v>
      </c>
      <c r="BP109" s="48"/>
      <c r="BS109" s="48"/>
      <c r="BT109" s="48"/>
    </row>
    <row r="110" spans="1:72" ht="21.75" thickBot="1" x14ac:dyDescent="0.4">
      <c r="A110" s="46" t="s">
        <v>1</v>
      </c>
      <c r="B110" s="36">
        <v>-18.61</v>
      </c>
      <c r="C110" s="36">
        <v>-18.612303030303028</v>
      </c>
      <c r="D110" s="48">
        <v>-18.618363636363636</v>
      </c>
      <c r="E110" s="48">
        <v>-18.624424242424244</v>
      </c>
      <c r="F110" s="48">
        <v>-18.630969696969697</v>
      </c>
      <c r="G110" s="48">
        <v>-18.643090909090908</v>
      </c>
      <c r="H110" s="48">
        <v>-18.655180722891565</v>
      </c>
      <c r="I110" s="48">
        <v>-18.667228915662651</v>
      </c>
      <c r="J110" s="48">
        <v>-18.679333333333336</v>
      </c>
      <c r="K110" s="48">
        <v>-18.692181818181819</v>
      </c>
      <c r="L110" s="48">
        <v>-18.710363636363635</v>
      </c>
      <c r="M110" s="48">
        <v>-18.728532526475036</v>
      </c>
      <c r="N110" s="48">
        <v>-18.746686838124052</v>
      </c>
      <c r="O110" s="48">
        <v>-18.764841149773069</v>
      </c>
      <c r="P110" s="48">
        <v>-18.782995461422086</v>
      </c>
      <c r="Q110" s="48">
        <v>-18.801149773071103</v>
      </c>
      <c r="R110" s="48">
        <v>-18.81930408472012</v>
      </c>
      <c r="S110" s="48">
        <v>-18.837458396369136</v>
      </c>
      <c r="T110" s="48">
        <v>-18.855636363636364</v>
      </c>
      <c r="U110" s="48">
        <v>-18.873818181818184</v>
      </c>
      <c r="V110" s="48">
        <v>-18.891999999999999</v>
      </c>
      <c r="W110" s="48">
        <v>-18.913575757575757</v>
      </c>
      <c r="X110" s="48">
        <v>-18.937818181818184</v>
      </c>
      <c r="Y110" s="48">
        <v>-18.95644578313253</v>
      </c>
      <c r="Z110" s="48">
        <v>-18.976060606060607</v>
      </c>
      <c r="AA110" s="48">
        <v>-19.00030303030303</v>
      </c>
      <c r="AB110" s="48">
        <v>-19.020909090909093</v>
      </c>
      <c r="AC110" s="48">
        <v>-19.039090909090909</v>
      </c>
      <c r="AD110" s="48">
        <v>-19.057272727272728</v>
      </c>
      <c r="AE110" s="48">
        <v>-19.077272727272728</v>
      </c>
      <c r="AF110" s="48">
        <v>-19.101515151515152</v>
      </c>
      <c r="AG110" s="48">
        <v>-19.121746987951806</v>
      </c>
      <c r="AH110" s="48">
        <v>-19.139819277108433</v>
      </c>
      <c r="AI110" s="48">
        <v>-19.164000000000001</v>
      </c>
      <c r="AJ110" s="48">
        <v>-19.186181818181819</v>
      </c>
      <c r="AK110" s="48">
        <v>-19.204363636363638</v>
      </c>
      <c r="AL110" s="48">
        <v>-19.226727272727274</v>
      </c>
      <c r="AM110" s="48">
        <v>-19.250786686838126</v>
      </c>
      <c r="AN110" s="48">
        <v>-19.270453857791225</v>
      </c>
      <c r="AO110" s="48">
        <v>-19.290121028744327</v>
      </c>
      <c r="AP110" s="48">
        <v>-19.309788199697426</v>
      </c>
      <c r="AQ110" s="48">
        <v>-19.329455370650528</v>
      </c>
      <c r="AR110" s="48">
        <v>-19.349122541603631</v>
      </c>
      <c r="AS110" s="48">
        <v>-19.36878971255673</v>
      </c>
      <c r="AT110" s="48">
        <v>-19.390424242424242</v>
      </c>
      <c r="AU110" s="48">
        <v>-19.414666666666669</v>
      </c>
      <c r="AV110" s="48">
        <v>-19.43418181818182</v>
      </c>
      <c r="AW110" s="48">
        <v>-19.452363636363636</v>
      </c>
      <c r="AX110" s="48">
        <v>-19.470545454545455</v>
      </c>
      <c r="AY110" s="48">
        <v>-19.488674698795183</v>
      </c>
      <c r="AZ110" s="48">
        <v>-19.506746987951807</v>
      </c>
      <c r="BA110" s="48">
        <v>-19.52987878787879</v>
      </c>
      <c r="BB110" s="48">
        <v>-19.553090909090908</v>
      </c>
      <c r="BC110" s="48">
        <v>-19.571272727272728</v>
      </c>
      <c r="BD110" s="48">
        <v>-19.589454545454544</v>
      </c>
      <c r="BE110" s="48">
        <v>-19.607636363636363</v>
      </c>
      <c r="BF110" s="48">
        <v>-19.625818181818182</v>
      </c>
      <c r="BG110" s="48">
        <v>-19.643993948562784</v>
      </c>
      <c r="BH110" s="48">
        <v>-19.662148260211801</v>
      </c>
      <c r="BI110" s="48">
        <v>-19.680302571860818</v>
      </c>
      <c r="BJ110" s="48">
        <v>-19.698456883509834</v>
      </c>
      <c r="BK110" s="48">
        <v>-19.716611195158851</v>
      </c>
      <c r="BL110" s="48">
        <v>-19.734765506807868</v>
      </c>
      <c r="BM110" s="48">
        <v>-19.752919818456885</v>
      </c>
      <c r="BN110" s="48">
        <v>-19.771090909090908</v>
      </c>
      <c r="BO110" s="48">
        <v>-19.789272727272728</v>
      </c>
      <c r="BP110" s="48"/>
      <c r="BS110" s="48"/>
      <c r="BT110" s="48"/>
    </row>
    <row r="111" spans="1:72" ht="21.75" thickBot="1" x14ac:dyDescent="0.4">
      <c r="A111" s="46" t="s">
        <v>63</v>
      </c>
      <c r="B111" s="36">
        <v>-60.144848484848481</v>
      </c>
      <c r="C111" s="36">
        <v>-58.339757575757574</v>
      </c>
      <c r="D111" s="48">
        <v>-56.654909090909094</v>
      </c>
      <c r="E111" s="48">
        <v>-55.098363636363636</v>
      </c>
      <c r="F111" s="48">
        <v>-53.546121212121207</v>
      </c>
      <c r="G111" s="48">
        <v>-51.49763636363636</v>
      </c>
      <c r="H111" s="48">
        <v>-49.457048192771083</v>
      </c>
      <c r="I111" s="48">
        <v>-47.426927710843373</v>
      </c>
      <c r="J111" s="48">
        <v>-45.513333333333335</v>
      </c>
      <c r="K111" s="48">
        <v>-43.650545454545458</v>
      </c>
      <c r="L111" s="48">
        <v>-41.905090909090909</v>
      </c>
      <c r="M111" s="48">
        <v>-40.293131618759453</v>
      </c>
      <c r="N111" s="48">
        <v>-38.831709531013615</v>
      </c>
      <c r="O111" s="48">
        <v>-37.370287443267777</v>
      </c>
      <c r="P111" s="48">
        <v>-35.908865355521932</v>
      </c>
      <c r="Q111" s="48">
        <v>-34.447443267776094</v>
      </c>
      <c r="R111" s="48">
        <v>-32.986021180030257</v>
      </c>
      <c r="S111" s="48">
        <v>-31.524599092284415</v>
      </c>
      <c r="T111" s="48">
        <v>-30.256727272727272</v>
      </c>
      <c r="U111" s="48">
        <v>-29.034363636363636</v>
      </c>
      <c r="V111" s="48">
        <v>-27.864666666666665</v>
      </c>
      <c r="W111" s="48">
        <v>-26.732303030303029</v>
      </c>
      <c r="X111" s="48">
        <v>-25.629272727272728</v>
      </c>
      <c r="Y111" s="48">
        <v>-24.58710843373494</v>
      </c>
      <c r="Z111" s="48">
        <v>-23.563030303030303</v>
      </c>
      <c r="AA111" s="48">
        <v>-22.575151515151514</v>
      </c>
      <c r="AB111" s="48">
        <v>-21.616363636363637</v>
      </c>
      <c r="AC111" s="48">
        <v>-20.676969696969696</v>
      </c>
      <c r="AD111" s="48">
        <v>-19.783636363636361</v>
      </c>
      <c r="AE111" s="48">
        <v>-18.921818181818182</v>
      </c>
      <c r="AF111" s="48">
        <v>-18.127878787878789</v>
      </c>
      <c r="AG111" s="48">
        <v>-17.45843373493976</v>
      </c>
      <c r="AH111" s="48">
        <v>-16.856024096385546</v>
      </c>
      <c r="AI111" s="48">
        <v>-16.28</v>
      </c>
      <c r="AJ111" s="48">
        <v>-15.714545454545457</v>
      </c>
      <c r="AK111" s="48">
        <v>-15.16909090909091</v>
      </c>
      <c r="AL111" s="48">
        <v>-14.63618181818182</v>
      </c>
      <c r="AM111" s="48">
        <v>-14.111059001512862</v>
      </c>
      <c r="AN111" s="48">
        <v>-13.637534039334344</v>
      </c>
      <c r="AO111" s="48">
        <v>-13.164009077155827</v>
      </c>
      <c r="AP111" s="48">
        <v>-12.690484114977309</v>
      </c>
      <c r="AQ111" s="48">
        <v>-12.216959152798792</v>
      </c>
      <c r="AR111" s="48">
        <v>-11.743434190620274</v>
      </c>
      <c r="AS111" s="48">
        <v>-11.269909228441756</v>
      </c>
      <c r="AT111" s="48">
        <v>-10.814969696969699</v>
      </c>
      <c r="AU111" s="48">
        <v>-10.384666666666668</v>
      </c>
      <c r="AV111" s="48">
        <v>-9.9666545454545474</v>
      </c>
      <c r="AW111" s="48">
        <v>-9.5541575757575767</v>
      </c>
      <c r="AX111" s="48">
        <v>-9.1553696969696983</v>
      </c>
      <c r="AY111" s="48">
        <v>-8.7643855421686752</v>
      </c>
      <c r="AZ111" s="48">
        <v>-8.3818554216867458</v>
      </c>
      <c r="BA111" s="48">
        <v>-8.0158121212121198</v>
      </c>
      <c r="BB111" s="48">
        <v>-7.7234484848484852</v>
      </c>
      <c r="BC111" s="48">
        <v>-7.7731454545454541</v>
      </c>
      <c r="BD111" s="48">
        <v>-7.8228424242424239</v>
      </c>
      <c r="BE111" s="48">
        <v>-7.8725393939393937</v>
      </c>
      <c r="BF111" s="48">
        <v>-7.9232909090909089</v>
      </c>
      <c r="BG111" s="48">
        <v>-7.9748487140695916</v>
      </c>
      <c r="BH111" s="48">
        <v>-8.0287065052950073</v>
      </c>
      <c r="BI111" s="48">
        <v>-8.0825642965204239</v>
      </c>
      <c r="BJ111" s="48">
        <v>-8.1364220877458404</v>
      </c>
      <c r="BK111" s="48">
        <v>-8.190279878971257</v>
      </c>
      <c r="BL111" s="48">
        <v>-8.2441376701966718</v>
      </c>
      <c r="BM111" s="48">
        <v>-8.2979954614220883</v>
      </c>
      <c r="BN111" s="48">
        <v>-8.3544909090909094</v>
      </c>
      <c r="BO111" s="48">
        <v>-8.4126727272727262</v>
      </c>
      <c r="BP111" s="48"/>
      <c r="BS111" s="48"/>
      <c r="BT111" s="48"/>
    </row>
    <row r="112" spans="1:72" ht="21.75" thickBot="1" x14ac:dyDescent="0.4">
      <c r="A112" s="46" t="s">
        <v>64</v>
      </c>
      <c r="B112" s="36">
        <v>-37.092424242424244</v>
      </c>
      <c r="C112" s="36">
        <v>-36.192181818181822</v>
      </c>
      <c r="D112" s="48">
        <v>-35.355818181818179</v>
      </c>
      <c r="E112" s="48">
        <v>-34.594666666666662</v>
      </c>
      <c r="F112" s="48">
        <v>-33.867151515151519</v>
      </c>
      <c r="G112" s="48">
        <v>-33.206545454545456</v>
      </c>
      <c r="H112" s="48">
        <v>-32.573554216867471</v>
      </c>
      <c r="I112" s="48">
        <v>-31.977168674698795</v>
      </c>
      <c r="J112" s="48">
        <v>-31.424666666666667</v>
      </c>
      <c r="K112" s="48">
        <v>-30.891309090909093</v>
      </c>
      <c r="L112" s="48">
        <v>-30.402218181818185</v>
      </c>
      <c r="M112" s="48">
        <v>-29.959906202723147</v>
      </c>
      <c r="N112" s="48">
        <v>-29.570344931921333</v>
      </c>
      <c r="O112" s="48">
        <v>-29.180783661119516</v>
      </c>
      <c r="P112" s="48">
        <v>-28.791222390317703</v>
      </c>
      <c r="Q112" s="48">
        <v>-28.401661119515886</v>
      </c>
      <c r="R112" s="48">
        <v>-28.012099848714069</v>
      </c>
      <c r="S112" s="48">
        <v>-27.622538577912255</v>
      </c>
      <c r="T112" s="48">
        <v>-27.299575757575759</v>
      </c>
      <c r="U112" s="48">
        <v>-26.991527272727271</v>
      </c>
      <c r="V112" s="48">
        <v>-26.698799999999999</v>
      </c>
      <c r="W112" s="48">
        <v>-26.50721212121212</v>
      </c>
      <c r="X112" s="48">
        <v>-26.395090909090907</v>
      </c>
      <c r="Y112" s="48">
        <v>-26.543975903614456</v>
      </c>
      <c r="Z112" s="48">
        <v>-26.717424242424244</v>
      </c>
      <c r="AA112" s="48">
        <v>-26.887121212121215</v>
      </c>
      <c r="AB112" s="48">
        <v>-27.057181818181821</v>
      </c>
      <c r="AC112" s="48">
        <v>-27.227484848484849</v>
      </c>
      <c r="AD112" s="48">
        <v>-27.397212121212121</v>
      </c>
      <c r="AE112" s="48">
        <v>-27.567090909090908</v>
      </c>
      <c r="AF112" s="48">
        <v>-27.737393939393939</v>
      </c>
      <c r="AG112" s="48">
        <v>-27.907030120481927</v>
      </c>
      <c r="AH112" s="48">
        <v>-28.076307228915663</v>
      </c>
      <c r="AI112" s="48">
        <v>-28.240600000000001</v>
      </c>
      <c r="AJ112" s="48">
        <v>-28.404842424242425</v>
      </c>
      <c r="AK112" s="48">
        <v>-28.569084848484849</v>
      </c>
      <c r="AL112" s="48">
        <v>-28.733327272727273</v>
      </c>
      <c r="AM112" s="48">
        <v>-28.89742662632375</v>
      </c>
      <c r="AN112" s="48">
        <v>-29.058092284417548</v>
      </c>
      <c r="AO112" s="48">
        <v>-29.218757942511346</v>
      </c>
      <c r="AP112" s="48">
        <v>-29.379423600605143</v>
      </c>
      <c r="AQ112" s="48">
        <v>-29.540089258698938</v>
      </c>
      <c r="AR112" s="48">
        <v>-29.700754916792736</v>
      </c>
      <c r="AS112" s="48">
        <v>-29.861420574886534</v>
      </c>
      <c r="AT112" s="48">
        <v>-30.020757575757575</v>
      </c>
      <c r="AU112" s="48">
        <v>-30.178333333333335</v>
      </c>
      <c r="AV112" s="48">
        <v>-30.335436363636365</v>
      </c>
      <c r="AW112" s="48">
        <v>-30.49248484848485</v>
      </c>
      <c r="AX112" s="48">
        <v>-30.650060606060606</v>
      </c>
      <c r="AY112" s="48">
        <v>-30.803999999999998</v>
      </c>
      <c r="AZ112" s="48">
        <v>-30.954000000000001</v>
      </c>
      <c r="BA112" s="48">
        <v>-31.104745454545455</v>
      </c>
      <c r="BB112" s="48">
        <v>-31.255551515151517</v>
      </c>
      <c r="BC112" s="48">
        <v>-31.405854545454549</v>
      </c>
      <c r="BD112" s="48">
        <v>-31.556472727272727</v>
      </c>
      <c r="BE112" s="48">
        <v>-31.707381818181815</v>
      </c>
      <c r="BF112" s="48">
        <v>-31.857763636363636</v>
      </c>
      <c r="BG112" s="48">
        <v>-32.00691830559758</v>
      </c>
      <c r="BH112" s="48">
        <v>-32.152001512859307</v>
      </c>
      <c r="BI112" s="48">
        <v>-32.297084720121028</v>
      </c>
      <c r="BJ112" s="48">
        <v>-32.442167927382755</v>
      </c>
      <c r="BK112" s="48">
        <v>-32.587251134644475</v>
      </c>
      <c r="BL112" s="48">
        <v>-32.732334341906203</v>
      </c>
      <c r="BM112" s="48">
        <v>-32.877417549167923</v>
      </c>
      <c r="BN112" s="48">
        <v>-33.021618181818184</v>
      </c>
      <c r="BO112" s="48">
        <v>-33.165254545454545</v>
      </c>
      <c r="BP112" s="48"/>
      <c r="BS112" s="48"/>
      <c r="BT112" s="48"/>
    </row>
    <row r="113" spans="1:72" ht="21.75" thickBot="1" x14ac:dyDescent="0.4">
      <c r="A113" s="46" t="s">
        <v>70</v>
      </c>
      <c r="B113" s="36">
        <v>-15.300424242424242</v>
      </c>
      <c r="C113" s="36">
        <v>-14.974848484848485</v>
      </c>
      <c r="D113" s="48">
        <v>-14.671818181818182</v>
      </c>
      <c r="E113" s="48">
        <v>-14.399757575757576</v>
      </c>
      <c r="F113" s="48">
        <v>-14.105212121212121</v>
      </c>
      <c r="G113" s="48">
        <v>-13.420363636363636</v>
      </c>
      <c r="H113" s="48">
        <v>-12.711385542168674</v>
      </c>
      <c r="I113" s="48">
        <v>-11.970421686746988</v>
      </c>
      <c r="J113" s="48">
        <v>-11.272666666666668</v>
      </c>
      <c r="K113" s="48">
        <v>-10.593127272727273</v>
      </c>
      <c r="L113" s="48">
        <v>-9.9525212121212121</v>
      </c>
      <c r="M113" s="48">
        <v>-9.3588018154311658</v>
      </c>
      <c r="N113" s="48">
        <v>-8.8179546142208771</v>
      </c>
      <c r="O113" s="48">
        <v>-8.2771074130105902</v>
      </c>
      <c r="P113" s="48">
        <v>-7.7362602118003023</v>
      </c>
      <c r="Q113" s="48">
        <v>-7.1954130105900145</v>
      </c>
      <c r="R113" s="48">
        <v>-6.6545658093797275</v>
      </c>
      <c r="S113" s="48">
        <v>-6.1137186081694388</v>
      </c>
      <c r="T113" s="48">
        <v>-5.6392727272727265</v>
      </c>
      <c r="U113" s="48">
        <v>-5.1809818181818166</v>
      </c>
      <c r="V113" s="48">
        <v>-4.742799999999999</v>
      </c>
      <c r="W113" s="48">
        <v>-4.4023636363636358</v>
      </c>
      <c r="X113" s="48">
        <v>-4.1387272727272721</v>
      </c>
      <c r="Y113" s="48">
        <v>-4.1369277108433735</v>
      </c>
      <c r="Z113" s="48">
        <v>-4.1610606060606061</v>
      </c>
      <c r="AA113" s="48">
        <v>-4.1853030303030305</v>
      </c>
      <c r="AB113" s="48">
        <v>-4.2099090909090906</v>
      </c>
      <c r="AC113" s="48">
        <v>-4.2347575757575759</v>
      </c>
      <c r="AD113" s="48">
        <v>-4.2590303030303032</v>
      </c>
      <c r="AE113" s="48">
        <v>-4.2834545454545454</v>
      </c>
      <c r="AF113" s="48">
        <v>-4.3083030303030307</v>
      </c>
      <c r="AG113" s="48">
        <v>-4.3330542168674695</v>
      </c>
      <c r="AH113" s="48">
        <v>-4.3577530120481924</v>
      </c>
      <c r="AI113" s="48">
        <v>-4.3826000000000001</v>
      </c>
      <c r="AJ113" s="48">
        <v>-4.4074484848484845</v>
      </c>
      <c r="AK113" s="48">
        <v>-4.4322969696969698</v>
      </c>
      <c r="AL113" s="48">
        <v>-4.4571454545454543</v>
      </c>
      <c r="AM113" s="48">
        <v>-4.4819803328290471</v>
      </c>
      <c r="AN113" s="48">
        <v>-4.5064886535552189</v>
      </c>
      <c r="AO113" s="48">
        <v>-4.5309969742813916</v>
      </c>
      <c r="AP113" s="48">
        <v>-4.5555052950075643</v>
      </c>
      <c r="AQ113" s="48">
        <v>-4.5800136157337361</v>
      </c>
      <c r="AR113" s="48">
        <v>-4.6045219364599088</v>
      </c>
      <c r="AS113" s="48">
        <v>-4.6290302571860815</v>
      </c>
      <c r="AT113" s="48">
        <v>-4.6534242424242418</v>
      </c>
      <c r="AU113" s="48">
        <v>-4.6776666666666662</v>
      </c>
      <c r="AV113" s="48">
        <v>-4.7014363636363639</v>
      </c>
      <c r="AW113" s="48">
        <v>-4.7251515151515155</v>
      </c>
      <c r="AX113" s="48">
        <v>-4.7493939393939391</v>
      </c>
      <c r="AY113" s="48">
        <v>-4.7732771084337342</v>
      </c>
      <c r="AZ113" s="48">
        <v>-4.7967710843373492</v>
      </c>
      <c r="BA113" s="48">
        <v>-4.8203818181818185</v>
      </c>
      <c r="BB113" s="48">
        <v>-4.8439151515151515</v>
      </c>
      <c r="BC113" s="48">
        <v>-4.8669454545454549</v>
      </c>
      <c r="BD113" s="48">
        <v>-4.8902909090909095</v>
      </c>
      <c r="BE113" s="48">
        <v>-4.9139272727272729</v>
      </c>
      <c r="BF113" s="48">
        <v>-4.9370363636363637</v>
      </c>
      <c r="BG113" s="48">
        <v>-4.9599591527987901</v>
      </c>
      <c r="BH113" s="48">
        <v>-4.9825007564296522</v>
      </c>
      <c r="BI113" s="48">
        <v>-5.0050423600605143</v>
      </c>
      <c r="BJ113" s="48">
        <v>-5.0275839636913773</v>
      </c>
      <c r="BK113" s="48">
        <v>-5.0501255673222394</v>
      </c>
      <c r="BL113" s="48">
        <v>-5.0726671709531015</v>
      </c>
      <c r="BM113" s="48">
        <v>-5.0952087745839636</v>
      </c>
      <c r="BN113" s="48">
        <v>-5.1176787878787877</v>
      </c>
      <c r="BO113" s="48">
        <v>-5.1401030303030302</v>
      </c>
      <c r="BP113" s="48"/>
      <c r="BS113" s="48"/>
      <c r="BT113" s="48"/>
    </row>
    <row r="114" spans="1:72" ht="21.75" thickBot="1" x14ac:dyDescent="0.4">
      <c r="A114" s="46" t="s">
        <v>26</v>
      </c>
      <c r="B114" s="36">
        <v>-18.61</v>
      </c>
      <c r="C114" s="36">
        <v>-18.612303030303028</v>
      </c>
      <c r="D114" s="48">
        <v>-18.618363636363636</v>
      </c>
      <c r="E114" s="48">
        <v>-18.624424242424244</v>
      </c>
      <c r="F114" s="48">
        <v>-18.630969696969697</v>
      </c>
      <c r="G114" s="48">
        <v>-18.643090909090908</v>
      </c>
      <c r="H114" s="48">
        <v>-18.655180722891565</v>
      </c>
      <c r="I114" s="48">
        <v>-18.667228915662651</v>
      </c>
      <c r="J114" s="48">
        <v>-18.679333333333336</v>
      </c>
      <c r="K114" s="48">
        <v>-18.692181818181819</v>
      </c>
      <c r="L114" s="48">
        <v>-18.710363636363635</v>
      </c>
      <c r="M114" s="48">
        <v>-18.728532526475036</v>
      </c>
      <c r="N114" s="48">
        <v>-18.746686838124052</v>
      </c>
      <c r="O114" s="48">
        <v>-18.764841149773069</v>
      </c>
      <c r="P114" s="48">
        <v>-18.782995461422086</v>
      </c>
      <c r="Q114" s="48">
        <v>-18.801149773071103</v>
      </c>
      <c r="R114" s="48">
        <v>-18.81930408472012</v>
      </c>
      <c r="S114" s="48">
        <v>-18.837458396369136</v>
      </c>
      <c r="T114" s="48">
        <v>-18.855636363636364</v>
      </c>
      <c r="U114" s="48">
        <v>-18.873818181818184</v>
      </c>
      <c r="V114" s="48">
        <v>-18.891999999999999</v>
      </c>
      <c r="W114" s="48">
        <v>-18.913575757575757</v>
      </c>
      <c r="X114" s="48">
        <v>-18.937818181818184</v>
      </c>
      <c r="Y114" s="48">
        <v>-18.95644578313253</v>
      </c>
      <c r="Z114" s="48">
        <v>-18.976060606060607</v>
      </c>
      <c r="AA114" s="48">
        <v>-19.00030303030303</v>
      </c>
      <c r="AB114" s="48">
        <v>-19.020909090909093</v>
      </c>
      <c r="AC114" s="48">
        <v>-19.039090909090909</v>
      </c>
      <c r="AD114" s="48">
        <v>-19.057272727272728</v>
      </c>
      <c r="AE114" s="48">
        <v>-19.077272727272728</v>
      </c>
      <c r="AF114" s="48">
        <v>-19.101515151515152</v>
      </c>
      <c r="AG114" s="48">
        <v>-19.121746987951806</v>
      </c>
      <c r="AH114" s="48">
        <v>-19.139819277108433</v>
      </c>
      <c r="AI114" s="48">
        <v>-19.164000000000001</v>
      </c>
      <c r="AJ114" s="48">
        <v>-19.186181818181819</v>
      </c>
      <c r="AK114" s="48">
        <v>-19.204363636363638</v>
      </c>
      <c r="AL114" s="48">
        <v>-19.226727272727274</v>
      </c>
      <c r="AM114" s="48">
        <v>-19.250786686838126</v>
      </c>
      <c r="AN114" s="48">
        <v>-19.270453857791225</v>
      </c>
      <c r="AO114" s="48">
        <v>-19.290121028744327</v>
      </c>
      <c r="AP114" s="48">
        <v>-19.309788199697426</v>
      </c>
      <c r="AQ114" s="48">
        <v>-19.329455370650528</v>
      </c>
      <c r="AR114" s="48">
        <v>-19.349122541603631</v>
      </c>
      <c r="AS114" s="48">
        <v>-19.36878971255673</v>
      </c>
      <c r="AT114" s="48">
        <v>-19.390424242424242</v>
      </c>
      <c r="AU114" s="48">
        <v>-19.414666666666669</v>
      </c>
      <c r="AV114" s="48">
        <v>-19.43418181818182</v>
      </c>
      <c r="AW114" s="48">
        <v>-19.452363636363636</v>
      </c>
      <c r="AX114" s="48">
        <v>-19.470545454545455</v>
      </c>
      <c r="AY114" s="48">
        <v>-19.488674698795183</v>
      </c>
      <c r="AZ114" s="48">
        <v>-19.506746987951807</v>
      </c>
      <c r="BA114" s="48">
        <v>-19.52987878787879</v>
      </c>
      <c r="BB114" s="48">
        <v>-19.553090909090908</v>
      </c>
      <c r="BC114" s="48">
        <v>-19.571272727272728</v>
      </c>
      <c r="BD114" s="48">
        <v>-19.589454545454544</v>
      </c>
      <c r="BE114" s="48">
        <v>-19.607636363636363</v>
      </c>
      <c r="BF114" s="48">
        <v>-19.625818181818182</v>
      </c>
      <c r="BG114" s="48">
        <v>-19.643993948562784</v>
      </c>
      <c r="BH114" s="48">
        <v>-19.662148260211801</v>
      </c>
      <c r="BI114" s="48">
        <v>-19.680302571860818</v>
      </c>
      <c r="BJ114" s="48">
        <v>-19.698456883509834</v>
      </c>
      <c r="BK114" s="48">
        <v>-19.716611195158851</v>
      </c>
      <c r="BL114" s="48">
        <v>-19.734765506807868</v>
      </c>
      <c r="BM114" s="48">
        <v>-19.752919818456885</v>
      </c>
      <c r="BN114" s="48">
        <v>-19.771090909090908</v>
      </c>
      <c r="BO114" s="48">
        <v>-19.789272727272728</v>
      </c>
      <c r="BP114" s="48"/>
      <c r="BS114" s="48"/>
      <c r="BT114" s="48"/>
    </row>
    <row r="115" spans="1:72" ht="21.75" thickBot="1" x14ac:dyDescent="0.4">
      <c r="A115" s="46" t="s">
        <v>5</v>
      </c>
      <c r="B115" s="36">
        <v>-60.144848484848481</v>
      </c>
      <c r="C115" s="36">
        <v>-58.339757575757574</v>
      </c>
      <c r="D115" s="48">
        <v>-56.654909090909094</v>
      </c>
      <c r="E115" s="48">
        <v>-55.098363636363636</v>
      </c>
      <c r="F115" s="48">
        <v>-53.546121212121207</v>
      </c>
      <c r="G115" s="48">
        <v>-51.49763636363636</v>
      </c>
      <c r="H115" s="48">
        <v>-49.457048192771083</v>
      </c>
      <c r="I115" s="48">
        <v>-47.426927710843373</v>
      </c>
      <c r="J115" s="48">
        <v>-45.513333333333335</v>
      </c>
      <c r="K115" s="48">
        <v>-43.650545454545458</v>
      </c>
      <c r="L115" s="48">
        <v>-41.905090909090909</v>
      </c>
      <c r="M115" s="48">
        <v>-40.293131618759453</v>
      </c>
      <c r="N115" s="48">
        <v>-38.831709531013615</v>
      </c>
      <c r="O115" s="48">
        <v>-37.370287443267777</v>
      </c>
      <c r="P115" s="48">
        <v>-35.908865355521932</v>
      </c>
      <c r="Q115" s="48">
        <v>-34.447443267776094</v>
      </c>
      <c r="R115" s="48">
        <v>-32.986021180030257</v>
      </c>
      <c r="S115" s="48">
        <v>-31.524599092284415</v>
      </c>
      <c r="T115" s="48">
        <v>-30.256727272727272</v>
      </c>
      <c r="U115" s="48">
        <v>-29.034363636363636</v>
      </c>
      <c r="V115" s="48">
        <v>-27.864666666666665</v>
      </c>
      <c r="W115" s="48">
        <v>-26.732303030303029</v>
      </c>
      <c r="X115" s="48">
        <v>-25.629272727272728</v>
      </c>
      <c r="Y115" s="48">
        <v>-24.58710843373494</v>
      </c>
      <c r="Z115" s="48">
        <v>-23.563030303030303</v>
      </c>
      <c r="AA115" s="48">
        <v>-22.575151515151514</v>
      </c>
      <c r="AB115" s="48">
        <v>-21.616363636363637</v>
      </c>
      <c r="AC115" s="48">
        <v>-20.676969696969696</v>
      </c>
      <c r="AD115" s="48">
        <v>-19.783636363636361</v>
      </c>
      <c r="AE115" s="48">
        <v>-18.921818181818182</v>
      </c>
      <c r="AF115" s="48">
        <v>-18.127878787878789</v>
      </c>
      <c r="AG115" s="48">
        <v>-17.45843373493976</v>
      </c>
      <c r="AH115" s="48">
        <v>-16.856024096385546</v>
      </c>
      <c r="AI115" s="48">
        <v>-16.28</v>
      </c>
      <c r="AJ115" s="48">
        <v>-15.714545454545457</v>
      </c>
      <c r="AK115" s="48">
        <v>-15.16909090909091</v>
      </c>
      <c r="AL115" s="48">
        <v>-14.63618181818182</v>
      </c>
      <c r="AM115" s="48">
        <v>-14.111059001512862</v>
      </c>
      <c r="AN115" s="48">
        <v>-13.637534039334344</v>
      </c>
      <c r="AO115" s="48">
        <v>-13.164009077155827</v>
      </c>
      <c r="AP115" s="48">
        <v>-12.690484114977309</v>
      </c>
      <c r="AQ115" s="48">
        <v>-12.216959152798792</v>
      </c>
      <c r="AR115" s="48">
        <v>-11.743434190620274</v>
      </c>
      <c r="AS115" s="48">
        <v>-11.269909228441756</v>
      </c>
      <c r="AT115" s="48">
        <v>-10.814969696969699</v>
      </c>
      <c r="AU115" s="48">
        <v>-10.384666666666668</v>
      </c>
      <c r="AV115" s="48">
        <v>-9.9666545454545474</v>
      </c>
      <c r="AW115" s="48">
        <v>-9.5541575757575767</v>
      </c>
      <c r="AX115" s="48">
        <v>-9.1553696969696983</v>
      </c>
      <c r="AY115" s="48">
        <v>-8.7643855421686752</v>
      </c>
      <c r="AZ115" s="48">
        <v>-8.3818554216867458</v>
      </c>
      <c r="BA115" s="48">
        <v>-8.0158121212121198</v>
      </c>
      <c r="BB115" s="48">
        <v>-7.7234484848484852</v>
      </c>
      <c r="BC115" s="48">
        <v>-7.7731454545454541</v>
      </c>
      <c r="BD115" s="48">
        <v>-7.8228424242424239</v>
      </c>
      <c r="BE115" s="48">
        <v>-7.8725393939393937</v>
      </c>
      <c r="BF115" s="48">
        <v>-7.9232909090909089</v>
      </c>
      <c r="BG115" s="48">
        <v>-7.9748487140695916</v>
      </c>
      <c r="BH115" s="48">
        <v>-8.0287065052950073</v>
      </c>
      <c r="BI115" s="48">
        <v>-8.0825642965204239</v>
      </c>
      <c r="BJ115" s="48">
        <v>-8.1364220877458404</v>
      </c>
      <c r="BK115" s="48">
        <v>-8.190279878971257</v>
      </c>
      <c r="BL115" s="48">
        <v>-8.2441376701966718</v>
      </c>
      <c r="BM115" s="48">
        <v>-8.2979954614220883</v>
      </c>
      <c r="BN115" s="48">
        <v>-8.3544909090909094</v>
      </c>
      <c r="BO115" s="48">
        <v>-8.4126727272727262</v>
      </c>
      <c r="BP115" s="48"/>
      <c r="BS115" s="48"/>
      <c r="BT115" s="48"/>
    </row>
    <row r="116" spans="1:72" ht="21.75" thickBot="1" x14ac:dyDescent="0.4">
      <c r="A116" s="46" t="s">
        <v>6</v>
      </c>
      <c r="B116" s="36">
        <v>-15.300424242424242</v>
      </c>
      <c r="C116" s="36">
        <v>-14.974848484848485</v>
      </c>
      <c r="D116" s="48">
        <v>-14.671818181818182</v>
      </c>
      <c r="E116" s="48">
        <v>-14.399757575757576</v>
      </c>
      <c r="F116" s="48">
        <v>-14.105212121212121</v>
      </c>
      <c r="G116" s="48">
        <v>-13.420363636363636</v>
      </c>
      <c r="H116" s="48">
        <v>-12.711385542168674</v>
      </c>
      <c r="I116" s="48">
        <v>-11.970421686746988</v>
      </c>
      <c r="J116" s="48">
        <v>-11.272666666666668</v>
      </c>
      <c r="K116" s="48">
        <v>-10.593127272727273</v>
      </c>
      <c r="L116" s="48">
        <v>-9.9525212121212121</v>
      </c>
      <c r="M116" s="48">
        <v>-9.3588018154311658</v>
      </c>
      <c r="N116" s="48">
        <v>-8.8179546142208771</v>
      </c>
      <c r="O116" s="48">
        <v>-8.2771074130105902</v>
      </c>
      <c r="P116" s="48">
        <v>-7.7362602118003023</v>
      </c>
      <c r="Q116" s="48">
        <v>-7.1954130105900145</v>
      </c>
      <c r="R116" s="48">
        <v>-6.6545658093797275</v>
      </c>
      <c r="S116" s="48">
        <v>-6.1137186081694388</v>
      </c>
      <c r="T116" s="48">
        <v>-5.6392727272727265</v>
      </c>
      <c r="U116" s="48">
        <v>-5.1809818181818166</v>
      </c>
      <c r="V116" s="48">
        <v>-4.742799999999999</v>
      </c>
      <c r="W116" s="48">
        <v>-4.4023636363636358</v>
      </c>
      <c r="X116" s="48">
        <v>-4.1387272727272721</v>
      </c>
      <c r="Y116" s="48">
        <v>-4.1369277108433735</v>
      </c>
      <c r="Z116" s="48">
        <v>-4.1610606060606061</v>
      </c>
      <c r="AA116" s="48">
        <v>-4.1853030303030305</v>
      </c>
      <c r="AB116" s="48">
        <v>-4.2099090909090906</v>
      </c>
      <c r="AC116" s="48">
        <v>-4.2347575757575759</v>
      </c>
      <c r="AD116" s="48">
        <v>-4.2590303030303032</v>
      </c>
      <c r="AE116" s="48">
        <v>-4.2834545454545454</v>
      </c>
      <c r="AF116" s="48">
        <v>-4.3083030303030307</v>
      </c>
      <c r="AG116" s="48">
        <v>-4.3330542168674695</v>
      </c>
      <c r="AH116" s="48">
        <v>-4.3577530120481924</v>
      </c>
      <c r="AI116" s="48">
        <v>-4.3826000000000001</v>
      </c>
      <c r="AJ116" s="48">
        <v>-4.4074484848484845</v>
      </c>
      <c r="AK116" s="48">
        <v>-4.4322969696969698</v>
      </c>
      <c r="AL116" s="48">
        <v>-4.4571454545454543</v>
      </c>
      <c r="AM116" s="48">
        <v>-4.4819803328290471</v>
      </c>
      <c r="AN116" s="48">
        <v>-4.5064886535552189</v>
      </c>
      <c r="AO116" s="48">
        <v>-4.5309969742813916</v>
      </c>
      <c r="AP116" s="48">
        <v>-4.5555052950075643</v>
      </c>
      <c r="AQ116" s="48">
        <v>-4.5800136157337361</v>
      </c>
      <c r="AR116" s="48">
        <v>-4.6045219364599088</v>
      </c>
      <c r="AS116" s="48">
        <v>-4.6290302571860815</v>
      </c>
      <c r="AT116" s="48">
        <v>-4.6534242424242418</v>
      </c>
      <c r="AU116" s="48">
        <v>-4.6776666666666662</v>
      </c>
      <c r="AV116" s="48">
        <v>-4.7014363636363639</v>
      </c>
      <c r="AW116" s="48">
        <v>-4.7251515151515155</v>
      </c>
      <c r="AX116" s="48">
        <v>-4.7493939393939391</v>
      </c>
      <c r="AY116" s="48">
        <v>-4.7732771084337342</v>
      </c>
      <c r="AZ116" s="48">
        <v>-4.7967710843373492</v>
      </c>
      <c r="BA116" s="48">
        <v>-4.8203818181818185</v>
      </c>
      <c r="BB116" s="48">
        <v>-4.8439151515151515</v>
      </c>
      <c r="BC116" s="48">
        <v>-4.8669454545454549</v>
      </c>
      <c r="BD116" s="48">
        <v>-4.8902909090909095</v>
      </c>
      <c r="BE116" s="48">
        <v>-4.9139272727272729</v>
      </c>
      <c r="BF116" s="48">
        <v>-4.9370363636363637</v>
      </c>
      <c r="BG116" s="48">
        <v>-4.9599591527987901</v>
      </c>
      <c r="BH116" s="48">
        <v>-4.9825007564296522</v>
      </c>
      <c r="BI116" s="48">
        <v>-5.0050423600605143</v>
      </c>
      <c r="BJ116" s="48">
        <v>-5.0275839636913773</v>
      </c>
      <c r="BK116" s="48">
        <v>-5.0501255673222394</v>
      </c>
      <c r="BL116" s="48">
        <v>-5.0726671709531015</v>
      </c>
      <c r="BM116" s="48">
        <v>-5.0952087745839636</v>
      </c>
      <c r="BN116" s="48">
        <v>-5.1176787878787877</v>
      </c>
      <c r="BO116" s="48">
        <v>-5.1401030303030302</v>
      </c>
      <c r="BP116" s="48"/>
      <c r="BS116" s="48"/>
      <c r="BT116" s="48"/>
    </row>
    <row r="117" spans="1:72" ht="21.75" thickBot="1" x14ac:dyDescent="0.4">
      <c r="A117" s="46" t="s">
        <v>7</v>
      </c>
      <c r="B117" s="36">
        <v>-21.792000000000002</v>
      </c>
      <c r="C117" s="36">
        <v>-21.217333333333332</v>
      </c>
      <c r="D117" s="48">
        <v>-20.683999999999997</v>
      </c>
      <c r="E117" s="48">
        <v>-20.194909090909089</v>
      </c>
      <c r="F117" s="48">
        <v>-19.761939393939397</v>
      </c>
      <c r="G117" s="48">
        <v>-19.78618181818182</v>
      </c>
      <c r="H117" s="48">
        <v>-19.862168674698797</v>
      </c>
      <c r="I117" s="48">
        <v>-20.006746987951807</v>
      </c>
      <c r="J117" s="48">
        <v>-20.152000000000001</v>
      </c>
      <c r="K117" s="48">
        <v>-20.298181818181821</v>
      </c>
      <c r="L117" s="48">
        <v>-20.449696969696969</v>
      </c>
      <c r="M117" s="48">
        <v>-20.601104387291983</v>
      </c>
      <c r="N117" s="48">
        <v>-20.752390317700456</v>
      </c>
      <c r="O117" s="48">
        <v>-20.903676248108926</v>
      </c>
      <c r="P117" s="48">
        <v>-21.0549621785174</v>
      </c>
      <c r="Q117" s="48">
        <v>-21.20624810892587</v>
      </c>
      <c r="R117" s="48">
        <v>-21.357534039334343</v>
      </c>
      <c r="S117" s="48">
        <v>-21.508819969742817</v>
      </c>
      <c r="T117" s="48">
        <v>-21.66030303030303</v>
      </c>
      <c r="U117" s="48">
        <v>-21.810545454545455</v>
      </c>
      <c r="V117" s="48">
        <v>-21.956</v>
      </c>
      <c r="W117" s="48">
        <v>-22.104848484848485</v>
      </c>
      <c r="X117" s="48">
        <v>-22.256363636363638</v>
      </c>
      <c r="Y117" s="48">
        <v>-22.407048192771086</v>
      </c>
      <c r="Z117" s="48">
        <v>-22.556363636363635</v>
      </c>
      <c r="AA117" s="48">
        <v>-22.701818181818183</v>
      </c>
      <c r="AB117" s="48">
        <v>-22.847272727272728</v>
      </c>
      <c r="AC117" s="48">
        <v>-22.992727272727272</v>
      </c>
      <c r="AD117" s="48">
        <v>-23.138181818181817</v>
      </c>
      <c r="AE117" s="48">
        <v>-23.283636363636361</v>
      </c>
      <c r="AF117" s="48">
        <v>-23.42909090909091</v>
      </c>
      <c r="AG117" s="48">
        <v>-23.573975903614457</v>
      </c>
      <c r="AH117" s="48">
        <v>-23.718554216867467</v>
      </c>
      <c r="AI117" s="48">
        <v>-23.858000000000001</v>
      </c>
      <c r="AJ117" s="48">
        <v>-23.997393939393938</v>
      </c>
      <c r="AK117" s="48">
        <v>-24.136787878787878</v>
      </c>
      <c r="AL117" s="48">
        <v>-24.276181818181819</v>
      </c>
      <c r="AM117" s="48">
        <v>-24.415446293494703</v>
      </c>
      <c r="AN117" s="48">
        <v>-24.551603630862328</v>
      </c>
      <c r="AO117" s="48">
        <v>-24.687760968229952</v>
      </c>
      <c r="AP117" s="48">
        <v>-24.82391830559758</v>
      </c>
      <c r="AQ117" s="48">
        <v>-24.960075642965204</v>
      </c>
      <c r="AR117" s="48">
        <v>-25.096232980332829</v>
      </c>
      <c r="AS117" s="48">
        <v>-25.232390317700453</v>
      </c>
      <c r="AT117" s="48">
        <v>-25.367333333333331</v>
      </c>
      <c r="AU117" s="48">
        <v>-25.500666666666667</v>
      </c>
      <c r="AV117" s="48">
        <v>-25.634</v>
      </c>
      <c r="AW117" s="48">
        <v>-25.767333333333333</v>
      </c>
      <c r="AX117" s="48">
        <v>-25.900666666666666</v>
      </c>
      <c r="AY117" s="48">
        <v>-26.030722891566263</v>
      </c>
      <c r="AZ117" s="48">
        <v>-26.15722891566265</v>
      </c>
      <c r="BA117" s="48">
        <v>-26.284363636363636</v>
      </c>
      <c r="BB117" s="48">
        <v>-26.411636363636365</v>
      </c>
      <c r="BC117" s="48">
        <v>-26.538909090909094</v>
      </c>
      <c r="BD117" s="48">
        <v>-26.666181818181819</v>
      </c>
      <c r="BE117" s="48">
        <v>-26.793454545454544</v>
      </c>
      <c r="BF117" s="48">
        <v>-26.920727272727273</v>
      </c>
      <c r="BG117" s="48">
        <v>-27.046959152798788</v>
      </c>
      <c r="BH117" s="48">
        <v>-27.169500756429652</v>
      </c>
      <c r="BI117" s="48">
        <v>-27.292042360060513</v>
      </c>
      <c r="BJ117" s="48">
        <v>-27.414583963691378</v>
      </c>
      <c r="BK117" s="48">
        <v>-27.537125567322239</v>
      </c>
      <c r="BL117" s="48">
        <v>-27.659667170953099</v>
      </c>
      <c r="BM117" s="48">
        <v>-27.782208774583964</v>
      </c>
      <c r="BN117" s="48">
        <v>-27.903939393939392</v>
      </c>
      <c r="BO117" s="48">
        <v>-28.025151515151517</v>
      </c>
      <c r="BP117" s="48"/>
      <c r="BS117" s="48"/>
      <c r="BT117" s="48"/>
    </row>
    <row r="118" spans="1:72" ht="21.75" thickBot="1" x14ac:dyDescent="0.4">
      <c r="A118" s="46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  <c r="AA118" s="48"/>
      <c r="AB118" s="48"/>
      <c r="AC118" s="48"/>
      <c r="AD118" s="48"/>
      <c r="AE118" s="48"/>
      <c r="AF118" s="48"/>
      <c r="AG118" s="48"/>
      <c r="AH118" s="48"/>
      <c r="AI118" s="48"/>
      <c r="AJ118" s="48"/>
      <c r="AK118" s="48"/>
      <c r="AL118" s="48"/>
      <c r="AM118" s="48"/>
      <c r="AN118" s="48"/>
      <c r="AO118" s="48"/>
      <c r="AP118" s="48"/>
      <c r="AQ118" s="48"/>
      <c r="AR118" s="48"/>
      <c r="AS118" s="48"/>
      <c r="AT118" s="48"/>
      <c r="AU118" s="48"/>
      <c r="AV118" s="48"/>
      <c r="AW118" s="48"/>
      <c r="AX118" s="48"/>
      <c r="AY118" s="48"/>
      <c r="AZ118" s="48"/>
      <c r="BA118" s="48"/>
      <c r="BB118" s="48"/>
      <c r="BC118" s="48"/>
      <c r="BD118" s="48"/>
      <c r="BE118" s="48"/>
      <c r="BF118" s="48"/>
      <c r="BG118" s="48"/>
      <c r="BH118" s="48"/>
      <c r="BI118" s="48"/>
      <c r="BJ118" s="48"/>
      <c r="BK118" s="48"/>
      <c r="BL118" s="48"/>
      <c r="BM118" s="48"/>
      <c r="BN118" s="48"/>
      <c r="BO118" s="48"/>
      <c r="BP118" s="48"/>
      <c r="BS118" s="48"/>
      <c r="BT118" s="48"/>
    </row>
    <row r="119" spans="1:72" ht="21.75" thickBot="1" x14ac:dyDescent="0.4">
      <c r="A119" s="46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  <c r="AA119" s="48"/>
      <c r="AB119" s="48"/>
      <c r="AC119" s="48"/>
      <c r="AD119" s="48"/>
      <c r="AE119" s="48"/>
      <c r="AF119" s="48"/>
      <c r="AG119" s="48"/>
      <c r="AH119" s="48"/>
      <c r="AI119" s="48"/>
      <c r="AJ119" s="48"/>
      <c r="AK119" s="48"/>
      <c r="AL119" s="48"/>
      <c r="AM119" s="48"/>
      <c r="AN119" s="48"/>
      <c r="AO119" s="48"/>
      <c r="AP119" s="48"/>
      <c r="AQ119" s="48"/>
      <c r="AR119" s="48"/>
      <c r="AS119" s="48"/>
      <c r="AT119" s="48"/>
      <c r="AU119" s="48"/>
      <c r="AV119" s="48"/>
      <c r="AW119" s="48"/>
      <c r="AX119" s="48"/>
      <c r="AY119" s="48"/>
      <c r="AZ119" s="48"/>
      <c r="BA119" s="48"/>
      <c r="BB119" s="48"/>
      <c r="BC119" s="48"/>
      <c r="BD119" s="48"/>
      <c r="BE119" s="48"/>
      <c r="BF119" s="48"/>
      <c r="BG119" s="48"/>
      <c r="BH119" s="48"/>
      <c r="BI119" s="48"/>
      <c r="BJ119" s="48"/>
      <c r="BK119" s="48"/>
      <c r="BL119" s="48"/>
      <c r="BM119" s="48"/>
      <c r="BN119" s="48"/>
      <c r="BO119" s="48"/>
      <c r="BP119" s="48"/>
      <c r="BS119" s="48"/>
      <c r="BT119" s="48"/>
    </row>
    <row r="120" spans="1:72" ht="21.75" thickBot="1" x14ac:dyDescent="0.4">
      <c r="A120" s="39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  <c r="AA120" s="48"/>
      <c r="AB120" s="48"/>
      <c r="AC120" s="48"/>
      <c r="AD120" s="48"/>
      <c r="AE120" s="48"/>
      <c r="AF120" s="48"/>
      <c r="AG120" s="48"/>
      <c r="AH120" s="48"/>
      <c r="AI120" s="48"/>
      <c r="AJ120" s="48"/>
      <c r="AK120" s="48"/>
      <c r="AL120" s="48"/>
      <c r="AM120" s="48"/>
      <c r="AN120" s="48"/>
      <c r="AO120" s="48"/>
      <c r="AP120" s="48"/>
      <c r="AQ120" s="48"/>
      <c r="AR120" s="48"/>
      <c r="AS120" s="48"/>
      <c r="AT120" s="48"/>
      <c r="AU120" s="48"/>
      <c r="AV120" s="48"/>
      <c r="AW120" s="48"/>
      <c r="AX120" s="48"/>
      <c r="AY120" s="48"/>
      <c r="AZ120" s="48"/>
      <c r="BA120" s="48"/>
      <c r="BB120" s="48"/>
      <c r="BC120" s="48"/>
      <c r="BD120" s="48"/>
      <c r="BE120" s="48"/>
      <c r="BF120" s="48"/>
      <c r="BG120" s="48"/>
      <c r="BH120" s="48"/>
      <c r="BI120" s="48"/>
      <c r="BJ120" s="48"/>
      <c r="BK120" s="48"/>
      <c r="BL120" s="48"/>
      <c r="BM120" s="48"/>
      <c r="BN120" s="48"/>
      <c r="BO120" s="48"/>
      <c r="BP120" s="48"/>
      <c r="BS120" s="48"/>
      <c r="BT120" s="48"/>
    </row>
    <row r="121" spans="1:72" ht="21.75" thickBot="1" x14ac:dyDescent="0.4">
      <c r="A121" s="39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  <c r="AA121" s="48"/>
      <c r="AB121" s="48"/>
      <c r="AC121" s="48"/>
      <c r="AD121" s="48"/>
      <c r="AE121" s="48"/>
      <c r="AF121" s="48"/>
      <c r="AG121" s="48"/>
      <c r="AH121" s="48"/>
      <c r="AI121" s="48"/>
      <c r="AJ121" s="48"/>
      <c r="AK121" s="48"/>
      <c r="AL121" s="48"/>
      <c r="AM121" s="48"/>
      <c r="AN121" s="48"/>
      <c r="AO121" s="48"/>
      <c r="AP121" s="48"/>
      <c r="AQ121" s="48"/>
      <c r="AR121" s="48"/>
      <c r="AS121" s="48"/>
      <c r="AT121" s="48"/>
      <c r="AU121" s="48"/>
      <c r="AV121" s="48"/>
      <c r="AW121" s="48"/>
      <c r="AX121" s="48"/>
      <c r="AY121" s="48"/>
      <c r="AZ121" s="48"/>
      <c r="BA121" s="48"/>
      <c r="BB121" s="48"/>
      <c r="BC121" s="48"/>
      <c r="BD121" s="48"/>
      <c r="BE121" s="48"/>
      <c r="BF121" s="48"/>
      <c r="BG121" s="48"/>
      <c r="BH121" s="48"/>
      <c r="BI121" s="48"/>
      <c r="BJ121" s="48"/>
      <c r="BK121" s="48"/>
      <c r="BL121" s="48"/>
      <c r="BM121" s="48"/>
      <c r="BN121" s="48"/>
      <c r="BO121" s="48"/>
      <c r="BP121" s="48"/>
      <c r="BS121" s="48"/>
      <c r="BT121" s="48"/>
    </row>
    <row r="122" spans="1:72" ht="21.75" thickBot="1" x14ac:dyDescent="0.4">
      <c r="A122" s="39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  <c r="AA122" s="48"/>
      <c r="AB122" s="48"/>
      <c r="AC122" s="48"/>
      <c r="AD122" s="48"/>
      <c r="AE122" s="48"/>
      <c r="AF122" s="48"/>
      <c r="AG122" s="48"/>
      <c r="AH122" s="48"/>
      <c r="AI122" s="48"/>
      <c r="AJ122" s="48"/>
      <c r="AK122" s="48"/>
      <c r="AL122" s="48"/>
      <c r="AM122" s="48"/>
      <c r="AN122" s="48"/>
      <c r="AO122" s="48"/>
      <c r="AP122" s="48"/>
      <c r="AQ122" s="48"/>
      <c r="AR122" s="48"/>
      <c r="AS122" s="48"/>
      <c r="AT122" s="48"/>
      <c r="AU122" s="48"/>
      <c r="AV122" s="48"/>
      <c r="AW122" s="48"/>
      <c r="AX122" s="48"/>
      <c r="AY122" s="48"/>
      <c r="AZ122" s="48"/>
      <c r="BA122" s="48"/>
      <c r="BB122" s="48"/>
      <c r="BC122" s="48"/>
      <c r="BD122" s="48"/>
      <c r="BE122" s="48"/>
      <c r="BF122" s="48"/>
      <c r="BG122" s="48"/>
      <c r="BH122" s="48"/>
      <c r="BI122" s="48"/>
      <c r="BJ122" s="48"/>
      <c r="BK122" s="48"/>
      <c r="BL122" s="48"/>
      <c r="BM122" s="48"/>
      <c r="BN122" s="48"/>
      <c r="BO122" s="48"/>
      <c r="BP122" s="48"/>
      <c r="BS122" s="48"/>
      <c r="BT122" s="48"/>
    </row>
    <row r="123" spans="1:72" ht="21.75" thickBot="1" x14ac:dyDescent="0.4">
      <c r="A123" s="39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  <c r="AA123" s="48"/>
      <c r="AB123" s="48"/>
      <c r="AC123" s="48"/>
      <c r="AD123" s="48"/>
      <c r="AE123" s="48"/>
      <c r="AF123" s="48"/>
      <c r="AG123" s="48"/>
      <c r="AH123" s="48"/>
      <c r="AI123" s="48"/>
      <c r="AJ123" s="48"/>
      <c r="AK123" s="48"/>
      <c r="AL123" s="48"/>
      <c r="AM123" s="48"/>
      <c r="AN123" s="48"/>
      <c r="AO123" s="48"/>
      <c r="AP123" s="48"/>
      <c r="AQ123" s="48"/>
      <c r="AR123" s="48"/>
      <c r="AS123" s="48"/>
      <c r="AT123" s="48"/>
      <c r="AU123" s="48"/>
      <c r="AV123" s="48"/>
      <c r="AW123" s="48"/>
      <c r="AX123" s="48"/>
      <c r="AY123" s="48"/>
      <c r="AZ123" s="48"/>
      <c r="BA123" s="48"/>
      <c r="BB123" s="48"/>
      <c r="BC123" s="48"/>
      <c r="BD123" s="48"/>
      <c r="BE123" s="48"/>
      <c r="BF123" s="48"/>
      <c r="BG123" s="48"/>
      <c r="BH123" s="48"/>
      <c r="BI123" s="48"/>
      <c r="BJ123" s="48"/>
      <c r="BK123" s="48"/>
      <c r="BL123" s="48"/>
      <c r="BM123" s="48"/>
      <c r="BN123" s="48"/>
      <c r="BO123" s="48"/>
      <c r="BP123" s="48"/>
      <c r="BS123" s="48"/>
      <c r="BT123" s="48"/>
    </row>
    <row r="124" spans="1:72" ht="21.75" thickBot="1" x14ac:dyDescent="0.4">
      <c r="A124" s="39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  <c r="AA124" s="48"/>
      <c r="AB124" s="48"/>
      <c r="AC124" s="48"/>
      <c r="AD124" s="48"/>
      <c r="AE124" s="48"/>
      <c r="AF124" s="48"/>
      <c r="AG124" s="48"/>
      <c r="AH124" s="48"/>
      <c r="AI124" s="48"/>
      <c r="AJ124" s="48"/>
      <c r="AK124" s="48"/>
      <c r="AL124" s="48"/>
      <c r="AM124" s="48"/>
      <c r="AN124" s="48"/>
      <c r="AO124" s="48"/>
      <c r="AP124" s="48"/>
      <c r="AQ124" s="48"/>
      <c r="AR124" s="48"/>
      <c r="AS124" s="48"/>
      <c r="AT124" s="48"/>
      <c r="AU124" s="48"/>
      <c r="AV124" s="48"/>
      <c r="AW124" s="48"/>
      <c r="AX124" s="48"/>
      <c r="AY124" s="48"/>
      <c r="AZ124" s="48"/>
      <c r="BA124" s="48"/>
      <c r="BB124" s="48"/>
      <c r="BC124" s="48"/>
      <c r="BD124" s="48"/>
      <c r="BE124" s="48"/>
      <c r="BF124" s="48"/>
      <c r="BG124" s="48"/>
      <c r="BH124" s="48"/>
      <c r="BI124" s="48"/>
      <c r="BJ124" s="48"/>
      <c r="BK124" s="48"/>
      <c r="BL124" s="48"/>
      <c r="BM124" s="48"/>
      <c r="BN124" s="48"/>
      <c r="BO124" s="48"/>
      <c r="BP124" s="48"/>
      <c r="BS124" s="48"/>
      <c r="BT124" s="48"/>
    </row>
    <row r="125" spans="1:72" ht="21.75" thickBot="1" x14ac:dyDescent="0.4">
      <c r="A125" s="39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  <c r="AA125" s="48"/>
      <c r="AB125" s="48"/>
      <c r="AC125" s="48"/>
      <c r="AD125" s="48"/>
      <c r="AE125" s="48"/>
      <c r="AF125" s="48"/>
      <c r="AG125" s="48"/>
      <c r="AH125" s="48"/>
      <c r="AI125" s="48"/>
      <c r="AJ125" s="48"/>
      <c r="AK125" s="48"/>
      <c r="AL125" s="48"/>
      <c r="AM125" s="48"/>
      <c r="AN125" s="48"/>
      <c r="AO125" s="48"/>
      <c r="AP125" s="48"/>
      <c r="AQ125" s="48"/>
      <c r="AR125" s="48"/>
      <c r="AS125" s="48"/>
      <c r="AT125" s="48"/>
      <c r="AU125" s="48"/>
      <c r="AV125" s="48"/>
      <c r="AW125" s="48"/>
      <c r="AX125" s="48"/>
      <c r="AY125" s="48"/>
      <c r="AZ125" s="48"/>
      <c r="BA125" s="48"/>
      <c r="BB125" s="48"/>
      <c r="BC125" s="48"/>
      <c r="BD125" s="48"/>
      <c r="BE125" s="48"/>
      <c r="BF125" s="48"/>
      <c r="BG125" s="48"/>
      <c r="BH125" s="48"/>
      <c r="BI125" s="48"/>
      <c r="BJ125" s="48"/>
      <c r="BK125" s="48"/>
      <c r="BL125" s="48"/>
      <c r="BM125" s="48"/>
      <c r="BN125" s="48"/>
      <c r="BO125" s="48"/>
      <c r="BP125" s="48"/>
      <c r="BS125" s="48"/>
      <c r="BT125" s="48"/>
    </row>
    <row r="126" spans="1:72" ht="21.75" thickBot="1" x14ac:dyDescent="0.4">
      <c r="A126" s="39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  <c r="AA126" s="48"/>
      <c r="AB126" s="48"/>
      <c r="AC126" s="48"/>
      <c r="AD126" s="48"/>
      <c r="AE126" s="48"/>
      <c r="AF126" s="48"/>
      <c r="AG126" s="48"/>
      <c r="AH126" s="48"/>
      <c r="AI126" s="48"/>
      <c r="AJ126" s="48"/>
      <c r="AK126" s="48"/>
      <c r="AL126" s="48"/>
      <c r="AM126" s="48"/>
      <c r="AN126" s="48"/>
      <c r="AO126" s="48"/>
      <c r="AP126" s="48"/>
      <c r="AQ126" s="48"/>
      <c r="AR126" s="48"/>
      <c r="AS126" s="48"/>
      <c r="AT126" s="48"/>
      <c r="AU126" s="48"/>
      <c r="AV126" s="48"/>
      <c r="AW126" s="48"/>
      <c r="AX126" s="48"/>
      <c r="AY126" s="48"/>
      <c r="AZ126" s="48"/>
      <c r="BA126" s="48"/>
      <c r="BB126" s="48"/>
      <c r="BC126" s="48"/>
      <c r="BD126" s="48"/>
      <c r="BE126" s="48"/>
      <c r="BF126" s="48"/>
      <c r="BG126" s="48"/>
      <c r="BH126" s="48"/>
      <c r="BI126" s="48"/>
      <c r="BJ126" s="48"/>
      <c r="BK126" s="48"/>
      <c r="BL126" s="48"/>
      <c r="BM126" s="48"/>
      <c r="BN126" s="48"/>
      <c r="BO126" s="48"/>
      <c r="BP126" s="48"/>
      <c r="BS126" s="48"/>
      <c r="BT126" s="48"/>
    </row>
    <row r="127" spans="1:72" ht="21.75" thickBot="1" x14ac:dyDescent="0.4">
      <c r="A127" s="39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  <c r="AA127" s="48"/>
      <c r="AB127" s="48"/>
      <c r="AC127" s="48"/>
      <c r="AD127" s="48"/>
      <c r="AE127" s="48"/>
      <c r="AF127" s="48"/>
      <c r="AG127" s="48"/>
      <c r="AH127" s="48"/>
      <c r="AI127" s="48"/>
      <c r="AJ127" s="48"/>
      <c r="AK127" s="48"/>
      <c r="AL127" s="48"/>
      <c r="AM127" s="48"/>
      <c r="AN127" s="48"/>
      <c r="AO127" s="48"/>
      <c r="AP127" s="48"/>
      <c r="AQ127" s="48"/>
      <c r="AR127" s="48"/>
      <c r="AS127" s="48"/>
      <c r="AT127" s="48"/>
      <c r="AU127" s="48"/>
      <c r="AV127" s="48"/>
      <c r="AW127" s="48"/>
      <c r="AX127" s="48"/>
      <c r="AY127" s="48"/>
      <c r="AZ127" s="48"/>
      <c r="BA127" s="48"/>
      <c r="BB127" s="48"/>
      <c r="BC127" s="48"/>
      <c r="BD127" s="48"/>
      <c r="BE127" s="48"/>
      <c r="BF127" s="48"/>
      <c r="BG127" s="48"/>
      <c r="BH127" s="48"/>
      <c r="BI127" s="48"/>
      <c r="BJ127" s="48"/>
      <c r="BK127" s="48"/>
      <c r="BL127" s="48"/>
      <c r="BM127" s="48"/>
      <c r="BN127" s="48"/>
      <c r="BO127" s="48"/>
      <c r="BP127" s="48"/>
      <c r="BS127" s="48"/>
      <c r="BT127" s="48"/>
    </row>
    <row r="128" spans="1:72" ht="21.75" thickBot="1" x14ac:dyDescent="0.4">
      <c r="A128" s="39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  <c r="AA128" s="48"/>
      <c r="AB128" s="48"/>
      <c r="AC128" s="48"/>
      <c r="AD128" s="48"/>
      <c r="AE128" s="48"/>
      <c r="AF128" s="48"/>
      <c r="AG128" s="48"/>
      <c r="AH128" s="48"/>
      <c r="AI128" s="48"/>
      <c r="AJ128" s="48"/>
      <c r="AK128" s="48"/>
      <c r="AL128" s="48"/>
      <c r="AM128" s="48"/>
      <c r="AN128" s="48"/>
      <c r="AO128" s="48"/>
      <c r="AP128" s="48"/>
      <c r="AQ128" s="48"/>
      <c r="AR128" s="48"/>
      <c r="AS128" s="48"/>
      <c r="AT128" s="48"/>
      <c r="AU128" s="48"/>
      <c r="AV128" s="48"/>
      <c r="AW128" s="48"/>
      <c r="AX128" s="48"/>
      <c r="AY128" s="48"/>
      <c r="AZ128" s="48"/>
      <c r="BA128" s="48"/>
      <c r="BB128" s="48"/>
      <c r="BC128" s="48"/>
      <c r="BD128" s="48"/>
      <c r="BE128" s="48"/>
      <c r="BF128" s="48"/>
      <c r="BG128" s="48"/>
      <c r="BH128" s="48"/>
      <c r="BI128" s="48"/>
      <c r="BJ128" s="48"/>
      <c r="BK128" s="48"/>
      <c r="BL128" s="48"/>
      <c r="BM128" s="48"/>
      <c r="BN128" s="48"/>
      <c r="BO128" s="48"/>
      <c r="BP128" s="48"/>
      <c r="BS128" s="48"/>
      <c r="BT128" s="48"/>
    </row>
    <row r="129" spans="1:72" ht="21.75" thickBot="1" x14ac:dyDescent="0.4">
      <c r="A129" s="39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  <c r="AA129" s="48"/>
      <c r="AB129" s="48"/>
      <c r="AC129" s="48"/>
      <c r="AD129" s="48"/>
      <c r="AE129" s="48"/>
      <c r="AF129" s="48"/>
      <c r="AG129" s="48"/>
      <c r="AH129" s="48"/>
      <c r="AI129" s="48"/>
      <c r="AJ129" s="48"/>
      <c r="AK129" s="48"/>
      <c r="AL129" s="48"/>
      <c r="AM129" s="48"/>
      <c r="AN129" s="48"/>
      <c r="AO129" s="48"/>
      <c r="AP129" s="48"/>
      <c r="AQ129" s="48"/>
      <c r="AR129" s="48"/>
      <c r="AS129" s="48"/>
      <c r="AT129" s="48"/>
      <c r="AU129" s="48"/>
      <c r="AV129" s="48"/>
      <c r="AW129" s="48"/>
      <c r="AX129" s="48"/>
      <c r="AY129" s="48"/>
      <c r="AZ129" s="48"/>
      <c r="BA129" s="48"/>
      <c r="BB129" s="48"/>
      <c r="BC129" s="48"/>
      <c r="BD129" s="48"/>
      <c r="BE129" s="48"/>
      <c r="BF129" s="48"/>
      <c r="BG129" s="48"/>
      <c r="BH129" s="48"/>
      <c r="BI129" s="48"/>
      <c r="BJ129" s="48"/>
      <c r="BK129" s="48"/>
      <c r="BL129" s="48"/>
      <c r="BM129" s="48"/>
      <c r="BN129" s="48"/>
      <c r="BO129" s="48"/>
      <c r="BP129" s="48"/>
      <c r="BS129" s="48"/>
      <c r="BT129" s="48"/>
    </row>
    <row r="130" spans="1:72" ht="22.5" thickTop="1" thickBot="1" x14ac:dyDescent="0.4">
      <c r="A130" s="4" t="s">
        <v>39</v>
      </c>
      <c r="B130" s="4">
        <v>0</v>
      </c>
      <c r="C130" s="4">
        <v>0</v>
      </c>
      <c r="D130" s="4">
        <v>0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  <c r="J130" s="4">
        <v>0</v>
      </c>
      <c r="K130" s="4">
        <v>0</v>
      </c>
      <c r="L130" s="4">
        <v>0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  <c r="X130" s="4">
        <v>0</v>
      </c>
      <c r="Y130" s="4">
        <v>0</v>
      </c>
      <c r="Z130" s="4">
        <v>0</v>
      </c>
      <c r="AA130" s="4">
        <v>0</v>
      </c>
      <c r="AB130" s="4">
        <v>0</v>
      </c>
      <c r="AC130" s="4">
        <v>0</v>
      </c>
      <c r="AD130" s="4">
        <v>0</v>
      </c>
      <c r="AE130" s="4">
        <v>0</v>
      </c>
      <c r="AF130" s="4">
        <v>0</v>
      </c>
      <c r="AG130" s="4">
        <v>0</v>
      </c>
      <c r="AH130" s="4">
        <v>0</v>
      </c>
      <c r="AI130" s="4">
        <v>0</v>
      </c>
      <c r="AJ130" s="4">
        <v>0</v>
      </c>
      <c r="AK130" s="4">
        <v>0</v>
      </c>
      <c r="AL130" s="4">
        <v>0</v>
      </c>
      <c r="AM130" s="4">
        <v>0</v>
      </c>
      <c r="AN130" s="4">
        <v>0</v>
      </c>
      <c r="AO130" s="4">
        <v>0</v>
      </c>
      <c r="AP130" s="4">
        <v>0</v>
      </c>
      <c r="AQ130" s="4">
        <v>0</v>
      </c>
      <c r="AR130" s="4">
        <v>0</v>
      </c>
      <c r="AS130" s="4">
        <v>0</v>
      </c>
      <c r="AT130" s="4">
        <v>0</v>
      </c>
      <c r="AU130" s="4">
        <v>0</v>
      </c>
      <c r="AV130" s="4">
        <v>0</v>
      </c>
      <c r="AW130" s="4">
        <v>0</v>
      </c>
      <c r="AX130" s="4">
        <v>0</v>
      </c>
      <c r="AY130" s="4">
        <v>0</v>
      </c>
      <c r="AZ130" s="4">
        <v>0</v>
      </c>
      <c r="BA130" s="4">
        <v>0</v>
      </c>
      <c r="BB130" s="4">
        <v>0</v>
      </c>
      <c r="BC130" s="4">
        <v>0</v>
      </c>
      <c r="BD130" s="4">
        <v>0</v>
      </c>
      <c r="BE130" s="4">
        <v>0</v>
      </c>
      <c r="BF130" s="4">
        <v>0</v>
      </c>
      <c r="BG130" s="4">
        <v>0</v>
      </c>
      <c r="BH130" s="4">
        <v>0</v>
      </c>
      <c r="BI130" s="4">
        <v>0</v>
      </c>
      <c r="BJ130" s="4">
        <v>0</v>
      </c>
      <c r="BK130" s="4">
        <v>0</v>
      </c>
      <c r="BL130" s="4">
        <v>0</v>
      </c>
      <c r="BM130" s="4">
        <v>0</v>
      </c>
      <c r="BN130" s="4">
        <v>0</v>
      </c>
      <c r="BO130" s="4">
        <v>0</v>
      </c>
      <c r="BP130" s="4">
        <v>0</v>
      </c>
      <c r="BQ130" s="4">
        <v>0</v>
      </c>
      <c r="BR130" s="4">
        <v>0</v>
      </c>
      <c r="BS130" s="4">
        <v>0</v>
      </c>
      <c r="BT130" s="4">
        <v>0</v>
      </c>
    </row>
    <row r="131" spans="1:72" ht="22.5" thickTop="1" thickBot="1" x14ac:dyDescent="0.4">
      <c r="A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  <c r="AA131" s="48"/>
      <c r="AB131" s="48"/>
      <c r="AC131" s="48"/>
      <c r="AD131" s="48"/>
      <c r="AE131" s="48"/>
      <c r="AF131" s="48"/>
      <c r="AG131" s="48"/>
      <c r="AH131" s="48"/>
      <c r="AI131" s="48"/>
      <c r="AJ131" s="48"/>
      <c r="AK131" s="48"/>
      <c r="AL131" s="48"/>
      <c r="AM131" s="48"/>
      <c r="AN131" s="48"/>
      <c r="AO131" s="48"/>
      <c r="AP131" s="48"/>
      <c r="AQ131" s="48"/>
      <c r="AR131" s="48"/>
      <c r="AS131" s="48"/>
      <c r="AT131" s="48"/>
      <c r="AU131" s="48"/>
      <c r="AV131" s="48"/>
      <c r="AW131" s="48"/>
      <c r="AX131" s="48"/>
      <c r="AY131" s="48"/>
      <c r="AZ131" s="48"/>
      <c r="BA131" s="48"/>
      <c r="BB131" s="48"/>
      <c r="BC131" s="48"/>
      <c r="BD131" s="48"/>
      <c r="BE131" s="48"/>
      <c r="BF131" s="48"/>
      <c r="BG131" s="48"/>
      <c r="BH131" s="48"/>
      <c r="BI131" s="48"/>
      <c r="BJ131" s="48"/>
      <c r="BK131" s="48"/>
      <c r="BL131" s="48"/>
      <c r="BM131" s="48"/>
      <c r="BN131" s="48"/>
      <c r="BO131" s="48"/>
      <c r="BP131" s="48"/>
      <c r="BS131" s="48"/>
      <c r="BT131" s="48"/>
    </row>
    <row r="132" spans="1:72" ht="22.5" thickTop="1" thickBot="1" x14ac:dyDescent="0.4">
      <c r="A132" s="4" t="s">
        <v>29</v>
      </c>
      <c r="B132" s="4">
        <v>300</v>
      </c>
      <c r="C132" s="4">
        <v>310</v>
      </c>
      <c r="D132" s="4">
        <v>320</v>
      </c>
      <c r="E132" s="4">
        <v>330</v>
      </c>
      <c r="F132" s="4">
        <v>340</v>
      </c>
      <c r="G132" s="4">
        <v>350</v>
      </c>
      <c r="H132" s="4">
        <v>360</v>
      </c>
      <c r="I132" s="4">
        <v>370</v>
      </c>
      <c r="J132" s="4">
        <v>380</v>
      </c>
      <c r="K132" s="4">
        <v>390</v>
      </c>
      <c r="L132" s="4">
        <v>400</v>
      </c>
      <c r="M132" s="4">
        <v>410</v>
      </c>
      <c r="N132" s="4">
        <v>420</v>
      </c>
      <c r="O132" s="4">
        <v>430</v>
      </c>
      <c r="P132" s="4">
        <v>440</v>
      </c>
      <c r="Q132" s="4">
        <v>450</v>
      </c>
      <c r="R132" s="4">
        <v>460</v>
      </c>
      <c r="S132" s="4">
        <v>470</v>
      </c>
      <c r="T132" s="4">
        <v>480</v>
      </c>
      <c r="U132" s="4">
        <v>490</v>
      </c>
      <c r="V132" s="4">
        <v>500</v>
      </c>
      <c r="W132" s="4">
        <v>510</v>
      </c>
      <c r="X132" s="4">
        <v>520</v>
      </c>
      <c r="Y132" s="4">
        <v>530</v>
      </c>
      <c r="Z132" s="4">
        <v>540</v>
      </c>
      <c r="AA132" s="4">
        <v>550</v>
      </c>
      <c r="AB132" s="4">
        <v>560</v>
      </c>
      <c r="AC132" s="4">
        <v>570</v>
      </c>
      <c r="AD132" s="4">
        <v>580</v>
      </c>
      <c r="AE132" s="4">
        <v>590</v>
      </c>
      <c r="AF132" s="4">
        <v>600</v>
      </c>
      <c r="AG132" s="4">
        <v>610</v>
      </c>
      <c r="AH132" s="4">
        <v>620</v>
      </c>
      <c r="AI132" s="4">
        <v>630</v>
      </c>
      <c r="AJ132" s="4">
        <v>640</v>
      </c>
      <c r="AK132" s="4">
        <v>650</v>
      </c>
      <c r="AL132" s="4">
        <v>660</v>
      </c>
      <c r="AM132" s="4">
        <v>670</v>
      </c>
      <c r="AN132" s="4">
        <v>680</v>
      </c>
      <c r="AO132" s="4">
        <v>690</v>
      </c>
      <c r="AP132" s="4">
        <v>700</v>
      </c>
      <c r="AQ132" s="4">
        <v>710</v>
      </c>
      <c r="AR132" s="4">
        <v>720</v>
      </c>
      <c r="AS132" s="4">
        <v>730</v>
      </c>
      <c r="AT132" s="4">
        <v>740</v>
      </c>
      <c r="AU132" s="4">
        <v>750</v>
      </c>
      <c r="AV132" s="4">
        <v>760</v>
      </c>
      <c r="AW132" s="4">
        <v>770</v>
      </c>
      <c r="AX132" s="4">
        <v>780</v>
      </c>
      <c r="AY132" s="4">
        <v>790</v>
      </c>
      <c r="AZ132" s="4">
        <v>800</v>
      </c>
      <c r="BA132" s="4">
        <v>810</v>
      </c>
      <c r="BB132" s="4">
        <v>820</v>
      </c>
      <c r="BC132" s="4">
        <v>830</v>
      </c>
      <c r="BD132" s="4">
        <v>840</v>
      </c>
      <c r="BE132" s="4">
        <v>850</v>
      </c>
      <c r="BF132" s="4">
        <v>860</v>
      </c>
      <c r="BG132" s="4">
        <v>870</v>
      </c>
      <c r="BH132" s="4">
        <v>880</v>
      </c>
      <c r="BI132" s="4">
        <v>890</v>
      </c>
      <c r="BJ132" s="4">
        <v>900</v>
      </c>
      <c r="BK132" s="4">
        <v>910</v>
      </c>
      <c r="BL132" s="4">
        <v>920</v>
      </c>
      <c r="BM132" s="4">
        <v>930</v>
      </c>
      <c r="BN132" s="4">
        <v>940</v>
      </c>
      <c r="BO132" s="4">
        <v>950</v>
      </c>
      <c r="BP132" s="4">
        <v>960</v>
      </c>
      <c r="BQ132" s="4">
        <v>970</v>
      </c>
      <c r="BR132" s="4">
        <v>980</v>
      </c>
      <c r="BS132" s="4">
        <v>990</v>
      </c>
      <c r="BT132" s="4">
        <v>1000</v>
      </c>
    </row>
    <row r="133" spans="1:72" ht="22.5" thickTop="1" thickBot="1" x14ac:dyDescent="0.4">
      <c r="A133" s="18" t="s">
        <v>51</v>
      </c>
      <c r="B133" s="36">
        <v>-22.065575757575758</v>
      </c>
      <c r="C133" s="36">
        <v>-21.674060606060607</v>
      </c>
      <c r="D133" s="48">
        <v>-21.395272727272726</v>
      </c>
      <c r="E133" s="48">
        <v>-21.244787878787879</v>
      </c>
      <c r="F133" s="48">
        <v>-21.157019667170953</v>
      </c>
      <c r="G133" s="48">
        <v>-21.244765506807866</v>
      </c>
      <c r="H133" s="48">
        <v>-21.332511346444779</v>
      </c>
      <c r="I133" s="48">
        <v>-21.420257186081695</v>
      </c>
      <c r="J133" s="48">
        <v>-21.508003025718608</v>
      </c>
      <c r="K133" s="48">
        <v>-21.595748865355521</v>
      </c>
      <c r="L133" s="48">
        <v>-21.683494704992437</v>
      </c>
      <c r="M133" s="48">
        <v>-21.792666666666666</v>
      </c>
      <c r="N133" s="48">
        <v>-21.925999999999998</v>
      </c>
      <c r="O133" s="48">
        <v>-22.049393939393937</v>
      </c>
      <c r="P133" s="48">
        <v>-22.167409638554215</v>
      </c>
      <c r="Q133" s="48">
        <v>-22.269819277108432</v>
      </c>
      <c r="R133" s="48">
        <v>-22.363272727272729</v>
      </c>
      <c r="S133" s="48">
        <v>-22.448121212121212</v>
      </c>
      <c r="T133" s="48">
        <v>-22.532969696969698</v>
      </c>
      <c r="U133" s="48">
        <v>-22.620363636363638</v>
      </c>
      <c r="V133" s="48">
        <v>-22.717333333333336</v>
      </c>
      <c r="W133" s="48">
        <v>-22.82448484848485</v>
      </c>
      <c r="X133" s="48">
        <v>-22.939636363636364</v>
      </c>
      <c r="Y133" s="48">
        <v>-23.059638554216868</v>
      </c>
      <c r="Z133" s="48">
        <v>-23.183333333333334</v>
      </c>
      <c r="AA133" s="48">
        <v>-23.316666666666666</v>
      </c>
      <c r="AB133" s="48">
        <v>-23.453636363636363</v>
      </c>
      <c r="AC133" s="48">
        <v>-23.593030303030304</v>
      </c>
      <c r="AD133" s="48">
        <v>-23.738181818181818</v>
      </c>
      <c r="AE133" s="48">
        <v>-23.881818181818183</v>
      </c>
      <c r="AF133" s="48">
        <v>-24.02121212121212</v>
      </c>
      <c r="AG133" s="48">
        <v>-24.163975903614457</v>
      </c>
      <c r="AH133" s="48">
        <v>-24.308554216867467</v>
      </c>
      <c r="AI133" s="48">
        <v>-24.448</v>
      </c>
      <c r="AJ133" s="48">
        <v>-24.587393939393937</v>
      </c>
      <c r="AK133" s="48">
        <v>-24.726787878787878</v>
      </c>
      <c r="AL133" s="48">
        <v>-24.866181818181818</v>
      </c>
      <c r="AM133" s="48">
        <v>-25.005446293494703</v>
      </c>
      <c r="AN133" s="48">
        <v>-25.141603630862328</v>
      </c>
      <c r="AO133" s="48">
        <v>-25.277760968229956</v>
      </c>
      <c r="AP133" s="48">
        <v>-25.41391830559758</v>
      </c>
      <c r="AQ133" s="48">
        <v>-25.550075642965204</v>
      </c>
      <c r="AR133" s="48">
        <v>-25.686232980332829</v>
      </c>
      <c r="AS133" s="48">
        <v>-25.822390317700453</v>
      </c>
      <c r="AT133" s="48">
        <v>-25.955295007564295</v>
      </c>
      <c r="AU133" s="48">
        <v>-26.083888048411495</v>
      </c>
      <c r="AV133" s="48">
        <v>-26.212481089258699</v>
      </c>
      <c r="AW133" s="48">
        <v>-26.341074130105898</v>
      </c>
      <c r="AX133" s="48">
        <v>-26.469667170953102</v>
      </c>
      <c r="AY133" s="48">
        <v>-26.598260211800302</v>
      </c>
      <c r="AZ133" s="48">
        <v>-26.726853252647505</v>
      </c>
      <c r="BA133" s="48">
        <v>-26.849393939393941</v>
      </c>
      <c r="BB133" s="48">
        <v>-26.970606060606062</v>
      </c>
      <c r="BC133" s="48">
        <v>-27.091818181818184</v>
      </c>
      <c r="BD133" s="48">
        <v>-27.213030303030305</v>
      </c>
      <c r="BE133" s="48">
        <v>-27.334242424242426</v>
      </c>
      <c r="BF133" s="48">
        <v>-27.455454545454547</v>
      </c>
      <c r="BG133" s="48">
        <v>-27.576506024096386</v>
      </c>
      <c r="BH133" s="48">
        <v>-27.69698795180723</v>
      </c>
      <c r="BI133" s="48">
        <v>-27.817878787878787</v>
      </c>
      <c r="BJ133" s="48">
        <v>-27.939090909090908</v>
      </c>
      <c r="BK133" s="48">
        <v>-28.060303030303029</v>
      </c>
      <c r="BL133" s="48">
        <v>-28.18151515151515</v>
      </c>
      <c r="BM133" s="48">
        <v>-28.302727272727275</v>
      </c>
      <c r="BN133" s="48">
        <v>-28.420242424242424</v>
      </c>
      <c r="BO133" s="48">
        <v>-28.535393939393938</v>
      </c>
      <c r="BP133" s="48">
        <v>-28.655662650602409</v>
      </c>
      <c r="BQ133" s="48">
        <v>-28.776363636363634</v>
      </c>
      <c r="BR133" s="48">
        <v>-28.897575757575758</v>
      </c>
      <c r="BS133" s="48">
        <v>-29.014848484848486</v>
      </c>
      <c r="BT133" s="48">
        <v>-29.13</v>
      </c>
    </row>
    <row r="134" spans="1:72" ht="21.75" thickBot="1" x14ac:dyDescent="0.4">
      <c r="A134" s="18" t="s">
        <v>55</v>
      </c>
      <c r="B134" s="36">
        <v>-37.871212121212125</v>
      </c>
      <c r="C134" s="36">
        <v>-36.936060606060607</v>
      </c>
      <c r="D134" s="48">
        <v>-36.057272727272725</v>
      </c>
      <c r="E134" s="48">
        <v>-35.249272727272725</v>
      </c>
      <c r="F134" s="48">
        <v>-34.48330711043873</v>
      </c>
      <c r="G134" s="48">
        <v>-33.899645990922842</v>
      </c>
      <c r="H134" s="48">
        <v>-33.315984871406961</v>
      </c>
      <c r="I134" s="48">
        <v>-32.732323751891073</v>
      </c>
      <c r="J134" s="48">
        <v>-32.148662632375192</v>
      </c>
      <c r="K134" s="48">
        <v>-31.565001512859304</v>
      </c>
      <c r="L134" s="48">
        <v>-30.981340393343419</v>
      </c>
      <c r="M134" s="48">
        <v>-30.471751515151517</v>
      </c>
      <c r="N134" s="48">
        <v>-30.045690909090911</v>
      </c>
      <c r="O134" s="48">
        <v>-29.668830303030305</v>
      </c>
      <c r="P134" s="48">
        <v>-29.315024096385542</v>
      </c>
      <c r="Q134" s="48">
        <v>-29.021048192771087</v>
      </c>
      <c r="R134" s="48">
        <v>-28.765418181818184</v>
      </c>
      <c r="S134" s="48">
        <v>-28.546630303030305</v>
      </c>
      <c r="T134" s="48">
        <v>-28.406024242424245</v>
      </c>
      <c r="U134" s="48">
        <v>-28.297109090909093</v>
      </c>
      <c r="V134" s="48">
        <v>-28.259533333333334</v>
      </c>
      <c r="W134" s="48">
        <v>-28.267096969696972</v>
      </c>
      <c r="X134" s="48">
        <v>-28.310127272727271</v>
      </c>
      <c r="Y134" s="48">
        <v>-28.39896987951807</v>
      </c>
      <c r="Z134" s="48">
        <v>-28.502333333333333</v>
      </c>
      <c r="AA134" s="48">
        <v>-28.635666666666665</v>
      </c>
      <c r="AB134" s="48">
        <v>-28.781727272727274</v>
      </c>
      <c r="AC134" s="48">
        <v>-28.93627272727273</v>
      </c>
      <c r="AD134" s="48">
        <v>-29.102333333333334</v>
      </c>
      <c r="AE134" s="48">
        <v>-29.267909090909093</v>
      </c>
      <c r="AF134" s="48">
        <v>-29.430939393939394</v>
      </c>
      <c r="AG134" s="48">
        <v>-29.598030120481926</v>
      </c>
      <c r="AH134" s="48">
        <v>-29.767307228915662</v>
      </c>
      <c r="AI134" s="48">
        <v>-29.930999999999997</v>
      </c>
      <c r="AJ134" s="48">
        <v>-30.094842424242422</v>
      </c>
      <c r="AK134" s="48">
        <v>-30.259084848484846</v>
      </c>
      <c r="AL134" s="48">
        <v>-30.422909090909091</v>
      </c>
      <c r="AM134" s="48">
        <v>-30.586432677760968</v>
      </c>
      <c r="AN134" s="48">
        <v>-30.747249621785173</v>
      </c>
      <c r="AO134" s="48">
        <v>-30.908066565809378</v>
      </c>
      <c r="AP134" s="48">
        <v>-31.068883509833583</v>
      </c>
      <c r="AQ134" s="48">
        <v>-31.229700453857792</v>
      </c>
      <c r="AR134" s="48">
        <v>-31.390517397881997</v>
      </c>
      <c r="AS134" s="48">
        <v>-31.551334341906202</v>
      </c>
      <c r="AT134" s="48">
        <v>-31.709614220877459</v>
      </c>
      <c r="AU134" s="48">
        <v>-31.864531013615736</v>
      </c>
      <c r="AV134" s="48">
        <v>-32.019447806354009</v>
      </c>
      <c r="AW134" s="48">
        <v>-32.174364599092286</v>
      </c>
      <c r="AX134" s="48">
        <v>-32.329281391830563</v>
      </c>
      <c r="AY134" s="48">
        <v>-32.484198184568839</v>
      </c>
      <c r="AZ134" s="48">
        <v>-32.639114977307116</v>
      </c>
      <c r="BA134" s="48">
        <v>-32.792360606060612</v>
      </c>
      <c r="BB134" s="48">
        <v>-32.945239393939396</v>
      </c>
      <c r="BC134" s="48">
        <v>-33.098118181818187</v>
      </c>
      <c r="BD134" s="48">
        <v>-33.25099696969697</v>
      </c>
      <c r="BE134" s="48">
        <v>-33.403875757575761</v>
      </c>
      <c r="BF134" s="48">
        <v>-33.556754545454545</v>
      </c>
      <c r="BG134" s="48">
        <v>-33.709000000000003</v>
      </c>
      <c r="BH134" s="48">
        <v>-33.859000000000002</v>
      </c>
      <c r="BI134" s="48">
        <v>-34.008490909090909</v>
      </c>
      <c r="BJ134" s="48">
        <v>-34.157581818181818</v>
      </c>
      <c r="BK134" s="48">
        <v>-34.304466666666663</v>
      </c>
      <c r="BL134" s="48">
        <v>-34.450818181818178</v>
      </c>
      <c r="BM134" s="48">
        <v>-34.596272727272726</v>
      </c>
      <c r="BN134" s="48">
        <v>-34.737660606060608</v>
      </c>
      <c r="BO134" s="48">
        <v>-34.876448484848481</v>
      </c>
      <c r="BP134" s="48">
        <v>-35.019060240963853</v>
      </c>
      <c r="BQ134" s="48">
        <v>-35.162090909090907</v>
      </c>
      <c r="BR134" s="48">
        <v>-35.305727272727275</v>
      </c>
      <c r="BS134" s="48">
        <v>-35.445030303030308</v>
      </c>
      <c r="BT134" s="48">
        <v>-35.582000000000001</v>
      </c>
    </row>
    <row r="135" spans="1:72" ht="21.75" thickBot="1" x14ac:dyDescent="0.4">
      <c r="A135" s="18" t="s">
        <v>1</v>
      </c>
      <c r="B135" s="36">
        <v>-18.61</v>
      </c>
      <c r="C135" s="36">
        <v>-18.612303030303028</v>
      </c>
      <c r="D135" s="48">
        <v>-18.618363636363636</v>
      </c>
      <c r="E135" s="48">
        <v>-18.624424242424244</v>
      </c>
      <c r="F135" s="48">
        <v>-18.631089258698939</v>
      </c>
      <c r="G135" s="48">
        <v>-18.644704992435702</v>
      </c>
      <c r="H135" s="48">
        <v>-18.658320726172466</v>
      </c>
      <c r="I135" s="48">
        <v>-18.671936459909226</v>
      </c>
      <c r="J135" s="48">
        <v>-18.685552193645989</v>
      </c>
      <c r="K135" s="48">
        <v>-18.699167927382753</v>
      </c>
      <c r="L135" s="48">
        <v>-18.712783661119516</v>
      </c>
      <c r="M135" s="48">
        <v>-18.728545454545454</v>
      </c>
      <c r="N135" s="48">
        <v>-18.746727272727274</v>
      </c>
      <c r="O135" s="48">
        <v>-18.764909090909093</v>
      </c>
      <c r="P135" s="48">
        <v>-18.783072289156628</v>
      </c>
      <c r="Q135" s="48">
        <v>-18.801144578313252</v>
      </c>
      <c r="R135" s="48">
        <v>-18.819272727272725</v>
      </c>
      <c r="S135" s="48">
        <v>-18.837454545454545</v>
      </c>
      <c r="T135" s="48">
        <v>-18.855636363636364</v>
      </c>
      <c r="U135" s="48">
        <v>-18.873818181818184</v>
      </c>
      <c r="V135" s="48">
        <v>-18.891999999999999</v>
      </c>
      <c r="W135" s="48">
        <v>-18.913575757575757</v>
      </c>
      <c r="X135" s="48">
        <v>-18.937818181818184</v>
      </c>
      <c r="Y135" s="48">
        <v>-18.95644578313253</v>
      </c>
      <c r="Z135" s="48">
        <v>-18.976060606060607</v>
      </c>
      <c r="AA135" s="48">
        <v>-19.00030303030303</v>
      </c>
      <c r="AB135" s="48">
        <v>-19.020909090909093</v>
      </c>
      <c r="AC135" s="48">
        <v>-19.039090909090909</v>
      </c>
      <c r="AD135" s="48">
        <v>-19.057272727272728</v>
      </c>
      <c r="AE135" s="48">
        <v>-19.077272727272728</v>
      </c>
      <c r="AF135" s="48">
        <v>-19.101515151515152</v>
      </c>
      <c r="AG135" s="48">
        <v>-19.121746987951806</v>
      </c>
      <c r="AH135" s="48">
        <v>-19.139819277108433</v>
      </c>
      <c r="AI135" s="48">
        <v>-19.164000000000001</v>
      </c>
      <c r="AJ135" s="48">
        <v>-19.186181818181819</v>
      </c>
      <c r="AK135" s="48">
        <v>-19.204363636363638</v>
      </c>
      <c r="AL135" s="48">
        <v>-19.226727272727274</v>
      </c>
      <c r="AM135" s="48">
        <v>-19.250786686838126</v>
      </c>
      <c r="AN135" s="48">
        <v>-19.270453857791225</v>
      </c>
      <c r="AO135" s="48">
        <v>-19.290121028744327</v>
      </c>
      <c r="AP135" s="48">
        <v>-19.309788199697426</v>
      </c>
      <c r="AQ135" s="48">
        <v>-19.329455370650528</v>
      </c>
      <c r="AR135" s="48">
        <v>-19.349122541603631</v>
      </c>
      <c r="AS135" s="48">
        <v>-19.36878971255673</v>
      </c>
      <c r="AT135" s="48">
        <v>-19.388456883509832</v>
      </c>
      <c r="AU135" s="48">
        <v>-19.408124054462935</v>
      </c>
      <c r="AV135" s="48">
        <v>-19.427791225416037</v>
      </c>
      <c r="AW135" s="48">
        <v>-19.447458396369139</v>
      </c>
      <c r="AX135" s="48">
        <v>-19.467125567322238</v>
      </c>
      <c r="AY135" s="48">
        <v>-19.486792738275341</v>
      </c>
      <c r="AZ135" s="48">
        <v>-19.506459909228443</v>
      </c>
      <c r="BA135" s="48">
        <v>-19.526151515151518</v>
      </c>
      <c r="BB135" s="48">
        <v>-19.545848484848488</v>
      </c>
      <c r="BC135" s="48">
        <v>-19.565545454545457</v>
      </c>
      <c r="BD135" s="48">
        <v>-19.585242424242427</v>
      </c>
      <c r="BE135" s="48">
        <v>-19.604939393939397</v>
      </c>
      <c r="BF135" s="48">
        <v>-19.624636363636366</v>
      </c>
      <c r="BG135" s="48">
        <v>-19.643975903614457</v>
      </c>
      <c r="BH135" s="48">
        <v>-19.662048192771085</v>
      </c>
      <c r="BI135" s="48">
        <v>-19.680181818181818</v>
      </c>
      <c r="BJ135" s="48">
        <v>-19.698363636363634</v>
      </c>
      <c r="BK135" s="48">
        <v>-19.716545454545454</v>
      </c>
      <c r="BL135" s="48">
        <v>-19.734727272727273</v>
      </c>
      <c r="BM135" s="48">
        <v>-19.752909090909093</v>
      </c>
      <c r="BN135" s="48">
        <v>-19.771090909090908</v>
      </c>
      <c r="BO135" s="48">
        <v>-19.789272727272728</v>
      </c>
      <c r="BP135" s="48">
        <v>-19.807349397590361</v>
      </c>
      <c r="BQ135" s="48">
        <v>-19.825454545454544</v>
      </c>
      <c r="BR135" s="48">
        <v>-19.843636363636364</v>
      </c>
      <c r="BS135" s="48">
        <v>-19.861818181818183</v>
      </c>
      <c r="BT135" s="48">
        <v>-19.88</v>
      </c>
    </row>
    <row r="136" spans="1:72" ht="21.75" thickBot="1" x14ac:dyDescent="0.4">
      <c r="A136" s="18" t="s">
        <v>82</v>
      </c>
      <c r="B136" s="36">
        <v>-59.936787878787875</v>
      </c>
      <c r="C136" s="36">
        <v>-58.610121212121214</v>
      </c>
      <c r="D136" s="48">
        <v>-57.452545454545458</v>
      </c>
      <c r="E136" s="48">
        <v>-56.494060606060607</v>
      </c>
      <c r="F136" s="48">
        <v>-55.64032677760968</v>
      </c>
      <c r="G136" s="48">
        <v>-55.144411497730708</v>
      </c>
      <c r="H136" s="48">
        <v>-54.648496217851736</v>
      </c>
      <c r="I136" s="48">
        <v>-54.152580937972772</v>
      </c>
      <c r="J136" s="48">
        <v>-53.6566656580938</v>
      </c>
      <c r="K136" s="48">
        <v>-53.160750378214829</v>
      </c>
      <c r="L136" s="48">
        <v>-52.664835098335857</v>
      </c>
      <c r="M136" s="48">
        <v>-52.264418181818179</v>
      </c>
      <c r="N136" s="48">
        <v>-51.97169090909091</v>
      </c>
      <c r="O136" s="48">
        <v>-51.718224242424242</v>
      </c>
      <c r="P136" s="48">
        <v>-51.482433734939761</v>
      </c>
      <c r="Q136" s="48">
        <v>-51.290867469879522</v>
      </c>
      <c r="R136" s="48">
        <v>-51.128690909090913</v>
      </c>
      <c r="S136" s="48">
        <v>-50.994751515151513</v>
      </c>
      <c r="T136" s="48">
        <v>-50.938993939393939</v>
      </c>
      <c r="U136" s="48">
        <v>-50.917472727272731</v>
      </c>
      <c r="V136" s="48">
        <v>-50.976866666666666</v>
      </c>
      <c r="W136" s="48">
        <v>-51.091581818181815</v>
      </c>
      <c r="X136" s="48">
        <v>-51.249763636363632</v>
      </c>
      <c r="Y136" s="48">
        <v>-51.458608433734938</v>
      </c>
      <c r="Z136" s="48">
        <v>-51.68566666666667</v>
      </c>
      <c r="AA136" s="48">
        <v>-51.952333333333335</v>
      </c>
      <c r="AB136" s="48">
        <v>-52.235363636363644</v>
      </c>
      <c r="AC136" s="48">
        <v>-52.529303030303033</v>
      </c>
      <c r="AD136" s="48">
        <v>-52.840515151515149</v>
      </c>
      <c r="AE136" s="48">
        <v>-53.149727272727269</v>
      </c>
      <c r="AF136" s="48">
        <v>-53.452151515151513</v>
      </c>
      <c r="AG136" s="48">
        <v>-53.76200602409638</v>
      </c>
      <c r="AH136" s="48">
        <v>-54.075861445783126</v>
      </c>
      <c r="AI136" s="48">
        <v>-54.378999999999998</v>
      </c>
      <c r="AJ136" s="48">
        <v>-54.682236363636363</v>
      </c>
      <c r="AK136" s="48">
        <v>-54.985872727272728</v>
      </c>
      <c r="AL136" s="48">
        <v>-55.289090909090909</v>
      </c>
      <c r="AM136" s="48">
        <v>-55.591878971255667</v>
      </c>
      <c r="AN136" s="48">
        <v>-55.8888532526475</v>
      </c>
      <c r="AO136" s="48">
        <v>-56.185827534039333</v>
      </c>
      <c r="AP136" s="48">
        <v>-56.482801815431159</v>
      </c>
      <c r="AQ136" s="48">
        <v>-56.779776096822992</v>
      </c>
      <c r="AR136" s="48">
        <v>-57.076750378214825</v>
      </c>
      <c r="AS136" s="48">
        <v>-57.373724659606651</v>
      </c>
      <c r="AT136" s="48">
        <v>-57.664909228441751</v>
      </c>
      <c r="AU136" s="48">
        <v>-57.948419062027227</v>
      </c>
      <c r="AV136" s="48">
        <v>-58.231928895612711</v>
      </c>
      <c r="AW136" s="48">
        <v>-58.515438729198188</v>
      </c>
      <c r="AX136" s="48">
        <v>-58.798948562783664</v>
      </c>
      <c r="AY136" s="48">
        <v>-59.082458396369141</v>
      </c>
      <c r="AZ136" s="48">
        <v>-59.365968229954618</v>
      </c>
      <c r="BA136" s="48">
        <v>-59.641754545454546</v>
      </c>
      <c r="BB136" s="48">
        <v>-59.915845454545455</v>
      </c>
      <c r="BC136" s="48">
        <v>-60.189936363636363</v>
      </c>
      <c r="BD136" s="48">
        <v>-60.464027272727272</v>
      </c>
      <c r="BE136" s="48">
        <v>-60.73811818181818</v>
      </c>
      <c r="BF136" s="48">
        <v>-61.012209090909089</v>
      </c>
      <c r="BG136" s="48">
        <v>-61.285506024096385</v>
      </c>
      <c r="BH136" s="48">
        <v>-61.555987951807225</v>
      </c>
      <c r="BI136" s="48">
        <v>-61.826369696969692</v>
      </c>
      <c r="BJ136" s="48">
        <v>-62.096672727272725</v>
      </c>
      <c r="BK136" s="48">
        <v>-62.364769696969695</v>
      </c>
      <c r="BL136" s="48">
        <v>-62.632333333333328</v>
      </c>
      <c r="BM136" s="48">
        <v>-62.899000000000001</v>
      </c>
      <c r="BN136" s="48">
        <v>-63.157903030303032</v>
      </c>
      <c r="BO136" s="48">
        <v>-63.411842424242423</v>
      </c>
      <c r="BP136" s="48">
        <v>-63.674722891566262</v>
      </c>
      <c r="BQ136" s="48">
        <v>-63.93845454545454</v>
      </c>
      <c r="BR136" s="48">
        <v>-64.203303030303033</v>
      </c>
      <c r="BS136" s="48">
        <v>-64.459878787878793</v>
      </c>
      <c r="BT136" s="48">
        <v>-64.712000000000003</v>
      </c>
    </row>
    <row r="137" spans="1:72" ht="21.75" thickBot="1" x14ac:dyDescent="0.4">
      <c r="A137" s="18" t="s">
        <v>71</v>
      </c>
      <c r="B137" s="36">
        <v>-37.871212121212125</v>
      </c>
      <c r="C137" s="36">
        <v>-36.936060606060607</v>
      </c>
      <c r="D137" s="48">
        <v>-36.057272727272725</v>
      </c>
      <c r="E137" s="48">
        <v>-35.249272727272725</v>
      </c>
      <c r="F137" s="48">
        <v>-34.48330711043873</v>
      </c>
      <c r="G137" s="48">
        <v>-33.899645990922842</v>
      </c>
      <c r="H137" s="48">
        <v>-33.315984871406961</v>
      </c>
      <c r="I137" s="48">
        <v>-32.732323751891073</v>
      </c>
      <c r="J137" s="48">
        <v>-32.148662632375192</v>
      </c>
      <c r="K137" s="48">
        <v>-31.565001512859304</v>
      </c>
      <c r="L137" s="48">
        <v>-30.981340393343419</v>
      </c>
      <c r="M137" s="48">
        <v>-30.471751515151517</v>
      </c>
      <c r="N137" s="48">
        <v>-30.045690909090911</v>
      </c>
      <c r="O137" s="48">
        <v>-29.668830303030305</v>
      </c>
      <c r="P137" s="48">
        <v>-29.315024096385542</v>
      </c>
      <c r="Q137" s="48">
        <v>-29.021048192771087</v>
      </c>
      <c r="R137" s="48">
        <v>-28.765418181818184</v>
      </c>
      <c r="S137" s="48">
        <v>-28.546630303030305</v>
      </c>
      <c r="T137" s="48">
        <v>-28.406024242424245</v>
      </c>
      <c r="U137" s="48">
        <v>-28.297109090909093</v>
      </c>
      <c r="V137" s="48">
        <v>-28.259533333333334</v>
      </c>
      <c r="W137" s="48">
        <v>-28.267096969696972</v>
      </c>
      <c r="X137" s="48">
        <v>-28.310127272727271</v>
      </c>
      <c r="Y137" s="48">
        <v>-28.39896987951807</v>
      </c>
      <c r="Z137" s="48">
        <v>-28.502333333333333</v>
      </c>
      <c r="AA137" s="48">
        <v>-28.635666666666665</v>
      </c>
      <c r="AB137" s="48">
        <v>-28.781727272727274</v>
      </c>
      <c r="AC137" s="48">
        <v>-28.93627272727273</v>
      </c>
      <c r="AD137" s="48">
        <v>-29.102333333333334</v>
      </c>
      <c r="AE137" s="48">
        <v>-29.267909090909093</v>
      </c>
      <c r="AF137" s="48">
        <v>-29.430939393939394</v>
      </c>
      <c r="AG137" s="48">
        <v>-29.598030120481926</v>
      </c>
      <c r="AH137" s="48">
        <v>-29.767307228915662</v>
      </c>
      <c r="AI137" s="48">
        <v>-29.930999999999997</v>
      </c>
      <c r="AJ137" s="48">
        <v>-30.094842424242422</v>
      </c>
      <c r="AK137" s="48">
        <v>-30.259084848484846</v>
      </c>
      <c r="AL137" s="48">
        <v>-30.422909090909091</v>
      </c>
      <c r="AM137" s="48">
        <v>-30.586432677760968</v>
      </c>
      <c r="AN137" s="48">
        <v>-30.747249621785173</v>
      </c>
      <c r="AO137" s="48">
        <v>-30.908066565809378</v>
      </c>
      <c r="AP137" s="48">
        <v>-31.068883509833583</v>
      </c>
      <c r="AQ137" s="48">
        <v>-31.229700453857792</v>
      </c>
      <c r="AR137" s="48">
        <v>-31.390517397881997</v>
      </c>
      <c r="AS137" s="48">
        <v>-31.551334341906202</v>
      </c>
      <c r="AT137" s="48">
        <v>-31.709614220877459</v>
      </c>
      <c r="AU137" s="48">
        <v>-31.864531013615736</v>
      </c>
      <c r="AV137" s="48">
        <v>-32.019447806354009</v>
      </c>
      <c r="AW137" s="48">
        <v>-32.174364599092286</v>
      </c>
      <c r="AX137" s="48">
        <v>-32.329281391830563</v>
      </c>
      <c r="AY137" s="48">
        <v>-32.484198184568839</v>
      </c>
      <c r="AZ137" s="48">
        <v>-32.639114977307116</v>
      </c>
      <c r="BA137" s="48">
        <v>-32.792360606060612</v>
      </c>
      <c r="BB137" s="48">
        <v>-32.945239393939396</v>
      </c>
      <c r="BC137" s="48">
        <v>-33.098118181818187</v>
      </c>
      <c r="BD137" s="48">
        <v>-33.25099696969697</v>
      </c>
      <c r="BE137" s="48">
        <v>-33.403875757575761</v>
      </c>
      <c r="BF137" s="48">
        <v>-33.556754545454545</v>
      </c>
      <c r="BG137" s="48">
        <v>-33.709000000000003</v>
      </c>
      <c r="BH137" s="48">
        <v>-33.859000000000002</v>
      </c>
      <c r="BI137" s="48">
        <v>-34.008490909090909</v>
      </c>
      <c r="BJ137" s="48">
        <v>-34.157581818181818</v>
      </c>
      <c r="BK137" s="48">
        <v>-34.304466666666663</v>
      </c>
      <c r="BL137" s="48">
        <v>-34.450818181818178</v>
      </c>
      <c r="BM137" s="48">
        <v>-34.596272727272726</v>
      </c>
      <c r="BN137" s="48">
        <v>-34.737660606060608</v>
      </c>
      <c r="BO137" s="48">
        <v>-34.876448484848481</v>
      </c>
      <c r="BP137" s="48">
        <v>-35.019060240963853</v>
      </c>
      <c r="BQ137" s="48">
        <v>-35.162090909090907</v>
      </c>
      <c r="BR137" s="48">
        <v>-35.305727272727275</v>
      </c>
      <c r="BS137" s="48">
        <v>-35.445030303030308</v>
      </c>
      <c r="BT137" s="48">
        <v>-35.582000000000001</v>
      </c>
    </row>
    <row r="138" spans="1:72" ht="21.75" thickBot="1" x14ac:dyDescent="0.4">
      <c r="A138" s="18" t="s">
        <v>83</v>
      </c>
      <c r="B138" s="36">
        <v>-143.53575757575757</v>
      </c>
      <c r="C138" s="36">
        <v>-139.02181818181819</v>
      </c>
      <c r="D138" s="48">
        <v>-134.65818181818182</v>
      </c>
      <c r="E138" s="48">
        <v>-130.42284848484846</v>
      </c>
      <c r="F138" s="48">
        <v>-126.27735249621784</v>
      </c>
      <c r="G138" s="48">
        <v>-122.619258698941</v>
      </c>
      <c r="H138" s="48">
        <v>-118.96116490166413</v>
      </c>
      <c r="I138" s="48">
        <v>-115.30307110438729</v>
      </c>
      <c r="J138" s="48">
        <v>-111.64497730711044</v>
      </c>
      <c r="K138" s="48">
        <v>-107.98688350983359</v>
      </c>
      <c r="L138" s="48">
        <v>-104.32878971255674</v>
      </c>
      <c r="M138" s="48">
        <v>-100.97145454545455</v>
      </c>
      <c r="N138" s="48">
        <v>-97.953272727272733</v>
      </c>
      <c r="O138" s="48">
        <v>-95.1338787878788</v>
      </c>
      <c r="P138" s="48">
        <v>-92.402951807228931</v>
      </c>
      <c r="Q138" s="48">
        <v>-89.890903614457827</v>
      </c>
      <c r="R138" s="48">
        <v>-87.485454545454544</v>
      </c>
      <c r="S138" s="48">
        <v>-85.182424242424233</v>
      </c>
      <c r="T138" s="48">
        <v>-83.046181818181807</v>
      </c>
      <c r="U138" s="48">
        <v>-80.967636363636359</v>
      </c>
      <c r="V138" s="48">
        <v>-79.003999999999991</v>
      </c>
      <c r="W138" s="48">
        <v>-77.111636363636364</v>
      </c>
      <c r="X138" s="48">
        <v>-75.275272727272721</v>
      </c>
      <c r="Y138" s="48">
        <v>-73.564096385542157</v>
      </c>
      <c r="Z138" s="48">
        <v>-71.893030303030301</v>
      </c>
      <c r="AA138" s="48">
        <v>-70.305151515151508</v>
      </c>
      <c r="AB138" s="48">
        <v>-68.800909090909087</v>
      </c>
      <c r="AC138" s="48">
        <v>-67.352424242424249</v>
      </c>
      <c r="AD138" s="48">
        <v>-66.036363636363646</v>
      </c>
      <c r="AE138" s="48">
        <v>-64.758181818181825</v>
      </c>
      <c r="AF138" s="48">
        <v>-63.552121212121214</v>
      </c>
      <c r="AG138" s="48">
        <v>-62.417349397590364</v>
      </c>
      <c r="AH138" s="48">
        <v>-61.320963855421688</v>
      </c>
      <c r="AI138" s="48">
        <v>-60.284000000000006</v>
      </c>
      <c r="AJ138" s="48">
        <v>-59.272363636363643</v>
      </c>
      <c r="AK138" s="48">
        <v>-58.308727272727282</v>
      </c>
      <c r="AL138" s="48">
        <v>-57.370181818181827</v>
      </c>
      <c r="AM138" s="48">
        <v>-56.447685325264757</v>
      </c>
      <c r="AN138" s="48">
        <v>-55.639818456883518</v>
      </c>
      <c r="AO138" s="48">
        <v>-54.831951588502278</v>
      </c>
      <c r="AP138" s="48">
        <v>-54.024084720121031</v>
      </c>
      <c r="AQ138" s="48">
        <v>-53.216217851739792</v>
      </c>
      <c r="AR138" s="48">
        <v>-52.408350983358552</v>
      </c>
      <c r="AS138" s="48">
        <v>-51.600484114977313</v>
      </c>
      <c r="AT138" s="48">
        <v>-50.870030257186087</v>
      </c>
      <c r="AU138" s="48">
        <v>-50.242193645990923</v>
      </c>
      <c r="AV138" s="48">
        <v>-49.614357034795766</v>
      </c>
      <c r="AW138" s="48">
        <v>-48.986520423600602</v>
      </c>
      <c r="AX138" s="48">
        <v>-48.358683812405445</v>
      </c>
      <c r="AY138" s="48">
        <v>-47.730847201210281</v>
      </c>
      <c r="AZ138" s="48">
        <v>-47.103010590015124</v>
      </c>
      <c r="BA138" s="48">
        <v>-46.776054545454542</v>
      </c>
      <c r="BB138" s="48">
        <v>-46.515145454545447</v>
      </c>
      <c r="BC138" s="48">
        <v>-46.254236363636359</v>
      </c>
      <c r="BD138" s="48">
        <v>-45.993327272727271</v>
      </c>
      <c r="BE138" s="48">
        <v>-45.732418181818183</v>
      </c>
      <c r="BF138" s="48">
        <v>-45.471509090909088</v>
      </c>
      <c r="BG138" s="48">
        <v>-45.268265060240964</v>
      </c>
      <c r="BH138" s="48">
        <v>-45.26946987951807</v>
      </c>
      <c r="BI138" s="48">
        <v>-45.306654545454542</v>
      </c>
      <c r="BJ138" s="48">
        <v>-45.372109090909092</v>
      </c>
      <c r="BK138" s="48">
        <v>-45.473963636363635</v>
      </c>
      <c r="BL138" s="48">
        <v>-45.585721212121214</v>
      </c>
      <c r="BM138" s="48">
        <v>-45.715418181818187</v>
      </c>
      <c r="BN138" s="48">
        <v>-45.851030303030306</v>
      </c>
      <c r="BO138" s="48">
        <v>-45.99042424242424</v>
      </c>
      <c r="BP138" s="48">
        <v>-46.141734939759033</v>
      </c>
      <c r="BQ138" s="48">
        <v>-46.295636363636362</v>
      </c>
      <c r="BR138" s="48">
        <v>-46.454424242424246</v>
      </c>
      <c r="BS138" s="48">
        <v>-46.610848484848489</v>
      </c>
      <c r="BT138" s="48">
        <v>-46.765999999999998</v>
      </c>
    </row>
    <row r="139" spans="1:72" ht="21.75" thickBot="1" x14ac:dyDescent="0.4">
      <c r="A139" s="18" t="s">
        <v>72</v>
      </c>
      <c r="B139" s="36">
        <v>-82.800666666666672</v>
      </c>
      <c r="C139" s="36">
        <v>-80.347939393939399</v>
      </c>
      <c r="D139" s="48">
        <v>-78.026727272727271</v>
      </c>
      <c r="E139" s="48">
        <v>-75.833818181818188</v>
      </c>
      <c r="F139" s="48">
        <v>-73.717186081694393</v>
      </c>
      <c r="G139" s="48">
        <v>-71.932012102874438</v>
      </c>
      <c r="H139" s="48">
        <v>-70.146838124054469</v>
      </c>
      <c r="I139" s="48">
        <v>-68.361664145234499</v>
      </c>
      <c r="J139" s="48">
        <v>-66.57649016641453</v>
      </c>
      <c r="K139" s="48">
        <v>-64.79131618759456</v>
      </c>
      <c r="L139" s="48">
        <v>-63.006142208774591</v>
      </c>
      <c r="M139" s="48">
        <v>-61.382060606060605</v>
      </c>
      <c r="N139" s="48">
        <v>-59.93963636363636</v>
      </c>
      <c r="O139" s="48">
        <v>-58.591636363636361</v>
      </c>
      <c r="P139" s="48">
        <v>-57.285180722891567</v>
      </c>
      <c r="Q139" s="48">
        <v>-56.080361445783133</v>
      </c>
      <c r="R139" s="48">
        <v>-54.924363636363637</v>
      </c>
      <c r="S139" s="48">
        <v>-53.81527272727272</v>
      </c>
      <c r="T139" s="48">
        <v>-52.789575757575754</v>
      </c>
      <c r="U139" s="48">
        <v>-51.793999999999997</v>
      </c>
      <c r="V139" s="48">
        <v>-50.860666666666667</v>
      </c>
      <c r="W139" s="48">
        <v>-49.968060606060604</v>
      </c>
      <c r="X139" s="48">
        <v>-49.107454545454544</v>
      </c>
      <c r="Y139" s="48">
        <v>-48.311867469879516</v>
      </c>
      <c r="Z139" s="48">
        <v>-47.538181818181819</v>
      </c>
      <c r="AA139" s="48">
        <v>-46.810909090909085</v>
      </c>
      <c r="AB139" s="48">
        <v>-46.127272727272725</v>
      </c>
      <c r="AC139" s="48">
        <v>-45.472727272727269</v>
      </c>
      <c r="AD139" s="48">
        <v>-44.88727272727273</v>
      </c>
      <c r="AE139" s="48">
        <v>-44.32</v>
      </c>
      <c r="AF139" s="48">
        <v>-43.786666666666669</v>
      </c>
      <c r="AG139" s="48">
        <v>-43.290662650602414</v>
      </c>
      <c r="AH139" s="48">
        <v>-42.814759036144579</v>
      </c>
      <c r="AI139" s="48">
        <v>-42.366</v>
      </c>
      <c r="AJ139" s="48">
        <v>-41.929878787878792</v>
      </c>
      <c r="AK139" s="48">
        <v>-41.517757575757578</v>
      </c>
      <c r="AL139" s="48">
        <v>-41.118181818181817</v>
      </c>
      <c r="AM139" s="48">
        <v>-40.726565809379728</v>
      </c>
      <c r="AN139" s="48">
        <v>-40.390711043872919</v>
      </c>
      <c r="AO139" s="48">
        <v>-40.05485627836611</v>
      </c>
      <c r="AP139" s="48">
        <v>-39.719001512859307</v>
      </c>
      <c r="AQ139" s="48">
        <v>-39.383146747352498</v>
      </c>
      <c r="AR139" s="48">
        <v>-39.047291981845689</v>
      </c>
      <c r="AS139" s="48">
        <v>-38.711437216338879</v>
      </c>
      <c r="AT139" s="48">
        <v>-38.412662632375188</v>
      </c>
      <c r="AU139" s="48">
        <v>-38.163040847201209</v>
      </c>
      <c r="AV139" s="48">
        <v>-37.913419062027231</v>
      </c>
      <c r="AW139" s="48">
        <v>-37.663797276853252</v>
      </c>
      <c r="AX139" s="48">
        <v>-37.414175491679273</v>
      </c>
      <c r="AY139" s="48">
        <v>-37.164553706505295</v>
      </c>
      <c r="AZ139" s="48">
        <v>-36.914931921331309</v>
      </c>
      <c r="BA139" s="48">
        <v>-36.812724242424238</v>
      </c>
      <c r="BB139" s="48">
        <v>-36.742875757575753</v>
      </c>
      <c r="BC139" s="48">
        <v>-36.673027272727268</v>
      </c>
      <c r="BD139" s="48">
        <v>-36.603178787878782</v>
      </c>
      <c r="BE139" s="48">
        <v>-36.533330303030304</v>
      </c>
      <c r="BF139" s="48">
        <v>-36.463481818181819</v>
      </c>
      <c r="BG139" s="48">
        <v>-36.422385542168676</v>
      </c>
      <c r="BH139" s="48">
        <v>-36.48322891566265</v>
      </c>
      <c r="BI139" s="48">
        <v>-36.562266666666666</v>
      </c>
      <c r="BJ139" s="48">
        <v>-36.6556</v>
      </c>
      <c r="BK139" s="48">
        <v>-36.767133333333334</v>
      </c>
      <c r="BL139" s="48">
        <v>-36.883618181818179</v>
      </c>
      <c r="BM139" s="48">
        <v>-37.009072727272731</v>
      </c>
      <c r="BN139" s="48">
        <v>-37.135636363636365</v>
      </c>
      <c r="BO139" s="48">
        <v>-37.262909090909091</v>
      </c>
      <c r="BP139" s="48">
        <v>-37.398698795180721</v>
      </c>
      <c r="BQ139" s="48">
        <v>-37.536000000000001</v>
      </c>
      <c r="BR139" s="48">
        <v>-37.676000000000002</v>
      </c>
      <c r="BS139" s="48">
        <v>-37.812848484848487</v>
      </c>
      <c r="BT139" s="48">
        <v>-37.948</v>
      </c>
    </row>
    <row r="140" spans="1:72" ht="21.75" thickBot="1" x14ac:dyDescent="0.4">
      <c r="A140" s="18" t="s">
        <v>73</v>
      </c>
      <c r="B140" s="36">
        <v>-15.805636363636363</v>
      </c>
      <c r="C140" s="36">
        <v>-15.261999999999999</v>
      </c>
      <c r="D140" s="48">
        <v>-14.661999999999999</v>
      </c>
      <c r="E140" s="48">
        <v>-14.004484848484848</v>
      </c>
      <c r="F140" s="48">
        <v>-13.326287443267777</v>
      </c>
      <c r="G140" s="48">
        <v>-12.654880484114978</v>
      </c>
      <c r="H140" s="48">
        <v>-11.983473524962179</v>
      </c>
      <c r="I140" s="48">
        <v>-11.31206656580938</v>
      </c>
      <c r="J140" s="48">
        <v>-10.64065960665658</v>
      </c>
      <c r="K140" s="48">
        <v>-9.969252647503783</v>
      </c>
      <c r="L140" s="48">
        <v>-9.2978456883509839</v>
      </c>
      <c r="M140" s="48">
        <v>-8.67908484848485</v>
      </c>
      <c r="N140" s="48">
        <v>-8.1196909090909095</v>
      </c>
      <c r="O140" s="48">
        <v>-7.619436363636364</v>
      </c>
      <c r="P140" s="48">
        <v>-7.1476144578313257</v>
      </c>
      <c r="Q140" s="48">
        <v>-6.7512289156626508</v>
      </c>
      <c r="R140" s="48">
        <v>-6.4021454545454546</v>
      </c>
      <c r="S140" s="48">
        <v>-6.09850909090909</v>
      </c>
      <c r="T140" s="48">
        <v>-5.8730545454545453</v>
      </c>
      <c r="U140" s="48">
        <v>-5.6767454545454541</v>
      </c>
      <c r="V140" s="48">
        <v>-5.5421999999999993</v>
      </c>
      <c r="W140" s="48">
        <v>-5.4426121212121208</v>
      </c>
      <c r="X140" s="48">
        <v>-5.3704909090909085</v>
      </c>
      <c r="Y140" s="48">
        <v>-5.3393313253012051</v>
      </c>
      <c r="Z140" s="48">
        <v>-5.319</v>
      </c>
      <c r="AA140" s="48">
        <v>-5.319</v>
      </c>
      <c r="AB140" s="48">
        <v>-5.3280909090909088</v>
      </c>
      <c r="AC140" s="48">
        <v>-5.3432424242424243</v>
      </c>
      <c r="AD140" s="48">
        <v>-5.3641515151515149</v>
      </c>
      <c r="AE140" s="48">
        <v>-5.3860909090909086</v>
      </c>
      <c r="AF140" s="48">
        <v>-5.4097272727272729</v>
      </c>
      <c r="AG140" s="48">
        <v>-5.4340542168674695</v>
      </c>
      <c r="AH140" s="48">
        <v>-5.4587530120481924</v>
      </c>
      <c r="AI140" s="48">
        <v>-5.4829999999999997</v>
      </c>
      <c r="AJ140" s="48">
        <v>-5.5074484848484841</v>
      </c>
      <c r="AK140" s="48">
        <v>-5.5322969696969695</v>
      </c>
      <c r="AL140" s="48">
        <v>-5.5567272727272723</v>
      </c>
      <c r="AM140" s="48">
        <v>-5.5809863842662635</v>
      </c>
      <c r="AN140" s="48">
        <v>-5.6056459909228442</v>
      </c>
      <c r="AO140" s="48">
        <v>-5.6303055975794249</v>
      </c>
      <c r="AP140" s="48">
        <v>-5.6549652042360066</v>
      </c>
      <c r="AQ140" s="48">
        <v>-5.6796248108925873</v>
      </c>
      <c r="AR140" s="48">
        <v>-5.704284417549168</v>
      </c>
      <c r="AS140" s="48">
        <v>-5.7289440242057488</v>
      </c>
      <c r="AT140" s="48">
        <v>-5.7543192133131624</v>
      </c>
      <c r="AU140" s="48">
        <v>-5.7806429652042359</v>
      </c>
      <c r="AV140" s="48">
        <v>-5.8069667170953103</v>
      </c>
      <c r="AW140" s="48">
        <v>-5.8332904689863847</v>
      </c>
      <c r="AX140" s="48">
        <v>-5.8596142208774582</v>
      </c>
      <c r="AY140" s="48">
        <v>-5.8859379727685326</v>
      </c>
      <c r="AZ140" s="48">
        <v>-5.912261724659607</v>
      </c>
      <c r="BA140" s="48">
        <v>-5.942966666666667</v>
      </c>
      <c r="BB140" s="48">
        <v>-5.9746333333333332</v>
      </c>
      <c r="BC140" s="48">
        <v>-6.0063000000000004</v>
      </c>
      <c r="BD140" s="48">
        <v>-6.0379666666666667</v>
      </c>
      <c r="BE140" s="48">
        <v>-6.0696333333333339</v>
      </c>
      <c r="BF140" s="48">
        <v>-6.1013000000000002</v>
      </c>
      <c r="BG140" s="48">
        <v>-6.132493975903615</v>
      </c>
      <c r="BH140" s="48">
        <v>-6.1620120481927714</v>
      </c>
      <c r="BI140" s="48">
        <v>-6.190612121212121</v>
      </c>
      <c r="BJ140" s="48">
        <v>-6.2184909090909093</v>
      </c>
      <c r="BK140" s="48">
        <v>-6.2441636363636368</v>
      </c>
      <c r="BL140" s="48">
        <v>-6.2693030303030302</v>
      </c>
      <c r="BM140" s="48">
        <v>-6.2935454545454546</v>
      </c>
      <c r="BN140" s="48">
        <v>-6.3174181818181818</v>
      </c>
      <c r="BO140" s="48">
        <v>-6.3410545454545453</v>
      </c>
      <c r="BP140" s="48">
        <v>-6.363397590361445</v>
      </c>
      <c r="BQ140" s="48">
        <v>-6.385727272727272</v>
      </c>
      <c r="BR140" s="48">
        <v>-6.4081515151515154</v>
      </c>
      <c r="BS140" s="48">
        <v>-6.4301818181818184</v>
      </c>
      <c r="BT140" s="48">
        <v>-6.452</v>
      </c>
    </row>
    <row r="141" spans="1:72" ht="21.75" thickBot="1" x14ac:dyDescent="0.4">
      <c r="A141" s="18" t="s">
        <v>74</v>
      </c>
      <c r="B141" s="36">
        <v>-60.735090909090907</v>
      </c>
      <c r="C141" s="36">
        <v>-58.673878787878785</v>
      </c>
      <c r="D141" s="48">
        <v>-56.631454545454545</v>
      </c>
      <c r="E141" s="48">
        <v>-54.589030303030299</v>
      </c>
      <c r="F141" s="48">
        <v>-52.560166414523451</v>
      </c>
      <c r="G141" s="48">
        <v>-50.687246596066565</v>
      </c>
      <c r="H141" s="48">
        <v>-48.814326777609679</v>
      </c>
      <c r="I141" s="48">
        <v>-46.9414069591528</v>
      </c>
      <c r="J141" s="48">
        <v>-45.068487140695915</v>
      </c>
      <c r="K141" s="48">
        <v>-43.195567322239029</v>
      </c>
      <c r="L141" s="48">
        <v>-41.32264750378215</v>
      </c>
      <c r="M141" s="48">
        <v>-39.589393939393936</v>
      </c>
      <c r="N141" s="48">
        <v>-38.013636363636365</v>
      </c>
      <c r="O141" s="48">
        <v>-36.542242424242424</v>
      </c>
      <c r="P141" s="48">
        <v>-35.117771084337356</v>
      </c>
      <c r="Q141" s="48">
        <v>-33.810542168674701</v>
      </c>
      <c r="R141" s="48">
        <v>-32.561090909090908</v>
      </c>
      <c r="S141" s="48">
        <v>-31.367151515151512</v>
      </c>
      <c r="T141" s="48">
        <v>-30.256606060606057</v>
      </c>
      <c r="U141" s="48">
        <v>-29.173636363636362</v>
      </c>
      <c r="V141" s="48">
        <v>-28.143333333333331</v>
      </c>
      <c r="W141" s="48">
        <v>-27.143575757575757</v>
      </c>
      <c r="X141" s="48">
        <v>-26.167818181818177</v>
      </c>
      <c r="Y141" s="48">
        <v>-25.252228915662648</v>
      </c>
      <c r="Z141" s="48">
        <v>-24.354848484848485</v>
      </c>
      <c r="AA141" s="48">
        <v>-23.494242424242422</v>
      </c>
      <c r="AB141" s="48">
        <v>-22.673636363636362</v>
      </c>
      <c r="AC141" s="48">
        <v>-21.879696969696969</v>
      </c>
      <c r="AD141" s="48">
        <v>-21.149090909090908</v>
      </c>
      <c r="AE141" s="48">
        <v>-20.438181818181818</v>
      </c>
      <c r="AF141" s="48">
        <v>-19.765454545454546</v>
      </c>
      <c r="AG141" s="48">
        <v>-19.126686746987954</v>
      </c>
      <c r="AH141" s="48">
        <v>-18.506204819277109</v>
      </c>
      <c r="AI141" s="48">
        <v>-17.918000000000003</v>
      </c>
      <c r="AJ141" s="48">
        <v>-17.342484848484851</v>
      </c>
      <c r="AK141" s="48">
        <v>-16.7909696969697</v>
      </c>
      <c r="AL141" s="48">
        <v>-16.252000000000002</v>
      </c>
      <c r="AM141" s="48">
        <v>-15.721119515885023</v>
      </c>
      <c r="AN141" s="48">
        <v>-15.249107413010591</v>
      </c>
      <c r="AO141" s="48">
        <v>-14.77709531013616</v>
      </c>
      <c r="AP141" s="48">
        <v>-14.305083207261726</v>
      </c>
      <c r="AQ141" s="48">
        <v>-13.833071104387294</v>
      </c>
      <c r="AR141" s="48">
        <v>-13.36105900151286</v>
      </c>
      <c r="AS141" s="48">
        <v>-12.889046898638428</v>
      </c>
      <c r="AT141" s="48">
        <v>-12.457367624810892</v>
      </c>
      <c r="AU141" s="48">
        <v>-12.079152798789712</v>
      </c>
      <c r="AV141" s="48">
        <v>-11.700937972768532</v>
      </c>
      <c r="AW141" s="48">
        <v>-11.322723146747352</v>
      </c>
      <c r="AX141" s="48">
        <v>-10.944508320726172</v>
      </c>
      <c r="AY141" s="48">
        <v>-10.56629349470499</v>
      </c>
      <c r="AZ141" s="48">
        <v>-10.18807866868381</v>
      </c>
      <c r="BA141" s="48">
        <v>-9.9633303030303022</v>
      </c>
      <c r="BB141" s="48">
        <v>-9.7722696969696958</v>
      </c>
      <c r="BC141" s="48">
        <v>-9.5812090909090895</v>
      </c>
      <c r="BD141" s="48">
        <v>-9.3901484848484831</v>
      </c>
      <c r="BE141" s="48">
        <v>-9.1990878787878785</v>
      </c>
      <c r="BF141" s="48">
        <v>-9.0080272727272721</v>
      </c>
      <c r="BG141" s="48">
        <v>-8.8458795180722891</v>
      </c>
      <c r="BH141" s="48">
        <v>-8.7862409638554215</v>
      </c>
      <c r="BI141" s="48">
        <v>-8.7443878787878795</v>
      </c>
      <c r="BJ141" s="48">
        <v>-8.7165090909090921</v>
      </c>
      <c r="BK141" s="48">
        <v>-8.7068303030303031</v>
      </c>
      <c r="BL141" s="48">
        <v>-8.7021030303030305</v>
      </c>
      <c r="BM141" s="48">
        <v>-8.7063454545454544</v>
      </c>
      <c r="BN141" s="48">
        <v>-8.7153939393939392</v>
      </c>
      <c r="BO141" s="48">
        <v>-8.727515151515151</v>
      </c>
      <c r="BP141" s="48">
        <v>-8.7430361445783138</v>
      </c>
      <c r="BQ141" s="48">
        <v>-8.7596363636363641</v>
      </c>
      <c r="BR141" s="48">
        <v>-8.7784242424242418</v>
      </c>
      <c r="BS141" s="48">
        <v>-8.798</v>
      </c>
      <c r="BT141" s="48">
        <v>-8.8179999999999996</v>
      </c>
    </row>
    <row r="142" spans="1:72" ht="21.75" thickBot="1" x14ac:dyDescent="0.4">
      <c r="A142" s="18" t="s">
        <v>80</v>
      </c>
      <c r="B142" s="36">
        <v>-22.065575757575758</v>
      </c>
      <c r="C142" s="36">
        <v>-21.674060606060607</v>
      </c>
      <c r="D142" s="48">
        <v>-21.395272727272726</v>
      </c>
      <c r="E142" s="48">
        <v>-21.244787878787879</v>
      </c>
      <c r="F142" s="48">
        <v>-21.157019667170953</v>
      </c>
      <c r="G142" s="48">
        <v>-21.244765506807866</v>
      </c>
      <c r="H142" s="48">
        <v>-21.332511346444779</v>
      </c>
      <c r="I142" s="48">
        <v>-21.420257186081695</v>
      </c>
      <c r="J142" s="48">
        <v>-21.508003025718608</v>
      </c>
      <c r="K142" s="48">
        <v>-21.595748865355521</v>
      </c>
      <c r="L142" s="48">
        <v>-21.683494704992437</v>
      </c>
      <c r="M142" s="48">
        <v>-21.792666666666666</v>
      </c>
      <c r="N142" s="48">
        <v>-21.925999999999998</v>
      </c>
      <c r="O142" s="48">
        <v>-22.049393939393937</v>
      </c>
      <c r="P142" s="48">
        <v>-22.167409638554215</v>
      </c>
      <c r="Q142" s="48">
        <v>-22.269819277108432</v>
      </c>
      <c r="R142" s="48">
        <v>-22.363272727272729</v>
      </c>
      <c r="S142" s="48">
        <v>-22.448121212121212</v>
      </c>
      <c r="T142" s="48">
        <v>-22.532969696969698</v>
      </c>
      <c r="U142" s="48">
        <v>-22.620363636363638</v>
      </c>
      <c r="V142" s="48">
        <v>-22.717333333333336</v>
      </c>
      <c r="W142" s="48">
        <v>-22.82448484848485</v>
      </c>
      <c r="X142" s="48">
        <v>-22.939636363636364</v>
      </c>
      <c r="Y142" s="48">
        <v>-23.059638554216868</v>
      </c>
      <c r="Z142" s="48">
        <v>-23.183333333333334</v>
      </c>
      <c r="AA142" s="48">
        <v>-23.316666666666666</v>
      </c>
      <c r="AB142" s="48">
        <v>-23.453636363636363</v>
      </c>
      <c r="AC142" s="48">
        <v>-23.593030303030304</v>
      </c>
      <c r="AD142" s="48">
        <v>-23.738181818181818</v>
      </c>
      <c r="AE142" s="48">
        <v>-23.881818181818183</v>
      </c>
      <c r="AF142" s="48">
        <v>-24.02121212121212</v>
      </c>
      <c r="AG142" s="48">
        <v>-24.163975903614457</v>
      </c>
      <c r="AH142" s="48">
        <v>-24.308554216867467</v>
      </c>
      <c r="AI142" s="48">
        <v>-24.448</v>
      </c>
      <c r="AJ142" s="48">
        <v>-24.587393939393937</v>
      </c>
      <c r="AK142" s="48">
        <v>-24.726787878787878</v>
      </c>
      <c r="AL142" s="48">
        <v>-24.866181818181818</v>
      </c>
      <c r="AM142" s="48">
        <v>-25.005446293494703</v>
      </c>
      <c r="AN142" s="48">
        <v>-25.141603630862328</v>
      </c>
      <c r="AO142" s="48">
        <v>-25.277760968229956</v>
      </c>
      <c r="AP142" s="48">
        <v>-25.41391830559758</v>
      </c>
      <c r="AQ142" s="48">
        <v>-25.550075642965204</v>
      </c>
      <c r="AR142" s="48">
        <v>-25.686232980332829</v>
      </c>
      <c r="AS142" s="48">
        <v>-25.822390317700453</v>
      </c>
      <c r="AT142" s="48">
        <v>-25.955295007564295</v>
      </c>
      <c r="AU142" s="48">
        <v>-26.083888048411495</v>
      </c>
      <c r="AV142" s="48">
        <v>-26.212481089258699</v>
      </c>
      <c r="AW142" s="48">
        <v>-26.341074130105898</v>
      </c>
      <c r="AX142" s="48">
        <v>-26.469667170953102</v>
      </c>
      <c r="AY142" s="48">
        <v>-26.598260211800302</v>
      </c>
      <c r="AZ142" s="48">
        <v>-26.726853252647505</v>
      </c>
      <c r="BA142" s="48">
        <v>-26.849393939393941</v>
      </c>
      <c r="BB142" s="48">
        <v>-26.970606060606062</v>
      </c>
      <c r="BC142" s="48">
        <v>-27.091818181818184</v>
      </c>
      <c r="BD142" s="48">
        <v>-27.213030303030305</v>
      </c>
      <c r="BE142" s="48">
        <v>-27.334242424242426</v>
      </c>
      <c r="BF142" s="48">
        <v>-27.455454545454547</v>
      </c>
      <c r="BG142" s="48">
        <v>-27.576506024096386</v>
      </c>
      <c r="BH142" s="48">
        <v>-27.69698795180723</v>
      </c>
      <c r="BI142" s="48">
        <v>-27.817878787878787</v>
      </c>
      <c r="BJ142" s="48">
        <v>-27.939090909090908</v>
      </c>
      <c r="BK142" s="48">
        <v>-28.060303030303029</v>
      </c>
      <c r="BL142" s="48">
        <v>-28.18151515151515</v>
      </c>
      <c r="BM142" s="48">
        <v>-28.302727272727275</v>
      </c>
      <c r="BN142" s="48">
        <v>-28.420242424242424</v>
      </c>
      <c r="BO142" s="48">
        <v>-28.535393939393938</v>
      </c>
      <c r="BP142" s="48">
        <v>-28.655662650602409</v>
      </c>
      <c r="BQ142" s="48">
        <v>-28.776363636363634</v>
      </c>
      <c r="BR142" s="48">
        <v>-28.897575757575758</v>
      </c>
      <c r="BS142" s="48">
        <v>-29.014848484848486</v>
      </c>
      <c r="BT142" s="48">
        <v>-29.13</v>
      </c>
    </row>
    <row r="143" spans="1:72" ht="21.75" thickBot="1" x14ac:dyDescent="0.4">
      <c r="A143" s="18" t="s">
        <v>84</v>
      </c>
      <c r="B143" s="36">
        <v>-22.065575757575758</v>
      </c>
      <c r="C143" s="36">
        <v>-21.674060606060607</v>
      </c>
      <c r="D143" s="48">
        <v>-21.395272727272726</v>
      </c>
      <c r="E143" s="48">
        <v>-21.244787878787879</v>
      </c>
      <c r="F143" s="48">
        <v>-21.157019667170953</v>
      </c>
      <c r="G143" s="48">
        <v>-21.244765506807866</v>
      </c>
      <c r="H143" s="48">
        <v>-21.332511346444779</v>
      </c>
      <c r="I143" s="48">
        <v>-21.420257186081695</v>
      </c>
      <c r="J143" s="48">
        <v>-21.508003025718608</v>
      </c>
      <c r="K143" s="48">
        <v>-21.595748865355521</v>
      </c>
      <c r="L143" s="48">
        <v>-21.683494704992437</v>
      </c>
      <c r="M143" s="48">
        <v>-21.792666666666666</v>
      </c>
      <c r="N143" s="48">
        <v>-21.925999999999998</v>
      </c>
      <c r="O143" s="48">
        <v>-22.049393939393937</v>
      </c>
      <c r="P143" s="48">
        <v>-22.167409638554215</v>
      </c>
      <c r="Q143" s="48">
        <v>-22.269819277108432</v>
      </c>
      <c r="R143" s="48">
        <v>-22.363272727272729</v>
      </c>
      <c r="S143" s="48">
        <v>-22.448121212121212</v>
      </c>
      <c r="T143" s="48">
        <v>-22.532969696969698</v>
      </c>
      <c r="U143" s="48">
        <v>-22.620363636363638</v>
      </c>
      <c r="V143" s="48">
        <v>-22.717333333333336</v>
      </c>
      <c r="W143" s="48">
        <v>-22.82448484848485</v>
      </c>
      <c r="X143" s="48">
        <v>-22.939636363636364</v>
      </c>
      <c r="Y143" s="48">
        <v>-23.059638554216868</v>
      </c>
      <c r="Z143" s="48">
        <v>-23.183333333333334</v>
      </c>
      <c r="AA143" s="48">
        <v>-23.316666666666666</v>
      </c>
      <c r="AB143" s="48">
        <v>-23.453636363636363</v>
      </c>
      <c r="AC143" s="48">
        <v>-23.593030303030304</v>
      </c>
      <c r="AD143" s="48">
        <v>-23.738181818181818</v>
      </c>
      <c r="AE143" s="48">
        <v>-23.881818181818183</v>
      </c>
      <c r="AF143" s="48">
        <v>-24.02121212121212</v>
      </c>
      <c r="AG143" s="48">
        <v>-24.163975903614457</v>
      </c>
      <c r="AH143" s="48">
        <v>-24.308554216867467</v>
      </c>
      <c r="AI143" s="48">
        <v>-24.448</v>
      </c>
      <c r="AJ143" s="48">
        <v>-24.587393939393937</v>
      </c>
      <c r="AK143" s="48">
        <v>-24.726787878787878</v>
      </c>
      <c r="AL143" s="48">
        <v>-24.866181818181818</v>
      </c>
      <c r="AM143" s="48">
        <v>-25.005446293494703</v>
      </c>
      <c r="AN143" s="48">
        <v>-25.141603630862328</v>
      </c>
      <c r="AO143" s="48">
        <v>-25.277760968229956</v>
      </c>
      <c r="AP143" s="48">
        <v>-25.41391830559758</v>
      </c>
      <c r="AQ143" s="48">
        <v>-25.550075642965204</v>
      </c>
      <c r="AR143" s="48">
        <v>-25.686232980332829</v>
      </c>
      <c r="AS143" s="48">
        <v>-25.822390317700453</v>
      </c>
      <c r="AT143" s="48">
        <v>-25.955295007564295</v>
      </c>
      <c r="AU143" s="48">
        <v>-26.083888048411495</v>
      </c>
      <c r="AV143" s="48">
        <v>-26.212481089258699</v>
      </c>
      <c r="AW143" s="48">
        <v>-26.341074130105898</v>
      </c>
      <c r="AX143" s="48">
        <v>-26.469667170953102</v>
      </c>
      <c r="AY143" s="48">
        <v>-26.598260211800302</v>
      </c>
      <c r="AZ143" s="48">
        <v>-26.726853252647505</v>
      </c>
      <c r="BA143" s="48">
        <v>-26.849393939393941</v>
      </c>
      <c r="BB143" s="48">
        <v>-26.970606060606062</v>
      </c>
      <c r="BC143" s="48">
        <v>-27.091818181818184</v>
      </c>
      <c r="BD143" s="48">
        <v>-27.213030303030305</v>
      </c>
      <c r="BE143" s="48">
        <v>-27.334242424242426</v>
      </c>
      <c r="BF143" s="48">
        <v>-27.455454545454547</v>
      </c>
      <c r="BG143" s="48">
        <v>-27.576506024096386</v>
      </c>
      <c r="BH143" s="48">
        <v>-27.69698795180723</v>
      </c>
      <c r="BI143" s="48">
        <v>-27.817878787878787</v>
      </c>
      <c r="BJ143" s="48">
        <v>-27.939090909090908</v>
      </c>
      <c r="BK143" s="48">
        <v>-28.060303030303029</v>
      </c>
      <c r="BL143" s="48">
        <v>-28.18151515151515</v>
      </c>
      <c r="BM143" s="48">
        <v>-28.302727272727275</v>
      </c>
      <c r="BN143" s="48">
        <v>-28.420242424242424</v>
      </c>
      <c r="BO143" s="48">
        <v>-28.535393939393938</v>
      </c>
      <c r="BP143" s="48">
        <v>-28.655662650602409</v>
      </c>
      <c r="BQ143" s="48">
        <v>-28.776363636363634</v>
      </c>
      <c r="BR143" s="48">
        <v>-28.897575757575758</v>
      </c>
      <c r="BS143" s="48">
        <v>-29.014848484848486</v>
      </c>
      <c r="BT143" s="48">
        <v>-29.13</v>
      </c>
    </row>
    <row r="144" spans="1:72" ht="21.75" thickBot="1" x14ac:dyDescent="0.4">
      <c r="A144" s="18" t="s">
        <v>85</v>
      </c>
      <c r="B144" s="36">
        <v>-22.065575757575758</v>
      </c>
      <c r="C144" s="36">
        <v>-21.674060606060607</v>
      </c>
      <c r="D144" s="48">
        <v>-21.395272727272726</v>
      </c>
      <c r="E144" s="48">
        <v>-21.244787878787879</v>
      </c>
      <c r="F144" s="48">
        <v>-21.157019667170953</v>
      </c>
      <c r="G144" s="48">
        <v>-21.244765506807866</v>
      </c>
      <c r="H144" s="48">
        <v>-21.332511346444779</v>
      </c>
      <c r="I144" s="48">
        <v>-21.420257186081695</v>
      </c>
      <c r="J144" s="48">
        <v>-21.508003025718608</v>
      </c>
      <c r="K144" s="48">
        <v>-21.595748865355521</v>
      </c>
      <c r="L144" s="48">
        <v>-21.683494704992437</v>
      </c>
      <c r="M144" s="48">
        <v>-21.792666666666666</v>
      </c>
      <c r="N144" s="48">
        <v>-21.925999999999998</v>
      </c>
      <c r="O144" s="48">
        <v>-22.049393939393937</v>
      </c>
      <c r="P144" s="48">
        <v>-22.167409638554215</v>
      </c>
      <c r="Q144" s="48">
        <v>-22.269819277108432</v>
      </c>
      <c r="R144" s="48">
        <v>-22.363272727272729</v>
      </c>
      <c r="S144" s="48">
        <v>-22.448121212121212</v>
      </c>
      <c r="T144" s="48">
        <v>-22.532969696969698</v>
      </c>
      <c r="U144" s="48">
        <v>-22.620363636363638</v>
      </c>
      <c r="V144" s="48">
        <v>-22.717333333333336</v>
      </c>
      <c r="W144" s="48">
        <v>-22.82448484848485</v>
      </c>
      <c r="X144" s="48">
        <v>-22.939636363636364</v>
      </c>
      <c r="Y144" s="48">
        <v>-23.059638554216868</v>
      </c>
      <c r="Z144" s="48">
        <v>-23.183333333333334</v>
      </c>
      <c r="AA144" s="48">
        <v>-23.316666666666666</v>
      </c>
      <c r="AB144" s="48">
        <v>-23.453636363636363</v>
      </c>
      <c r="AC144" s="48">
        <v>-23.593030303030304</v>
      </c>
      <c r="AD144" s="48">
        <v>-23.738181818181818</v>
      </c>
      <c r="AE144" s="48">
        <v>-23.881818181818183</v>
      </c>
      <c r="AF144" s="48">
        <v>-24.02121212121212</v>
      </c>
      <c r="AG144" s="48">
        <v>-24.163975903614457</v>
      </c>
      <c r="AH144" s="48">
        <v>-24.308554216867467</v>
      </c>
      <c r="AI144" s="48">
        <v>-24.448</v>
      </c>
      <c r="AJ144" s="48">
        <v>-24.587393939393937</v>
      </c>
      <c r="AK144" s="48">
        <v>-24.726787878787878</v>
      </c>
      <c r="AL144" s="48">
        <v>-24.866181818181818</v>
      </c>
      <c r="AM144" s="48">
        <v>-25.005446293494703</v>
      </c>
      <c r="AN144" s="48">
        <v>-25.141603630862328</v>
      </c>
      <c r="AO144" s="48">
        <v>-25.277760968229956</v>
      </c>
      <c r="AP144" s="48">
        <v>-25.41391830559758</v>
      </c>
      <c r="AQ144" s="48">
        <v>-25.550075642965204</v>
      </c>
      <c r="AR144" s="48">
        <v>-25.686232980332829</v>
      </c>
      <c r="AS144" s="48">
        <v>-25.822390317700453</v>
      </c>
      <c r="AT144" s="48">
        <v>-25.955295007564295</v>
      </c>
      <c r="AU144" s="48">
        <v>-26.083888048411495</v>
      </c>
      <c r="AV144" s="48">
        <v>-26.212481089258699</v>
      </c>
      <c r="AW144" s="48">
        <v>-26.341074130105898</v>
      </c>
      <c r="AX144" s="48">
        <v>-26.469667170953102</v>
      </c>
      <c r="AY144" s="48">
        <v>-26.598260211800302</v>
      </c>
      <c r="AZ144" s="48">
        <v>-26.726853252647505</v>
      </c>
      <c r="BA144" s="48">
        <v>-26.849393939393941</v>
      </c>
      <c r="BB144" s="48">
        <v>-26.970606060606062</v>
      </c>
      <c r="BC144" s="48">
        <v>-27.091818181818184</v>
      </c>
      <c r="BD144" s="48">
        <v>-27.213030303030305</v>
      </c>
      <c r="BE144" s="48">
        <v>-27.334242424242426</v>
      </c>
      <c r="BF144" s="48">
        <v>-27.455454545454547</v>
      </c>
      <c r="BG144" s="48">
        <v>-27.576506024096386</v>
      </c>
      <c r="BH144" s="48">
        <v>-27.69698795180723</v>
      </c>
      <c r="BI144" s="48">
        <v>-27.817878787878787</v>
      </c>
      <c r="BJ144" s="48">
        <v>-27.939090909090908</v>
      </c>
      <c r="BK144" s="48">
        <v>-28.060303030303029</v>
      </c>
      <c r="BL144" s="48">
        <v>-28.18151515151515</v>
      </c>
      <c r="BM144" s="48">
        <v>-28.302727272727275</v>
      </c>
      <c r="BN144" s="48">
        <v>-28.420242424242424</v>
      </c>
      <c r="BO144" s="48">
        <v>-28.535393939393938</v>
      </c>
      <c r="BP144" s="48">
        <v>-28.655662650602409</v>
      </c>
      <c r="BQ144" s="48">
        <v>-28.776363636363634</v>
      </c>
      <c r="BR144" s="48">
        <v>-28.897575757575758</v>
      </c>
      <c r="BS144" s="48">
        <v>-29.014848484848486</v>
      </c>
      <c r="BT144" s="48">
        <v>-29.13</v>
      </c>
    </row>
    <row r="145" spans="1:72" ht="21.75" thickBot="1" x14ac:dyDescent="0.4">
      <c r="A145" s="18" t="s">
        <v>77</v>
      </c>
      <c r="B145" s="36">
        <v>-60.735090909090907</v>
      </c>
      <c r="C145" s="36">
        <v>-58.673878787878785</v>
      </c>
      <c r="D145" s="48">
        <v>-56.631454545454545</v>
      </c>
      <c r="E145" s="48">
        <v>-54.589030303030299</v>
      </c>
      <c r="F145" s="48">
        <v>-52.560166414523451</v>
      </c>
      <c r="G145" s="48">
        <v>-50.687246596066565</v>
      </c>
      <c r="H145" s="48">
        <v>-48.814326777609679</v>
      </c>
      <c r="I145" s="48">
        <v>-46.9414069591528</v>
      </c>
      <c r="J145" s="48">
        <v>-45.068487140695915</v>
      </c>
      <c r="K145" s="48">
        <v>-43.195567322239029</v>
      </c>
      <c r="L145" s="48">
        <v>-41.32264750378215</v>
      </c>
      <c r="M145" s="48">
        <v>-39.589393939393936</v>
      </c>
      <c r="N145" s="48">
        <v>-38.013636363636365</v>
      </c>
      <c r="O145" s="48">
        <v>-36.542242424242424</v>
      </c>
      <c r="P145" s="48">
        <v>-35.117771084337356</v>
      </c>
      <c r="Q145" s="48">
        <v>-33.810542168674701</v>
      </c>
      <c r="R145" s="48">
        <v>-32.561090909090908</v>
      </c>
      <c r="S145" s="48">
        <v>-31.367151515151512</v>
      </c>
      <c r="T145" s="48">
        <v>-30.256606060606057</v>
      </c>
      <c r="U145" s="48">
        <v>-29.173636363636362</v>
      </c>
      <c r="V145" s="48">
        <v>-28.143333333333331</v>
      </c>
      <c r="W145" s="48">
        <v>-27.143575757575757</v>
      </c>
      <c r="X145" s="48">
        <v>-26.167818181818177</v>
      </c>
      <c r="Y145" s="48">
        <v>-25.252228915662648</v>
      </c>
      <c r="Z145" s="48">
        <v>-24.354848484848485</v>
      </c>
      <c r="AA145" s="48">
        <v>-23.494242424242422</v>
      </c>
      <c r="AB145" s="48">
        <v>-22.673636363636362</v>
      </c>
      <c r="AC145" s="48">
        <v>-21.879696969696969</v>
      </c>
      <c r="AD145" s="48">
        <v>-21.149090909090908</v>
      </c>
      <c r="AE145" s="48">
        <v>-20.438181818181818</v>
      </c>
      <c r="AF145" s="48">
        <v>-19.765454545454546</v>
      </c>
      <c r="AG145" s="48">
        <v>-19.126686746987954</v>
      </c>
      <c r="AH145" s="48">
        <v>-18.506204819277109</v>
      </c>
      <c r="AI145" s="48">
        <v>-17.918000000000003</v>
      </c>
      <c r="AJ145" s="48">
        <v>-17.342484848484851</v>
      </c>
      <c r="AK145" s="48">
        <v>-16.7909696969697</v>
      </c>
      <c r="AL145" s="48">
        <v>-16.252000000000002</v>
      </c>
      <c r="AM145" s="48">
        <v>-15.721119515885023</v>
      </c>
      <c r="AN145" s="48">
        <v>-15.249107413010591</v>
      </c>
      <c r="AO145" s="48">
        <v>-14.77709531013616</v>
      </c>
      <c r="AP145" s="48">
        <v>-14.305083207261726</v>
      </c>
      <c r="AQ145" s="48">
        <v>-13.833071104387294</v>
      </c>
      <c r="AR145" s="48">
        <v>-13.36105900151286</v>
      </c>
      <c r="AS145" s="48">
        <v>-12.889046898638428</v>
      </c>
      <c r="AT145" s="48">
        <v>-12.457367624810892</v>
      </c>
      <c r="AU145" s="48">
        <v>-12.079152798789712</v>
      </c>
      <c r="AV145" s="48">
        <v>-11.700937972768532</v>
      </c>
      <c r="AW145" s="48">
        <v>-11.322723146747352</v>
      </c>
      <c r="AX145" s="48">
        <v>-10.944508320726172</v>
      </c>
      <c r="AY145" s="48">
        <v>-10.56629349470499</v>
      </c>
      <c r="AZ145" s="48">
        <v>-10.18807866868381</v>
      </c>
      <c r="BA145" s="48">
        <v>-9.9633303030303022</v>
      </c>
      <c r="BB145" s="48">
        <v>-9.7722696969696958</v>
      </c>
      <c r="BC145" s="48">
        <v>-9.5812090909090895</v>
      </c>
      <c r="BD145" s="48">
        <v>-9.3901484848484831</v>
      </c>
      <c r="BE145" s="48">
        <v>-9.1990878787878785</v>
      </c>
      <c r="BF145" s="48">
        <v>-9.0080272727272721</v>
      </c>
      <c r="BG145" s="48">
        <v>-8.8458795180722891</v>
      </c>
      <c r="BH145" s="48">
        <v>-8.7862409638554215</v>
      </c>
      <c r="BI145" s="48">
        <v>-8.7443878787878795</v>
      </c>
      <c r="BJ145" s="48">
        <v>-8.7165090909090921</v>
      </c>
      <c r="BK145" s="48">
        <v>-8.7068303030303031</v>
      </c>
      <c r="BL145" s="48">
        <v>-8.7021030303030305</v>
      </c>
      <c r="BM145" s="48">
        <v>-8.7063454545454544</v>
      </c>
      <c r="BN145" s="48">
        <v>-8.7153939393939392</v>
      </c>
      <c r="BO145" s="48">
        <v>-8.727515151515151</v>
      </c>
      <c r="BP145" s="48">
        <v>-8.7430361445783138</v>
      </c>
      <c r="BQ145" s="48">
        <v>-8.7596363636363641</v>
      </c>
      <c r="BR145" s="48">
        <v>-8.7784242424242418</v>
      </c>
      <c r="BS145" s="48">
        <v>-8.798</v>
      </c>
      <c r="BT145" s="48">
        <v>-8.8179999999999996</v>
      </c>
    </row>
    <row r="146" spans="1:72" ht="21.75" thickBot="1" x14ac:dyDescent="0.4">
      <c r="A146" s="18" t="s">
        <v>26</v>
      </c>
      <c r="B146" s="36">
        <v>-18.61</v>
      </c>
      <c r="C146" s="36">
        <v>-18.612303030303028</v>
      </c>
      <c r="D146" s="48">
        <v>-18.618363636363636</v>
      </c>
      <c r="E146" s="48">
        <v>-18.624424242424244</v>
      </c>
      <c r="F146" s="48">
        <v>-18.631089258698939</v>
      </c>
      <c r="G146" s="48">
        <v>-18.644704992435702</v>
      </c>
      <c r="H146" s="48">
        <v>-18.658320726172466</v>
      </c>
      <c r="I146" s="48">
        <v>-18.671936459909226</v>
      </c>
      <c r="J146" s="48">
        <v>-18.685552193645989</v>
      </c>
      <c r="K146" s="48">
        <v>-18.699167927382753</v>
      </c>
      <c r="L146" s="48">
        <v>-18.712783661119516</v>
      </c>
      <c r="M146" s="48">
        <v>-18.728545454545454</v>
      </c>
      <c r="N146" s="48">
        <v>-18.746727272727274</v>
      </c>
      <c r="O146" s="48">
        <v>-18.764909090909093</v>
      </c>
      <c r="P146" s="48">
        <v>-18.783072289156628</v>
      </c>
      <c r="Q146" s="48">
        <v>-18.801144578313252</v>
      </c>
      <c r="R146" s="48">
        <v>-18.819272727272725</v>
      </c>
      <c r="S146" s="48">
        <v>-18.837454545454545</v>
      </c>
      <c r="T146" s="48">
        <v>-18.855636363636364</v>
      </c>
      <c r="U146" s="48">
        <v>-18.873818181818184</v>
      </c>
      <c r="V146" s="48">
        <v>-18.891999999999999</v>
      </c>
      <c r="W146" s="48">
        <v>-18.913575757575757</v>
      </c>
      <c r="X146" s="48">
        <v>-18.937818181818184</v>
      </c>
      <c r="Y146" s="48">
        <v>-18.95644578313253</v>
      </c>
      <c r="Z146" s="48">
        <v>-18.976060606060607</v>
      </c>
      <c r="AA146" s="48">
        <v>-19.00030303030303</v>
      </c>
      <c r="AB146" s="48">
        <v>-19.020909090909093</v>
      </c>
      <c r="AC146" s="48">
        <v>-19.039090909090909</v>
      </c>
      <c r="AD146" s="48">
        <v>-19.057272727272728</v>
      </c>
      <c r="AE146" s="48">
        <v>-19.077272727272728</v>
      </c>
      <c r="AF146" s="48">
        <v>-19.101515151515152</v>
      </c>
      <c r="AG146" s="48">
        <v>-19.121746987951806</v>
      </c>
      <c r="AH146" s="48">
        <v>-19.139819277108433</v>
      </c>
      <c r="AI146" s="48">
        <v>-19.164000000000001</v>
      </c>
      <c r="AJ146" s="48">
        <v>-19.186181818181819</v>
      </c>
      <c r="AK146" s="48">
        <v>-19.204363636363638</v>
      </c>
      <c r="AL146" s="48">
        <v>-19.226727272727274</v>
      </c>
      <c r="AM146" s="48">
        <v>-19.250786686838126</v>
      </c>
      <c r="AN146" s="48">
        <v>-19.270453857791225</v>
      </c>
      <c r="AO146" s="48">
        <v>-19.290121028744327</v>
      </c>
      <c r="AP146" s="48">
        <v>-19.309788199697426</v>
      </c>
      <c r="AQ146" s="48">
        <v>-19.329455370650528</v>
      </c>
      <c r="AR146" s="48">
        <v>-19.349122541603631</v>
      </c>
      <c r="AS146" s="48">
        <v>-19.36878971255673</v>
      </c>
      <c r="AT146" s="48">
        <v>-19.388456883509832</v>
      </c>
      <c r="AU146" s="48">
        <v>-19.408124054462935</v>
      </c>
      <c r="AV146" s="48">
        <v>-19.427791225416037</v>
      </c>
      <c r="AW146" s="48">
        <v>-19.447458396369139</v>
      </c>
      <c r="AX146" s="48">
        <v>-19.467125567322238</v>
      </c>
      <c r="AY146" s="48">
        <v>-19.486792738275341</v>
      </c>
      <c r="AZ146" s="48">
        <v>-19.506459909228443</v>
      </c>
      <c r="BA146" s="48">
        <v>-19.526151515151518</v>
      </c>
      <c r="BB146" s="48">
        <v>-19.545848484848488</v>
      </c>
      <c r="BC146" s="48">
        <v>-19.565545454545457</v>
      </c>
      <c r="BD146" s="48">
        <v>-19.585242424242427</v>
      </c>
      <c r="BE146" s="48">
        <v>-19.604939393939397</v>
      </c>
      <c r="BF146" s="48">
        <v>-19.624636363636366</v>
      </c>
      <c r="BG146" s="48">
        <v>-19.643975903614457</v>
      </c>
      <c r="BH146" s="48">
        <v>-19.662048192771085</v>
      </c>
      <c r="BI146" s="48">
        <v>-19.680181818181818</v>
      </c>
      <c r="BJ146" s="48">
        <v>-19.698363636363634</v>
      </c>
      <c r="BK146" s="48">
        <v>-19.716545454545454</v>
      </c>
      <c r="BL146" s="48">
        <v>-19.734727272727273</v>
      </c>
      <c r="BM146" s="48">
        <v>-19.752909090909093</v>
      </c>
      <c r="BN146" s="48">
        <v>-19.771090909090908</v>
      </c>
      <c r="BO146" s="48">
        <v>-19.789272727272728</v>
      </c>
      <c r="BP146" s="48">
        <v>-19.807349397590361</v>
      </c>
      <c r="BQ146" s="48">
        <v>-19.825454545454544</v>
      </c>
      <c r="BR146" s="48">
        <v>-19.843636363636364</v>
      </c>
      <c r="BS146" s="48">
        <v>-19.861818181818183</v>
      </c>
      <c r="BT146" s="48">
        <v>-19.88</v>
      </c>
    </row>
    <row r="147" spans="1:72" ht="21.75" thickBot="1" x14ac:dyDescent="0.4">
      <c r="A147" s="18" t="s">
        <v>5</v>
      </c>
      <c r="B147" s="36">
        <v>-60.735090909090907</v>
      </c>
      <c r="C147" s="36">
        <v>-58.673878787878785</v>
      </c>
      <c r="D147" s="48">
        <v>-56.631454545454545</v>
      </c>
      <c r="E147" s="48">
        <v>-54.589030303030299</v>
      </c>
      <c r="F147" s="48">
        <v>-52.560166414523451</v>
      </c>
      <c r="G147" s="48">
        <v>-50.687246596066565</v>
      </c>
      <c r="H147" s="48">
        <v>-48.814326777609679</v>
      </c>
      <c r="I147" s="48">
        <v>-46.9414069591528</v>
      </c>
      <c r="J147" s="48">
        <v>-45.068487140695915</v>
      </c>
      <c r="K147" s="48">
        <v>-43.195567322239029</v>
      </c>
      <c r="L147" s="48">
        <v>-41.32264750378215</v>
      </c>
      <c r="M147" s="48">
        <v>-39.589393939393936</v>
      </c>
      <c r="N147" s="48">
        <v>-38.013636363636365</v>
      </c>
      <c r="O147" s="48">
        <v>-36.542242424242424</v>
      </c>
      <c r="P147" s="48">
        <v>-35.117771084337356</v>
      </c>
      <c r="Q147" s="48">
        <v>-33.810542168674701</v>
      </c>
      <c r="R147" s="48">
        <v>-32.561090909090908</v>
      </c>
      <c r="S147" s="48">
        <v>-31.367151515151512</v>
      </c>
      <c r="T147" s="48">
        <v>-30.256606060606057</v>
      </c>
      <c r="U147" s="48">
        <v>-29.173636363636362</v>
      </c>
      <c r="V147" s="48">
        <v>-28.143333333333331</v>
      </c>
      <c r="W147" s="48">
        <v>-27.143575757575757</v>
      </c>
      <c r="X147" s="48">
        <v>-26.167818181818177</v>
      </c>
      <c r="Y147" s="48">
        <v>-25.252228915662648</v>
      </c>
      <c r="Z147" s="48">
        <v>-24.354848484848485</v>
      </c>
      <c r="AA147" s="48">
        <v>-23.494242424242422</v>
      </c>
      <c r="AB147" s="48">
        <v>-22.673636363636362</v>
      </c>
      <c r="AC147" s="48">
        <v>-21.879696969696969</v>
      </c>
      <c r="AD147" s="48">
        <v>-21.149090909090908</v>
      </c>
      <c r="AE147" s="48">
        <v>-20.438181818181818</v>
      </c>
      <c r="AF147" s="48">
        <v>-19.765454545454546</v>
      </c>
      <c r="AG147" s="48">
        <v>-19.126686746987954</v>
      </c>
      <c r="AH147" s="48">
        <v>-18.506204819277109</v>
      </c>
      <c r="AI147" s="48">
        <v>-17.918000000000003</v>
      </c>
      <c r="AJ147" s="48">
        <v>-17.342484848484851</v>
      </c>
      <c r="AK147" s="48">
        <v>-16.7909696969697</v>
      </c>
      <c r="AL147" s="48">
        <v>-16.252000000000002</v>
      </c>
      <c r="AM147" s="48">
        <v>-15.721119515885023</v>
      </c>
      <c r="AN147" s="48">
        <v>-15.249107413010591</v>
      </c>
      <c r="AO147" s="48">
        <v>-14.77709531013616</v>
      </c>
      <c r="AP147" s="48">
        <v>-14.305083207261726</v>
      </c>
      <c r="AQ147" s="48">
        <v>-13.833071104387294</v>
      </c>
      <c r="AR147" s="48">
        <v>-13.36105900151286</v>
      </c>
      <c r="AS147" s="48">
        <v>-12.889046898638428</v>
      </c>
      <c r="AT147" s="48">
        <v>-12.457367624810892</v>
      </c>
      <c r="AU147" s="48">
        <v>-12.079152798789712</v>
      </c>
      <c r="AV147" s="48">
        <v>-11.700937972768532</v>
      </c>
      <c r="AW147" s="48">
        <v>-11.322723146747352</v>
      </c>
      <c r="AX147" s="48">
        <v>-10.944508320726172</v>
      </c>
      <c r="AY147" s="48">
        <v>-10.56629349470499</v>
      </c>
      <c r="AZ147" s="48">
        <v>-10.18807866868381</v>
      </c>
      <c r="BA147" s="48">
        <v>-9.9633303030303022</v>
      </c>
      <c r="BB147" s="48">
        <v>-9.7722696969696958</v>
      </c>
      <c r="BC147" s="48">
        <v>-9.5812090909090895</v>
      </c>
      <c r="BD147" s="48">
        <v>-9.3901484848484831</v>
      </c>
      <c r="BE147" s="48">
        <v>-9.1990878787878785</v>
      </c>
      <c r="BF147" s="48">
        <v>-9.0080272727272721</v>
      </c>
      <c r="BG147" s="48">
        <v>-8.8458795180722891</v>
      </c>
      <c r="BH147" s="48">
        <v>-8.7862409638554215</v>
      </c>
      <c r="BI147" s="48">
        <v>-8.7443878787878795</v>
      </c>
      <c r="BJ147" s="48">
        <v>-8.7165090909090921</v>
      </c>
      <c r="BK147" s="48">
        <v>-8.7068303030303031</v>
      </c>
      <c r="BL147" s="48">
        <v>-8.7021030303030305</v>
      </c>
      <c r="BM147" s="48">
        <v>-8.7063454545454544</v>
      </c>
      <c r="BN147" s="48">
        <v>-8.7153939393939392</v>
      </c>
      <c r="BO147" s="48">
        <v>-8.727515151515151</v>
      </c>
      <c r="BP147" s="48">
        <v>-8.7430361445783138</v>
      </c>
      <c r="BQ147" s="48">
        <v>-8.7596363636363641</v>
      </c>
      <c r="BR147" s="48">
        <v>-8.7784242424242418</v>
      </c>
      <c r="BS147" s="48">
        <v>-8.798</v>
      </c>
      <c r="BT147" s="48">
        <v>-8.8179999999999996</v>
      </c>
    </row>
    <row r="148" spans="1:72" ht="21.75" thickBot="1" x14ac:dyDescent="0.4">
      <c r="A148" s="18" t="s">
        <v>6</v>
      </c>
      <c r="B148" s="36">
        <v>-15.805636363636363</v>
      </c>
      <c r="C148" s="36">
        <v>-15.261999999999999</v>
      </c>
      <c r="D148" s="48">
        <v>-14.661999999999999</v>
      </c>
      <c r="E148" s="48">
        <v>-14.004484848484848</v>
      </c>
      <c r="F148" s="48">
        <v>-13.326287443267777</v>
      </c>
      <c r="G148" s="48">
        <v>-12.654880484114978</v>
      </c>
      <c r="H148" s="48">
        <v>-11.983473524962179</v>
      </c>
      <c r="I148" s="48">
        <v>-11.31206656580938</v>
      </c>
      <c r="J148" s="48">
        <v>-10.64065960665658</v>
      </c>
      <c r="K148" s="48">
        <v>-9.969252647503783</v>
      </c>
      <c r="L148" s="48">
        <v>-9.2978456883509839</v>
      </c>
      <c r="M148" s="48">
        <v>-8.67908484848485</v>
      </c>
      <c r="N148" s="48">
        <v>-8.1196909090909095</v>
      </c>
      <c r="O148" s="48">
        <v>-7.619436363636364</v>
      </c>
      <c r="P148" s="48">
        <v>-7.1476144578313257</v>
      </c>
      <c r="Q148" s="48">
        <v>-6.7512289156626508</v>
      </c>
      <c r="R148" s="48">
        <v>-6.4021454545454546</v>
      </c>
      <c r="S148" s="48">
        <v>-6.09850909090909</v>
      </c>
      <c r="T148" s="48">
        <v>-5.8730545454545453</v>
      </c>
      <c r="U148" s="48">
        <v>-5.6767454545454541</v>
      </c>
      <c r="V148" s="48">
        <v>-5.5421999999999993</v>
      </c>
      <c r="W148" s="48">
        <v>-5.4426121212121208</v>
      </c>
      <c r="X148" s="48">
        <v>-5.3704909090909085</v>
      </c>
      <c r="Y148" s="48">
        <v>-5.3393313253012051</v>
      </c>
      <c r="Z148" s="48">
        <v>-5.319</v>
      </c>
      <c r="AA148" s="48">
        <v>-5.319</v>
      </c>
      <c r="AB148" s="48">
        <v>-5.3280909090909088</v>
      </c>
      <c r="AC148" s="48">
        <v>-5.3432424242424243</v>
      </c>
      <c r="AD148" s="48">
        <v>-5.3641515151515149</v>
      </c>
      <c r="AE148" s="48">
        <v>-5.3860909090909086</v>
      </c>
      <c r="AF148" s="48">
        <v>-5.4097272727272729</v>
      </c>
      <c r="AG148" s="48">
        <v>-5.4340542168674695</v>
      </c>
      <c r="AH148" s="48">
        <v>-5.4587530120481924</v>
      </c>
      <c r="AI148" s="48">
        <v>-5.4829999999999997</v>
      </c>
      <c r="AJ148" s="48">
        <v>-5.5074484848484841</v>
      </c>
      <c r="AK148" s="48">
        <v>-5.5322969696969695</v>
      </c>
      <c r="AL148" s="48">
        <v>-5.5567272727272723</v>
      </c>
      <c r="AM148" s="48">
        <v>-5.5809863842662635</v>
      </c>
      <c r="AN148" s="48">
        <v>-5.6056459909228442</v>
      </c>
      <c r="AO148" s="48">
        <v>-5.6303055975794249</v>
      </c>
      <c r="AP148" s="48">
        <v>-5.6549652042360066</v>
      </c>
      <c r="AQ148" s="48">
        <v>-5.6796248108925873</v>
      </c>
      <c r="AR148" s="48">
        <v>-5.704284417549168</v>
      </c>
      <c r="AS148" s="48">
        <v>-5.7289440242057488</v>
      </c>
      <c r="AT148" s="48">
        <v>-5.7543192133131624</v>
      </c>
      <c r="AU148" s="48">
        <v>-5.7806429652042359</v>
      </c>
      <c r="AV148" s="48">
        <v>-5.8069667170953103</v>
      </c>
      <c r="AW148" s="48">
        <v>-5.8332904689863847</v>
      </c>
      <c r="AX148" s="48">
        <v>-5.8596142208774582</v>
      </c>
      <c r="AY148" s="48">
        <v>-5.8859379727685326</v>
      </c>
      <c r="AZ148" s="48">
        <v>-5.912261724659607</v>
      </c>
      <c r="BA148" s="48">
        <v>-5.942966666666667</v>
      </c>
      <c r="BB148" s="48">
        <v>-5.9746333333333332</v>
      </c>
      <c r="BC148" s="48">
        <v>-6.0063000000000004</v>
      </c>
      <c r="BD148" s="48">
        <v>-6.0379666666666667</v>
      </c>
      <c r="BE148" s="48">
        <v>-6.0696333333333339</v>
      </c>
      <c r="BF148" s="48">
        <v>-6.1013000000000002</v>
      </c>
      <c r="BG148" s="48">
        <v>-6.132493975903615</v>
      </c>
      <c r="BH148" s="48">
        <v>-6.1620120481927714</v>
      </c>
      <c r="BI148" s="48">
        <v>-6.190612121212121</v>
      </c>
      <c r="BJ148" s="48">
        <v>-6.2184909090909093</v>
      </c>
      <c r="BK148" s="48">
        <v>-6.2441636363636368</v>
      </c>
      <c r="BL148" s="48">
        <v>-6.2693030303030302</v>
      </c>
      <c r="BM148" s="48">
        <v>-6.2935454545454546</v>
      </c>
      <c r="BN148" s="48">
        <v>-6.3174181818181818</v>
      </c>
      <c r="BO148" s="48">
        <v>-6.3410545454545453</v>
      </c>
      <c r="BP148" s="48">
        <v>-6.363397590361445</v>
      </c>
      <c r="BQ148" s="48">
        <v>-6.385727272727272</v>
      </c>
      <c r="BR148" s="48">
        <v>-6.4081515151515154</v>
      </c>
      <c r="BS148" s="48">
        <v>-6.4301818181818184</v>
      </c>
      <c r="BT148" s="48">
        <v>-6.452</v>
      </c>
    </row>
    <row r="149" spans="1:72" ht="21.75" thickBot="1" x14ac:dyDescent="0.4">
      <c r="A149" s="18" t="s">
        <v>7</v>
      </c>
      <c r="B149" s="36">
        <v>-22.065575757575758</v>
      </c>
      <c r="C149" s="36">
        <v>-21.674060606060607</v>
      </c>
      <c r="D149" s="48">
        <v>-21.395272727272726</v>
      </c>
      <c r="E149" s="48">
        <v>-21.244787878787879</v>
      </c>
      <c r="F149" s="48">
        <v>-21.157019667170953</v>
      </c>
      <c r="G149" s="48">
        <v>-21.244765506807866</v>
      </c>
      <c r="H149" s="48">
        <v>-21.332511346444779</v>
      </c>
      <c r="I149" s="48">
        <v>-21.420257186081695</v>
      </c>
      <c r="J149" s="48">
        <v>-21.508003025718608</v>
      </c>
      <c r="K149" s="48">
        <v>-21.595748865355521</v>
      </c>
      <c r="L149" s="48">
        <v>-21.683494704992437</v>
      </c>
      <c r="M149" s="48">
        <v>-21.792666666666666</v>
      </c>
      <c r="N149" s="48">
        <v>-21.925999999999998</v>
      </c>
      <c r="O149" s="48">
        <v>-22.049393939393937</v>
      </c>
      <c r="P149" s="48">
        <v>-22.167409638554215</v>
      </c>
      <c r="Q149" s="48">
        <v>-22.269819277108432</v>
      </c>
      <c r="R149" s="48">
        <v>-22.363272727272729</v>
      </c>
      <c r="S149" s="48">
        <v>-22.448121212121212</v>
      </c>
      <c r="T149" s="48">
        <v>-22.532969696969698</v>
      </c>
      <c r="U149" s="48">
        <v>-22.620363636363638</v>
      </c>
      <c r="V149" s="48">
        <v>-22.717333333333336</v>
      </c>
      <c r="W149" s="48">
        <v>-22.82448484848485</v>
      </c>
      <c r="X149" s="48">
        <v>-22.939636363636364</v>
      </c>
      <c r="Y149" s="48">
        <v>-23.059638554216868</v>
      </c>
      <c r="Z149" s="48">
        <v>-23.183333333333334</v>
      </c>
      <c r="AA149" s="48">
        <v>-23.316666666666666</v>
      </c>
      <c r="AB149" s="48">
        <v>-23.453636363636363</v>
      </c>
      <c r="AC149" s="48">
        <v>-23.593030303030304</v>
      </c>
      <c r="AD149" s="48">
        <v>-23.738181818181818</v>
      </c>
      <c r="AE149" s="48">
        <v>-23.881818181818183</v>
      </c>
      <c r="AF149" s="48">
        <v>-24.02121212121212</v>
      </c>
      <c r="AG149" s="48">
        <v>-24.163975903614457</v>
      </c>
      <c r="AH149" s="48">
        <v>-24.308554216867467</v>
      </c>
      <c r="AI149" s="48">
        <v>-24.448</v>
      </c>
      <c r="AJ149" s="48">
        <v>-24.587393939393937</v>
      </c>
      <c r="AK149" s="48">
        <v>-24.726787878787878</v>
      </c>
      <c r="AL149" s="48">
        <v>-24.866181818181818</v>
      </c>
      <c r="AM149" s="48">
        <v>-25.005446293494703</v>
      </c>
      <c r="AN149" s="48">
        <v>-25.141603630862328</v>
      </c>
      <c r="AO149" s="48">
        <v>-25.277760968229956</v>
      </c>
      <c r="AP149" s="48">
        <v>-25.41391830559758</v>
      </c>
      <c r="AQ149" s="48">
        <v>-25.550075642965204</v>
      </c>
      <c r="AR149" s="48">
        <v>-25.686232980332829</v>
      </c>
      <c r="AS149" s="48">
        <v>-25.822390317700453</v>
      </c>
      <c r="AT149" s="48">
        <v>-25.955295007564295</v>
      </c>
      <c r="AU149" s="48">
        <v>-26.083888048411495</v>
      </c>
      <c r="AV149" s="48">
        <v>-26.212481089258699</v>
      </c>
      <c r="AW149" s="48">
        <v>-26.341074130105898</v>
      </c>
      <c r="AX149" s="48">
        <v>-26.469667170953102</v>
      </c>
      <c r="AY149" s="48">
        <v>-26.598260211800302</v>
      </c>
      <c r="AZ149" s="48">
        <v>-26.726853252647505</v>
      </c>
      <c r="BA149" s="48">
        <v>-26.849393939393941</v>
      </c>
      <c r="BB149" s="48">
        <v>-26.970606060606062</v>
      </c>
      <c r="BC149" s="48">
        <v>-27.091818181818184</v>
      </c>
      <c r="BD149" s="48">
        <v>-27.213030303030305</v>
      </c>
      <c r="BE149" s="48">
        <v>-27.334242424242426</v>
      </c>
      <c r="BF149" s="48">
        <v>-27.455454545454547</v>
      </c>
      <c r="BG149" s="48">
        <v>-27.576506024096386</v>
      </c>
      <c r="BH149" s="48">
        <v>-27.69698795180723</v>
      </c>
      <c r="BI149" s="48">
        <v>-27.817878787878787</v>
      </c>
      <c r="BJ149" s="48">
        <v>-27.939090909090908</v>
      </c>
      <c r="BK149" s="48">
        <v>-28.060303030303029</v>
      </c>
      <c r="BL149" s="48">
        <v>-28.18151515151515</v>
      </c>
      <c r="BM149" s="48">
        <v>-28.302727272727275</v>
      </c>
      <c r="BN149" s="48">
        <v>-28.420242424242424</v>
      </c>
      <c r="BO149" s="48">
        <v>-28.535393939393938</v>
      </c>
      <c r="BP149" s="48">
        <v>-28.655662650602409</v>
      </c>
      <c r="BQ149" s="48">
        <v>-28.776363636363634</v>
      </c>
      <c r="BR149" s="48">
        <v>-28.897575757575758</v>
      </c>
      <c r="BS149" s="48">
        <v>-29.014848484848486</v>
      </c>
      <c r="BT149" s="48">
        <v>-29.13</v>
      </c>
    </row>
    <row r="150" spans="1:72" ht="21.75" thickBot="1" x14ac:dyDescent="0.4">
      <c r="A150" s="1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  <c r="AA150" s="48"/>
      <c r="AB150" s="48"/>
      <c r="AC150" s="48"/>
      <c r="AD150" s="48"/>
      <c r="AE150" s="48"/>
      <c r="AF150" s="48"/>
      <c r="AG150" s="48"/>
      <c r="AH150" s="48"/>
      <c r="AI150" s="48"/>
      <c r="AJ150" s="48"/>
      <c r="AK150" s="48"/>
      <c r="AL150" s="48"/>
      <c r="AM150" s="48"/>
      <c r="AN150" s="48"/>
      <c r="AO150" s="48"/>
      <c r="AP150" s="48"/>
      <c r="AQ150" s="48"/>
      <c r="AR150" s="48"/>
      <c r="AS150" s="48"/>
      <c r="AT150" s="48"/>
      <c r="AU150" s="48"/>
      <c r="AV150" s="48"/>
      <c r="AW150" s="48"/>
      <c r="AX150" s="48"/>
      <c r="AY150" s="48"/>
      <c r="AZ150" s="48"/>
      <c r="BA150" s="48"/>
      <c r="BB150" s="48"/>
      <c r="BC150" s="48"/>
      <c r="BD150" s="48"/>
      <c r="BE150" s="48"/>
      <c r="BF150" s="48"/>
      <c r="BG150" s="48"/>
      <c r="BH150" s="48"/>
      <c r="BI150" s="48"/>
      <c r="BJ150" s="48"/>
      <c r="BK150" s="48"/>
      <c r="BL150" s="48"/>
      <c r="BM150" s="48"/>
      <c r="BN150" s="48"/>
      <c r="BO150" s="48"/>
      <c r="BP150" s="48"/>
      <c r="BS150" s="48"/>
      <c r="BT150" s="48"/>
    </row>
    <row r="151" spans="1:72" ht="21.75" thickBot="1" x14ac:dyDescent="0.4">
      <c r="A151" s="1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  <c r="AA151" s="48"/>
      <c r="AB151" s="48"/>
      <c r="AC151" s="48"/>
      <c r="AD151" s="48"/>
      <c r="AE151" s="48"/>
      <c r="AF151" s="48"/>
      <c r="AG151" s="48"/>
      <c r="AH151" s="48"/>
      <c r="AI151" s="48"/>
      <c r="AJ151" s="48"/>
      <c r="AK151" s="48"/>
      <c r="AL151" s="48"/>
      <c r="AM151" s="48"/>
      <c r="AN151" s="48"/>
      <c r="AO151" s="48"/>
      <c r="AP151" s="48"/>
      <c r="AQ151" s="48"/>
      <c r="AR151" s="48"/>
      <c r="AS151" s="48"/>
      <c r="AT151" s="48"/>
      <c r="AU151" s="48"/>
      <c r="AV151" s="48"/>
      <c r="AW151" s="48"/>
      <c r="AX151" s="48"/>
      <c r="AY151" s="48"/>
      <c r="AZ151" s="48"/>
      <c r="BA151" s="48"/>
      <c r="BB151" s="48"/>
      <c r="BC151" s="48"/>
      <c r="BD151" s="48"/>
      <c r="BE151" s="48"/>
      <c r="BF151" s="48"/>
      <c r="BG151" s="48"/>
      <c r="BH151" s="48"/>
      <c r="BI151" s="48"/>
      <c r="BJ151" s="48"/>
      <c r="BK151" s="48"/>
      <c r="BL151" s="48"/>
      <c r="BM151" s="48"/>
      <c r="BN151" s="48"/>
      <c r="BO151" s="48"/>
      <c r="BP151" s="48"/>
      <c r="BS151" s="48"/>
      <c r="BT151" s="48"/>
    </row>
    <row r="152" spans="1:72" ht="21.75" thickBot="1" x14ac:dyDescent="0.4">
      <c r="A152" s="1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  <c r="AA152" s="48"/>
      <c r="AB152" s="48"/>
      <c r="AC152" s="48"/>
      <c r="AD152" s="48"/>
      <c r="AE152" s="48"/>
      <c r="AF152" s="48"/>
      <c r="AG152" s="48"/>
      <c r="AH152" s="48"/>
      <c r="AI152" s="48"/>
      <c r="AJ152" s="48"/>
      <c r="AK152" s="48"/>
      <c r="AL152" s="48"/>
      <c r="AM152" s="48"/>
      <c r="AN152" s="48"/>
      <c r="AO152" s="48"/>
      <c r="AP152" s="48"/>
      <c r="AQ152" s="48"/>
      <c r="AR152" s="48"/>
      <c r="AS152" s="48"/>
      <c r="AT152" s="48"/>
      <c r="AU152" s="48"/>
      <c r="AV152" s="48"/>
      <c r="AW152" s="48"/>
      <c r="AX152" s="48"/>
      <c r="AY152" s="48"/>
      <c r="AZ152" s="48"/>
      <c r="BA152" s="48"/>
      <c r="BB152" s="48"/>
      <c r="BC152" s="48"/>
      <c r="BD152" s="48"/>
      <c r="BE152" s="48"/>
      <c r="BF152" s="48"/>
      <c r="BG152" s="48"/>
      <c r="BH152" s="48"/>
      <c r="BI152" s="48"/>
      <c r="BJ152" s="48"/>
      <c r="BK152" s="48"/>
      <c r="BL152" s="48"/>
      <c r="BM152" s="48"/>
      <c r="BN152" s="48"/>
      <c r="BO152" s="48"/>
      <c r="BP152" s="48"/>
      <c r="BS152" s="48"/>
      <c r="BT152" s="48"/>
    </row>
    <row r="153" spans="1:72" ht="21.75" thickBot="1" x14ac:dyDescent="0.4">
      <c r="A153" s="1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  <c r="AA153" s="48"/>
      <c r="AB153" s="48"/>
      <c r="AC153" s="48"/>
      <c r="AD153" s="48"/>
      <c r="AE153" s="48"/>
      <c r="AF153" s="48"/>
      <c r="AG153" s="48"/>
      <c r="AH153" s="48"/>
      <c r="AI153" s="48"/>
      <c r="AJ153" s="48"/>
      <c r="AK153" s="48"/>
      <c r="AL153" s="48"/>
      <c r="AM153" s="48"/>
      <c r="AN153" s="48"/>
      <c r="AO153" s="48"/>
      <c r="AP153" s="48"/>
      <c r="AQ153" s="48"/>
      <c r="AR153" s="48"/>
      <c r="AS153" s="48"/>
      <c r="AT153" s="48"/>
      <c r="AU153" s="48"/>
      <c r="AV153" s="48"/>
      <c r="AW153" s="48"/>
      <c r="AX153" s="48"/>
      <c r="AY153" s="48"/>
      <c r="AZ153" s="48"/>
      <c r="BA153" s="48"/>
      <c r="BB153" s="48"/>
      <c r="BC153" s="48"/>
      <c r="BD153" s="48"/>
      <c r="BE153" s="48"/>
      <c r="BF153" s="48"/>
      <c r="BG153" s="48"/>
      <c r="BH153" s="48"/>
      <c r="BI153" s="48"/>
      <c r="BJ153" s="48"/>
      <c r="BK153" s="48"/>
      <c r="BL153" s="48"/>
      <c r="BM153" s="48"/>
      <c r="BN153" s="48"/>
      <c r="BO153" s="48"/>
      <c r="BP153" s="48"/>
      <c r="BS153" s="48"/>
      <c r="BT153" s="48"/>
    </row>
    <row r="154" spans="1:72" ht="21.75" thickBot="1" x14ac:dyDescent="0.4">
      <c r="A154" s="1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  <c r="AA154" s="48"/>
      <c r="AB154" s="48"/>
      <c r="AC154" s="48"/>
      <c r="AD154" s="48"/>
      <c r="AE154" s="48"/>
      <c r="AF154" s="48"/>
      <c r="AG154" s="48"/>
      <c r="AH154" s="48"/>
      <c r="AI154" s="48"/>
      <c r="AJ154" s="48"/>
      <c r="AK154" s="48"/>
      <c r="AL154" s="48"/>
      <c r="AM154" s="48"/>
      <c r="AN154" s="48"/>
      <c r="AO154" s="48"/>
      <c r="AP154" s="48"/>
      <c r="AQ154" s="48"/>
      <c r="AR154" s="48"/>
      <c r="AS154" s="48"/>
      <c r="AT154" s="48"/>
      <c r="AU154" s="48"/>
      <c r="AV154" s="48"/>
      <c r="AW154" s="48"/>
      <c r="AX154" s="48"/>
      <c r="AY154" s="48"/>
      <c r="AZ154" s="48"/>
      <c r="BA154" s="48"/>
      <c r="BB154" s="48"/>
      <c r="BC154" s="48"/>
      <c r="BD154" s="48"/>
      <c r="BE154" s="48"/>
      <c r="BF154" s="48"/>
      <c r="BG154" s="48"/>
      <c r="BH154" s="48"/>
      <c r="BI154" s="48"/>
      <c r="BJ154" s="48"/>
      <c r="BK154" s="48"/>
      <c r="BL154" s="48"/>
      <c r="BM154" s="48"/>
      <c r="BN154" s="48"/>
      <c r="BO154" s="48"/>
      <c r="BP154" s="48"/>
      <c r="BS154" s="48"/>
      <c r="BT154" s="48"/>
    </row>
    <row r="155" spans="1:72" ht="21.75" thickBot="1" x14ac:dyDescent="0.4">
      <c r="A155" s="1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  <c r="AA155" s="48"/>
      <c r="AB155" s="48"/>
      <c r="AC155" s="48"/>
      <c r="AD155" s="48"/>
      <c r="AE155" s="48"/>
      <c r="AF155" s="48"/>
      <c r="AG155" s="48"/>
      <c r="AH155" s="48"/>
      <c r="AI155" s="48"/>
      <c r="AJ155" s="48"/>
      <c r="AK155" s="48"/>
      <c r="AL155" s="48"/>
      <c r="AM155" s="48"/>
      <c r="AN155" s="48"/>
      <c r="AO155" s="48"/>
      <c r="AP155" s="48"/>
      <c r="AQ155" s="48"/>
      <c r="AR155" s="48"/>
      <c r="AS155" s="48"/>
      <c r="AT155" s="48"/>
      <c r="AU155" s="48"/>
      <c r="AV155" s="48"/>
      <c r="AW155" s="48"/>
      <c r="AX155" s="48"/>
      <c r="AY155" s="48"/>
      <c r="AZ155" s="48"/>
      <c r="BA155" s="48"/>
      <c r="BB155" s="48"/>
      <c r="BC155" s="48"/>
      <c r="BD155" s="48"/>
      <c r="BE155" s="48"/>
      <c r="BF155" s="48"/>
      <c r="BG155" s="48"/>
      <c r="BH155" s="48"/>
      <c r="BI155" s="48"/>
      <c r="BJ155" s="48"/>
      <c r="BK155" s="48"/>
      <c r="BL155" s="48"/>
      <c r="BM155" s="48"/>
      <c r="BN155" s="48"/>
      <c r="BO155" s="48"/>
      <c r="BP155" s="48"/>
      <c r="BS155" s="48"/>
      <c r="BT155" s="48"/>
    </row>
    <row r="156" spans="1:72" ht="21.75" thickBot="1" x14ac:dyDescent="0.4">
      <c r="A156" s="1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  <c r="AA156" s="48"/>
      <c r="AB156" s="48"/>
      <c r="AC156" s="48"/>
      <c r="AD156" s="48"/>
      <c r="AE156" s="48"/>
      <c r="AF156" s="48"/>
      <c r="AG156" s="48"/>
      <c r="AH156" s="48"/>
      <c r="AI156" s="48"/>
      <c r="AJ156" s="48"/>
      <c r="AK156" s="48"/>
      <c r="AL156" s="48"/>
      <c r="AM156" s="48"/>
      <c r="AN156" s="48"/>
      <c r="AO156" s="48"/>
      <c r="AP156" s="48"/>
      <c r="AQ156" s="48"/>
      <c r="AR156" s="48"/>
      <c r="AS156" s="48"/>
      <c r="AT156" s="48"/>
      <c r="AU156" s="48"/>
      <c r="AV156" s="48"/>
      <c r="AW156" s="48"/>
      <c r="AX156" s="48"/>
      <c r="AY156" s="48"/>
      <c r="AZ156" s="48"/>
      <c r="BA156" s="48"/>
      <c r="BB156" s="48"/>
      <c r="BC156" s="48"/>
      <c r="BD156" s="48"/>
      <c r="BE156" s="48"/>
      <c r="BF156" s="48"/>
      <c r="BG156" s="48"/>
      <c r="BH156" s="48"/>
      <c r="BI156" s="48"/>
      <c r="BJ156" s="48"/>
      <c r="BK156" s="48"/>
      <c r="BL156" s="48"/>
      <c r="BM156" s="48"/>
      <c r="BN156" s="48"/>
      <c r="BO156" s="48"/>
      <c r="BP156" s="48"/>
      <c r="BS156" s="48"/>
      <c r="BT156" s="48"/>
    </row>
    <row r="157" spans="1:72" ht="21.75" thickBot="1" x14ac:dyDescent="0.4">
      <c r="A157" s="1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  <c r="AA157" s="48"/>
      <c r="AB157" s="48"/>
      <c r="AC157" s="48"/>
      <c r="AD157" s="48"/>
      <c r="AE157" s="48"/>
      <c r="AF157" s="48"/>
      <c r="AG157" s="48"/>
      <c r="AH157" s="48"/>
      <c r="AI157" s="48"/>
      <c r="AJ157" s="48"/>
      <c r="AK157" s="48"/>
      <c r="AL157" s="48"/>
      <c r="AM157" s="48"/>
      <c r="AN157" s="48"/>
      <c r="AO157" s="48"/>
      <c r="AP157" s="48"/>
      <c r="AQ157" s="48"/>
      <c r="AR157" s="48"/>
      <c r="AS157" s="48"/>
      <c r="AT157" s="48"/>
      <c r="AU157" s="48"/>
      <c r="AV157" s="48"/>
      <c r="AW157" s="48"/>
      <c r="AX157" s="48"/>
      <c r="AY157" s="48"/>
      <c r="AZ157" s="48"/>
      <c r="BA157" s="48"/>
      <c r="BB157" s="48"/>
      <c r="BC157" s="48"/>
      <c r="BD157" s="48"/>
      <c r="BE157" s="48"/>
      <c r="BF157" s="48"/>
      <c r="BG157" s="48"/>
      <c r="BH157" s="48"/>
      <c r="BI157" s="48"/>
      <c r="BJ157" s="48"/>
      <c r="BK157" s="48"/>
      <c r="BL157" s="48"/>
      <c r="BM157" s="48"/>
      <c r="BN157" s="48"/>
      <c r="BO157" s="48"/>
      <c r="BP157" s="48"/>
      <c r="BS157" s="48"/>
      <c r="BT157" s="48"/>
    </row>
    <row r="158" spans="1:72" ht="21.75" thickBot="1" x14ac:dyDescent="0.4">
      <c r="A158" s="1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  <c r="AA158" s="48"/>
      <c r="AB158" s="48"/>
      <c r="AC158" s="48"/>
      <c r="AD158" s="48"/>
      <c r="AE158" s="48"/>
      <c r="AF158" s="48"/>
      <c r="AG158" s="48"/>
      <c r="AH158" s="48"/>
      <c r="AI158" s="48"/>
      <c r="AJ158" s="48"/>
      <c r="AK158" s="48"/>
      <c r="AL158" s="48"/>
      <c r="AM158" s="48"/>
      <c r="AN158" s="48"/>
      <c r="AO158" s="48"/>
      <c r="AP158" s="48"/>
      <c r="AQ158" s="48"/>
      <c r="AR158" s="48"/>
      <c r="AS158" s="48"/>
      <c r="AT158" s="48"/>
      <c r="AU158" s="48"/>
      <c r="AV158" s="48"/>
      <c r="AW158" s="48"/>
      <c r="AX158" s="48"/>
      <c r="AY158" s="48"/>
      <c r="AZ158" s="48"/>
      <c r="BA158" s="48"/>
      <c r="BB158" s="48"/>
      <c r="BC158" s="48"/>
      <c r="BD158" s="48"/>
      <c r="BE158" s="48"/>
      <c r="BF158" s="48"/>
      <c r="BG158" s="48"/>
      <c r="BH158" s="48"/>
      <c r="BI158" s="48"/>
      <c r="BJ158" s="48"/>
      <c r="BK158" s="48"/>
      <c r="BL158" s="48"/>
      <c r="BM158" s="48"/>
      <c r="BN158" s="48"/>
      <c r="BO158" s="48"/>
      <c r="BP158" s="48"/>
      <c r="BS158" s="48"/>
      <c r="BT158" s="48"/>
    </row>
    <row r="159" spans="1:72" ht="21.75" thickBot="1" x14ac:dyDescent="0.4">
      <c r="A159" s="1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  <c r="AA159" s="48"/>
      <c r="AB159" s="48"/>
      <c r="AC159" s="48"/>
      <c r="AD159" s="48"/>
      <c r="AE159" s="48"/>
      <c r="AF159" s="48"/>
      <c r="AG159" s="48"/>
      <c r="AH159" s="48"/>
      <c r="AI159" s="48"/>
      <c r="AJ159" s="48"/>
      <c r="AK159" s="48"/>
      <c r="AL159" s="48"/>
      <c r="AM159" s="48"/>
      <c r="AN159" s="48"/>
      <c r="AO159" s="48"/>
      <c r="AP159" s="48"/>
      <c r="AQ159" s="48"/>
      <c r="AR159" s="48"/>
      <c r="AS159" s="48"/>
      <c r="AT159" s="48"/>
      <c r="AU159" s="48"/>
      <c r="AV159" s="48"/>
      <c r="AW159" s="48"/>
      <c r="AX159" s="48"/>
      <c r="AY159" s="48"/>
      <c r="AZ159" s="48"/>
      <c r="BA159" s="48"/>
      <c r="BB159" s="48"/>
      <c r="BC159" s="48"/>
      <c r="BD159" s="48"/>
      <c r="BE159" s="48"/>
      <c r="BF159" s="48"/>
      <c r="BG159" s="48"/>
      <c r="BH159" s="48"/>
      <c r="BI159" s="48"/>
      <c r="BJ159" s="48"/>
      <c r="BK159" s="48"/>
      <c r="BL159" s="48"/>
      <c r="BM159" s="48"/>
      <c r="BN159" s="48"/>
      <c r="BO159" s="48"/>
      <c r="BP159" s="48"/>
      <c r="BS159" s="48"/>
      <c r="BT159" s="48"/>
    </row>
    <row r="160" spans="1:72" ht="21.75" thickBot="1" x14ac:dyDescent="0.4">
      <c r="A160" s="1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  <c r="AA160" s="48"/>
      <c r="AB160" s="48"/>
      <c r="AC160" s="48"/>
      <c r="AD160" s="48"/>
      <c r="AE160" s="48"/>
      <c r="AF160" s="48"/>
      <c r="AG160" s="48"/>
      <c r="AH160" s="48"/>
      <c r="AI160" s="48"/>
      <c r="AJ160" s="48"/>
      <c r="AK160" s="48"/>
      <c r="AL160" s="48"/>
      <c r="AM160" s="48"/>
      <c r="AN160" s="48"/>
      <c r="AO160" s="48"/>
      <c r="AP160" s="48"/>
      <c r="AQ160" s="48"/>
      <c r="AR160" s="48"/>
      <c r="AS160" s="48"/>
      <c r="AT160" s="48"/>
      <c r="AU160" s="48"/>
      <c r="AV160" s="48"/>
      <c r="AW160" s="48"/>
      <c r="AX160" s="48"/>
      <c r="AY160" s="48"/>
      <c r="AZ160" s="48"/>
      <c r="BA160" s="48"/>
      <c r="BB160" s="48"/>
      <c r="BC160" s="48"/>
      <c r="BD160" s="48"/>
      <c r="BE160" s="48"/>
      <c r="BF160" s="48"/>
      <c r="BG160" s="48"/>
      <c r="BH160" s="48"/>
      <c r="BI160" s="48"/>
      <c r="BJ160" s="48"/>
      <c r="BK160" s="48"/>
      <c r="BL160" s="48"/>
      <c r="BM160" s="48"/>
      <c r="BN160" s="48"/>
      <c r="BO160" s="48"/>
      <c r="BP160" s="48"/>
      <c r="BS160" s="48"/>
      <c r="BT160" s="48"/>
    </row>
    <row r="161" spans="1:72" ht="22.5" thickTop="1" thickBot="1" x14ac:dyDescent="0.4">
      <c r="A161" s="4" t="s">
        <v>40</v>
      </c>
      <c r="B161" s="4">
        <v>0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  <c r="J161" s="4">
        <v>0</v>
      </c>
      <c r="K161" s="4">
        <v>0</v>
      </c>
      <c r="L161" s="4">
        <v>0</v>
      </c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0</v>
      </c>
      <c r="S161" s="4">
        <v>0</v>
      </c>
      <c r="T161" s="4">
        <v>0</v>
      </c>
      <c r="U161" s="4">
        <v>0</v>
      </c>
      <c r="V161" s="4">
        <v>0</v>
      </c>
      <c r="W161" s="4">
        <v>0</v>
      </c>
      <c r="X161" s="4">
        <v>0</v>
      </c>
      <c r="Y161" s="4">
        <v>0</v>
      </c>
      <c r="Z161" s="4">
        <v>0</v>
      </c>
      <c r="AA161" s="4">
        <v>0</v>
      </c>
      <c r="AB161" s="4">
        <v>0</v>
      </c>
      <c r="AC161" s="4">
        <v>0</v>
      </c>
      <c r="AD161" s="4">
        <v>0</v>
      </c>
      <c r="AE161" s="4">
        <v>0</v>
      </c>
      <c r="AF161" s="4">
        <v>0</v>
      </c>
      <c r="AG161" s="4">
        <v>0</v>
      </c>
      <c r="AH161" s="4">
        <v>0</v>
      </c>
      <c r="AI161" s="4">
        <v>0</v>
      </c>
      <c r="AJ161" s="4">
        <v>0</v>
      </c>
      <c r="AK161" s="4">
        <v>0</v>
      </c>
      <c r="AL161" s="4">
        <v>0</v>
      </c>
      <c r="AM161" s="4">
        <v>0</v>
      </c>
      <c r="AN161" s="4">
        <v>0</v>
      </c>
      <c r="AO161" s="4">
        <v>0</v>
      </c>
      <c r="AP161" s="4">
        <v>0</v>
      </c>
      <c r="AQ161" s="4">
        <v>0</v>
      </c>
      <c r="AR161" s="4">
        <v>0</v>
      </c>
      <c r="AS161" s="4">
        <v>0</v>
      </c>
      <c r="AT161" s="4">
        <v>0</v>
      </c>
      <c r="AU161" s="4">
        <v>0</v>
      </c>
      <c r="AV161" s="4">
        <v>0</v>
      </c>
      <c r="AW161" s="4">
        <v>0</v>
      </c>
      <c r="AX161" s="4">
        <v>0</v>
      </c>
      <c r="AY161" s="4">
        <v>0</v>
      </c>
      <c r="AZ161" s="4">
        <v>0</v>
      </c>
      <c r="BA161" s="4">
        <v>0</v>
      </c>
      <c r="BB161" s="4">
        <v>0</v>
      </c>
      <c r="BC161" s="4">
        <v>0</v>
      </c>
      <c r="BD161" s="4">
        <v>0</v>
      </c>
      <c r="BE161" s="4">
        <v>0</v>
      </c>
      <c r="BF161" s="4">
        <v>0</v>
      </c>
      <c r="BG161" s="4">
        <v>0</v>
      </c>
      <c r="BH161" s="4">
        <v>0</v>
      </c>
      <c r="BI161" s="4">
        <v>0</v>
      </c>
      <c r="BJ161" s="4">
        <v>0</v>
      </c>
      <c r="BK161" s="4">
        <v>0</v>
      </c>
      <c r="BL161" s="4">
        <v>0</v>
      </c>
      <c r="BM161" s="4">
        <v>0</v>
      </c>
      <c r="BN161" s="4">
        <v>0</v>
      </c>
      <c r="BO161" s="4">
        <v>0</v>
      </c>
      <c r="BP161" s="4">
        <v>0</v>
      </c>
      <c r="BQ161" s="4">
        <v>0</v>
      </c>
      <c r="BR161" s="4">
        <v>0</v>
      </c>
      <c r="BS161" s="4">
        <v>0</v>
      </c>
      <c r="BT161" s="4">
        <v>0</v>
      </c>
    </row>
    <row r="162" spans="1:72" ht="21.75" thickTop="1" x14ac:dyDescent="0.35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valuating_Python">
                <anchor moveWithCells="1" sizeWithCells="1">
                  <from>
                    <xdr:col>71</xdr:col>
                    <xdr:colOff>104775</xdr:colOff>
                    <xdr:row>0</xdr:row>
                    <xdr:rowOff>47625</xdr:rowOff>
                  </from>
                  <to>
                    <xdr:col>72</xdr:col>
                    <xdr:colOff>866775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584EB-B102-4E30-9FD0-71DDD5E53F8D}">
  <sheetPr codeName="Лист7">
    <tabColor theme="1" tint="4.9989318521683403E-2"/>
  </sheetPr>
  <dimension ref="A1:BT161"/>
  <sheetViews>
    <sheetView tabSelected="1" zoomScale="85" zoomScaleNormal="85" workbookViewId="0">
      <pane ySplit="1" topLeftCell="A136" activePane="bottomLeft" state="frozen"/>
      <selection pane="bottomLeft" activeCell="A100" sqref="A100:BT161"/>
    </sheetView>
  </sheetViews>
  <sheetFormatPr defaultRowHeight="21" outlineLevelRow="1" x14ac:dyDescent="0.35"/>
  <cols>
    <col min="1" max="1" width="13.81640625" style="92" bestFit="1" customWidth="1"/>
    <col min="2" max="5" width="4.26953125" style="36" customWidth="1"/>
    <col min="6" max="71" width="4.26953125" style="36" hidden="1" customWidth="1"/>
    <col min="72" max="72" width="5.6328125" style="36" customWidth="1"/>
    <col min="73" max="73" width="5.26953125" style="48" customWidth="1"/>
    <col min="74" max="16384" width="8.7265625" style="48"/>
  </cols>
  <sheetData>
    <row r="1" spans="1:72" ht="35.1" customHeight="1" thickBot="1" x14ac:dyDescent="0.4">
      <c r="A1" s="90" t="s">
        <v>16</v>
      </c>
      <c r="B1" s="37">
        <v>300</v>
      </c>
      <c r="C1" s="60">
        <v>1000</v>
      </c>
      <c r="D1" s="61" t="s">
        <v>17</v>
      </c>
      <c r="E1" s="62">
        <v>70</v>
      </c>
    </row>
    <row r="2" spans="1:72" ht="23.25" customHeight="1" thickTop="1" thickBot="1" x14ac:dyDescent="0.4">
      <c r="A2" s="91" t="s">
        <v>27</v>
      </c>
      <c r="B2" s="63">
        <f>FLUID!F3</f>
        <v>0</v>
      </c>
      <c r="C2" s="63">
        <f>FLUID!G3</f>
        <v>0</v>
      </c>
      <c r="D2" s="63">
        <f>FLUID!H3</f>
        <v>0</v>
      </c>
      <c r="E2" s="63">
        <f>FLUID!I3</f>
        <v>0</v>
      </c>
      <c r="F2" s="63">
        <f>FLUID!J3</f>
        <v>0</v>
      </c>
      <c r="G2" s="63">
        <f>FLUID!K3</f>
        <v>0</v>
      </c>
      <c r="H2" s="63">
        <f>FLUID!L3</f>
        <v>0</v>
      </c>
      <c r="I2" s="63">
        <f>FLUID!M3</f>
        <v>0</v>
      </c>
      <c r="J2" s="63">
        <f>FLUID!N3</f>
        <v>0</v>
      </c>
      <c r="K2" s="63">
        <f>FLUID!O3</f>
        <v>0</v>
      </c>
      <c r="L2" s="63">
        <f>FLUID!P3</f>
        <v>0</v>
      </c>
      <c r="M2" s="63">
        <f>FLUID!Q3</f>
        <v>0</v>
      </c>
      <c r="N2" s="63">
        <f>FLUID!R3</f>
        <v>0</v>
      </c>
      <c r="O2" s="63">
        <f>FLUID!S3</f>
        <v>0</v>
      </c>
      <c r="P2" s="63">
        <f>FLUID!T3</f>
        <v>0</v>
      </c>
      <c r="Q2" s="63">
        <f>FLUID!U3</f>
        <v>0</v>
      </c>
      <c r="R2" s="63">
        <f>FLUID!V3</f>
        <v>0</v>
      </c>
      <c r="S2" s="63">
        <f>FLUID!W3</f>
        <v>0</v>
      </c>
      <c r="T2" s="63">
        <f>FLUID!X3</f>
        <v>0</v>
      </c>
      <c r="U2" s="63">
        <f>FLUID!Y3</f>
        <v>0</v>
      </c>
      <c r="V2" s="63">
        <f>FLUID!Z3</f>
        <v>0</v>
      </c>
      <c r="W2" s="63">
        <f>FLUID!AA3</f>
        <v>0</v>
      </c>
      <c r="X2" s="63">
        <f>FLUID!AB3</f>
        <v>0</v>
      </c>
      <c r="Y2" s="63">
        <f>FLUID!AC3</f>
        <v>0</v>
      </c>
      <c r="Z2" s="63">
        <f>FLUID!AD3</f>
        <v>0</v>
      </c>
      <c r="AA2" s="63">
        <f>FLUID!AE3</f>
        <v>0</v>
      </c>
      <c r="AB2" s="63">
        <f>FLUID!AF3</f>
        <v>0</v>
      </c>
      <c r="AC2" s="63">
        <f>FLUID!AG3</f>
        <v>0</v>
      </c>
      <c r="AD2" s="63">
        <f>FLUID!AH3</f>
        <v>0</v>
      </c>
      <c r="AE2" s="63">
        <f>FLUID!AI3</f>
        <v>0</v>
      </c>
      <c r="AF2" s="63">
        <f>FLUID!AJ3</f>
        <v>0</v>
      </c>
      <c r="AG2" s="63">
        <f>FLUID!AK3</f>
        <v>0</v>
      </c>
      <c r="AH2" s="63">
        <f>FLUID!AL3</f>
        <v>0</v>
      </c>
      <c r="AI2" s="63">
        <f>FLUID!AM3</f>
        <v>0</v>
      </c>
      <c r="AJ2" s="63">
        <f>FLUID!AN3</f>
        <v>0</v>
      </c>
      <c r="AK2" s="63">
        <f>FLUID!AO3</f>
        <v>0</v>
      </c>
      <c r="AL2" s="63">
        <f>FLUID!AP3</f>
        <v>0</v>
      </c>
      <c r="AM2" s="63">
        <f>FLUID!AQ3</f>
        <v>0</v>
      </c>
      <c r="AN2" s="63">
        <f>FLUID!AR3</f>
        <v>0</v>
      </c>
      <c r="AO2" s="63">
        <f>FLUID!AS3</f>
        <v>0</v>
      </c>
      <c r="AP2" s="63">
        <f>FLUID!AT3</f>
        <v>0</v>
      </c>
      <c r="AQ2" s="63">
        <f>FLUID!AU3</f>
        <v>0</v>
      </c>
      <c r="AR2" s="63">
        <f>FLUID!AV3</f>
        <v>0</v>
      </c>
      <c r="AS2" s="63">
        <f>FLUID!AW3</f>
        <v>0</v>
      </c>
      <c r="AT2" s="63">
        <f>FLUID!AX3</f>
        <v>0</v>
      </c>
      <c r="AU2" s="63">
        <f>FLUID!AY3</f>
        <v>0</v>
      </c>
      <c r="AV2" s="63">
        <f>FLUID!AZ3</f>
        <v>0</v>
      </c>
      <c r="AW2" s="63">
        <f>FLUID!BA3</f>
        <v>0</v>
      </c>
      <c r="AX2" s="63">
        <f>FLUID!BB3</f>
        <v>0</v>
      </c>
      <c r="AY2" s="63">
        <f>FLUID!BC3</f>
        <v>0</v>
      </c>
      <c r="AZ2" s="63">
        <f>FLUID!BD3</f>
        <v>0</v>
      </c>
      <c r="BA2" s="63">
        <f>FLUID!BE3</f>
        <v>0</v>
      </c>
      <c r="BB2" s="63">
        <f>FLUID!BF3</f>
        <v>0</v>
      </c>
      <c r="BC2" s="63">
        <f>FLUID!BG3</f>
        <v>0</v>
      </c>
      <c r="BD2" s="63">
        <f>FLUID!BH3</f>
        <v>0</v>
      </c>
      <c r="BE2" s="63">
        <f>FLUID!BI3</f>
        <v>0</v>
      </c>
      <c r="BF2" s="63">
        <f>FLUID!BJ3</f>
        <v>0</v>
      </c>
      <c r="BG2" s="63">
        <f>FLUID!BK3</f>
        <v>0</v>
      </c>
      <c r="BH2" s="63">
        <f>FLUID!BL3</f>
        <v>0</v>
      </c>
      <c r="BI2" s="63">
        <f>FLUID!BM3</f>
        <v>0</v>
      </c>
      <c r="BJ2" s="63">
        <f>FLUID!BN3</f>
        <v>0</v>
      </c>
      <c r="BK2" s="63">
        <f>FLUID!BO3</f>
        <v>0</v>
      </c>
      <c r="BL2" s="63">
        <f>FLUID!BP3</f>
        <v>0</v>
      </c>
      <c r="BM2" s="63">
        <f>FLUID!BQ3</f>
        <v>0</v>
      </c>
      <c r="BN2" s="63">
        <f>FLUID!BR3</f>
        <v>0</v>
      </c>
      <c r="BO2" s="63">
        <f>FLUID!BS3</f>
        <v>0</v>
      </c>
      <c r="BP2" s="63">
        <f>FLUID!BT3</f>
        <v>0</v>
      </c>
      <c r="BQ2" s="63">
        <f>FLUID!BU3</f>
        <v>0</v>
      </c>
      <c r="BR2" s="63">
        <f>FLUID!BV3</f>
        <v>0</v>
      </c>
      <c r="BS2" s="63">
        <f>FLUID!BW3</f>
        <v>0</v>
      </c>
      <c r="BT2" s="63">
        <f>FLUID!BX3</f>
        <v>0</v>
      </c>
    </row>
    <row r="3" spans="1:72" ht="22.5" hidden="1" outlineLevel="1" thickTop="1" thickBot="1" x14ac:dyDescent="0.4">
      <c r="A3" s="88">
        <f>FLUID!E4</f>
        <v>0</v>
      </c>
      <c r="B3" s="16">
        <f>FLUID!F4</f>
        <v>0</v>
      </c>
      <c r="C3" s="16">
        <f>FLUID!G4</f>
        <v>0</v>
      </c>
      <c r="D3" s="16">
        <f>FLUID!H4</f>
        <v>0</v>
      </c>
      <c r="E3" s="16">
        <f>FLUID!I4</f>
        <v>0</v>
      </c>
      <c r="F3" s="16">
        <f>FLUID!J4</f>
        <v>0</v>
      </c>
      <c r="G3" s="16">
        <f>FLUID!K4</f>
        <v>0</v>
      </c>
      <c r="H3" s="16">
        <f>FLUID!L4</f>
        <v>0</v>
      </c>
      <c r="I3" s="16">
        <f>FLUID!M4</f>
        <v>0</v>
      </c>
      <c r="J3" s="16">
        <f>FLUID!N4</f>
        <v>0</v>
      </c>
      <c r="K3" s="16">
        <f>FLUID!O4</f>
        <v>0</v>
      </c>
      <c r="L3" s="16">
        <f>FLUID!P4</f>
        <v>0</v>
      </c>
      <c r="M3" s="16">
        <f>FLUID!Q4</f>
        <v>0</v>
      </c>
      <c r="N3" s="16">
        <f>FLUID!R4</f>
        <v>0</v>
      </c>
      <c r="O3" s="16">
        <f>FLUID!S4</f>
        <v>0</v>
      </c>
      <c r="P3" s="16">
        <f>FLUID!T4</f>
        <v>0</v>
      </c>
      <c r="Q3" s="16">
        <f>FLUID!U4</f>
        <v>0</v>
      </c>
      <c r="R3" s="16">
        <f>FLUID!V4</f>
        <v>0</v>
      </c>
      <c r="S3" s="16">
        <f>FLUID!W4</f>
        <v>0</v>
      </c>
      <c r="T3" s="16">
        <f>FLUID!X4</f>
        <v>0</v>
      </c>
      <c r="U3" s="16">
        <f>FLUID!Y4</f>
        <v>0</v>
      </c>
      <c r="V3" s="16">
        <f>FLUID!Z4</f>
        <v>0</v>
      </c>
      <c r="W3" s="16">
        <f>FLUID!AA4</f>
        <v>0</v>
      </c>
      <c r="X3" s="16">
        <f>FLUID!AB4</f>
        <v>0</v>
      </c>
      <c r="Y3" s="16">
        <f>FLUID!AC4</f>
        <v>0</v>
      </c>
      <c r="Z3" s="16">
        <f>FLUID!AD4</f>
        <v>0</v>
      </c>
      <c r="AA3" s="16">
        <f>FLUID!AE4</f>
        <v>0</v>
      </c>
      <c r="AB3" s="16">
        <f>FLUID!AF4</f>
        <v>0</v>
      </c>
      <c r="AC3" s="16">
        <f>FLUID!AG4</f>
        <v>0</v>
      </c>
      <c r="AD3" s="16">
        <f>FLUID!AH4</f>
        <v>0</v>
      </c>
      <c r="AE3" s="16">
        <f>FLUID!AI4</f>
        <v>0</v>
      </c>
      <c r="AF3" s="16">
        <f>FLUID!AJ4</f>
        <v>0</v>
      </c>
      <c r="AG3" s="16">
        <f>FLUID!AK4</f>
        <v>0</v>
      </c>
      <c r="AH3" s="16">
        <f>FLUID!AL4</f>
        <v>0</v>
      </c>
      <c r="AI3" s="16">
        <f>FLUID!AM4</f>
        <v>0</v>
      </c>
      <c r="AJ3" s="16">
        <f>FLUID!AN4</f>
        <v>0</v>
      </c>
      <c r="AK3" s="16">
        <f>FLUID!AO4</f>
        <v>0</v>
      </c>
      <c r="AL3" s="16">
        <f>FLUID!AP4</f>
        <v>0</v>
      </c>
      <c r="AM3" s="16">
        <f>FLUID!AQ4</f>
        <v>0</v>
      </c>
      <c r="AN3" s="16">
        <f>FLUID!AR4</f>
        <v>0</v>
      </c>
      <c r="AO3" s="16">
        <f>FLUID!AS4</f>
        <v>0</v>
      </c>
      <c r="AP3" s="16">
        <f>FLUID!AT4</f>
        <v>0</v>
      </c>
      <c r="AQ3" s="16">
        <f>FLUID!AU4</f>
        <v>0</v>
      </c>
      <c r="AR3" s="16">
        <f>FLUID!AV4</f>
        <v>0</v>
      </c>
      <c r="AS3" s="16">
        <f>FLUID!AW4</f>
        <v>0</v>
      </c>
      <c r="AT3" s="16">
        <f>FLUID!AX4</f>
        <v>0</v>
      </c>
      <c r="AU3" s="16">
        <f>FLUID!AY4</f>
        <v>0</v>
      </c>
      <c r="AV3" s="16">
        <f>FLUID!AZ4</f>
        <v>0</v>
      </c>
      <c r="AW3" s="16">
        <f>FLUID!BA4</f>
        <v>0</v>
      </c>
      <c r="AX3" s="16">
        <f>FLUID!BB4</f>
        <v>0</v>
      </c>
      <c r="AY3" s="16">
        <f>FLUID!BC4</f>
        <v>0</v>
      </c>
      <c r="AZ3" s="16">
        <f>FLUID!BD4</f>
        <v>0</v>
      </c>
      <c r="BA3" s="16">
        <f>FLUID!BE4</f>
        <v>0</v>
      </c>
      <c r="BB3" s="16">
        <f>FLUID!BF4</f>
        <v>0</v>
      </c>
      <c r="BC3" s="16">
        <f>FLUID!BG4</f>
        <v>0</v>
      </c>
      <c r="BD3" s="16">
        <f>FLUID!BH4</f>
        <v>0</v>
      </c>
      <c r="BE3" s="16">
        <f>FLUID!BI4</f>
        <v>0</v>
      </c>
      <c r="BF3" s="16">
        <f>FLUID!BJ4</f>
        <v>0</v>
      </c>
      <c r="BG3" s="16">
        <f>FLUID!BK4</f>
        <v>0</v>
      </c>
      <c r="BH3" s="16">
        <f>FLUID!BL4</f>
        <v>0</v>
      </c>
      <c r="BI3" s="16">
        <f>FLUID!BM4</f>
        <v>0</v>
      </c>
      <c r="BJ3" s="16">
        <f>FLUID!BN4</f>
        <v>0</v>
      </c>
      <c r="BK3" s="16">
        <f>FLUID!BO4</f>
        <v>0</v>
      </c>
      <c r="BL3" s="16">
        <f>FLUID!BP4</f>
        <v>0</v>
      </c>
      <c r="BM3" s="16">
        <f>FLUID!BQ4</f>
        <v>0</v>
      </c>
      <c r="BN3" s="16">
        <f>FLUID!BR4</f>
        <v>0</v>
      </c>
      <c r="BO3" s="16">
        <f>FLUID!BS4</f>
        <v>0</v>
      </c>
      <c r="BP3" s="16">
        <f>FLUID!BT4</f>
        <v>0</v>
      </c>
      <c r="BQ3" s="16">
        <f>FLUID!BU4</f>
        <v>0</v>
      </c>
      <c r="BR3" s="16">
        <f>FLUID!BV4</f>
        <v>0</v>
      </c>
      <c r="BS3" s="16">
        <f>FLUID!BW4</f>
        <v>0</v>
      </c>
      <c r="BT3" s="16">
        <f>FLUID!BX4</f>
        <v>0</v>
      </c>
    </row>
    <row r="4" spans="1:72" ht="22.5" hidden="1" outlineLevel="1" thickTop="1" thickBot="1" x14ac:dyDescent="0.4">
      <c r="A4" s="88">
        <f>FLUID!E5</f>
        <v>0</v>
      </c>
      <c r="B4" s="16">
        <f>FLUID!F5</f>
        <v>0</v>
      </c>
      <c r="C4" s="16">
        <f>FLUID!G5</f>
        <v>0</v>
      </c>
      <c r="D4" s="16">
        <f>FLUID!H5</f>
        <v>0</v>
      </c>
      <c r="E4" s="16">
        <f>FLUID!I5</f>
        <v>0</v>
      </c>
      <c r="F4" s="16">
        <f>FLUID!J5</f>
        <v>0</v>
      </c>
      <c r="G4" s="16">
        <f>FLUID!K5</f>
        <v>0</v>
      </c>
      <c r="H4" s="16">
        <f>FLUID!L5</f>
        <v>0</v>
      </c>
      <c r="I4" s="16">
        <f>FLUID!M5</f>
        <v>0</v>
      </c>
      <c r="J4" s="16">
        <f>FLUID!N5</f>
        <v>0</v>
      </c>
      <c r="K4" s="16">
        <f>FLUID!O5</f>
        <v>0</v>
      </c>
      <c r="L4" s="16">
        <f>FLUID!P5</f>
        <v>0</v>
      </c>
      <c r="M4" s="16">
        <f>FLUID!Q5</f>
        <v>0</v>
      </c>
      <c r="N4" s="16">
        <f>FLUID!R5</f>
        <v>0</v>
      </c>
      <c r="O4" s="16">
        <f>FLUID!S5</f>
        <v>0</v>
      </c>
      <c r="P4" s="16">
        <f>FLUID!T5</f>
        <v>0</v>
      </c>
      <c r="Q4" s="16">
        <f>FLUID!U5</f>
        <v>0</v>
      </c>
      <c r="R4" s="16">
        <f>FLUID!V5</f>
        <v>0</v>
      </c>
      <c r="S4" s="16">
        <f>FLUID!W5</f>
        <v>0</v>
      </c>
      <c r="T4" s="16">
        <f>FLUID!X5</f>
        <v>0</v>
      </c>
      <c r="U4" s="16">
        <f>FLUID!Y5</f>
        <v>0</v>
      </c>
      <c r="V4" s="16">
        <f>FLUID!Z5</f>
        <v>0</v>
      </c>
      <c r="W4" s="16">
        <f>FLUID!AA5</f>
        <v>0</v>
      </c>
      <c r="X4" s="16">
        <f>FLUID!AB5</f>
        <v>0</v>
      </c>
      <c r="Y4" s="16">
        <f>FLUID!AC5</f>
        <v>0</v>
      </c>
      <c r="Z4" s="16">
        <f>FLUID!AD5</f>
        <v>0</v>
      </c>
      <c r="AA4" s="16">
        <f>FLUID!AE5</f>
        <v>0</v>
      </c>
      <c r="AB4" s="16">
        <f>FLUID!AF5</f>
        <v>0</v>
      </c>
      <c r="AC4" s="16">
        <f>FLUID!AG5</f>
        <v>0</v>
      </c>
      <c r="AD4" s="16">
        <f>FLUID!AH5</f>
        <v>0</v>
      </c>
      <c r="AE4" s="16">
        <f>FLUID!AI5</f>
        <v>0</v>
      </c>
      <c r="AF4" s="16">
        <f>FLUID!AJ5</f>
        <v>0</v>
      </c>
      <c r="AG4" s="16">
        <f>FLUID!AK5</f>
        <v>0</v>
      </c>
      <c r="AH4" s="16">
        <f>FLUID!AL5</f>
        <v>0</v>
      </c>
      <c r="AI4" s="16">
        <f>FLUID!AM5</f>
        <v>0</v>
      </c>
      <c r="AJ4" s="16">
        <f>FLUID!AN5</f>
        <v>0</v>
      </c>
      <c r="AK4" s="16">
        <f>FLUID!AO5</f>
        <v>0</v>
      </c>
      <c r="AL4" s="16">
        <f>FLUID!AP5</f>
        <v>0</v>
      </c>
      <c r="AM4" s="16">
        <f>FLUID!AQ5</f>
        <v>0</v>
      </c>
      <c r="AN4" s="16">
        <f>FLUID!AR5</f>
        <v>0</v>
      </c>
      <c r="AO4" s="16">
        <f>FLUID!AS5</f>
        <v>0</v>
      </c>
      <c r="AP4" s="16">
        <f>FLUID!AT5</f>
        <v>0</v>
      </c>
      <c r="AQ4" s="16">
        <f>FLUID!AU5</f>
        <v>0</v>
      </c>
      <c r="AR4" s="16">
        <f>FLUID!AV5</f>
        <v>0</v>
      </c>
      <c r="AS4" s="16">
        <f>FLUID!AW5</f>
        <v>0</v>
      </c>
      <c r="AT4" s="16">
        <f>FLUID!AX5</f>
        <v>0</v>
      </c>
      <c r="AU4" s="16">
        <f>FLUID!AY5</f>
        <v>0</v>
      </c>
      <c r="AV4" s="16">
        <f>FLUID!AZ5</f>
        <v>0</v>
      </c>
      <c r="AW4" s="16">
        <f>FLUID!BA5</f>
        <v>0</v>
      </c>
      <c r="AX4" s="16">
        <f>FLUID!BB5</f>
        <v>0</v>
      </c>
      <c r="AY4" s="16">
        <f>FLUID!BC5</f>
        <v>0</v>
      </c>
      <c r="AZ4" s="16">
        <f>FLUID!BD5</f>
        <v>0</v>
      </c>
      <c r="BA4" s="16">
        <f>FLUID!BE5</f>
        <v>0</v>
      </c>
      <c r="BB4" s="16">
        <f>FLUID!BF5</f>
        <v>0</v>
      </c>
      <c r="BC4" s="16">
        <f>FLUID!BG5</f>
        <v>0</v>
      </c>
      <c r="BD4" s="16">
        <f>FLUID!BH5</f>
        <v>0</v>
      </c>
      <c r="BE4" s="16">
        <f>FLUID!BI5</f>
        <v>0</v>
      </c>
      <c r="BF4" s="16">
        <f>FLUID!BJ5</f>
        <v>0</v>
      </c>
      <c r="BG4" s="16">
        <f>FLUID!BK5</f>
        <v>0</v>
      </c>
      <c r="BH4" s="16">
        <f>FLUID!BL5</f>
        <v>0</v>
      </c>
      <c r="BI4" s="16">
        <f>FLUID!BM5</f>
        <v>0</v>
      </c>
      <c r="BJ4" s="16">
        <f>FLUID!BN5</f>
        <v>0</v>
      </c>
      <c r="BK4" s="16">
        <f>FLUID!BO5</f>
        <v>0</v>
      </c>
      <c r="BL4" s="16">
        <f>FLUID!BP5</f>
        <v>0</v>
      </c>
      <c r="BM4" s="16">
        <f>FLUID!BQ5</f>
        <v>0</v>
      </c>
      <c r="BN4" s="16">
        <f>FLUID!BR5</f>
        <v>0</v>
      </c>
      <c r="BO4" s="16">
        <f>FLUID!BS5</f>
        <v>0</v>
      </c>
      <c r="BP4" s="16">
        <f>FLUID!BT5</f>
        <v>0</v>
      </c>
      <c r="BQ4" s="16">
        <f>FLUID!BU5</f>
        <v>0</v>
      </c>
      <c r="BR4" s="16">
        <f>FLUID!BV5</f>
        <v>0</v>
      </c>
      <c r="BS4" s="16">
        <f>FLUID!BW5</f>
        <v>0</v>
      </c>
      <c r="BT4" s="16">
        <f>FLUID!BX5</f>
        <v>0</v>
      </c>
    </row>
    <row r="5" spans="1:72" ht="22.5" hidden="1" outlineLevel="1" thickTop="1" thickBot="1" x14ac:dyDescent="0.4">
      <c r="A5" s="88">
        <f>FLUID!E6</f>
        <v>0</v>
      </c>
      <c r="B5" s="16">
        <f>FLUID!F6</f>
        <v>0</v>
      </c>
      <c r="C5" s="16">
        <f>FLUID!G6</f>
        <v>0</v>
      </c>
      <c r="D5" s="16">
        <f>FLUID!H6</f>
        <v>0</v>
      </c>
      <c r="E5" s="16">
        <f>FLUID!I6</f>
        <v>0</v>
      </c>
      <c r="F5" s="16">
        <f>FLUID!J6</f>
        <v>0</v>
      </c>
      <c r="G5" s="16">
        <f>FLUID!K6</f>
        <v>0</v>
      </c>
      <c r="H5" s="16">
        <f>FLUID!L6</f>
        <v>0</v>
      </c>
      <c r="I5" s="16">
        <f>FLUID!M6</f>
        <v>0</v>
      </c>
      <c r="J5" s="16">
        <f>FLUID!N6</f>
        <v>0</v>
      </c>
      <c r="K5" s="16">
        <f>FLUID!O6</f>
        <v>0</v>
      </c>
      <c r="L5" s="16">
        <f>FLUID!P6</f>
        <v>0</v>
      </c>
      <c r="M5" s="16">
        <f>FLUID!Q6</f>
        <v>0</v>
      </c>
      <c r="N5" s="16">
        <f>FLUID!R6</f>
        <v>0</v>
      </c>
      <c r="O5" s="16">
        <f>FLUID!S6</f>
        <v>0</v>
      </c>
      <c r="P5" s="16">
        <f>FLUID!T6</f>
        <v>0</v>
      </c>
      <c r="Q5" s="16">
        <f>FLUID!U6</f>
        <v>0</v>
      </c>
      <c r="R5" s="16">
        <f>FLUID!V6</f>
        <v>0</v>
      </c>
      <c r="S5" s="16">
        <f>FLUID!W6</f>
        <v>0</v>
      </c>
      <c r="T5" s="16">
        <f>FLUID!X6</f>
        <v>0</v>
      </c>
      <c r="U5" s="16">
        <f>FLUID!Y6</f>
        <v>0</v>
      </c>
      <c r="V5" s="16">
        <f>FLUID!Z6</f>
        <v>0</v>
      </c>
      <c r="W5" s="16">
        <f>FLUID!AA6</f>
        <v>0</v>
      </c>
      <c r="X5" s="16">
        <f>FLUID!AB6</f>
        <v>0</v>
      </c>
      <c r="Y5" s="16">
        <f>FLUID!AC6</f>
        <v>0</v>
      </c>
      <c r="Z5" s="16">
        <f>FLUID!AD6</f>
        <v>0</v>
      </c>
      <c r="AA5" s="16">
        <f>FLUID!AE6</f>
        <v>0</v>
      </c>
      <c r="AB5" s="16">
        <f>FLUID!AF6</f>
        <v>0</v>
      </c>
      <c r="AC5" s="16">
        <f>FLUID!AG6</f>
        <v>0</v>
      </c>
      <c r="AD5" s="16">
        <f>FLUID!AH6</f>
        <v>0</v>
      </c>
      <c r="AE5" s="16">
        <f>FLUID!AI6</f>
        <v>0</v>
      </c>
      <c r="AF5" s="16">
        <f>FLUID!AJ6</f>
        <v>0</v>
      </c>
      <c r="AG5" s="16">
        <f>FLUID!AK6</f>
        <v>0</v>
      </c>
      <c r="AH5" s="16">
        <f>FLUID!AL6</f>
        <v>0</v>
      </c>
      <c r="AI5" s="16">
        <f>FLUID!AM6</f>
        <v>0</v>
      </c>
      <c r="AJ5" s="16">
        <f>FLUID!AN6</f>
        <v>0</v>
      </c>
      <c r="AK5" s="16">
        <f>FLUID!AO6</f>
        <v>0</v>
      </c>
      <c r="AL5" s="16">
        <f>FLUID!AP6</f>
        <v>0</v>
      </c>
      <c r="AM5" s="16">
        <f>FLUID!AQ6</f>
        <v>0</v>
      </c>
      <c r="AN5" s="16">
        <f>FLUID!AR6</f>
        <v>0</v>
      </c>
      <c r="AO5" s="16">
        <f>FLUID!AS6</f>
        <v>0</v>
      </c>
      <c r="AP5" s="16">
        <f>FLUID!AT6</f>
        <v>0</v>
      </c>
      <c r="AQ5" s="16">
        <f>FLUID!AU6</f>
        <v>0</v>
      </c>
      <c r="AR5" s="16">
        <f>FLUID!AV6</f>
        <v>0</v>
      </c>
      <c r="AS5" s="16">
        <f>FLUID!AW6</f>
        <v>0</v>
      </c>
      <c r="AT5" s="16">
        <f>FLUID!AX6</f>
        <v>0</v>
      </c>
      <c r="AU5" s="16">
        <f>FLUID!AY6</f>
        <v>0</v>
      </c>
      <c r="AV5" s="16">
        <f>FLUID!AZ6</f>
        <v>0</v>
      </c>
      <c r="AW5" s="16">
        <f>FLUID!BA6</f>
        <v>0</v>
      </c>
      <c r="AX5" s="16">
        <f>FLUID!BB6</f>
        <v>0</v>
      </c>
      <c r="AY5" s="16">
        <f>FLUID!BC6</f>
        <v>0</v>
      </c>
      <c r="AZ5" s="16">
        <f>FLUID!BD6</f>
        <v>0</v>
      </c>
      <c r="BA5" s="16">
        <f>FLUID!BE6</f>
        <v>0</v>
      </c>
      <c r="BB5" s="16">
        <f>FLUID!BF6</f>
        <v>0</v>
      </c>
      <c r="BC5" s="16">
        <f>FLUID!BG6</f>
        <v>0</v>
      </c>
      <c r="BD5" s="16">
        <f>FLUID!BH6</f>
        <v>0</v>
      </c>
      <c r="BE5" s="16">
        <f>FLUID!BI6</f>
        <v>0</v>
      </c>
      <c r="BF5" s="16">
        <f>FLUID!BJ6</f>
        <v>0</v>
      </c>
      <c r="BG5" s="16">
        <f>FLUID!BK6</f>
        <v>0</v>
      </c>
      <c r="BH5" s="16">
        <f>FLUID!BL6</f>
        <v>0</v>
      </c>
      <c r="BI5" s="16">
        <f>FLUID!BM6</f>
        <v>0</v>
      </c>
      <c r="BJ5" s="16">
        <f>FLUID!BN6</f>
        <v>0</v>
      </c>
      <c r="BK5" s="16">
        <f>FLUID!BO6</f>
        <v>0</v>
      </c>
      <c r="BL5" s="16">
        <f>FLUID!BP6</f>
        <v>0</v>
      </c>
      <c r="BM5" s="16">
        <f>FLUID!BQ6</f>
        <v>0</v>
      </c>
      <c r="BN5" s="16">
        <f>FLUID!BR6</f>
        <v>0</v>
      </c>
      <c r="BO5" s="16">
        <f>FLUID!BS6</f>
        <v>0</v>
      </c>
      <c r="BP5" s="16">
        <f>FLUID!BT6</f>
        <v>0</v>
      </c>
      <c r="BQ5" s="16">
        <f>FLUID!BU6</f>
        <v>0</v>
      </c>
      <c r="BR5" s="16">
        <f>FLUID!BV6</f>
        <v>0</v>
      </c>
      <c r="BS5" s="16">
        <f>FLUID!BW6</f>
        <v>0</v>
      </c>
      <c r="BT5" s="16">
        <f>FLUID!BX6</f>
        <v>0</v>
      </c>
    </row>
    <row r="6" spans="1:72" ht="22.5" hidden="1" outlineLevel="1" thickTop="1" thickBot="1" x14ac:dyDescent="0.4">
      <c r="A6" s="88">
        <f>FLUID!E7</f>
        <v>0</v>
      </c>
      <c r="B6" s="16">
        <f>FLUID!F7</f>
        <v>0</v>
      </c>
      <c r="C6" s="16">
        <f>FLUID!G7</f>
        <v>0</v>
      </c>
      <c r="D6" s="16">
        <f>FLUID!H7</f>
        <v>0</v>
      </c>
      <c r="E6" s="16">
        <f>FLUID!I7</f>
        <v>0</v>
      </c>
      <c r="F6" s="16">
        <f>FLUID!J7</f>
        <v>0</v>
      </c>
      <c r="G6" s="16">
        <f>FLUID!K7</f>
        <v>0</v>
      </c>
      <c r="H6" s="16">
        <f>FLUID!L7</f>
        <v>0</v>
      </c>
      <c r="I6" s="16">
        <f>FLUID!M7</f>
        <v>0</v>
      </c>
      <c r="J6" s="16">
        <f>FLUID!N7</f>
        <v>0</v>
      </c>
      <c r="K6" s="16">
        <f>FLUID!O7</f>
        <v>0</v>
      </c>
      <c r="L6" s="16">
        <f>FLUID!P7</f>
        <v>0</v>
      </c>
      <c r="M6" s="16">
        <f>FLUID!Q7</f>
        <v>0</v>
      </c>
      <c r="N6" s="16">
        <f>FLUID!R7</f>
        <v>0</v>
      </c>
      <c r="O6" s="16">
        <f>FLUID!S7</f>
        <v>0</v>
      </c>
      <c r="P6" s="16">
        <f>FLUID!T7</f>
        <v>0</v>
      </c>
      <c r="Q6" s="16">
        <f>FLUID!U7</f>
        <v>0</v>
      </c>
      <c r="R6" s="16">
        <f>FLUID!V7</f>
        <v>0</v>
      </c>
      <c r="S6" s="16">
        <f>FLUID!W7</f>
        <v>0</v>
      </c>
      <c r="T6" s="16">
        <f>FLUID!X7</f>
        <v>0</v>
      </c>
      <c r="U6" s="16">
        <f>FLUID!Y7</f>
        <v>0</v>
      </c>
      <c r="V6" s="16">
        <f>FLUID!Z7</f>
        <v>0</v>
      </c>
      <c r="W6" s="16">
        <f>FLUID!AA7</f>
        <v>0</v>
      </c>
      <c r="X6" s="16">
        <f>FLUID!AB7</f>
        <v>0</v>
      </c>
      <c r="Y6" s="16">
        <f>FLUID!AC7</f>
        <v>0</v>
      </c>
      <c r="Z6" s="16">
        <f>FLUID!AD7</f>
        <v>0</v>
      </c>
      <c r="AA6" s="16">
        <f>FLUID!AE7</f>
        <v>0</v>
      </c>
      <c r="AB6" s="16">
        <f>FLUID!AF7</f>
        <v>0</v>
      </c>
      <c r="AC6" s="16">
        <f>FLUID!AG7</f>
        <v>0</v>
      </c>
      <c r="AD6" s="16">
        <f>FLUID!AH7</f>
        <v>0</v>
      </c>
      <c r="AE6" s="16">
        <f>FLUID!AI7</f>
        <v>0</v>
      </c>
      <c r="AF6" s="16">
        <f>FLUID!AJ7</f>
        <v>0</v>
      </c>
      <c r="AG6" s="16">
        <f>FLUID!AK7</f>
        <v>0</v>
      </c>
      <c r="AH6" s="16">
        <f>FLUID!AL7</f>
        <v>0</v>
      </c>
      <c r="AI6" s="16">
        <f>FLUID!AM7</f>
        <v>0</v>
      </c>
      <c r="AJ6" s="16">
        <f>FLUID!AN7</f>
        <v>0</v>
      </c>
      <c r="AK6" s="16">
        <f>FLUID!AO7</f>
        <v>0</v>
      </c>
      <c r="AL6" s="16">
        <f>FLUID!AP7</f>
        <v>0</v>
      </c>
      <c r="AM6" s="16">
        <f>FLUID!AQ7</f>
        <v>0</v>
      </c>
      <c r="AN6" s="16">
        <f>FLUID!AR7</f>
        <v>0</v>
      </c>
      <c r="AO6" s="16">
        <f>FLUID!AS7</f>
        <v>0</v>
      </c>
      <c r="AP6" s="16">
        <f>FLUID!AT7</f>
        <v>0</v>
      </c>
      <c r="AQ6" s="16">
        <f>FLUID!AU7</f>
        <v>0</v>
      </c>
      <c r="AR6" s="16">
        <f>FLUID!AV7</f>
        <v>0</v>
      </c>
      <c r="AS6" s="16">
        <f>FLUID!AW7</f>
        <v>0</v>
      </c>
      <c r="AT6" s="16">
        <f>FLUID!AX7</f>
        <v>0</v>
      </c>
      <c r="AU6" s="16">
        <f>FLUID!AY7</f>
        <v>0</v>
      </c>
      <c r="AV6" s="16">
        <f>FLUID!AZ7</f>
        <v>0</v>
      </c>
      <c r="AW6" s="16">
        <f>FLUID!BA7</f>
        <v>0</v>
      </c>
      <c r="AX6" s="16">
        <f>FLUID!BB7</f>
        <v>0</v>
      </c>
      <c r="AY6" s="16">
        <f>FLUID!BC7</f>
        <v>0</v>
      </c>
      <c r="AZ6" s="16">
        <f>FLUID!BD7</f>
        <v>0</v>
      </c>
      <c r="BA6" s="16">
        <f>FLUID!BE7</f>
        <v>0</v>
      </c>
      <c r="BB6" s="16">
        <f>FLUID!BF7</f>
        <v>0</v>
      </c>
      <c r="BC6" s="16">
        <f>FLUID!BG7</f>
        <v>0</v>
      </c>
      <c r="BD6" s="16">
        <f>FLUID!BH7</f>
        <v>0</v>
      </c>
      <c r="BE6" s="16">
        <f>FLUID!BI7</f>
        <v>0</v>
      </c>
      <c r="BF6" s="16">
        <f>FLUID!BJ7</f>
        <v>0</v>
      </c>
      <c r="BG6" s="16">
        <f>FLUID!BK7</f>
        <v>0</v>
      </c>
      <c r="BH6" s="16">
        <f>FLUID!BL7</f>
        <v>0</v>
      </c>
      <c r="BI6" s="16">
        <f>FLUID!BM7</f>
        <v>0</v>
      </c>
      <c r="BJ6" s="16">
        <f>FLUID!BN7</f>
        <v>0</v>
      </c>
      <c r="BK6" s="16">
        <f>FLUID!BO7</f>
        <v>0</v>
      </c>
      <c r="BL6" s="16">
        <f>FLUID!BP7</f>
        <v>0</v>
      </c>
      <c r="BM6" s="16">
        <f>FLUID!BQ7</f>
        <v>0</v>
      </c>
      <c r="BN6" s="16">
        <f>FLUID!BR7</f>
        <v>0</v>
      </c>
      <c r="BO6" s="16">
        <f>FLUID!BS7</f>
        <v>0</v>
      </c>
      <c r="BP6" s="16">
        <f>FLUID!BT7</f>
        <v>0</v>
      </c>
      <c r="BQ6" s="16">
        <f>FLUID!BU7</f>
        <v>0</v>
      </c>
      <c r="BR6" s="16">
        <f>FLUID!BV7</f>
        <v>0</v>
      </c>
      <c r="BS6" s="16">
        <f>FLUID!BW7</f>
        <v>0</v>
      </c>
      <c r="BT6" s="16">
        <f>FLUID!BX7</f>
        <v>0</v>
      </c>
    </row>
    <row r="7" spans="1:72" ht="22.5" hidden="1" outlineLevel="1" thickTop="1" thickBot="1" x14ac:dyDescent="0.4">
      <c r="A7" s="88">
        <f>FLUID!E8</f>
        <v>0</v>
      </c>
      <c r="B7" s="16">
        <f>FLUID!F8</f>
        <v>0</v>
      </c>
      <c r="C7" s="16">
        <f>FLUID!G8</f>
        <v>0</v>
      </c>
      <c r="D7" s="16">
        <f>FLUID!H8</f>
        <v>0</v>
      </c>
      <c r="E7" s="16">
        <f>FLUID!I8</f>
        <v>0</v>
      </c>
      <c r="F7" s="16">
        <f>FLUID!J8</f>
        <v>0</v>
      </c>
      <c r="G7" s="16">
        <f>FLUID!K8</f>
        <v>0</v>
      </c>
      <c r="H7" s="16">
        <f>FLUID!L8</f>
        <v>0</v>
      </c>
      <c r="I7" s="16">
        <f>FLUID!M8</f>
        <v>0</v>
      </c>
      <c r="J7" s="16">
        <f>FLUID!N8</f>
        <v>0</v>
      </c>
      <c r="K7" s="16">
        <f>FLUID!O8</f>
        <v>0</v>
      </c>
      <c r="L7" s="16">
        <f>FLUID!P8</f>
        <v>0</v>
      </c>
      <c r="M7" s="16">
        <f>FLUID!Q8</f>
        <v>0</v>
      </c>
      <c r="N7" s="16">
        <f>FLUID!R8</f>
        <v>0</v>
      </c>
      <c r="O7" s="16">
        <f>FLUID!S8</f>
        <v>0</v>
      </c>
      <c r="P7" s="16">
        <f>FLUID!T8</f>
        <v>0</v>
      </c>
      <c r="Q7" s="16">
        <f>FLUID!U8</f>
        <v>0</v>
      </c>
      <c r="R7" s="16">
        <f>FLUID!V8</f>
        <v>0</v>
      </c>
      <c r="S7" s="16">
        <f>FLUID!W8</f>
        <v>0</v>
      </c>
      <c r="T7" s="16">
        <f>FLUID!X8</f>
        <v>0</v>
      </c>
      <c r="U7" s="16">
        <f>FLUID!Y8</f>
        <v>0</v>
      </c>
      <c r="V7" s="16">
        <f>FLUID!Z8</f>
        <v>0</v>
      </c>
      <c r="W7" s="16">
        <f>FLUID!AA8</f>
        <v>0</v>
      </c>
      <c r="X7" s="16">
        <f>FLUID!AB8</f>
        <v>0</v>
      </c>
      <c r="Y7" s="16">
        <f>FLUID!AC8</f>
        <v>0</v>
      </c>
      <c r="Z7" s="16">
        <f>FLUID!AD8</f>
        <v>0</v>
      </c>
      <c r="AA7" s="16">
        <f>FLUID!AE8</f>
        <v>0</v>
      </c>
      <c r="AB7" s="16">
        <f>FLUID!AF8</f>
        <v>0</v>
      </c>
      <c r="AC7" s="16">
        <f>FLUID!AG8</f>
        <v>0</v>
      </c>
      <c r="AD7" s="16">
        <f>FLUID!AH8</f>
        <v>0</v>
      </c>
      <c r="AE7" s="16">
        <f>FLUID!AI8</f>
        <v>0</v>
      </c>
      <c r="AF7" s="16">
        <f>FLUID!AJ8</f>
        <v>0</v>
      </c>
      <c r="AG7" s="16">
        <f>FLUID!AK8</f>
        <v>0</v>
      </c>
      <c r="AH7" s="16">
        <f>FLUID!AL8</f>
        <v>0</v>
      </c>
      <c r="AI7" s="16">
        <f>FLUID!AM8</f>
        <v>0</v>
      </c>
      <c r="AJ7" s="16">
        <f>FLUID!AN8</f>
        <v>0</v>
      </c>
      <c r="AK7" s="16">
        <f>FLUID!AO8</f>
        <v>0</v>
      </c>
      <c r="AL7" s="16">
        <f>FLUID!AP8</f>
        <v>0</v>
      </c>
      <c r="AM7" s="16">
        <f>FLUID!AQ8</f>
        <v>0</v>
      </c>
      <c r="AN7" s="16">
        <f>FLUID!AR8</f>
        <v>0</v>
      </c>
      <c r="AO7" s="16">
        <f>FLUID!AS8</f>
        <v>0</v>
      </c>
      <c r="AP7" s="16">
        <f>FLUID!AT8</f>
        <v>0</v>
      </c>
      <c r="AQ7" s="16">
        <f>FLUID!AU8</f>
        <v>0</v>
      </c>
      <c r="AR7" s="16">
        <f>FLUID!AV8</f>
        <v>0</v>
      </c>
      <c r="AS7" s="16">
        <f>FLUID!AW8</f>
        <v>0</v>
      </c>
      <c r="AT7" s="16">
        <f>FLUID!AX8</f>
        <v>0</v>
      </c>
      <c r="AU7" s="16">
        <f>FLUID!AY8</f>
        <v>0</v>
      </c>
      <c r="AV7" s="16">
        <f>FLUID!AZ8</f>
        <v>0</v>
      </c>
      <c r="AW7" s="16">
        <f>FLUID!BA8</f>
        <v>0</v>
      </c>
      <c r="AX7" s="16">
        <f>FLUID!BB8</f>
        <v>0</v>
      </c>
      <c r="AY7" s="16">
        <f>FLUID!BC8</f>
        <v>0</v>
      </c>
      <c r="AZ7" s="16">
        <f>FLUID!BD8</f>
        <v>0</v>
      </c>
      <c r="BA7" s="16">
        <f>FLUID!BE8</f>
        <v>0</v>
      </c>
      <c r="BB7" s="16">
        <f>FLUID!BF8</f>
        <v>0</v>
      </c>
      <c r="BC7" s="16">
        <f>FLUID!BG8</f>
        <v>0</v>
      </c>
      <c r="BD7" s="16">
        <f>FLUID!BH8</f>
        <v>0</v>
      </c>
      <c r="BE7" s="16">
        <f>FLUID!BI8</f>
        <v>0</v>
      </c>
      <c r="BF7" s="16">
        <f>FLUID!BJ8</f>
        <v>0</v>
      </c>
      <c r="BG7" s="16">
        <f>FLUID!BK8</f>
        <v>0</v>
      </c>
      <c r="BH7" s="16">
        <f>FLUID!BL8</f>
        <v>0</v>
      </c>
      <c r="BI7" s="16">
        <f>FLUID!BM8</f>
        <v>0</v>
      </c>
      <c r="BJ7" s="16">
        <f>FLUID!BN8</f>
        <v>0</v>
      </c>
      <c r="BK7" s="16">
        <f>FLUID!BO8</f>
        <v>0</v>
      </c>
      <c r="BL7" s="16">
        <f>FLUID!BP8</f>
        <v>0</v>
      </c>
      <c r="BM7" s="16">
        <f>FLUID!BQ8</f>
        <v>0</v>
      </c>
      <c r="BN7" s="16">
        <f>FLUID!BR8</f>
        <v>0</v>
      </c>
      <c r="BO7" s="16">
        <f>FLUID!BS8</f>
        <v>0</v>
      </c>
      <c r="BP7" s="16">
        <f>FLUID!BT8</f>
        <v>0</v>
      </c>
      <c r="BQ7" s="16">
        <f>FLUID!BU8</f>
        <v>0</v>
      </c>
      <c r="BR7" s="16">
        <f>FLUID!BV8</f>
        <v>0</v>
      </c>
      <c r="BS7" s="16">
        <f>FLUID!BW8</f>
        <v>0</v>
      </c>
      <c r="BT7" s="16">
        <f>FLUID!BX8</f>
        <v>0</v>
      </c>
    </row>
    <row r="8" spans="1:72" ht="22.5" hidden="1" outlineLevel="1" thickTop="1" thickBot="1" x14ac:dyDescent="0.4">
      <c r="A8" s="88">
        <f>FLUID!E9</f>
        <v>0</v>
      </c>
      <c r="B8" s="16">
        <f>FLUID!F9</f>
        <v>0</v>
      </c>
      <c r="C8" s="16">
        <f>FLUID!G9</f>
        <v>0</v>
      </c>
      <c r="D8" s="16">
        <f>FLUID!H9</f>
        <v>0</v>
      </c>
      <c r="E8" s="16">
        <f>FLUID!I9</f>
        <v>0</v>
      </c>
      <c r="F8" s="16">
        <f>FLUID!J9</f>
        <v>0</v>
      </c>
      <c r="G8" s="16">
        <f>FLUID!K9</f>
        <v>0</v>
      </c>
      <c r="H8" s="16">
        <f>FLUID!L9</f>
        <v>0</v>
      </c>
      <c r="I8" s="16">
        <f>FLUID!M9</f>
        <v>0</v>
      </c>
      <c r="J8" s="16">
        <f>FLUID!N9</f>
        <v>0</v>
      </c>
      <c r="K8" s="16">
        <f>FLUID!O9</f>
        <v>0</v>
      </c>
      <c r="L8" s="16">
        <f>FLUID!P9</f>
        <v>0</v>
      </c>
      <c r="M8" s="16">
        <f>FLUID!Q9</f>
        <v>0</v>
      </c>
      <c r="N8" s="16">
        <f>FLUID!R9</f>
        <v>0</v>
      </c>
      <c r="O8" s="16">
        <f>FLUID!S9</f>
        <v>0</v>
      </c>
      <c r="P8" s="16">
        <f>FLUID!T9</f>
        <v>0</v>
      </c>
      <c r="Q8" s="16">
        <f>FLUID!U9</f>
        <v>0</v>
      </c>
      <c r="R8" s="16">
        <f>FLUID!V9</f>
        <v>0</v>
      </c>
      <c r="S8" s="16">
        <f>FLUID!W9</f>
        <v>0</v>
      </c>
      <c r="T8" s="16">
        <f>FLUID!X9</f>
        <v>0</v>
      </c>
      <c r="U8" s="16">
        <f>FLUID!Y9</f>
        <v>0</v>
      </c>
      <c r="V8" s="16">
        <f>FLUID!Z9</f>
        <v>0</v>
      </c>
      <c r="W8" s="16">
        <f>FLUID!AA9</f>
        <v>0</v>
      </c>
      <c r="X8" s="16">
        <f>FLUID!AB9</f>
        <v>0</v>
      </c>
      <c r="Y8" s="16">
        <f>FLUID!AC9</f>
        <v>0</v>
      </c>
      <c r="Z8" s="16">
        <f>FLUID!AD9</f>
        <v>0</v>
      </c>
      <c r="AA8" s="16">
        <f>FLUID!AE9</f>
        <v>0</v>
      </c>
      <c r="AB8" s="16">
        <f>FLUID!AF9</f>
        <v>0</v>
      </c>
      <c r="AC8" s="16">
        <f>FLUID!AG9</f>
        <v>0</v>
      </c>
      <c r="AD8" s="16">
        <f>FLUID!AH9</f>
        <v>0</v>
      </c>
      <c r="AE8" s="16">
        <f>FLUID!AI9</f>
        <v>0</v>
      </c>
      <c r="AF8" s="16">
        <f>FLUID!AJ9</f>
        <v>0</v>
      </c>
      <c r="AG8" s="16">
        <f>FLUID!AK9</f>
        <v>0</v>
      </c>
      <c r="AH8" s="16">
        <f>FLUID!AL9</f>
        <v>0</v>
      </c>
      <c r="AI8" s="16">
        <f>FLUID!AM9</f>
        <v>0</v>
      </c>
      <c r="AJ8" s="16">
        <f>FLUID!AN9</f>
        <v>0</v>
      </c>
      <c r="AK8" s="16">
        <f>FLUID!AO9</f>
        <v>0</v>
      </c>
      <c r="AL8" s="16">
        <f>FLUID!AP9</f>
        <v>0</v>
      </c>
      <c r="AM8" s="16">
        <f>FLUID!AQ9</f>
        <v>0</v>
      </c>
      <c r="AN8" s="16">
        <f>FLUID!AR9</f>
        <v>0</v>
      </c>
      <c r="AO8" s="16">
        <f>FLUID!AS9</f>
        <v>0</v>
      </c>
      <c r="AP8" s="16">
        <f>FLUID!AT9</f>
        <v>0</v>
      </c>
      <c r="AQ8" s="16">
        <f>FLUID!AU9</f>
        <v>0</v>
      </c>
      <c r="AR8" s="16">
        <f>FLUID!AV9</f>
        <v>0</v>
      </c>
      <c r="AS8" s="16">
        <f>FLUID!AW9</f>
        <v>0</v>
      </c>
      <c r="AT8" s="16">
        <f>FLUID!AX9</f>
        <v>0</v>
      </c>
      <c r="AU8" s="16">
        <f>FLUID!AY9</f>
        <v>0</v>
      </c>
      <c r="AV8" s="16">
        <f>FLUID!AZ9</f>
        <v>0</v>
      </c>
      <c r="AW8" s="16">
        <f>FLUID!BA9</f>
        <v>0</v>
      </c>
      <c r="AX8" s="16">
        <f>FLUID!BB9</f>
        <v>0</v>
      </c>
      <c r="AY8" s="16">
        <f>FLUID!BC9</f>
        <v>0</v>
      </c>
      <c r="AZ8" s="16">
        <f>FLUID!BD9</f>
        <v>0</v>
      </c>
      <c r="BA8" s="16">
        <f>FLUID!BE9</f>
        <v>0</v>
      </c>
      <c r="BB8" s="16">
        <f>FLUID!BF9</f>
        <v>0</v>
      </c>
      <c r="BC8" s="16">
        <f>FLUID!BG9</f>
        <v>0</v>
      </c>
      <c r="BD8" s="16">
        <f>FLUID!BH9</f>
        <v>0</v>
      </c>
      <c r="BE8" s="16">
        <f>FLUID!BI9</f>
        <v>0</v>
      </c>
      <c r="BF8" s="16">
        <f>FLUID!BJ9</f>
        <v>0</v>
      </c>
      <c r="BG8" s="16">
        <f>FLUID!BK9</f>
        <v>0</v>
      </c>
      <c r="BH8" s="16">
        <f>FLUID!BL9</f>
        <v>0</v>
      </c>
      <c r="BI8" s="16">
        <f>FLUID!BM9</f>
        <v>0</v>
      </c>
      <c r="BJ8" s="16">
        <f>FLUID!BN9</f>
        <v>0</v>
      </c>
      <c r="BK8" s="16">
        <f>FLUID!BO9</f>
        <v>0</v>
      </c>
      <c r="BL8" s="16">
        <f>FLUID!BP9</f>
        <v>0</v>
      </c>
      <c r="BM8" s="16">
        <f>FLUID!BQ9</f>
        <v>0</v>
      </c>
      <c r="BN8" s="16">
        <f>FLUID!BR9</f>
        <v>0</v>
      </c>
      <c r="BO8" s="16">
        <f>FLUID!BS9</f>
        <v>0</v>
      </c>
      <c r="BP8" s="16">
        <f>FLUID!BT9</f>
        <v>0</v>
      </c>
      <c r="BQ8" s="16">
        <f>FLUID!BU9</f>
        <v>0</v>
      </c>
      <c r="BR8" s="16">
        <f>FLUID!BV9</f>
        <v>0</v>
      </c>
      <c r="BS8" s="16">
        <f>FLUID!BW9</f>
        <v>0</v>
      </c>
      <c r="BT8" s="16">
        <f>FLUID!BX9</f>
        <v>0</v>
      </c>
    </row>
    <row r="9" spans="1:72" ht="22.5" hidden="1" outlineLevel="1" thickTop="1" thickBot="1" x14ac:dyDescent="0.4">
      <c r="A9" s="88">
        <f>FLUID!E10</f>
        <v>0</v>
      </c>
      <c r="B9" s="16">
        <f>FLUID!F10</f>
        <v>0</v>
      </c>
      <c r="C9" s="16">
        <f>FLUID!G10</f>
        <v>0</v>
      </c>
      <c r="D9" s="16">
        <f>FLUID!H10</f>
        <v>0</v>
      </c>
      <c r="E9" s="16">
        <f>FLUID!I10</f>
        <v>0</v>
      </c>
      <c r="F9" s="16">
        <f>FLUID!J10</f>
        <v>0</v>
      </c>
      <c r="G9" s="16">
        <f>FLUID!K10</f>
        <v>0</v>
      </c>
      <c r="H9" s="16">
        <f>FLUID!L10</f>
        <v>0</v>
      </c>
      <c r="I9" s="16">
        <f>FLUID!M10</f>
        <v>0</v>
      </c>
      <c r="J9" s="16">
        <f>FLUID!N10</f>
        <v>0</v>
      </c>
      <c r="K9" s="16">
        <f>FLUID!O10</f>
        <v>0</v>
      </c>
      <c r="L9" s="16">
        <f>FLUID!P10</f>
        <v>0</v>
      </c>
      <c r="M9" s="16">
        <f>FLUID!Q10</f>
        <v>0</v>
      </c>
      <c r="N9" s="16">
        <f>FLUID!R10</f>
        <v>0</v>
      </c>
      <c r="O9" s="16">
        <f>FLUID!S10</f>
        <v>0</v>
      </c>
      <c r="P9" s="16">
        <f>FLUID!T10</f>
        <v>0</v>
      </c>
      <c r="Q9" s="16">
        <f>FLUID!U10</f>
        <v>0</v>
      </c>
      <c r="R9" s="16">
        <f>FLUID!V10</f>
        <v>0</v>
      </c>
      <c r="S9" s="16">
        <f>FLUID!W10</f>
        <v>0</v>
      </c>
      <c r="T9" s="16">
        <f>FLUID!X10</f>
        <v>0</v>
      </c>
      <c r="U9" s="16">
        <f>FLUID!Y10</f>
        <v>0</v>
      </c>
      <c r="V9" s="16">
        <f>FLUID!Z10</f>
        <v>0</v>
      </c>
      <c r="W9" s="16">
        <f>FLUID!AA10</f>
        <v>0</v>
      </c>
      <c r="X9" s="16">
        <f>FLUID!AB10</f>
        <v>0</v>
      </c>
      <c r="Y9" s="16">
        <f>FLUID!AC10</f>
        <v>0</v>
      </c>
      <c r="Z9" s="16">
        <f>FLUID!AD10</f>
        <v>0</v>
      </c>
      <c r="AA9" s="16">
        <f>FLUID!AE10</f>
        <v>0</v>
      </c>
      <c r="AB9" s="16">
        <f>FLUID!AF10</f>
        <v>0</v>
      </c>
      <c r="AC9" s="16">
        <f>FLUID!AG10</f>
        <v>0</v>
      </c>
      <c r="AD9" s="16">
        <f>FLUID!AH10</f>
        <v>0</v>
      </c>
      <c r="AE9" s="16">
        <f>FLUID!AI10</f>
        <v>0</v>
      </c>
      <c r="AF9" s="16">
        <f>FLUID!AJ10</f>
        <v>0</v>
      </c>
      <c r="AG9" s="16">
        <f>FLUID!AK10</f>
        <v>0</v>
      </c>
      <c r="AH9" s="16">
        <f>FLUID!AL10</f>
        <v>0</v>
      </c>
      <c r="AI9" s="16">
        <f>FLUID!AM10</f>
        <v>0</v>
      </c>
      <c r="AJ9" s="16">
        <f>FLUID!AN10</f>
        <v>0</v>
      </c>
      <c r="AK9" s="16">
        <f>FLUID!AO10</f>
        <v>0</v>
      </c>
      <c r="AL9" s="16">
        <f>FLUID!AP10</f>
        <v>0</v>
      </c>
      <c r="AM9" s="16">
        <f>FLUID!AQ10</f>
        <v>0</v>
      </c>
      <c r="AN9" s="16">
        <f>FLUID!AR10</f>
        <v>0</v>
      </c>
      <c r="AO9" s="16">
        <f>FLUID!AS10</f>
        <v>0</v>
      </c>
      <c r="AP9" s="16">
        <f>FLUID!AT10</f>
        <v>0</v>
      </c>
      <c r="AQ9" s="16">
        <f>FLUID!AU10</f>
        <v>0</v>
      </c>
      <c r="AR9" s="16">
        <f>FLUID!AV10</f>
        <v>0</v>
      </c>
      <c r="AS9" s="16">
        <f>FLUID!AW10</f>
        <v>0</v>
      </c>
      <c r="AT9" s="16">
        <f>FLUID!AX10</f>
        <v>0</v>
      </c>
      <c r="AU9" s="16">
        <f>FLUID!AY10</f>
        <v>0</v>
      </c>
      <c r="AV9" s="16">
        <f>FLUID!AZ10</f>
        <v>0</v>
      </c>
      <c r="AW9" s="16">
        <f>FLUID!BA10</f>
        <v>0</v>
      </c>
      <c r="AX9" s="16">
        <f>FLUID!BB10</f>
        <v>0</v>
      </c>
      <c r="AY9" s="16">
        <f>FLUID!BC10</f>
        <v>0</v>
      </c>
      <c r="AZ9" s="16">
        <f>FLUID!BD10</f>
        <v>0</v>
      </c>
      <c r="BA9" s="16">
        <f>FLUID!BE10</f>
        <v>0</v>
      </c>
      <c r="BB9" s="16">
        <f>FLUID!BF10</f>
        <v>0</v>
      </c>
      <c r="BC9" s="16">
        <f>FLUID!BG10</f>
        <v>0</v>
      </c>
      <c r="BD9" s="16">
        <f>FLUID!BH10</f>
        <v>0</v>
      </c>
      <c r="BE9" s="16">
        <f>FLUID!BI10</f>
        <v>0</v>
      </c>
      <c r="BF9" s="16">
        <f>FLUID!BJ10</f>
        <v>0</v>
      </c>
      <c r="BG9" s="16">
        <f>FLUID!BK10</f>
        <v>0</v>
      </c>
      <c r="BH9" s="16">
        <f>FLUID!BL10</f>
        <v>0</v>
      </c>
      <c r="BI9" s="16">
        <f>FLUID!BM10</f>
        <v>0</v>
      </c>
      <c r="BJ9" s="16">
        <f>FLUID!BN10</f>
        <v>0</v>
      </c>
      <c r="BK9" s="16">
        <f>FLUID!BO10</f>
        <v>0</v>
      </c>
      <c r="BL9" s="16">
        <f>FLUID!BP10</f>
        <v>0</v>
      </c>
      <c r="BM9" s="16">
        <f>FLUID!BQ10</f>
        <v>0</v>
      </c>
      <c r="BN9" s="16">
        <f>FLUID!BR10</f>
        <v>0</v>
      </c>
      <c r="BO9" s="16">
        <f>FLUID!BS10</f>
        <v>0</v>
      </c>
      <c r="BP9" s="16">
        <f>FLUID!BT10</f>
        <v>0</v>
      </c>
      <c r="BQ9" s="16">
        <f>FLUID!BU10</f>
        <v>0</v>
      </c>
      <c r="BR9" s="16">
        <f>FLUID!BV10</f>
        <v>0</v>
      </c>
      <c r="BS9" s="16">
        <f>FLUID!BW10</f>
        <v>0</v>
      </c>
      <c r="BT9" s="16">
        <f>FLUID!BX10</f>
        <v>0</v>
      </c>
    </row>
    <row r="10" spans="1:72" ht="22.5" hidden="1" outlineLevel="1" thickTop="1" thickBot="1" x14ac:dyDescent="0.4">
      <c r="A10" s="88">
        <f>FLUID!E11</f>
        <v>0</v>
      </c>
      <c r="B10" s="16">
        <f>FLUID!F11</f>
        <v>0</v>
      </c>
      <c r="C10" s="16">
        <f>FLUID!G11</f>
        <v>0</v>
      </c>
      <c r="D10" s="16">
        <f>FLUID!H11</f>
        <v>0</v>
      </c>
      <c r="E10" s="16">
        <f>FLUID!I11</f>
        <v>0</v>
      </c>
      <c r="F10" s="16">
        <f>FLUID!J11</f>
        <v>0</v>
      </c>
      <c r="G10" s="16">
        <f>FLUID!K11</f>
        <v>0</v>
      </c>
      <c r="H10" s="16">
        <f>FLUID!L11</f>
        <v>0</v>
      </c>
      <c r="I10" s="16">
        <f>FLUID!M11</f>
        <v>0</v>
      </c>
      <c r="J10" s="16">
        <f>FLUID!N11</f>
        <v>0</v>
      </c>
      <c r="K10" s="16">
        <f>FLUID!O11</f>
        <v>0</v>
      </c>
      <c r="L10" s="16">
        <f>FLUID!P11</f>
        <v>0</v>
      </c>
      <c r="M10" s="16">
        <f>FLUID!Q11</f>
        <v>0</v>
      </c>
      <c r="N10" s="16">
        <f>FLUID!R11</f>
        <v>0</v>
      </c>
      <c r="O10" s="16">
        <f>FLUID!S11</f>
        <v>0</v>
      </c>
      <c r="P10" s="16">
        <f>FLUID!T11</f>
        <v>0</v>
      </c>
      <c r="Q10" s="16">
        <f>FLUID!U11</f>
        <v>0</v>
      </c>
      <c r="R10" s="16">
        <f>FLUID!V11</f>
        <v>0</v>
      </c>
      <c r="S10" s="16">
        <f>FLUID!W11</f>
        <v>0</v>
      </c>
      <c r="T10" s="16">
        <f>FLUID!X11</f>
        <v>0</v>
      </c>
      <c r="U10" s="16">
        <f>FLUID!Y11</f>
        <v>0</v>
      </c>
      <c r="V10" s="16">
        <f>FLUID!Z11</f>
        <v>0</v>
      </c>
      <c r="W10" s="16">
        <f>FLUID!AA11</f>
        <v>0</v>
      </c>
      <c r="X10" s="16">
        <f>FLUID!AB11</f>
        <v>0</v>
      </c>
      <c r="Y10" s="16">
        <f>FLUID!AC11</f>
        <v>0</v>
      </c>
      <c r="Z10" s="16">
        <f>FLUID!AD11</f>
        <v>0</v>
      </c>
      <c r="AA10" s="16">
        <f>FLUID!AE11</f>
        <v>0</v>
      </c>
      <c r="AB10" s="16">
        <f>FLUID!AF11</f>
        <v>0</v>
      </c>
      <c r="AC10" s="16">
        <f>FLUID!AG11</f>
        <v>0</v>
      </c>
      <c r="AD10" s="16">
        <f>FLUID!AH11</f>
        <v>0</v>
      </c>
      <c r="AE10" s="16">
        <f>FLUID!AI11</f>
        <v>0</v>
      </c>
      <c r="AF10" s="16">
        <f>FLUID!AJ11</f>
        <v>0</v>
      </c>
      <c r="AG10" s="16">
        <f>FLUID!AK11</f>
        <v>0</v>
      </c>
      <c r="AH10" s="16">
        <f>FLUID!AL11</f>
        <v>0</v>
      </c>
      <c r="AI10" s="16">
        <f>FLUID!AM11</f>
        <v>0</v>
      </c>
      <c r="AJ10" s="16">
        <f>FLUID!AN11</f>
        <v>0</v>
      </c>
      <c r="AK10" s="16">
        <f>FLUID!AO11</f>
        <v>0</v>
      </c>
      <c r="AL10" s="16">
        <f>FLUID!AP11</f>
        <v>0</v>
      </c>
      <c r="AM10" s="16">
        <f>FLUID!AQ11</f>
        <v>0</v>
      </c>
      <c r="AN10" s="16">
        <f>FLUID!AR11</f>
        <v>0</v>
      </c>
      <c r="AO10" s="16">
        <f>FLUID!AS11</f>
        <v>0</v>
      </c>
      <c r="AP10" s="16">
        <f>FLUID!AT11</f>
        <v>0</v>
      </c>
      <c r="AQ10" s="16">
        <f>FLUID!AU11</f>
        <v>0</v>
      </c>
      <c r="AR10" s="16">
        <f>FLUID!AV11</f>
        <v>0</v>
      </c>
      <c r="AS10" s="16">
        <f>FLUID!AW11</f>
        <v>0</v>
      </c>
      <c r="AT10" s="16">
        <f>FLUID!AX11</f>
        <v>0</v>
      </c>
      <c r="AU10" s="16">
        <f>FLUID!AY11</f>
        <v>0</v>
      </c>
      <c r="AV10" s="16">
        <f>FLUID!AZ11</f>
        <v>0</v>
      </c>
      <c r="AW10" s="16">
        <f>FLUID!BA11</f>
        <v>0</v>
      </c>
      <c r="AX10" s="16">
        <f>FLUID!BB11</f>
        <v>0</v>
      </c>
      <c r="AY10" s="16">
        <f>FLUID!BC11</f>
        <v>0</v>
      </c>
      <c r="AZ10" s="16">
        <f>FLUID!BD11</f>
        <v>0</v>
      </c>
      <c r="BA10" s="16">
        <f>FLUID!BE11</f>
        <v>0</v>
      </c>
      <c r="BB10" s="16">
        <f>FLUID!BF11</f>
        <v>0</v>
      </c>
      <c r="BC10" s="16">
        <f>FLUID!BG11</f>
        <v>0</v>
      </c>
      <c r="BD10" s="16">
        <f>FLUID!BH11</f>
        <v>0</v>
      </c>
      <c r="BE10" s="16">
        <f>FLUID!BI11</f>
        <v>0</v>
      </c>
      <c r="BF10" s="16">
        <f>FLUID!BJ11</f>
        <v>0</v>
      </c>
      <c r="BG10" s="16">
        <f>FLUID!BK11</f>
        <v>0</v>
      </c>
      <c r="BH10" s="16">
        <f>FLUID!BL11</f>
        <v>0</v>
      </c>
      <c r="BI10" s="16">
        <f>FLUID!BM11</f>
        <v>0</v>
      </c>
      <c r="BJ10" s="16">
        <f>FLUID!BN11</f>
        <v>0</v>
      </c>
      <c r="BK10" s="16">
        <f>FLUID!BO11</f>
        <v>0</v>
      </c>
      <c r="BL10" s="16">
        <f>FLUID!BP11</f>
        <v>0</v>
      </c>
      <c r="BM10" s="16">
        <f>FLUID!BQ11</f>
        <v>0</v>
      </c>
      <c r="BN10" s="16">
        <f>FLUID!BR11</f>
        <v>0</v>
      </c>
      <c r="BO10" s="16">
        <f>FLUID!BS11</f>
        <v>0</v>
      </c>
      <c r="BP10" s="16">
        <f>FLUID!BT11</f>
        <v>0</v>
      </c>
      <c r="BQ10" s="16">
        <f>FLUID!BU11</f>
        <v>0</v>
      </c>
      <c r="BR10" s="16">
        <f>FLUID!BV11</f>
        <v>0</v>
      </c>
      <c r="BS10" s="16">
        <f>FLUID!BW11</f>
        <v>0</v>
      </c>
      <c r="BT10" s="16">
        <f>FLUID!BX11</f>
        <v>0</v>
      </c>
    </row>
    <row r="11" spans="1:72" ht="22.5" hidden="1" outlineLevel="1" thickTop="1" thickBot="1" x14ac:dyDescent="0.4">
      <c r="A11" s="88">
        <f>FLUID!E12</f>
        <v>0</v>
      </c>
      <c r="B11" s="16">
        <f>FLUID!F12</f>
        <v>0</v>
      </c>
      <c r="C11" s="16">
        <f>FLUID!G12</f>
        <v>0</v>
      </c>
      <c r="D11" s="16">
        <f>FLUID!H12</f>
        <v>0</v>
      </c>
      <c r="E11" s="16">
        <f>FLUID!I12</f>
        <v>0</v>
      </c>
      <c r="F11" s="16">
        <f>FLUID!J12</f>
        <v>0</v>
      </c>
      <c r="G11" s="16">
        <f>FLUID!K12</f>
        <v>0</v>
      </c>
      <c r="H11" s="16">
        <f>FLUID!L12</f>
        <v>0</v>
      </c>
      <c r="I11" s="16">
        <f>FLUID!M12</f>
        <v>0</v>
      </c>
      <c r="J11" s="16">
        <f>FLUID!N12</f>
        <v>0</v>
      </c>
      <c r="K11" s="16">
        <f>FLUID!O12</f>
        <v>0</v>
      </c>
      <c r="L11" s="16">
        <f>FLUID!P12</f>
        <v>0</v>
      </c>
      <c r="M11" s="16">
        <f>FLUID!Q12</f>
        <v>0</v>
      </c>
      <c r="N11" s="16">
        <f>FLUID!R12</f>
        <v>0</v>
      </c>
      <c r="O11" s="16">
        <f>FLUID!S12</f>
        <v>0</v>
      </c>
      <c r="P11" s="16">
        <f>FLUID!T12</f>
        <v>0</v>
      </c>
      <c r="Q11" s="16">
        <f>FLUID!U12</f>
        <v>0</v>
      </c>
      <c r="R11" s="16">
        <f>FLUID!V12</f>
        <v>0</v>
      </c>
      <c r="S11" s="16">
        <f>FLUID!W12</f>
        <v>0</v>
      </c>
      <c r="T11" s="16">
        <f>FLUID!X12</f>
        <v>0</v>
      </c>
      <c r="U11" s="16">
        <f>FLUID!Y12</f>
        <v>0</v>
      </c>
      <c r="V11" s="16">
        <f>FLUID!Z12</f>
        <v>0</v>
      </c>
      <c r="W11" s="16">
        <f>FLUID!AA12</f>
        <v>0</v>
      </c>
      <c r="X11" s="16">
        <f>FLUID!AB12</f>
        <v>0</v>
      </c>
      <c r="Y11" s="16">
        <f>FLUID!AC12</f>
        <v>0</v>
      </c>
      <c r="Z11" s="16">
        <f>FLUID!AD12</f>
        <v>0</v>
      </c>
      <c r="AA11" s="16">
        <f>FLUID!AE12</f>
        <v>0</v>
      </c>
      <c r="AB11" s="16">
        <f>FLUID!AF12</f>
        <v>0</v>
      </c>
      <c r="AC11" s="16">
        <f>FLUID!AG12</f>
        <v>0</v>
      </c>
      <c r="AD11" s="16">
        <f>FLUID!AH12</f>
        <v>0</v>
      </c>
      <c r="AE11" s="16">
        <f>FLUID!AI12</f>
        <v>0</v>
      </c>
      <c r="AF11" s="16">
        <f>FLUID!AJ12</f>
        <v>0</v>
      </c>
      <c r="AG11" s="16">
        <f>FLUID!AK12</f>
        <v>0</v>
      </c>
      <c r="AH11" s="16">
        <f>FLUID!AL12</f>
        <v>0</v>
      </c>
      <c r="AI11" s="16">
        <f>FLUID!AM12</f>
        <v>0</v>
      </c>
      <c r="AJ11" s="16">
        <f>FLUID!AN12</f>
        <v>0</v>
      </c>
      <c r="AK11" s="16">
        <f>FLUID!AO12</f>
        <v>0</v>
      </c>
      <c r="AL11" s="16">
        <f>FLUID!AP12</f>
        <v>0</v>
      </c>
      <c r="AM11" s="16">
        <f>FLUID!AQ12</f>
        <v>0</v>
      </c>
      <c r="AN11" s="16">
        <f>FLUID!AR12</f>
        <v>0</v>
      </c>
      <c r="AO11" s="16">
        <f>FLUID!AS12</f>
        <v>0</v>
      </c>
      <c r="AP11" s="16">
        <f>FLUID!AT12</f>
        <v>0</v>
      </c>
      <c r="AQ11" s="16">
        <f>FLUID!AU12</f>
        <v>0</v>
      </c>
      <c r="AR11" s="16">
        <f>FLUID!AV12</f>
        <v>0</v>
      </c>
      <c r="AS11" s="16">
        <f>FLUID!AW12</f>
        <v>0</v>
      </c>
      <c r="AT11" s="16">
        <f>FLUID!AX12</f>
        <v>0</v>
      </c>
      <c r="AU11" s="16">
        <f>FLUID!AY12</f>
        <v>0</v>
      </c>
      <c r="AV11" s="16">
        <f>FLUID!AZ12</f>
        <v>0</v>
      </c>
      <c r="AW11" s="16">
        <f>FLUID!BA12</f>
        <v>0</v>
      </c>
      <c r="AX11" s="16">
        <f>FLUID!BB12</f>
        <v>0</v>
      </c>
      <c r="AY11" s="16">
        <f>FLUID!BC12</f>
        <v>0</v>
      </c>
      <c r="AZ11" s="16">
        <f>FLUID!BD12</f>
        <v>0</v>
      </c>
      <c r="BA11" s="16">
        <f>FLUID!BE12</f>
        <v>0</v>
      </c>
      <c r="BB11" s="16">
        <f>FLUID!BF12</f>
        <v>0</v>
      </c>
      <c r="BC11" s="16">
        <f>FLUID!BG12</f>
        <v>0</v>
      </c>
      <c r="BD11" s="16">
        <f>FLUID!BH12</f>
        <v>0</v>
      </c>
      <c r="BE11" s="16">
        <f>FLUID!BI12</f>
        <v>0</v>
      </c>
      <c r="BF11" s="16">
        <f>FLUID!BJ12</f>
        <v>0</v>
      </c>
      <c r="BG11" s="16">
        <f>FLUID!BK12</f>
        <v>0</v>
      </c>
      <c r="BH11" s="16">
        <f>FLUID!BL12</f>
        <v>0</v>
      </c>
      <c r="BI11" s="16">
        <f>FLUID!BM12</f>
        <v>0</v>
      </c>
      <c r="BJ11" s="16">
        <f>FLUID!BN12</f>
        <v>0</v>
      </c>
      <c r="BK11" s="16">
        <f>FLUID!BO12</f>
        <v>0</v>
      </c>
      <c r="BL11" s="16">
        <f>FLUID!BP12</f>
        <v>0</v>
      </c>
      <c r="BM11" s="16">
        <f>FLUID!BQ12</f>
        <v>0</v>
      </c>
      <c r="BN11" s="16">
        <f>FLUID!BR12</f>
        <v>0</v>
      </c>
      <c r="BO11" s="16">
        <f>FLUID!BS12</f>
        <v>0</v>
      </c>
      <c r="BP11" s="16">
        <f>FLUID!BT12</f>
        <v>0</v>
      </c>
      <c r="BQ11" s="16">
        <f>FLUID!BU12</f>
        <v>0</v>
      </c>
      <c r="BR11" s="16">
        <f>FLUID!BV12</f>
        <v>0</v>
      </c>
      <c r="BS11" s="16">
        <f>FLUID!BW12</f>
        <v>0</v>
      </c>
      <c r="BT11" s="16">
        <f>FLUID!BX12</f>
        <v>0</v>
      </c>
    </row>
    <row r="12" spans="1:72" ht="22.5" hidden="1" outlineLevel="1" thickTop="1" thickBot="1" x14ac:dyDescent="0.4">
      <c r="A12" s="88">
        <f>FLUID!E13</f>
        <v>0</v>
      </c>
      <c r="B12" s="16">
        <f>FLUID!F13</f>
        <v>0</v>
      </c>
      <c r="C12" s="16">
        <f>FLUID!G13</f>
        <v>0</v>
      </c>
      <c r="D12" s="16">
        <f>FLUID!H13</f>
        <v>0</v>
      </c>
      <c r="E12" s="16">
        <f>FLUID!I13</f>
        <v>0</v>
      </c>
      <c r="F12" s="16">
        <f>FLUID!J13</f>
        <v>0</v>
      </c>
      <c r="G12" s="16">
        <f>FLUID!K13</f>
        <v>0</v>
      </c>
      <c r="H12" s="16">
        <f>FLUID!L13</f>
        <v>0</v>
      </c>
      <c r="I12" s="16">
        <f>FLUID!M13</f>
        <v>0</v>
      </c>
      <c r="J12" s="16">
        <f>FLUID!N13</f>
        <v>0</v>
      </c>
      <c r="K12" s="16">
        <f>FLUID!O13</f>
        <v>0</v>
      </c>
      <c r="L12" s="16">
        <f>FLUID!P13</f>
        <v>0</v>
      </c>
      <c r="M12" s="16">
        <f>FLUID!Q13</f>
        <v>0</v>
      </c>
      <c r="N12" s="16">
        <f>FLUID!R13</f>
        <v>0</v>
      </c>
      <c r="O12" s="16">
        <f>FLUID!S13</f>
        <v>0</v>
      </c>
      <c r="P12" s="16">
        <f>FLUID!T13</f>
        <v>0</v>
      </c>
      <c r="Q12" s="16">
        <f>FLUID!U13</f>
        <v>0</v>
      </c>
      <c r="R12" s="16">
        <f>FLUID!V13</f>
        <v>0</v>
      </c>
      <c r="S12" s="16">
        <f>FLUID!W13</f>
        <v>0</v>
      </c>
      <c r="T12" s="16">
        <f>FLUID!X13</f>
        <v>0</v>
      </c>
      <c r="U12" s="16">
        <f>FLUID!Y13</f>
        <v>0</v>
      </c>
      <c r="V12" s="16">
        <f>FLUID!Z13</f>
        <v>0</v>
      </c>
      <c r="W12" s="16">
        <f>FLUID!AA13</f>
        <v>0</v>
      </c>
      <c r="X12" s="16">
        <f>FLUID!AB13</f>
        <v>0</v>
      </c>
      <c r="Y12" s="16">
        <f>FLUID!AC13</f>
        <v>0</v>
      </c>
      <c r="Z12" s="16">
        <f>FLUID!AD13</f>
        <v>0</v>
      </c>
      <c r="AA12" s="16">
        <f>FLUID!AE13</f>
        <v>0</v>
      </c>
      <c r="AB12" s="16">
        <f>FLUID!AF13</f>
        <v>0</v>
      </c>
      <c r="AC12" s="16">
        <f>FLUID!AG13</f>
        <v>0</v>
      </c>
      <c r="AD12" s="16">
        <f>FLUID!AH13</f>
        <v>0</v>
      </c>
      <c r="AE12" s="16">
        <f>FLUID!AI13</f>
        <v>0</v>
      </c>
      <c r="AF12" s="16">
        <f>FLUID!AJ13</f>
        <v>0</v>
      </c>
      <c r="AG12" s="16">
        <f>FLUID!AK13</f>
        <v>0</v>
      </c>
      <c r="AH12" s="16">
        <f>FLUID!AL13</f>
        <v>0</v>
      </c>
      <c r="AI12" s="16">
        <f>FLUID!AM13</f>
        <v>0</v>
      </c>
      <c r="AJ12" s="16">
        <f>FLUID!AN13</f>
        <v>0</v>
      </c>
      <c r="AK12" s="16">
        <f>FLUID!AO13</f>
        <v>0</v>
      </c>
      <c r="AL12" s="16">
        <f>FLUID!AP13</f>
        <v>0</v>
      </c>
      <c r="AM12" s="16">
        <f>FLUID!AQ13</f>
        <v>0</v>
      </c>
      <c r="AN12" s="16">
        <f>FLUID!AR13</f>
        <v>0</v>
      </c>
      <c r="AO12" s="16">
        <f>FLUID!AS13</f>
        <v>0</v>
      </c>
      <c r="AP12" s="16">
        <f>FLUID!AT13</f>
        <v>0</v>
      </c>
      <c r="AQ12" s="16">
        <f>FLUID!AU13</f>
        <v>0</v>
      </c>
      <c r="AR12" s="16">
        <f>FLUID!AV13</f>
        <v>0</v>
      </c>
      <c r="AS12" s="16">
        <f>FLUID!AW13</f>
        <v>0</v>
      </c>
      <c r="AT12" s="16">
        <f>FLUID!AX13</f>
        <v>0</v>
      </c>
      <c r="AU12" s="16">
        <f>FLUID!AY13</f>
        <v>0</v>
      </c>
      <c r="AV12" s="16">
        <f>FLUID!AZ13</f>
        <v>0</v>
      </c>
      <c r="AW12" s="16">
        <f>FLUID!BA13</f>
        <v>0</v>
      </c>
      <c r="AX12" s="16">
        <f>FLUID!BB13</f>
        <v>0</v>
      </c>
      <c r="AY12" s="16">
        <f>FLUID!BC13</f>
        <v>0</v>
      </c>
      <c r="AZ12" s="16">
        <f>FLUID!BD13</f>
        <v>0</v>
      </c>
      <c r="BA12" s="16">
        <f>FLUID!BE13</f>
        <v>0</v>
      </c>
      <c r="BB12" s="16">
        <f>FLUID!BF13</f>
        <v>0</v>
      </c>
      <c r="BC12" s="16">
        <f>FLUID!BG13</f>
        <v>0</v>
      </c>
      <c r="BD12" s="16">
        <f>FLUID!BH13</f>
        <v>0</v>
      </c>
      <c r="BE12" s="16">
        <f>FLUID!BI13</f>
        <v>0</v>
      </c>
      <c r="BF12" s="16">
        <f>FLUID!BJ13</f>
        <v>0</v>
      </c>
      <c r="BG12" s="16">
        <f>FLUID!BK13</f>
        <v>0</v>
      </c>
      <c r="BH12" s="16">
        <f>FLUID!BL13</f>
        <v>0</v>
      </c>
      <c r="BI12" s="16">
        <f>FLUID!BM13</f>
        <v>0</v>
      </c>
      <c r="BJ12" s="16">
        <f>FLUID!BN13</f>
        <v>0</v>
      </c>
      <c r="BK12" s="16">
        <f>FLUID!BO13</f>
        <v>0</v>
      </c>
      <c r="BL12" s="16">
        <f>FLUID!BP13</f>
        <v>0</v>
      </c>
      <c r="BM12" s="16">
        <f>FLUID!BQ13</f>
        <v>0</v>
      </c>
      <c r="BN12" s="16">
        <f>FLUID!BR13</f>
        <v>0</v>
      </c>
      <c r="BO12" s="16">
        <f>FLUID!BS13</f>
        <v>0</v>
      </c>
      <c r="BP12" s="16">
        <f>FLUID!BT13</f>
        <v>0</v>
      </c>
      <c r="BQ12" s="16">
        <f>FLUID!BU13</f>
        <v>0</v>
      </c>
      <c r="BR12" s="16">
        <f>FLUID!BV13</f>
        <v>0</v>
      </c>
      <c r="BS12" s="16">
        <f>FLUID!BW13</f>
        <v>0</v>
      </c>
      <c r="BT12" s="16">
        <f>FLUID!BX13</f>
        <v>0</v>
      </c>
    </row>
    <row r="13" spans="1:72" ht="22.5" hidden="1" outlineLevel="1" thickTop="1" thickBot="1" x14ac:dyDescent="0.4">
      <c r="A13" s="88">
        <f>FLUID!E14</f>
        <v>0</v>
      </c>
      <c r="B13" s="16">
        <f>FLUID!F14</f>
        <v>0</v>
      </c>
      <c r="C13" s="16">
        <f>FLUID!G14</f>
        <v>0</v>
      </c>
      <c r="D13" s="16">
        <f>FLUID!H14</f>
        <v>0</v>
      </c>
      <c r="E13" s="16">
        <f>FLUID!I14</f>
        <v>0</v>
      </c>
      <c r="F13" s="16">
        <f>FLUID!J14</f>
        <v>0</v>
      </c>
      <c r="G13" s="16">
        <f>FLUID!K14</f>
        <v>0</v>
      </c>
      <c r="H13" s="16">
        <f>FLUID!L14</f>
        <v>0</v>
      </c>
      <c r="I13" s="16">
        <f>FLUID!M14</f>
        <v>0</v>
      </c>
      <c r="J13" s="16">
        <f>FLUID!N14</f>
        <v>0</v>
      </c>
      <c r="K13" s="16">
        <f>FLUID!O14</f>
        <v>0</v>
      </c>
      <c r="L13" s="16">
        <f>FLUID!P14</f>
        <v>0</v>
      </c>
      <c r="M13" s="16">
        <f>FLUID!Q14</f>
        <v>0</v>
      </c>
      <c r="N13" s="16">
        <f>FLUID!R14</f>
        <v>0</v>
      </c>
      <c r="O13" s="16">
        <f>FLUID!S14</f>
        <v>0</v>
      </c>
      <c r="P13" s="16">
        <f>FLUID!T14</f>
        <v>0</v>
      </c>
      <c r="Q13" s="16">
        <f>FLUID!U14</f>
        <v>0</v>
      </c>
      <c r="R13" s="16">
        <f>FLUID!V14</f>
        <v>0</v>
      </c>
      <c r="S13" s="16">
        <f>FLUID!W14</f>
        <v>0</v>
      </c>
      <c r="T13" s="16">
        <f>FLUID!X14</f>
        <v>0</v>
      </c>
      <c r="U13" s="16">
        <f>FLUID!Y14</f>
        <v>0</v>
      </c>
      <c r="V13" s="16">
        <f>FLUID!Z14</f>
        <v>0</v>
      </c>
      <c r="W13" s="16">
        <f>FLUID!AA14</f>
        <v>0</v>
      </c>
      <c r="X13" s="16">
        <f>FLUID!AB14</f>
        <v>0</v>
      </c>
      <c r="Y13" s="16">
        <f>FLUID!AC14</f>
        <v>0</v>
      </c>
      <c r="Z13" s="16">
        <f>FLUID!AD14</f>
        <v>0</v>
      </c>
      <c r="AA13" s="16">
        <f>FLUID!AE14</f>
        <v>0</v>
      </c>
      <c r="AB13" s="16">
        <f>FLUID!AF14</f>
        <v>0</v>
      </c>
      <c r="AC13" s="16">
        <f>FLUID!AG14</f>
        <v>0</v>
      </c>
      <c r="AD13" s="16">
        <f>FLUID!AH14</f>
        <v>0</v>
      </c>
      <c r="AE13" s="16">
        <f>FLUID!AI14</f>
        <v>0</v>
      </c>
      <c r="AF13" s="16">
        <f>FLUID!AJ14</f>
        <v>0</v>
      </c>
      <c r="AG13" s="16">
        <f>FLUID!AK14</f>
        <v>0</v>
      </c>
      <c r="AH13" s="16">
        <f>FLUID!AL14</f>
        <v>0</v>
      </c>
      <c r="AI13" s="16">
        <f>FLUID!AM14</f>
        <v>0</v>
      </c>
      <c r="AJ13" s="16">
        <f>FLUID!AN14</f>
        <v>0</v>
      </c>
      <c r="AK13" s="16">
        <f>FLUID!AO14</f>
        <v>0</v>
      </c>
      <c r="AL13" s="16">
        <f>FLUID!AP14</f>
        <v>0</v>
      </c>
      <c r="AM13" s="16">
        <f>FLUID!AQ14</f>
        <v>0</v>
      </c>
      <c r="AN13" s="16">
        <f>FLUID!AR14</f>
        <v>0</v>
      </c>
      <c r="AO13" s="16">
        <f>FLUID!AS14</f>
        <v>0</v>
      </c>
      <c r="AP13" s="16">
        <f>FLUID!AT14</f>
        <v>0</v>
      </c>
      <c r="AQ13" s="16">
        <f>FLUID!AU14</f>
        <v>0</v>
      </c>
      <c r="AR13" s="16">
        <f>FLUID!AV14</f>
        <v>0</v>
      </c>
      <c r="AS13" s="16">
        <f>FLUID!AW14</f>
        <v>0</v>
      </c>
      <c r="AT13" s="16">
        <f>FLUID!AX14</f>
        <v>0</v>
      </c>
      <c r="AU13" s="16">
        <f>FLUID!AY14</f>
        <v>0</v>
      </c>
      <c r="AV13" s="16">
        <f>FLUID!AZ14</f>
        <v>0</v>
      </c>
      <c r="AW13" s="16">
        <f>FLUID!BA14</f>
        <v>0</v>
      </c>
      <c r="AX13" s="16">
        <f>FLUID!BB14</f>
        <v>0</v>
      </c>
      <c r="AY13" s="16">
        <f>FLUID!BC14</f>
        <v>0</v>
      </c>
      <c r="AZ13" s="16">
        <f>FLUID!BD14</f>
        <v>0</v>
      </c>
      <c r="BA13" s="16">
        <f>FLUID!BE14</f>
        <v>0</v>
      </c>
      <c r="BB13" s="16">
        <f>FLUID!BF14</f>
        <v>0</v>
      </c>
      <c r="BC13" s="16">
        <f>FLUID!BG14</f>
        <v>0</v>
      </c>
      <c r="BD13" s="16">
        <f>FLUID!BH14</f>
        <v>0</v>
      </c>
      <c r="BE13" s="16">
        <f>FLUID!BI14</f>
        <v>0</v>
      </c>
      <c r="BF13" s="16">
        <f>FLUID!BJ14</f>
        <v>0</v>
      </c>
      <c r="BG13" s="16">
        <f>FLUID!BK14</f>
        <v>0</v>
      </c>
      <c r="BH13" s="16">
        <f>FLUID!BL14</f>
        <v>0</v>
      </c>
      <c r="BI13" s="16">
        <f>FLUID!BM14</f>
        <v>0</v>
      </c>
      <c r="BJ13" s="16">
        <f>FLUID!BN14</f>
        <v>0</v>
      </c>
      <c r="BK13" s="16">
        <f>FLUID!BO14</f>
        <v>0</v>
      </c>
      <c r="BL13" s="16">
        <f>FLUID!BP14</f>
        <v>0</v>
      </c>
      <c r="BM13" s="16">
        <f>FLUID!BQ14</f>
        <v>0</v>
      </c>
      <c r="BN13" s="16">
        <f>FLUID!BR14</f>
        <v>0</v>
      </c>
      <c r="BO13" s="16">
        <f>FLUID!BS14</f>
        <v>0</v>
      </c>
      <c r="BP13" s="16">
        <f>FLUID!BT14</f>
        <v>0</v>
      </c>
      <c r="BQ13" s="16">
        <f>FLUID!BU14</f>
        <v>0</v>
      </c>
      <c r="BR13" s="16">
        <f>FLUID!BV14</f>
        <v>0</v>
      </c>
      <c r="BS13" s="16">
        <f>FLUID!BW14</f>
        <v>0</v>
      </c>
      <c r="BT13" s="16">
        <f>FLUID!BX14</f>
        <v>0</v>
      </c>
    </row>
    <row r="14" spans="1:72" ht="22.5" hidden="1" outlineLevel="1" thickTop="1" thickBot="1" x14ac:dyDescent="0.4">
      <c r="A14" s="88">
        <f>FLUID!E15</f>
        <v>0</v>
      </c>
      <c r="B14" s="16">
        <f>FLUID!F15</f>
        <v>0</v>
      </c>
      <c r="C14" s="16">
        <f>FLUID!G15</f>
        <v>0</v>
      </c>
      <c r="D14" s="16">
        <f>FLUID!H15</f>
        <v>0</v>
      </c>
      <c r="E14" s="16">
        <f>FLUID!I15</f>
        <v>0</v>
      </c>
      <c r="F14" s="16">
        <f>FLUID!J15</f>
        <v>0</v>
      </c>
      <c r="G14" s="16">
        <f>FLUID!K15</f>
        <v>0</v>
      </c>
      <c r="H14" s="16">
        <f>FLUID!L15</f>
        <v>0</v>
      </c>
      <c r="I14" s="16">
        <f>FLUID!M15</f>
        <v>0</v>
      </c>
      <c r="J14" s="16">
        <f>FLUID!N15</f>
        <v>0</v>
      </c>
      <c r="K14" s="16">
        <f>FLUID!O15</f>
        <v>0</v>
      </c>
      <c r="L14" s="16">
        <f>FLUID!P15</f>
        <v>0</v>
      </c>
      <c r="M14" s="16">
        <f>FLUID!Q15</f>
        <v>0</v>
      </c>
      <c r="N14" s="16">
        <f>FLUID!R15</f>
        <v>0</v>
      </c>
      <c r="O14" s="16">
        <f>FLUID!S15</f>
        <v>0</v>
      </c>
      <c r="P14" s="16">
        <f>FLUID!T15</f>
        <v>0</v>
      </c>
      <c r="Q14" s="16">
        <f>FLUID!U15</f>
        <v>0</v>
      </c>
      <c r="R14" s="16">
        <f>FLUID!V15</f>
        <v>0</v>
      </c>
      <c r="S14" s="16">
        <f>FLUID!W15</f>
        <v>0</v>
      </c>
      <c r="T14" s="16">
        <f>FLUID!X15</f>
        <v>0</v>
      </c>
      <c r="U14" s="16">
        <f>FLUID!Y15</f>
        <v>0</v>
      </c>
      <c r="V14" s="16">
        <f>FLUID!Z15</f>
        <v>0</v>
      </c>
      <c r="W14" s="16">
        <f>FLUID!AA15</f>
        <v>0</v>
      </c>
      <c r="X14" s="16">
        <f>FLUID!AB15</f>
        <v>0</v>
      </c>
      <c r="Y14" s="16">
        <f>FLUID!AC15</f>
        <v>0</v>
      </c>
      <c r="Z14" s="16">
        <f>FLUID!AD15</f>
        <v>0</v>
      </c>
      <c r="AA14" s="16">
        <f>FLUID!AE15</f>
        <v>0</v>
      </c>
      <c r="AB14" s="16">
        <f>FLUID!AF15</f>
        <v>0</v>
      </c>
      <c r="AC14" s="16">
        <f>FLUID!AG15</f>
        <v>0</v>
      </c>
      <c r="AD14" s="16">
        <f>FLUID!AH15</f>
        <v>0</v>
      </c>
      <c r="AE14" s="16">
        <f>FLUID!AI15</f>
        <v>0</v>
      </c>
      <c r="AF14" s="16">
        <f>FLUID!AJ15</f>
        <v>0</v>
      </c>
      <c r="AG14" s="16">
        <f>FLUID!AK15</f>
        <v>0</v>
      </c>
      <c r="AH14" s="16">
        <f>FLUID!AL15</f>
        <v>0</v>
      </c>
      <c r="AI14" s="16">
        <f>FLUID!AM15</f>
        <v>0</v>
      </c>
      <c r="AJ14" s="16">
        <f>FLUID!AN15</f>
        <v>0</v>
      </c>
      <c r="AK14" s="16">
        <f>FLUID!AO15</f>
        <v>0</v>
      </c>
      <c r="AL14" s="16">
        <f>FLUID!AP15</f>
        <v>0</v>
      </c>
      <c r="AM14" s="16">
        <f>FLUID!AQ15</f>
        <v>0</v>
      </c>
      <c r="AN14" s="16">
        <f>FLUID!AR15</f>
        <v>0</v>
      </c>
      <c r="AO14" s="16">
        <f>FLUID!AS15</f>
        <v>0</v>
      </c>
      <c r="AP14" s="16">
        <f>FLUID!AT15</f>
        <v>0</v>
      </c>
      <c r="AQ14" s="16">
        <f>FLUID!AU15</f>
        <v>0</v>
      </c>
      <c r="AR14" s="16">
        <f>FLUID!AV15</f>
        <v>0</v>
      </c>
      <c r="AS14" s="16">
        <f>FLUID!AW15</f>
        <v>0</v>
      </c>
      <c r="AT14" s="16">
        <f>FLUID!AX15</f>
        <v>0</v>
      </c>
      <c r="AU14" s="16">
        <f>FLUID!AY15</f>
        <v>0</v>
      </c>
      <c r="AV14" s="16">
        <f>FLUID!AZ15</f>
        <v>0</v>
      </c>
      <c r="AW14" s="16">
        <f>FLUID!BA15</f>
        <v>0</v>
      </c>
      <c r="AX14" s="16">
        <f>FLUID!BB15</f>
        <v>0</v>
      </c>
      <c r="AY14" s="16">
        <f>FLUID!BC15</f>
        <v>0</v>
      </c>
      <c r="AZ14" s="16">
        <f>FLUID!BD15</f>
        <v>0</v>
      </c>
      <c r="BA14" s="16">
        <f>FLUID!BE15</f>
        <v>0</v>
      </c>
      <c r="BB14" s="16">
        <f>FLUID!BF15</f>
        <v>0</v>
      </c>
      <c r="BC14" s="16">
        <f>FLUID!BG15</f>
        <v>0</v>
      </c>
      <c r="BD14" s="16">
        <f>FLUID!BH15</f>
        <v>0</v>
      </c>
      <c r="BE14" s="16">
        <f>FLUID!BI15</f>
        <v>0</v>
      </c>
      <c r="BF14" s="16">
        <f>FLUID!BJ15</f>
        <v>0</v>
      </c>
      <c r="BG14" s="16">
        <f>FLUID!BK15</f>
        <v>0</v>
      </c>
      <c r="BH14" s="16">
        <f>FLUID!BL15</f>
        <v>0</v>
      </c>
      <c r="BI14" s="16">
        <f>FLUID!BM15</f>
        <v>0</v>
      </c>
      <c r="BJ14" s="16">
        <f>FLUID!BN15</f>
        <v>0</v>
      </c>
      <c r="BK14" s="16">
        <f>FLUID!BO15</f>
        <v>0</v>
      </c>
      <c r="BL14" s="16">
        <f>FLUID!BP15</f>
        <v>0</v>
      </c>
      <c r="BM14" s="16">
        <f>FLUID!BQ15</f>
        <v>0</v>
      </c>
      <c r="BN14" s="16">
        <f>FLUID!BR15</f>
        <v>0</v>
      </c>
      <c r="BO14" s="16">
        <f>FLUID!BS15</f>
        <v>0</v>
      </c>
      <c r="BP14" s="16">
        <f>FLUID!BT15</f>
        <v>0</v>
      </c>
      <c r="BQ14" s="16">
        <f>FLUID!BU15</f>
        <v>0</v>
      </c>
      <c r="BR14" s="16">
        <f>FLUID!BV15</f>
        <v>0</v>
      </c>
      <c r="BS14" s="16">
        <f>FLUID!BW15</f>
        <v>0</v>
      </c>
      <c r="BT14" s="16">
        <f>FLUID!BX15</f>
        <v>0</v>
      </c>
    </row>
    <row r="15" spans="1:72" ht="22.5" hidden="1" outlineLevel="1" thickTop="1" thickBot="1" x14ac:dyDescent="0.4">
      <c r="A15" s="88">
        <f>FLUID!E16</f>
        <v>0</v>
      </c>
      <c r="B15" s="16">
        <f>FLUID!F16</f>
        <v>0</v>
      </c>
      <c r="C15" s="16">
        <f>FLUID!G16</f>
        <v>0</v>
      </c>
      <c r="D15" s="16">
        <f>FLUID!H16</f>
        <v>0</v>
      </c>
      <c r="E15" s="16">
        <f>FLUID!I16</f>
        <v>0</v>
      </c>
      <c r="F15" s="16">
        <f>FLUID!J16</f>
        <v>0</v>
      </c>
      <c r="G15" s="16">
        <f>FLUID!K16</f>
        <v>0</v>
      </c>
      <c r="H15" s="16">
        <f>FLUID!L16</f>
        <v>0</v>
      </c>
      <c r="I15" s="16">
        <f>FLUID!M16</f>
        <v>0</v>
      </c>
      <c r="J15" s="16">
        <f>FLUID!N16</f>
        <v>0</v>
      </c>
      <c r="K15" s="16">
        <f>FLUID!O16</f>
        <v>0</v>
      </c>
      <c r="L15" s="16">
        <f>FLUID!P16</f>
        <v>0</v>
      </c>
      <c r="M15" s="16">
        <f>FLUID!Q16</f>
        <v>0</v>
      </c>
      <c r="N15" s="16">
        <f>FLUID!R16</f>
        <v>0</v>
      </c>
      <c r="O15" s="16">
        <f>FLUID!S16</f>
        <v>0</v>
      </c>
      <c r="P15" s="16">
        <f>FLUID!T16</f>
        <v>0</v>
      </c>
      <c r="Q15" s="16">
        <f>FLUID!U16</f>
        <v>0</v>
      </c>
      <c r="R15" s="16">
        <f>FLUID!V16</f>
        <v>0</v>
      </c>
      <c r="S15" s="16">
        <f>FLUID!W16</f>
        <v>0</v>
      </c>
      <c r="T15" s="16">
        <f>FLUID!X16</f>
        <v>0</v>
      </c>
      <c r="U15" s="16">
        <f>FLUID!Y16</f>
        <v>0</v>
      </c>
      <c r="V15" s="16">
        <f>FLUID!Z16</f>
        <v>0</v>
      </c>
      <c r="W15" s="16">
        <f>FLUID!AA16</f>
        <v>0</v>
      </c>
      <c r="X15" s="16">
        <f>FLUID!AB16</f>
        <v>0</v>
      </c>
      <c r="Y15" s="16">
        <f>FLUID!AC16</f>
        <v>0</v>
      </c>
      <c r="Z15" s="16">
        <f>FLUID!AD16</f>
        <v>0</v>
      </c>
      <c r="AA15" s="16">
        <f>FLUID!AE16</f>
        <v>0</v>
      </c>
      <c r="AB15" s="16">
        <f>FLUID!AF16</f>
        <v>0</v>
      </c>
      <c r="AC15" s="16">
        <f>FLUID!AG16</f>
        <v>0</v>
      </c>
      <c r="AD15" s="16">
        <f>FLUID!AH16</f>
        <v>0</v>
      </c>
      <c r="AE15" s="16">
        <f>FLUID!AI16</f>
        <v>0</v>
      </c>
      <c r="AF15" s="16">
        <f>FLUID!AJ16</f>
        <v>0</v>
      </c>
      <c r="AG15" s="16">
        <f>FLUID!AK16</f>
        <v>0</v>
      </c>
      <c r="AH15" s="16">
        <f>FLUID!AL16</f>
        <v>0</v>
      </c>
      <c r="AI15" s="16">
        <f>FLUID!AM16</f>
        <v>0</v>
      </c>
      <c r="AJ15" s="16">
        <f>FLUID!AN16</f>
        <v>0</v>
      </c>
      <c r="AK15" s="16">
        <f>FLUID!AO16</f>
        <v>0</v>
      </c>
      <c r="AL15" s="16">
        <f>FLUID!AP16</f>
        <v>0</v>
      </c>
      <c r="AM15" s="16">
        <f>FLUID!AQ16</f>
        <v>0</v>
      </c>
      <c r="AN15" s="16">
        <f>FLUID!AR16</f>
        <v>0</v>
      </c>
      <c r="AO15" s="16">
        <f>FLUID!AS16</f>
        <v>0</v>
      </c>
      <c r="AP15" s="16">
        <f>FLUID!AT16</f>
        <v>0</v>
      </c>
      <c r="AQ15" s="16">
        <f>FLUID!AU16</f>
        <v>0</v>
      </c>
      <c r="AR15" s="16">
        <f>FLUID!AV16</f>
        <v>0</v>
      </c>
      <c r="AS15" s="16">
        <f>FLUID!AW16</f>
        <v>0</v>
      </c>
      <c r="AT15" s="16">
        <f>FLUID!AX16</f>
        <v>0</v>
      </c>
      <c r="AU15" s="16">
        <f>FLUID!AY16</f>
        <v>0</v>
      </c>
      <c r="AV15" s="16">
        <f>FLUID!AZ16</f>
        <v>0</v>
      </c>
      <c r="AW15" s="16">
        <f>FLUID!BA16</f>
        <v>0</v>
      </c>
      <c r="AX15" s="16">
        <f>FLUID!BB16</f>
        <v>0</v>
      </c>
      <c r="AY15" s="16">
        <f>FLUID!BC16</f>
        <v>0</v>
      </c>
      <c r="AZ15" s="16">
        <f>FLUID!BD16</f>
        <v>0</v>
      </c>
      <c r="BA15" s="16">
        <f>FLUID!BE16</f>
        <v>0</v>
      </c>
      <c r="BB15" s="16">
        <f>FLUID!BF16</f>
        <v>0</v>
      </c>
      <c r="BC15" s="16">
        <f>FLUID!BG16</f>
        <v>0</v>
      </c>
      <c r="BD15" s="16">
        <f>FLUID!BH16</f>
        <v>0</v>
      </c>
      <c r="BE15" s="16">
        <f>FLUID!BI16</f>
        <v>0</v>
      </c>
      <c r="BF15" s="16">
        <f>FLUID!BJ16</f>
        <v>0</v>
      </c>
      <c r="BG15" s="16">
        <f>FLUID!BK16</f>
        <v>0</v>
      </c>
      <c r="BH15" s="16">
        <f>FLUID!BL16</f>
        <v>0</v>
      </c>
      <c r="BI15" s="16">
        <f>FLUID!BM16</f>
        <v>0</v>
      </c>
      <c r="BJ15" s="16">
        <f>FLUID!BN16</f>
        <v>0</v>
      </c>
      <c r="BK15" s="16">
        <f>FLUID!BO16</f>
        <v>0</v>
      </c>
      <c r="BL15" s="16">
        <f>FLUID!BP16</f>
        <v>0</v>
      </c>
      <c r="BM15" s="16">
        <f>FLUID!BQ16</f>
        <v>0</v>
      </c>
      <c r="BN15" s="16">
        <f>FLUID!BR16</f>
        <v>0</v>
      </c>
      <c r="BO15" s="16">
        <f>FLUID!BS16</f>
        <v>0</v>
      </c>
      <c r="BP15" s="16">
        <f>FLUID!BT16</f>
        <v>0</v>
      </c>
      <c r="BQ15" s="16">
        <f>FLUID!BU16</f>
        <v>0</v>
      </c>
      <c r="BR15" s="16">
        <f>FLUID!BV16</f>
        <v>0</v>
      </c>
      <c r="BS15" s="16">
        <f>FLUID!BW16</f>
        <v>0</v>
      </c>
      <c r="BT15" s="16">
        <f>FLUID!BX16</f>
        <v>0</v>
      </c>
    </row>
    <row r="16" spans="1:72" ht="22.5" hidden="1" outlineLevel="1" thickTop="1" thickBot="1" x14ac:dyDescent="0.4">
      <c r="A16" s="88">
        <f>FLUID!E17</f>
        <v>0</v>
      </c>
      <c r="B16" s="16">
        <f>FLUID!F17</f>
        <v>0</v>
      </c>
      <c r="C16" s="16">
        <f>FLUID!G17</f>
        <v>0</v>
      </c>
      <c r="D16" s="16">
        <f>FLUID!H17</f>
        <v>0</v>
      </c>
      <c r="E16" s="16">
        <f>FLUID!I17</f>
        <v>0</v>
      </c>
      <c r="F16" s="16">
        <f>FLUID!J17</f>
        <v>0</v>
      </c>
      <c r="G16" s="16">
        <f>FLUID!K17</f>
        <v>0</v>
      </c>
      <c r="H16" s="16">
        <f>FLUID!L17</f>
        <v>0</v>
      </c>
      <c r="I16" s="16">
        <f>FLUID!M17</f>
        <v>0</v>
      </c>
      <c r="J16" s="16">
        <f>FLUID!N17</f>
        <v>0</v>
      </c>
      <c r="K16" s="16">
        <f>FLUID!O17</f>
        <v>0</v>
      </c>
      <c r="L16" s="16">
        <f>FLUID!P17</f>
        <v>0</v>
      </c>
      <c r="M16" s="16">
        <f>FLUID!Q17</f>
        <v>0</v>
      </c>
      <c r="N16" s="16">
        <f>FLUID!R17</f>
        <v>0</v>
      </c>
      <c r="O16" s="16">
        <f>FLUID!S17</f>
        <v>0</v>
      </c>
      <c r="P16" s="16">
        <f>FLUID!T17</f>
        <v>0</v>
      </c>
      <c r="Q16" s="16">
        <f>FLUID!U17</f>
        <v>0</v>
      </c>
      <c r="R16" s="16">
        <f>FLUID!V17</f>
        <v>0</v>
      </c>
      <c r="S16" s="16">
        <f>FLUID!W17</f>
        <v>0</v>
      </c>
      <c r="T16" s="16">
        <f>FLUID!X17</f>
        <v>0</v>
      </c>
      <c r="U16" s="16">
        <f>FLUID!Y17</f>
        <v>0</v>
      </c>
      <c r="V16" s="16">
        <f>FLUID!Z17</f>
        <v>0</v>
      </c>
      <c r="W16" s="16">
        <f>FLUID!AA17</f>
        <v>0</v>
      </c>
      <c r="X16" s="16">
        <f>FLUID!AB17</f>
        <v>0</v>
      </c>
      <c r="Y16" s="16">
        <f>FLUID!AC17</f>
        <v>0</v>
      </c>
      <c r="Z16" s="16">
        <f>FLUID!AD17</f>
        <v>0</v>
      </c>
      <c r="AA16" s="16">
        <f>FLUID!AE17</f>
        <v>0</v>
      </c>
      <c r="AB16" s="16">
        <f>FLUID!AF17</f>
        <v>0</v>
      </c>
      <c r="AC16" s="16">
        <f>FLUID!AG17</f>
        <v>0</v>
      </c>
      <c r="AD16" s="16">
        <f>FLUID!AH17</f>
        <v>0</v>
      </c>
      <c r="AE16" s="16">
        <f>FLUID!AI17</f>
        <v>0</v>
      </c>
      <c r="AF16" s="16">
        <f>FLUID!AJ17</f>
        <v>0</v>
      </c>
      <c r="AG16" s="16">
        <f>FLUID!AK17</f>
        <v>0</v>
      </c>
      <c r="AH16" s="16">
        <f>FLUID!AL17</f>
        <v>0</v>
      </c>
      <c r="AI16" s="16">
        <f>FLUID!AM17</f>
        <v>0</v>
      </c>
      <c r="AJ16" s="16">
        <f>FLUID!AN17</f>
        <v>0</v>
      </c>
      <c r="AK16" s="16">
        <f>FLUID!AO17</f>
        <v>0</v>
      </c>
      <c r="AL16" s="16">
        <f>FLUID!AP17</f>
        <v>0</v>
      </c>
      <c r="AM16" s="16">
        <f>FLUID!AQ17</f>
        <v>0</v>
      </c>
      <c r="AN16" s="16">
        <f>FLUID!AR17</f>
        <v>0</v>
      </c>
      <c r="AO16" s="16">
        <f>FLUID!AS17</f>
        <v>0</v>
      </c>
      <c r="AP16" s="16">
        <f>FLUID!AT17</f>
        <v>0</v>
      </c>
      <c r="AQ16" s="16">
        <f>FLUID!AU17</f>
        <v>0</v>
      </c>
      <c r="AR16" s="16">
        <f>FLUID!AV17</f>
        <v>0</v>
      </c>
      <c r="AS16" s="16">
        <f>FLUID!AW17</f>
        <v>0</v>
      </c>
      <c r="AT16" s="16">
        <f>FLUID!AX17</f>
        <v>0</v>
      </c>
      <c r="AU16" s="16">
        <f>FLUID!AY17</f>
        <v>0</v>
      </c>
      <c r="AV16" s="16">
        <f>FLUID!AZ17</f>
        <v>0</v>
      </c>
      <c r="AW16" s="16">
        <f>FLUID!BA17</f>
        <v>0</v>
      </c>
      <c r="AX16" s="16">
        <f>FLUID!BB17</f>
        <v>0</v>
      </c>
      <c r="AY16" s="16">
        <f>FLUID!BC17</f>
        <v>0</v>
      </c>
      <c r="AZ16" s="16">
        <f>FLUID!BD17</f>
        <v>0</v>
      </c>
      <c r="BA16" s="16">
        <f>FLUID!BE17</f>
        <v>0</v>
      </c>
      <c r="BB16" s="16">
        <f>FLUID!BF17</f>
        <v>0</v>
      </c>
      <c r="BC16" s="16">
        <f>FLUID!BG17</f>
        <v>0</v>
      </c>
      <c r="BD16" s="16">
        <f>FLUID!BH17</f>
        <v>0</v>
      </c>
      <c r="BE16" s="16">
        <f>FLUID!BI17</f>
        <v>0</v>
      </c>
      <c r="BF16" s="16">
        <f>FLUID!BJ17</f>
        <v>0</v>
      </c>
      <c r="BG16" s="16">
        <f>FLUID!BK17</f>
        <v>0</v>
      </c>
      <c r="BH16" s="16">
        <f>FLUID!BL17</f>
        <v>0</v>
      </c>
      <c r="BI16" s="16">
        <f>FLUID!BM17</f>
        <v>0</v>
      </c>
      <c r="BJ16" s="16">
        <f>FLUID!BN17</f>
        <v>0</v>
      </c>
      <c r="BK16" s="16">
        <f>FLUID!BO17</f>
        <v>0</v>
      </c>
      <c r="BL16" s="16">
        <f>FLUID!BP17</f>
        <v>0</v>
      </c>
      <c r="BM16" s="16">
        <f>FLUID!BQ17</f>
        <v>0</v>
      </c>
      <c r="BN16" s="16">
        <f>FLUID!BR17</f>
        <v>0</v>
      </c>
      <c r="BO16" s="16">
        <f>FLUID!BS17</f>
        <v>0</v>
      </c>
      <c r="BP16" s="16">
        <f>FLUID!BT17</f>
        <v>0</v>
      </c>
      <c r="BQ16" s="16">
        <f>FLUID!BU17</f>
        <v>0</v>
      </c>
      <c r="BR16" s="16">
        <f>FLUID!BV17</f>
        <v>0</v>
      </c>
      <c r="BS16" s="16">
        <f>FLUID!BW17</f>
        <v>0</v>
      </c>
      <c r="BT16" s="16">
        <f>FLUID!BX17</f>
        <v>0</v>
      </c>
    </row>
    <row r="17" spans="1:72" ht="22.5" hidden="1" outlineLevel="1" thickTop="1" thickBot="1" x14ac:dyDescent="0.4">
      <c r="A17" s="88">
        <f>FLUID!E18</f>
        <v>0</v>
      </c>
      <c r="B17" s="16">
        <f>FLUID!F18</f>
        <v>0</v>
      </c>
      <c r="C17" s="16">
        <f>FLUID!G18</f>
        <v>0</v>
      </c>
      <c r="D17" s="16">
        <f>FLUID!H18</f>
        <v>0</v>
      </c>
      <c r="E17" s="16">
        <f>FLUID!I18</f>
        <v>0</v>
      </c>
      <c r="F17" s="16">
        <f>FLUID!J18</f>
        <v>0</v>
      </c>
      <c r="G17" s="16">
        <f>FLUID!K18</f>
        <v>0</v>
      </c>
      <c r="H17" s="16">
        <f>FLUID!L18</f>
        <v>0</v>
      </c>
      <c r="I17" s="16">
        <f>FLUID!M18</f>
        <v>0</v>
      </c>
      <c r="J17" s="16">
        <f>FLUID!N18</f>
        <v>0</v>
      </c>
      <c r="K17" s="16">
        <f>FLUID!O18</f>
        <v>0</v>
      </c>
      <c r="L17" s="16">
        <f>FLUID!P18</f>
        <v>0</v>
      </c>
      <c r="M17" s="16">
        <f>FLUID!Q18</f>
        <v>0</v>
      </c>
      <c r="N17" s="16">
        <f>FLUID!R18</f>
        <v>0</v>
      </c>
      <c r="O17" s="16">
        <f>FLUID!S18</f>
        <v>0</v>
      </c>
      <c r="P17" s="16">
        <f>FLUID!T18</f>
        <v>0</v>
      </c>
      <c r="Q17" s="16">
        <f>FLUID!U18</f>
        <v>0</v>
      </c>
      <c r="R17" s="16">
        <f>FLUID!V18</f>
        <v>0</v>
      </c>
      <c r="S17" s="16">
        <f>FLUID!W18</f>
        <v>0</v>
      </c>
      <c r="T17" s="16">
        <f>FLUID!X18</f>
        <v>0</v>
      </c>
      <c r="U17" s="16">
        <f>FLUID!Y18</f>
        <v>0</v>
      </c>
      <c r="V17" s="16">
        <f>FLUID!Z18</f>
        <v>0</v>
      </c>
      <c r="W17" s="16">
        <f>FLUID!AA18</f>
        <v>0</v>
      </c>
      <c r="X17" s="16">
        <f>FLUID!AB18</f>
        <v>0</v>
      </c>
      <c r="Y17" s="16">
        <f>FLUID!AC18</f>
        <v>0</v>
      </c>
      <c r="Z17" s="16">
        <f>FLUID!AD18</f>
        <v>0</v>
      </c>
      <c r="AA17" s="16">
        <f>FLUID!AE18</f>
        <v>0</v>
      </c>
      <c r="AB17" s="16">
        <f>FLUID!AF18</f>
        <v>0</v>
      </c>
      <c r="AC17" s="16">
        <f>FLUID!AG18</f>
        <v>0</v>
      </c>
      <c r="AD17" s="16">
        <f>FLUID!AH18</f>
        <v>0</v>
      </c>
      <c r="AE17" s="16">
        <f>FLUID!AI18</f>
        <v>0</v>
      </c>
      <c r="AF17" s="16">
        <f>FLUID!AJ18</f>
        <v>0</v>
      </c>
      <c r="AG17" s="16">
        <f>FLUID!AK18</f>
        <v>0</v>
      </c>
      <c r="AH17" s="16">
        <f>FLUID!AL18</f>
        <v>0</v>
      </c>
      <c r="AI17" s="16">
        <f>FLUID!AM18</f>
        <v>0</v>
      </c>
      <c r="AJ17" s="16">
        <f>FLUID!AN18</f>
        <v>0</v>
      </c>
      <c r="AK17" s="16">
        <f>FLUID!AO18</f>
        <v>0</v>
      </c>
      <c r="AL17" s="16">
        <f>FLUID!AP18</f>
        <v>0</v>
      </c>
      <c r="AM17" s="16">
        <f>FLUID!AQ18</f>
        <v>0</v>
      </c>
      <c r="AN17" s="16">
        <f>FLUID!AR18</f>
        <v>0</v>
      </c>
      <c r="AO17" s="16">
        <f>FLUID!AS18</f>
        <v>0</v>
      </c>
      <c r="AP17" s="16">
        <f>FLUID!AT18</f>
        <v>0</v>
      </c>
      <c r="AQ17" s="16">
        <f>FLUID!AU18</f>
        <v>0</v>
      </c>
      <c r="AR17" s="16">
        <f>FLUID!AV18</f>
        <v>0</v>
      </c>
      <c r="AS17" s="16">
        <f>FLUID!AW18</f>
        <v>0</v>
      </c>
      <c r="AT17" s="16">
        <f>FLUID!AX18</f>
        <v>0</v>
      </c>
      <c r="AU17" s="16">
        <f>FLUID!AY18</f>
        <v>0</v>
      </c>
      <c r="AV17" s="16">
        <f>FLUID!AZ18</f>
        <v>0</v>
      </c>
      <c r="AW17" s="16">
        <f>FLUID!BA18</f>
        <v>0</v>
      </c>
      <c r="AX17" s="16">
        <f>FLUID!BB18</f>
        <v>0</v>
      </c>
      <c r="AY17" s="16">
        <f>FLUID!BC18</f>
        <v>0</v>
      </c>
      <c r="AZ17" s="16">
        <f>FLUID!BD18</f>
        <v>0</v>
      </c>
      <c r="BA17" s="16">
        <f>FLUID!BE18</f>
        <v>0</v>
      </c>
      <c r="BB17" s="16">
        <f>FLUID!BF18</f>
        <v>0</v>
      </c>
      <c r="BC17" s="16">
        <f>FLUID!BG18</f>
        <v>0</v>
      </c>
      <c r="BD17" s="16">
        <f>FLUID!BH18</f>
        <v>0</v>
      </c>
      <c r="BE17" s="16">
        <f>FLUID!BI18</f>
        <v>0</v>
      </c>
      <c r="BF17" s="16">
        <f>FLUID!BJ18</f>
        <v>0</v>
      </c>
      <c r="BG17" s="16">
        <f>FLUID!BK18</f>
        <v>0</v>
      </c>
      <c r="BH17" s="16">
        <f>FLUID!BL18</f>
        <v>0</v>
      </c>
      <c r="BI17" s="16">
        <f>FLUID!BM18</f>
        <v>0</v>
      </c>
      <c r="BJ17" s="16">
        <f>FLUID!BN18</f>
        <v>0</v>
      </c>
      <c r="BK17" s="16">
        <f>FLUID!BO18</f>
        <v>0</v>
      </c>
      <c r="BL17" s="16">
        <f>FLUID!BP18</f>
        <v>0</v>
      </c>
      <c r="BM17" s="16">
        <f>FLUID!BQ18</f>
        <v>0</v>
      </c>
      <c r="BN17" s="16">
        <f>FLUID!BR18</f>
        <v>0</v>
      </c>
      <c r="BO17" s="16">
        <f>FLUID!BS18</f>
        <v>0</v>
      </c>
      <c r="BP17" s="16">
        <f>FLUID!BT18</f>
        <v>0</v>
      </c>
      <c r="BQ17" s="16">
        <f>FLUID!BU18</f>
        <v>0</v>
      </c>
      <c r="BR17" s="16">
        <f>FLUID!BV18</f>
        <v>0</v>
      </c>
      <c r="BS17" s="16">
        <f>FLUID!BW18</f>
        <v>0</v>
      </c>
      <c r="BT17" s="16">
        <f>FLUID!BX18</f>
        <v>0</v>
      </c>
    </row>
    <row r="18" spans="1:72" ht="22.5" hidden="1" outlineLevel="1" thickTop="1" thickBot="1" x14ac:dyDescent="0.4">
      <c r="A18" s="88">
        <f>FLUID!E19</f>
        <v>0</v>
      </c>
      <c r="B18" s="16">
        <f>FLUID!F19</f>
        <v>0</v>
      </c>
      <c r="C18" s="16">
        <f>FLUID!G19</f>
        <v>0</v>
      </c>
      <c r="D18" s="16">
        <f>FLUID!H19</f>
        <v>0</v>
      </c>
      <c r="E18" s="16">
        <f>FLUID!I19</f>
        <v>0</v>
      </c>
      <c r="F18" s="16">
        <f>FLUID!J19</f>
        <v>0</v>
      </c>
      <c r="G18" s="16">
        <f>FLUID!K19</f>
        <v>0</v>
      </c>
      <c r="H18" s="16">
        <f>FLUID!L19</f>
        <v>0</v>
      </c>
      <c r="I18" s="16">
        <f>FLUID!M19</f>
        <v>0</v>
      </c>
      <c r="J18" s="16">
        <f>FLUID!N19</f>
        <v>0</v>
      </c>
      <c r="K18" s="16">
        <f>FLUID!O19</f>
        <v>0</v>
      </c>
      <c r="L18" s="16">
        <f>FLUID!P19</f>
        <v>0</v>
      </c>
      <c r="M18" s="16">
        <f>FLUID!Q19</f>
        <v>0</v>
      </c>
      <c r="N18" s="16">
        <f>FLUID!R19</f>
        <v>0</v>
      </c>
      <c r="O18" s="16">
        <f>FLUID!S19</f>
        <v>0</v>
      </c>
      <c r="P18" s="16">
        <f>FLUID!T19</f>
        <v>0</v>
      </c>
      <c r="Q18" s="16">
        <f>FLUID!U19</f>
        <v>0</v>
      </c>
      <c r="R18" s="16">
        <f>FLUID!V19</f>
        <v>0</v>
      </c>
      <c r="S18" s="16">
        <f>FLUID!W19</f>
        <v>0</v>
      </c>
      <c r="T18" s="16">
        <f>FLUID!X19</f>
        <v>0</v>
      </c>
      <c r="U18" s="16">
        <f>FLUID!Y19</f>
        <v>0</v>
      </c>
      <c r="V18" s="16">
        <f>FLUID!Z19</f>
        <v>0</v>
      </c>
      <c r="W18" s="16">
        <f>FLUID!AA19</f>
        <v>0</v>
      </c>
      <c r="X18" s="16">
        <f>FLUID!AB19</f>
        <v>0</v>
      </c>
      <c r="Y18" s="16">
        <f>FLUID!AC19</f>
        <v>0</v>
      </c>
      <c r="Z18" s="16">
        <f>FLUID!AD19</f>
        <v>0</v>
      </c>
      <c r="AA18" s="16">
        <f>FLUID!AE19</f>
        <v>0</v>
      </c>
      <c r="AB18" s="16">
        <f>FLUID!AF19</f>
        <v>0</v>
      </c>
      <c r="AC18" s="16">
        <f>FLUID!AG19</f>
        <v>0</v>
      </c>
      <c r="AD18" s="16">
        <f>FLUID!AH19</f>
        <v>0</v>
      </c>
      <c r="AE18" s="16">
        <f>FLUID!AI19</f>
        <v>0</v>
      </c>
      <c r="AF18" s="16">
        <f>FLUID!AJ19</f>
        <v>0</v>
      </c>
      <c r="AG18" s="16">
        <f>FLUID!AK19</f>
        <v>0</v>
      </c>
      <c r="AH18" s="16">
        <f>FLUID!AL19</f>
        <v>0</v>
      </c>
      <c r="AI18" s="16">
        <f>FLUID!AM19</f>
        <v>0</v>
      </c>
      <c r="AJ18" s="16">
        <f>FLUID!AN19</f>
        <v>0</v>
      </c>
      <c r="AK18" s="16">
        <f>FLUID!AO19</f>
        <v>0</v>
      </c>
      <c r="AL18" s="16">
        <f>FLUID!AP19</f>
        <v>0</v>
      </c>
      <c r="AM18" s="16">
        <f>FLUID!AQ19</f>
        <v>0</v>
      </c>
      <c r="AN18" s="16">
        <f>FLUID!AR19</f>
        <v>0</v>
      </c>
      <c r="AO18" s="16">
        <f>FLUID!AS19</f>
        <v>0</v>
      </c>
      <c r="AP18" s="16">
        <f>FLUID!AT19</f>
        <v>0</v>
      </c>
      <c r="AQ18" s="16">
        <f>FLUID!AU19</f>
        <v>0</v>
      </c>
      <c r="AR18" s="16">
        <f>FLUID!AV19</f>
        <v>0</v>
      </c>
      <c r="AS18" s="16">
        <f>FLUID!AW19</f>
        <v>0</v>
      </c>
      <c r="AT18" s="16">
        <f>FLUID!AX19</f>
        <v>0</v>
      </c>
      <c r="AU18" s="16">
        <f>FLUID!AY19</f>
        <v>0</v>
      </c>
      <c r="AV18" s="16">
        <f>FLUID!AZ19</f>
        <v>0</v>
      </c>
      <c r="AW18" s="16">
        <f>FLUID!BA19</f>
        <v>0</v>
      </c>
      <c r="AX18" s="16">
        <f>FLUID!BB19</f>
        <v>0</v>
      </c>
      <c r="AY18" s="16">
        <f>FLUID!BC19</f>
        <v>0</v>
      </c>
      <c r="AZ18" s="16">
        <f>FLUID!BD19</f>
        <v>0</v>
      </c>
      <c r="BA18" s="16">
        <f>FLUID!BE19</f>
        <v>0</v>
      </c>
      <c r="BB18" s="16">
        <f>FLUID!BF19</f>
        <v>0</v>
      </c>
      <c r="BC18" s="16">
        <f>FLUID!BG19</f>
        <v>0</v>
      </c>
      <c r="BD18" s="16">
        <f>FLUID!BH19</f>
        <v>0</v>
      </c>
      <c r="BE18" s="16">
        <f>FLUID!BI19</f>
        <v>0</v>
      </c>
      <c r="BF18" s="16">
        <f>FLUID!BJ19</f>
        <v>0</v>
      </c>
      <c r="BG18" s="16">
        <f>FLUID!BK19</f>
        <v>0</v>
      </c>
      <c r="BH18" s="16">
        <f>FLUID!BL19</f>
        <v>0</v>
      </c>
      <c r="BI18" s="16">
        <f>FLUID!BM19</f>
        <v>0</v>
      </c>
      <c r="BJ18" s="16">
        <f>FLUID!BN19</f>
        <v>0</v>
      </c>
      <c r="BK18" s="16">
        <f>FLUID!BO19</f>
        <v>0</v>
      </c>
      <c r="BL18" s="16">
        <f>FLUID!BP19</f>
        <v>0</v>
      </c>
      <c r="BM18" s="16">
        <f>FLUID!BQ19</f>
        <v>0</v>
      </c>
      <c r="BN18" s="16">
        <f>FLUID!BR19</f>
        <v>0</v>
      </c>
      <c r="BO18" s="16">
        <f>FLUID!BS19</f>
        <v>0</v>
      </c>
      <c r="BP18" s="16">
        <f>FLUID!BT19</f>
        <v>0</v>
      </c>
      <c r="BQ18" s="16">
        <f>FLUID!BU19</f>
        <v>0</v>
      </c>
      <c r="BR18" s="16">
        <f>FLUID!BV19</f>
        <v>0</v>
      </c>
      <c r="BS18" s="16">
        <f>FLUID!BW19</f>
        <v>0</v>
      </c>
      <c r="BT18" s="16">
        <f>FLUID!BX19</f>
        <v>0</v>
      </c>
    </row>
    <row r="19" spans="1:72" ht="22.5" hidden="1" customHeight="1" outlineLevel="1" thickBot="1" x14ac:dyDescent="0.4">
      <c r="A19" s="88">
        <f>FLUID!E20</f>
        <v>0</v>
      </c>
      <c r="B19" s="16">
        <f>FLUID!F20</f>
        <v>0</v>
      </c>
      <c r="C19" s="16">
        <f>FLUID!G20</f>
        <v>0</v>
      </c>
      <c r="D19" s="16">
        <f>FLUID!H20</f>
        <v>0</v>
      </c>
      <c r="E19" s="16">
        <f>FLUID!I20</f>
        <v>0</v>
      </c>
      <c r="F19" s="16">
        <f>FLUID!J20</f>
        <v>0</v>
      </c>
      <c r="G19" s="16">
        <f>FLUID!K20</f>
        <v>0</v>
      </c>
      <c r="H19" s="16">
        <f>FLUID!L20</f>
        <v>0</v>
      </c>
      <c r="I19" s="16">
        <f>FLUID!M20</f>
        <v>0</v>
      </c>
      <c r="J19" s="16">
        <f>FLUID!N20</f>
        <v>0</v>
      </c>
      <c r="K19" s="16">
        <f>FLUID!O20</f>
        <v>0</v>
      </c>
      <c r="L19" s="16">
        <f>FLUID!P20</f>
        <v>0</v>
      </c>
      <c r="M19" s="16">
        <f>FLUID!Q20</f>
        <v>0</v>
      </c>
      <c r="N19" s="16">
        <f>FLUID!R20</f>
        <v>0</v>
      </c>
      <c r="O19" s="16">
        <f>FLUID!S20</f>
        <v>0</v>
      </c>
      <c r="P19" s="16">
        <f>FLUID!T20</f>
        <v>0</v>
      </c>
      <c r="Q19" s="16">
        <f>FLUID!U20</f>
        <v>0</v>
      </c>
      <c r="R19" s="16">
        <f>FLUID!V20</f>
        <v>0</v>
      </c>
      <c r="S19" s="16">
        <f>FLUID!W20</f>
        <v>0</v>
      </c>
      <c r="T19" s="16">
        <f>FLUID!X20</f>
        <v>0</v>
      </c>
      <c r="U19" s="16">
        <f>FLUID!Y20</f>
        <v>0</v>
      </c>
      <c r="V19" s="16">
        <f>FLUID!Z20</f>
        <v>0</v>
      </c>
      <c r="W19" s="16">
        <f>FLUID!AA20</f>
        <v>0</v>
      </c>
      <c r="X19" s="16">
        <f>FLUID!AB20</f>
        <v>0</v>
      </c>
      <c r="Y19" s="16">
        <f>FLUID!AC20</f>
        <v>0</v>
      </c>
      <c r="Z19" s="16">
        <f>FLUID!AD20</f>
        <v>0</v>
      </c>
      <c r="AA19" s="16">
        <f>FLUID!AE20</f>
        <v>0</v>
      </c>
      <c r="AB19" s="16">
        <f>FLUID!AF20</f>
        <v>0</v>
      </c>
      <c r="AC19" s="16">
        <f>FLUID!AG20</f>
        <v>0</v>
      </c>
      <c r="AD19" s="16">
        <f>FLUID!AH20</f>
        <v>0</v>
      </c>
      <c r="AE19" s="16">
        <f>FLUID!AI20</f>
        <v>0</v>
      </c>
      <c r="AF19" s="16">
        <f>FLUID!AJ20</f>
        <v>0</v>
      </c>
      <c r="AG19" s="16">
        <f>FLUID!AK20</f>
        <v>0</v>
      </c>
      <c r="AH19" s="16">
        <f>FLUID!AL20</f>
        <v>0</v>
      </c>
      <c r="AI19" s="16">
        <f>FLUID!AM20</f>
        <v>0</v>
      </c>
      <c r="AJ19" s="16">
        <f>FLUID!AN20</f>
        <v>0</v>
      </c>
      <c r="AK19" s="16">
        <f>FLUID!AO20</f>
        <v>0</v>
      </c>
      <c r="AL19" s="16">
        <f>FLUID!AP20</f>
        <v>0</v>
      </c>
      <c r="AM19" s="16">
        <f>FLUID!AQ20</f>
        <v>0</v>
      </c>
      <c r="AN19" s="16">
        <f>FLUID!AR20</f>
        <v>0</v>
      </c>
      <c r="AO19" s="16">
        <f>FLUID!AS20</f>
        <v>0</v>
      </c>
      <c r="AP19" s="16">
        <f>FLUID!AT20</f>
        <v>0</v>
      </c>
      <c r="AQ19" s="16">
        <f>FLUID!AU20</f>
        <v>0</v>
      </c>
      <c r="AR19" s="16">
        <f>FLUID!AV20</f>
        <v>0</v>
      </c>
      <c r="AS19" s="16">
        <f>FLUID!AW20</f>
        <v>0</v>
      </c>
      <c r="AT19" s="16">
        <f>FLUID!AX20</f>
        <v>0</v>
      </c>
      <c r="AU19" s="16">
        <f>FLUID!AY20</f>
        <v>0</v>
      </c>
      <c r="AV19" s="16">
        <f>FLUID!AZ20</f>
        <v>0</v>
      </c>
      <c r="AW19" s="16">
        <f>FLUID!BA20</f>
        <v>0</v>
      </c>
      <c r="AX19" s="16">
        <f>FLUID!BB20</f>
        <v>0</v>
      </c>
      <c r="AY19" s="16">
        <f>FLUID!BC20</f>
        <v>0</v>
      </c>
      <c r="AZ19" s="16">
        <f>FLUID!BD20</f>
        <v>0</v>
      </c>
      <c r="BA19" s="16">
        <f>FLUID!BE20</f>
        <v>0</v>
      </c>
      <c r="BB19" s="16">
        <f>FLUID!BF20</f>
        <v>0</v>
      </c>
      <c r="BC19" s="16">
        <f>FLUID!BG20</f>
        <v>0</v>
      </c>
      <c r="BD19" s="16">
        <f>FLUID!BH20</f>
        <v>0</v>
      </c>
      <c r="BE19" s="16">
        <f>FLUID!BI20</f>
        <v>0</v>
      </c>
      <c r="BF19" s="16">
        <f>FLUID!BJ20</f>
        <v>0</v>
      </c>
      <c r="BG19" s="16">
        <f>FLUID!BK20</f>
        <v>0</v>
      </c>
      <c r="BH19" s="16">
        <f>FLUID!BL20</f>
        <v>0</v>
      </c>
      <c r="BI19" s="16">
        <f>FLUID!BM20</f>
        <v>0</v>
      </c>
      <c r="BJ19" s="16">
        <f>FLUID!BN20</f>
        <v>0</v>
      </c>
      <c r="BK19" s="16">
        <f>FLUID!BO20</f>
        <v>0</v>
      </c>
      <c r="BL19" s="16">
        <f>FLUID!BP20</f>
        <v>0</v>
      </c>
      <c r="BM19" s="16">
        <f>FLUID!BQ20</f>
        <v>0</v>
      </c>
      <c r="BN19" s="16">
        <f>FLUID!BR20</f>
        <v>0</v>
      </c>
      <c r="BO19" s="16">
        <f>FLUID!BS20</f>
        <v>0</v>
      </c>
      <c r="BP19" s="16">
        <f>FLUID!BT20</f>
        <v>0</v>
      </c>
      <c r="BQ19" s="16">
        <f>FLUID!BU20</f>
        <v>0</v>
      </c>
      <c r="BR19" s="16">
        <f>FLUID!BV20</f>
        <v>0</v>
      </c>
      <c r="BS19" s="16">
        <f>FLUID!BW20</f>
        <v>0</v>
      </c>
      <c r="BT19" s="16">
        <f>FLUID!BX20</f>
        <v>0</v>
      </c>
    </row>
    <row r="20" spans="1:72" ht="22.5" hidden="1" customHeight="1" outlineLevel="1" thickBot="1" x14ac:dyDescent="0.4">
      <c r="A20" s="88">
        <f>FLUID!E21</f>
        <v>0</v>
      </c>
      <c r="B20" s="16">
        <f>FLUID!F21</f>
        <v>0</v>
      </c>
      <c r="C20" s="16">
        <f>FLUID!G21</f>
        <v>0</v>
      </c>
      <c r="D20" s="16">
        <f>FLUID!H21</f>
        <v>0</v>
      </c>
      <c r="E20" s="16">
        <f>FLUID!I21</f>
        <v>0</v>
      </c>
      <c r="F20" s="16">
        <f>FLUID!J21</f>
        <v>0</v>
      </c>
      <c r="G20" s="16">
        <f>FLUID!K21</f>
        <v>0</v>
      </c>
      <c r="H20" s="16">
        <f>FLUID!L21</f>
        <v>0</v>
      </c>
      <c r="I20" s="16">
        <f>FLUID!M21</f>
        <v>0</v>
      </c>
      <c r="J20" s="16">
        <f>FLUID!N21</f>
        <v>0</v>
      </c>
      <c r="K20" s="16">
        <f>FLUID!O21</f>
        <v>0</v>
      </c>
      <c r="L20" s="16">
        <f>FLUID!P21</f>
        <v>0</v>
      </c>
      <c r="M20" s="16">
        <f>FLUID!Q21</f>
        <v>0</v>
      </c>
      <c r="N20" s="16">
        <f>FLUID!R21</f>
        <v>0</v>
      </c>
      <c r="O20" s="16">
        <f>FLUID!S21</f>
        <v>0</v>
      </c>
      <c r="P20" s="16">
        <f>FLUID!T21</f>
        <v>0</v>
      </c>
      <c r="Q20" s="16">
        <f>FLUID!U21</f>
        <v>0</v>
      </c>
      <c r="R20" s="16">
        <f>FLUID!V21</f>
        <v>0</v>
      </c>
      <c r="S20" s="16">
        <f>FLUID!W21</f>
        <v>0</v>
      </c>
      <c r="T20" s="16">
        <f>FLUID!X21</f>
        <v>0</v>
      </c>
      <c r="U20" s="16">
        <f>FLUID!Y21</f>
        <v>0</v>
      </c>
      <c r="V20" s="16">
        <f>FLUID!Z21</f>
        <v>0</v>
      </c>
      <c r="W20" s="16">
        <f>FLUID!AA21</f>
        <v>0</v>
      </c>
      <c r="X20" s="16">
        <f>FLUID!AB21</f>
        <v>0</v>
      </c>
      <c r="Y20" s="16">
        <f>FLUID!AC21</f>
        <v>0</v>
      </c>
      <c r="Z20" s="16">
        <f>FLUID!AD21</f>
        <v>0</v>
      </c>
      <c r="AA20" s="16">
        <f>FLUID!AE21</f>
        <v>0</v>
      </c>
      <c r="AB20" s="16">
        <f>FLUID!AF21</f>
        <v>0</v>
      </c>
      <c r="AC20" s="16">
        <f>FLUID!AG21</f>
        <v>0</v>
      </c>
      <c r="AD20" s="16">
        <f>FLUID!AH21</f>
        <v>0</v>
      </c>
      <c r="AE20" s="16">
        <f>FLUID!AI21</f>
        <v>0</v>
      </c>
      <c r="AF20" s="16">
        <f>FLUID!AJ21</f>
        <v>0</v>
      </c>
      <c r="AG20" s="16">
        <f>FLUID!AK21</f>
        <v>0</v>
      </c>
      <c r="AH20" s="16">
        <f>FLUID!AL21</f>
        <v>0</v>
      </c>
      <c r="AI20" s="16">
        <f>FLUID!AM21</f>
        <v>0</v>
      </c>
      <c r="AJ20" s="16">
        <f>FLUID!AN21</f>
        <v>0</v>
      </c>
      <c r="AK20" s="16">
        <f>FLUID!AO21</f>
        <v>0</v>
      </c>
      <c r="AL20" s="16">
        <f>FLUID!AP21</f>
        <v>0</v>
      </c>
      <c r="AM20" s="16">
        <f>FLUID!AQ21</f>
        <v>0</v>
      </c>
      <c r="AN20" s="16">
        <f>FLUID!AR21</f>
        <v>0</v>
      </c>
      <c r="AO20" s="16">
        <f>FLUID!AS21</f>
        <v>0</v>
      </c>
      <c r="AP20" s="16">
        <f>FLUID!AT21</f>
        <v>0</v>
      </c>
      <c r="AQ20" s="16">
        <f>FLUID!AU21</f>
        <v>0</v>
      </c>
      <c r="AR20" s="16">
        <f>FLUID!AV21</f>
        <v>0</v>
      </c>
      <c r="AS20" s="16">
        <f>FLUID!AW21</f>
        <v>0</v>
      </c>
      <c r="AT20" s="16">
        <f>FLUID!AX21</f>
        <v>0</v>
      </c>
      <c r="AU20" s="16">
        <f>FLUID!AY21</f>
        <v>0</v>
      </c>
      <c r="AV20" s="16">
        <f>FLUID!AZ21</f>
        <v>0</v>
      </c>
      <c r="AW20" s="16">
        <f>FLUID!BA21</f>
        <v>0</v>
      </c>
      <c r="AX20" s="16">
        <f>FLUID!BB21</f>
        <v>0</v>
      </c>
      <c r="AY20" s="16">
        <f>FLUID!BC21</f>
        <v>0</v>
      </c>
      <c r="AZ20" s="16">
        <f>FLUID!BD21</f>
        <v>0</v>
      </c>
      <c r="BA20" s="16">
        <f>FLUID!BE21</f>
        <v>0</v>
      </c>
      <c r="BB20" s="16">
        <f>FLUID!BF21</f>
        <v>0</v>
      </c>
      <c r="BC20" s="16">
        <f>FLUID!BG21</f>
        <v>0</v>
      </c>
      <c r="BD20" s="16">
        <f>FLUID!BH21</f>
        <v>0</v>
      </c>
      <c r="BE20" s="16">
        <f>FLUID!BI21</f>
        <v>0</v>
      </c>
      <c r="BF20" s="16">
        <f>FLUID!BJ21</f>
        <v>0</v>
      </c>
      <c r="BG20" s="16">
        <f>FLUID!BK21</f>
        <v>0</v>
      </c>
      <c r="BH20" s="16">
        <f>FLUID!BL21</f>
        <v>0</v>
      </c>
      <c r="BI20" s="16">
        <f>FLUID!BM21</f>
        <v>0</v>
      </c>
      <c r="BJ20" s="16">
        <f>FLUID!BN21</f>
        <v>0</v>
      </c>
      <c r="BK20" s="16">
        <f>FLUID!BO21</f>
        <v>0</v>
      </c>
      <c r="BL20" s="16">
        <f>FLUID!BP21</f>
        <v>0</v>
      </c>
      <c r="BM20" s="16">
        <f>FLUID!BQ21</f>
        <v>0</v>
      </c>
      <c r="BN20" s="16">
        <f>FLUID!BR21</f>
        <v>0</v>
      </c>
      <c r="BO20" s="16">
        <f>FLUID!BS21</f>
        <v>0</v>
      </c>
      <c r="BP20" s="16">
        <f>FLUID!BT21</f>
        <v>0</v>
      </c>
      <c r="BQ20" s="16">
        <f>FLUID!BU21</f>
        <v>0</v>
      </c>
      <c r="BR20" s="16">
        <f>FLUID!BV21</f>
        <v>0</v>
      </c>
      <c r="BS20" s="16">
        <f>FLUID!BW21</f>
        <v>0</v>
      </c>
      <c r="BT20" s="16">
        <f>FLUID!BX21</f>
        <v>0</v>
      </c>
    </row>
    <row r="21" spans="1:72" ht="22.5" hidden="1" customHeight="1" outlineLevel="1" thickBot="1" x14ac:dyDescent="0.4">
      <c r="A21" s="88">
        <f>FLUID!E22</f>
        <v>0</v>
      </c>
      <c r="B21" s="16">
        <f>FLUID!F22</f>
        <v>0</v>
      </c>
      <c r="C21" s="16">
        <f>FLUID!G22</f>
        <v>0</v>
      </c>
      <c r="D21" s="16">
        <f>FLUID!H22</f>
        <v>0</v>
      </c>
      <c r="E21" s="16">
        <f>FLUID!I22</f>
        <v>0</v>
      </c>
      <c r="F21" s="16">
        <f>FLUID!J22</f>
        <v>0</v>
      </c>
      <c r="G21" s="16">
        <f>FLUID!K22</f>
        <v>0</v>
      </c>
      <c r="H21" s="16">
        <f>FLUID!L22</f>
        <v>0</v>
      </c>
      <c r="I21" s="16">
        <f>FLUID!M22</f>
        <v>0</v>
      </c>
      <c r="J21" s="16">
        <f>FLUID!N22</f>
        <v>0</v>
      </c>
      <c r="K21" s="16">
        <f>FLUID!O22</f>
        <v>0</v>
      </c>
      <c r="L21" s="16">
        <f>FLUID!P22</f>
        <v>0</v>
      </c>
      <c r="M21" s="16">
        <f>FLUID!Q22</f>
        <v>0</v>
      </c>
      <c r="N21" s="16">
        <f>FLUID!R22</f>
        <v>0</v>
      </c>
      <c r="O21" s="16">
        <f>FLUID!S22</f>
        <v>0</v>
      </c>
      <c r="P21" s="16">
        <f>FLUID!T22</f>
        <v>0</v>
      </c>
      <c r="Q21" s="16">
        <f>FLUID!U22</f>
        <v>0</v>
      </c>
      <c r="R21" s="16">
        <f>FLUID!V22</f>
        <v>0</v>
      </c>
      <c r="S21" s="16">
        <f>FLUID!W22</f>
        <v>0</v>
      </c>
      <c r="T21" s="16">
        <f>FLUID!X22</f>
        <v>0</v>
      </c>
      <c r="U21" s="16">
        <f>FLUID!Y22</f>
        <v>0</v>
      </c>
      <c r="V21" s="16">
        <f>FLUID!Z22</f>
        <v>0</v>
      </c>
      <c r="W21" s="16">
        <f>FLUID!AA22</f>
        <v>0</v>
      </c>
      <c r="X21" s="16">
        <f>FLUID!AB22</f>
        <v>0</v>
      </c>
      <c r="Y21" s="16">
        <f>FLUID!AC22</f>
        <v>0</v>
      </c>
      <c r="Z21" s="16">
        <f>FLUID!AD22</f>
        <v>0</v>
      </c>
      <c r="AA21" s="16">
        <f>FLUID!AE22</f>
        <v>0</v>
      </c>
      <c r="AB21" s="16">
        <f>FLUID!AF22</f>
        <v>0</v>
      </c>
      <c r="AC21" s="16">
        <f>FLUID!AG22</f>
        <v>0</v>
      </c>
      <c r="AD21" s="16">
        <f>FLUID!AH22</f>
        <v>0</v>
      </c>
      <c r="AE21" s="16">
        <f>FLUID!AI22</f>
        <v>0</v>
      </c>
      <c r="AF21" s="16">
        <f>FLUID!AJ22</f>
        <v>0</v>
      </c>
      <c r="AG21" s="16">
        <f>FLUID!AK22</f>
        <v>0</v>
      </c>
      <c r="AH21" s="16">
        <f>FLUID!AL22</f>
        <v>0</v>
      </c>
      <c r="AI21" s="16">
        <f>FLUID!AM22</f>
        <v>0</v>
      </c>
      <c r="AJ21" s="16">
        <f>FLUID!AN22</f>
        <v>0</v>
      </c>
      <c r="AK21" s="16">
        <f>FLUID!AO22</f>
        <v>0</v>
      </c>
      <c r="AL21" s="16">
        <f>FLUID!AP22</f>
        <v>0</v>
      </c>
      <c r="AM21" s="16">
        <f>FLUID!AQ22</f>
        <v>0</v>
      </c>
      <c r="AN21" s="16">
        <f>FLUID!AR22</f>
        <v>0</v>
      </c>
      <c r="AO21" s="16">
        <f>FLUID!AS22</f>
        <v>0</v>
      </c>
      <c r="AP21" s="16">
        <f>FLUID!AT22</f>
        <v>0</v>
      </c>
      <c r="AQ21" s="16">
        <f>FLUID!AU22</f>
        <v>0</v>
      </c>
      <c r="AR21" s="16">
        <f>FLUID!AV22</f>
        <v>0</v>
      </c>
      <c r="AS21" s="16">
        <f>FLUID!AW22</f>
        <v>0</v>
      </c>
      <c r="AT21" s="16">
        <f>FLUID!AX22</f>
        <v>0</v>
      </c>
      <c r="AU21" s="16">
        <f>FLUID!AY22</f>
        <v>0</v>
      </c>
      <c r="AV21" s="16">
        <f>FLUID!AZ22</f>
        <v>0</v>
      </c>
      <c r="AW21" s="16">
        <f>FLUID!BA22</f>
        <v>0</v>
      </c>
      <c r="AX21" s="16">
        <f>FLUID!BB22</f>
        <v>0</v>
      </c>
      <c r="AY21" s="16">
        <f>FLUID!BC22</f>
        <v>0</v>
      </c>
      <c r="AZ21" s="16">
        <f>FLUID!BD22</f>
        <v>0</v>
      </c>
      <c r="BA21" s="16">
        <f>FLUID!BE22</f>
        <v>0</v>
      </c>
      <c r="BB21" s="16">
        <f>FLUID!BF22</f>
        <v>0</v>
      </c>
      <c r="BC21" s="16">
        <f>FLUID!BG22</f>
        <v>0</v>
      </c>
      <c r="BD21" s="16">
        <f>FLUID!BH22</f>
        <v>0</v>
      </c>
      <c r="BE21" s="16">
        <f>FLUID!BI22</f>
        <v>0</v>
      </c>
      <c r="BF21" s="16">
        <f>FLUID!BJ22</f>
        <v>0</v>
      </c>
      <c r="BG21" s="16">
        <f>FLUID!BK22</f>
        <v>0</v>
      </c>
      <c r="BH21" s="16">
        <f>FLUID!BL22</f>
        <v>0</v>
      </c>
      <c r="BI21" s="16">
        <f>FLUID!BM22</f>
        <v>0</v>
      </c>
      <c r="BJ21" s="16">
        <f>FLUID!BN22</f>
        <v>0</v>
      </c>
      <c r="BK21" s="16">
        <f>FLUID!BO22</f>
        <v>0</v>
      </c>
      <c r="BL21" s="16">
        <f>FLUID!BP22</f>
        <v>0</v>
      </c>
      <c r="BM21" s="16">
        <f>FLUID!BQ22</f>
        <v>0</v>
      </c>
      <c r="BN21" s="16">
        <f>FLUID!BR22</f>
        <v>0</v>
      </c>
      <c r="BO21" s="16">
        <f>FLUID!BS22</f>
        <v>0</v>
      </c>
      <c r="BP21" s="16">
        <f>FLUID!BT22</f>
        <v>0</v>
      </c>
      <c r="BQ21" s="16">
        <f>FLUID!BU22</f>
        <v>0</v>
      </c>
      <c r="BR21" s="16">
        <f>FLUID!BV22</f>
        <v>0</v>
      </c>
      <c r="BS21" s="16">
        <f>FLUID!BW22</f>
        <v>0</v>
      </c>
      <c r="BT21" s="16">
        <f>FLUID!BX22</f>
        <v>0</v>
      </c>
    </row>
    <row r="22" spans="1:72" ht="22.5" hidden="1" customHeight="1" outlineLevel="1" thickBot="1" x14ac:dyDescent="0.4">
      <c r="A22" s="88">
        <f>FLUID!E23</f>
        <v>0</v>
      </c>
      <c r="B22" s="16">
        <f>FLUID!F23</f>
        <v>0</v>
      </c>
      <c r="C22" s="16">
        <f>FLUID!G23</f>
        <v>0</v>
      </c>
      <c r="D22" s="16">
        <f>FLUID!H23</f>
        <v>0</v>
      </c>
      <c r="E22" s="16">
        <f>FLUID!I23</f>
        <v>0</v>
      </c>
      <c r="F22" s="16">
        <f>FLUID!J23</f>
        <v>0</v>
      </c>
      <c r="G22" s="16">
        <f>FLUID!K23</f>
        <v>0</v>
      </c>
      <c r="H22" s="16">
        <f>FLUID!L23</f>
        <v>0</v>
      </c>
      <c r="I22" s="16">
        <f>FLUID!M23</f>
        <v>0</v>
      </c>
      <c r="J22" s="16">
        <f>FLUID!N23</f>
        <v>0</v>
      </c>
      <c r="K22" s="16">
        <f>FLUID!O23</f>
        <v>0</v>
      </c>
      <c r="L22" s="16">
        <f>FLUID!P23</f>
        <v>0</v>
      </c>
      <c r="M22" s="16">
        <f>FLUID!Q23</f>
        <v>0</v>
      </c>
      <c r="N22" s="16">
        <f>FLUID!R23</f>
        <v>0</v>
      </c>
      <c r="O22" s="16">
        <f>FLUID!S23</f>
        <v>0</v>
      </c>
      <c r="P22" s="16">
        <f>FLUID!T23</f>
        <v>0</v>
      </c>
      <c r="Q22" s="16">
        <f>FLUID!U23</f>
        <v>0</v>
      </c>
      <c r="R22" s="16">
        <f>FLUID!V23</f>
        <v>0</v>
      </c>
      <c r="S22" s="16">
        <f>FLUID!W23</f>
        <v>0</v>
      </c>
      <c r="T22" s="16">
        <f>FLUID!X23</f>
        <v>0</v>
      </c>
      <c r="U22" s="16">
        <f>FLUID!Y23</f>
        <v>0</v>
      </c>
      <c r="V22" s="16">
        <f>FLUID!Z23</f>
        <v>0</v>
      </c>
      <c r="W22" s="16">
        <f>FLUID!AA23</f>
        <v>0</v>
      </c>
      <c r="X22" s="16">
        <f>FLUID!AB23</f>
        <v>0</v>
      </c>
      <c r="Y22" s="16">
        <f>FLUID!AC23</f>
        <v>0</v>
      </c>
      <c r="Z22" s="16">
        <f>FLUID!AD23</f>
        <v>0</v>
      </c>
      <c r="AA22" s="16">
        <f>FLUID!AE23</f>
        <v>0</v>
      </c>
      <c r="AB22" s="16">
        <f>FLUID!AF23</f>
        <v>0</v>
      </c>
      <c r="AC22" s="16">
        <f>FLUID!AG23</f>
        <v>0</v>
      </c>
      <c r="AD22" s="16">
        <f>FLUID!AH23</f>
        <v>0</v>
      </c>
      <c r="AE22" s="16">
        <f>FLUID!AI23</f>
        <v>0</v>
      </c>
      <c r="AF22" s="16">
        <f>FLUID!AJ23</f>
        <v>0</v>
      </c>
      <c r="AG22" s="16">
        <f>FLUID!AK23</f>
        <v>0</v>
      </c>
      <c r="AH22" s="16">
        <f>FLUID!AL23</f>
        <v>0</v>
      </c>
      <c r="AI22" s="16">
        <f>FLUID!AM23</f>
        <v>0</v>
      </c>
      <c r="AJ22" s="16">
        <f>FLUID!AN23</f>
        <v>0</v>
      </c>
      <c r="AK22" s="16">
        <f>FLUID!AO23</f>
        <v>0</v>
      </c>
      <c r="AL22" s="16">
        <f>FLUID!AP23</f>
        <v>0</v>
      </c>
      <c r="AM22" s="16">
        <f>FLUID!AQ23</f>
        <v>0</v>
      </c>
      <c r="AN22" s="16">
        <f>FLUID!AR23</f>
        <v>0</v>
      </c>
      <c r="AO22" s="16">
        <f>FLUID!AS23</f>
        <v>0</v>
      </c>
      <c r="AP22" s="16">
        <f>FLUID!AT23</f>
        <v>0</v>
      </c>
      <c r="AQ22" s="16">
        <f>FLUID!AU23</f>
        <v>0</v>
      </c>
      <c r="AR22" s="16">
        <f>FLUID!AV23</f>
        <v>0</v>
      </c>
      <c r="AS22" s="16">
        <f>FLUID!AW23</f>
        <v>0</v>
      </c>
      <c r="AT22" s="16">
        <f>FLUID!AX23</f>
        <v>0</v>
      </c>
      <c r="AU22" s="16">
        <f>FLUID!AY23</f>
        <v>0</v>
      </c>
      <c r="AV22" s="16">
        <f>FLUID!AZ23</f>
        <v>0</v>
      </c>
      <c r="AW22" s="16">
        <f>FLUID!BA23</f>
        <v>0</v>
      </c>
      <c r="AX22" s="16">
        <f>FLUID!BB23</f>
        <v>0</v>
      </c>
      <c r="AY22" s="16">
        <f>FLUID!BC23</f>
        <v>0</v>
      </c>
      <c r="AZ22" s="16">
        <f>FLUID!BD23</f>
        <v>0</v>
      </c>
      <c r="BA22" s="16">
        <f>FLUID!BE23</f>
        <v>0</v>
      </c>
      <c r="BB22" s="16">
        <f>FLUID!BF23</f>
        <v>0</v>
      </c>
      <c r="BC22" s="16">
        <f>FLUID!BG23</f>
        <v>0</v>
      </c>
      <c r="BD22" s="16">
        <f>FLUID!BH23</f>
        <v>0</v>
      </c>
      <c r="BE22" s="16">
        <f>FLUID!BI23</f>
        <v>0</v>
      </c>
      <c r="BF22" s="16">
        <f>FLUID!BJ23</f>
        <v>0</v>
      </c>
      <c r="BG22" s="16">
        <f>FLUID!BK23</f>
        <v>0</v>
      </c>
      <c r="BH22" s="16">
        <f>FLUID!BL23</f>
        <v>0</v>
      </c>
      <c r="BI22" s="16">
        <f>FLUID!BM23</f>
        <v>0</v>
      </c>
      <c r="BJ22" s="16">
        <f>FLUID!BN23</f>
        <v>0</v>
      </c>
      <c r="BK22" s="16">
        <f>FLUID!BO23</f>
        <v>0</v>
      </c>
      <c r="BL22" s="16">
        <f>FLUID!BP23</f>
        <v>0</v>
      </c>
      <c r="BM22" s="16">
        <f>FLUID!BQ23</f>
        <v>0</v>
      </c>
      <c r="BN22" s="16">
        <f>FLUID!BR23</f>
        <v>0</v>
      </c>
      <c r="BO22" s="16">
        <f>FLUID!BS23</f>
        <v>0</v>
      </c>
      <c r="BP22" s="16">
        <f>FLUID!BT23</f>
        <v>0</v>
      </c>
      <c r="BQ22" s="16">
        <f>FLUID!BU23</f>
        <v>0</v>
      </c>
      <c r="BR22" s="16">
        <f>FLUID!BV23</f>
        <v>0</v>
      </c>
      <c r="BS22" s="16">
        <f>FLUID!BW23</f>
        <v>0</v>
      </c>
      <c r="BT22" s="16">
        <f>FLUID!BX23</f>
        <v>0</v>
      </c>
    </row>
    <row r="23" spans="1:72" ht="22.5" hidden="1" customHeight="1" outlineLevel="1" thickBot="1" x14ac:dyDescent="0.4">
      <c r="A23" s="88">
        <f>FLUID!E24</f>
        <v>0</v>
      </c>
      <c r="B23" s="16">
        <f>FLUID!F24</f>
        <v>0</v>
      </c>
      <c r="C23" s="16">
        <f>FLUID!G24</f>
        <v>0</v>
      </c>
      <c r="D23" s="16">
        <f>FLUID!H24</f>
        <v>0</v>
      </c>
      <c r="E23" s="16">
        <f>FLUID!I24</f>
        <v>0</v>
      </c>
      <c r="F23" s="16">
        <f>FLUID!J24</f>
        <v>0</v>
      </c>
      <c r="G23" s="16">
        <f>FLUID!K24</f>
        <v>0</v>
      </c>
      <c r="H23" s="16">
        <f>FLUID!L24</f>
        <v>0</v>
      </c>
      <c r="I23" s="16">
        <f>FLUID!M24</f>
        <v>0</v>
      </c>
      <c r="J23" s="16">
        <f>FLUID!N24</f>
        <v>0</v>
      </c>
      <c r="K23" s="16">
        <f>FLUID!O24</f>
        <v>0</v>
      </c>
      <c r="L23" s="16">
        <f>FLUID!P24</f>
        <v>0</v>
      </c>
      <c r="M23" s="16">
        <f>FLUID!Q24</f>
        <v>0</v>
      </c>
      <c r="N23" s="16">
        <f>FLUID!R24</f>
        <v>0</v>
      </c>
      <c r="O23" s="16">
        <f>FLUID!S24</f>
        <v>0</v>
      </c>
      <c r="P23" s="16">
        <f>FLUID!T24</f>
        <v>0</v>
      </c>
      <c r="Q23" s="16">
        <f>FLUID!U24</f>
        <v>0</v>
      </c>
      <c r="R23" s="16">
        <f>FLUID!V24</f>
        <v>0</v>
      </c>
      <c r="S23" s="16">
        <f>FLUID!W24</f>
        <v>0</v>
      </c>
      <c r="T23" s="16">
        <f>FLUID!X24</f>
        <v>0</v>
      </c>
      <c r="U23" s="16">
        <f>FLUID!Y24</f>
        <v>0</v>
      </c>
      <c r="V23" s="16">
        <f>FLUID!Z24</f>
        <v>0</v>
      </c>
      <c r="W23" s="16">
        <f>FLUID!AA24</f>
        <v>0</v>
      </c>
      <c r="X23" s="16">
        <f>FLUID!AB24</f>
        <v>0</v>
      </c>
      <c r="Y23" s="16">
        <f>FLUID!AC24</f>
        <v>0</v>
      </c>
      <c r="Z23" s="16">
        <f>FLUID!AD24</f>
        <v>0</v>
      </c>
      <c r="AA23" s="16">
        <f>FLUID!AE24</f>
        <v>0</v>
      </c>
      <c r="AB23" s="16">
        <f>FLUID!AF24</f>
        <v>0</v>
      </c>
      <c r="AC23" s="16">
        <f>FLUID!AG24</f>
        <v>0</v>
      </c>
      <c r="AD23" s="16">
        <f>FLUID!AH24</f>
        <v>0</v>
      </c>
      <c r="AE23" s="16">
        <f>FLUID!AI24</f>
        <v>0</v>
      </c>
      <c r="AF23" s="16">
        <f>FLUID!AJ24</f>
        <v>0</v>
      </c>
      <c r="AG23" s="16">
        <f>FLUID!AK24</f>
        <v>0</v>
      </c>
      <c r="AH23" s="16">
        <f>FLUID!AL24</f>
        <v>0</v>
      </c>
      <c r="AI23" s="16">
        <f>FLUID!AM24</f>
        <v>0</v>
      </c>
      <c r="AJ23" s="16">
        <f>FLUID!AN24</f>
        <v>0</v>
      </c>
      <c r="AK23" s="16">
        <f>FLUID!AO24</f>
        <v>0</v>
      </c>
      <c r="AL23" s="16">
        <f>FLUID!AP24</f>
        <v>0</v>
      </c>
      <c r="AM23" s="16">
        <f>FLUID!AQ24</f>
        <v>0</v>
      </c>
      <c r="AN23" s="16">
        <f>FLUID!AR24</f>
        <v>0</v>
      </c>
      <c r="AO23" s="16">
        <f>FLUID!AS24</f>
        <v>0</v>
      </c>
      <c r="AP23" s="16">
        <f>FLUID!AT24</f>
        <v>0</v>
      </c>
      <c r="AQ23" s="16">
        <f>FLUID!AU24</f>
        <v>0</v>
      </c>
      <c r="AR23" s="16">
        <f>FLUID!AV24</f>
        <v>0</v>
      </c>
      <c r="AS23" s="16">
        <f>FLUID!AW24</f>
        <v>0</v>
      </c>
      <c r="AT23" s="16">
        <f>FLUID!AX24</f>
        <v>0</v>
      </c>
      <c r="AU23" s="16">
        <f>FLUID!AY24</f>
        <v>0</v>
      </c>
      <c r="AV23" s="16">
        <f>FLUID!AZ24</f>
        <v>0</v>
      </c>
      <c r="AW23" s="16">
        <f>FLUID!BA24</f>
        <v>0</v>
      </c>
      <c r="AX23" s="16">
        <f>FLUID!BB24</f>
        <v>0</v>
      </c>
      <c r="AY23" s="16">
        <f>FLUID!BC24</f>
        <v>0</v>
      </c>
      <c r="AZ23" s="16">
        <f>FLUID!BD24</f>
        <v>0</v>
      </c>
      <c r="BA23" s="16">
        <f>FLUID!BE24</f>
        <v>0</v>
      </c>
      <c r="BB23" s="16">
        <f>FLUID!BF24</f>
        <v>0</v>
      </c>
      <c r="BC23" s="16">
        <f>FLUID!BG24</f>
        <v>0</v>
      </c>
      <c r="BD23" s="16">
        <f>FLUID!BH24</f>
        <v>0</v>
      </c>
      <c r="BE23" s="16">
        <f>FLUID!BI24</f>
        <v>0</v>
      </c>
      <c r="BF23" s="16">
        <f>FLUID!BJ24</f>
        <v>0</v>
      </c>
      <c r="BG23" s="16">
        <f>FLUID!BK24</f>
        <v>0</v>
      </c>
      <c r="BH23" s="16">
        <f>FLUID!BL24</f>
        <v>0</v>
      </c>
      <c r="BI23" s="16">
        <f>FLUID!BM24</f>
        <v>0</v>
      </c>
      <c r="BJ23" s="16">
        <f>FLUID!BN24</f>
        <v>0</v>
      </c>
      <c r="BK23" s="16">
        <f>FLUID!BO24</f>
        <v>0</v>
      </c>
      <c r="BL23" s="16">
        <f>FLUID!BP24</f>
        <v>0</v>
      </c>
      <c r="BM23" s="16">
        <f>FLUID!BQ24</f>
        <v>0</v>
      </c>
      <c r="BN23" s="16">
        <f>FLUID!BR24</f>
        <v>0</v>
      </c>
      <c r="BO23" s="16">
        <f>FLUID!BS24</f>
        <v>0</v>
      </c>
      <c r="BP23" s="16">
        <f>FLUID!BT24</f>
        <v>0</v>
      </c>
      <c r="BQ23" s="16">
        <f>FLUID!BU24</f>
        <v>0</v>
      </c>
      <c r="BR23" s="16">
        <f>FLUID!BV24</f>
        <v>0</v>
      </c>
      <c r="BS23" s="16">
        <f>FLUID!BW24</f>
        <v>0</v>
      </c>
      <c r="BT23" s="16">
        <f>FLUID!BX24</f>
        <v>0</v>
      </c>
    </row>
    <row r="24" spans="1:72" ht="22.5" hidden="1" customHeight="1" outlineLevel="1" thickBot="1" x14ac:dyDescent="0.4">
      <c r="A24" s="88">
        <f>FLUID!E25</f>
        <v>0</v>
      </c>
      <c r="B24" s="16">
        <f>FLUID!F25</f>
        <v>0</v>
      </c>
      <c r="C24" s="16">
        <f>FLUID!G25</f>
        <v>0</v>
      </c>
      <c r="D24" s="16">
        <f>FLUID!H25</f>
        <v>0</v>
      </c>
      <c r="E24" s="16">
        <f>FLUID!I25</f>
        <v>0</v>
      </c>
      <c r="F24" s="16">
        <f>FLUID!J25</f>
        <v>0</v>
      </c>
      <c r="G24" s="16">
        <f>FLUID!K25</f>
        <v>0</v>
      </c>
      <c r="H24" s="16">
        <f>FLUID!L25</f>
        <v>0</v>
      </c>
      <c r="I24" s="16">
        <f>FLUID!M25</f>
        <v>0</v>
      </c>
      <c r="J24" s="16">
        <f>FLUID!N25</f>
        <v>0</v>
      </c>
      <c r="K24" s="16">
        <f>FLUID!O25</f>
        <v>0</v>
      </c>
      <c r="L24" s="16">
        <f>FLUID!P25</f>
        <v>0</v>
      </c>
      <c r="M24" s="16">
        <f>FLUID!Q25</f>
        <v>0</v>
      </c>
      <c r="N24" s="16">
        <f>FLUID!R25</f>
        <v>0</v>
      </c>
      <c r="O24" s="16">
        <f>FLUID!S25</f>
        <v>0</v>
      </c>
      <c r="P24" s="16">
        <f>FLUID!T25</f>
        <v>0</v>
      </c>
      <c r="Q24" s="16">
        <f>FLUID!U25</f>
        <v>0</v>
      </c>
      <c r="R24" s="16">
        <f>FLUID!V25</f>
        <v>0</v>
      </c>
      <c r="S24" s="16">
        <f>FLUID!W25</f>
        <v>0</v>
      </c>
      <c r="T24" s="16">
        <f>FLUID!X25</f>
        <v>0</v>
      </c>
      <c r="U24" s="16">
        <f>FLUID!Y25</f>
        <v>0</v>
      </c>
      <c r="V24" s="16">
        <f>FLUID!Z25</f>
        <v>0</v>
      </c>
      <c r="W24" s="16">
        <f>FLUID!AA25</f>
        <v>0</v>
      </c>
      <c r="X24" s="16">
        <f>FLUID!AB25</f>
        <v>0</v>
      </c>
      <c r="Y24" s="16">
        <f>FLUID!AC25</f>
        <v>0</v>
      </c>
      <c r="Z24" s="16">
        <f>FLUID!AD25</f>
        <v>0</v>
      </c>
      <c r="AA24" s="16">
        <f>FLUID!AE25</f>
        <v>0</v>
      </c>
      <c r="AB24" s="16">
        <f>FLUID!AF25</f>
        <v>0</v>
      </c>
      <c r="AC24" s="16">
        <f>FLUID!AG25</f>
        <v>0</v>
      </c>
      <c r="AD24" s="16">
        <f>FLUID!AH25</f>
        <v>0</v>
      </c>
      <c r="AE24" s="16">
        <f>FLUID!AI25</f>
        <v>0</v>
      </c>
      <c r="AF24" s="16">
        <f>FLUID!AJ25</f>
        <v>0</v>
      </c>
      <c r="AG24" s="16">
        <f>FLUID!AK25</f>
        <v>0</v>
      </c>
      <c r="AH24" s="16">
        <f>FLUID!AL25</f>
        <v>0</v>
      </c>
      <c r="AI24" s="16">
        <f>FLUID!AM25</f>
        <v>0</v>
      </c>
      <c r="AJ24" s="16">
        <f>FLUID!AN25</f>
        <v>0</v>
      </c>
      <c r="AK24" s="16">
        <f>FLUID!AO25</f>
        <v>0</v>
      </c>
      <c r="AL24" s="16">
        <f>FLUID!AP25</f>
        <v>0</v>
      </c>
      <c r="AM24" s="16">
        <f>FLUID!AQ25</f>
        <v>0</v>
      </c>
      <c r="AN24" s="16">
        <f>FLUID!AR25</f>
        <v>0</v>
      </c>
      <c r="AO24" s="16">
        <f>FLUID!AS25</f>
        <v>0</v>
      </c>
      <c r="AP24" s="16">
        <f>FLUID!AT25</f>
        <v>0</v>
      </c>
      <c r="AQ24" s="16">
        <f>FLUID!AU25</f>
        <v>0</v>
      </c>
      <c r="AR24" s="16">
        <f>FLUID!AV25</f>
        <v>0</v>
      </c>
      <c r="AS24" s="16">
        <f>FLUID!AW25</f>
        <v>0</v>
      </c>
      <c r="AT24" s="16">
        <f>FLUID!AX25</f>
        <v>0</v>
      </c>
      <c r="AU24" s="16">
        <f>FLUID!AY25</f>
        <v>0</v>
      </c>
      <c r="AV24" s="16">
        <f>FLUID!AZ25</f>
        <v>0</v>
      </c>
      <c r="AW24" s="16">
        <f>FLUID!BA25</f>
        <v>0</v>
      </c>
      <c r="AX24" s="16">
        <f>FLUID!BB25</f>
        <v>0</v>
      </c>
      <c r="AY24" s="16">
        <f>FLUID!BC25</f>
        <v>0</v>
      </c>
      <c r="AZ24" s="16">
        <f>FLUID!BD25</f>
        <v>0</v>
      </c>
      <c r="BA24" s="16">
        <f>FLUID!BE25</f>
        <v>0</v>
      </c>
      <c r="BB24" s="16">
        <f>FLUID!BF25</f>
        <v>0</v>
      </c>
      <c r="BC24" s="16">
        <f>FLUID!BG25</f>
        <v>0</v>
      </c>
      <c r="BD24" s="16">
        <f>FLUID!BH25</f>
        <v>0</v>
      </c>
      <c r="BE24" s="16">
        <f>FLUID!BI25</f>
        <v>0</v>
      </c>
      <c r="BF24" s="16">
        <f>FLUID!BJ25</f>
        <v>0</v>
      </c>
      <c r="BG24" s="16">
        <f>FLUID!BK25</f>
        <v>0</v>
      </c>
      <c r="BH24" s="16">
        <f>FLUID!BL25</f>
        <v>0</v>
      </c>
      <c r="BI24" s="16">
        <f>FLUID!BM25</f>
        <v>0</v>
      </c>
      <c r="BJ24" s="16">
        <f>FLUID!BN25</f>
        <v>0</v>
      </c>
      <c r="BK24" s="16">
        <f>FLUID!BO25</f>
        <v>0</v>
      </c>
      <c r="BL24" s="16">
        <f>FLUID!BP25</f>
        <v>0</v>
      </c>
      <c r="BM24" s="16">
        <f>FLUID!BQ25</f>
        <v>0</v>
      </c>
      <c r="BN24" s="16">
        <f>FLUID!BR25</f>
        <v>0</v>
      </c>
      <c r="BO24" s="16">
        <f>FLUID!BS25</f>
        <v>0</v>
      </c>
      <c r="BP24" s="16">
        <f>FLUID!BT25</f>
        <v>0</v>
      </c>
      <c r="BQ24" s="16">
        <f>FLUID!BU25</f>
        <v>0</v>
      </c>
      <c r="BR24" s="16">
        <f>FLUID!BV25</f>
        <v>0</v>
      </c>
      <c r="BS24" s="16">
        <f>FLUID!BW25</f>
        <v>0</v>
      </c>
      <c r="BT24" s="16">
        <f>FLUID!BX25</f>
        <v>0</v>
      </c>
    </row>
    <row r="25" spans="1:72" ht="22.5" hidden="1" customHeight="1" outlineLevel="1" thickBot="1" x14ac:dyDescent="0.4">
      <c r="A25" s="88">
        <f>FLUID!E26</f>
        <v>0</v>
      </c>
      <c r="B25" s="16">
        <f>FLUID!F26</f>
        <v>0</v>
      </c>
      <c r="C25" s="16">
        <f>FLUID!G26</f>
        <v>0</v>
      </c>
      <c r="D25" s="16">
        <f>FLUID!H26</f>
        <v>0</v>
      </c>
      <c r="E25" s="16">
        <f>FLUID!I26</f>
        <v>0</v>
      </c>
      <c r="F25" s="16">
        <f>FLUID!J26</f>
        <v>0</v>
      </c>
      <c r="G25" s="16">
        <f>FLUID!K26</f>
        <v>0</v>
      </c>
      <c r="H25" s="16">
        <f>FLUID!L26</f>
        <v>0</v>
      </c>
      <c r="I25" s="16">
        <f>FLUID!M26</f>
        <v>0</v>
      </c>
      <c r="J25" s="16">
        <f>FLUID!N26</f>
        <v>0</v>
      </c>
      <c r="K25" s="16">
        <f>FLUID!O26</f>
        <v>0</v>
      </c>
      <c r="L25" s="16">
        <f>FLUID!P26</f>
        <v>0</v>
      </c>
      <c r="M25" s="16">
        <f>FLUID!Q26</f>
        <v>0</v>
      </c>
      <c r="N25" s="16">
        <f>FLUID!R26</f>
        <v>0</v>
      </c>
      <c r="O25" s="16">
        <f>FLUID!S26</f>
        <v>0</v>
      </c>
      <c r="P25" s="16">
        <f>FLUID!T26</f>
        <v>0</v>
      </c>
      <c r="Q25" s="16">
        <f>FLUID!U26</f>
        <v>0</v>
      </c>
      <c r="R25" s="16">
        <f>FLUID!V26</f>
        <v>0</v>
      </c>
      <c r="S25" s="16">
        <f>FLUID!W26</f>
        <v>0</v>
      </c>
      <c r="T25" s="16">
        <f>FLUID!X26</f>
        <v>0</v>
      </c>
      <c r="U25" s="16">
        <f>FLUID!Y26</f>
        <v>0</v>
      </c>
      <c r="V25" s="16">
        <f>FLUID!Z26</f>
        <v>0</v>
      </c>
      <c r="W25" s="16">
        <f>FLUID!AA26</f>
        <v>0</v>
      </c>
      <c r="X25" s="16">
        <f>FLUID!AB26</f>
        <v>0</v>
      </c>
      <c r="Y25" s="16">
        <f>FLUID!AC26</f>
        <v>0</v>
      </c>
      <c r="Z25" s="16">
        <f>FLUID!AD26</f>
        <v>0</v>
      </c>
      <c r="AA25" s="16">
        <f>FLUID!AE26</f>
        <v>0</v>
      </c>
      <c r="AB25" s="16">
        <f>FLUID!AF26</f>
        <v>0</v>
      </c>
      <c r="AC25" s="16">
        <f>FLUID!AG26</f>
        <v>0</v>
      </c>
      <c r="AD25" s="16">
        <f>FLUID!AH26</f>
        <v>0</v>
      </c>
      <c r="AE25" s="16">
        <f>FLUID!AI26</f>
        <v>0</v>
      </c>
      <c r="AF25" s="16">
        <f>FLUID!AJ26</f>
        <v>0</v>
      </c>
      <c r="AG25" s="16">
        <f>FLUID!AK26</f>
        <v>0</v>
      </c>
      <c r="AH25" s="16">
        <f>FLUID!AL26</f>
        <v>0</v>
      </c>
      <c r="AI25" s="16">
        <f>FLUID!AM26</f>
        <v>0</v>
      </c>
      <c r="AJ25" s="16">
        <f>FLUID!AN26</f>
        <v>0</v>
      </c>
      <c r="AK25" s="16">
        <f>FLUID!AO26</f>
        <v>0</v>
      </c>
      <c r="AL25" s="16">
        <f>FLUID!AP26</f>
        <v>0</v>
      </c>
      <c r="AM25" s="16">
        <f>FLUID!AQ26</f>
        <v>0</v>
      </c>
      <c r="AN25" s="16">
        <f>FLUID!AR26</f>
        <v>0</v>
      </c>
      <c r="AO25" s="16">
        <f>FLUID!AS26</f>
        <v>0</v>
      </c>
      <c r="AP25" s="16">
        <f>FLUID!AT26</f>
        <v>0</v>
      </c>
      <c r="AQ25" s="16">
        <f>FLUID!AU26</f>
        <v>0</v>
      </c>
      <c r="AR25" s="16">
        <f>FLUID!AV26</f>
        <v>0</v>
      </c>
      <c r="AS25" s="16">
        <f>FLUID!AW26</f>
        <v>0</v>
      </c>
      <c r="AT25" s="16">
        <f>FLUID!AX26</f>
        <v>0</v>
      </c>
      <c r="AU25" s="16">
        <f>FLUID!AY26</f>
        <v>0</v>
      </c>
      <c r="AV25" s="16">
        <f>FLUID!AZ26</f>
        <v>0</v>
      </c>
      <c r="AW25" s="16">
        <f>FLUID!BA26</f>
        <v>0</v>
      </c>
      <c r="AX25" s="16">
        <f>FLUID!BB26</f>
        <v>0</v>
      </c>
      <c r="AY25" s="16">
        <f>FLUID!BC26</f>
        <v>0</v>
      </c>
      <c r="AZ25" s="16">
        <f>FLUID!BD26</f>
        <v>0</v>
      </c>
      <c r="BA25" s="16">
        <f>FLUID!BE26</f>
        <v>0</v>
      </c>
      <c r="BB25" s="16">
        <f>FLUID!BF26</f>
        <v>0</v>
      </c>
      <c r="BC25" s="16">
        <f>FLUID!BG26</f>
        <v>0</v>
      </c>
      <c r="BD25" s="16">
        <f>FLUID!BH26</f>
        <v>0</v>
      </c>
      <c r="BE25" s="16">
        <f>FLUID!BI26</f>
        <v>0</v>
      </c>
      <c r="BF25" s="16">
        <f>FLUID!BJ26</f>
        <v>0</v>
      </c>
      <c r="BG25" s="16">
        <f>FLUID!BK26</f>
        <v>0</v>
      </c>
      <c r="BH25" s="16">
        <f>FLUID!BL26</f>
        <v>0</v>
      </c>
      <c r="BI25" s="16">
        <f>FLUID!BM26</f>
        <v>0</v>
      </c>
      <c r="BJ25" s="16">
        <f>FLUID!BN26</f>
        <v>0</v>
      </c>
      <c r="BK25" s="16">
        <f>FLUID!BO26</f>
        <v>0</v>
      </c>
      <c r="BL25" s="16">
        <f>FLUID!BP26</f>
        <v>0</v>
      </c>
      <c r="BM25" s="16">
        <f>FLUID!BQ26</f>
        <v>0</v>
      </c>
      <c r="BN25" s="16">
        <f>FLUID!BR26</f>
        <v>0</v>
      </c>
      <c r="BO25" s="16">
        <f>FLUID!BS26</f>
        <v>0</v>
      </c>
      <c r="BP25" s="16">
        <f>FLUID!BT26</f>
        <v>0</v>
      </c>
      <c r="BQ25" s="16">
        <f>FLUID!BU26</f>
        <v>0</v>
      </c>
      <c r="BR25" s="16">
        <f>FLUID!BV26</f>
        <v>0</v>
      </c>
      <c r="BS25" s="16">
        <f>FLUID!BW26</f>
        <v>0</v>
      </c>
      <c r="BT25" s="16">
        <f>FLUID!BX26</f>
        <v>0</v>
      </c>
    </row>
    <row r="26" spans="1:72" ht="22.5" hidden="1" customHeight="1" outlineLevel="1" thickBot="1" x14ac:dyDescent="0.4">
      <c r="A26" s="88">
        <f>FLUID!E27</f>
        <v>0</v>
      </c>
      <c r="B26" s="16">
        <f>FLUID!F27</f>
        <v>0</v>
      </c>
      <c r="C26" s="16">
        <f>FLUID!G27</f>
        <v>0</v>
      </c>
      <c r="D26" s="16">
        <f>FLUID!H27</f>
        <v>0</v>
      </c>
      <c r="E26" s="16">
        <f>FLUID!I27</f>
        <v>0</v>
      </c>
      <c r="F26" s="16">
        <f>FLUID!J27</f>
        <v>0</v>
      </c>
      <c r="G26" s="16">
        <f>FLUID!K27</f>
        <v>0</v>
      </c>
      <c r="H26" s="16">
        <f>FLUID!L27</f>
        <v>0</v>
      </c>
      <c r="I26" s="16">
        <f>FLUID!M27</f>
        <v>0</v>
      </c>
      <c r="J26" s="16">
        <f>FLUID!N27</f>
        <v>0</v>
      </c>
      <c r="K26" s="16">
        <f>FLUID!O27</f>
        <v>0</v>
      </c>
      <c r="L26" s="16">
        <f>FLUID!P27</f>
        <v>0</v>
      </c>
      <c r="M26" s="16">
        <f>FLUID!Q27</f>
        <v>0</v>
      </c>
      <c r="N26" s="16">
        <f>FLUID!R27</f>
        <v>0</v>
      </c>
      <c r="O26" s="16">
        <f>FLUID!S27</f>
        <v>0</v>
      </c>
      <c r="P26" s="16">
        <f>FLUID!T27</f>
        <v>0</v>
      </c>
      <c r="Q26" s="16">
        <f>FLUID!U27</f>
        <v>0</v>
      </c>
      <c r="R26" s="16">
        <f>FLUID!V27</f>
        <v>0</v>
      </c>
      <c r="S26" s="16">
        <f>FLUID!W27</f>
        <v>0</v>
      </c>
      <c r="T26" s="16">
        <f>FLUID!X27</f>
        <v>0</v>
      </c>
      <c r="U26" s="16">
        <f>FLUID!Y27</f>
        <v>0</v>
      </c>
      <c r="V26" s="16">
        <f>FLUID!Z27</f>
        <v>0</v>
      </c>
      <c r="W26" s="16">
        <f>FLUID!AA27</f>
        <v>0</v>
      </c>
      <c r="X26" s="16">
        <f>FLUID!AB27</f>
        <v>0</v>
      </c>
      <c r="Y26" s="16">
        <f>FLUID!AC27</f>
        <v>0</v>
      </c>
      <c r="Z26" s="16">
        <f>FLUID!AD27</f>
        <v>0</v>
      </c>
      <c r="AA26" s="16">
        <f>FLUID!AE27</f>
        <v>0</v>
      </c>
      <c r="AB26" s="16">
        <f>FLUID!AF27</f>
        <v>0</v>
      </c>
      <c r="AC26" s="16">
        <f>FLUID!AG27</f>
        <v>0</v>
      </c>
      <c r="AD26" s="16">
        <f>FLUID!AH27</f>
        <v>0</v>
      </c>
      <c r="AE26" s="16">
        <f>FLUID!AI27</f>
        <v>0</v>
      </c>
      <c r="AF26" s="16">
        <f>FLUID!AJ27</f>
        <v>0</v>
      </c>
      <c r="AG26" s="16">
        <f>FLUID!AK27</f>
        <v>0</v>
      </c>
      <c r="AH26" s="16">
        <f>FLUID!AL27</f>
        <v>0</v>
      </c>
      <c r="AI26" s="16">
        <f>FLUID!AM27</f>
        <v>0</v>
      </c>
      <c r="AJ26" s="16">
        <f>FLUID!AN27</f>
        <v>0</v>
      </c>
      <c r="AK26" s="16">
        <f>FLUID!AO27</f>
        <v>0</v>
      </c>
      <c r="AL26" s="16">
        <f>FLUID!AP27</f>
        <v>0</v>
      </c>
      <c r="AM26" s="16">
        <f>FLUID!AQ27</f>
        <v>0</v>
      </c>
      <c r="AN26" s="16">
        <f>FLUID!AR27</f>
        <v>0</v>
      </c>
      <c r="AO26" s="16">
        <f>FLUID!AS27</f>
        <v>0</v>
      </c>
      <c r="AP26" s="16">
        <f>FLUID!AT27</f>
        <v>0</v>
      </c>
      <c r="AQ26" s="16">
        <f>FLUID!AU27</f>
        <v>0</v>
      </c>
      <c r="AR26" s="16">
        <f>FLUID!AV27</f>
        <v>0</v>
      </c>
      <c r="AS26" s="16">
        <f>FLUID!AW27</f>
        <v>0</v>
      </c>
      <c r="AT26" s="16">
        <f>FLUID!AX27</f>
        <v>0</v>
      </c>
      <c r="AU26" s="16">
        <f>FLUID!AY27</f>
        <v>0</v>
      </c>
      <c r="AV26" s="16">
        <f>FLUID!AZ27</f>
        <v>0</v>
      </c>
      <c r="AW26" s="16">
        <f>FLUID!BA27</f>
        <v>0</v>
      </c>
      <c r="AX26" s="16">
        <f>FLUID!BB27</f>
        <v>0</v>
      </c>
      <c r="AY26" s="16">
        <f>FLUID!BC27</f>
        <v>0</v>
      </c>
      <c r="AZ26" s="16">
        <f>FLUID!BD27</f>
        <v>0</v>
      </c>
      <c r="BA26" s="16">
        <f>FLUID!BE27</f>
        <v>0</v>
      </c>
      <c r="BB26" s="16">
        <f>FLUID!BF27</f>
        <v>0</v>
      </c>
      <c r="BC26" s="16">
        <f>FLUID!BG27</f>
        <v>0</v>
      </c>
      <c r="BD26" s="16">
        <f>FLUID!BH27</f>
        <v>0</v>
      </c>
      <c r="BE26" s="16">
        <f>FLUID!BI27</f>
        <v>0</v>
      </c>
      <c r="BF26" s="16">
        <f>FLUID!BJ27</f>
        <v>0</v>
      </c>
      <c r="BG26" s="16">
        <f>FLUID!BK27</f>
        <v>0</v>
      </c>
      <c r="BH26" s="16">
        <f>FLUID!BL27</f>
        <v>0</v>
      </c>
      <c r="BI26" s="16">
        <f>FLUID!BM27</f>
        <v>0</v>
      </c>
      <c r="BJ26" s="16">
        <f>FLUID!BN27</f>
        <v>0</v>
      </c>
      <c r="BK26" s="16">
        <f>FLUID!BO27</f>
        <v>0</v>
      </c>
      <c r="BL26" s="16">
        <f>FLUID!BP27</f>
        <v>0</v>
      </c>
      <c r="BM26" s="16">
        <f>FLUID!BQ27</f>
        <v>0</v>
      </c>
      <c r="BN26" s="16">
        <f>FLUID!BR27</f>
        <v>0</v>
      </c>
      <c r="BO26" s="16">
        <f>FLUID!BS27</f>
        <v>0</v>
      </c>
      <c r="BP26" s="16">
        <f>FLUID!BT27</f>
        <v>0</v>
      </c>
      <c r="BQ26" s="16">
        <f>FLUID!BU27</f>
        <v>0</v>
      </c>
      <c r="BR26" s="16">
        <f>FLUID!BV27</f>
        <v>0</v>
      </c>
      <c r="BS26" s="16">
        <f>FLUID!BW27</f>
        <v>0</v>
      </c>
      <c r="BT26" s="16">
        <f>FLUID!BX27</f>
        <v>0</v>
      </c>
    </row>
    <row r="27" spans="1:72" ht="22.5" hidden="1" customHeight="1" outlineLevel="1" thickBot="1" x14ac:dyDescent="0.4">
      <c r="A27" s="88">
        <f>FLUID!E28</f>
        <v>0</v>
      </c>
      <c r="B27" s="16">
        <f>FLUID!F28</f>
        <v>0</v>
      </c>
      <c r="C27" s="16">
        <f>FLUID!G28</f>
        <v>0</v>
      </c>
      <c r="D27" s="16">
        <f>FLUID!H28</f>
        <v>0</v>
      </c>
      <c r="E27" s="16">
        <f>FLUID!I28</f>
        <v>0</v>
      </c>
      <c r="F27" s="16">
        <f>FLUID!J28</f>
        <v>0</v>
      </c>
      <c r="G27" s="16">
        <f>FLUID!K28</f>
        <v>0</v>
      </c>
      <c r="H27" s="16">
        <f>FLUID!L28</f>
        <v>0</v>
      </c>
      <c r="I27" s="16">
        <f>FLUID!M28</f>
        <v>0</v>
      </c>
      <c r="J27" s="16">
        <f>FLUID!N28</f>
        <v>0</v>
      </c>
      <c r="K27" s="16">
        <f>FLUID!O28</f>
        <v>0</v>
      </c>
      <c r="L27" s="16">
        <f>FLUID!P28</f>
        <v>0</v>
      </c>
      <c r="M27" s="16">
        <f>FLUID!Q28</f>
        <v>0</v>
      </c>
      <c r="N27" s="16">
        <f>FLUID!R28</f>
        <v>0</v>
      </c>
      <c r="O27" s="16">
        <f>FLUID!S28</f>
        <v>0</v>
      </c>
      <c r="P27" s="16">
        <f>FLUID!T28</f>
        <v>0</v>
      </c>
      <c r="Q27" s="16">
        <f>FLUID!U28</f>
        <v>0</v>
      </c>
      <c r="R27" s="16">
        <f>FLUID!V28</f>
        <v>0</v>
      </c>
      <c r="S27" s="16">
        <f>FLUID!W28</f>
        <v>0</v>
      </c>
      <c r="T27" s="16">
        <f>FLUID!X28</f>
        <v>0</v>
      </c>
      <c r="U27" s="16">
        <f>FLUID!Y28</f>
        <v>0</v>
      </c>
      <c r="V27" s="16">
        <f>FLUID!Z28</f>
        <v>0</v>
      </c>
      <c r="W27" s="16">
        <f>FLUID!AA28</f>
        <v>0</v>
      </c>
      <c r="X27" s="16">
        <f>FLUID!AB28</f>
        <v>0</v>
      </c>
      <c r="Y27" s="16">
        <f>FLUID!AC28</f>
        <v>0</v>
      </c>
      <c r="Z27" s="16">
        <f>FLUID!AD28</f>
        <v>0</v>
      </c>
      <c r="AA27" s="16">
        <f>FLUID!AE28</f>
        <v>0</v>
      </c>
      <c r="AB27" s="16">
        <f>FLUID!AF28</f>
        <v>0</v>
      </c>
      <c r="AC27" s="16">
        <f>FLUID!AG28</f>
        <v>0</v>
      </c>
      <c r="AD27" s="16">
        <f>FLUID!AH28</f>
        <v>0</v>
      </c>
      <c r="AE27" s="16">
        <f>FLUID!AI28</f>
        <v>0</v>
      </c>
      <c r="AF27" s="16">
        <f>FLUID!AJ28</f>
        <v>0</v>
      </c>
      <c r="AG27" s="16">
        <f>FLUID!AK28</f>
        <v>0</v>
      </c>
      <c r="AH27" s="16">
        <f>FLUID!AL28</f>
        <v>0</v>
      </c>
      <c r="AI27" s="16">
        <f>FLUID!AM28</f>
        <v>0</v>
      </c>
      <c r="AJ27" s="16">
        <f>FLUID!AN28</f>
        <v>0</v>
      </c>
      <c r="AK27" s="16">
        <f>FLUID!AO28</f>
        <v>0</v>
      </c>
      <c r="AL27" s="16">
        <f>FLUID!AP28</f>
        <v>0</v>
      </c>
      <c r="AM27" s="16">
        <f>FLUID!AQ28</f>
        <v>0</v>
      </c>
      <c r="AN27" s="16">
        <f>FLUID!AR28</f>
        <v>0</v>
      </c>
      <c r="AO27" s="16">
        <f>FLUID!AS28</f>
        <v>0</v>
      </c>
      <c r="AP27" s="16">
        <f>FLUID!AT28</f>
        <v>0</v>
      </c>
      <c r="AQ27" s="16">
        <f>FLUID!AU28</f>
        <v>0</v>
      </c>
      <c r="AR27" s="16">
        <f>FLUID!AV28</f>
        <v>0</v>
      </c>
      <c r="AS27" s="16">
        <f>FLUID!AW28</f>
        <v>0</v>
      </c>
      <c r="AT27" s="16">
        <f>FLUID!AX28</f>
        <v>0</v>
      </c>
      <c r="AU27" s="16">
        <f>FLUID!AY28</f>
        <v>0</v>
      </c>
      <c r="AV27" s="16">
        <f>FLUID!AZ28</f>
        <v>0</v>
      </c>
      <c r="AW27" s="16">
        <f>FLUID!BA28</f>
        <v>0</v>
      </c>
      <c r="AX27" s="16">
        <f>FLUID!BB28</f>
        <v>0</v>
      </c>
      <c r="AY27" s="16">
        <f>FLUID!BC28</f>
        <v>0</v>
      </c>
      <c r="AZ27" s="16">
        <f>FLUID!BD28</f>
        <v>0</v>
      </c>
      <c r="BA27" s="16">
        <f>FLUID!BE28</f>
        <v>0</v>
      </c>
      <c r="BB27" s="16">
        <f>FLUID!BF28</f>
        <v>0</v>
      </c>
      <c r="BC27" s="16">
        <f>FLUID!BG28</f>
        <v>0</v>
      </c>
      <c r="BD27" s="16">
        <f>FLUID!BH28</f>
        <v>0</v>
      </c>
      <c r="BE27" s="16">
        <f>FLUID!BI28</f>
        <v>0</v>
      </c>
      <c r="BF27" s="16">
        <f>FLUID!BJ28</f>
        <v>0</v>
      </c>
      <c r="BG27" s="16">
        <f>FLUID!BK28</f>
        <v>0</v>
      </c>
      <c r="BH27" s="16">
        <f>FLUID!BL28</f>
        <v>0</v>
      </c>
      <c r="BI27" s="16">
        <f>FLUID!BM28</f>
        <v>0</v>
      </c>
      <c r="BJ27" s="16">
        <f>FLUID!BN28</f>
        <v>0</v>
      </c>
      <c r="BK27" s="16">
        <f>FLUID!BO28</f>
        <v>0</v>
      </c>
      <c r="BL27" s="16">
        <f>FLUID!BP28</f>
        <v>0</v>
      </c>
      <c r="BM27" s="16">
        <f>FLUID!BQ28</f>
        <v>0</v>
      </c>
      <c r="BN27" s="16">
        <f>FLUID!BR28</f>
        <v>0</v>
      </c>
      <c r="BO27" s="16">
        <f>FLUID!BS28</f>
        <v>0</v>
      </c>
      <c r="BP27" s="16">
        <f>FLUID!BT28</f>
        <v>0</v>
      </c>
      <c r="BQ27" s="16">
        <f>FLUID!BU28</f>
        <v>0</v>
      </c>
      <c r="BR27" s="16">
        <f>FLUID!BV28</f>
        <v>0</v>
      </c>
      <c r="BS27" s="16">
        <f>FLUID!BW28</f>
        <v>0</v>
      </c>
      <c r="BT27" s="16">
        <f>FLUID!BX28</f>
        <v>0</v>
      </c>
    </row>
    <row r="28" spans="1:72" ht="22.5" hidden="1" customHeight="1" outlineLevel="1" thickBot="1" x14ac:dyDescent="0.4">
      <c r="A28" s="88">
        <f>FLUID!E29</f>
        <v>0</v>
      </c>
      <c r="B28" s="16">
        <f>FLUID!F29</f>
        <v>0</v>
      </c>
      <c r="C28" s="16">
        <f>FLUID!G29</f>
        <v>0</v>
      </c>
      <c r="D28" s="16">
        <f>FLUID!H29</f>
        <v>0</v>
      </c>
      <c r="E28" s="16">
        <f>FLUID!I29</f>
        <v>0</v>
      </c>
      <c r="F28" s="16">
        <f>FLUID!J29</f>
        <v>0</v>
      </c>
      <c r="G28" s="16">
        <f>FLUID!K29</f>
        <v>0</v>
      </c>
      <c r="H28" s="16">
        <f>FLUID!L29</f>
        <v>0</v>
      </c>
      <c r="I28" s="16">
        <f>FLUID!M29</f>
        <v>0</v>
      </c>
      <c r="J28" s="16">
        <f>FLUID!N29</f>
        <v>0</v>
      </c>
      <c r="K28" s="16">
        <f>FLUID!O29</f>
        <v>0</v>
      </c>
      <c r="L28" s="16">
        <f>FLUID!P29</f>
        <v>0</v>
      </c>
      <c r="M28" s="16">
        <f>FLUID!Q29</f>
        <v>0</v>
      </c>
      <c r="N28" s="16">
        <f>FLUID!R29</f>
        <v>0</v>
      </c>
      <c r="O28" s="16">
        <f>FLUID!S29</f>
        <v>0</v>
      </c>
      <c r="P28" s="16">
        <f>FLUID!T29</f>
        <v>0</v>
      </c>
      <c r="Q28" s="16">
        <f>FLUID!U29</f>
        <v>0</v>
      </c>
      <c r="R28" s="16">
        <f>FLUID!V29</f>
        <v>0</v>
      </c>
      <c r="S28" s="16">
        <f>FLUID!W29</f>
        <v>0</v>
      </c>
      <c r="T28" s="16">
        <f>FLUID!X29</f>
        <v>0</v>
      </c>
      <c r="U28" s="16">
        <f>FLUID!Y29</f>
        <v>0</v>
      </c>
      <c r="V28" s="16">
        <f>FLUID!Z29</f>
        <v>0</v>
      </c>
      <c r="W28" s="16">
        <f>FLUID!AA29</f>
        <v>0</v>
      </c>
      <c r="X28" s="16">
        <f>FLUID!AB29</f>
        <v>0</v>
      </c>
      <c r="Y28" s="16">
        <f>FLUID!AC29</f>
        <v>0</v>
      </c>
      <c r="Z28" s="16">
        <f>FLUID!AD29</f>
        <v>0</v>
      </c>
      <c r="AA28" s="16">
        <f>FLUID!AE29</f>
        <v>0</v>
      </c>
      <c r="AB28" s="16">
        <f>FLUID!AF29</f>
        <v>0</v>
      </c>
      <c r="AC28" s="16">
        <f>FLUID!AG29</f>
        <v>0</v>
      </c>
      <c r="AD28" s="16">
        <f>FLUID!AH29</f>
        <v>0</v>
      </c>
      <c r="AE28" s="16">
        <f>FLUID!AI29</f>
        <v>0</v>
      </c>
      <c r="AF28" s="16">
        <f>FLUID!AJ29</f>
        <v>0</v>
      </c>
      <c r="AG28" s="16">
        <f>FLUID!AK29</f>
        <v>0</v>
      </c>
      <c r="AH28" s="16">
        <f>FLUID!AL29</f>
        <v>0</v>
      </c>
      <c r="AI28" s="16">
        <f>FLUID!AM29</f>
        <v>0</v>
      </c>
      <c r="AJ28" s="16">
        <f>FLUID!AN29</f>
        <v>0</v>
      </c>
      <c r="AK28" s="16">
        <f>FLUID!AO29</f>
        <v>0</v>
      </c>
      <c r="AL28" s="16">
        <f>FLUID!AP29</f>
        <v>0</v>
      </c>
      <c r="AM28" s="16">
        <f>FLUID!AQ29</f>
        <v>0</v>
      </c>
      <c r="AN28" s="16">
        <f>FLUID!AR29</f>
        <v>0</v>
      </c>
      <c r="AO28" s="16">
        <f>FLUID!AS29</f>
        <v>0</v>
      </c>
      <c r="AP28" s="16">
        <f>FLUID!AT29</f>
        <v>0</v>
      </c>
      <c r="AQ28" s="16">
        <f>FLUID!AU29</f>
        <v>0</v>
      </c>
      <c r="AR28" s="16">
        <f>FLUID!AV29</f>
        <v>0</v>
      </c>
      <c r="AS28" s="16">
        <f>FLUID!AW29</f>
        <v>0</v>
      </c>
      <c r="AT28" s="16">
        <f>FLUID!AX29</f>
        <v>0</v>
      </c>
      <c r="AU28" s="16">
        <f>FLUID!AY29</f>
        <v>0</v>
      </c>
      <c r="AV28" s="16">
        <f>FLUID!AZ29</f>
        <v>0</v>
      </c>
      <c r="AW28" s="16">
        <f>FLUID!BA29</f>
        <v>0</v>
      </c>
      <c r="AX28" s="16">
        <f>FLUID!BB29</f>
        <v>0</v>
      </c>
      <c r="AY28" s="16">
        <f>FLUID!BC29</f>
        <v>0</v>
      </c>
      <c r="AZ28" s="16">
        <f>FLUID!BD29</f>
        <v>0</v>
      </c>
      <c r="BA28" s="16">
        <f>FLUID!BE29</f>
        <v>0</v>
      </c>
      <c r="BB28" s="16">
        <f>FLUID!BF29</f>
        <v>0</v>
      </c>
      <c r="BC28" s="16">
        <f>FLUID!BG29</f>
        <v>0</v>
      </c>
      <c r="BD28" s="16">
        <f>FLUID!BH29</f>
        <v>0</v>
      </c>
      <c r="BE28" s="16">
        <f>FLUID!BI29</f>
        <v>0</v>
      </c>
      <c r="BF28" s="16">
        <f>FLUID!BJ29</f>
        <v>0</v>
      </c>
      <c r="BG28" s="16">
        <f>FLUID!BK29</f>
        <v>0</v>
      </c>
      <c r="BH28" s="16">
        <f>FLUID!BL29</f>
        <v>0</v>
      </c>
      <c r="BI28" s="16">
        <f>FLUID!BM29</f>
        <v>0</v>
      </c>
      <c r="BJ28" s="16">
        <f>FLUID!BN29</f>
        <v>0</v>
      </c>
      <c r="BK28" s="16">
        <f>FLUID!BO29</f>
        <v>0</v>
      </c>
      <c r="BL28" s="16">
        <f>FLUID!BP29</f>
        <v>0</v>
      </c>
      <c r="BM28" s="16">
        <f>FLUID!BQ29</f>
        <v>0</v>
      </c>
      <c r="BN28" s="16">
        <f>FLUID!BR29</f>
        <v>0</v>
      </c>
      <c r="BO28" s="16">
        <f>FLUID!BS29</f>
        <v>0</v>
      </c>
      <c r="BP28" s="16">
        <f>FLUID!BT29</f>
        <v>0</v>
      </c>
      <c r="BQ28" s="16">
        <f>FLUID!BU29</f>
        <v>0</v>
      </c>
      <c r="BR28" s="16">
        <f>FLUID!BV29</f>
        <v>0</v>
      </c>
      <c r="BS28" s="16">
        <f>FLUID!BW29</f>
        <v>0</v>
      </c>
      <c r="BT28" s="16">
        <f>FLUID!BX29</f>
        <v>0</v>
      </c>
    </row>
    <row r="29" spans="1:72" ht="22.5" hidden="1" customHeight="1" outlineLevel="1" thickBot="1" x14ac:dyDescent="0.4">
      <c r="A29" s="88">
        <f>FLUID!E30</f>
        <v>0</v>
      </c>
      <c r="B29" s="16">
        <f>FLUID!F30</f>
        <v>0</v>
      </c>
      <c r="C29" s="16">
        <f>FLUID!G30</f>
        <v>0</v>
      </c>
      <c r="D29" s="16">
        <f>FLUID!H30</f>
        <v>0</v>
      </c>
      <c r="E29" s="16">
        <f>FLUID!I30</f>
        <v>0</v>
      </c>
      <c r="F29" s="16">
        <f>FLUID!J30</f>
        <v>0</v>
      </c>
      <c r="G29" s="16">
        <f>FLUID!K30</f>
        <v>0</v>
      </c>
      <c r="H29" s="16">
        <f>FLUID!L30</f>
        <v>0</v>
      </c>
      <c r="I29" s="16">
        <f>FLUID!M30</f>
        <v>0</v>
      </c>
      <c r="J29" s="16">
        <f>FLUID!N30</f>
        <v>0</v>
      </c>
      <c r="K29" s="16">
        <f>FLUID!O30</f>
        <v>0</v>
      </c>
      <c r="L29" s="16">
        <f>FLUID!P30</f>
        <v>0</v>
      </c>
      <c r="M29" s="16">
        <f>FLUID!Q30</f>
        <v>0</v>
      </c>
      <c r="N29" s="16">
        <f>FLUID!R30</f>
        <v>0</v>
      </c>
      <c r="O29" s="16">
        <f>FLUID!S30</f>
        <v>0</v>
      </c>
      <c r="P29" s="16">
        <f>FLUID!T30</f>
        <v>0</v>
      </c>
      <c r="Q29" s="16">
        <f>FLUID!U30</f>
        <v>0</v>
      </c>
      <c r="R29" s="16">
        <f>FLUID!V30</f>
        <v>0</v>
      </c>
      <c r="S29" s="16">
        <f>FLUID!W30</f>
        <v>0</v>
      </c>
      <c r="T29" s="16">
        <f>FLUID!X30</f>
        <v>0</v>
      </c>
      <c r="U29" s="16">
        <f>FLUID!Y30</f>
        <v>0</v>
      </c>
      <c r="V29" s="16">
        <f>FLUID!Z30</f>
        <v>0</v>
      </c>
      <c r="W29" s="16">
        <f>FLUID!AA30</f>
        <v>0</v>
      </c>
      <c r="X29" s="16">
        <f>FLUID!AB30</f>
        <v>0</v>
      </c>
      <c r="Y29" s="16">
        <f>FLUID!AC30</f>
        <v>0</v>
      </c>
      <c r="Z29" s="16">
        <f>FLUID!AD30</f>
        <v>0</v>
      </c>
      <c r="AA29" s="16">
        <f>FLUID!AE30</f>
        <v>0</v>
      </c>
      <c r="AB29" s="16">
        <f>FLUID!AF30</f>
        <v>0</v>
      </c>
      <c r="AC29" s="16">
        <f>FLUID!AG30</f>
        <v>0</v>
      </c>
      <c r="AD29" s="16">
        <f>FLUID!AH30</f>
        <v>0</v>
      </c>
      <c r="AE29" s="16">
        <f>FLUID!AI30</f>
        <v>0</v>
      </c>
      <c r="AF29" s="16">
        <f>FLUID!AJ30</f>
        <v>0</v>
      </c>
      <c r="AG29" s="16">
        <f>FLUID!AK30</f>
        <v>0</v>
      </c>
      <c r="AH29" s="16">
        <f>FLUID!AL30</f>
        <v>0</v>
      </c>
      <c r="AI29" s="16">
        <f>FLUID!AM30</f>
        <v>0</v>
      </c>
      <c r="AJ29" s="16">
        <f>FLUID!AN30</f>
        <v>0</v>
      </c>
      <c r="AK29" s="16">
        <f>FLUID!AO30</f>
        <v>0</v>
      </c>
      <c r="AL29" s="16">
        <f>FLUID!AP30</f>
        <v>0</v>
      </c>
      <c r="AM29" s="16">
        <f>FLUID!AQ30</f>
        <v>0</v>
      </c>
      <c r="AN29" s="16">
        <f>FLUID!AR30</f>
        <v>0</v>
      </c>
      <c r="AO29" s="16">
        <f>FLUID!AS30</f>
        <v>0</v>
      </c>
      <c r="AP29" s="16">
        <f>FLUID!AT30</f>
        <v>0</v>
      </c>
      <c r="AQ29" s="16">
        <f>FLUID!AU30</f>
        <v>0</v>
      </c>
      <c r="AR29" s="16">
        <f>FLUID!AV30</f>
        <v>0</v>
      </c>
      <c r="AS29" s="16">
        <f>FLUID!AW30</f>
        <v>0</v>
      </c>
      <c r="AT29" s="16">
        <f>FLUID!AX30</f>
        <v>0</v>
      </c>
      <c r="AU29" s="16">
        <f>FLUID!AY30</f>
        <v>0</v>
      </c>
      <c r="AV29" s="16">
        <f>FLUID!AZ30</f>
        <v>0</v>
      </c>
      <c r="AW29" s="16">
        <f>FLUID!BA30</f>
        <v>0</v>
      </c>
      <c r="AX29" s="16">
        <f>FLUID!BB30</f>
        <v>0</v>
      </c>
      <c r="AY29" s="16">
        <f>FLUID!BC30</f>
        <v>0</v>
      </c>
      <c r="AZ29" s="16">
        <f>FLUID!BD30</f>
        <v>0</v>
      </c>
      <c r="BA29" s="16">
        <f>FLUID!BE30</f>
        <v>0</v>
      </c>
      <c r="BB29" s="16">
        <f>FLUID!BF30</f>
        <v>0</v>
      </c>
      <c r="BC29" s="16">
        <f>FLUID!BG30</f>
        <v>0</v>
      </c>
      <c r="BD29" s="16">
        <f>FLUID!BH30</f>
        <v>0</v>
      </c>
      <c r="BE29" s="16">
        <f>FLUID!BI30</f>
        <v>0</v>
      </c>
      <c r="BF29" s="16">
        <f>FLUID!BJ30</f>
        <v>0</v>
      </c>
      <c r="BG29" s="16">
        <f>FLUID!BK30</f>
        <v>0</v>
      </c>
      <c r="BH29" s="16">
        <f>FLUID!BL30</f>
        <v>0</v>
      </c>
      <c r="BI29" s="16">
        <f>FLUID!BM30</f>
        <v>0</v>
      </c>
      <c r="BJ29" s="16">
        <f>FLUID!BN30</f>
        <v>0</v>
      </c>
      <c r="BK29" s="16">
        <f>FLUID!BO30</f>
        <v>0</v>
      </c>
      <c r="BL29" s="16">
        <f>FLUID!BP30</f>
        <v>0</v>
      </c>
      <c r="BM29" s="16">
        <f>FLUID!BQ30</f>
        <v>0</v>
      </c>
      <c r="BN29" s="16">
        <f>FLUID!BR30</f>
        <v>0</v>
      </c>
      <c r="BO29" s="16">
        <f>FLUID!BS30</f>
        <v>0</v>
      </c>
      <c r="BP29" s="16">
        <f>FLUID!BT30</f>
        <v>0</v>
      </c>
      <c r="BQ29" s="16">
        <f>FLUID!BU30</f>
        <v>0</v>
      </c>
      <c r="BR29" s="16">
        <f>FLUID!BV30</f>
        <v>0</v>
      </c>
      <c r="BS29" s="16">
        <f>FLUID!BW30</f>
        <v>0</v>
      </c>
      <c r="BT29" s="16">
        <f>FLUID!BX30</f>
        <v>0</v>
      </c>
    </row>
    <row r="30" spans="1:72" ht="22.5" hidden="1" customHeight="1" outlineLevel="1" thickBot="1" x14ac:dyDescent="0.4">
      <c r="A30" s="88">
        <f>FLUID!E31</f>
        <v>0</v>
      </c>
      <c r="B30" s="16">
        <f>FLUID!F31</f>
        <v>0</v>
      </c>
      <c r="C30" s="16">
        <f>FLUID!G31</f>
        <v>0</v>
      </c>
      <c r="D30" s="16">
        <f>FLUID!H31</f>
        <v>0</v>
      </c>
      <c r="E30" s="16">
        <f>FLUID!I31</f>
        <v>0</v>
      </c>
      <c r="F30" s="16">
        <f>FLUID!J31</f>
        <v>0</v>
      </c>
      <c r="G30" s="16">
        <f>FLUID!K31</f>
        <v>0</v>
      </c>
      <c r="H30" s="16">
        <f>FLUID!L31</f>
        <v>0</v>
      </c>
      <c r="I30" s="16">
        <f>FLUID!M31</f>
        <v>0</v>
      </c>
      <c r="J30" s="16">
        <f>FLUID!N31</f>
        <v>0</v>
      </c>
      <c r="K30" s="16">
        <f>FLUID!O31</f>
        <v>0</v>
      </c>
      <c r="L30" s="16">
        <f>FLUID!P31</f>
        <v>0</v>
      </c>
      <c r="M30" s="16">
        <f>FLUID!Q31</f>
        <v>0</v>
      </c>
      <c r="N30" s="16">
        <f>FLUID!R31</f>
        <v>0</v>
      </c>
      <c r="O30" s="16">
        <f>FLUID!S31</f>
        <v>0</v>
      </c>
      <c r="P30" s="16">
        <f>FLUID!T31</f>
        <v>0</v>
      </c>
      <c r="Q30" s="16">
        <f>FLUID!U31</f>
        <v>0</v>
      </c>
      <c r="R30" s="16">
        <f>FLUID!V31</f>
        <v>0</v>
      </c>
      <c r="S30" s="16">
        <f>FLUID!W31</f>
        <v>0</v>
      </c>
      <c r="T30" s="16">
        <f>FLUID!X31</f>
        <v>0</v>
      </c>
      <c r="U30" s="16">
        <f>FLUID!Y31</f>
        <v>0</v>
      </c>
      <c r="V30" s="16">
        <f>FLUID!Z31</f>
        <v>0</v>
      </c>
      <c r="W30" s="16">
        <f>FLUID!AA31</f>
        <v>0</v>
      </c>
      <c r="X30" s="16">
        <f>FLUID!AB31</f>
        <v>0</v>
      </c>
      <c r="Y30" s="16">
        <f>FLUID!AC31</f>
        <v>0</v>
      </c>
      <c r="Z30" s="16">
        <f>FLUID!AD31</f>
        <v>0</v>
      </c>
      <c r="AA30" s="16">
        <f>FLUID!AE31</f>
        <v>0</v>
      </c>
      <c r="AB30" s="16">
        <f>FLUID!AF31</f>
        <v>0</v>
      </c>
      <c r="AC30" s="16">
        <f>FLUID!AG31</f>
        <v>0</v>
      </c>
      <c r="AD30" s="16">
        <f>FLUID!AH31</f>
        <v>0</v>
      </c>
      <c r="AE30" s="16">
        <f>FLUID!AI31</f>
        <v>0</v>
      </c>
      <c r="AF30" s="16">
        <f>FLUID!AJ31</f>
        <v>0</v>
      </c>
      <c r="AG30" s="16">
        <f>FLUID!AK31</f>
        <v>0</v>
      </c>
      <c r="AH30" s="16">
        <f>FLUID!AL31</f>
        <v>0</v>
      </c>
      <c r="AI30" s="16">
        <f>FLUID!AM31</f>
        <v>0</v>
      </c>
      <c r="AJ30" s="16">
        <f>FLUID!AN31</f>
        <v>0</v>
      </c>
      <c r="AK30" s="16">
        <f>FLUID!AO31</f>
        <v>0</v>
      </c>
      <c r="AL30" s="16">
        <f>FLUID!AP31</f>
        <v>0</v>
      </c>
      <c r="AM30" s="16">
        <f>FLUID!AQ31</f>
        <v>0</v>
      </c>
      <c r="AN30" s="16">
        <f>FLUID!AR31</f>
        <v>0</v>
      </c>
      <c r="AO30" s="16">
        <f>FLUID!AS31</f>
        <v>0</v>
      </c>
      <c r="AP30" s="16">
        <f>FLUID!AT31</f>
        <v>0</v>
      </c>
      <c r="AQ30" s="16">
        <f>FLUID!AU31</f>
        <v>0</v>
      </c>
      <c r="AR30" s="16">
        <f>FLUID!AV31</f>
        <v>0</v>
      </c>
      <c r="AS30" s="16">
        <f>FLUID!AW31</f>
        <v>0</v>
      </c>
      <c r="AT30" s="16">
        <f>FLUID!AX31</f>
        <v>0</v>
      </c>
      <c r="AU30" s="16">
        <f>FLUID!AY31</f>
        <v>0</v>
      </c>
      <c r="AV30" s="16">
        <f>FLUID!AZ31</f>
        <v>0</v>
      </c>
      <c r="AW30" s="16">
        <f>FLUID!BA31</f>
        <v>0</v>
      </c>
      <c r="AX30" s="16">
        <f>FLUID!BB31</f>
        <v>0</v>
      </c>
      <c r="AY30" s="16">
        <f>FLUID!BC31</f>
        <v>0</v>
      </c>
      <c r="AZ30" s="16">
        <f>FLUID!BD31</f>
        <v>0</v>
      </c>
      <c r="BA30" s="16">
        <f>FLUID!BE31</f>
        <v>0</v>
      </c>
      <c r="BB30" s="16">
        <f>FLUID!BF31</f>
        <v>0</v>
      </c>
      <c r="BC30" s="16">
        <f>FLUID!BG31</f>
        <v>0</v>
      </c>
      <c r="BD30" s="16">
        <f>FLUID!BH31</f>
        <v>0</v>
      </c>
      <c r="BE30" s="16">
        <f>FLUID!BI31</f>
        <v>0</v>
      </c>
      <c r="BF30" s="16">
        <f>FLUID!BJ31</f>
        <v>0</v>
      </c>
      <c r="BG30" s="16">
        <f>FLUID!BK31</f>
        <v>0</v>
      </c>
      <c r="BH30" s="16">
        <f>FLUID!BL31</f>
        <v>0</v>
      </c>
      <c r="BI30" s="16">
        <f>FLUID!BM31</f>
        <v>0</v>
      </c>
      <c r="BJ30" s="16">
        <f>FLUID!BN31</f>
        <v>0</v>
      </c>
      <c r="BK30" s="16">
        <f>FLUID!BO31</f>
        <v>0</v>
      </c>
      <c r="BL30" s="16">
        <f>FLUID!BP31</f>
        <v>0</v>
      </c>
      <c r="BM30" s="16">
        <f>FLUID!BQ31</f>
        <v>0</v>
      </c>
      <c r="BN30" s="16">
        <f>FLUID!BR31</f>
        <v>0</v>
      </c>
      <c r="BO30" s="16">
        <f>FLUID!BS31</f>
        <v>0</v>
      </c>
      <c r="BP30" s="16">
        <f>FLUID!BT31</f>
        <v>0</v>
      </c>
      <c r="BQ30" s="16">
        <f>FLUID!BU31</f>
        <v>0</v>
      </c>
      <c r="BR30" s="16">
        <f>FLUID!BV31</f>
        <v>0</v>
      </c>
      <c r="BS30" s="16">
        <f>FLUID!BW31</f>
        <v>0</v>
      </c>
      <c r="BT30" s="16">
        <f>FLUID!BX31</f>
        <v>0</v>
      </c>
    </row>
    <row r="31" spans="1:72" ht="22.5" hidden="1" customHeight="1" outlineLevel="1" thickBot="1" x14ac:dyDescent="0.4">
      <c r="A31" s="88">
        <f>FLUID!E32</f>
        <v>0</v>
      </c>
      <c r="B31" s="16">
        <f>FLUID!F32</f>
        <v>0</v>
      </c>
      <c r="C31" s="16">
        <f>FLUID!G32</f>
        <v>0</v>
      </c>
      <c r="D31" s="16">
        <f>FLUID!H32</f>
        <v>0</v>
      </c>
      <c r="E31" s="16">
        <f>FLUID!I32</f>
        <v>0</v>
      </c>
      <c r="F31" s="16">
        <f>FLUID!J32</f>
        <v>0</v>
      </c>
      <c r="G31" s="16">
        <f>FLUID!K32</f>
        <v>0</v>
      </c>
      <c r="H31" s="16">
        <f>FLUID!L32</f>
        <v>0</v>
      </c>
      <c r="I31" s="16">
        <f>FLUID!M32</f>
        <v>0</v>
      </c>
      <c r="J31" s="16">
        <f>FLUID!N32</f>
        <v>0</v>
      </c>
      <c r="K31" s="16">
        <f>FLUID!O32</f>
        <v>0</v>
      </c>
      <c r="L31" s="16">
        <f>FLUID!P32</f>
        <v>0</v>
      </c>
      <c r="M31" s="16">
        <f>FLUID!Q32</f>
        <v>0</v>
      </c>
      <c r="N31" s="16">
        <f>FLUID!R32</f>
        <v>0</v>
      </c>
      <c r="O31" s="16">
        <f>FLUID!S32</f>
        <v>0</v>
      </c>
      <c r="P31" s="16">
        <f>FLUID!T32</f>
        <v>0</v>
      </c>
      <c r="Q31" s="16">
        <f>FLUID!U32</f>
        <v>0</v>
      </c>
      <c r="R31" s="16">
        <f>FLUID!V32</f>
        <v>0</v>
      </c>
      <c r="S31" s="16">
        <f>FLUID!W32</f>
        <v>0</v>
      </c>
      <c r="T31" s="16">
        <f>FLUID!X32</f>
        <v>0</v>
      </c>
      <c r="U31" s="16">
        <f>FLUID!Y32</f>
        <v>0</v>
      </c>
      <c r="V31" s="16">
        <f>FLUID!Z32</f>
        <v>0</v>
      </c>
      <c r="W31" s="16">
        <f>FLUID!AA32</f>
        <v>0</v>
      </c>
      <c r="X31" s="16">
        <f>FLUID!AB32</f>
        <v>0</v>
      </c>
      <c r="Y31" s="16">
        <f>FLUID!AC32</f>
        <v>0</v>
      </c>
      <c r="Z31" s="16">
        <f>FLUID!AD32</f>
        <v>0</v>
      </c>
      <c r="AA31" s="16">
        <f>FLUID!AE32</f>
        <v>0</v>
      </c>
      <c r="AB31" s="16">
        <f>FLUID!AF32</f>
        <v>0</v>
      </c>
      <c r="AC31" s="16">
        <f>FLUID!AG32</f>
        <v>0</v>
      </c>
      <c r="AD31" s="16">
        <f>FLUID!AH32</f>
        <v>0</v>
      </c>
      <c r="AE31" s="16">
        <f>FLUID!AI32</f>
        <v>0</v>
      </c>
      <c r="AF31" s="16">
        <f>FLUID!AJ32</f>
        <v>0</v>
      </c>
      <c r="AG31" s="16">
        <f>FLUID!AK32</f>
        <v>0</v>
      </c>
      <c r="AH31" s="16">
        <f>FLUID!AL32</f>
        <v>0</v>
      </c>
      <c r="AI31" s="16">
        <f>FLUID!AM32</f>
        <v>0</v>
      </c>
      <c r="AJ31" s="16">
        <f>FLUID!AN32</f>
        <v>0</v>
      </c>
      <c r="AK31" s="16">
        <f>FLUID!AO32</f>
        <v>0</v>
      </c>
      <c r="AL31" s="16">
        <f>FLUID!AP32</f>
        <v>0</v>
      </c>
      <c r="AM31" s="16">
        <f>FLUID!AQ32</f>
        <v>0</v>
      </c>
      <c r="AN31" s="16">
        <f>FLUID!AR32</f>
        <v>0</v>
      </c>
      <c r="AO31" s="16">
        <f>FLUID!AS32</f>
        <v>0</v>
      </c>
      <c r="AP31" s="16">
        <f>FLUID!AT32</f>
        <v>0</v>
      </c>
      <c r="AQ31" s="16">
        <f>FLUID!AU32</f>
        <v>0</v>
      </c>
      <c r="AR31" s="16">
        <f>FLUID!AV32</f>
        <v>0</v>
      </c>
      <c r="AS31" s="16">
        <f>FLUID!AW32</f>
        <v>0</v>
      </c>
      <c r="AT31" s="16">
        <f>FLUID!AX32</f>
        <v>0</v>
      </c>
      <c r="AU31" s="16">
        <f>FLUID!AY32</f>
        <v>0</v>
      </c>
      <c r="AV31" s="16">
        <f>FLUID!AZ32</f>
        <v>0</v>
      </c>
      <c r="AW31" s="16">
        <f>FLUID!BA32</f>
        <v>0</v>
      </c>
      <c r="AX31" s="16">
        <f>FLUID!BB32</f>
        <v>0</v>
      </c>
      <c r="AY31" s="16">
        <f>FLUID!BC32</f>
        <v>0</v>
      </c>
      <c r="AZ31" s="16">
        <f>FLUID!BD32</f>
        <v>0</v>
      </c>
      <c r="BA31" s="16">
        <f>FLUID!BE32</f>
        <v>0</v>
      </c>
      <c r="BB31" s="16">
        <f>FLUID!BF32</f>
        <v>0</v>
      </c>
      <c r="BC31" s="16">
        <f>FLUID!BG32</f>
        <v>0</v>
      </c>
      <c r="BD31" s="16">
        <f>FLUID!BH32</f>
        <v>0</v>
      </c>
      <c r="BE31" s="16">
        <f>FLUID!BI32</f>
        <v>0</v>
      </c>
      <c r="BF31" s="16">
        <f>FLUID!BJ32</f>
        <v>0</v>
      </c>
      <c r="BG31" s="16">
        <f>FLUID!BK32</f>
        <v>0</v>
      </c>
      <c r="BH31" s="16">
        <f>FLUID!BL32</f>
        <v>0</v>
      </c>
      <c r="BI31" s="16">
        <f>FLUID!BM32</f>
        <v>0</v>
      </c>
      <c r="BJ31" s="16">
        <f>FLUID!BN32</f>
        <v>0</v>
      </c>
      <c r="BK31" s="16">
        <f>FLUID!BO32</f>
        <v>0</v>
      </c>
      <c r="BL31" s="16">
        <f>FLUID!BP32</f>
        <v>0</v>
      </c>
      <c r="BM31" s="16">
        <f>FLUID!BQ32</f>
        <v>0</v>
      </c>
      <c r="BN31" s="16">
        <f>FLUID!BR32</f>
        <v>0</v>
      </c>
      <c r="BO31" s="16">
        <f>FLUID!BS32</f>
        <v>0</v>
      </c>
      <c r="BP31" s="16">
        <f>FLUID!BT32</f>
        <v>0</v>
      </c>
      <c r="BQ31" s="16">
        <f>FLUID!BU32</f>
        <v>0</v>
      </c>
      <c r="BR31" s="16">
        <f>FLUID!BV32</f>
        <v>0</v>
      </c>
      <c r="BS31" s="16">
        <f>FLUID!BW32</f>
        <v>0</v>
      </c>
      <c r="BT31" s="16">
        <f>FLUID!BX32</f>
        <v>0</v>
      </c>
    </row>
    <row r="32" spans="1:72" ht="22.5" hidden="1" customHeight="1" outlineLevel="1" thickBot="1" x14ac:dyDescent="0.4">
      <c r="A32" s="88">
        <f>FLUID!E75</f>
        <v>1</v>
      </c>
      <c r="B32" s="16">
        <f>FLUID!F33</f>
        <v>0</v>
      </c>
      <c r="C32" s="16">
        <f>FLUID!G33</f>
        <v>0</v>
      </c>
      <c r="D32" s="16">
        <f>FLUID!H33</f>
        <v>0</v>
      </c>
      <c r="E32" s="16">
        <f>FLUID!I33</f>
        <v>0</v>
      </c>
      <c r="F32" s="16">
        <f>FLUID!J33</f>
        <v>0</v>
      </c>
      <c r="G32" s="16">
        <f>FLUID!K33</f>
        <v>0</v>
      </c>
      <c r="H32" s="16">
        <f>FLUID!L33</f>
        <v>0</v>
      </c>
      <c r="I32" s="16">
        <f>FLUID!M33</f>
        <v>0</v>
      </c>
      <c r="J32" s="16">
        <f>FLUID!N33</f>
        <v>0</v>
      </c>
      <c r="K32" s="16">
        <f>FLUID!O33</f>
        <v>0</v>
      </c>
      <c r="L32" s="16">
        <f>FLUID!P33</f>
        <v>0</v>
      </c>
      <c r="M32" s="16">
        <f>FLUID!Q33</f>
        <v>0</v>
      </c>
      <c r="N32" s="16">
        <f>FLUID!R33</f>
        <v>0</v>
      </c>
      <c r="O32" s="16">
        <f>FLUID!S33</f>
        <v>0</v>
      </c>
      <c r="P32" s="16">
        <f>FLUID!T33</f>
        <v>0</v>
      </c>
      <c r="Q32" s="16">
        <f>FLUID!U33</f>
        <v>0</v>
      </c>
      <c r="R32" s="16">
        <f>FLUID!V33</f>
        <v>0</v>
      </c>
      <c r="S32" s="16">
        <f>FLUID!W33</f>
        <v>0</v>
      </c>
      <c r="T32" s="16">
        <f>FLUID!X33</f>
        <v>0</v>
      </c>
      <c r="U32" s="16">
        <f>FLUID!Y33</f>
        <v>0</v>
      </c>
      <c r="V32" s="16">
        <f>FLUID!Z33</f>
        <v>0</v>
      </c>
      <c r="W32" s="16">
        <f>FLUID!AA33</f>
        <v>0</v>
      </c>
      <c r="X32" s="16">
        <f>FLUID!AB33</f>
        <v>0</v>
      </c>
      <c r="Y32" s="16">
        <f>FLUID!AC33</f>
        <v>0</v>
      </c>
      <c r="Z32" s="16">
        <f>FLUID!AD33</f>
        <v>0</v>
      </c>
      <c r="AA32" s="16">
        <f>FLUID!AE33</f>
        <v>0</v>
      </c>
      <c r="AB32" s="16">
        <f>FLUID!AF33</f>
        <v>0</v>
      </c>
      <c r="AC32" s="16">
        <f>FLUID!AG33</f>
        <v>0</v>
      </c>
      <c r="AD32" s="16">
        <f>FLUID!AH33</f>
        <v>0</v>
      </c>
      <c r="AE32" s="16">
        <f>FLUID!AI33</f>
        <v>0</v>
      </c>
      <c r="AF32" s="16">
        <f>FLUID!AJ33</f>
        <v>0</v>
      </c>
      <c r="AG32" s="16">
        <f>FLUID!AK33</f>
        <v>0</v>
      </c>
      <c r="AH32" s="16">
        <f>FLUID!AL33</f>
        <v>0</v>
      </c>
      <c r="AI32" s="16">
        <f>FLUID!AM33</f>
        <v>0</v>
      </c>
      <c r="AJ32" s="16">
        <f>FLUID!AN33</f>
        <v>0</v>
      </c>
      <c r="AK32" s="16">
        <f>FLUID!AO33</f>
        <v>0</v>
      </c>
      <c r="AL32" s="16">
        <f>FLUID!AP33</f>
        <v>0</v>
      </c>
      <c r="AM32" s="16">
        <f>FLUID!AQ33</f>
        <v>0</v>
      </c>
      <c r="AN32" s="16">
        <f>FLUID!AR33</f>
        <v>0</v>
      </c>
      <c r="AO32" s="16">
        <f>FLUID!AS33</f>
        <v>0</v>
      </c>
      <c r="AP32" s="16">
        <f>FLUID!AT33</f>
        <v>0</v>
      </c>
      <c r="AQ32" s="16">
        <f>FLUID!AU33</f>
        <v>0</v>
      </c>
      <c r="AR32" s="16">
        <f>FLUID!AV33</f>
        <v>0</v>
      </c>
      <c r="AS32" s="16">
        <f>FLUID!AW33</f>
        <v>0</v>
      </c>
      <c r="AT32" s="16">
        <f>FLUID!AX33</f>
        <v>0</v>
      </c>
      <c r="AU32" s="16">
        <f>FLUID!AY33</f>
        <v>0</v>
      </c>
      <c r="AV32" s="16">
        <f>FLUID!AZ33</f>
        <v>0</v>
      </c>
      <c r="AW32" s="16">
        <f>FLUID!BA33</f>
        <v>0</v>
      </c>
      <c r="AX32" s="16">
        <f>FLUID!BB33</f>
        <v>0</v>
      </c>
      <c r="AY32" s="16">
        <f>FLUID!BC33</f>
        <v>0</v>
      </c>
      <c r="AZ32" s="16">
        <f>FLUID!BD33</f>
        <v>0</v>
      </c>
      <c r="BA32" s="16">
        <f>FLUID!BE33</f>
        <v>0</v>
      </c>
      <c r="BB32" s="16">
        <f>FLUID!BF33</f>
        <v>0</v>
      </c>
      <c r="BC32" s="16">
        <f>FLUID!BG33</f>
        <v>0</v>
      </c>
      <c r="BD32" s="16">
        <f>FLUID!BH33</f>
        <v>0</v>
      </c>
      <c r="BE32" s="16">
        <f>FLUID!BI33</f>
        <v>0</v>
      </c>
      <c r="BF32" s="16">
        <f>FLUID!BJ33</f>
        <v>0</v>
      </c>
      <c r="BG32" s="16">
        <f>FLUID!BK33</f>
        <v>0</v>
      </c>
      <c r="BH32" s="16">
        <f>FLUID!BL33</f>
        <v>0</v>
      </c>
      <c r="BI32" s="16">
        <f>FLUID!BM33</f>
        <v>0</v>
      </c>
      <c r="BJ32" s="16">
        <f>FLUID!BN33</f>
        <v>0</v>
      </c>
      <c r="BK32" s="16">
        <f>FLUID!BO33</f>
        <v>0</v>
      </c>
      <c r="BL32" s="16">
        <f>FLUID!BP33</f>
        <v>0</v>
      </c>
      <c r="BM32" s="16">
        <f>FLUID!BQ33</f>
        <v>0</v>
      </c>
      <c r="BN32" s="16">
        <f>FLUID!BR33</f>
        <v>0</v>
      </c>
      <c r="BO32" s="16">
        <f>FLUID!BS33</f>
        <v>0</v>
      </c>
      <c r="BP32" s="16">
        <f>FLUID!BT33</f>
        <v>0</v>
      </c>
      <c r="BQ32" s="16">
        <f>FLUID!BU33</f>
        <v>0</v>
      </c>
      <c r="BR32" s="16">
        <f>FLUID!BV33</f>
        <v>0</v>
      </c>
      <c r="BS32" s="16">
        <f>FLUID!BW33</f>
        <v>0</v>
      </c>
      <c r="BT32" s="16">
        <f>FLUID!BX33</f>
        <v>0</v>
      </c>
    </row>
    <row r="33" spans="1:72" ht="22.5" collapsed="1" thickTop="1" thickBot="1" x14ac:dyDescent="0.4"/>
    <row r="34" spans="1:72" ht="22.5" thickTop="1" thickBot="1" x14ac:dyDescent="0.4">
      <c r="A34" s="91" t="s">
        <v>28</v>
      </c>
      <c r="B34" s="63">
        <f>SOLID!F3</f>
        <v>273.10000000000002</v>
      </c>
      <c r="C34" s="63">
        <f>SOLID!G3</f>
        <v>289.7</v>
      </c>
      <c r="D34" s="63">
        <f>SOLID!H3</f>
        <v>306.2</v>
      </c>
      <c r="E34" s="63">
        <f>SOLID!I3</f>
        <v>322.7</v>
      </c>
      <c r="F34" s="63">
        <f>SOLID!J3</f>
        <v>339.2</v>
      </c>
      <c r="G34" s="63">
        <f>SOLID!K3</f>
        <v>355.7</v>
      </c>
      <c r="H34" s="63">
        <f>SOLID!L3</f>
        <v>372.3</v>
      </c>
      <c r="I34" s="63">
        <f>SOLID!M3</f>
        <v>388.8</v>
      </c>
      <c r="J34" s="63">
        <f>SOLID!N3</f>
        <v>405.3</v>
      </c>
      <c r="K34" s="63">
        <f>SOLID!O3</f>
        <v>471.4</v>
      </c>
      <c r="L34" s="63">
        <f>SOLID!P3</f>
        <v>487.9</v>
      </c>
      <c r="M34" s="63">
        <f>SOLID!Q3</f>
        <v>504.4</v>
      </c>
      <c r="N34" s="63">
        <f>SOLID!R3</f>
        <v>520.9</v>
      </c>
      <c r="O34" s="63">
        <f>SOLID!S3</f>
        <v>537.5</v>
      </c>
      <c r="P34" s="63">
        <f>SOLID!T3</f>
        <v>554</v>
      </c>
      <c r="Q34" s="63">
        <f>SOLID!U3</f>
        <v>570.5</v>
      </c>
      <c r="R34" s="63">
        <f>SOLID!V3</f>
        <v>587</v>
      </c>
      <c r="S34" s="63">
        <f>SOLID!W3</f>
        <v>603.5</v>
      </c>
      <c r="T34" s="63">
        <f>SOLID!X3</f>
        <v>620.1</v>
      </c>
      <c r="U34" s="63">
        <f>SOLID!Y3</f>
        <v>636.6</v>
      </c>
      <c r="V34" s="63">
        <f>SOLID!Z3</f>
        <v>653.1</v>
      </c>
      <c r="W34" s="63">
        <f>SOLID!AA3</f>
        <v>669.6</v>
      </c>
      <c r="X34" s="63">
        <f>SOLID!AB3</f>
        <v>735.7</v>
      </c>
      <c r="Y34" s="63">
        <f>SOLID!AC3</f>
        <v>752.2</v>
      </c>
      <c r="Z34" s="63">
        <f>SOLID!AD3</f>
        <v>768.7</v>
      </c>
      <c r="AA34" s="63">
        <f>SOLID!AE3</f>
        <v>785.2</v>
      </c>
      <c r="AB34" s="63">
        <f>SOLID!AF3</f>
        <v>801.8</v>
      </c>
      <c r="AC34" s="63">
        <f>SOLID!AG3</f>
        <v>818.3</v>
      </c>
      <c r="AD34" s="63">
        <f>SOLID!AH3</f>
        <v>834.8</v>
      </c>
      <c r="AE34" s="63">
        <f>SOLID!AI3</f>
        <v>851.3</v>
      </c>
      <c r="AF34" s="63">
        <f>SOLID!AJ3</f>
        <v>867.8</v>
      </c>
      <c r="AG34" s="63">
        <f>SOLID!AK3</f>
        <v>933.9</v>
      </c>
      <c r="AH34" s="63">
        <f>SOLID!AL3</f>
        <v>950.4</v>
      </c>
      <c r="AI34" s="63">
        <f>SOLID!AM3</f>
        <v>967</v>
      </c>
      <c r="AJ34" s="63">
        <f>SOLID!AN3</f>
        <v>983.5</v>
      </c>
      <c r="AK34" s="63">
        <f>SOLID!AO3</f>
        <v>1000</v>
      </c>
      <c r="AL34" s="63">
        <f>SOLID!AP3</f>
        <v>0</v>
      </c>
      <c r="AM34" s="63">
        <f>SOLID!AQ3</f>
        <v>0</v>
      </c>
      <c r="AN34" s="63">
        <f>SOLID!AR3</f>
        <v>0</v>
      </c>
      <c r="AO34" s="63">
        <f>SOLID!AS3</f>
        <v>0</v>
      </c>
      <c r="AP34" s="63">
        <f>SOLID!AT3</f>
        <v>0</v>
      </c>
      <c r="AQ34" s="63">
        <f>SOLID!AU3</f>
        <v>0</v>
      </c>
      <c r="AR34" s="63">
        <f>SOLID!AV3</f>
        <v>0</v>
      </c>
      <c r="AS34" s="63">
        <f>SOLID!AW3</f>
        <v>0</v>
      </c>
      <c r="AT34" s="63">
        <f>SOLID!AX3</f>
        <v>0</v>
      </c>
      <c r="AU34" s="63">
        <f>SOLID!AY3</f>
        <v>0</v>
      </c>
      <c r="AV34" s="63">
        <f>SOLID!AZ3</f>
        <v>0</v>
      </c>
      <c r="AW34" s="63">
        <f>SOLID!BA3</f>
        <v>0</v>
      </c>
      <c r="AX34" s="63">
        <f>SOLID!BB3</f>
        <v>0</v>
      </c>
      <c r="AY34" s="63">
        <f>SOLID!BC3</f>
        <v>0</v>
      </c>
      <c r="AZ34" s="63">
        <f>SOLID!BD3</f>
        <v>0</v>
      </c>
      <c r="BA34" s="63">
        <f>SOLID!BE3</f>
        <v>0</v>
      </c>
      <c r="BB34" s="63">
        <f>SOLID!BF3</f>
        <v>0</v>
      </c>
      <c r="BC34" s="63">
        <f>SOLID!BG3</f>
        <v>0</v>
      </c>
      <c r="BD34" s="63">
        <f>SOLID!BH3</f>
        <v>0</v>
      </c>
      <c r="BE34" s="63">
        <f>SOLID!BI3</f>
        <v>0</v>
      </c>
      <c r="BF34" s="63">
        <f>SOLID!BJ3</f>
        <v>0</v>
      </c>
      <c r="BG34" s="63">
        <f>SOLID!BK3</f>
        <v>0</v>
      </c>
      <c r="BH34" s="63">
        <f>SOLID!BL3</f>
        <v>0</v>
      </c>
      <c r="BI34" s="63">
        <f>SOLID!BM3</f>
        <v>0</v>
      </c>
      <c r="BJ34" s="63">
        <f>SOLID!BN3</f>
        <v>0</v>
      </c>
      <c r="BK34" s="63">
        <f>SOLID!BO3</f>
        <v>0</v>
      </c>
      <c r="BL34" s="63">
        <f>SOLID!BP3</f>
        <v>0</v>
      </c>
      <c r="BM34" s="63">
        <f>SOLID!BQ3</f>
        <v>0</v>
      </c>
      <c r="BN34" s="63">
        <f>SOLID!BR3</f>
        <v>0</v>
      </c>
      <c r="BO34" s="63">
        <f>SOLID!BS3</f>
        <v>0</v>
      </c>
      <c r="BP34" s="63">
        <f>SOLID!BT3</f>
        <v>0</v>
      </c>
      <c r="BQ34" s="63">
        <f>SOLID!BU3</f>
        <v>0</v>
      </c>
      <c r="BR34" s="63">
        <f>SOLID!BV3</f>
        <v>0</v>
      </c>
      <c r="BS34" s="63">
        <f>SOLID!BW3</f>
        <v>0</v>
      </c>
      <c r="BT34" s="63">
        <f>SOLID!BX3</f>
        <v>0</v>
      </c>
    </row>
    <row r="35" spans="1:72" ht="22.5" hidden="1" outlineLevel="1" thickTop="1" thickBot="1" x14ac:dyDescent="0.4">
      <c r="A35" s="88" t="str">
        <f>SOLID!E4</f>
        <v>*Se[M]</v>
      </c>
      <c r="B35" s="16">
        <f>SOLID!F4</f>
        <v>2.7791999999999999E-19</v>
      </c>
      <c r="C35" s="16">
        <f>SOLID!G4</f>
        <v>2.1402999999999999E-14</v>
      </c>
      <c r="D35" s="16">
        <f>SOLID!H4</f>
        <v>6.4261000000000002E-11</v>
      </c>
      <c r="E35" s="16">
        <f>SOLID!I4</f>
        <v>1.7173000000000001E-9</v>
      </c>
      <c r="F35" s="16">
        <f>SOLID!J4</f>
        <v>3.5577999999999997E-7</v>
      </c>
      <c r="G35" s="16">
        <f>SOLID!K4</f>
        <v>0.12</v>
      </c>
      <c r="H35" s="16">
        <f>SOLID!L4</f>
        <v>0.12</v>
      </c>
      <c r="I35" s="16">
        <f>SOLID!M4</f>
        <v>0.12</v>
      </c>
      <c r="J35" s="16">
        <f>SOLID!N4</f>
        <v>0.12</v>
      </c>
      <c r="K35" s="16">
        <f>SOLID!O4</f>
        <v>0.12</v>
      </c>
      <c r="L35" s="16">
        <f>SOLID!P4</f>
        <v>0.12</v>
      </c>
      <c r="M35" s="16">
        <f>SOLID!Q4</f>
        <v>0.12</v>
      </c>
      <c r="N35" s="16">
        <f>SOLID!R4</f>
        <v>0.36</v>
      </c>
      <c r="O35" s="16">
        <f>SOLID!S4</f>
        <v>0.36</v>
      </c>
      <c r="P35" s="16">
        <f>SOLID!T4</f>
        <v>0.36</v>
      </c>
      <c r="Q35" s="16">
        <f>SOLID!U4</f>
        <v>0.36</v>
      </c>
      <c r="R35" s="16">
        <f>SOLID!V4</f>
        <v>0.36</v>
      </c>
      <c r="S35" s="16">
        <f>SOLID!W4</f>
        <v>0.4</v>
      </c>
      <c r="T35" s="16">
        <f>SOLID!X4</f>
        <v>0.4</v>
      </c>
      <c r="U35" s="16">
        <f>SOLID!Y4</f>
        <v>0.4</v>
      </c>
      <c r="V35" s="16">
        <f>SOLID!Z4</f>
        <v>0.4</v>
      </c>
      <c r="W35" s="16">
        <f>SOLID!AA4</f>
        <v>0.4</v>
      </c>
      <c r="X35" s="16">
        <f>SOLID!AB4</f>
        <v>0.4</v>
      </c>
      <c r="Y35" s="16">
        <f>SOLID!AC4</f>
        <v>0.4</v>
      </c>
      <c r="Z35" s="16">
        <f>SOLID!AD4</f>
        <v>0.4</v>
      </c>
      <c r="AA35" s="16">
        <f>SOLID!AE4</f>
        <v>0.4</v>
      </c>
      <c r="AB35" s="16">
        <f>SOLID!AF4</f>
        <v>0.4</v>
      </c>
      <c r="AC35" s="16">
        <f>SOLID!AG4</f>
        <v>0.47810000000000002</v>
      </c>
      <c r="AD35" s="16">
        <f>SOLID!AH4</f>
        <v>0.48</v>
      </c>
      <c r="AE35" s="16">
        <f>SOLID!AI4</f>
        <v>0.48</v>
      </c>
      <c r="AF35" s="16">
        <f>SOLID!AJ4</f>
        <v>0.48</v>
      </c>
      <c r="AG35" s="16">
        <f>SOLID!AK4</f>
        <v>0.48</v>
      </c>
      <c r="AH35" s="16">
        <f>SOLID!AL4</f>
        <v>0.48</v>
      </c>
      <c r="AI35" s="16">
        <f>SOLID!AM4</f>
        <v>0.48</v>
      </c>
      <c r="AJ35" s="16">
        <f>SOLID!AN4</f>
        <v>0.48</v>
      </c>
      <c r="AK35" s="16">
        <f>SOLID!AO4</f>
        <v>0.48</v>
      </c>
      <c r="AL35" s="16">
        <f>SOLID!AP4</f>
        <v>0</v>
      </c>
      <c r="AM35" s="16">
        <f>SOLID!AQ4</f>
        <v>0</v>
      </c>
      <c r="AN35" s="16">
        <f>SOLID!AR4</f>
        <v>0</v>
      </c>
      <c r="AO35" s="16">
        <f>SOLID!AS4</f>
        <v>0</v>
      </c>
      <c r="AP35" s="16">
        <f>SOLID!AT4</f>
        <v>0</v>
      </c>
      <c r="AQ35" s="16">
        <f>SOLID!AU4</f>
        <v>0</v>
      </c>
      <c r="AR35" s="16">
        <f>SOLID!AV4</f>
        <v>0</v>
      </c>
      <c r="AS35" s="16">
        <f>SOLID!AW4</f>
        <v>0</v>
      </c>
      <c r="AT35" s="16">
        <f>SOLID!AX4</f>
        <v>0</v>
      </c>
      <c r="AU35" s="16">
        <f>SOLID!AY4</f>
        <v>0</v>
      </c>
      <c r="AV35" s="16">
        <f>SOLID!AZ4</f>
        <v>0</v>
      </c>
      <c r="AW35" s="16">
        <f>SOLID!BA4</f>
        <v>0</v>
      </c>
      <c r="AX35" s="16">
        <f>SOLID!BB4</f>
        <v>0</v>
      </c>
      <c r="AY35" s="16">
        <f>SOLID!BC4</f>
        <v>0</v>
      </c>
      <c r="AZ35" s="16">
        <f>SOLID!BD4</f>
        <v>0</v>
      </c>
      <c r="BA35" s="16">
        <f>SOLID!BE4</f>
        <v>0</v>
      </c>
      <c r="BB35" s="16">
        <f>SOLID!BF4</f>
        <v>0</v>
      </c>
      <c r="BC35" s="16">
        <f>SOLID!BG4</f>
        <v>0</v>
      </c>
      <c r="BD35" s="16">
        <f>SOLID!BH4</f>
        <v>0</v>
      </c>
      <c r="BE35" s="16">
        <f>SOLID!BI4</f>
        <v>0</v>
      </c>
      <c r="BF35" s="16">
        <f>SOLID!BJ4</f>
        <v>0</v>
      </c>
      <c r="BG35" s="16">
        <f>SOLID!BK4</f>
        <v>0</v>
      </c>
      <c r="BH35" s="16">
        <f>SOLID!BL4</f>
        <v>0</v>
      </c>
      <c r="BI35" s="16">
        <f>SOLID!BM4</f>
        <v>0</v>
      </c>
      <c r="BJ35" s="16">
        <f>SOLID!BN4</f>
        <v>0</v>
      </c>
      <c r="BK35" s="16">
        <f>SOLID!BO4</f>
        <v>0</v>
      </c>
      <c r="BL35" s="16">
        <f>SOLID!BP4</f>
        <v>0</v>
      </c>
      <c r="BM35" s="16">
        <f>SOLID!BQ4</f>
        <v>0</v>
      </c>
      <c r="BN35" s="16">
        <f>SOLID!BR4</f>
        <v>0</v>
      </c>
      <c r="BO35" s="16">
        <f>SOLID!BS4</f>
        <v>0</v>
      </c>
      <c r="BP35" s="16">
        <f>SOLID!BT4</f>
        <v>0</v>
      </c>
      <c r="BQ35" s="16">
        <f>SOLID!BU4</f>
        <v>0</v>
      </c>
      <c r="BR35" s="16">
        <f>SOLID!BV4</f>
        <v>0</v>
      </c>
      <c r="BS35" s="16">
        <f>SOLID!BW4</f>
        <v>0</v>
      </c>
      <c r="BT35" s="16">
        <f>SOLID!BX4</f>
        <v>0</v>
      </c>
    </row>
    <row r="36" spans="1:72" ht="22.5" hidden="1" outlineLevel="1" thickTop="1" thickBot="1" x14ac:dyDescent="0.4">
      <c r="A36" s="88" t="str">
        <f>SOLID!E5</f>
        <v>*Ge</v>
      </c>
      <c r="B36" s="16">
        <f>SOLID!F5</f>
        <v>0</v>
      </c>
      <c r="C36" s="16">
        <f>SOLID!G5</f>
        <v>0</v>
      </c>
      <c r="D36" s="16">
        <f>SOLID!H5</f>
        <v>0</v>
      </c>
      <c r="E36" s="16">
        <f>SOLID!I5</f>
        <v>0</v>
      </c>
      <c r="F36" s="16">
        <f>SOLID!J5</f>
        <v>0</v>
      </c>
      <c r="G36" s="16">
        <f>SOLID!K5</f>
        <v>0</v>
      </c>
      <c r="H36" s="16">
        <f>SOLID!L5</f>
        <v>0</v>
      </c>
      <c r="I36" s="16">
        <f>SOLID!M5</f>
        <v>2.0308999999999998E-33</v>
      </c>
      <c r="J36" s="16">
        <f>SOLID!N5</f>
        <v>5.1163E-26</v>
      </c>
      <c r="K36" s="16">
        <f>SOLID!O5</f>
        <v>2.7971999999999999E-10</v>
      </c>
      <c r="L36" s="16">
        <f>SOLID!P5</f>
        <v>1.4144E-9</v>
      </c>
      <c r="M36" s="16">
        <f>SOLID!Q5</f>
        <v>3.0423000000000001E-8</v>
      </c>
      <c r="N36" s="16">
        <f>SOLID!R5</f>
        <v>0.24</v>
      </c>
      <c r="O36" s="16">
        <f>SOLID!S5</f>
        <v>0.24</v>
      </c>
      <c r="P36" s="16">
        <f>SOLID!T5</f>
        <v>0.24</v>
      </c>
      <c r="Q36" s="16">
        <f>SOLID!U5</f>
        <v>0.24</v>
      </c>
      <c r="R36" s="16">
        <f>SOLID!V5</f>
        <v>0.24</v>
      </c>
      <c r="S36" s="16">
        <f>SOLID!W5</f>
        <v>0.24</v>
      </c>
      <c r="T36" s="16">
        <f>SOLID!X5</f>
        <v>0.24</v>
      </c>
      <c r="U36" s="16">
        <f>SOLID!Y5</f>
        <v>0.24</v>
      </c>
      <c r="V36" s="16">
        <f>SOLID!Z5</f>
        <v>0.24</v>
      </c>
      <c r="W36" s="16">
        <f>SOLID!AA5</f>
        <v>0.24</v>
      </c>
      <c r="X36" s="16">
        <f>SOLID!AB5</f>
        <v>0.24</v>
      </c>
      <c r="Y36" s="16">
        <f>SOLID!AC5</f>
        <v>0.24</v>
      </c>
      <c r="Z36" s="16">
        <f>SOLID!AD5</f>
        <v>0.24</v>
      </c>
      <c r="AA36" s="16">
        <f>SOLID!AE5</f>
        <v>0.24</v>
      </c>
      <c r="AB36" s="16">
        <f>SOLID!AF5</f>
        <v>0.24</v>
      </c>
      <c r="AC36" s="16">
        <f>SOLID!AG5</f>
        <v>0.2238</v>
      </c>
      <c r="AD36" s="16">
        <f>SOLID!AH5</f>
        <v>0.22109000000000001</v>
      </c>
      <c r="AE36" s="16">
        <f>SOLID!AI5</f>
        <v>0.21848999999999999</v>
      </c>
      <c r="AF36" s="16">
        <f>SOLID!AJ5</f>
        <v>0.21556</v>
      </c>
      <c r="AG36" s="16">
        <f>SOLID!AK5</f>
        <v>0.19954</v>
      </c>
      <c r="AH36" s="16">
        <f>SOLID!AL5</f>
        <v>0.19405</v>
      </c>
      <c r="AI36" s="16">
        <f>SOLID!AM5</f>
        <v>0.18773999999999999</v>
      </c>
      <c r="AJ36" s="16">
        <f>SOLID!AN5</f>
        <v>0.18042</v>
      </c>
      <c r="AK36" s="16">
        <f>SOLID!AO5</f>
        <v>0.17186999999999999</v>
      </c>
      <c r="AL36" s="16">
        <f>SOLID!AP5</f>
        <v>0</v>
      </c>
      <c r="AM36" s="16">
        <f>SOLID!AQ5</f>
        <v>0</v>
      </c>
      <c r="AN36" s="16">
        <f>SOLID!AR5</f>
        <v>0</v>
      </c>
      <c r="AO36" s="16">
        <f>SOLID!AS5</f>
        <v>0</v>
      </c>
      <c r="AP36" s="16">
        <f>SOLID!AT5</f>
        <v>0</v>
      </c>
      <c r="AQ36" s="16">
        <f>SOLID!AU5</f>
        <v>0</v>
      </c>
      <c r="AR36" s="16">
        <f>SOLID!AV5</f>
        <v>0</v>
      </c>
      <c r="AS36" s="16">
        <f>SOLID!AW5</f>
        <v>0</v>
      </c>
      <c r="AT36" s="16">
        <f>SOLID!AX5</f>
        <v>0</v>
      </c>
      <c r="AU36" s="16">
        <f>SOLID!AY5</f>
        <v>0</v>
      </c>
      <c r="AV36" s="16">
        <f>SOLID!AZ5</f>
        <v>0</v>
      </c>
      <c r="AW36" s="16">
        <f>SOLID!BA5</f>
        <v>0</v>
      </c>
      <c r="AX36" s="16">
        <f>SOLID!BB5</f>
        <v>0</v>
      </c>
      <c r="AY36" s="16">
        <f>SOLID!BC5</f>
        <v>0</v>
      </c>
      <c r="AZ36" s="16">
        <f>SOLID!BD5</f>
        <v>0</v>
      </c>
      <c r="BA36" s="16">
        <f>SOLID!BE5</f>
        <v>0</v>
      </c>
      <c r="BB36" s="16">
        <f>SOLID!BF5</f>
        <v>0</v>
      </c>
      <c r="BC36" s="16">
        <f>SOLID!BG5</f>
        <v>0</v>
      </c>
      <c r="BD36" s="16">
        <f>SOLID!BH5</f>
        <v>0</v>
      </c>
      <c r="BE36" s="16">
        <f>SOLID!BI5</f>
        <v>0</v>
      </c>
      <c r="BF36" s="16">
        <f>SOLID!BJ5</f>
        <v>0</v>
      </c>
      <c r="BG36" s="16">
        <f>SOLID!BK5</f>
        <v>0</v>
      </c>
      <c r="BH36" s="16">
        <f>SOLID!BL5</f>
        <v>0</v>
      </c>
      <c r="BI36" s="16">
        <f>SOLID!BM5</f>
        <v>0</v>
      </c>
      <c r="BJ36" s="16">
        <f>SOLID!BN5</f>
        <v>0</v>
      </c>
      <c r="BK36" s="16">
        <f>SOLID!BO5</f>
        <v>0</v>
      </c>
      <c r="BL36" s="16">
        <f>SOLID!BP5</f>
        <v>0</v>
      </c>
      <c r="BM36" s="16">
        <f>SOLID!BQ5</f>
        <v>0</v>
      </c>
      <c r="BN36" s="16">
        <f>SOLID!BR5</f>
        <v>0</v>
      </c>
      <c r="BO36" s="16">
        <f>SOLID!BS5</f>
        <v>0</v>
      </c>
      <c r="BP36" s="16">
        <f>SOLID!BT5</f>
        <v>0</v>
      </c>
      <c r="BQ36" s="16">
        <f>SOLID!BU5</f>
        <v>0</v>
      </c>
      <c r="BR36" s="16">
        <f>SOLID!BV5</f>
        <v>0</v>
      </c>
      <c r="BS36" s="16">
        <f>SOLID!BW5</f>
        <v>0</v>
      </c>
      <c r="BT36" s="16">
        <f>SOLID!BX5</f>
        <v>0</v>
      </c>
    </row>
    <row r="37" spans="1:72" ht="22.5" hidden="1" outlineLevel="1" thickTop="1" thickBot="1" x14ac:dyDescent="0.4">
      <c r="A37" s="88" t="str">
        <f>SOLID!E6</f>
        <v>*Ga2Se3</v>
      </c>
      <c r="B37" s="16">
        <f>SOLID!F6</f>
        <v>0.04</v>
      </c>
      <c r="C37" s="16">
        <f>SOLID!G6</f>
        <v>0.04</v>
      </c>
      <c r="D37" s="16">
        <f>SOLID!H6</f>
        <v>0.04</v>
      </c>
      <c r="E37" s="16">
        <f>SOLID!I6</f>
        <v>0.04</v>
      </c>
      <c r="F37" s="16">
        <f>SOLID!J6</f>
        <v>0.04</v>
      </c>
      <c r="G37" s="16">
        <f>SOLID!K6</f>
        <v>0.04</v>
      </c>
      <c r="H37" s="16">
        <f>SOLID!L6</f>
        <v>0.04</v>
      </c>
      <c r="I37" s="16">
        <f>SOLID!M6</f>
        <v>0.04</v>
      </c>
      <c r="J37" s="16">
        <f>SOLID!N6</f>
        <v>0.04</v>
      </c>
      <c r="K37" s="16">
        <f>SOLID!O6</f>
        <v>0.04</v>
      </c>
      <c r="L37" s="16">
        <f>SOLID!P6</f>
        <v>0.04</v>
      </c>
      <c r="M37" s="16">
        <f>SOLID!Q6</f>
        <v>0.04</v>
      </c>
      <c r="N37" s="16">
        <f>SOLID!R6</f>
        <v>0.04</v>
      </c>
      <c r="O37" s="16">
        <f>SOLID!S6</f>
        <v>0.04</v>
      </c>
      <c r="P37" s="16">
        <f>SOLID!T6</f>
        <v>0.04</v>
      </c>
      <c r="Q37" s="16">
        <f>SOLID!U6</f>
        <v>0.04</v>
      </c>
      <c r="R37" s="16">
        <f>SOLID!V6</f>
        <v>0.04</v>
      </c>
      <c r="S37" s="16">
        <f>SOLID!W6</f>
        <v>1.5046000000000001E-7</v>
      </c>
      <c r="T37" s="16">
        <f>SOLID!X6</f>
        <v>1.1942999999999999E-9</v>
      </c>
      <c r="U37" s="16">
        <f>SOLID!Y6</f>
        <v>2.1249999999999999E-10</v>
      </c>
      <c r="V37" s="16">
        <f>SOLID!Z6</f>
        <v>1.3668999999999999E-11</v>
      </c>
      <c r="W37" s="16">
        <f>SOLID!AA6</f>
        <v>3.2248000000000002E-12</v>
      </c>
      <c r="X37" s="16">
        <f>SOLID!AB6</f>
        <v>1.6861000000000001E-25</v>
      </c>
      <c r="Y37" s="16">
        <f>SOLID!AC6</f>
        <v>1.9193000000000001E-30</v>
      </c>
      <c r="Z37" s="16">
        <f>SOLID!AD6</f>
        <v>0</v>
      </c>
      <c r="AA37" s="16">
        <f>SOLID!AE6</f>
        <v>0</v>
      </c>
      <c r="AB37" s="16">
        <f>SOLID!AF6</f>
        <v>0</v>
      </c>
      <c r="AC37" s="16">
        <f>SOLID!AG6</f>
        <v>0</v>
      </c>
      <c r="AD37" s="16">
        <f>SOLID!AH6</f>
        <v>0</v>
      </c>
      <c r="AE37" s="16">
        <f>SOLID!AI6</f>
        <v>0</v>
      </c>
      <c r="AF37" s="16">
        <f>SOLID!AJ6</f>
        <v>0</v>
      </c>
      <c r="AG37" s="16">
        <f>SOLID!AK6</f>
        <v>0</v>
      </c>
      <c r="AH37" s="16">
        <f>SOLID!AL6</f>
        <v>0</v>
      </c>
      <c r="AI37" s="16">
        <f>SOLID!AM6</f>
        <v>0</v>
      </c>
      <c r="AJ37" s="16">
        <f>SOLID!AN6</f>
        <v>0</v>
      </c>
      <c r="AK37" s="16">
        <f>SOLID!AO6</f>
        <v>0</v>
      </c>
      <c r="AL37" s="16">
        <f>SOLID!AP6</f>
        <v>0</v>
      </c>
      <c r="AM37" s="16">
        <f>SOLID!AQ6</f>
        <v>0</v>
      </c>
      <c r="AN37" s="16">
        <f>SOLID!AR6</f>
        <v>0</v>
      </c>
      <c r="AO37" s="16">
        <f>SOLID!AS6</f>
        <v>0</v>
      </c>
      <c r="AP37" s="16">
        <f>SOLID!AT6</f>
        <v>0</v>
      </c>
      <c r="AQ37" s="16">
        <f>SOLID!AU6</f>
        <v>0</v>
      </c>
      <c r="AR37" s="16">
        <f>SOLID!AV6</f>
        <v>0</v>
      </c>
      <c r="AS37" s="16">
        <f>SOLID!AW6</f>
        <v>0</v>
      </c>
      <c r="AT37" s="16">
        <f>SOLID!AX6</f>
        <v>0</v>
      </c>
      <c r="AU37" s="16">
        <f>SOLID!AY6</f>
        <v>0</v>
      </c>
      <c r="AV37" s="16">
        <f>SOLID!AZ6</f>
        <v>0</v>
      </c>
      <c r="AW37" s="16">
        <f>SOLID!BA6</f>
        <v>0</v>
      </c>
      <c r="AX37" s="16">
        <f>SOLID!BB6</f>
        <v>0</v>
      </c>
      <c r="AY37" s="16">
        <f>SOLID!BC6</f>
        <v>0</v>
      </c>
      <c r="AZ37" s="16">
        <f>SOLID!BD6</f>
        <v>0</v>
      </c>
      <c r="BA37" s="16">
        <f>SOLID!BE6</f>
        <v>0</v>
      </c>
      <c r="BB37" s="16">
        <f>SOLID!BF6</f>
        <v>0</v>
      </c>
      <c r="BC37" s="16">
        <f>SOLID!BG6</f>
        <v>0</v>
      </c>
      <c r="BD37" s="16">
        <f>SOLID!BH6</f>
        <v>0</v>
      </c>
      <c r="BE37" s="16">
        <f>SOLID!BI6</f>
        <v>0</v>
      </c>
      <c r="BF37" s="16">
        <f>SOLID!BJ6</f>
        <v>0</v>
      </c>
      <c r="BG37" s="16">
        <f>SOLID!BK6</f>
        <v>0</v>
      </c>
      <c r="BH37" s="16">
        <f>SOLID!BL6</f>
        <v>0</v>
      </c>
      <c r="BI37" s="16">
        <f>SOLID!BM6</f>
        <v>0</v>
      </c>
      <c r="BJ37" s="16">
        <f>SOLID!BN6</f>
        <v>0</v>
      </c>
      <c r="BK37" s="16">
        <f>SOLID!BO6</f>
        <v>0</v>
      </c>
      <c r="BL37" s="16">
        <f>SOLID!BP6</f>
        <v>0</v>
      </c>
      <c r="BM37" s="16">
        <f>SOLID!BQ6</f>
        <v>0</v>
      </c>
      <c r="BN37" s="16">
        <f>SOLID!BR6</f>
        <v>0</v>
      </c>
      <c r="BO37" s="16">
        <f>SOLID!BS6</f>
        <v>0</v>
      </c>
      <c r="BP37" s="16">
        <f>SOLID!BT6</f>
        <v>0</v>
      </c>
      <c r="BQ37" s="16">
        <f>SOLID!BU6</f>
        <v>0</v>
      </c>
      <c r="BR37" s="16">
        <f>SOLID!BV6</f>
        <v>0</v>
      </c>
      <c r="BS37" s="16">
        <f>SOLID!BW6</f>
        <v>0</v>
      </c>
      <c r="BT37" s="16">
        <f>SOLID!BX6</f>
        <v>0</v>
      </c>
    </row>
    <row r="38" spans="1:72" ht="22.5" hidden="1" outlineLevel="1" thickTop="1" thickBot="1" x14ac:dyDescent="0.4">
      <c r="A38" s="88" t="str">
        <f>SOLID!E7</f>
        <v>*Ga[1]</v>
      </c>
      <c r="B38" s="16">
        <f>SOLID!F7</f>
        <v>0</v>
      </c>
      <c r="C38" s="16">
        <f>SOLID!G7</f>
        <v>0</v>
      </c>
      <c r="D38" s="16">
        <f>SOLID!H7</f>
        <v>0</v>
      </c>
      <c r="E38" s="16">
        <f>SOLID!I7</f>
        <v>0</v>
      </c>
      <c r="F38" s="16">
        <f>SOLID!J7</f>
        <v>0</v>
      </c>
      <c r="G38" s="16">
        <f>SOLID!K7</f>
        <v>0</v>
      </c>
      <c r="H38" s="16">
        <f>SOLID!L7</f>
        <v>0</v>
      </c>
      <c r="I38" s="16">
        <f>SOLID!M7</f>
        <v>0</v>
      </c>
      <c r="J38" s="16">
        <f>SOLID!N7</f>
        <v>0</v>
      </c>
      <c r="K38" s="16">
        <f>SOLID!O7</f>
        <v>0</v>
      </c>
      <c r="L38" s="16">
        <f>SOLID!P7</f>
        <v>0</v>
      </c>
      <c r="M38" s="16">
        <f>SOLID!Q7</f>
        <v>0</v>
      </c>
      <c r="N38" s="16">
        <f>SOLID!R7</f>
        <v>0</v>
      </c>
      <c r="O38" s="16">
        <f>SOLID!S7</f>
        <v>0</v>
      </c>
      <c r="P38" s="16">
        <f>SOLID!T7</f>
        <v>0</v>
      </c>
      <c r="Q38" s="16">
        <f>SOLID!U7</f>
        <v>0</v>
      </c>
      <c r="R38" s="16">
        <f>SOLID!V7</f>
        <v>0</v>
      </c>
      <c r="S38" s="16">
        <f>SOLID!W7</f>
        <v>0</v>
      </c>
      <c r="T38" s="16">
        <f>SOLID!X7</f>
        <v>0</v>
      </c>
      <c r="U38" s="16">
        <f>SOLID!Y7</f>
        <v>0</v>
      </c>
      <c r="V38" s="16">
        <f>SOLID!Z7</f>
        <v>0</v>
      </c>
      <c r="W38" s="16">
        <f>SOLID!AA7</f>
        <v>0</v>
      </c>
      <c r="X38" s="16">
        <f>SOLID!AB7</f>
        <v>5.6901999999999997E-27</v>
      </c>
      <c r="Y38" s="16">
        <f>SOLID!AC7</f>
        <v>3.1843000000000001E-24</v>
      </c>
      <c r="Z38" s="16">
        <f>SOLID!AD7</f>
        <v>5.7928999999999997E-22</v>
      </c>
      <c r="AA38" s="16">
        <f>SOLID!AE7</f>
        <v>1.234E-20</v>
      </c>
      <c r="AB38" s="16">
        <f>SOLID!AF7</f>
        <v>5.3800000000000005E-19</v>
      </c>
      <c r="AC38" s="16">
        <f>SOLID!AG7</f>
        <v>6.8602000000000001E-20</v>
      </c>
      <c r="AD38" s="16">
        <f>SOLID!AH7</f>
        <v>1.9737999999999999E-9</v>
      </c>
      <c r="AE38" s="16">
        <f>SOLID!AI7</f>
        <v>2.8302999999999999E-8</v>
      </c>
      <c r="AF38" s="16">
        <f>SOLID!AJ7</f>
        <v>4.2121999999999998E-8</v>
      </c>
      <c r="AG38" s="16">
        <f>SOLID!AK7</f>
        <v>4.5977000000000002E-8</v>
      </c>
      <c r="AH38" s="16">
        <f>SOLID!AL7</f>
        <v>4.2164E-8</v>
      </c>
      <c r="AI38" s="16">
        <f>SOLID!AM7</f>
        <v>1.5687E-8</v>
      </c>
      <c r="AJ38" s="16">
        <f>SOLID!AN7</f>
        <v>4.4632000000000001E-9</v>
      </c>
      <c r="AK38" s="16">
        <f>SOLID!AO7</f>
        <v>5.2946000000000005E-10</v>
      </c>
      <c r="AL38" s="16">
        <f>SOLID!AP7</f>
        <v>0</v>
      </c>
      <c r="AM38" s="16">
        <f>SOLID!AQ7</f>
        <v>0</v>
      </c>
      <c r="AN38" s="16">
        <f>SOLID!AR7</f>
        <v>0</v>
      </c>
      <c r="AO38" s="16">
        <f>SOLID!AS7</f>
        <v>0</v>
      </c>
      <c r="AP38" s="16">
        <f>SOLID!AT7</f>
        <v>0</v>
      </c>
      <c r="AQ38" s="16">
        <f>SOLID!AU7</f>
        <v>0</v>
      </c>
      <c r="AR38" s="16">
        <f>SOLID!AV7</f>
        <v>0</v>
      </c>
      <c r="AS38" s="16">
        <f>SOLID!AW7</f>
        <v>0</v>
      </c>
      <c r="AT38" s="16">
        <f>SOLID!AX7</f>
        <v>0</v>
      </c>
      <c r="AU38" s="16">
        <f>SOLID!AY7</f>
        <v>0</v>
      </c>
      <c r="AV38" s="16">
        <f>SOLID!AZ7</f>
        <v>0</v>
      </c>
      <c r="AW38" s="16">
        <f>SOLID!BA7</f>
        <v>0</v>
      </c>
      <c r="AX38" s="16">
        <f>SOLID!BB7</f>
        <v>0</v>
      </c>
      <c r="AY38" s="16">
        <f>SOLID!BC7</f>
        <v>0</v>
      </c>
      <c r="AZ38" s="16">
        <f>SOLID!BD7</f>
        <v>0</v>
      </c>
      <c r="BA38" s="16">
        <f>SOLID!BE7</f>
        <v>0</v>
      </c>
      <c r="BB38" s="16">
        <f>SOLID!BF7</f>
        <v>0</v>
      </c>
      <c r="BC38" s="16">
        <f>SOLID!BG7</f>
        <v>0</v>
      </c>
      <c r="BD38" s="16">
        <f>SOLID!BH7</f>
        <v>0</v>
      </c>
      <c r="BE38" s="16">
        <f>SOLID!BI7</f>
        <v>0</v>
      </c>
      <c r="BF38" s="16">
        <f>SOLID!BJ7</f>
        <v>0</v>
      </c>
      <c r="BG38" s="16">
        <f>SOLID!BK7</f>
        <v>0</v>
      </c>
      <c r="BH38" s="16">
        <f>SOLID!BL7</f>
        <v>0</v>
      </c>
      <c r="BI38" s="16">
        <f>SOLID!BM7</f>
        <v>0</v>
      </c>
      <c r="BJ38" s="16">
        <f>SOLID!BN7</f>
        <v>0</v>
      </c>
      <c r="BK38" s="16">
        <f>SOLID!BO7</f>
        <v>0</v>
      </c>
      <c r="BL38" s="16">
        <f>SOLID!BP7</f>
        <v>0</v>
      </c>
      <c r="BM38" s="16">
        <f>SOLID!BQ7</f>
        <v>0</v>
      </c>
      <c r="BN38" s="16">
        <f>SOLID!BR7</f>
        <v>0</v>
      </c>
      <c r="BO38" s="16">
        <f>SOLID!BS7</f>
        <v>0</v>
      </c>
      <c r="BP38" s="16">
        <f>SOLID!BT7</f>
        <v>0</v>
      </c>
      <c r="BQ38" s="16">
        <f>SOLID!BU7</f>
        <v>0</v>
      </c>
      <c r="BR38" s="16">
        <f>SOLID!BV7</f>
        <v>0</v>
      </c>
      <c r="BS38" s="16">
        <f>SOLID!BW7</f>
        <v>0</v>
      </c>
      <c r="BT38" s="16">
        <f>SOLID!BX7</f>
        <v>0</v>
      </c>
    </row>
    <row r="39" spans="1:72" ht="22.5" hidden="1" outlineLevel="1" thickTop="1" thickBot="1" x14ac:dyDescent="0.4">
      <c r="A39" s="88" t="str">
        <f>SOLID!E8</f>
        <v>*GeSe2</v>
      </c>
      <c r="B39" s="16">
        <f>SOLID!F8</f>
        <v>0.12</v>
      </c>
      <c r="C39" s="16">
        <f>SOLID!G8</f>
        <v>0.12</v>
      </c>
      <c r="D39" s="16">
        <f>SOLID!H8</f>
        <v>0.12</v>
      </c>
      <c r="E39" s="16">
        <f>SOLID!I8</f>
        <v>0.12</v>
      </c>
      <c r="F39" s="16">
        <f>SOLID!J8</f>
        <v>0.12</v>
      </c>
      <c r="G39" s="16">
        <f>SOLID!K8</f>
        <v>4.3104000000000003E-9</v>
      </c>
      <c r="H39" s="16">
        <f>SOLID!L8</f>
        <v>1.2547000000000001E-10</v>
      </c>
      <c r="I39" s="16">
        <f>SOLID!M8</f>
        <v>5.4450999999999999E-12</v>
      </c>
      <c r="J39" s="16">
        <f>SOLID!N8</f>
        <v>6.7970999999999996E-14</v>
      </c>
      <c r="K39" s="16">
        <f>SOLID!O8</f>
        <v>1.5473999999999999E-21</v>
      </c>
      <c r="L39" s="16">
        <f>SOLID!P8</f>
        <v>7.8785000000000001E-35</v>
      </c>
      <c r="M39" s="16">
        <f>SOLID!Q8</f>
        <v>0</v>
      </c>
      <c r="N39" s="16">
        <f>SOLID!R8</f>
        <v>0</v>
      </c>
      <c r="O39" s="16">
        <f>SOLID!S8</f>
        <v>0</v>
      </c>
      <c r="P39" s="16">
        <f>SOLID!T8</f>
        <v>0</v>
      </c>
      <c r="Q39" s="16">
        <f>SOLID!U8</f>
        <v>0</v>
      </c>
      <c r="R39" s="16">
        <f>SOLID!V8</f>
        <v>0</v>
      </c>
      <c r="S39" s="16">
        <f>SOLID!W8</f>
        <v>0</v>
      </c>
      <c r="T39" s="16">
        <f>SOLID!X8</f>
        <v>0</v>
      </c>
      <c r="U39" s="16">
        <f>SOLID!Y8</f>
        <v>0</v>
      </c>
      <c r="V39" s="16">
        <f>SOLID!Z8</f>
        <v>0</v>
      </c>
      <c r="W39" s="16">
        <f>SOLID!AA8</f>
        <v>0</v>
      </c>
      <c r="X39" s="16">
        <f>SOLID!AB8</f>
        <v>0</v>
      </c>
      <c r="Y39" s="16">
        <f>SOLID!AC8</f>
        <v>0</v>
      </c>
      <c r="Z39" s="16">
        <f>SOLID!AD8</f>
        <v>0</v>
      </c>
      <c r="AA39" s="16">
        <f>SOLID!AE8</f>
        <v>0</v>
      </c>
      <c r="AB39" s="16">
        <f>SOLID!AF8</f>
        <v>0</v>
      </c>
      <c r="AC39" s="16">
        <f>SOLID!AG8</f>
        <v>0</v>
      </c>
      <c r="AD39" s="16">
        <f>SOLID!AH8</f>
        <v>0</v>
      </c>
      <c r="AE39" s="16">
        <f>SOLID!AI8</f>
        <v>0</v>
      </c>
      <c r="AF39" s="16">
        <f>SOLID!AJ8</f>
        <v>0</v>
      </c>
      <c r="AG39" s="16">
        <f>SOLID!AK8</f>
        <v>0</v>
      </c>
      <c r="AH39" s="16">
        <f>SOLID!AL8</f>
        <v>0</v>
      </c>
      <c r="AI39" s="16">
        <f>SOLID!AM8</f>
        <v>0</v>
      </c>
      <c r="AJ39" s="16">
        <f>SOLID!AN8</f>
        <v>0</v>
      </c>
      <c r="AK39" s="16">
        <f>SOLID!AO8</f>
        <v>0</v>
      </c>
      <c r="AL39" s="16">
        <f>SOLID!AP8</f>
        <v>0</v>
      </c>
      <c r="AM39" s="16">
        <f>SOLID!AQ8</f>
        <v>0</v>
      </c>
      <c r="AN39" s="16">
        <f>SOLID!AR8</f>
        <v>0</v>
      </c>
      <c r="AO39" s="16">
        <f>SOLID!AS8</f>
        <v>0</v>
      </c>
      <c r="AP39" s="16">
        <f>SOLID!AT8</f>
        <v>0</v>
      </c>
      <c r="AQ39" s="16">
        <f>SOLID!AU8</f>
        <v>0</v>
      </c>
      <c r="AR39" s="16">
        <f>SOLID!AV8</f>
        <v>0</v>
      </c>
      <c r="AS39" s="16">
        <f>SOLID!AW8</f>
        <v>0</v>
      </c>
      <c r="AT39" s="16">
        <f>SOLID!AX8</f>
        <v>0</v>
      </c>
      <c r="AU39" s="16">
        <f>SOLID!AY8</f>
        <v>0</v>
      </c>
      <c r="AV39" s="16">
        <f>SOLID!AZ8</f>
        <v>0</v>
      </c>
      <c r="AW39" s="16">
        <f>SOLID!BA8</f>
        <v>0</v>
      </c>
      <c r="AX39" s="16">
        <f>SOLID!BB8</f>
        <v>0</v>
      </c>
      <c r="AY39" s="16">
        <f>SOLID!BC8</f>
        <v>0</v>
      </c>
      <c r="AZ39" s="16">
        <f>SOLID!BD8</f>
        <v>0</v>
      </c>
      <c r="BA39" s="16">
        <f>SOLID!BE8</f>
        <v>0</v>
      </c>
      <c r="BB39" s="16">
        <f>SOLID!BF8</f>
        <v>0</v>
      </c>
      <c r="BC39" s="16">
        <f>SOLID!BG8</f>
        <v>0</v>
      </c>
      <c r="BD39" s="16">
        <f>SOLID!BH8</f>
        <v>0</v>
      </c>
      <c r="BE39" s="16">
        <f>SOLID!BI8</f>
        <v>0</v>
      </c>
      <c r="BF39" s="16">
        <f>SOLID!BJ8</f>
        <v>0</v>
      </c>
      <c r="BG39" s="16">
        <f>SOLID!BK8</f>
        <v>0</v>
      </c>
      <c r="BH39" s="16">
        <f>SOLID!BL8</f>
        <v>0</v>
      </c>
      <c r="BI39" s="16">
        <f>SOLID!BM8</f>
        <v>0</v>
      </c>
      <c r="BJ39" s="16">
        <f>SOLID!BN8</f>
        <v>0</v>
      </c>
      <c r="BK39" s="16">
        <f>SOLID!BO8</f>
        <v>0</v>
      </c>
      <c r="BL39" s="16">
        <f>SOLID!BP8</f>
        <v>0</v>
      </c>
      <c r="BM39" s="16">
        <f>SOLID!BQ8</f>
        <v>0</v>
      </c>
      <c r="BN39" s="16">
        <f>SOLID!BR8</f>
        <v>0</v>
      </c>
      <c r="BO39" s="16">
        <f>SOLID!BS8</f>
        <v>0</v>
      </c>
      <c r="BP39" s="16">
        <f>SOLID!BT8</f>
        <v>0</v>
      </c>
      <c r="BQ39" s="16">
        <f>SOLID!BU8</f>
        <v>0</v>
      </c>
      <c r="BR39" s="16">
        <f>SOLID!BV8</f>
        <v>0</v>
      </c>
      <c r="BS39" s="16">
        <f>SOLID!BW8</f>
        <v>0</v>
      </c>
      <c r="BT39" s="16">
        <f>SOLID!BX8</f>
        <v>0</v>
      </c>
    </row>
    <row r="40" spans="1:72" ht="22.5" hidden="1" outlineLevel="1" thickTop="1" thickBot="1" x14ac:dyDescent="0.4">
      <c r="A40" s="88" t="str">
        <f>SOLID!E9</f>
        <v>*GaSe</v>
      </c>
      <c r="B40" s="16">
        <f>SOLID!F9</f>
        <v>0</v>
      </c>
      <c r="C40" s="16">
        <f>SOLID!G9</f>
        <v>0</v>
      </c>
      <c r="D40" s="16">
        <f>SOLID!H9</f>
        <v>0</v>
      </c>
      <c r="E40" s="16">
        <f>SOLID!I9</f>
        <v>0</v>
      </c>
      <c r="F40" s="16">
        <f>SOLID!J9</f>
        <v>0</v>
      </c>
      <c r="G40" s="16">
        <f>SOLID!K9</f>
        <v>0</v>
      </c>
      <c r="H40" s="16">
        <f>SOLID!L9</f>
        <v>0</v>
      </c>
      <c r="I40" s="16">
        <f>SOLID!M9</f>
        <v>3.0406999999999999E-30</v>
      </c>
      <c r="J40" s="16">
        <f>SOLID!N9</f>
        <v>9.2899000000000001E-25</v>
      </c>
      <c r="K40" s="16">
        <f>SOLID!O9</f>
        <v>6.1753000000000005E-14</v>
      </c>
      <c r="L40" s="16">
        <f>SOLID!P9</f>
        <v>5.7183000000000001E-17</v>
      </c>
      <c r="M40" s="16">
        <f>SOLID!Q9</f>
        <v>1.6400999999999999E-27</v>
      </c>
      <c r="N40" s="16">
        <f>SOLID!R9</f>
        <v>0</v>
      </c>
      <c r="O40" s="16">
        <f>SOLID!S9</f>
        <v>3.9739999999999998E-18</v>
      </c>
      <c r="P40" s="16">
        <f>SOLID!T9</f>
        <v>4.2968999999999999E-10</v>
      </c>
      <c r="Q40" s="16">
        <f>SOLID!U9</f>
        <v>1.4141000000000001E-8</v>
      </c>
      <c r="R40" s="16">
        <f>SOLID!V9</f>
        <v>1.4919E-7</v>
      </c>
      <c r="S40" s="16">
        <f>SOLID!W9</f>
        <v>0.08</v>
      </c>
      <c r="T40" s="16">
        <f>SOLID!X9</f>
        <v>0.08</v>
      </c>
      <c r="U40" s="16">
        <f>SOLID!Y9</f>
        <v>0.08</v>
      </c>
      <c r="V40" s="16">
        <f>SOLID!Z9</f>
        <v>0.08</v>
      </c>
      <c r="W40" s="16">
        <f>SOLID!AA9</f>
        <v>0.08</v>
      </c>
      <c r="X40" s="16">
        <f>SOLID!AB9</f>
        <v>0.08</v>
      </c>
      <c r="Y40" s="16">
        <f>SOLID!AC9</f>
        <v>0.08</v>
      </c>
      <c r="Z40" s="16">
        <f>SOLID!AD9</f>
        <v>0.08</v>
      </c>
      <c r="AA40" s="16">
        <f>SOLID!AE9</f>
        <v>0.08</v>
      </c>
      <c r="AB40" s="16">
        <f>SOLID!AF9</f>
        <v>0.08</v>
      </c>
      <c r="AC40" s="16">
        <f>SOLID!AG9</f>
        <v>1.8994000000000001E-3</v>
      </c>
      <c r="AD40" s="16">
        <f>SOLID!AH9</f>
        <v>1.0451E-8</v>
      </c>
      <c r="AE40" s="16">
        <f>SOLID!AI9</f>
        <v>5.5252999999999995E-10</v>
      </c>
      <c r="AF40" s="16">
        <f>SOLID!AJ9</f>
        <v>1.4544999999999999E-14</v>
      </c>
      <c r="AG40" s="16">
        <f>SOLID!AK9</f>
        <v>0</v>
      </c>
      <c r="AH40" s="16">
        <f>SOLID!AL9</f>
        <v>0</v>
      </c>
      <c r="AI40" s="16">
        <f>SOLID!AM9</f>
        <v>0</v>
      </c>
      <c r="AJ40" s="16">
        <f>SOLID!AN9</f>
        <v>0</v>
      </c>
      <c r="AK40" s="16">
        <f>SOLID!AO9</f>
        <v>0</v>
      </c>
      <c r="AL40" s="16">
        <f>SOLID!AP9</f>
        <v>0</v>
      </c>
      <c r="AM40" s="16">
        <f>SOLID!AQ9</f>
        <v>0</v>
      </c>
      <c r="AN40" s="16">
        <f>SOLID!AR9</f>
        <v>0</v>
      </c>
      <c r="AO40" s="16">
        <f>SOLID!AS9</f>
        <v>0</v>
      </c>
      <c r="AP40" s="16">
        <f>SOLID!AT9</f>
        <v>0</v>
      </c>
      <c r="AQ40" s="16">
        <f>SOLID!AU9</f>
        <v>0</v>
      </c>
      <c r="AR40" s="16">
        <f>SOLID!AV9</f>
        <v>0</v>
      </c>
      <c r="AS40" s="16">
        <f>SOLID!AW9</f>
        <v>0</v>
      </c>
      <c r="AT40" s="16">
        <f>SOLID!AX9</f>
        <v>0</v>
      </c>
      <c r="AU40" s="16">
        <f>SOLID!AY9</f>
        <v>0</v>
      </c>
      <c r="AV40" s="16">
        <f>SOLID!AZ9</f>
        <v>0</v>
      </c>
      <c r="AW40" s="16">
        <f>SOLID!BA9</f>
        <v>0</v>
      </c>
      <c r="AX40" s="16">
        <f>SOLID!BB9</f>
        <v>0</v>
      </c>
      <c r="AY40" s="16">
        <f>SOLID!BC9</f>
        <v>0</v>
      </c>
      <c r="AZ40" s="16">
        <f>SOLID!BD9</f>
        <v>0</v>
      </c>
      <c r="BA40" s="16">
        <f>SOLID!BE9</f>
        <v>0</v>
      </c>
      <c r="BB40" s="16">
        <f>SOLID!BF9</f>
        <v>0</v>
      </c>
      <c r="BC40" s="16">
        <f>SOLID!BG9</f>
        <v>0</v>
      </c>
      <c r="BD40" s="16">
        <f>SOLID!BH9</f>
        <v>0</v>
      </c>
      <c r="BE40" s="16">
        <f>SOLID!BI9</f>
        <v>0</v>
      </c>
      <c r="BF40" s="16">
        <f>SOLID!BJ9</f>
        <v>0</v>
      </c>
      <c r="BG40" s="16">
        <f>SOLID!BK9</f>
        <v>0</v>
      </c>
      <c r="BH40" s="16">
        <f>SOLID!BL9</f>
        <v>0</v>
      </c>
      <c r="BI40" s="16">
        <f>SOLID!BM9</f>
        <v>0</v>
      </c>
      <c r="BJ40" s="16">
        <f>SOLID!BN9</f>
        <v>0</v>
      </c>
      <c r="BK40" s="16">
        <f>SOLID!BO9</f>
        <v>0</v>
      </c>
      <c r="BL40" s="16">
        <f>SOLID!BP9</f>
        <v>0</v>
      </c>
      <c r="BM40" s="16">
        <f>SOLID!BQ9</f>
        <v>0</v>
      </c>
      <c r="BN40" s="16">
        <f>SOLID!BR9</f>
        <v>0</v>
      </c>
      <c r="BO40" s="16">
        <f>SOLID!BS9</f>
        <v>0</v>
      </c>
      <c r="BP40" s="16">
        <f>SOLID!BT9</f>
        <v>0</v>
      </c>
      <c r="BQ40" s="16">
        <f>SOLID!BU9</f>
        <v>0</v>
      </c>
      <c r="BR40" s="16">
        <f>SOLID!BV9</f>
        <v>0</v>
      </c>
      <c r="BS40" s="16">
        <f>SOLID!BW9</f>
        <v>0</v>
      </c>
      <c r="BT40" s="16">
        <f>SOLID!BX9</f>
        <v>0</v>
      </c>
    </row>
    <row r="41" spans="1:72" ht="22.5" hidden="1" outlineLevel="1" thickTop="1" thickBot="1" x14ac:dyDescent="0.4">
      <c r="A41" s="88" t="str">
        <f>SOLID!E10</f>
        <v>*Ge[l]</v>
      </c>
      <c r="B41" s="16">
        <f>SOLID!F10</f>
        <v>0</v>
      </c>
      <c r="C41" s="16">
        <f>SOLID!G10</f>
        <v>0</v>
      </c>
      <c r="D41" s="16">
        <f>SOLID!H10</f>
        <v>0</v>
      </c>
      <c r="E41" s="16">
        <f>SOLID!I10</f>
        <v>0</v>
      </c>
      <c r="F41" s="16">
        <f>SOLID!J10</f>
        <v>0</v>
      </c>
      <c r="G41" s="16">
        <f>SOLID!K10</f>
        <v>0</v>
      </c>
      <c r="H41" s="16">
        <f>SOLID!L10</f>
        <v>0</v>
      </c>
      <c r="I41" s="16">
        <f>SOLID!M10</f>
        <v>0</v>
      </c>
      <c r="J41" s="16">
        <f>SOLID!N10</f>
        <v>0</v>
      </c>
      <c r="K41" s="16">
        <f>SOLID!O10</f>
        <v>1.3843E-31</v>
      </c>
      <c r="L41" s="16">
        <f>SOLID!P10</f>
        <v>0</v>
      </c>
      <c r="M41" s="16">
        <f>SOLID!Q10</f>
        <v>0</v>
      </c>
      <c r="N41" s="16">
        <f>SOLID!R10</f>
        <v>0</v>
      </c>
      <c r="O41" s="16">
        <f>SOLID!S10</f>
        <v>0</v>
      </c>
      <c r="P41" s="16">
        <f>SOLID!T10</f>
        <v>2.5900000000000001E-34</v>
      </c>
      <c r="Q41" s="16">
        <f>SOLID!U10</f>
        <v>0</v>
      </c>
      <c r="R41" s="16">
        <f>SOLID!V10</f>
        <v>0</v>
      </c>
      <c r="S41" s="16">
        <f>SOLID!W10</f>
        <v>0</v>
      </c>
      <c r="T41" s="16">
        <f>SOLID!X10</f>
        <v>0</v>
      </c>
      <c r="U41" s="16">
        <f>SOLID!Y10</f>
        <v>2.9135999999999998E-22</v>
      </c>
      <c r="V41" s="16">
        <f>SOLID!Z10</f>
        <v>8.8544E-17</v>
      </c>
      <c r="W41" s="16">
        <f>SOLID!AA10</f>
        <v>3.4012000000000002E-13</v>
      </c>
      <c r="X41" s="16">
        <f>SOLID!AB10</f>
        <v>1.1625999999999999E-12</v>
      </c>
      <c r="Y41" s="16">
        <f>SOLID!AC10</f>
        <v>7.2173E-13</v>
      </c>
      <c r="Z41" s="16">
        <f>SOLID!AD10</f>
        <v>6.0849000000000004E-14</v>
      </c>
      <c r="AA41" s="16">
        <f>SOLID!AE10</f>
        <v>1.8339000000000001E-17</v>
      </c>
      <c r="AB41" s="16">
        <f>SOLID!AF10</f>
        <v>3.1429000000000002E-26</v>
      </c>
      <c r="AC41" s="16">
        <f>SOLID!AG10</f>
        <v>0</v>
      </c>
      <c r="AD41" s="16">
        <f>SOLID!AH10</f>
        <v>7.9657999999999999E-17</v>
      </c>
      <c r="AE41" s="16">
        <f>SOLID!AI10</f>
        <v>2.0289999999999999E-10</v>
      </c>
      <c r="AF41" s="16">
        <f>SOLID!AJ10</f>
        <v>2.2776E-10</v>
      </c>
      <c r="AG41" s="16">
        <f>SOLID!AK10</f>
        <v>3.9276E-10</v>
      </c>
      <c r="AH41" s="16">
        <f>SOLID!AL10</f>
        <v>1.6722000000000001E-9</v>
      </c>
      <c r="AI41" s="16">
        <f>SOLID!AM10</f>
        <v>2.6638999999999999E-9</v>
      </c>
      <c r="AJ41" s="16">
        <f>SOLID!AN10</f>
        <v>4.7114000000000001E-9</v>
      </c>
      <c r="AK41" s="16">
        <f>SOLID!AO10</f>
        <v>4.2391000000000004E-9</v>
      </c>
      <c r="AL41" s="16">
        <f>SOLID!AP10</f>
        <v>0</v>
      </c>
      <c r="AM41" s="16">
        <f>SOLID!AQ10</f>
        <v>0</v>
      </c>
      <c r="AN41" s="16">
        <f>SOLID!AR10</f>
        <v>0</v>
      </c>
      <c r="AO41" s="16">
        <f>SOLID!AS10</f>
        <v>0</v>
      </c>
      <c r="AP41" s="16">
        <f>SOLID!AT10</f>
        <v>0</v>
      </c>
      <c r="AQ41" s="16">
        <f>SOLID!AU10</f>
        <v>0</v>
      </c>
      <c r="AR41" s="16">
        <f>SOLID!AV10</f>
        <v>0</v>
      </c>
      <c r="AS41" s="16">
        <f>SOLID!AW10</f>
        <v>0</v>
      </c>
      <c r="AT41" s="16">
        <f>SOLID!AX10</f>
        <v>0</v>
      </c>
      <c r="AU41" s="16">
        <f>SOLID!AY10</f>
        <v>0</v>
      </c>
      <c r="AV41" s="16">
        <f>SOLID!AZ10</f>
        <v>0</v>
      </c>
      <c r="AW41" s="16">
        <f>SOLID!BA10</f>
        <v>0</v>
      </c>
      <c r="AX41" s="16">
        <f>SOLID!BB10</f>
        <v>0</v>
      </c>
      <c r="AY41" s="16">
        <f>SOLID!BC10</f>
        <v>0</v>
      </c>
      <c r="AZ41" s="16">
        <f>SOLID!BD10</f>
        <v>0</v>
      </c>
      <c r="BA41" s="16">
        <f>SOLID!BE10</f>
        <v>0</v>
      </c>
      <c r="BB41" s="16">
        <f>SOLID!BF10</f>
        <v>0</v>
      </c>
      <c r="BC41" s="16">
        <f>SOLID!BG10</f>
        <v>0</v>
      </c>
      <c r="BD41" s="16">
        <f>SOLID!BH10</f>
        <v>0</v>
      </c>
      <c r="BE41" s="16">
        <f>SOLID!BI10</f>
        <v>0</v>
      </c>
      <c r="BF41" s="16">
        <f>SOLID!BJ10</f>
        <v>0</v>
      </c>
      <c r="BG41" s="16">
        <f>SOLID!BK10</f>
        <v>0</v>
      </c>
      <c r="BH41" s="16">
        <f>SOLID!BL10</f>
        <v>0</v>
      </c>
      <c r="BI41" s="16">
        <f>SOLID!BM10</f>
        <v>0</v>
      </c>
      <c r="BJ41" s="16">
        <f>SOLID!BN10</f>
        <v>0</v>
      </c>
      <c r="BK41" s="16">
        <f>SOLID!BO10</f>
        <v>0</v>
      </c>
      <c r="BL41" s="16">
        <f>SOLID!BP10</f>
        <v>0</v>
      </c>
      <c r="BM41" s="16">
        <f>SOLID!BQ10</f>
        <v>0</v>
      </c>
      <c r="BN41" s="16">
        <f>SOLID!BR10</f>
        <v>0</v>
      </c>
      <c r="BO41" s="16">
        <f>SOLID!BS10</f>
        <v>0</v>
      </c>
      <c r="BP41" s="16">
        <f>SOLID!BT10</f>
        <v>0</v>
      </c>
      <c r="BQ41" s="16">
        <f>SOLID!BU10</f>
        <v>0</v>
      </c>
      <c r="BR41" s="16">
        <f>SOLID!BV10</f>
        <v>0</v>
      </c>
      <c r="BS41" s="16">
        <f>SOLID!BW10</f>
        <v>0</v>
      </c>
      <c r="BT41" s="16">
        <f>SOLID!BX10</f>
        <v>0</v>
      </c>
    </row>
    <row r="42" spans="1:72" ht="22.5" hidden="1" outlineLevel="1" thickTop="1" thickBot="1" x14ac:dyDescent="0.4">
      <c r="A42" s="88" t="str">
        <f>SOLID!E11</f>
        <v>*GeSe</v>
      </c>
      <c r="B42" s="16">
        <f>SOLID!F11</f>
        <v>0.12</v>
      </c>
      <c r="C42" s="16">
        <f>SOLID!G11</f>
        <v>0.12</v>
      </c>
      <c r="D42" s="16">
        <f>SOLID!H11</f>
        <v>0.12</v>
      </c>
      <c r="E42" s="16">
        <f>SOLID!I11</f>
        <v>0.12</v>
      </c>
      <c r="F42" s="16">
        <f>SOLID!J11</f>
        <v>0.12</v>
      </c>
      <c r="G42" s="16">
        <f>SOLID!K11</f>
        <v>0.24</v>
      </c>
      <c r="H42" s="16">
        <f>SOLID!L11</f>
        <v>0.24</v>
      </c>
      <c r="I42" s="16">
        <f>SOLID!M11</f>
        <v>0.24</v>
      </c>
      <c r="J42" s="16">
        <f>SOLID!N11</f>
        <v>0.24</v>
      </c>
      <c r="K42" s="16">
        <f>SOLID!O11</f>
        <v>0.24</v>
      </c>
      <c r="L42" s="16">
        <f>SOLID!P11</f>
        <v>0.24</v>
      </c>
      <c r="M42" s="16">
        <f>SOLID!Q11</f>
        <v>0.24</v>
      </c>
      <c r="N42" s="16">
        <f>SOLID!R11</f>
        <v>1.7126000000000001E-7</v>
      </c>
      <c r="O42" s="16">
        <f>SOLID!S11</f>
        <v>2.3768999999999999E-9</v>
      </c>
      <c r="P42" s="16">
        <f>SOLID!T11</f>
        <v>7.5112000000000004E-11</v>
      </c>
      <c r="Q42" s="16">
        <f>SOLID!U11</f>
        <v>4.8776E-20</v>
      </c>
      <c r="R42" s="16">
        <f>SOLID!V11</f>
        <v>0</v>
      </c>
      <c r="S42" s="16">
        <f>SOLID!W11</f>
        <v>0</v>
      </c>
      <c r="T42" s="16">
        <f>SOLID!X11</f>
        <v>0</v>
      </c>
      <c r="U42" s="16">
        <f>SOLID!Y11</f>
        <v>1.6351E-26</v>
      </c>
      <c r="V42" s="16">
        <f>SOLID!Z11</f>
        <v>5.1509999999999999E-23</v>
      </c>
      <c r="W42" s="16">
        <f>SOLID!AA11</f>
        <v>1.2508E-20</v>
      </c>
      <c r="X42" s="16">
        <f>SOLID!AB11</f>
        <v>1.1250000000000001E-34</v>
      </c>
      <c r="Y42" s="16">
        <f>SOLID!AC11</f>
        <v>0</v>
      </c>
      <c r="Z42" s="16">
        <f>SOLID!AD11</f>
        <v>0</v>
      </c>
      <c r="AA42" s="16">
        <f>SOLID!AE11</f>
        <v>0</v>
      </c>
      <c r="AB42" s="16">
        <f>SOLID!AF11</f>
        <v>0</v>
      </c>
      <c r="AC42" s="16">
        <f>SOLID!AG11</f>
        <v>0</v>
      </c>
      <c r="AD42" s="16">
        <f>SOLID!AH11</f>
        <v>0</v>
      </c>
      <c r="AE42" s="16">
        <f>SOLID!AI11</f>
        <v>0</v>
      </c>
      <c r="AF42" s="16">
        <f>SOLID!AJ11</f>
        <v>0</v>
      </c>
      <c r="AG42" s="16">
        <f>SOLID!AK11</f>
        <v>0</v>
      </c>
      <c r="AH42" s="16">
        <f>SOLID!AL11</f>
        <v>0</v>
      </c>
      <c r="AI42" s="16">
        <f>SOLID!AM11</f>
        <v>0</v>
      </c>
      <c r="AJ42" s="16">
        <f>SOLID!AN11</f>
        <v>0</v>
      </c>
      <c r="AK42" s="16">
        <f>SOLID!AO11</f>
        <v>0</v>
      </c>
      <c r="AL42" s="16">
        <f>SOLID!AP11</f>
        <v>0</v>
      </c>
      <c r="AM42" s="16">
        <f>SOLID!AQ11</f>
        <v>0</v>
      </c>
      <c r="AN42" s="16">
        <f>SOLID!AR11</f>
        <v>0</v>
      </c>
      <c r="AO42" s="16">
        <f>SOLID!AS11</f>
        <v>0</v>
      </c>
      <c r="AP42" s="16">
        <f>SOLID!AT11</f>
        <v>0</v>
      </c>
      <c r="AQ42" s="16">
        <f>SOLID!AU11</f>
        <v>0</v>
      </c>
      <c r="AR42" s="16">
        <f>SOLID!AV11</f>
        <v>0</v>
      </c>
      <c r="AS42" s="16">
        <f>SOLID!AW11</f>
        <v>0</v>
      </c>
      <c r="AT42" s="16">
        <f>SOLID!AX11</f>
        <v>0</v>
      </c>
      <c r="AU42" s="16">
        <f>SOLID!AY11</f>
        <v>0</v>
      </c>
      <c r="AV42" s="16">
        <f>SOLID!AZ11</f>
        <v>0</v>
      </c>
      <c r="AW42" s="16">
        <f>SOLID!BA11</f>
        <v>0</v>
      </c>
      <c r="AX42" s="16">
        <f>SOLID!BB11</f>
        <v>0</v>
      </c>
      <c r="AY42" s="16">
        <f>SOLID!BC11</f>
        <v>0</v>
      </c>
      <c r="AZ42" s="16">
        <f>SOLID!BD11</f>
        <v>0</v>
      </c>
      <c r="BA42" s="16">
        <f>SOLID!BE11</f>
        <v>0</v>
      </c>
      <c r="BB42" s="16">
        <f>SOLID!BF11</f>
        <v>0</v>
      </c>
      <c r="BC42" s="16">
        <f>SOLID!BG11</f>
        <v>0</v>
      </c>
      <c r="BD42" s="16">
        <f>SOLID!BH11</f>
        <v>0</v>
      </c>
      <c r="BE42" s="16">
        <f>SOLID!BI11</f>
        <v>0</v>
      </c>
      <c r="BF42" s="16">
        <f>SOLID!BJ11</f>
        <v>0</v>
      </c>
      <c r="BG42" s="16">
        <f>SOLID!BK11</f>
        <v>0</v>
      </c>
      <c r="BH42" s="16">
        <f>SOLID!BL11</f>
        <v>0</v>
      </c>
      <c r="BI42" s="16">
        <f>SOLID!BM11</f>
        <v>0</v>
      </c>
      <c r="BJ42" s="16">
        <f>SOLID!BN11</f>
        <v>0</v>
      </c>
      <c r="BK42" s="16">
        <f>SOLID!BO11</f>
        <v>0</v>
      </c>
      <c r="BL42" s="16">
        <f>SOLID!BP11</f>
        <v>0</v>
      </c>
      <c r="BM42" s="16">
        <f>SOLID!BQ11</f>
        <v>0</v>
      </c>
      <c r="BN42" s="16">
        <f>SOLID!BR11</f>
        <v>0</v>
      </c>
      <c r="BO42" s="16">
        <f>SOLID!BS11</f>
        <v>0</v>
      </c>
      <c r="BP42" s="16">
        <f>SOLID!BT11</f>
        <v>0</v>
      </c>
      <c r="BQ42" s="16">
        <f>SOLID!BU11</f>
        <v>0</v>
      </c>
      <c r="BR42" s="16">
        <f>SOLID!BV11</f>
        <v>0</v>
      </c>
      <c r="BS42" s="16">
        <f>SOLID!BW11</f>
        <v>0</v>
      </c>
      <c r="BT42" s="16">
        <f>SOLID!BX11</f>
        <v>0</v>
      </c>
    </row>
    <row r="43" spans="1:72" ht="22.5" hidden="1" outlineLevel="1" thickTop="1" thickBot="1" x14ac:dyDescent="0.4">
      <c r="A43" s="88" t="str">
        <f>SOLID!E12</f>
        <v>Ga2Se</v>
      </c>
      <c r="B43" s="16">
        <f>SOLID!F12</f>
        <v>0</v>
      </c>
      <c r="C43" s="16">
        <f>SOLID!G12</f>
        <v>0</v>
      </c>
      <c r="D43" s="16">
        <f>SOLID!H12</f>
        <v>0</v>
      </c>
      <c r="E43" s="16">
        <f>SOLID!I12</f>
        <v>0</v>
      </c>
      <c r="F43" s="16">
        <f>SOLID!J12</f>
        <v>0</v>
      </c>
      <c r="G43" s="16">
        <f>SOLID!K12</f>
        <v>0</v>
      </c>
      <c r="H43" s="16">
        <f>SOLID!L12</f>
        <v>0</v>
      </c>
      <c r="I43" s="16">
        <f>SOLID!M12</f>
        <v>0</v>
      </c>
      <c r="J43" s="16">
        <f>SOLID!N12</f>
        <v>0</v>
      </c>
      <c r="K43" s="16">
        <f>SOLID!O12</f>
        <v>6.7158000000000004E-32</v>
      </c>
      <c r="L43" s="16">
        <f>SOLID!P12</f>
        <v>7.8559999999999994E-30</v>
      </c>
      <c r="M43" s="16">
        <f>SOLID!Q12</f>
        <v>6.8758000000000001E-28</v>
      </c>
      <c r="N43" s="16">
        <f>SOLID!R12</f>
        <v>4.6262E-26</v>
      </c>
      <c r="O43" s="16">
        <f>SOLID!S12</f>
        <v>2.4502999999999999E-24</v>
      </c>
      <c r="P43" s="16">
        <f>SOLID!T12</f>
        <v>1.0432999999999999E-22</v>
      </c>
      <c r="Q43" s="16">
        <f>SOLID!U12</f>
        <v>3.6384000000000001E-21</v>
      </c>
      <c r="R43" s="16">
        <f>SOLID!V12</f>
        <v>1.0564E-19</v>
      </c>
      <c r="S43" s="16">
        <f>SOLID!W12</f>
        <v>2.1632000000000002E-18</v>
      </c>
      <c r="T43" s="16">
        <f>SOLID!X12</f>
        <v>2.2930999999999999E-17</v>
      </c>
      <c r="U43" s="16">
        <f>SOLID!Y12</f>
        <v>2.164E-16</v>
      </c>
      <c r="V43" s="16">
        <f>SOLID!Z12</f>
        <v>1.8337999999999999E-15</v>
      </c>
      <c r="W43" s="16">
        <f>SOLID!AA12</f>
        <v>1.4064E-14</v>
      </c>
      <c r="X43" s="16">
        <f>SOLID!AB12</f>
        <v>2.0505000000000001E-11</v>
      </c>
      <c r="Y43" s="16">
        <f>SOLID!AC12</f>
        <v>1.0499E-10</v>
      </c>
      <c r="Z43" s="16">
        <f>SOLID!AD12</f>
        <v>5.0348E-10</v>
      </c>
      <c r="AA43" s="16">
        <f>SOLID!AE12</f>
        <v>2.2703999999999999E-9</v>
      </c>
      <c r="AB43" s="16">
        <f>SOLID!AF12</f>
        <v>9.6634000000000004E-9</v>
      </c>
      <c r="AC43" s="16">
        <f>SOLID!AG12</f>
        <v>3.7785999999999998E-8</v>
      </c>
      <c r="AD43" s="16">
        <f>SOLID!AH12</f>
        <v>3.7529999999999999E-8</v>
      </c>
      <c r="AE43" s="16">
        <f>SOLID!AI12</f>
        <v>3.6855000000000001E-8</v>
      </c>
      <c r="AF43" s="16">
        <f>SOLID!AJ12</f>
        <v>3.5753999999999997E-8</v>
      </c>
      <c r="AG43" s="16">
        <f>SOLID!AK12</f>
        <v>2.8010999999999999E-8</v>
      </c>
      <c r="AH43" s="16">
        <f>SOLID!AL12</f>
        <v>2.5524999999999999E-8</v>
      </c>
      <c r="AI43" s="16">
        <f>SOLID!AM12</f>
        <v>2.2941E-8</v>
      </c>
      <c r="AJ43" s="16">
        <f>SOLID!AN12</f>
        <v>2.0319999999999999E-8</v>
      </c>
      <c r="AK43" s="16">
        <f>SOLID!AO12</f>
        <v>1.7716999999999999E-8</v>
      </c>
      <c r="AL43" s="16">
        <f>SOLID!AP12</f>
        <v>0</v>
      </c>
      <c r="AM43" s="16">
        <f>SOLID!AQ12</f>
        <v>0</v>
      </c>
      <c r="AN43" s="16">
        <f>SOLID!AR12</f>
        <v>0</v>
      </c>
      <c r="AO43" s="16">
        <f>SOLID!AS12</f>
        <v>0</v>
      </c>
      <c r="AP43" s="16">
        <f>SOLID!AT12</f>
        <v>0</v>
      </c>
      <c r="AQ43" s="16">
        <f>SOLID!AU12</f>
        <v>0</v>
      </c>
      <c r="AR43" s="16">
        <f>SOLID!AV12</f>
        <v>0</v>
      </c>
      <c r="AS43" s="16">
        <f>SOLID!AW12</f>
        <v>0</v>
      </c>
      <c r="AT43" s="16">
        <f>SOLID!AX12</f>
        <v>0</v>
      </c>
      <c r="AU43" s="16">
        <f>SOLID!AY12</f>
        <v>0</v>
      </c>
      <c r="AV43" s="16">
        <f>SOLID!AZ12</f>
        <v>0</v>
      </c>
      <c r="AW43" s="16">
        <f>SOLID!BA12</f>
        <v>0</v>
      </c>
      <c r="AX43" s="16">
        <f>SOLID!BB12</f>
        <v>0</v>
      </c>
      <c r="AY43" s="16">
        <f>SOLID!BC12</f>
        <v>0</v>
      </c>
      <c r="AZ43" s="16">
        <f>SOLID!BD12</f>
        <v>0</v>
      </c>
      <c r="BA43" s="16">
        <f>SOLID!BE12</f>
        <v>0</v>
      </c>
      <c r="BB43" s="16">
        <f>SOLID!BF12</f>
        <v>0</v>
      </c>
      <c r="BC43" s="16">
        <f>SOLID!BG12</f>
        <v>0</v>
      </c>
      <c r="BD43" s="16">
        <f>SOLID!BH12</f>
        <v>0</v>
      </c>
      <c r="BE43" s="16">
        <f>SOLID!BI12</f>
        <v>0</v>
      </c>
      <c r="BF43" s="16">
        <f>SOLID!BJ12</f>
        <v>0</v>
      </c>
      <c r="BG43" s="16">
        <f>SOLID!BK12</f>
        <v>0</v>
      </c>
      <c r="BH43" s="16">
        <f>SOLID!BL12</f>
        <v>0</v>
      </c>
      <c r="BI43" s="16">
        <f>SOLID!BM12</f>
        <v>0</v>
      </c>
      <c r="BJ43" s="16">
        <f>SOLID!BN12</f>
        <v>0</v>
      </c>
      <c r="BK43" s="16">
        <f>SOLID!BO12</f>
        <v>0</v>
      </c>
      <c r="BL43" s="16">
        <f>SOLID!BP12</f>
        <v>0</v>
      </c>
      <c r="BM43" s="16">
        <f>SOLID!BQ12</f>
        <v>0</v>
      </c>
      <c r="BN43" s="16">
        <f>SOLID!BR12</f>
        <v>0</v>
      </c>
      <c r="BO43" s="16">
        <f>SOLID!BS12</f>
        <v>0</v>
      </c>
      <c r="BP43" s="16">
        <f>SOLID!BT12</f>
        <v>0</v>
      </c>
      <c r="BQ43" s="16">
        <f>SOLID!BU12</f>
        <v>0</v>
      </c>
      <c r="BR43" s="16">
        <f>SOLID!BV12</f>
        <v>0</v>
      </c>
      <c r="BS43" s="16">
        <f>SOLID!BW12</f>
        <v>0</v>
      </c>
      <c r="BT43" s="16">
        <f>SOLID!BX12</f>
        <v>0</v>
      </c>
    </row>
    <row r="44" spans="1:72" ht="22.5" hidden="1" outlineLevel="1" thickTop="1" thickBot="1" x14ac:dyDescent="0.4">
      <c r="A44" s="88" t="str">
        <f>SOLID!E13</f>
        <v>Ar</v>
      </c>
      <c r="B44" s="16">
        <f>SOLID!F13</f>
        <v>0.2</v>
      </c>
      <c r="C44" s="16">
        <f>SOLID!G13</f>
        <v>0.2</v>
      </c>
      <c r="D44" s="16">
        <f>SOLID!H13</f>
        <v>0.2</v>
      </c>
      <c r="E44" s="16">
        <f>SOLID!I13</f>
        <v>0.2</v>
      </c>
      <c r="F44" s="16">
        <f>SOLID!J13</f>
        <v>0.2</v>
      </c>
      <c r="G44" s="16">
        <f>SOLID!K13</f>
        <v>0.2</v>
      </c>
      <c r="H44" s="16">
        <f>SOLID!L13</f>
        <v>0.2</v>
      </c>
      <c r="I44" s="16">
        <f>SOLID!M13</f>
        <v>0.2</v>
      </c>
      <c r="J44" s="16">
        <f>SOLID!N13</f>
        <v>0.2</v>
      </c>
      <c r="K44" s="16">
        <f>SOLID!O13</f>
        <v>0.2</v>
      </c>
      <c r="L44" s="16">
        <f>SOLID!P13</f>
        <v>0.2</v>
      </c>
      <c r="M44" s="16">
        <f>SOLID!Q13</f>
        <v>0.2</v>
      </c>
      <c r="N44" s="16">
        <f>SOLID!R13</f>
        <v>0.2</v>
      </c>
      <c r="O44" s="16">
        <f>SOLID!S13</f>
        <v>0.2</v>
      </c>
      <c r="P44" s="16">
        <f>SOLID!T13</f>
        <v>0.2</v>
      </c>
      <c r="Q44" s="16">
        <f>SOLID!U13</f>
        <v>0.2</v>
      </c>
      <c r="R44" s="16">
        <f>SOLID!V13</f>
        <v>0.2</v>
      </c>
      <c r="S44" s="16">
        <f>SOLID!W13</f>
        <v>0.2</v>
      </c>
      <c r="T44" s="16">
        <f>SOLID!X13</f>
        <v>0.2</v>
      </c>
      <c r="U44" s="16">
        <f>SOLID!Y13</f>
        <v>0.2</v>
      </c>
      <c r="V44" s="16">
        <f>SOLID!Z13</f>
        <v>0.2</v>
      </c>
      <c r="W44" s="16">
        <f>SOLID!AA13</f>
        <v>0.2</v>
      </c>
      <c r="X44" s="16">
        <f>SOLID!AB13</f>
        <v>0.2</v>
      </c>
      <c r="Y44" s="16">
        <f>SOLID!AC13</f>
        <v>0.2</v>
      </c>
      <c r="Z44" s="16">
        <f>SOLID!AD13</f>
        <v>0.2</v>
      </c>
      <c r="AA44" s="16">
        <f>SOLID!AE13</f>
        <v>0.2</v>
      </c>
      <c r="AB44" s="16">
        <f>SOLID!AF13</f>
        <v>0.2</v>
      </c>
      <c r="AC44" s="16">
        <f>SOLID!AG13</f>
        <v>0.2</v>
      </c>
      <c r="AD44" s="16">
        <f>SOLID!AH13</f>
        <v>0.2</v>
      </c>
      <c r="AE44" s="16">
        <f>SOLID!AI13</f>
        <v>0.2</v>
      </c>
      <c r="AF44" s="16">
        <f>SOLID!AJ13</f>
        <v>0.2</v>
      </c>
      <c r="AG44" s="16">
        <f>SOLID!AK13</f>
        <v>0.2</v>
      </c>
      <c r="AH44" s="16">
        <f>SOLID!AL13</f>
        <v>0.2</v>
      </c>
      <c r="AI44" s="16">
        <f>SOLID!AM13</f>
        <v>0.2</v>
      </c>
      <c r="AJ44" s="16">
        <f>SOLID!AN13</f>
        <v>0.2</v>
      </c>
      <c r="AK44" s="16">
        <f>SOLID!AO13</f>
        <v>0.2</v>
      </c>
      <c r="AL44" s="16">
        <f>SOLID!AP13</f>
        <v>0</v>
      </c>
      <c r="AM44" s="16">
        <f>SOLID!AQ13</f>
        <v>0</v>
      </c>
      <c r="AN44" s="16">
        <f>SOLID!AR13</f>
        <v>0</v>
      </c>
      <c r="AO44" s="16">
        <f>SOLID!AS13</f>
        <v>0</v>
      </c>
      <c r="AP44" s="16">
        <f>SOLID!AT13</f>
        <v>0</v>
      </c>
      <c r="AQ44" s="16">
        <f>SOLID!AU13</f>
        <v>0</v>
      </c>
      <c r="AR44" s="16">
        <f>SOLID!AV13</f>
        <v>0</v>
      </c>
      <c r="AS44" s="16">
        <f>SOLID!AW13</f>
        <v>0</v>
      </c>
      <c r="AT44" s="16">
        <f>SOLID!AX13</f>
        <v>0</v>
      </c>
      <c r="AU44" s="16">
        <f>SOLID!AY13</f>
        <v>0</v>
      </c>
      <c r="AV44" s="16">
        <f>SOLID!AZ13</f>
        <v>0</v>
      </c>
      <c r="AW44" s="16">
        <f>SOLID!BA13</f>
        <v>0</v>
      </c>
      <c r="AX44" s="16">
        <f>SOLID!BB13</f>
        <v>0</v>
      </c>
      <c r="AY44" s="16">
        <f>SOLID!BC13</f>
        <v>0</v>
      </c>
      <c r="AZ44" s="16">
        <f>SOLID!BD13</f>
        <v>0</v>
      </c>
      <c r="BA44" s="16">
        <f>SOLID!BE13</f>
        <v>0</v>
      </c>
      <c r="BB44" s="16">
        <f>SOLID!BF13</f>
        <v>0</v>
      </c>
      <c r="BC44" s="16">
        <f>SOLID!BG13</f>
        <v>0</v>
      </c>
      <c r="BD44" s="16">
        <f>SOLID!BH13</f>
        <v>0</v>
      </c>
      <c r="BE44" s="16">
        <f>SOLID!BI13</f>
        <v>0</v>
      </c>
      <c r="BF44" s="16">
        <f>SOLID!BJ13</f>
        <v>0</v>
      </c>
      <c r="BG44" s="16">
        <f>SOLID!BK13</f>
        <v>0</v>
      </c>
      <c r="BH44" s="16">
        <f>SOLID!BL13</f>
        <v>0</v>
      </c>
      <c r="BI44" s="16">
        <f>SOLID!BM13</f>
        <v>0</v>
      </c>
      <c r="BJ44" s="16">
        <f>SOLID!BN13</f>
        <v>0</v>
      </c>
      <c r="BK44" s="16">
        <f>SOLID!BO13</f>
        <v>0</v>
      </c>
      <c r="BL44" s="16">
        <f>SOLID!BP13</f>
        <v>0</v>
      </c>
      <c r="BM44" s="16">
        <f>SOLID!BQ13</f>
        <v>0</v>
      </c>
      <c r="BN44" s="16">
        <f>SOLID!BR13</f>
        <v>0</v>
      </c>
      <c r="BO44" s="16">
        <f>SOLID!BS13</f>
        <v>0</v>
      </c>
      <c r="BP44" s="16">
        <f>SOLID!BT13</f>
        <v>0</v>
      </c>
      <c r="BQ44" s="16">
        <f>SOLID!BU13</f>
        <v>0</v>
      </c>
      <c r="BR44" s="16">
        <f>SOLID!BV13</f>
        <v>0</v>
      </c>
      <c r="BS44" s="16">
        <f>SOLID!BW13</f>
        <v>0</v>
      </c>
      <c r="BT44" s="16">
        <f>SOLID!BX13</f>
        <v>0</v>
      </c>
    </row>
    <row r="45" spans="1:72" ht="22.5" hidden="1" outlineLevel="1" thickTop="1" thickBot="1" x14ac:dyDescent="0.4">
      <c r="A45" s="88" t="str">
        <f>SOLID!E14</f>
        <v>(1)Ga[l]</v>
      </c>
      <c r="B45" s="16">
        <f>SOLID!F14</f>
        <v>0</v>
      </c>
      <c r="C45" s="16">
        <f>SOLID!G14</f>
        <v>0</v>
      </c>
      <c r="D45" s="16">
        <f>SOLID!H14</f>
        <v>0</v>
      </c>
      <c r="E45" s="16">
        <f>SOLID!I14</f>
        <v>0</v>
      </c>
      <c r="F45" s="16">
        <f>SOLID!J14</f>
        <v>0</v>
      </c>
      <c r="G45" s="16">
        <f>SOLID!K14</f>
        <v>0</v>
      </c>
      <c r="H45" s="16">
        <f>SOLID!L14</f>
        <v>0</v>
      </c>
      <c r="I45" s="16">
        <f>SOLID!M14</f>
        <v>6.5842999999999998E-34</v>
      </c>
      <c r="J45" s="16">
        <f>SOLID!N14</f>
        <v>8.0557000000000007E-30</v>
      </c>
      <c r="K45" s="16">
        <f>SOLID!O14</f>
        <v>8.1721000000000007E-21</v>
      </c>
      <c r="L45" s="16">
        <f>SOLID!P14</f>
        <v>5.8907000000000001E-24</v>
      </c>
      <c r="M45" s="16">
        <f>SOLID!Q14</f>
        <v>2.5721999999999999E-36</v>
      </c>
      <c r="N45" s="16">
        <f>SOLID!R14</f>
        <v>0</v>
      </c>
      <c r="O45" s="16">
        <f>SOLID!S14</f>
        <v>0</v>
      </c>
      <c r="P45" s="16">
        <f>SOLID!T14</f>
        <v>3.2716000000000001E-28</v>
      </c>
      <c r="Q45" s="16">
        <f>SOLID!U14</f>
        <v>4.8587999999999997E-36</v>
      </c>
      <c r="R45" s="16">
        <f>SOLID!V14</f>
        <v>0</v>
      </c>
      <c r="S45" s="16">
        <f>SOLID!W14</f>
        <v>0</v>
      </c>
      <c r="T45" s="16">
        <f>SOLID!X14</f>
        <v>5.1753000000000001E-36</v>
      </c>
      <c r="U45" s="16">
        <f>SOLID!Y14</f>
        <v>1.1580999999999999E-21</v>
      </c>
      <c r="V45" s="16">
        <f>SOLID!Z14</f>
        <v>2.2131999999999999E-16</v>
      </c>
      <c r="W45" s="16">
        <f>SOLID!AA14</f>
        <v>7.9740000000000002E-13</v>
      </c>
      <c r="X45" s="16">
        <f>SOLID!AB14</f>
        <v>4.4061000000000003E-11</v>
      </c>
      <c r="Y45" s="16">
        <f>SOLID!AC14</f>
        <v>1.8770000000000001E-10</v>
      </c>
      <c r="Z45" s="16">
        <f>SOLID!AD14</f>
        <v>6.8880000000000004E-10</v>
      </c>
      <c r="AA45" s="16">
        <f>SOLID!AE14</f>
        <v>1.3270000000000001E-9</v>
      </c>
      <c r="AB45" s="16">
        <f>SOLID!AF14</f>
        <v>2.2525999999999999E-8</v>
      </c>
      <c r="AC45" s="16">
        <f>SOLID!AG14</f>
        <v>7.8101000000000004E-2</v>
      </c>
      <c r="AD45" s="16">
        <f>SOLID!AH14</f>
        <v>0.08</v>
      </c>
      <c r="AE45" s="16">
        <f>SOLID!AI14</f>
        <v>0.08</v>
      </c>
      <c r="AF45" s="16">
        <f>SOLID!AJ14</f>
        <v>0.08</v>
      </c>
      <c r="AG45" s="16">
        <f>SOLID!AK14</f>
        <v>0.08</v>
      </c>
      <c r="AH45" s="16">
        <f>SOLID!AL14</f>
        <v>0.08</v>
      </c>
      <c r="AI45" s="16">
        <f>SOLID!AM14</f>
        <v>0.08</v>
      </c>
      <c r="AJ45" s="16">
        <f>SOLID!AN14</f>
        <v>0.08</v>
      </c>
      <c r="AK45" s="16">
        <f>SOLID!AO14</f>
        <v>0.08</v>
      </c>
      <c r="AL45" s="16">
        <f>SOLID!AP14</f>
        <v>0</v>
      </c>
      <c r="AM45" s="16">
        <f>SOLID!AQ14</f>
        <v>0</v>
      </c>
      <c r="AN45" s="16">
        <f>SOLID!AR14</f>
        <v>0</v>
      </c>
      <c r="AO45" s="16">
        <f>SOLID!AS14</f>
        <v>0</v>
      </c>
      <c r="AP45" s="16">
        <f>SOLID!AT14</f>
        <v>0</v>
      </c>
      <c r="AQ45" s="16">
        <f>SOLID!AU14</f>
        <v>0</v>
      </c>
      <c r="AR45" s="16">
        <f>SOLID!AV14</f>
        <v>0</v>
      </c>
      <c r="AS45" s="16">
        <f>SOLID!AW14</f>
        <v>0</v>
      </c>
      <c r="AT45" s="16">
        <f>SOLID!AX14</f>
        <v>0</v>
      </c>
      <c r="AU45" s="16">
        <f>SOLID!AY14</f>
        <v>0</v>
      </c>
      <c r="AV45" s="16">
        <f>SOLID!AZ14</f>
        <v>0</v>
      </c>
      <c r="AW45" s="16">
        <f>SOLID!BA14</f>
        <v>0</v>
      </c>
      <c r="AX45" s="16">
        <f>SOLID!BB14</f>
        <v>0</v>
      </c>
      <c r="AY45" s="16">
        <f>SOLID!BC14</f>
        <v>0</v>
      </c>
      <c r="AZ45" s="16">
        <f>SOLID!BD14</f>
        <v>0</v>
      </c>
      <c r="BA45" s="16">
        <f>SOLID!BE14</f>
        <v>0</v>
      </c>
      <c r="BB45" s="16">
        <f>SOLID!BF14</f>
        <v>0</v>
      </c>
      <c r="BC45" s="16">
        <f>SOLID!BG14</f>
        <v>0</v>
      </c>
      <c r="BD45" s="16">
        <f>SOLID!BH14</f>
        <v>0</v>
      </c>
      <c r="BE45" s="16">
        <f>SOLID!BI14</f>
        <v>0</v>
      </c>
      <c r="BF45" s="16">
        <f>SOLID!BJ14</f>
        <v>0</v>
      </c>
      <c r="BG45" s="16">
        <f>SOLID!BK14</f>
        <v>0</v>
      </c>
      <c r="BH45" s="16">
        <f>SOLID!BL14</f>
        <v>0</v>
      </c>
      <c r="BI45" s="16">
        <f>SOLID!BM14</f>
        <v>0</v>
      </c>
      <c r="BJ45" s="16">
        <f>SOLID!BN14</f>
        <v>0</v>
      </c>
      <c r="BK45" s="16">
        <f>SOLID!BO14</f>
        <v>0</v>
      </c>
      <c r="BL45" s="16">
        <f>SOLID!BP14</f>
        <v>0</v>
      </c>
      <c r="BM45" s="16">
        <f>SOLID!BQ14</f>
        <v>0</v>
      </c>
      <c r="BN45" s="16">
        <f>SOLID!BR14</f>
        <v>0</v>
      </c>
      <c r="BO45" s="16">
        <f>SOLID!BS14</f>
        <v>0</v>
      </c>
      <c r="BP45" s="16">
        <f>SOLID!BT14</f>
        <v>0</v>
      </c>
      <c r="BQ45" s="16">
        <f>SOLID!BU14</f>
        <v>0</v>
      </c>
      <c r="BR45" s="16">
        <f>SOLID!BV14</f>
        <v>0</v>
      </c>
      <c r="BS45" s="16">
        <f>SOLID!BW14</f>
        <v>0</v>
      </c>
      <c r="BT45" s="16">
        <f>SOLID!BX14</f>
        <v>0</v>
      </c>
    </row>
    <row r="46" spans="1:72" ht="22.5" hidden="1" outlineLevel="1" thickTop="1" thickBot="1" x14ac:dyDescent="0.4">
      <c r="A46" s="88" t="str">
        <f>SOLID!E15</f>
        <v>(1)GeSe[l]</v>
      </c>
      <c r="B46" s="16">
        <f>SOLID!F15</f>
        <v>1.1818E-28</v>
      </c>
      <c r="C46" s="16">
        <f>SOLID!G15</f>
        <v>1.0336E-26</v>
      </c>
      <c r="D46" s="16">
        <f>SOLID!H15</f>
        <v>1.9376E-27</v>
      </c>
      <c r="E46" s="16">
        <f>SOLID!I15</f>
        <v>0</v>
      </c>
      <c r="F46" s="16">
        <f>SOLID!J15</f>
        <v>0</v>
      </c>
      <c r="G46" s="16">
        <f>SOLID!K15</f>
        <v>0</v>
      </c>
      <c r="H46" s="16">
        <f>SOLID!L15</f>
        <v>4.6978999999999999E-26</v>
      </c>
      <c r="I46" s="16">
        <f>SOLID!M15</f>
        <v>5.1574E-19</v>
      </c>
      <c r="J46" s="16">
        <f>SOLID!N15</f>
        <v>4.1542E-16</v>
      </c>
      <c r="K46" s="16">
        <f>SOLID!O15</f>
        <v>4.3528E-11</v>
      </c>
      <c r="L46" s="16">
        <f>SOLID!P15</f>
        <v>4.4537999999999999E-15</v>
      </c>
      <c r="M46" s="16">
        <f>SOLID!Q15</f>
        <v>3.0843999999999998E-28</v>
      </c>
      <c r="N46" s="16">
        <f>SOLID!R15</f>
        <v>0</v>
      </c>
      <c r="O46" s="16">
        <f>SOLID!S15</f>
        <v>5.9657999999999997E-31</v>
      </c>
      <c r="P46" s="16">
        <f>SOLID!T15</f>
        <v>5.5945000000000005E-23</v>
      </c>
      <c r="Q46" s="16">
        <f>SOLID!U15</f>
        <v>9.9932999999999999E-32</v>
      </c>
      <c r="R46" s="16">
        <f>SOLID!V15</f>
        <v>0</v>
      </c>
      <c r="S46" s="16">
        <f>SOLID!W15</f>
        <v>0</v>
      </c>
      <c r="T46" s="16">
        <f>SOLID!X15</f>
        <v>4.9642000000000003E-34</v>
      </c>
      <c r="U46" s="16">
        <f>SOLID!Y15</f>
        <v>2.6233000000000001E-20</v>
      </c>
      <c r="V46" s="16">
        <f>SOLID!Z15</f>
        <v>1.2552E-15</v>
      </c>
      <c r="W46" s="16">
        <f>SOLID!AA15</f>
        <v>1.1957E-12</v>
      </c>
      <c r="X46" s="16">
        <f>SOLID!AB15</f>
        <v>5.1862999999999998E-13</v>
      </c>
      <c r="Y46" s="16">
        <f>SOLID!AC15</f>
        <v>7.2941000000000002E-13</v>
      </c>
      <c r="Z46" s="16">
        <f>SOLID!AD15</f>
        <v>9.1640999999999993E-13</v>
      </c>
      <c r="AA46" s="16">
        <f>SOLID!AE15</f>
        <v>6.2544000000000001E-13</v>
      </c>
      <c r="AB46" s="16">
        <f>SOLID!AF15</f>
        <v>3.884E-12</v>
      </c>
      <c r="AC46" s="16">
        <f>SOLID!AG15</f>
        <v>5.1561999999999999E-6</v>
      </c>
      <c r="AD46" s="16">
        <f>SOLID!AH15</f>
        <v>4.0241000000000001E-6</v>
      </c>
      <c r="AE46" s="16">
        <f>SOLID!AI15</f>
        <v>3.0925999999999998E-6</v>
      </c>
      <c r="AF46" s="16">
        <f>SOLID!AJ15</f>
        <v>2.3978000000000001E-6</v>
      </c>
      <c r="AG46" s="16">
        <f>SOLID!AK15</f>
        <v>9.4527999999999995E-7</v>
      </c>
      <c r="AH46" s="16">
        <f>SOLID!AL15</f>
        <v>7.6555999999999998E-7</v>
      </c>
      <c r="AI46" s="16">
        <f>SOLID!AM15</f>
        <v>6.2565999999999995E-7</v>
      </c>
      <c r="AJ46" s="16">
        <f>SOLID!AN15</f>
        <v>5.1615000000000003E-7</v>
      </c>
      <c r="AK46" s="16">
        <f>SOLID!AO15</f>
        <v>4.3001999999999998E-7</v>
      </c>
      <c r="AL46" s="16">
        <f>SOLID!AP15</f>
        <v>0</v>
      </c>
      <c r="AM46" s="16">
        <f>SOLID!AQ15</f>
        <v>0</v>
      </c>
      <c r="AN46" s="16">
        <f>SOLID!AR15</f>
        <v>0</v>
      </c>
      <c r="AO46" s="16">
        <f>SOLID!AS15</f>
        <v>0</v>
      </c>
      <c r="AP46" s="16">
        <f>SOLID!AT15</f>
        <v>0</v>
      </c>
      <c r="AQ46" s="16">
        <f>SOLID!AU15</f>
        <v>0</v>
      </c>
      <c r="AR46" s="16">
        <f>SOLID!AV15</f>
        <v>0</v>
      </c>
      <c r="AS46" s="16">
        <f>SOLID!AW15</f>
        <v>0</v>
      </c>
      <c r="AT46" s="16">
        <f>SOLID!AX15</f>
        <v>0</v>
      </c>
      <c r="AU46" s="16">
        <f>SOLID!AY15</f>
        <v>0</v>
      </c>
      <c r="AV46" s="16">
        <f>SOLID!AZ15</f>
        <v>0</v>
      </c>
      <c r="AW46" s="16">
        <f>SOLID!BA15</f>
        <v>0</v>
      </c>
      <c r="AX46" s="16">
        <f>SOLID!BB15</f>
        <v>0</v>
      </c>
      <c r="AY46" s="16">
        <f>SOLID!BC15</f>
        <v>0</v>
      </c>
      <c r="AZ46" s="16">
        <f>SOLID!BD15</f>
        <v>0</v>
      </c>
      <c r="BA46" s="16">
        <f>SOLID!BE15</f>
        <v>0</v>
      </c>
      <c r="BB46" s="16">
        <f>SOLID!BF15</f>
        <v>0</v>
      </c>
      <c r="BC46" s="16">
        <f>SOLID!BG15</f>
        <v>0</v>
      </c>
      <c r="BD46" s="16">
        <f>SOLID!BH15</f>
        <v>0</v>
      </c>
      <c r="BE46" s="16">
        <f>SOLID!BI15</f>
        <v>0</v>
      </c>
      <c r="BF46" s="16">
        <f>SOLID!BJ15</f>
        <v>0</v>
      </c>
      <c r="BG46" s="16">
        <f>SOLID!BK15</f>
        <v>0</v>
      </c>
      <c r="BH46" s="16">
        <f>SOLID!BL15</f>
        <v>0</v>
      </c>
      <c r="BI46" s="16">
        <f>SOLID!BM15</f>
        <v>0</v>
      </c>
      <c r="BJ46" s="16">
        <f>SOLID!BN15</f>
        <v>0</v>
      </c>
      <c r="BK46" s="16">
        <f>SOLID!BO15</f>
        <v>0</v>
      </c>
      <c r="BL46" s="16">
        <f>SOLID!BP15</f>
        <v>0</v>
      </c>
      <c r="BM46" s="16">
        <f>SOLID!BQ15</f>
        <v>0</v>
      </c>
      <c r="BN46" s="16">
        <f>SOLID!BR15</f>
        <v>0</v>
      </c>
      <c r="BO46" s="16">
        <f>SOLID!BS15</f>
        <v>0</v>
      </c>
      <c r="BP46" s="16">
        <f>SOLID!BT15</f>
        <v>0</v>
      </c>
      <c r="BQ46" s="16">
        <f>SOLID!BU15</f>
        <v>0</v>
      </c>
      <c r="BR46" s="16">
        <f>SOLID!BV15</f>
        <v>0</v>
      </c>
      <c r="BS46" s="16">
        <f>SOLID!BW15</f>
        <v>0</v>
      </c>
      <c r="BT46" s="16">
        <f>SOLID!BX15</f>
        <v>0</v>
      </c>
    </row>
    <row r="47" spans="1:72" ht="22.5" hidden="1" outlineLevel="1" thickTop="1" thickBot="1" x14ac:dyDescent="0.4">
      <c r="A47" s="88" t="str">
        <f>SOLID!E16</f>
        <v>(1)Ge[l]</v>
      </c>
      <c r="B47" s="16">
        <f>SOLID!F16</f>
        <v>1.4507E-36</v>
      </c>
      <c r="C47" s="16">
        <f>SOLID!G16</f>
        <v>3.5946000000000001E-34</v>
      </c>
      <c r="D47" s="16">
        <f>SOLID!H16</f>
        <v>1.6968999999999999E-34</v>
      </c>
      <c r="E47" s="16">
        <f>SOLID!I16</f>
        <v>0</v>
      </c>
      <c r="F47" s="16">
        <f>SOLID!J16</f>
        <v>0</v>
      </c>
      <c r="G47" s="16">
        <f>SOLID!K16</f>
        <v>0</v>
      </c>
      <c r="H47" s="16">
        <f>SOLID!L16</f>
        <v>3.5513999999999998E-31</v>
      </c>
      <c r="I47" s="16">
        <f>SOLID!M16</f>
        <v>1.5395000000000001E-23</v>
      </c>
      <c r="J47" s="16">
        <f>SOLID!N16</f>
        <v>4.4456000000000003E-20</v>
      </c>
      <c r="K47" s="16">
        <f>SOLID!O16</f>
        <v>3.5618E-13</v>
      </c>
      <c r="L47" s="16">
        <f>SOLID!P16</f>
        <v>9.2295000000000004E-17</v>
      </c>
      <c r="M47" s="16">
        <f>SOLID!Q16</f>
        <v>1.5392000000000001E-29</v>
      </c>
      <c r="N47" s="16">
        <f>SOLID!R16</f>
        <v>0</v>
      </c>
      <c r="O47" s="16">
        <f>SOLID!S16</f>
        <v>1.511E-31</v>
      </c>
      <c r="P47" s="16">
        <f>SOLID!T16</f>
        <v>3.0089999999999999E-23</v>
      </c>
      <c r="Q47" s="16">
        <f>SOLID!U16</f>
        <v>1.1021E-31</v>
      </c>
      <c r="R47" s="16">
        <f>SOLID!V16</f>
        <v>0</v>
      </c>
      <c r="S47" s="16">
        <f>SOLID!W16</f>
        <v>0</v>
      </c>
      <c r="T47" s="16">
        <f>SOLID!X16</f>
        <v>3.9285999999999999E-33</v>
      </c>
      <c r="U47" s="16">
        <f>SOLID!Y16</f>
        <v>3.7951000000000001E-19</v>
      </c>
      <c r="V47" s="16">
        <f>SOLID!Z16</f>
        <v>3.2424000000000001E-14</v>
      </c>
      <c r="W47" s="16">
        <f>SOLID!AA16</f>
        <v>5.3949999999999999E-11</v>
      </c>
      <c r="X47" s="16">
        <f>SOLID!AB16</f>
        <v>1.7995000000000001E-10</v>
      </c>
      <c r="Y47" s="16">
        <f>SOLID!AC16</f>
        <v>4.0420000000000001E-10</v>
      </c>
      <c r="Z47" s="16">
        <f>SOLID!AD16</f>
        <v>7.9924000000000002E-10</v>
      </c>
      <c r="AA47" s="16">
        <f>SOLID!AE16</f>
        <v>8.4675E-10</v>
      </c>
      <c r="AB47" s="16">
        <f>SOLID!AF16</f>
        <v>8.0574000000000007E-9</v>
      </c>
      <c r="AC47" s="16">
        <f>SOLID!AG16</f>
        <v>1.6191000000000001E-2</v>
      </c>
      <c r="AD47" s="16">
        <f>SOLID!AH16</f>
        <v>1.8908999999999999E-2</v>
      </c>
      <c r="AE47" s="16">
        <f>SOLID!AI16</f>
        <v>2.1510000000000001E-2</v>
      </c>
      <c r="AF47" s="16">
        <f>SOLID!AJ16</f>
        <v>2.4433E-2</v>
      </c>
      <c r="AG47" s="16">
        <f>SOLID!AK16</f>
        <v>4.0459000000000002E-2</v>
      </c>
      <c r="AH47" s="16">
        <f>SOLID!AL16</f>
        <v>4.5946000000000001E-2</v>
      </c>
      <c r="AI47" s="16">
        <f>SOLID!AM16</f>
        <v>5.2259E-2</v>
      </c>
      <c r="AJ47" s="16">
        <f>SOLID!AN16</f>
        <v>5.9575000000000003E-2</v>
      </c>
      <c r="AK47" s="16">
        <f>SOLID!AO16</f>
        <v>6.8126000000000006E-2</v>
      </c>
      <c r="AL47" s="16">
        <f>SOLID!AP16</f>
        <v>0</v>
      </c>
      <c r="AM47" s="16">
        <f>SOLID!AQ16</f>
        <v>0</v>
      </c>
      <c r="AN47" s="16">
        <f>SOLID!AR16</f>
        <v>0</v>
      </c>
      <c r="AO47" s="16">
        <f>SOLID!AS16</f>
        <v>0</v>
      </c>
      <c r="AP47" s="16">
        <f>SOLID!AT16</f>
        <v>0</v>
      </c>
      <c r="AQ47" s="16">
        <f>SOLID!AU16</f>
        <v>0</v>
      </c>
      <c r="AR47" s="16">
        <f>SOLID!AV16</f>
        <v>0</v>
      </c>
      <c r="AS47" s="16">
        <f>SOLID!AW16</f>
        <v>0</v>
      </c>
      <c r="AT47" s="16">
        <f>SOLID!AX16</f>
        <v>0</v>
      </c>
      <c r="AU47" s="16">
        <f>SOLID!AY16</f>
        <v>0</v>
      </c>
      <c r="AV47" s="16">
        <f>SOLID!AZ16</f>
        <v>0</v>
      </c>
      <c r="AW47" s="16">
        <f>SOLID!BA16</f>
        <v>0</v>
      </c>
      <c r="AX47" s="16">
        <f>SOLID!BB16</f>
        <v>0</v>
      </c>
      <c r="AY47" s="16">
        <f>SOLID!BC16</f>
        <v>0</v>
      </c>
      <c r="AZ47" s="16">
        <f>SOLID!BD16</f>
        <v>0</v>
      </c>
      <c r="BA47" s="16">
        <f>SOLID!BE16</f>
        <v>0</v>
      </c>
      <c r="BB47" s="16">
        <f>SOLID!BF16</f>
        <v>0</v>
      </c>
      <c r="BC47" s="16">
        <f>SOLID!BG16</f>
        <v>0</v>
      </c>
      <c r="BD47" s="16">
        <f>SOLID!BH16</f>
        <v>0</v>
      </c>
      <c r="BE47" s="16">
        <f>SOLID!BI16</f>
        <v>0</v>
      </c>
      <c r="BF47" s="16">
        <f>SOLID!BJ16</f>
        <v>0</v>
      </c>
      <c r="BG47" s="16">
        <f>SOLID!BK16</f>
        <v>0</v>
      </c>
      <c r="BH47" s="16">
        <f>SOLID!BL16</f>
        <v>0</v>
      </c>
      <c r="BI47" s="16">
        <f>SOLID!BM16</f>
        <v>0</v>
      </c>
      <c r="BJ47" s="16">
        <f>SOLID!BN16</f>
        <v>0</v>
      </c>
      <c r="BK47" s="16">
        <f>SOLID!BO16</f>
        <v>0</v>
      </c>
      <c r="BL47" s="16">
        <f>SOLID!BP16</f>
        <v>0</v>
      </c>
      <c r="BM47" s="16">
        <f>SOLID!BQ16</f>
        <v>0</v>
      </c>
      <c r="BN47" s="16">
        <f>SOLID!BR16</f>
        <v>0</v>
      </c>
      <c r="BO47" s="16">
        <f>SOLID!BS16</f>
        <v>0</v>
      </c>
      <c r="BP47" s="16">
        <f>SOLID!BT16</f>
        <v>0</v>
      </c>
      <c r="BQ47" s="16">
        <f>SOLID!BU16</f>
        <v>0</v>
      </c>
      <c r="BR47" s="16">
        <f>SOLID!BV16</f>
        <v>0</v>
      </c>
      <c r="BS47" s="16">
        <f>SOLID!BW16</f>
        <v>0</v>
      </c>
      <c r="BT47" s="16">
        <f>SOLID!BX16</f>
        <v>0</v>
      </c>
    </row>
    <row r="48" spans="1:72" ht="22.5" hidden="1" outlineLevel="1" thickTop="1" thickBot="1" x14ac:dyDescent="0.4">
      <c r="A48" s="88" t="str">
        <f>SOLID!E17</f>
        <v>H (Ar)</v>
      </c>
      <c r="B48" s="16">
        <f>SOLID!F17</f>
        <v>-18.62</v>
      </c>
      <c r="C48" s="16">
        <f>SOLID!G17</f>
        <v>-18.61</v>
      </c>
      <c r="D48" s="16">
        <f>SOLID!H17</f>
        <v>-18.61</v>
      </c>
      <c r="E48" s="16">
        <f>SOLID!I17</f>
        <v>-18.62</v>
      </c>
      <c r="F48" s="16">
        <f>SOLID!J17</f>
        <v>-18.63</v>
      </c>
      <c r="G48" s="16">
        <f>SOLID!K17</f>
        <v>-18.649999999999999</v>
      </c>
      <c r="H48" s="16">
        <f>SOLID!L17</f>
        <v>-18.670000000000002</v>
      </c>
      <c r="I48" s="16">
        <f>SOLID!M17</f>
        <v>-18.690000000000001</v>
      </c>
      <c r="J48" s="16">
        <f>SOLID!N17</f>
        <v>-18.72</v>
      </c>
      <c r="K48" s="16">
        <f>SOLID!O17</f>
        <v>-18.84</v>
      </c>
      <c r="L48" s="16">
        <f>SOLID!P17</f>
        <v>-18.87</v>
      </c>
      <c r="M48" s="16">
        <f>SOLID!Q17</f>
        <v>-18.899999999999999</v>
      </c>
      <c r="N48" s="16">
        <f>SOLID!R17</f>
        <v>-18.940000000000001</v>
      </c>
      <c r="O48" s="16">
        <f>SOLID!S17</f>
        <v>-18.97</v>
      </c>
      <c r="P48" s="16">
        <f>SOLID!T17</f>
        <v>-19.010000000000002</v>
      </c>
      <c r="Q48" s="16">
        <f>SOLID!U17</f>
        <v>-19.04</v>
      </c>
      <c r="R48" s="16">
        <f>SOLID!V17</f>
        <v>-19.07</v>
      </c>
      <c r="S48" s="16">
        <f>SOLID!W17</f>
        <v>-19.11</v>
      </c>
      <c r="T48" s="16">
        <f>SOLID!X17</f>
        <v>-19.14</v>
      </c>
      <c r="U48" s="16">
        <f>SOLID!Y17</f>
        <v>-19.18</v>
      </c>
      <c r="V48" s="16">
        <f>SOLID!Z17</f>
        <v>-19.21</v>
      </c>
      <c r="W48" s="16">
        <f>SOLID!AA17</f>
        <v>-19.25</v>
      </c>
      <c r="X48" s="16">
        <f>SOLID!AB17</f>
        <v>-19.38</v>
      </c>
      <c r="Y48" s="16">
        <f>SOLID!AC17</f>
        <v>-19.420000000000002</v>
      </c>
      <c r="Z48" s="16">
        <f>SOLID!AD17</f>
        <v>-19.45</v>
      </c>
      <c r="AA48" s="16">
        <f>SOLID!AE17</f>
        <v>-19.48</v>
      </c>
      <c r="AB48" s="16">
        <f>SOLID!AF17</f>
        <v>-19.510000000000002</v>
      </c>
      <c r="AC48" s="16">
        <f>SOLID!AG17</f>
        <v>-19.55</v>
      </c>
      <c r="AD48" s="16">
        <f>SOLID!AH17</f>
        <v>-19.579999999999998</v>
      </c>
      <c r="AE48" s="16">
        <f>SOLID!AI17</f>
        <v>-19.61</v>
      </c>
      <c r="AF48" s="16">
        <f>SOLID!AJ17</f>
        <v>-19.64</v>
      </c>
      <c r="AG48" s="16">
        <f>SOLID!AK17</f>
        <v>-19.760000000000002</v>
      </c>
      <c r="AH48" s="16">
        <f>SOLID!AL17</f>
        <v>-19.79</v>
      </c>
      <c r="AI48" s="16">
        <f>SOLID!AM17</f>
        <v>-19.82</v>
      </c>
      <c r="AJ48" s="16">
        <f>SOLID!AN17</f>
        <v>-19.850000000000001</v>
      </c>
      <c r="AK48" s="16">
        <f>SOLID!AO17</f>
        <v>-19.88</v>
      </c>
      <c r="AL48" s="16">
        <f>SOLID!AP17</f>
        <v>0</v>
      </c>
      <c r="AM48" s="16">
        <f>SOLID!AQ17</f>
        <v>0</v>
      </c>
      <c r="AN48" s="16">
        <f>SOLID!AR17</f>
        <v>0</v>
      </c>
      <c r="AO48" s="16">
        <f>SOLID!AS17</f>
        <v>0</v>
      </c>
      <c r="AP48" s="16">
        <f>SOLID!AT17</f>
        <v>0</v>
      </c>
      <c r="AQ48" s="16">
        <f>SOLID!AU17</f>
        <v>0</v>
      </c>
      <c r="AR48" s="16">
        <f>SOLID!AV17</f>
        <v>0</v>
      </c>
      <c r="AS48" s="16">
        <f>SOLID!AW17</f>
        <v>0</v>
      </c>
      <c r="AT48" s="16">
        <f>SOLID!AX17</f>
        <v>0</v>
      </c>
      <c r="AU48" s="16">
        <f>SOLID!AY17</f>
        <v>0</v>
      </c>
      <c r="AV48" s="16">
        <f>SOLID!AZ17</f>
        <v>0</v>
      </c>
      <c r="AW48" s="16">
        <f>SOLID!BA17</f>
        <v>0</v>
      </c>
      <c r="AX48" s="16">
        <f>SOLID!BB17</f>
        <v>0</v>
      </c>
      <c r="AY48" s="16">
        <f>SOLID!BC17</f>
        <v>0</v>
      </c>
      <c r="AZ48" s="16">
        <f>SOLID!BD17</f>
        <v>0</v>
      </c>
      <c r="BA48" s="16">
        <f>SOLID!BE17</f>
        <v>0</v>
      </c>
      <c r="BB48" s="16">
        <f>SOLID!BF17</f>
        <v>0</v>
      </c>
      <c r="BC48" s="16">
        <f>SOLID!BG17</f>
        <v>0</v>
      </c>
      <c r="BD48" s="16">
        <f>SOLID!BH17</f>
        <v>0</v>
      </c>
      <c r="BE48" s="16">
        <f>SOLID!BI17</f>
        <v>0</v>
      </c>
      <c r="BF48" s="16">
        <f>SOLID!BJ17</f>
        <v>0</v>
      </c>
      <c r="BG48" s="16">
        <f>SOLID!BK17</f>
        <v>0</v>
      </c>
      <c r="BH48" s="16">
        <f>SOLID!BL17</f>
        <v>0</v>
      </c>
      <c r="BI48" s="16">
        <f>SOLID!BM17</f>
        <v>0</v>
      </c>
      <c r="BJ48" s="16">
        <f>SOLID!BN17</f>
        <v>0</v>
      </c>
      <c r="BK48" s="16">
        <f>SOLID!BO17</f>
        <v>0</v>
      </c>
      <c r="BL48" s="16">
        <f>SOLID!BP17</f>
        <v>0</v>
      </c>
      <c r="BM48" s="16">
        <f>SOLID!BQ17</f>
        <v>0</v>
      </c>
      <c r="BN48" s="16">
        <f>SOLID!BR17</f>
        <v>0</v>
      </c>
      <c r="BO48" s="16">
        <f>SOLID!BS17</f>
        <v>0</v>
      </c>
      <c r="BP48" s="16">
        <f>SOLID!BT17</f>
        <v>0</v>
      </c>
      <c r="BQ48" s="16">
        <f>SOLID!BU17</f>
        <v>0</v>
      </c>
      <c r="BR48" s="16">
        <f>SOLID!BV17</f>
        <v>0</v>
      </c>
      <c r="BS48" s="16">
        <f>SOLID!BW17</f>
        <v>0</v>
      </c>
      <c r="BT48" s="16">
        <f>SOLID!BX17</f>
        <v>0</v>
      </c>
    </row>
    <row r="49" spans="1:72" ht="22.5" hidden="1" outlineLevel="1" thickTop="1" thickBot="1" x14ac:dyDescent="0.4">
      <c r="A49" s="88" t="str">
        <f>SOLID!E18</f>
        <v>H (Ga)</v>
      </c>
      <c r="B49" s="16">
        <f>SOLID!F18</f>
        <v>-65.56</v>
      </c>
      <c r="C49" s="16">
        <f>SOLID!G18</f>
        <v>-62.08</v>
      </c>
      <c r="D49" s="16">
        <f>SOLID!H18</f>
        <v>-58.98</v>
      </c>
      <c r="E49" s="16">
        <f>SOLID!I18</f>
        <v>-56.2</v>
      </c>
      <c r="F49" s="16">
        <f>SOLID!J18</f>
        <v>-53.71</v>
      </c>
      <c r="G49" s="16">
        <f>SOLID!K18</f>
        <v>-50.33</v>
      </c>
      <c r="H49" s="16">
        <f>SOLID!L18</f>
        <v>-46.96</v>
      </c>
      <c r="I49" s="16">
        <f>SOLID!M18</f>
        <v>-43.86</v>
      </c>
      <c r="J49" s="16">
        <f>SOLID!N18</f>
        <v>-40.98</v>
      </c>
      <c r="K49" s="16">
        <f>SOLID!O18</f>
        <v>-31.32</v>
      </c>
      <c r="L49" s="16">
        <f>SOLID!P18</f>
        <v>-29.28</v>
      </c>
      <c r="M49" s="16">
        <f>SOLID!Q18</f>
        <v>-27.35</v>
      </c>
      <c r="N49" s="16">
        <f>SOLID!R18</f>
        <v>-25.53</v>
      </c>
      <c r="O49" s="16">
        <f>SOLID!S18</f>
        <v>-23.81</v>
      </c>
      <c r="P49" s="16">
        <f>SOLID!T18</f>
        <v>-22.18</v>
      </c>
      <c r="Q49" s="16">
        <f>SOLID!U18</f>
        <v>-20.63</v>
      </c>
      <c r="R49" s="16">
        <f>SOLID!V18</f>
        <v>-19.16</v>
      </c>
      <c r="S49" s="16">
        <f>SOLID!W18</f>
        <v>-17.850000000000001</v>
      </c>
      <c r="T49" s="16">
        <f>SOLID!X18</f>
        <v>-16.850000000000001</v>
      </c>
      <c r="U49" s="16">
        <f>SOLID!Y18</f>
        <v>-15.9</v>
      </c>
      <c r="V49" s="16">
        <f>SOLID!Z18</f>
        <v>-15</v>
      </c>
      <c r="W49" s="16">
        <f>SOLID!AA18</f>
        <v>-14.13</v>
      </c>
      <c r="X49" s="16">
        <f>SOLID!AB18</f>
        <v>-11</v>
      </c>
      <c r="Y49" s="16">
        <f>SOLID!AC18</f>
        <v>-10.29</v>
      </c>
      <c r="Z49" s="16">
        <f>SOLID!AD18</f>
        <v>-9.6059999999999999</v>
      </c>
      <c r="AA49" s="16">
        <f>SOLID!AE18</f>
        <v>-8.9480000000000004</v>
      </c>
      <c r="AB49" s="16">
        <f>SOLID!AF18</f>
        <v>-8.3130000000000006</v>
      </c>
      <c r="AC49" s="16">
        <f>SOLID!AG18</f>
        <v>-7.7149999999999999</v>
      </c>
      <c r="AD49" s="16">
        <f>SOLID!AH18</f>
        <v>-7.7969999999999997</v>
      </c>
      <c r="AE49" s="16">
        <f>SOLID!AI18</f>
        <v>-7.8789999999999996</v>
      </c>
      <c r="AF49" s="16">
        <f>SOLID!AJ18</f>
        <v>-7.9630000000000001</v>
      </c>
      <c r="AG49" s="16">
        <f>SOLID!AK18</f>
        <v>-8.3190000000000008</v>
      </c>
      <c r="AH49" s="16">
        <f>SOLID!AL18</f>
        <v>-8.4149999999999991</v>
      </c>
      <c r="AI49" s="16">
        <f>SOLID!AM18</f>
        <v>-8.5139999999999993</v>
      </c>
      <c r="AJ49" s="16">
        <f>SOLID!AN18</f>
        <v>-8.6180000000000003</v>
      </c>
      <c r="AK49" s="16">
        <f>SOLID!AO18</f>
        <v>-8.7260000000000009</v>
      </c>
      <c r="AL49" s="16">
        <f>SOLID!AP18</f>
        <v>0</v>
      </c>
      <c r="AM49" s="16">
        <f>SOLID!AQ18</f>
        <v>0</v>
      </c>
      <c r="AN49" s="16">
        <f>SOLID!AR18</f>
        <v>0</v>
      </c>
      <c r="AO49" s="16">
        <f>SOLID!AS18</f>
        <v>0</v>
      </c>
      <c r="AP49" s="16">
        <f>SOLID!AT18</f>
        <v>0</v>
      </c>
      <c r="AQ49" s="16">
        <f>SOLID!AU18</f>
        <v>0</v>
      </c>
      <c r="AR49" s="16">
        <f>SOLID!AV18</f>
        <v>0</v>
      </c>
      <c r="AS49" s="16">
        <f>SOLID!AW18</f>
        <v>0</v>
      </c>
      <c r="AT49" s="16">
        <f>SOLID!AX18</f>
        <v>0</v>
      </c>
      <c r="AU49" s="16">
        <f>SOLID!AY18</f>
        <v>0</v>
      </c>
      <c r="AV49" s="16">
        <f>SOLID!AZ18</f>
        <v>0</v>
      </c>
      <c r="AW49" s="16">
        <f>SOLID!BA18</f>
        <v>0</v>
      </c>
      <c r="AX49" s="16">
        <f>SOLID!BB18</f>
        <v>0</v>
      </c>
      <c r="AY49" s="16">
        <f>SOLID!BC18</f>
        <v>0</v>
      </c>
      <c r="AZ49" s="16">
        <f>SOLID!BD18</f>
        <v>0</v>
      </c>
      <c r="BA49" s="16">
        <f>SOLID!BE18</f>
        <v>0</v>
      </c>
      <c r="BB49" s="16">
        <f>SOLID!BF18</f>
        <v>0</v>
      </c>
      <c r="BC49" s="16">
        <f>SOLID!BG18</f>
        <v>0</v>
      </c>
      <c r="BD49" s="16">
        <f>SOLID!BH18</f>
        <v>0</v>
      </c>
      <c r="BE49" s="16">
        <f>SOLID!BI18</f>
        <v>0</v>
      </c>
      <c r="BF49" s="16">
        <f>SOLID!BJ18</f>
        <v>0</v>
      </c>
      <c r="BG49" s="16">
        <f>SOLID!BK18</f>
        <v>0</v>
      </c>
      <c r="BH49" s="16">
        <f>SOLID!BL18</f>
        <v>0</v>
      </c>
      <c r="BI49" s="16">
        <f>SOLID!BM18</f>
        <v>0</v>
      </c>
      <c r="BJ49" s="16">
        <f>SOLID!BN18</f>
        <v>0</v>
      </c>
      <c r="BK49" s="16">
        <f>SOLID!BO18</f>
        <v>0</v>
      </c>
      <c r="BL49" s="16">
        <f>SOLID!BP18</f>
        <v>0</v>
      </c>
      <c r="BM49" s="16">
        <f>SOLID!BQ18</f>
        <v>0</v>
      </c>
      <c r="BN49" s="16">
        <f>SOLID!BR18</f>
        <v>0</v>
      </c>
      <c r="BO49" s="16">
        <f>SOLID!BS18</f>
        <v>0</v>
      </c>
      <c r="BP49" s="16">
        <f>SOLID!BT18</f>
        <v>0</v>
      </c>
      <c r="BQ49" s="16">
        <f>SOLID!BU18</f>
        <v>0</v>
      </c>
      <c r="BR49" s="16">
        <f>SOLID!BV18</f>
        <v>0</v>
      </c>
      <c r="BS49" s="16">
        <f>SOLID!BW18</f>
        <v>0</v>
      </c>
      <c r="BT49" s="16">
        <f>SOLID!BX18</f>
        <v>0</v>
      </c>
    </row>
    <row r="50" spans="1:72" ht="22.5" hidden="1" outlineLevel="1" thickTop="1" thickBot="1" x14ac:dyDescent="0.4">
      <c r="A50" s="88" t="str">
        <f>SOLID!E19</f>
        <v>H (Ge)</v>
      </c>
      <c r="B50" s="16">
        <f>SOLID!F19</f>
        <v>-16.29</v>
      </c>
      <c r="C50" s="16">
        <f>SOLID!G19</f>
        <v>-15.65</v>
      </c>
      <c r="D50" s="16">
        <f>SOLID!H19</f>
        <v>-15.09</v>
      </c>
      <c r="E50" s="16">
        <f>SOLID!I19</f>
        <v>-14.59</v>
      </c>
      <c r="F50" s="16">
        <f>SOLID!J19</f>
        <v>-14.16</v>
      </c>
      <c r="G50" s="16">
        <f>SOLID!K19</f>
        <v>-13.03</v>
      </c>
      <c r="H50" s="16">
        <f>SOLID!L19</f>
        <v>-11.8</v>
      </c>
      <c r="I50" s="16">
        <f>SOLID!M19</f>
        <v>-10.67</v>
      </c>
      <c r="J50" s="16">
        <f>SOLID!N19</f>
        <v>-9.6129999999999995</v>
      </c>
      <c r="K50" s="16">
        <f>SOLID!O19</f>
        <v>-6.0380000000000003</v>
      </c>
      <c r="L50" s="16">
        <f>SOLID!P19</f>
        <v>-5.2729999999999997</v>
      </c>
      <c r="M50" s="16">
        <f>SOLID!Q19</f>
        <v>-4.55</v>
      </c>
      <c r="N50" s="16">
        <f>SOLID!R19</f>
        <v>-4.1150000000000002</v>
      </c>
      <c r="O50" s="16">
        <f>SOLID!S19</f>
        <v>-4.1550000000000002</v>
      </c>
      <c r="P50" s="16">
        <f>SOLID!T19</f>
        <v>-4.1950000000000003</v>
      </c>
      <c r="Q50" s="16">
        <f>SOLID!U19</f>
        <v>-4.2359999999999998</v>
      </c>
      <c r="R50" s="16">
        <f>SOLID!V19</f>
        <v>-4.2759999999999998</v>
      </c>
      <c r="S50" s="16">
        <f>SOLID!W19</f>
        <v>-4.3170000000000002</v>
      </c>
      <c r="T50" s="16">
        <f>SOLID!X19</f>
        <v>-4.3579999999999997</v>
      </c>
      <c r="U50" s="16">
        <f>SOLID!Y19</f>
        <v>-4.399</v>
      </c>
      <c r="V50" s="16">
        <f>SOLID!Z19</f>
        <v>-4.4400000000000004</v>
      </c>
      <c r="W50" s="16">
        <f>SOLID!AA19</f>
        <v>-4.4809999999999999</v>
      </c>
      <c r="X50" s="16">
        <f>SOLID!AB19</f>
        <v>-4.6429999999999998</v>
      </c>
      <c r="Y50" s="16">
        <f>SOLID!AC19</f>
        <v>-4.6829999999999998</v>
      </c>
      <c r="Z50" s="16">
        <f>SOLID!AD19</f>
        <v>-4.7220000000000004</v>
      </c>
      <c r="AA50" s="16">
        <f>SOLID!AE19</f>
        <v>-4.7619999999999996</v>
      </c>
      <c r="AB50" s="16">
        <f>SOLID!AF19</f>
        <v>-4.8010000000000002</v>
      </c>
      <c r="AC50" s="16">
        <f>SOLID!AG19</f>
        <v>-4.84</v>
      </c>
      <c r="AD50" s="16">
        <f>SOLID!AH19</f>
        <v>-4.8780000000000001</v>
      </c>
      <c r="AE50" s="16">
        <f>SOLID!AI19</f>
        <v>-4.9169999999999998</v>
      </c>
      <c r="AF50" s="16">
        <f>SOLID!AJ19</f>
        <v>-4.9550000000000001</v>
      </c>
      <c r="AG50" s="16">
        <f>SOLID!AK19</f>
        <v>-5.1040000000000001</v>
      </c>
      <c r="AH50" s="16">
        <f>SOLID!AL19</f>
        <v>-5.141</v>
      </c>
      <c r="AI50" s="16">
        <f>SOLID!AM19</f>
        <v>-5.1769999999999996</v>
      </c>
      <c r="AJ50" s="16">
        <f>SOLID!AN19</f>
        <v>-5.2130000000000001</v>
      </c>
      <c r="AK50" s="16">
        <f>SOLID!AO19</f>
        <v>-5.2489999999999997</v>
      </c>
      <c r="AL50" s="16">
        <f>SOLID!AP19</f>
        <v>0</v>
      </c>
      <c r="AM50" s="16">
        <f>SOLID!AQ19</f>
        <v>0</v>
      </c>
      <c r="AN50" s="16">
        <f>SOLID!AR19</f>
        <v>0</v>
      </c>
      <c r="AO50" s="16">
        <f>SOLID!AS19</f>
        <v>0</v>
      </c>
      <c r="AP50" s="16">
        <f>SOLID!AT19</f>
        <v>0</v>
      </c>
      <c r="AQ50" s="16">
        <f>SOLID!AU19</f>
        <v>0</v>
      </c>
      <c r="AR50" s="16">
        <f>SOLID!AV19</f>
        <v>0</v>
      </c>
      <c r="AS50" s="16">
        <f>SOLID!AW19</f>
        <v>0</v>
      </c>
      <c r="AT50" s="16">
        <f>SOLID!AX19</f>
        <v>0</v>
      </c>
      <c r="AU50" s="16">
        <f>SOLID!AY19</f>
        <v>0</v>
      </c>
      <c r="AV50" s="16">
        <f>SOLID!AZ19</f>
        <v>0</v>
      </c>
      <c r="AW50" s="16">
        <f>SOLID!BA19</f>
        <v>0</v>
      </c>
      <c r="AX50" s="16">
        <f>SOLID!BB19</f>
        <v>0</v>
      </c>
      <c r="AY50" s="16">
        <f>SOLID!BC19</f>
        <v>0</v>
      </c>
      <c r="AZ50" s="16">
        <f>SOLID!BD19</f>
        <v>0</v>
      </c>
      <c r="BA50" s="16">
        <f>SOLID!BE19</f>
        <v>0</v>
      </c>
      <c r="BB50" s="16">
        <f>SOLID!BF19</f>
        <v>0</v>
      </c>
      <c r="BC50" s="16">
        <f>SOLID!BG19</f>
        <v>0</v>
      </c>
      <c r="BD50" s="16">
        <f>SOLID!BH19</f>
        <v>0</v>
      </c>
      <c r="BE50" s="16">
        <f>SOLID!BI19</f>
        <v>0</v>
      </c>
      <c r="BF50" s="16">
        <f>SOLID!BJ19</f>
        <v>0</v>
      </c>
      <c r="BG50" s="16">
        <f>SOLID!BK19</f>
        <v>0</v>
      </c>
      <c r="BH50" s="16">
        <f>SOLID!BL19</f>
        <v>0</v>
      </c>
      <c r="BI50" s="16">
        <f>SOLID!BM19</f>
        <v>0</v>
      </c>
      <c r="BJ50" s="16">
        <f>SOLID!BN19</f>
        <v>0</v>
      </c>
      <c r="BK50" s="16">
        <f>SOLID!BO19</f>
        <v>0</v>
      </c>
      <c r="BL50" s="16">
        <f>SOLID!BP19</f>
        <v>0</v>
      </c>
      <c r="BM50" s="16">
        <f>SOLID!BQ19</f>
        <v>0</v>
      </c>
      <c r="BN50" s="16">
        <f>SOLID!BR19</f>
        <v>0</v>
      </c>
      <c r="BO50" s="16">
        <f>SOLID!BS19</f>
        <v>0</v>
      </c>
      <c r="BP50" s="16">
        <f>SOLID!BT19</f>
        <v>0</v>
      </c>
      <c r="BQ50" s="16">
        <f>SOLID!BU19</f>
        <v>0</v>
      </c>
      <c r="BR50" s="16">
        <f>SOLID!BV19</f>
        <v>0</v>
      </c>
      <c r="BS50" s="16">
        <f>SOLID!BW19</f>
        <v>0</v>
      </c>
      <c r="BT50" s="16">
        <f>SOLID!BX19</f>
        <v>0</v>
      </c>
    </row>
    <row r="51" spans="1:72" ht="22.5" hidden="1" outlineLevel="1" thickTop="1" thickBot="1" x14ac:dyDescent="0.4">
      <c r="A51" s="88" t="str">
        <f>SOLID!E20</f>
        <v>H (Se)</v>
      </c>
      <c r="B51" s="16">
        <f>SOLID!F20</f>
        <v>-23.52</v>
      </c>
      <c r="C51" s="16">
        <f>SOLID!G20</f>
        <v>-22.41</v>
      </c>
      <c r="D51" s="16">
        <f>SOLID!H20</f>
        <v>-21.42</v>
      </c>
      <c r="E51" s="16">
        <f>SOLID!I20</f>
        <v>-20.54</v>
      </c>
      <c r="F51" s="16">
        <f>SOLID!J20</f>
        <v>-19.760000000000002</v>
      </c>
      <c r="G51" s="16">
        <f>SOLID!K20</f>
        <v>-19.8</v>
      </c>
      <c r="H51" s="16">
        <f>SOLID!L20</f>
        <v>-20.04</v>
      </c>
      <c r="I51" s="16">
        <f>SOLID!M20</f>
        <v>-20.28</v>
      </c>
      <c r="J51" s="16">
        <f>SOLID!N20</f>
        <v>-20.53</v>
      </c>
      <c r="K51" s="16">
        <f>SOLID!O20</f>
        <v>-21.53</v>
      </c>
      <c r="L51" s="16">
        <f>SOLID!P20</f>
        <v>-21.78</v>
      </c>
      <c r="M51" s="16">
        <f>SOLID!Q20</f>
        <v>-22.02</v>
      </c>
      <c r="N51" s="16">
        <f>SOLID!R20</f>
        <v>-22.27</v>
      </c>
      <c r="O51" s="16">
        <f>SOLID!S20</f>
        <v>-22.52</v>
      </c>
      <c r="P51" s="16">
        <f>SOLID!T20</f>
        <v>-22.76</v>
      </c>
      <c r="Q51" s="16">
        <f>SOLID!U20</f>
        <v>-23</v>
      </c>
      <c r="R51" s="16">
        <f>SOLID!V20</f>
        <v>-23.24</v>
      </c>
      <c r="S51" s="16">
        <f>SOLID!W20</f>
        <v>-23.48</v>
      </c>
      <c r="T51" s="16">
        <f>SOLID!X20</f>
        <v>-23.72</v>
      </c>
      <c r="U51" s="16">
        <f>SOLID!Y20</f>
        <v>-23.95</v>
      </c>
      <c r="V51" s="16">
        <f>SOLID!Z20</f>
        <v>-24.18</v>
      </c>
      <c r="W51" s="16">
        <f>SOLID!AA20</f>
        <v>-24.41</v>
      </c>
      <c r="X51" s="16">
        <f>SOLID!AB20</f>
        <v>-25.31</v>
      </c>
      <c r="Y51" s="16">
        <f>SOLID!AC20</f>
        <v>-25.53</v>
      </c>
      <c r="Z51" s="16">
        <f>SOLID!AD20</f>
        <v>-25.75</v>
      </c>
      <c r="AA51" s="16">
        <f>SOLID!AE20</f>
        <v>-25.97</v>
      </c>
      <c r="AB51" s="16">
        <f>SOLID!AF20</f>
        <v>-26.18</v>
      </c>
      <c r="AC51" s="16">
        <f>SOLID!AG20</f>
        <v>-26.39</v>
      </c>
      <c r="AD51" s="16">
        <f>SOLID!AH20</f>
        <v>-26.6</v>
      </c>
      <c r="AE51" s="16">
        <f>SOLID!AI20</f>
        <v>-26.81</v>
      </c>
      <c r="AF51" s="16">
        <f>SOLID!AJ20</f>
        <v>-27.02</v>
      </c>
      <c r="AG51" s="16">
        <f>SOLID!AK20</f>
        <v>-27.83</v>
      </c>
      <c r="AH51" s="16">
        <f>SOLID!AL20</f>
        <v>-28.03</v>
      </c>
      <c r="AI51" s="16">
        <f>SOLID!AM20</f>
        <v>-28.23</v>
      </c>
      <c r="AJ51" s="16">
        <f>SOLID!AN20</f>
        <v>-28.42</v>
      </c>
      <c r="AK51" s="16">
        <f>SOLID!AO20</f>
        <v>-28.62</v>
      </c>
      <c r="AL51" s="16">
        <f>SOLID!AP20</f>
        <v>0</v>
      </c>
      <c r="AM51" s="16">
        <f>SOLID!AQ20</f>
        <v>0</v>
      </c>
      <c r="AN51" s="16">
        <f>SOLID!AR20</f>
        <v>0</v>
      </c>
      <c r="AO51" s="16">
        <f>SOLID!AS20</f>
        <v>0</v>
      </c>
      <c r="AP51" s="16">
        <f>SOLID!AT20</f>
        <v>0</v>
      </c>
      <c r="AQ51" s="16">
        <f>SOLID!AU20</f>
        <v>0</v>
      </c>
      <c r="AR51" s="16">
        <f>SOLID!AV20</f>
        <v>0</v>
      </c>
      <c r="AS51" s="16">
        <f>SOLID!AW20</f>
        <v>0</v>
      </c>
      <c r="AT51" s="16">
        <f>SOLID!AX20</f>
        <v>0</v>
      </c>
      <c r="AU51" s="16">
        <f>SOLID!AY20</f>
        <v>0</v>
      </c>
      <c r="AV51" s="16">
        <f>SOLID!AZ20</f>
        <v>0</v>
      </c>
      <c r="AW51" s="16">
        <f>SOLID!BA20</f>
        <v>0</v>
      </c>
      <c r="AX51" s="16">
        <f>SOLID!BB20</f>
        <v>0</v>
      </c>
      <c r="AY51" s="16">
        <f>SOLID!BC20</f>
        <v>0</v>
      </c>
      <c r="AZ51" s="16">
        <f>SOLID!BD20</f>
        <v>0</v>
      </c>
      <c r="BA51" s="16">
        <f>SOLID!BE20</f>
        <v>0</v>
      </c>
      <c r="BB51" s="16">
        <f>SOLID!BF20</f>
        <v>0</v>
      </c>
      <c r="BC51" s="16">
        <f>SOLID!BG20</f>
        <v>0</v>
      </c>
      <c r="BD51" s="16">
        <f>SOLID!BH20</f>
        <v>0</v>
      </c>
      <c r="BE51" s="16">
        <f>SOLID!BI20</f>
        <v>0</v>
      </c>
      <c r="BF51" s="16">
        <f>SOLID!BJ20</f>
        <v>0</v>
      </c>
      <c r="BG51" s="16">
        <f>SOLID!BK20</f>
        <v>0</v>
      </c>
      <c r="BH51" s="16">
        <f>SOLID!BL20</f>
        <v>0</v>
      </c>
      <c r="BI51" s="16">
        <f>SOLID!BM20</f>
        <v>0</v>
      </c>
      <c r="BJ51" s="16">
        <f>SOLID!BN20</f>
        <v>0</v>
      </c>
      <c r="BK51" s="16">
        <f>SOLID!BO20</f>
        <v>0</v>
      </c>
      <c r="BL51" s="16">
        <f>SOLID!BP20</f>
        <v>0</v>
      </c>
      <c r="BM51" s="16">
        <f>SOLID!BQ20</f>
        <v>0</v>
      </c>
      <c r="BN51" s="16">
        <f>SOLID!BR20</f>
        <v>0</v>
      </c>
      <c r="BO51" s="16">
        <f>SOLID!BS20</f>
        <v>0</v>
      </c>
      <c r="BP51" s="16">
        <f>SOLID!BT20</f>
        <v>0</v>
      </c>
      <c r="BQ51" s="16">
        <f>SOLID!BU20</f>
        <v>0</v>
      </c>
      <c r="BR51" s="16">
        <f>SOLID!BV20</f>
        <v>0</v>
      </c>
      <c r="BS51" s="16">
        <f>SOLID!BW20</f>
        <v>0</v>
      </c>
      <c r="BT51" s="16">
        <f>SOLID!BX20</f>
        <v>0</v>
      </c>
    </row>
    <row r="52" spans="1:72" ht="22.5" hidden="1" outlineLevel="1" thickTop="1" thickBot="1" x14ac:dyDescent="0.4">
      <c r="A52" s="88">
        <f>SOLID!E21</f>
        <v>0</v>
      </c>
      <c r="B52" s="16">
        <f>SOLID!F21</f>
        <v>0</v>
      </c>
      <c r="C52" s="16">
        <f>SOLID!G21</f>
        <v>0</v>
      </c>
      <c r="D52" s="16">
        <f>SOLID!H21</f>
        <v>0</v>
      </c>
      <c r="E52" s="16">
        <f>SOLID!I21</f>
        <v>0</v>
      </c>
      <c r="F52" s="16">
        <f>SOLID!J21</f>
        <v>0</v>
      </c>
      <c r="G52" s="16">
        <f>SOLID!K21</f>
        <v>0</v>
      </c>
      <c r="H52" s="16">
        <f>SOLID!L21</f>
        <v>0</v>
      </c>
      <c r="I52" s="16">
        <f>SOLID!M21</f>
        <v>0</v>
      </c>
      <c r="J52" s="16">
        <f>SOLID!N21</f>
        <v>0</v>
      </c>
      <c r="K52" s="16">
        <f>SOLID!O21</f>
        <v>0</v>
      </c>
      <c r="L52" s="16">
        <f>SOLID!P21</f>
        <v>0</v>
      </c>
      <c r="M52" s="16">
        <f>SOLID!Q21</f>
        <v>0</v>
      </c>
      <c r="N52" s="16">
        <f>SOLID!R21</f>
        <v>0</v>
      </c>
      <c r="O52" s="16">
        <f>SOLID!S21</f>
        <v>0</v>
      </c>
      <c r="P52" s="16">
        <f>SOLID!T21</f>
        <v>0</v>
      </c>
      <c r="Q52" s="16">
        <f>SOLID!U21</f>
        <v>0</v>
      </c>
      <c r="R52" s="16">
        <f>SOLID!V21</f>
        <v>0</v>
      </c>
      <c r="S52" s="16">
        <f>SOLID!W21</f>
        <v>0</v>
      </c>
      <c r="T52" s="16">
        <f>SOLID!X21</f>
        <v>0</v>
      </c>
      <c r="U52" s="16">
        <f>SOLID!Y21</f>
        <v>0</v>
      </c>
      <c r="V52" s="16">
        <f>SOLID!Z21</f>
        <v>0</v>
      </c>
      <c r="W52" s="16">
        <f>SOLID!AA21</f>
        <v>0</v>
      </c>
      <c r="X52" s="16">
        <f>SOLID!AB21</f>
        <v>0</v>
      </c>
      <c r="Y52" s="16">
        <f>SOLID!AC21</f>
        <v>0</v>
      </c>
      <c r="Z52" s="16">
        <f>SOLID!AD21</f>
        <v>0</v>
      </c>
      <c r="AA52" s="16">
        <f>SOLID!AE21</f>
        <v>0</v>
      </c>
      <c r="AB52" s="16">
        <f>SOLID!AF21</f>
        <v>0</v>
      </c>
      <c r="AC52" s="16">
        <f>SOLID!AG21</f>
        <v>0</v>
      </c>
      <c r="AD52" s="16">
        <f>SOLID!AH21</f>
        <v>0</v>
      </c>
      <c r="AE52" s="16">
        <f>SOLID!AI21</f>
        <v>0</v>
      </c>
      <c r="AF52" s="16">
        <f>SOLID!AJ21</f>
        <v>0</v>
      </c>
      <c r="AG52" s="16">
        <f>SOLID!AK21</f>
        <v>0</v>
      </c>
      <c r="AH52" s="16">
        <f>SOLID!AL21</f>
        <v>0</v>
      </c>
      <c r="AI52" s="16">
        <f>SOLID!AM21</f>
        <v>0</v>
      </c>
      <c r="AJ52" s="16">
        <f>SOLID!AN21</f>
        <v>0</v>
      </c>
      <c r="AK52" s="16">
        <f>SOLID!AO21</f>
        <v>0</v>
      </c>
      <c r="AL52" s="16">
        <f>SOLID!AP21</f>
        <v>0</v>
      </c>
      <c r="AM52" s="16">
        <f>SOLID!AQ21</f>
        <v>0</v>
      </c>
      <c r="AN52" s="16">
        <f>SOLID!AR21</f>
        <v>0</v>
      </c>
      <c r="AO52" s="16">
        <f>SOLID!AS21</f>
        <v>0</v>
      </c>
      <c r="AP52" s="16">
        <f>SOLID!AT21</f>
        <v>0</v>
      </c>
      <c r="AQ52" s="16">
        <f>SOLID!AU21</f>
        <v>0</v>
      </c>
      <c r="AR52" s="16">
        <f>SOLID!AV21</f>
        <v>0</v>
      </c>
      <c r="AS52" s="16">
        <f>SOLID!AW21</f>
        <v>0</v>
      </c>
      <c r="AT52" s="16">
        <f>SOLID!AX21</f>
        <v>0</v>
      </c>
      <c r="AU52" s="16">
        <f>SOLID!AY21</f>
        <v>0</v>
      </c>
      <c r="AV52" s="16">
        <f>SOLID!AZ21</f>
        <v>0</v>
      </c>
      <c r="AW52" s="16">
        <f>SOLID!BA21</f>
        <v>0</v>
      </c>
      <c r="AX52" s="16">
        <f>SOLID!BB21</f>
        <v>0</v>
      </c>
      <c r="AY52" s="16">
        <f>SOLID!BC21</f>
        <v>0</v>
      </c>
      <c r="AZ52" s="16">
        <f>SOLID!BD21</f>
        <v>0</v>
      </c>
      <c r="BA52" s="16">
        <f>SOLID!BE21</f>
        <v>0</v>
      </c>
      <c r="BB52" s="16">
        <f>SOLID!BF21</f>
        <v>0</v>
      </c>
      <c r="BC52" s="16">
        <f>SOLID!BG21</f>
        <v>0</v>
      </c>
      <c r="BD52" s="16">
        <f>SOLID!BH21</f>
        <v>0</v>
      </c>
      <c r="BE52" s="16">
        <f>SOLID!BI21</f>
        <v>0</v>
      </c>
      <c r="BF52" s="16">
        <f>SOLID!BJ21</f>
        <v>0</v>
      </c>
      <c r="BG52" s="16">
        <f>SOLID!BK21</f>
        <v>0</v>
      </c>
      <c r="BH52" s="16">
        <f>SOLID!BL21</f>
        <v>0</v>
      </c>
      <c r="BI52" s="16">
        <f>SOLID!BM21</f>
        <v>0</v>
      </c>
      <c r="BJ52" s="16">
        <f>SOLID!BN21</f>
        <v>0</v>
      </c>
      <c r="BK52" s="16">
        <f>SOLID!BO21</f>
        <v>0</v>
      </c>
      <c r="BL52" s="16">
        <f>SOLID!BP21</f>
        <v>0</v>
      </c>
      <c r="BM52" s="16">
        <f>SOLID!BQ21</f>
        <v>0</v>
      </c>
      <c r="BN52" s="16">
        <f>SOLID!BR21</f>
        <v>0</v>
      </c>
      <c r="BO52" s="16">
        <f>SOLID!BS21</f>
        <v>0</v>
      </c>
      <c r="BP52" s="16">
        <f>SOLID!BT21</f>
        <v>0</v>
      </c>
      <c r="BQ52" s="16">
        <f>SOLID!BU21</f>
        <v>0</v>
      </c>
      <c r="BR52" s="16">
        <f>SOLID!BV21</f>
        <v>0</v>
      </c>
      <c r="BS52" s="16">
        <f>SOLID!BW21</f>
        <v>0</v>
      </c>
      <c r="BT52" s="16">
        <f>SOLID!BX21</f>
        <v>0</v>
      </c>
    </row>
    <row r="53" spans="1:72" ht="22.5" hidden="1" outlineLevel="1" thickTop="1" thickBot="1" x14ac:dyDescent="0.4">
      <c r="A53" s="88">
        <f>SOLID!E22</f>
        <v>0</v>
      </c>
      <c r="B53" s="16">
        <f>SOLID!F22</f>
        <v>0</v>
      </c>
      <c r="C53" s="16">
        <f>SOLID!G22</f>
        <v>0</v>
      </c>
      <c r="D53" s="16">
        <f>SOLID!H22</f>
        <v>0</v>
      </c>
      <c r="E53" s="16">
        <f>SOLID!I22</f>
        <v>0</v>
      </c>
      <c r="F53" s="16">
        <f>SOLID!J22</f>
        <v>0</v>
      </c>
      <c r="G53" s="16">
        <f>SOLID!K22</f>
        <v>0</v>
      </c>
      <c r="H53" s="16">
        <f>SOLID!L22</f>
        <v>0</v>
      </c>
      <c r="I53" s="16">
        <f>SOLID!M22</f>
        <v>0</v>
      </c>
      <c r="J53" s="16">
        <f>SOLID!N22</f>
        <v>0</v>
      </c>
      <c r="K53" s="16">
        <f>SOLID!O22</f>
        <v>0</v>
      </c>
      <c r="L53" s="16">
        <f>SOLID!P22</f>
        <v>0</v>
      </c>
      <c r="M53" s="16">
        <f>SOLID!Q22</f>
        <v>0</v>
      </c>
      <c r="N53" s="16">
        <f>SOLID!R22</f>
        <v>0</v>
      </c>
      <c r="O53" s="16">
        <f>SOLID!S22</f>
        <v>0</v>
      </c>
      <c r="P53" s="16">
        <f>SOLID!T22</f>
        <v>0</v>
      </c>
      <c r="Q53" s="16">
        <f>SOLID!U22</f>
        <v>0</v>
      </c>
      <c r="R53" s="16">
        <f>SOLID!V22</f>
        <v>0</v>
      </c>
      <c r="S53" s="16">
        <f>SOLID!W22</f>
        <v>0</v>
      </c>
      <c r="T53" s="16">
        <f>SOLID!X22</f>
        <v>0</v>
      </c>
      <c r="U53" s="16">
        <f>SOLID!Y22</f>
        <v>0</v>
      </c>
      <c r="V53" s="16">
        <f>SOLID!Z22</f>
        <v>0</v>
      </c>
      <c r="W53" s="16">
        <f>SOLID!AA22</f>
        <v>0</v>
      </c>
      <c r="X53" s="16">
        <f>SOLID!AB22</f>
        <v>0</v>
      </c>
      <c r="Y53" s="16">
        <f>SOLID!AC22</f>
        <v>0</v>
      </c>
      <c r="Z53" s="16">
        <f>SOLID!AD22</f>
        <v>0</v>
      </c>
      <c r="AA53" s="16">
        <f>SOLID!AE22</f>
        <v>0</v>
      </c>
      <c r="AB53" s="16">
        <f>SOLID!AF22</f>
        <v>0</v>
      </c>
      <c r="AC53" s="16">
        <f>SOLID!AG22</f>
        <v>0</v>
      </c>
      <c r="AD53" s="16">
        <f>SOLID!AH22</f>
        <v>0</v>
      </c>
      <c r="AE53" s="16">
        <f>SOLID!AI22</f>
        <v>0</v>
      </c>
      <c r="AF53" s="16">
        <f>SOLID!AJ22</f>
        <v>0</v>
      </c>
      <c r="AG53" s="16">
        <f>SOLID!AK22</f>
        <v>0</v>
      </c>
      <c r="AH53" s="16">
        <f>SOLID!AL22</f>
        <v>0</v>
      </c>
      <c r="AI53" s="16">
        <f>SOLID!AM22</f>
        <v>0</v>
      </c>
      <c r="AJ53" s="16">
        <f>SOLID!AN22</f>
        <v>0</v>
      </c>
      <c r="AK53" s="16">
        <f>SOLID!AO22</f>
        <v>0</v>
      </c>
      <c r="AL53" s="16">
        <f>SOLID!AP22</f>
        <v>0</v>
      </c>
      <c r="AM53" s="16">
        <f>SOLID!AQ22</f>
        <v>0</v>
      </c>
      <c r="AN53" s="16">
        <f>SOLID!AR22</f>
        <v>0</v>
      </c>
      <c r="AO53" s="16">
        <f>SOLID!AS22</f>
        <v>0</v>
      </c>
      <c r="AP53" s="16">
        <f>SOLID!AT22</f>
        <v>0</v>
      </c>
      <c r="AQ53" s="16">
        <f>SOLID!AU22</f>
        <v>0</v>
      </c>
      <c r="AR53" s="16">
        <f>SOLID!AV22</f>
        <v>0</v>
      </c>
      <c r="AS53" s="16">
        <f>SOLID!AW22</f>
        <v>0</v>
      </c>
      <c r="AT53" s="16">
        <f>SOLID!AX22</f>
        <v>0</v>
      </c>
      <c r="AU53" s="16">
        <f>SOLID!AY22</f>
        <v>0</v>
      </c>
      <c r="AV53" s="16">
        <f>SOLID!AZ22</f>
        <v>0</v>
      </c>
      <c r="AW53" s="16">
        <f>SOLID!BA22</f>
        <v>0</v>
      </c>
      <c r="AX53" s="16">
        <f>SOLID!BB22</f>
        <v>0</v>
      </c>
      <c r="AY53" s="16">
        <f>SOLID!BC22</f>
        <v>0</v>
      </c>
      <c r="AZ53" s="16">
        <f>SOLID!BD22</f>
        <v>0</v>
      </c>
      <c r="BA53" s="16">
        <f>SOLID!BE22</f>
        <v>0</v>
      </c>
      <c r="BB53" s="16">
        <f>SOLID!BF22</f>
        <v>0</v>
      </c>
      <c r="BC53" s="16">
        <f>SOLID!BG22</f>
        <v>0</v>
      </c>
      <c r="BD53" s="16">
        <f>SOLID!BH22</f>
        <v>0</v>
      </c>
      <c r="BE53" s="16">
        <f>SOLID!BI22</f>
        <v>0</v>
      </c>
      <c r="BF53" s="16">
        <f>SOLID!BJ22</f>
        <v>0</v>
      </c>
      <c r="BG53" s="16">
        <f>SOLID!BK22</f>
        <v>0</v>
      </c>
      <c r="BH53" s="16">
        <f>SOLID!BL22</f>
        <v>0</v>
      </c>
      <c r="BI53" s="16">
        <f>SOLID!BM22</f>
        <v>0</v>
      </c>
      <c r="BJ53" s="16">
        <f>SOLID!BN22</f>
        <v>0</v>
      </c>
      <c r="BK53" s="16">
        <f>SOLID!BO22</f>
        <v>0</v>
      </c>
      <c r="BL53" s="16">
        <f>SOLID!BP22</f>
        <v>0</v>
      </c>
      <c r="BM53" s="16">
        <f>SOLID!BQ22</f>
        <v>0</v>
      </c>
      <c r="BN53" s="16">
        <f>SOLID!BR22</f>
        <v>0</v>
      </c>
      <c r="BO53" s="16">
        <f>SOLID!BS22</f>
        <v>0</v>
      </c>
      <c r="BP53" s="16">
        <f>SOLID!BT22</f>
        <v>0</v>
      </c>
      <c r="BQ53" s="16">
        <f>SOLID!BU22</f>
        <v>0</v>
      </c>
      <c r="BR53" s="16">
        <f>SOLID!BV22</f>
        <v>0</v>
      </c>
      <c r="BS53" s="16">
        <f>SOLID!BW22</f>
        <v>0</v>
      </c>
      <c r="BT53" s="16">
        <f>SOLID!BX22</f>
        <v>0</v>
      </c>
    </row>
    <row r="54" spans="1:72" ht="22.5" hidden="1" outlineLevel="1" thickTop="1" thickBot="1" x14ac:dyDescent="0.4">
      <c r="A54" s="88">
        <f>SOLID!E23</f>
        <v>0</v>
      </c>
      <c r="B54" s="16">
        <f>SOLID!F23</f>
        <v>0</v>
      </c>
      <c r="C54" s="16">
        <f>SOLID!G23</f>
        <v>0</v>
      </c>
      <c r="D54" s="16">
        <f>SOLID!H23</f>
        <v>0</v>
      </c>
      <c r="E54" s="16">
        <f>SOLID!I23</f>
        <v>0</v>
      </c>
      <c r="F54" s="16">
        <f>SOLID!J23</f>
        <v>0</v>
      </c>
      <c r="G54" s="16">
        <f>SOLID!K23</f>
        <v>0</v>
      </c>
      <c r="H54" s="16">
        <f>SOLID!L23</f>
        <v>0</v>
      </c>
      <c r="I54" s="16">
        <f>SOLID!M23</f>
        <v>0</v>
      </c>
      <c r="J54" s="16">
        <f>SOLID!N23</f>
        <v>0</v>
      </c>
      <c r="K54" s="16">
        <f>SOLID!O23</f>
        <v>0</v>
      </c>
      <c r="L54" s="16">
        <f>SOLID!P23</f>
        <v>0</v>
      </c>
      <c r="M54" s="16">
        <f>SOLID!Q23</f>
        <v>0</v>
      </c>
      <c r="N54" s="16">
        <f>SOLID!R23</f>
        <v>0</v>
      </c>
      <c r="O54" s="16">
        <f>SOLID!S23</f>
        <v>0</v>
      </c>
      <c r="P54" s="16">
        <f>SOLID!T23</f>
        <v>0</v>
      </c>
      <c r="Q54" s="16">
        <f>SOLID!U23</f>
        <v>0</v>
      </c>
      <c r="R54" s="16">
        <f>SOLID!V23</f>
        <v>0</v>
      </c>
      <c r="S54" s="16">
        <f>SOLID!W23</f>
        <v>0</v>
      </c>
      <c r="T54" s="16">
        <f>SOLID!X23</f>
        <v>0</v>
      </c>
      <c r="U54" s="16">
        <f>SOLID!Y23</f>
        <v>0</v>
      </c>
      <c r="V54" s="16">
        <f>SOLID!Z23</f>
        <v>0</v>
      </c>
      <c r="W54" s="16">
        <f>SOLID!AA23</f>
        <v>0</v>
      </c>
      <c r="X54" s="16">
        <f>SOLID!AB23</f>
        <v>0</v>
      </c>
      <c r="Y54" s="16">
        <f>SOLID!AC23</f>
        <v>0</v>
      </c>
      <c r="Z54" s="16">
        <f>SOLID!AD23</f>
        <v>0</v>
      </c>
      <c r="AA54" s="16">
        <f>SOLID!AE23</f>
        <v>0</v>
      </c>
      <c r="AB54" s="16">
        <f>SOLID!AF23</f>
        <v>0</v>
      </c>
      <c r="AC54" s="16">
        <f>SOLID!AG23</f>
        <v>0</v>
      </c>
      <c r="AD54" s="16">
        <f>SOLID!AH23</f>
        <v>0</v>
      </c>
      <c r="AE54" s="16">
        <f>SOLID!AI23</f>
        <v>0</v>
      </c>
      <c r="AF54" s="16">
        <f>SOLID!AJ23</f>
        <v>0</v>
      </c>
      <c r="AG54" s="16">
        <f>SOLID!AK23</f>
        <v>0</v>
      </c>
      <c r="AH54" s="16">
        <f>SOLID!AL23</f>
        <v>0</v>
      </c>
      <c r="AI54" s="16">
        <f>SOLID!AM23</f>
        <v>0</v>
      </c>
      <c r="AJ54" s="16">
        <f>SOLID!AN23</f>
        <v>0</v>
      </c>
      <c r="AK54" s="16">
        <f>SOLID!AO23</f>
        <v>0</v>
      </c>
      <c r="AL54" s="16">
        <f>SOLID!AP23</f>
        <v>0</v>
      </c>
      <c r="AM54" s="16">
        <f>SOLID!AQ23</f>
        <v>0</v>
      </c>
      <c r="AN54" s="16">
        <f>SOLID!AR23</f>
        <v>0</v>
      </c>
      <c r="AO54" s="16">
        <f>SOLID!AS23</f>
        <v>0</v>
      </c>
      <c r="AP54" s="16">
        <f>SOLID!AT23</f>
        <v>0</v>
      </c>
      <c r="AQ54" s="16">
        <f>SOLID!AU23</f>
        <v>0</v>
      </c>
      <c r="AR54" s="16">
        <f>SOLID!AV23</f>
        <v>0</v>
      </c>
      <c r="AS54" s="16">
        <f>SOLID!AW23</f>
        <v>0</v>
      </c>
      <c r="AT54" s="16">
        <f>SOLID!AX23</f>
        <v>0</v>
      </c>
      <c r="AU54" s="16">
        <f>SOLID!AY23</f>
        <v>0</v>
      </c>
      <c r="AV54" s="16">
        <f>SOLID!AZ23</f>
        <v>0</v>
      </c>
      <c r="AW54" s="16">
        <f>SOLID!BA23</f>
        <v>0</v>
      </c>
      <c r="AX54" s="16">
        <f>SOLID!BB23</f>
        <v>0</v>
      </c>
      <c r="AY54" s="16">
        <f>SOLID!BC23</f>
        <v>0</v>
      </c>
      <c r="AZ54" s="16">
        <f>SOLID!BD23</f>
        <v>0</v>
      </c>
      <c r="BA54" s="16">
        <f>SOLID!BE23</f>
        <v>0</v>
      </c>
      <c r="BB54" s="16">
        <f>SOLID!BF23</f>
        <v>0</v>
      </c>
      <c r="BC54" s="16">
        <f>SOLID!BG23</f>
        <v>0</v>
      </c>
      <c r="BD54" s="16">
        <f>SOLID!BH23</f>
        <v>0</v>
      </c>
      <c r="BE54" s="16">
        <f>SOLID!BI23</f>
        <v>0</v>
      </c>
      <c r="BF54" s="16">
        <f>SOLID!BJ23</f>
        <v>0</v>
      </c>
      <c r="BG54" s="16">
        <f>SOLID!BK23</f>
        <v>0</v>
      </c>
      <c r="BH54" s="16">
        <f>SOLID!BL23</f>
        <v>0</v>
      </c>
      <c r="BI54" s="16">
        <f>SOLID!BM23</f>
        <v>0</v>
      </c>
      <c r="BJ54" s="16">
        <f>SOLID!BN23</f>
        <v>0</v>
      </c>
      <c r="BK54" s="16">
        <f>SOLID!BO23</f>
        <v>0</v>
      </c>
      <c r="BL54" s="16">
        <f>SOLID!BP23</f>
        <v>0</v>
      </c>
      <c r="BM54" s="16">
        <f>SOLID!BQ23</f>
        <v>0</v>
      </c>
      <c r="BN54" s="16">
        <f>SOLID!BR23</f>
        <v>0</v>
      </c>
      <c r="BO54" s="16">
        <f>SOLID!BS23</f>
        <v>0</v>
      </c>
      <c r="BP54" s="16">
        <f>SOLID!BT23</f>
        <v>0</v>
      </c>
      <c r="BQ54" s="16">
        <f>SOLID!BU23</f>
        <v>0</v>
      </c>
      <c r="BR54" s="16">
        <f>SOLID!BV23</f>
        <v>0</v>
      </c>
      <c r="BS54" s="16">
        <f>SOLID!BW23</f>
        <v>0</v>
      </c>
      <c r="BT54" s="16">
        <f>SOLID!BX23</f>
        <v>0</v>
      </c>
    </row>
    <row r="55" spans="1:72" ht="22.5" hidden="1" outlineLevel="1" thickTop="1" thickBot="1" x14ac:dyDescent="0.4">
      <c r="A55" s="88">
        <f>SOLID!E24</f>
        <v>0</v>
      </c>
      <c r="B55" s="16">
        <f>SOLID!F24</f>
        <v>0</v>
      </c>
      <c r="C55" s="16">
        <f>SOLID!G24</f>
        <v>0</v>
      </c>
      <c r="D55" s="16">
        <f>SOLID!H24</f>
        <v>0</v>
      </c>
      <c r="E55" s="16">
        <f>SOLID!I24</f>
        <v>0</v>
      </c>
      <c r="F55" s="16">
        <f>SOLID!J24</f>
        <v>0</v>
      </c>
      <c r="G55" s="16">
        <f>SOLID!K24</f>
        <v>0</v>
      </c>
      <c r="H55" s="16">
        <f>SOLID!L24</f>
        <v>0</v>
      </c>
      <c r="I55" s="16">
        <f>SOLID!M24</f>
        <v>0</v>
      </c>
      <c r="J55" s="16">
        <f>SOLID!N24</f>
        <v>0</v>
      </c>
      <c r="K55" s="16">
        <f>SOLID!O24</f>
        <v>0</v>
      </c>
      <c r="L55" s="16">
        <f>SOLID!P24</f>
        <v>0</v>
      </c>
      <c r="M55" s="16">
        <f>SOLID!Q24</f>
        <v>0</v>
      </c>
      <c r="N55" s="16">
        <f>SOLID!R24</f>
        <v>0</v>
      </c>
      <c r="O55" s="16">
        <f>SOLID!S24</f>
        <v>0</v>
      </c>
      <c r="P55" s="16">
        <f>SOLID!T24</f>
        <v>0</v>
      </c>
      <c r="Q55" s="16">
        <f>SOLID!U24</f>
        <v>0</v>
      </c>
      <c r="R55" s="16">
        <f>SOLID!V24</f>
        <v>0</v>
      </c>
      <c r="S55" s="16">
        <f>SOLID!W24</f>
        <v>0</v>
      </c>
      <c r="T55" s="16">
        <f>SOLID!X24</f>
        <v>0</v>
      </c>
      <c r="U55" s="16">
        <f>SOLID!Y24</f>
        <v>0</v>
      </c>
      <c r="V55" s="16">
        <f>SOLID!Z24</f>
        <v>0</v>
      </c>
      <c r="W55" s="16">
        <f>SOLID!AA24</f>
        <v>0</v>
      </c>
      <c r="X55" s="16">
        <f>SOLID!AB24</f>
        <v>0</v>
      </c>
      <c r="Y55" s="16">
        <f>SOLID!AC24</f>
        <v>0</v>
      </c>
      <c r="Z55" s="16">
        <f>SOLID!AD24</f>
        <v>0</v>
      </c>
      <c r="AA55" s="16">
        <f>SOLID!AE24</f>
        <v>0</v>
      </c>
      <c r="AB55" s="16">
        <f>SOLID!AF24</f>
        <v>0</v>
      </c>
      <c r="AC55" s="16">
        <f>SOLID!AG24</f>
        <v>0</v>
      </c>
      <c r="AD55" s="16">
        <f>SOLID!AH24</f>
        <v>0</v>
      </c>
      <c r="AE55" s="16">
        <f>SOLID!AI24</f>
        <v>0</v>
      </c>
      <c r="AF55" s="16">
        <f>SOLID!AJ24</f>
        <v>0</v>
      </c>
      <c r="AG55" s="16">
        <f>SOLID!AK24</f>
        <v>0</v>
      </c>
      <c r="AH55" s="16">
        <f>SOLID!AL24</f>
        <v>0</v>
      </c>
      <c r="AI55" s="16">
        <f>SOLID!AM24</f>
        <v>0</v>
      </c>
      <c r="AJ55" s="16">
        <f>SOLID!AN24</f>
        <v>0</v>
      </c>
      <c r="AK55" s="16">
        <f>SOLID!AO24</f>
        <v>0</v>
      </c>
      <c r="AL55" s="16">
        <f>SOLID!AP24</f>
        <v>0</v>
      </c>
      <c r="AM55" s="16">
        <f>SOLID!AQ24</f>
        <v>0</v>
      </c>
      <c r="AN55" s="16">
        <f>SOLID!AR24</f>
        <v>0</v>
      </c>
      <c r="AO55" s="16">
        <f>SOLID!AS24</f>
        <v>0</v>
      </c>
      <c r="AP55" s="16">
        <f>SOLID!AT24</f>
        <v>0</v>
      </c>
      <c r="AQ55" s="16">
        <f>SOLID!AU24</f>
        <v>0</v>
      </c>
      <c r="AR55" s="16">
        <f>SOLID!AV24</f>
        <v>0</v>
      </c>
      <c r="AS55" s="16">
        <f>SOLID!AW24</f>
        <v>0</v>
      </c>
      <c r="AT55" s="16">
        <f>SOLID!AX24</f>
        <v>0</v>
      </c>
      <c r="AU55" s="16">
        <f>SOLID!AY24</f>
        <v>0</v>
      </c>
      <c r="AV55" s="16">
        <f>SOLID!AZ24</f>
        <v>0</v>
      </c>
      <c r="AW55" s="16">
        <f>SOLID!BA24</f>
        <v>0</v>
      </c>
      <c r="AX55" s="16">
        <f>SOLID!BB24</f>
        <v>0</v>
      </c>
      <c r="AY55" s="16">
        <f>SOLID!BC24</f>
        <v>0</v>
      </c>
      <c r="AZ55" s="16">
        <f>SOLID!BD24</f>
        <v>0</v>
      </c>
      <c r="BA55" s="16">
        <f>SOLID!BE24</f>
        <v>0</v>
      </c>
      <c r="BB55" s="16">
        <f>SOLID!BF24</f>
        <v>0</v>
      </c>
      <c r="BC55" s="16">
        <f>SOLID!BG24</f>
        <v>0</v>
      </c>
      <c r="BD55" s="16">
        <f>SOLID!BH24</f>
        <v>0</v>
      </c>
      <c r="BE55" s="16">
        <f>SOLID!BI24</f>
        <v>0</v>
      </c>
      <c r="BF55" s="16">
        <f>SOLID!BJ24</f>
        <v>0</v>
      </c>
      <c r="BG55" s="16">
        <f>SOLID!BK24</f>
        <v>0</v>
      </c>
      <c r="BH55" s="16">
        <f>SOLID!BL24</f>
        <v>0</v>
      </c>
      <c r="BI55" s="16">
        <f>SOLID!BM24</f>
        <v>0</v>
      </c>
      <c r="BJ55" s="16">
        <f>SOLID!BN24</f>
        <v>0</v>
      </c>
      <c r="BK55" s="16">
        <f>SOLID!BO24</f>
        <v>0</v>
      </c>
      <c r="BL55" s="16">
        <f>SOLID!BP24</f>
        <v>0</v>
      </c>
      <c r="BM55" s="16">
        <f>SOLID!BQ24</f>
        <v>0</v>
      </c>
      <c r="BN55" s="16">
        <f>SOLID!BR24</f>
        <v>0</v>
      </c>
      <c r="BO55" s="16">
        <f>SOLID!BS24</f>
        <v>0</v>
      </c>
      <c r="BP55" s="16">
        <f>SOLID!BT24</f>
        <v>0</v>
      </c>
      <c r="BQ55" s="16">
        <f>SOLID!BU24</f>
        <v>0</v>
      </c>
      <c r="BR55" s="16">
        <f>SOLID!BV24</f>
        <v>0</v>
      </c>
      <c r="BS55" s="16">
        <f>SOLID!BW24</f>
        <v>0</v>
      </c>
      <c r="BT55" s="16">
        <f>SOLID!BX24</f>
        <v>0</v>
      </c>
    </row>
    <row r="56" spans="1:72" ht="22.5" hidden="1" outlineLevel="1" thickTop="1" thickBot="1" x14ac:dyDescent="0.4">
      <c r="A56" s="88">
        <f>SOLID!E25</f>
        <v>0</v>
      </c>
      <c r="B56" s="16">
        <f>SOLID!F25</f>
        <v>0</v>
      </c>
      <c r="C56" s="16">
        <f>SOLID!G25</f>
        <v>0</v>
      </c>
      <c r="D56" s="16">
        <f>SOLID!H25</f>
        <v>0</v>
      </c>
      <c r="E56" s="16">
        <f>SOLID!I25</f>
        <v>0</v>
      </c>
      <c r="F56" s="16">
        <f>SOLID!J25</f>
        <v>0</v>
      </c>
      <c r="G56" s="16">
        <f>SOLID!K25</f>
        <v>0</v>
      </c>
      <c r="H56" s="16">
        <f>SOLID!L25</f>
        <v>0</v>
      </c>
      <c r="I56" s="16">
        <f>SOLID!M25</f>
        <v>0</v>
      </c>
      <c r="J56" s="16">
        <f>SOLID!N25</f>
        <v>0</v>
      </c>
      <c r="K56" s="16">
        <f>SOLID!O25</f>
        <v>0</v>
      </c>
      <c r="L56" s="16">
        <f>SOLID!P25</f>
        <v>0</v>
      </c>
      <c r="M56" s="16">
        <f>SOLID!Q25</f>
        <v>0</v>
      </c>
      <c r="N56" s="16">
        <f>SOLID!R25</f>
        <v>0</v>
      </c>
      <c r="O56" s="16">
        <f>SOLID!S25</f>
        <v>0</v>
      </c>
      <c r="P56" s="16">
        <f>SOLID!T25</f>
        <v>0</v>
      </c>
      <c r="Q56" s="16">
        <f>SOLID!U25</f>
        <v>0</v>
      </c>
      <c r="R56" s="16">
        <f>SOLID!V25</f>
        <v>0</v>
      </c>
      <c r="S56" s="16">
        <f>SOLID!W25</f>
        <v>0</v>
      </c>
      <c r="T56" s="16">
        <f>SOLID!X25</f>
        <v>0</v>
      </c>
      <c r="U56" s="16">
        <f>SOLID!Y25</f>
        <v>0</v>
      </c>
      <c r="V56" s="16">
        <f>SOLID!Z25</f>
        <v>0</v>
      </c>
      <c r="W56" s="16">
        <f>SOLID!AA25</f>
        <v>0</v>
      </c>
      <c r="X56" s="16">
        <f>SOLID!AB25</f>
        <v>0</v>
      </c>
      <c r="Y56" s="16">
        <f>SOLID!AC25</f>
        <v>0</v>
      </c>
      <c r="Z56" s="16">
        <f>SOLID!AD25</f>
        <v>0</v>
      </c>
      <c r="AA56" s="16">
        <f>SOLID!AE25</f>
        <v>0</v>
      </c>
      <c r="AB56" s="16">
        <f>SOLID!AF25</f>
        <v>0</v>
      </c>
      <c r="AC56" s="16">
        <f>SOLID!AG25</f>
        <v>0</v>
      </c>
      <c r="AD56" s="16">
        <f>SOLID!AH25</f>
        <v>0</v>
      </c>
      <c r="AE56" s="16">
        <f>SOLID!AI25</f>
        <v>0</v>
      </c>
      <c r="AF56" s="16">
        <f>SOLID!AJ25</f>
        <v>0</v>
      </c>
      <c r="AG56" s="16">
        <f>SOLID!AK25</f>
        <v>0</v>
      </c>
      <c r="AH56" s="16">
        <f>SOLID!AL25</f>
        <v>0</v>
      </c>
      <c r="AI56" s="16">
        <f>SOLID!AM25</f>
        <v>0</v>
      </c>
      <c r="AJ56" s="16">
        <f>SOLID!AN25</f>
        <v>0</v>
      </c>
      <c r="AK56" s="16">
        <f>SOLID!AO25</f>
        <v>0</v>
      </c>
      <c r="AL56" s="16">
        <f>SOLID!AP25</f>
        <v>0</v>
      </c>
      <c r="AM56" s="16">
        <f>SOLID!AQ25</f>
        <v>0</v>
      </c>
      <c r="AN56" s="16">
        <f>SOLID!AR25</f>
        <v>0</v>
      </c>
      <c r="AO56" s="16">
        <f>SOLID!AS25</f>
        <v>0</v>
      </c>
      <c r="AP56" s="16">
        <f>SOLID!AT25</f>
        <v>0</v>
      </c>
      <c r="AQ56" s="16">
        <f>SOLID!AU25</f>
        <v>0</v>
      </c>
      <c r="AR56" s="16">
        <f>SOLID!AV25</f>
        <v>0</v>
      </c>
      <c r="AS56" s="16">
        <f>SOLID!AW25</f>
        <v>0</v>
      </c>
      <c r="AT56" s="16">
        <f>SOLID!AX25</f>
        <v>0</v>
      </c>
      <c r="AU56" s="16">
        <f>SOLID!AY25</f>
        <v>0</v>
      </c>
      <c r="AV56" s="16">
        <f>SOLID!AZ25</f>
        <v>0</v>
      </c>
      <c r="AW56" s="16">
        <f>SOLID!BA25</f>
        <v>0</v>
      </c>
      <c r="AX56" s="16">
        <f>SOLID!BB25</f>
        <v>0</v>
      </c>
      <c r="AY56" s="16">
        <f>SOLID!BC25</f>
        <v>0</v>
      </c>
      <c r="AZ56" s="16">
        <f>SOLID!BD25</f>
        <v>0</v>
      </c>
      <c r="BA56" s="16">
        <f>SOLID!BE25</f>
        <v>0</v>
      </c>
      <c r="BB56" s="16">
        <f>SOLID!BF25</f>
        <v>0</v>
      </c>
      <c r="BC56" s="16">
        <f>SOLID!BG25</f>
        <v>0</v>
      </c>
      <c r="BD56" s="16">
        <f>SOLID!BH25</f>
        <v>0</v>
      </c>
      <c r="BE56" s="16">
        <f>SOLID!BI25</f>
        <v>0</v>
      </c>
      <c r="BF56" s="16">
        <f>SOLID!BJ25</f>
        <v>0</v>
      </c>
      <c r="BG56" s="16">
        <f>SOLID!BK25</f>
        <v>0</v>
      </c>
      <c r="BH56" s="16">
        <f>SOLID!BL25</f>
        <v>0</v>
      </c>
      <c r="BI56" s="16">
        <f>SOLID!BM25</f>
        <v>0</v>
      </c>
      <c r="BJ56" s="16">
        <f>SOLID!BN25</f>
        <v>0</v>
      </c>
      <c r="BK56" s="16">
        <f>SOLID!BO25</f>
        <v>0</v>
      </c>
      <c r="BL56" s="16">
        <f>SOLID!BP25</f>
        <v>0</v>
      </c>
      <c r="BM56" s="16">
        <f>SOLID!BQ25</f>
        <v>0</v>
      </c>
      <c r="BN56" s="16">
        <f>SOLID!BR25</f>
        <v>0</v>
      </c>
      <c r="BO56" s="16">
        <f>SOLID!BS25</f>
        <v>0</v>
      </c>
      <c r="BP56" s="16">
        <f>SOLID!BT25</f>
        <v>0</v>
      </c>
      <c r="BQ56" s="16">
        <f>SOLID!BU25</f>
        <v>0</v>
      </c>
      <c r="BR56" s="16">
        <f>SOLID!BV25</f>
        <v>0</v>
      </c>
      <c r="BS56" s="16">
        <f>SOLID!BW25</f>
        <v>0</v>
      </c>
      <c r="BT56" s="16">
        <f>SOLID!BX25</f>
        <v>0</v>
      </c>
    </row>
    <row r="57" spans="1:72" ht="22.5" hidden="1" outlineLevel="1" thickTop="1" thickBot="1" x14ac:dyDescent="0.4">
      <c r="A57" s="88">
        <f>SOLID!E26</f>
        <v>0</v>
      </c>
      <c r="B57" s="16">
        <f>SOLID!F26</f>
        <v>0</v>
      </c>
      <c r="C57" s="16">
        <f>SOLID!G26</f>
        <v>0</v>
      </c>
      <c r="D57" s="16">
        <f>SOLID!H26</f>
        <v>0</v>
      </c>
      <c r="E57" s="16">
        <f>SOLID!I26</f>
        <v>0</v>
      </c>
      <c r="F57" s="16">
        <f>SOLID!J26</f>
        <v>0</v>
      </c>
      <c r="G57" s="16">
        <f>SOLID!K26</f>
        <v>0</v>
      </c>
      <c r="H57" s="16">
        <f>SOLID!L26</f>
        <v>0</v>
      </c>
      <c r="I57" s="16">
        <f>SOLID!M26</f>
        <v>0</v>
      </c>
      <c r="J57" s="16">
        <f>SOLID!N26</f>
        <v>0</v>
      </c>
      <c r="K57" s="16">
        <f>SOLID!O26</f>
        <v>0</v>
      </c>
      <c r="L57" s="16">
        <f>SOLID!P26</f>
        <v>0</v>
      </c>
      <c r="M57" s="16">
        <f>SOLID!Q26</f>
        <v>0</v>
      </c>
      <c r="N57" s="16">
        <f>SOLID!R26</f>
        <v>0</v>
      </c>
      <c r="O57" s="16">
        <f>SOLID!S26</f>
        <v>0</v>
      </c>
      <c r="P57" s="16">
        <f>SOLID!T26</f>
        <v>0</v>
      </c>
      <c r="Q57" s="16">
        <f>SOLID!U26</f>
        <v>0</v>
      </c>
      <c r="R57" s="16">
        <f>SOLID!V26</f>
        <v>0</v>
      </c>
      <c r="S57" s="16">
        <f>SOLID!W26</f>
        <v>0</v>
      </c>
      <c r="T57" s="16">
        <f>SOLID!X26</f>
        <v>0</v>
      </c>
      <c r="U57" s="16">
        <f>SOLID!Y26</f>
        <v>0</v>
      </c>
      <c r="V57" s="16">
        <f>SOLID!Z26</f>
        <v>0</v>
      </c>
      <c r="W57" s="16">
        <f>SOLID!AA26</f>
        <v>0</v>
      </c>
      <c r="X57" s="16">
        <f>SOLID!AB26</f>
        <v>0</v>
      </c>
      <c r="Y57" s="16">
        <f>SOLID!AC26</f>
        <v>0</v>
      </c>
      <c r="Z57" s="16">
        <f>SOLID!AD26</f>
        <v>0</v>
      </c>
      <c r="AA57" s="16">
        <f>SOLID!AE26</f>
        <v>0</v>
      </c>
      <c r="AB57" s="16">
        <f>SOLID!AF26</f>
        <v>0</v>
      </c>
      <c r="AC57" s="16">
        <f>SOLID!AG26</f>
        <v>0</v>
      </c>
      <c r="AD57" s="16">
        <f>SOLID!AH26</f>
        <v>0</v>
      </c>
      <c r="AE57" s="16">
        <f>SOLID!AI26</f>
        <v>0</v>
      </c>
      <c r="AF57" s="16">
        <f>SOLID!AJ26</f>
        <v>0</v>
      </c>
      <c r="AG57" s="16">
        <f>SOLID!AK26</f>
        <v>0</v>
      </c>
      <c r="AH57" s="16">
        <f>SOLID!AL26</f>
        <v>0</v>
      </c>
      <c r="AI57" s="16">
        <f>SOLID!AM26</f>
        <v>0</v>
      </c>
      <c r="AJ57" s="16">
        <f>SOLID!AN26</f>
        <v>0</v>
      </c>
      <c r="AK57" s="16">
        <f>SOLID!AO26</f>
        <v>0</v>
      </c>
      <c r="AL57" s="16">
        <f>SOLID!AP26</f>
        <v>0</v>
      </c>
      <c r="AM57" s="16">
        <f>SOLID!AQ26</f>
        <v>0</v>
      </c>
      <c r="AN57" s="16">
        <f>SOLID!AR26</f>
        <v>0</v>
      </c>
      <c r="AO57" s="16">
        <f>SOLID!AS26</f>
        <v>0</v>
      </c>
      <c r="AP57" s="16">
        <f>SOLID!AT26</f>
        <v>0</v>
      </c>
      <c r="AQ57" s="16">
        <f>SOLID!AU26</f>
        <v>0</v>
      </c>
      <c r="AR57" s="16">
        <f>SOLID!AV26</f>
        <v>0</v>
      </c>
      <c r="AS57" s="16">
        <f>SOLID!AW26</f>
        <v>0</v>
      </c>
      <c r="AT57" s="16">
        <f>SOLID!AX26</f>
        <v>0</v>
      </c>
      <c r="AU57" s="16">
        <f>SOLID!AY26</f>
        <v>0</v>
      </c>
      <c r="AV57" s="16">
        <f>SOLID!AZ26</f>
        <v>0</v>
      </c>
      <c r="AW57" s="16">
        <f>SOLID!BA26</f>
        <v>0</v>
      </c>
      <c r="AX57" s="16">
        <f>SOLID!BB26</f>
        <v>0</v>
      </c>
      <c r="AY57" s="16">
        <f>SOLID!BC26</f>
        <v>0</v>
      </c>
      <c r="AZ57" s="16">
        <f>SOLID!BD26</f>
        <v>0</v>
      </c>
      <c r="BA57" s="16">
        <f>SOLID!BE26</f>
        <v>0</v>
      </c>
      <c r="BB57" s="16">
        <f>SOLID!BF26</f>
        <v>0</v>
      </c>
      <c r="BC57" s="16">
        <f>SOLID!BG26</f>
        <v>0</v>
      </c>
      <c r="BD57" s="16">
        <f>SOLID!BH26</f>
        <v>0</v>
      </c>
      <c r="BE57" s="16">
        <f>SOLID!BI26</f>
        <v>0</v>
      </c>
      <c r="BF57" s="16">
        <f>SOLID!BJ26</f>
        <v>0</v>
      </c>
      <c r="BG57" s="16">
        <f>SOLID!BK26</f>
        <v>0</v>
      </c>
      <c r="BH57" s="16">
        <f>SOLID!BL26</f>
        <v>0</v>
      </c>
      <c r="BI57" s="16">
        <f>SOLID!BM26</f>
        <v>0</v>
      </c>
      <c r="BJ57" s="16">
        <f>SOLID!BN26</f>
        <v>0</v>
      </c>
      <c r="BK57" s="16">
        <f>SOLID!BO26</f>
        <v>0</v>
      </c>
      <c r="BL57" s="16">
        <f>SOLID!BP26</f>
        <v>0</v>
      </c>
      <c r="BM57" s="16">
        <f>SOLID!BQ26</f>
        <v>0</v>
      </c>
      <c r="BN57" s="16">
        <f>SOLID!BR26</f>
        <v>0</v>
      </c>
      <c r="BO57" s="16">
        <f>SOLID!BS26</f>
        <v>0</v>
      </c>
      <c r="BP57" s="16">
        <f>SOLID!BT26</f>
        <v>0</v>
      </c>
      <c r="BQ57" s="16">
        <f>SOLID!BU26</f>
        <v>0</v>
      </c>
      <c r="BR57" s="16">
        <f>SOLID!BV26</f>
        <v>0</v>
      </c>
      <c r="BS57" s="16">
        <f>SOLID!BW26</f>
        <v>0</v>
      </c>
      <c r="BT57" s="16">
        <f>SOLID!BX26</f>
        <v>0</v>
      </c>
    </row>
    <row r="58" spans="1:72" ht="22.5" hidden="1" outlineLevel="1" thickTop="1" thickBot="1" x14ac:dyDescent="0.4">
      <c r="A58" s="88">
        <f>SOLID!E27</f>
        <v>0</v>
      </c>
      <c r="B58" s="16">
        <f>SOLID!F27</f>
        <v>0</v>
      </c>
      <c r="C58" s="16">
        <f>SOLID!G27</f>
        <v>0</v>
      </c>
      <c r="D58" s="16">
        <f>SOLID!H27</f>
        <v>0</v>
      </c>
      <c r="E58" s="16">
        <f>SOLID!I27</f>
        <v>0</v>
      </c>
      <c r="F58" s="16">
        <f>SOLID!J27</f>
        <v>0</v>
      </c>
      <c r="G58" s="16">
        <f>SOLID!K27</f>
        <v>0</v>
      </c>
      <c r="H58" s="16">
        <f>SOLID!L27</f>
        <v>0</v>
      </c>
      <c r="I58" s="16">
        <f>SOLID!M27</f>
        <v>0</v>
      </c>
      <c r="J58" s="16">
        <f>SOLID!N27</f>
        <v>0</v>
      </c>
      <c r="K58" s="16">
        <f>SOLID!O27</f>
        <v>0</v>
      </c>
      <c r="L58" s="16">
        <f>SOLID!P27</f>
        <v>0</v>
      </c>
      <c r="M58" s="16">
        <f>SOLID!Q27</f>
        <v>0</v>
      </c>
      <c r="N58" s="16">
        <f>SOLID!R27</f>
        <v>0</v>
      </c>
      <c r="O58" s="16">
        <f>SOLID!S27</f>
        <v>0</v>
      </c>
      <c r="P58" s="16">
        <f>SOLID!T27</f>
        <v>0</v>
      </c>
      <c r="Q58" s="16">
        <f>SOLID!U27</f>
        <v>0</v>
      </c>
      <c r="R58" s="16">
        <f>SOLID!V27</f>
        <v>0</v>
      </c>
      <c r="S58" s="16">
        <f>SOLID!W27</f>
        <v>0</v>
      </c>
      <c r="T58" s="16">
        <f>SOLID!X27</f>
        <v>0</v>
      </c>
      <c r="U58" s="16">
        <f>SOLID!Y27</f>
        <v>0</v>
      </c>
      <c r="V58" s="16">
        <f>SOLID!Z27</f>
        <v>0</v>
      </c>
      <c r="W58" s="16">
        <f>SOLID!AA27</f>
        <v>0</v>
      </c>
      <c r="X58" s="16">
        <f>SOLID!AB27</f>
        <v>0</v>
      </c>
      <c r="Y58" s="16">
        <f>SOLID!AC27</f>
        <v>0</v>
      </c>
      <c r="Z58" s="16">
        <f>SOLID!AD27</f>
        <v>0</v>
      </c>
      <c r="AA58" s="16">
        <f>SOLID!AE27</f>
        <v>0</v>
      </c>
      <c r="AB58" s="16">
        <f>SOLID!AF27</f>
        <v>0</v>
      </c>
      <c r="AC58" s="16">
        <f>SOLID!AG27</f>
        <v>0</v>
      </c>
      <c r="AD58" s="16">
        <f>SOLID!AH27</f>
        <v>0</v>
      </c>
      <c r="AE58" s="16">
        <f>SOLID!AI27</f>
        <v>0</v>
      </c>
      <c r="AF58" s="16">
        <f>SOLID!AJ27</f>
        <v>0</v>
      </c>
      <c r="AG58" s="16">
        <f>SOLID!AK27</f>
        <v>0</v>
      </c>
      <c r="AH58" s="16">
        <f>SOLID!AL27</f>
        <v>0</v>
      </c>
      <c r="AI58" s="16">
        <f>SOLID!AM27</f>
        <v>0</v>
      </c>
      <c r="AJ58" s="16">
        <f>SOLID!AN27</f>
        <v>0</v>
      </c>
      <c r="AK58" s="16">
        <f>SOLID!AO27</f>
        <v>0</v>
      </c>
      <c r="AL58" s="16">
        <f>SOLID!AP27</f>
        <v>0</v>
      </c>
      <c r="AM58" s="16">
        <f>SOLID!AQ27</f>
        <v>0</v>
      </c>
      <c r="AN58" s="16">
        <f>SOLID!AR27</f>
        <v>0</v>
      </c>
      <c r="AO58" s="16">
        <f>SOLID!AS27</f>
        <v>0</v>
      </c>
      <c r="AP58" s="16">
        <f>SOLID!AT27</f>
        <v>0</v>
      </c>
      <c r="AQ58" s="16">
        <f>SOLID!AU27</f>
        <v>0</v>
      </c>
      <c r="AR58" s="16">
        <f>SOLID!AV27</f>
        <v>0</v>
      </c>
      <c r="AS58" s="16">
        <f>SOLID!AW27</f>
        <v>0</v>
      </c>
      <c r="AT58" s="16">
        <f>SOLID!AX27</f>
        <v>0</v>
      </c>
      <c r="AU58" s="16">
        <f>SOLID!AY27</f>
        <v>0</v>
      </c>
      <c r="AV58" s="16">
        <f>SOLID!AZ27</f>
        <v>0</v>
      </c>
      <c r="AW58" s="16">
        <f>SOLID!BA27</f>
        <v>0</v>
      </c>
      <c r="AX58" s="16">
        <f>SOLID!BB27</f>
        <v>0</v>
      </c>
      <c r="AY58" s="16">
        <f>SOLID!BC27</f>
        <v>0</v>
      </c>
      <c r="AZ58" s="16">
        <f>SOLID!BD27</f>
        <v>0</v>
      </c>
      <c r="BA58" s="16">
        <f>SOLID!BE27</f>
        <v>0</v>
      </c>
      <c r="BB58" s="16">
        <f>SOLID!BF27</f>
        <v>0</v>
      </c>
      <c r="BC58" s="16">
        <f>SOLID!BG27</f>
        <v>0</v>
      </c>
      <c r="BD58" s="16">
        <f>SOLID!BH27</f>
        <v>0</v>
      </c>
      <c r="BE58" s="16">
        <f>SOLID!BI27</f>
        <v>0</v>
      </c>
      <c r="BF58" s="16">
        <f>SOLID!BJ27</f>
        <v>0</v>
      </c>
      <c r="BG58" s="16">
        <f>SOLID!BK27</f>
        <v>0</v>
      </c>
      <c r="BH58" s="16">
        <f>SOLID!BL27</f>
        <v>0</v>
      </c>
      <c r="BI58" s="16">
        <f>SOLID!BM27</f>
        <v>0</v>
      </c>
      <c r="BJ58" s="16">
        <f>SOLID!BN27</f>
        <v>0</v>
      </c>
      <c r="BK58" s="16">
        <f>SOLID!BO27</f>
        <v>0</v>
      </c>
      <c r="BL58" s="16">
        <f>SOLID!BP27</f>
        <v>0</v>
      </c>
      <c r="BM58" s="16">
        <f>SOLID!BQ27</f>
        <v>0</v>
      </c>
      <c r="BN58" s="16">
        <f>SOLID!BR27</f>
        <v>0</v>
      </c>
      <c r="BO58" s="16">
        <f>SOLID!BS27</f>
        <v>0</v>
      </c>
      <c r="BP58" s="16">
        <f>SOLID!BT27</f>
        <v>0</v>
      </c>
      <c r="BQ58" s="16">
        <f>SOLID!BU27</f>
        <v>0</v>
      </c>
      <c r="BR58" s="16">
        <f>SOLID!BV27</f>
        <v>0</v>
      </c>
      <c r="BS58" s="16">
        <f>SOLID!BW27</f>
        <v>0</v>
      </c>
      <c r="BT58" s="16">
        <f>SOLID!BX27</f>
        <v>0</v>
      </c>
    </row>
    <row r="59" spans="1:72" ht="22.5" hidden="1" outlineLevel="1" thickTop="1" thickBot="1" x14ac:dyDescent="0.4">
      <c r="A59" s="88">
        <f>SOLID!E28</f>
        <v>0</v>
      </c>
      <c r="B59" s="16">
        <f>SOLID!F28</f>
        <v>0</v>
      </c>
      <c r="C59" s="16">
        <f>SOLID!G28</f>
        <v>0</v>
      </c>
      <c r="D59" s="16">
        <f>SOLID!H28</f>
        <v>0</v>
      </c>
      <c r="E59" s="16">
        <f>SOLID!I28</f>
        <v>0</v>
      </c>
      <c r="F59" s="16">
        <f>SOLID!J28</f>
        <v>0</v>
      </c>
      <c r="G59" s="16">
        <f>SOLID!K28</f>
        <v>0</v>
      </c>
      <c r="H59" s="16">
        <f>SOLID!L28</f>
        <v>0</v>
      </c>
      <c r="I59" s="16">
        <f>SOLID!M28</f>
        <v>0</v>
      </c>
      <c r="J59" s="16">
        <f>SOLID!N28</f>
        <v>0</v>
      </c>
      <c r="K59" s="16">
        <f>SOLID!O28</f>
        <v>0</v>
      </c>
      <c r="L59" s="16">
        <f>SOLID!P28</f>
        <v>0</v>
      </c>
      <c r="M59" s="16">
        <f>SOLID!Q28</f>
        <v>0</v>
      </c>
      <c r="N59" s="16">
        <f>SOLID!R28</f>
        <v>0</v>
      </c>
      <c r="O59" s="16">
        <f>SOLID!S28</f>
        <v>0</v>
      </c>
      <c r="P59" s="16">
        <f>SOLID!T28</f>
        <v>0</v>
      </c>
      <c r="Q59" s="16">
        <f>SOLID!U28</f>
        <v>0</v>
      </c>
      <c r="R59" s="16">
        <f>SOLID!V28</f>
        <v>0</v>
      </c>
      <c r="S59" s="16">
        <f>SOLID!W28</f>
        <v>0</v>
      </c>
      <c r="T59" s="16">
        <f>SOLID!X28</f>
        <v>0</v>
      </c>
      <c r="U59" s="16">
        <f>SOLID!Y28</f>
        <v>0</v>
      </c>
      <c r="V59" s="16">
        <f>SOLID!Z28</f>
        <v>0</v>
      </c>
      <c r="W59" s="16">
        <f>SOLID!AA28</f>
        <v>0</v>
      </c>
      <c r="X59" s="16">
        <f>SOLID!AB28</f>
        <v>0</v>
      </c>
      <c r="Y59" s="16">
        <f>SOLID!AC28</f>
        <v>0</v>
      </c>
      <c r="Z59" s="16">
        <f>SOLID!AD28</f>
        <v>0</v>
      </c>
      <c r="AA59" s="16">
        <f>SOLID!AE28</f>
        <v>0</v>
      </c>
      <c r="AB59" s="16">
        <f>SOLID!AF28</f>
        <v>0</v>
      </c>
      <c r="AC59" s="16">
        <f>SOLID!AG28</f>
        <v>0</v>
      </c>
      <c r="AD59" s="16">
        <f>SOLID!AH28</f>
        <v>0</v>
      </c>
      <c r="AE59" s="16">
        <f>SOLID!AI28</f>
        <v>0</v>
      </c>
      <c r="AF59" s="16">
        <f>SOLID!AJ28</f>
        <v>0</v>
      </c>
      <c r="AG59" s="16">
        <f>SOLID!AK28</f>
        <v>0</v>
      </c>
      <c r="AH59" s="16">
        <f>SOLID!AL28</f>
        <v>0</v>
      </c>
      <c r="AI59" s="16">
        <f>SOLID!AM28</f>
        <v>0</v>
      </c>
      <c r="AJ59" s="16">
        <f>SOLID!AN28</f>
        <v>0</v>
      </c>
      <c r="AK59" s="16">
        <f>SOLID!AO28</f>
        <v>0</v>
      </c>
      <c r="AL59" s="16">
        <f>SOLID!AP28</f>
        <v>0</v>
      </c>
      <c r="AM59" s="16">
        <f>SOLID!AQ28</f>
        <v>0</v>
      </c>
      <c r="AN59" s="16">
        <f>SOLID!AR28</f>
        <v>0</v>
      </c>
      <c r="AO59" s="16">
        <f>SOLID!AS28</f>
        <v>0</v>
      </c>
      <c r="AP59" s="16">
        <f>SOLID!AT28</f>
        <v>0</v>
      </c>
      <c r="AQ59" s="16">
        <f>SOLID!AU28</f>
        <v>0</v>
      </c>
      <c r="AR59" s="16">
        <f>SOLID!AV28</f>
        <v>0</v>
      </c>
      <c r="AS59" s="16">
        <f>SOLID!AW28</f>
        <v>0</v>
      </c>
      <c r="AT59" s="16">
        <f>SOLID!AX28</f>
        <v>0</v>
      </c>
      <c r="AU59" s="16">
        <f>SOLID!AY28</f>
        <v>0</v>
      </c>
      <c r="AV59" s="16">
        <f>SOLID!AZ28</f>
        <v>0</v>
      </c>
      <c r="AW59" s="16">
        <f>SOLID!BA28</f>
        <v>0</v>
      </c>
      <c r="AX59" s="16">
        <f>SOLID!BB28</f>
        <v>0</v>
      </c>
      <c r="AY59" s="16">
        <f>SOLID!BC28</f>
        <v>0</v>
      </c>
      <c r="AZ59" s="16">
        <f>SOLID!BD28</f>
        <v>0</v>
      </c>
      <c r="BA59" s="16">
        <f>SOLID!BE28</f>
        <v>0</v>
      </c>
      <c r="BB59" s="16">
        <f>SOLID!BF28</f>
        <v>0</v>
      </c>
      <c r="BC59" s="16">
        <f>SOLID!BG28</f>
        <v>0</v>
      </c>
      <c r="BD59" s="16">
        <f>SOLID!BH28</f>
        <v>0</v>
      </c>
      <c r="BE59" s="16">
        <f>SOLID!BI28</f>
        <v>0</v>
      </c>
      <c r="BF59" s="16">
        <f>SOLID!BJ28</f>
        <v>0</v>
      </c>
      <c r="BG59" s="16">
        <f>SOLID!BK28</f>
        <v>0</v>
      </c>
      <c r="BH59" s="16">
        <f>SOLID!BL28</f>
        <v>0</v>
      </c>
      <c r="BI59" s="16">
        <f>SOLID!BM28</f>
        <v>0</v>
      </c>
      <c r="BJ59" s="16">
        <f>SOLID!BN28</f>
        <v>0</v>
      </c>
      <c r="BK59" s="16">
        <f>SOLID!BO28</f>
        <v>0</v>
      </c>
      <c r="BL59" s="16">
        <f>SOLID!BP28</f>
        <v>0</v>
      </c>
      <c r="BM59" s="16">
        <f>SOLID!BQ28</f>
        <v>0</v>
      </c>
      <c r="BN59" s="16">
        <f>SOLID!BR28</f>
        <v>0</v>
      </c>
      <c r="BO59" s="16">
        <f>SOLID!BS28</f>
        <v>0</v>
      </c>
      <c r="BP59" s="16">
        <f>SOLID!BT28</f>
        <v>0</v>
      </c>
      <c r="BQ59" s="16">
        <f>SOLID!BU28</f>
        <v>0</v>
      </c>
      <c r="BR59" s="16">
        <f>SOLID!BV28</f>
        <v>0</v>
      </c>
      <c r="BS59" s="16">
        <f>SOLID!BW28</f>
        <v>0</v>
      </c>
      <c r="BT59" s="16">
        <f>SOLID!BX28</f>
        <v>0</v>
      </c>
    </row>
    <row r="60" spans="1:72" ht="22.5" hidden="1" outlineLevel="1" thickTop="1" thickBot="1" x14ac:dyDescent="0.4">
      <c r="A60" s="88">
        <f>SOLID!E29</f>
        <v>0</v>
      </c>
      <c r="B60" s="16">
        <f>SOLID!F29</f>
        <v>0</v>
      </c>
      <c r="C60" s="16">
        <f>SOLID!G29</f>
        <v>0</v>
      </c>
      <c r="D60" s="16">
        <f>SOLID!H29</f>
        <v>0</v>
      </c>
      <c r="E60" s="16">
        <f>SOLID!I29</f>
        <v>0</v>
      </c>
      <c r="F60" s="16">
        <f>SOLID!J29</f>
        <v>0</v>
      </c>
      <c r="G60" s="16">
        <f>SOLID!K29</f>
        <v>0</v>
      </c>
      <c r="H60" s="16">
        <f>SOLID!L29</f>
        <v>0</v>
      </c>
      <c r="I60" s="16">
        <f>SOLID!M29</f>
        <v>0</v>
      </c>
      <c r="J60" s="16">
        <f>SOLID!N29</f>
        <v>0</v>
      </c>
      <c r="K60" s="16">
        <f>SOLID!O29</f>
        <v>0</v>
      </c>
      <c r="L60" s="16">
        <f>SOLID!P29</f>
        <v>0</v>
      </c>
      <c r="M60" s="16">
        <f>SOLID!Q29</f>
        <v>0</v>
      </c>
      <c r="N60" s="16">
        <f>SOLID!R29</f>
        <v>0</v>
      </c>
      <c r="O60" s="16">
        <f>SOLID!S29</f>
        <v>0</v>
      </c>
      <c r="P60" s="16">
        <f>SOLID!T29</f>
        <v>0</v>
      </c>
      <c r="Q60" s="16">
        <f>SOLID!U29</f>
        <v>0</v>
      </c>
      <c r="R60" s="16">
        <f>SOLID!V29</f>
        <v>0</v>
      </c>
      <c r="S60" s="16">
        <f>SOLID!W29</f>
        <v>0</v>
      </c>
      <c r="T60" s="16">
        <f>SOLID!X29</f>
        <v>0</v>
      </c>
      <c r="U60" s="16">
        <f>SOLID!Y29</f>
        <v>0</v>
      </c>
      <c r="V60" s="16">
        <f>SOLID!Z29</f>
        <v>0</v>
      </c>
      <c r="W60" s="16">
        <f>SOLID!AA29</f>
        <v>0</v>
      </c>
      <c r="X60" s="16">
        <f>SOLID!AB29</f>
        <v>0</v>
      </c>
      <c r="Y60" s="16">
        <f>SOLID!AC29</f>
        <v>0</v>
      </c>
      <c r="Z60" s="16">
        <f>SOLID!AD29</f>
        <v>0</v>
      </c>
      <c r="AA60" s="16">
        <f>SOLID!AE29</f>
        <v>0</v>
      </c>
      <c r="AB60" s="16">
        <f>SOLID!AF29</f>
        <v>0</v>
      </c>
      <c r="AC60" s="16">
        <f>SOLID!AG29</f>
        <v>0</v>
      </c>
      <c r="AD60" s="16">
        <f>SOLID!AH29</f>
        <v>0</v>
      </c>
      <c r="AE60" s="16">
        <f>SOLID!AI29</f>
        <v>0</v>
      </c>
      <c r="AF60" s="16">
        <f>SOLID!AJ29</f>
        <v>0</v>
      </c>
      <c r="AG60" s="16">
        <f>SOLID!AK29</f>
        <v>0</v>
      </c>
      <c r="AH60" s="16">
        <f>SOLID!AL29</f>
        <v>0</v>
      </c>
      <c r="AI60" s="16">
        <f>SOLID!AM29</f>
        <v>0</v>
      </c>
      <c r="AJ60" s="16">
        <f>SOLID!AN29</f>
        <v>0</v>
      </c>
      <c r="AK60" s="16">
        <f>SOLID!AO29</f>
        <v>0</v>
      </c>
      <c r="AL60" s="16">
        <f>SOLID!AP29</f>
        <v>0</v>
      </c>
      <c r="AM60" s="16">
        <f>SOLID!AQ29</f>
        <v>0</v>
      </c>
      <c r="AN60" s="16">
        <f>SOLID!AR29</f>
        <v>0</v>
      </c>
      <c r="AO60" s="16">
        <f>SOLID!AS29</f>
        <v>0</v>
      </c>
      <c r="AP60" s="16">
        <f>SOLID!AT29</f>
        <v>0</v>
      </c>
      <c r="AQ60" s="16">
        <f>SOLID!AU29</f>
        <v>0</v>
      </c>
      <c r="AR60" s="16">
        <f>SOLID!AV29</f>
        <v>0</v>
      </c>
      <c r="AS60" s="16">
        <f>SOLID!AW29</f>
        <v>0</v>
      </c>
      <c r="AT60" s="16">
        <f>SOLID!AX29</f>
        <v>0</v>
      </c>
      <c r="AU60" s="16">
        <f>SOLID!AY29</f>
        <v>0</v>
      </c>
      <c r="AV60" s="16">
        <f>SOLID!AZ29</f>
        <v>0</v>
      </c>
      <c r="AW60" s="16">
        <f>SOLID!BA29</f>
        <v>0</v>
      </c>
      <c r="AX60" s="16">
        <f>SOLID!BB29</f>
        <v>0</v>
      </c>
      <c r="AY60" s="16">
        <f>SOLID!BC29</f>
        <v>0</v>
      </c>
      <c r="AZ60" s="16">
        <f>SOLID!BD29</f>
        <v>0</v>
      </c>
      <c r="BA60" s="16">
        <f>SOLID!BE29</f>
        <v>0</v>
      </c>
      <c r="BB60" s="16">
        <f>SOLID!BF29</f>
        <v>0</v>
      </c>
      <c r="BC60" s="16">
        <f>SOLID!BG29</f>
        <v>0</v>
      </c>
      <c r="BD60" s="16">
        <f>SOLID!BH29</f>
        <v>0</v>
      </c>
      <c r="BE60" s="16">
        <f>SOLID!BI29</f>
        <v>0</v>
      </c>
      <c r="BF60" s="16">
        <f>SOLID!BJ29</f>
        <v>0</v>
      </c>
      <c r="BG60" s="16">
        <f>SOLID!BK29</f>
        <v>0</v>
      </c>
      <c r="BH60" s="16">
        <f>SOLID!BL29</f>
        <v>0</v>
      </c>
      <c r="BI60" s="16">
        <f>SOLID!BM29</f>
        <v>0</v>
      </c>
      <c r="BJ60" s="16">
        <f>SOLID!BN29</f>
        <v>0</v>
      </c>
      <c r="BK60" s="16">
        <f>SOLID!BO29</f>
        <v>0</v>
      </c>
      <c r="BL60" s="16">
        <f>SOLID!BP29</f>
        <v>0</v>
      </c>
      <c r="BM60" s="16">
        <f>SOLID!BQ29</f>
        <v>0</v>
      </c>
      <c r="BN60" s="16">
        <f>SOLID!BR29</f>
        <v>0</v>
      </c>
      <c r="BO60" s="16">
        <f>SOLID!BS29</f>
        <v>0</v>
      </c>
      <c r="BP60" s="16">
        <f>SOLID!BT29</f>
        <v>0</v>
      </c>
      <c r="BQ60" s="16">
        <f>SOLID!BU29</f>
        <v>0</v>
      </c>
      <c r="BR60" s="16">
        <f>SOLID!BV29</f>
        <v>0</v>
      </c>
      <c r="BS60" s="16">
        <f>SOLID!BW29</f>
        <v>0</v>
      </c>
      <c r="BT60" s="16">
        <f>SOLID!BX29</f>
        <v>0</v>
      </c>
    </row>
    <row r="61" spans="1:72" ht="22.5" hidden="1" outlineLevel="1" thickTop="1" thickBot="1" x14ac:dyDescent="0.4">
      <c r="A61" s="88">
        <f>SOLID!E30</f>
        <v>0</v>
      </c>
      <c r="B61" s="16">
        <f>SOLID!F30</f>
        <v>0</v>
      </c>
      <c r="C61" s="16">
        <f>SOLID!G30</f>
        <v>0</v>
      </c>
      <c r="D61" s="16">
        <f>SOLID!H30</f>
        <v>0</v>
      </c>
      <c r="E61" s="16">
        <f>SOLID!I30</f>
        <v>0</v>
      </c>
      <c r="F61" s="16">
        <f>SOLID!J30</f>
        <v>0</v>
      </c>
      <c r="G61" s="16">
        <f>SOLID!K30</f>
        <v>0</v>
      </c>
      <c r="H61" s="16">
        <f>SOLID!L30</f>
        <v>0</v>
      </c>
      <c r="I61" s="16">
        <f>SOLID!M30</f>
        <v>0</v>
      </c>
      <c r="J61" s="16">
        <f>SOLID!N30</f>
        <v>0</v>
      </c>
      <c r="K61" s="16">
        <f>SOLID!O30</f>
        <v>0</v>
      </c>
      <c r="L61" s="16">
        <f>SOLID!P30</f>
        <v>0</v>
      </c>
      <c r="M61" s="16">
        <f>SOLID!Q30</f>
        <v>0</v>
      </c>
      <c r="N61" s="16">
        <f>SOLID!R30</f>
        <v>0</v>
      </c>
      <c r="O61" s="16">
        <f>SOLID!S30</f>
        <v>0</v>
      </c>
      <c r="P61" s="16">
        <f>SOLID!T30</f>
        <v>0</v>
      </c>
      <c r="Q61" s="16">
        <f>SOLID!U30</f>
        <v>0</v>
      </c>
      <c r="R61" s="16">
        <f>SOLID!V30</f>
        <v>0</v>
      </c>
      <c r="S61" s="16">
        <f>SOLID!W30</f>
        <v>0</v>
      </c>
      <c r="T61" s="16">
        <f>SOLID!X30</f>
        <v>0</v>
      </c>
      <c r="U61" s="16">
        <f>SOLID!Y30</f>
        <v>0</v>
      </c>
      <c r="V61" s="16">
        <f>SOLID!Z30</f>
        <v>0</v>
      </c>
      <c r="W61" s="16">
        <f>SOLID!AA30</f>
        <v>0</v>
      </c>
      <c r="X61" s="16">
        <f>SOLID!AB30</f>
        <v>0</v>
      </c>
      <c r="Y61" s="16">
        <f>SOLID!AC30</f>
        <v>0</v>
      </c>
      <c r="Z61" s="16">
        <f>SOLID!AD30</f>
        <v>0</v>
      </c>
      <c r="AA61" s="16">
        <f>SOLID!AE30</f>
        <v>0</v>
      </c>
      <c r="AB61" s="16">
        <f>SOLID!AF30</f>
        <v>0</v>
      </c>
      <c r="AC61" s="16">
        <f>SOLID!AG30</f>
        <v>0</v>
      </c>
      <c r="AD61" s="16">
        <f>SOLID!AH30</f>
        <v>0</v>
      </c>
      <c r="AE61" s="16">
        <f>SOLID!AI30</f>
        <v>0</v>
      </c>
      <c r="AF61" s="16">
        <f>SOLID!AJ30</f>
        <v>0</v>
      </c>
      <c r="AG61" s="16">
        <f>SOLID!AK30</f>
        <v>0</v>
      </c>
      <c r="AH61" s="16">
        <f>SOLID!AL30</f>
        <v>0</v>
      </c>
      <c r="AI61" s="16">
        <f>SOLID!AM30</f>
        <v>0</v>
      </c>
      <c r="AJ61" s="16">
        <f>SOLID!AN30</f>
        <v>0</v>
      </c>
      <c r="AK61" s="16">
        <f>SOLID!AO30</f>
        <v>0</v>
      </c>
      <c r="AL61" s="16">
        <f>SOLID!AP30</f>
        <v>0</v>
      </c>
      <c r="AM61" s="16">
        <f>SOLID!AQ30</f>
        <v>0</v>
      </c>
      <c r="AN61" s="16">
        <f>SOLID!AR30</f>
        <v>0</v>
      </c>
      <c r="AO61" s="16">
        <f>SOLID!AS30</f>
        <v>0</v>
      </c>
      <c r="AP61" s="16">
        <f>SOLID!AT30</f>
        <v>0</v>
      </c>
      <c r="AQ61" s="16">
        <f>SOLID!AU30</f>
        <v>0</v>
      </c>
      <c r="AR61" s="16">
        <f>SOLID!AV30</f>
        <v>0</v>
      </c>
      <c r="AS61" s="16">
        <f>SOLID!AW30</f>
        <v>0</v>
      </c>
      <c r="AT61" s="16">
        <f>SOLID!AX30</f>
        <v>0</v>
      </c>
      <c r="AU61" s="16">
        <f>SOLID!AY30</f>
        <v>0</v>
      </c>
      <c r="AV61" s="16">
        <f>SOLID!AZ30</f>
        <v>0</v>
      </c>
      <c r="AW61" s="16">
        <f>SOLID!BA30</f>
        <v>0</v>
      </c>
      <c r="AX61" s="16">
        <f>SOLID!BB30</f>
        <v>0</v>
      </c>
      <c r="AY61" s="16">
        <f>SOLID!BC30</f>
        <v>0</v>
      </c>
      <c r="AZ61" s="16">
        <f>SOLID!BD30</f>
        <v>0</v>
      </c>
      <c r="BA61" s="16">
        <f>SOLID!BE30</f>
        <v>0</v>
      </c>
      <c r="BB61" s="16">
        <f>SOLID!BF30</f>
        <v>0</v>
      </c>
      <c r="BC61" s="16">
        <f>SOLID!BG30</f>
        <v>0</v>
      </c>
      <c r="BD61" s="16">
        <f>SOLID!BH30</f>
        <v>0</v>
      </c>
      <c r="BE61" s="16">
        <f>SOLID!BI30</f>
        <v>0</v>
      </c>
      <c r="BF61" s="16">
        <f>SOLID!BJ30</f>
        <v>0</v>
      </c>
      <c r="BG61" s="16">
        <f>SOLID!BK30</f>
        <v>0</v>
      </c>
      <c r="BH61" s="16">
        <f>SOLID!BL30</f>
        <v>0</v>
      </c>
      <c r="BI61" s="16">
        <f>SOLID!BM30</f>
        <v>0</v>
      </c>
      <c r="BJ61" s="16">
        <f>SOLID!BN30</f>
        <v>0</v>
      </c>
      <c r="BK61" s="16">
        <f>SOLID!BO30</f>
        <v>0</v>
      </c>
      <c r="BL61" s="16">
        <f>SOLID!BP30</f>
        <v>0</v>
      </c>
      <c r="BM61" s="16">
        <f>SOLID!BQ30</f>
        <v>0</v>
      </c>
      <c r="BN61" s="16">
        <f>SOLID!BR30</f>
        <v>0</v>
      </c>
      <c r="BO61" s="16">
        <f>SOLID!BS30</f>
        <v>0</v>
      </c>
      <c r="BP61" s="16">
        <f>SOLID!BT30</f>
        <v>0</v>
      </c>
      <c r="BQ61" s="16">
        <f>SOLID!BU30</f>
        <v>0</v>
      </c>
      <c r="BR61" s="16">
        <f>SOLID!BV30</f>
        <v>0</v>
      </c>
      <c r="BS61" s="16">
        <f>SOLID!BW30</f>
        <v>0</v>
      </c>
      <c r="BT61" s="16">
        <f>SOLID!BX30</f>
        <v>0</v>
      </c>
    </row>
    <row r="62" spans="1:72" ht="22.5" hidden="1" outlineLevel="1" thickTop="1" thickBot="1" x14ac:dyDescent="0.4">
      <c r="A62" s="88">
        <f>SOLID!E31</f>
        <v>0</v>
      </c>
      <c r="B62" s="16">
        <f>SOLID!F31</f>
        <v>0</v>
      </c>
      <c r="C62" s="16">
        <f>SOLID!G31</f>
        <v>0</v>
      </c>
      <c r="D62" s="16">
        <f>SOLID!H31</f>
        <v>0</v>
      </c>
      <c r="E62" s="16">
        <f>SOLID!I31</f>
        <v>0</v>
      </c>
      <c r="F62" s="16">
        <f>SOLID!J31</f>
        <v>0</v>
      </c>
      <c r="G62" s="16">
        <f>SOLID!K31</f>
        <v>0</v>
      </c>
      <c r="H62" s="16">
        <f>SOLID!L31</f>
        <v>0</v>
      </c>
      <c r="I62" s="16">
        <f>SOLID!M31</f>
        <v>0</v>
      </c>
      <c r="J62" s="16">
        <f>SOLID!N31</f>
        <v>0</v>
      </c>
      <c r="K62" s="16">
        <f>SOLID!O31</f>
        <v>0</v>
      </c>
      <c r="L62" s="16">
        <f>SOLID!P31</f>
        <v>0</v>
      </c>
      <c r="M62" s="16">
        <f>SOLID!Q31</f>
        <v>0</v>
      </c>
      <c r="N62" s="16">
        <f>SOLID!R31</f>
        <v>0</v>
      </c>
      <c r="O62" s="16">
        <f>SOLID!S31</f>
        <v>0</v>
      </c>
      <c r="P62" s="16">
        <f>SOLID!T31</f>
        <v>0</v>
      </c>
      <c r="Q62" s="16">
        <f>SOLID!U31</f>
        <v>0</v>
      </c>
      <c r="R62" s="16">
        <f>SOLID!V31</f>
        <v>0</v>
      </c>
      <c r="S62" s="16">
        <f>SOLID!W31</f>
        <v>0</v>
      </c>
      <c r="T62" s="16">
        <f>SOLID!X31</f>
        <v>0</v>
      </c>
      <c r="U62" s="16">
        <f>SOLID!Y31</f>
        <v>0</v>
      </c>
      <c r="V62" s="16">
        <f>SOLID!Z31</f>
        <v>0</v>
      </c>
      <c r="W62" s="16">
        <f>SOLID!AA31</f>
        <v>0</v>
      </c>
      <c r="X62" s="16">
        <f>SOLID!AB31</f>
        <v>0</v>
      </c>
      <c r="Y62" s="16">
        <f>SOLID!AC31</f>
        <v>0</v>
      </c>
      <c r="Z62" s="16">
        <f>SOLID!AD31</f>
        <v>0</v>
      </c>
      <c r="AA62" s="16">
        <f>SOLID!AE31</f>
        <v>0</v>
      </c>
      <c r="AB62" s="16">
        <f>SOLID!AF31</f>
        <v>0</v>
      </c>
      <c r="AC62" s="16">
        <f>SOLID!AG31</f>
        <v>0</v>
      </c>
      <c r="AD62" s="16">
        <f>SOLID!AH31</f>
        <v>0</v>
      </c>
      <c r="AE62" s="16">
        <f>SOLID!AI31</f>
        <v>0</v>
      </c>
      <c r="AF62" s="16">
        <f>SOLID!AJ31</f>
        <v>0</v>
      </c>
      <c r="AG62" s="16">
        <f>SOLID!AK31</f>
        <v>0</v>
      </c>
      <c r="AH62" s="16">
        <f>SOLID!AL31</f>
        <v>0</v>
      </c>
      <c r="AI62" s="16">
        <f>SOLID!AM31</f>
        <v>0</v>
      </c>
      <c r="AJ62" s="16">
        <f>SOLID!AN31</f>
        <v>0</v>
      </c>
      <c r="AK62" s="16">
        <f>SOLID!AO31</f>
        <v>0</v>
      </c>
      <c r="AL62" s="16">
        <f>SOLID!AP31</f>
        <v>0</v>
      </c>
      <c r="AM62" s="16">
        <f>SOLID!AQ31</f>
        <v>0</v>
      </c>
      <c r="AN62" s="16">
        <f>SOLID!AR31</f>
        <v>0</v>
      </c>
      <c r="AO62" s="16">
        <f>SOLID!AS31</f>
        <v>0</v>
      </c>
      <c r="AP62" s="16">
        <f>SOLID!AT31</f>
        <v>0</v>
      </c>
      <c r="AQ62" s="16">
        <f>SOLID!AU31</f>
        <v>0</v>
      </c>
      <c r="AR62" s="16">
        <f>SOLID!AV31</f>
        <v>0</v>
      </c>
      <c r="AS62" s="16">
        <f>SOLID!AW31</f>
        <v>0</v>
      </c>
      <c r="AT62" s="16">
        <f>SOLID!AX31</f>
        <v>0</v>
      </c>
      <c r="AU62" s="16">
        <f>SOLID!AY31</f>
        <v>0</v>
      </c>
      <c r="AV62" s="16">
        <f>SOLID!AZ31</f>
        <v>0</v>
      </c>
      <c r="AW62" s="16">
        <f>SOLID!BA31</f>
        <v>0</v>
      </c>
      <c r="AX62" s="16">
        <f>SOLID!BB31</f>
        <v>0</v>
      </c>
      <c r="AY62" s="16">
        <f>SOLID!BC31</f>
        <v>0</v>
      </c>
      <c r="AZ62" s="16">
        <f>SOLID!BD31</f>
        <v>0</v>
      </c>
      <c r="BA62" s="16">
        <f>SOLID!BE31</f>
        <v>0</v>
      </c>
      <c r="BB62" s="16">
        <f>SOLID!BF31</f>
        <v>0</v>
      </c>
      <c r="BC62" s="16">
        <f>SOLID!BG31</f>
        <v>0</v>
      </c>
      <c r="BD62" s="16">
        <f>SOLID!BH31</f>
        <v>0</v>
      </c>
      <c r="BE62" s="16">
        <f>SOLID!BI31</f>
        <v>0</v>
      </c>
      <c r="BF62" s="16">
        <f>SOLID!BJ31</f>
        <v>0</v>
      </c>
      <c r="BG62" s="16">
        <f>SOLID!BK31</f>
        <v>0</v>
      </c>
      <c r="BH62" s="16">
        <f>SOLID!BL31</f>
        <v>0</v>
      </c>
      <c r="BI62" s="16">
        <f>SOLID!BM31</f>
        <v>0</v>
      </c>
      <c r="BJ62" s="16">
        <f>SOLID!BN31</f>
        <v>0</v>
      </c>
      <c r="BK62" s="16">
        <f>SOLID!BO31</f>
        <v>0</v>
      </c>
      <c r="BL62" s="16">
        <f>SOLID!BP31</f>
        <v>0</v>
      </c>
      <c r="BM62" s="16">
        <f>SOLID!BQ31</f>
        <v>0</v>
      </c>
      <c r="BN62" s="16">
        <f>SOLID!BR31</f>
        <v>0</v>
      </c>
      <c r="BO62" s="16">
        <f>SOLID!BS31</f>
        <v>0</v>
      </c>
      <c r="BP62" s="16">
        <f>SOLID!BT31</f>
        <v>0</v>
      </c>
      <c r="BQ62" s="16">
        <f>SOLID!BU31</f>
        <v>0</v>
      </c>
      <c r="BR62" s="16">
        <f>SOLID!BV31</f>
        <v>0</v>
      </c>
      <c r="BS62" s="16">
        <f>SOLID!BW31</f>
        <v>0</v>
      </c>
      <c r="BT62" s="16">
        <f>SOLID!BX31</f>
        <v>0</v>
      </c>
    </row>
    <row r="63" spans="1:72" ht="22.5" hidden="1" outlineLevel="1" thickTop="1" thickBot="1" x14ac:dyDescent="0.4">
      <c r="A63" s="88">
        <f>SOLID!E32</f>
        <v>0</v>
      </c>
      <c r="B63" s="16">
        <f>SOLID!F32</f>
        <v>0</v>
      </c>
      <c r="C63" s="16">
        <f>SOLID!G32</f>
        <v>0</v>
      </c>
      <c r="D63" s="16">
        <f>SOLID!H32</f>
        <v>0</v>
      </c>
      <c r="E63" s="16">
        <f>SOLID!I32</f>
        <v>0</v>
      </c>
      <c r="F63" s="16">
        <f>SOLID!J32</f>
        <v>0</v>
      </c>
      <c r="G63" s="16">
        <f>SOLID!K32</f>
        <v>0</v>
      </c>
      <c r="H63" s="16">
        <f>SOLID!L32</f>
        <v>0</v>
      </c>
      <c r="I63" s="16">
        <f>SOLID!M32</f>
        <v>0</v>
      </c>
      <c r="J63" s="16">
        <f>SOLID!N32</f>
        <v>0</v>
      </c>
      <c r="K63" s="16">
        <f>SOLID!O32</f>
        <v>0</v>
      </c>
      <c r="L63" s="16">
        <f>SOLID!P32</f>
        <v>0</v>
      </c>
      <c r="M63" s="16">
        <f>SOLID!Q32</f>
        <v>0</v>
      </c>
      <c r="N63" s="16">
        <f>SOLID!R32</f>
        <v>0</v>
      </c>
      <c r="O63" s="16">
        <f>SOLID!S32</f>
        <v>0</v>
      </c>
      <c r="P63" s="16">
        <f>SOLID!T32</f>
        <v>0</v>
      </c>
      <c r="Q63" s="16">
        <f>SOLID!U32</f>
        <v>0</v>
      </c>
      <c r="R63" s="16">
        <f>SOLID!V32</f>
        <v>0</v>
      </c>
      <c r="S63" s="16">
        <f>SOLID!W32</f>
        <v>0</v>
      </c>
      <c r="T63" s="16">
        <f>SOLID!X32</f>
        <v>0</v>
      </c>
      <c r="U63" s="16">
        <f>SOLID!Y32</f>
        <v>0</v>
      </c>
      <c r="V63" s="16">
        <f>SOLID!Z32</f>
        <v>0</v>
      </c>
      <c r="W63" s="16">
        <f>SOLID!AA32</f>
        <v>0</v>
      </c>
      <c r="X63" s="16">
        <f>SOLID!AB32</f>
        <v>0</v>
      </c>
      <c r="Y63" s="16">
        <f>SOLID!AC32</f>
        <v>0</v>
      </c>
      <c r="Z63" s="16">
        <f>SOLID!AD32</f>
        <v>0</v>
      </c>
      <c r="AA63" s="16">
        <f>SOLID!AE32</f>
        <v>0</v>
      </c>
      <c r="AB63" s="16">
        <f>SOLID!AF32</f>
        <v>0</v>
      </c>
      <c r="AC63" s="16">
        <f>SOLID!AG32</f>
        <v>0</v>
      </c>
      <c r="AD63" s="16">
        <f>SOLID!AH32</f>
        <v>0</v>
      </c>
      <c r="AE63" s="16">
        <f>SOLID!AI32</f>
        <v>0</v>
      </c>
      <c r="AF63" s="16">
        <f>SOLID!AJ32</f>
        <v>0</v>
      </c>
      <c r="AG63" s="16">
        <f>SOLID!AK32</f>
        <v>0</v>
      </c>
      <c r="AH63" s="16">
        <f>SOLID!AL32</f>
        <v>0</v>
      </c>
      <c r="AI63" s="16">
        <f>SOLID!AM32</f>
        <v>0</v>
      </c>
      <c r="AJ63" s="16">
        <f>SOLID!AN32</f>
        <v>0</v>
      </c>
      <c r="AK63" s="16">
        <f>SOLID!AO32</f>
        <v>0</v>
      </c>
      <c r="AL63" s="16">
        <f>SOLID!AP32</f>
        <v>0</v>
      </c>
      <c r="AM63" s="16">
        <f>SOLID!AQ32</f>
        <v>0</v>
      </c>
      <c r="AN63" s="16">
        <f>SOLID!AR32</f>
        <v>0</v>
      </c>
      <c r="AO63" s="16">
        <f>SOLID!AS32</f>
        <v>0</v>
      </c>
      <c r="AP63" s="16">
        <f>SOLID!AT32</f>
        <v>0</v>
      </c>
      <c r="AQ63" s="16">
        <f>SOLID!AU32</f>
        <v>0</v>
      </c>
      <c r="AR63" s="16">
        <f>SOLID!AV32</f>
        <v>0</v>
      </c>
      <c r="AS63" s="16">
        <f>SOLID!AW32</f>
        <v>0</v>
      </c>
      <c r="AT63" s="16">
        <f>SOLID!AX32</f>
        <v>0</v>
      </c>
      <c r="AU63" s="16">
        <f>SOLID!AY32</f>
        <v>0</v>
      </c>
      <c r="AV63" s="16">
        <f>SOLID!AZ32</f>
        <v>0</v>
      </c>
      <c r="AW63" s="16">
        <f>SOLID!BA32</f>
        <v>0</v>
      </c>
      <c r="AX63" s="16">
        <f>SOLID!BB32</f>
        <v>0</v>
      </c>
      <c r="AY63" s="16">
        <f>SOLID!BC32</f>
        <v>0</v>
      </c>
      <c r="AZ63" s="16">
        <f>SOLID!BD32</f>
        <v>0</v>
      </c>
      <c r="BA63" s="16">
        <f>SOLID!BE32</f>
        <v>0</v>
      </c>
      <c r="BB63" s="16">
        <f>SOLID!BF32</f>
        <v>0</v>
      </c>
      <c r="BC63" s="16">
        <f>SOLID!BG32</f>
        <v>0</v>
      </c>
      <c r="BD63" s="16">
        <f>SOLID!BH32</f>
        <v>0</v>
      </c>
      <c r="BE63" s="16">
        <f>SOLID!BI32</f>
        <v>0</v>
      </c>
      <c r="BF63" s="16">
        <f>SOLID!BJ32</f>
        <v>0</v>
      </c>
      <c r="BG63" s="16">
        <f>SOLID!BK32</f>
        <v>0</v>
      </c>
      <c r="BH63" s="16">
        <f>SOLID!BL32</f>
        <v>0</v>
      </c>
      <c r="BI63" s="16">
        <f>SOLID!BM32</f>
        <v>0</v>
      </c>
      <c r="BJ63" s="16">
        <f>SOLID!BN32</f>
        <v>0</v>
      </c>
      <c r="BK63" s="16">
        <f>SOLID!BO32</f>
        <v>0</v>
      </c>
      <c r="BL63" s="16">
        <f>SOLID!BP32</f>
        <v>0</v>
      </c>
      <c r="BM63" s="16">
        <f>SOLID!BQ32</f>
        <v>0</v>
      </c>
      <c r="BN63" s="16">
        <f>SOLID!BR32</f>
        <v>0</v>
      </c>
      <c r="BO63" s="16">
        <f>SOLID!BS32</f>
        <v>0</v>
      </c>
      <c r="BP63" s="16">
        <f>SOLID!BT32</f>
        <v>0</v>
      </c>
      <c r="BQ63" s="16">
        <f>SOLID!BU32</f>
        <v>0</v>
      </c>
      <c r="BR63" s="16">
        <f>SOLID!BV32</f>
        <v>0</v>
      </c>
      <c r="BS63" s="16">
        <f>SOLID!BW32</f>
        <v>0</v>
      </c>
      <c r="BT63" s="16">
        <f>SOLID!BX32</f>
        <v>0</v>
      </c>
    </row>
    <row r="64" spans="1:72" ht="22.5" hidden="1" outlineLevel="1" thickTop="1" thickBot="1" x14ac:dyDescent="0.4">
      <c r="A64" s="88">
        <f>SOLID!E33</f>
        <v>1</v>
      </c>
      <c r="B64" s="16">
        <f>SOLID!F33</f>
        <v>0</v>
      </c>
      <c r="C64" s="16">
        <f>SOLID!G33</f>
        <v>0</v>
      </c>
      <c r="D64" s="16">
        <f>SOLID!H33</f>
        <v>0</v>
      </c>
      <c r="E64" s="16">
        <f>SOLID!I33</f>
        <v>0</v>
      </c>
      <c r="F64" s="16">
        <f>SOLID!J33</f>
        <v>0</v>
      </c>
      <c r="G64" s="16">
        <f>SOLID!K33</f>
        <v>0</v>
      </c>
      <c r="H64" s="16">
        <f>SOLID!L33</f>
        <v>0</v>
      </c>
      <c r="I64" s="16">
        <f>SOLID!M33</f>
        <v>0</v>
      </c>
      <c r="J64" s="16">
        <f>SOLID!N33</f>
        <v>0</v>
      </c>
      <c r="K64" s="16">
        <f>SOLID!O33</f>
        <v>0</v>
      </c>
      <c r="L64" s="16">
        <f>SOLID!P33</f>
        <v>0</v>
      </c>
      <c r="M64" s="16">
        <f>SOLID!Q33</f>
        <v>0</v>
      </c>
      <c r="N64" s="16">
        <f>SOLID!R33</f>
        <v>0</v>
      </c>
      <c r="O64" s="16">
        <f>SOLID!S33</f>
        <v>0</v>
      </c>
      <c r="P64" s="16">
        <f>SOLID!T33</f>
        <v>0</v>
      </c>
      <c r="Q64" s="16">
        <f>SOLID!U33</f>
        <v>0</v>
      </c>
      <c r="R64" s="16">
        <f>SOLID!V33</f>
        <v>0</v>
      </c>
      <c r="S64" s="16">
        <f>SOLID!W33</f>
        <v>0</v>
      </c>
      <c r="T64" s="16">
        <f>SOLID!X33</f>
        <v>0</v>
      </c>
      <c r="U64" s="16">
        <f>SOLID!Y33</f>
        <v>0</v>
      </c>
      <c r="V64" s="16">
        <f>SOLID!Z33</f>
        <v>0</v>
      </c>
      <c r="W64" s="16">
        <f>SOLID!AA33</f>
        <v>0</v>
      </c>
      <c r="X64" s="16">
        <f>SOLID!AB33</f>
        <v>0</v>
      </c>
      <c r="Y64" s="16">
        <f>SOLID!AC33</f>
        <v>0</v>
      </c>
      <c r="Z64" s="16">
        <f>SOLID!AD33</f>
        <v>0</v>
      </c>
      <c r="AA64" s="16">
        <f>SOLID!AE33</f>
        <v>0</v>
      </c>
      <c r="AB64" s="16">
        <f>SOLID!AF33</f>
        <v>0</v>
      </c>
      <c r="AC64" s="16">
        <f>SOLID!AG33</f>
        <v>0</v>
      </c>
      <c r="AD64" s="16">
        <f>SOLID!AH33</f>
        <v>0</v>
      </c>
      <c r="AE64" s="16">
        <f>SOLID!AI33</f>
        <v>0</v>
      </c>
      <c r="AF64" s="16">
        <f>SOLID!AJ33</f>
        <v>0</v>
      </c>
      <c r="AG64" s="16">
        <f>SOLID!AK33</f>
        <v>0</v>
      </c>
      <c r="AH64" s="16">
        <f>SOLID!AL33</f>
        <v>0</v>
      </c>
      <c r="AI64" s="16">
        <f>SOLID!AM33</f>
        <v>0</v>
      </c>
      <c r="AJ64" s="16">
        <f>SOLID!AN33</f>
        <v>0</v>
      </c>
      <c r="AK64" s="16">
        <f>SOLID!AO33</f>
        <v>0</v>
      </c>
      <c r="AL64" s="16">
        <f>SOLID!AP33</f>
        <v>0</v>
      </c>
      <c r="AM64" s="16">
        <f>SOLID!AQ33</f>
        <v>0</v>
      </c>
      <c r="AN64" s="16">
        <f>SOLID!AR33</f>
        <v>0</v>
      </c>
      <c r="AO64" s="16">
        <f>SOLID!AS33</f>
        <v>0</v>
      </c>
      <c r="AP64" s="16">
        <f>SOLID!AT33</f>
        <v>0</v>
      </c>
      <c r="AQ64" s="16">
        <f>SOLID!AU33</f>
        <v>0</v>
      </c>
      <c r="AR64" s="16">
        <f>SOLID!AV33</f>
        <v>0</v>
      </c>
      <c r="AS64" s="16">
        <f>SOLID!AW33</f>
        <v>0</v>
      </c>
      <c r="AT64" s="16">
        <f>SOLID!AX33</f>
        <v>0</v>
      </c>
      <c r="AU64" s="16">
        <f>SOLID!AY33</f>
        <v>0</v>
      </c>
      <c r="AV64" s="16">
        <f>SOLID!AZ33</f>
        <v>0</v>
      </c>
      <c r="AW64" s="16">
        <f>SOLID!BA33</f>
        <v>0</v>
      </c>
      <c r="AX64" s="16">
        <f>SOLID!BB33</f>
        <v>0</v>
      </c>
      <c r="AY64" s="16">
        <f>SOLID!BC33</f>
        <v>0</v>
      </c>
      <c r="AZ64" s="16">
        <f>SOLID!BD33</f>
        <v>0</v>
      </c>
      <c r="BA64" s="16">
        <f>SOLID!BE33</f>
        <v>0</v>
      </c>
      <c r="BB64" s="16">
        <f>SOLID!BF33</f>
        <v>0</v>
      </c>
      <c r="BC64" s="16">
        <f>SOLID!BG33</f>
        <v>0</v>
      </c>
      <c r="BD64" s="16">
        <f>SOLID!BH33</f>
        <v>0</v>
      </c>
      <c r="BE64" s="16">
        <f>SOLID!BI33</f>
        <v>0</v>
      </c>
      <c r="BF64" s="16">
        <f>SOLID!BJ33</f>
        <v>0</v>
      </c>
      <c r="BG64" s="16">
        <f>SOLID!BK33</f>
        <v>0</v>
      </c>
      <c r="BH64" s="16">
        <f>SOLID!BL33</f>
        <v>0</v>
      </c>
      <c r="BI64" s="16">
        <f>SOLID!BM33</f>
        <v>0</v>
      </c>
      <c r="BJ64" s="16">
        <f>SOLID!BN33</f>
        <v>0</v>
      </c>
      <c r="BK64" s="16">
        <f>SOLID!BO33</f>
        <v>0</v>
      </c>
      <c r="BL64" s="16">
        <f>SOLID!BP33</f>
        <v>0</v>
      </c>
      <c r="BM64" s="16">
        <f>SOLID!BQ33</f>
        <v>0</v>
      </c>
      <c r="BN64" s="16">
        <f>SOLID!BR33</f>
        <v>0</v>
      </c>
      <c r="BO64" s="16">
        <f>SOLID!BS33</f>
        <v>0</v>
      </c>
      <c r="BP64" s="16">
        <f>SOLID!BT33</f>
        <v>0</v>
      </c>
      <c r="BQ64" s="16">
        <f>SOLID!BU33</f>
        <v>0</v>
      </c>
      <c r="BR64" s="16">
        <f>SOLID!BV33</f>
        <v>0</v>
      </c>
      <c r="BS64" s="16">
        <f>SOLID!BW33</f>
        <v>0</v>
      </c>
      <c r="BT64" s="16">
        <f>SOLID!BX33</f>
        <v>0</v>
      </c>
    </row>
    <row r="65" spans="1:72" ht="22.5" collapsed="1" thickTop="1" thickBot="1" x14ac:dyDescent="0.4"/>
    <row r="66" spans="1:72" ht="22.5" thickTop="1" thickBot="1" x14ac:dyDescent="0.4">
      <c r="A66" s="91" t="s">
        <v>29</v>
      </c>
      <c r="B66" s="63">
        <f>ALL!F3</f>
        <v>273.10000000000002</v>
      </c>
      <c r="C66" s="63">
        <f>ALL!G3</f>
        <v>289.7</v>
      </c>
      <c r="D66" s="63">
        <f>ALL!H3</f>
        <v>306.2</v>
      </c>
      <c r="E66" s="63">
        <f>ALL!I3</f>
        <v>322.7</v>
      </c>
      <c r="F66" s="63">
        <f>ALL!J3</f>
        <v>339.2</v>
      </c>
      <c r="G66" s="63">
        <f>ALL!K3</f>
        <v>405.3</v>
      </c>
      <c r="H66" s="63">
        <f>ALL!L3</f>
        <v>421.8</v>
      </c>
      <c r="I66" s="63">
        <f>ALL!M3</f>
        <v>438.3</v>
      </c>
      <c r="J66" s="63">
        <f>ALL!N3</f>
        <v>454.9</v>
      </c>
      <c r="K66" s="63">
        <f>ALL!O3</f>
        <v>471.4</v>
      </c>
      <c r="L66" s="63">
        <f>ALL!P3</f>
        <v>487.9</v>
      </c>
      <c r="M66" s="63">
        <f>ALL!Q3</f>
        <v>504.4</v>
      </c>
      <c r="N66" s="63">
        <f>ALL!R3</f>
        <v>520.9</v>
      </c>
      <c r="O66" s="63">
        <f>ALL!S3</f>
        <v>537.5</v>
      </c>
      <c r="P66" s="63">
        <f>ALL!T3</f>
        <v>554</v>
      </c>
      <c r="Q66" s="63">
        <f>ALL!U3</f>
        <v>570.5</v>
      </c>
      <c r="R66" s="63">
        <f>ALL!V3</f>
        <v>587</v>
      </c>
      <c r="S66" s="63">
        <f>ALL!W3</f>
        <v>603.5</v>
      </c>
      <c r="T66" s="63">
        <f>ALL!X3</f>
        <v>620.1</v>
      </c>
      <c r="U66" s="63">
        <f>ALL!Y3</f>
        <v>636.6</v>
      </c>
      <c r="V66" s="63">
        <f>ALL!Z3</f>
        <v>653.1</v>
      </c>
      <c r="W66" s="63">
        <f>ALL!AA3</f>
        <v>669.6</v>
      </c>
      <c r="X66" s="63">
        <f>ALL!AB3</f>
        <v>735.7</v>
      </c>
      <c r="Y66" s="63">
        <f>ALL!AC3</f>
        <v>801.8</v>
      </c>
      <c r="Z66" s="63">
        <f>ALL!AD3</f>
        <v>867.8</v>
      </c>
      <c r="AA66" s="63">
        <f>ALL!AE3</f>
        <v>884.4</v>
      </c>
      <c r="AB66" s="63">
        <f>ALL!AF3</f>
        <v>900.9</v>
      </c>
      <c r="AC66" s="63">
        <f>ALL!AG3</f>
        <v>917.4</v>
      </c>
      <c r="AD66" s="63">
        <f>ALL!AH3</f>
        <v>933.9</v>
      </c>
      <c r="AE66" s="63">
        <f>ALL!AI3</f>
        <v>950.4</v>
      </c>
      <c r="AF66" s="63">
        <f>ALL!AJ3</f>
        <v>967</v>
      </c>
      <c r="AG66" s="63">
        <f>ALL!AK3</f>
        <v>983.5</v>
      </c>
      <c r="AH66" s="63">
        <f>ALL!AL3</f>
        <v>1000</v>
      </c>
      <c r="AI66" s="63">
        <f>ALL!AM3</f>
        <v>0</v>
      </c>
      <c r="AJ66" s="63">
        <f>ALL!AN3</f>
        <v>0</v>
      </c>
      <c r="AK66" s="63">
        <f>ALL!AO3</f>
        <v>0</v>
      </c>
      <c r="AL66" s="63">
        <f>ALL!AP3</f>
        <v>0</v>
      </c>
      <c r="AM66" s="63">
        <f>ALL!AQ3</f>
        <v>0</v>
      </c>
      <c r="AN66" s="63">
        <f>ALL!AR3</f>
        <v>0</v>
      </c>
      <c r="AO66" s="63">
        <f>ALL!AS3</f>
        <v>0</v>
      </c>
      <c r="AP66" s="63">
        <f>ALL!AT3</f>
        <v>0</v>
      </c>
      <c r="AQ66" s="63">
        <f>ALL!AU3</f>
        <v>0</v>
      </c>
      <c r="AR66" s="63">
        <f>ALL!AV3</f>
        <v>0</v>
      </c>
      <c r="AS66" s="63">
        <f>ALL!AW3</f>
        <v>0</v>
      </c>
      <c r="AT66" s="63">
        <f>ALL!AX3</f>
        <v>0</v>
      </c>
      <c r="AU66" s="63">
        <f>ALL!AY3</f>
        <v>0</v>
      </c>
      <c r="AV66" s="63">
        <f>ALL!AZ3</f>
        <v>0</v>
      </c>
      <c r="AW66" s="63">
        <f>ALL!BA3</f>
        <v>0</v>
      </c>
      <c r="AX66" s="63">
        <f>ALL!BB3</f>
        <v>0</v>
      </c>
      <c r="AY66" s="63">
        <f>ALL!BC3</f>
        <v>0</v>
      </c>
      <c r="AZ66" s="63">
        <f>ALL!BD3</f>
        <v>0</v>
      </c>
      <c r="BA66" s="63">
        <f>ALL!BE3</f>
        <v>0</v>
      </c>
      <c r="BB66" s="63">
        <f>ALL!BF3</f>
        <v>0</v>
      </c>
      <c r="BC66" s="63">
        <f>ALL!BG3</f>
        <v>0</v>
      </c>
      <c r="BD66" s="63">
        <f>ALL!BH3</f>
        <v>0</v>
      </c>
      <c r="BE66" s="63">
        <f>ALL!BI3</f>
        <v>0</v>
      </c>
      <c r="BF66" s="63">
        <f>ALL!BJ3</f>
        <v>0</v>
      </c>
      <c r="BG66" s="63">
        <f>ALL!BK3</f>
        <v>0</v>
      </c>
      <c r="BH66" s="63">
        <f>ALL!BL3</f>
        <v>0</v>
      </c>
      <c r="BI66" s="63">
        <f>ALL!BM3</f>
        <v>0</v>
      </c>
      <c r="BJ66" s="63">
        <f>ALL!BN3</f>
        <v>0</v>
      </c>
      <c r="BK66" s="63">
        <f>ALL!BO3</f>
        <v>0</v>
      </c>
      <c r="BL66" s="63">
        <f>ALL!BP3</f>
        <v>0</v>
      </c>
      <c r="BM66" s="63">
        <f>ALL!BQ3</f>
        <v>0</v>
      </c>
      <c r="BN66" s="63">
        <f>ALL!BR3</f>
        <v>0</v>
      </c>
      <c r="BO66" s="63">
        <f>ALL!BS3</f>
        <v>0</v>
      </c>
      <c r="BP66" s="63">
        <f>ALL!BT3</f>
        <v>0</v>
      </c>
      <c r="BQ66" s="63">
        <f>ALL!BU3</f>
        <v>0</v>
      </c>
      <c r="BR66" s="63">
        <f>ALL!BV3</f>
        <v>0</v>
      </c>
      <c r="BS66" s="63">
        <f>ALL!BW3</f>
        <v>0</v>
      </c>
      <c r="BT66" s="63">
        <f>ALL!BX3</f>
        <v>0</v>
      </c>
    </row>
    <row r="67" spans="1:72" ht="22.5" hidden="1" outlineLevel="1" thickTop="1" thickBot="1" x14ac:dyDescent="0.4">
      <c r="A67" s="88" t="str">
        <f>ALL!E4</f>
        <v>*Se[M]</v>
      </c>
      <c r="B67" s="16">
        <f>ALL!F4</f>
        <v>0</v>
      </c>
      <c r="C67" s="16">
        <f>ALL!G4</f>
        <v>1.2332000000000001E-32</v>
      </c>
      <c r="D67" s="16">
        <f>ALL!H4</f>
        <v>2.6809000000000002E-23</v>
      </c>
      <c r="E67" s="16">
        <f>ALL!I4</f>
        <v>1.3057000000000001E-19</v>
      </c>
      <c r="F67" s="16">
        <f>ALL!J4</f>
        <v>4.9528000000000003E-18</v>
      </c>
      <c r="G67" s="16">
        <f>ALL!K4</f>
        <v>6.4772999999999998E-16</v>
      </c>
      <c r="H67" s="16">
        <f>ALL!L4</f>
        <v>5.5125000000000003E-15</v>
      </c>
      <c r="I67" s="16">
        <f>ALL!M4</f>
        <v>2.107E-13</v>
      </c>
      <c r="J67" s="16">
        <f>ALL!N4</f>
        <v>3.3470000000000002E-11</v>
      </c>
      <c r="K67" s="16">
        <f>ALL!O4</f>
        <v>1.7606999999999999E-9</v>
      </c>
      <c r="L67" s="16">
        <f>ALL!P4</f>
        <v>5.4517000000000001E-9</v>
      </c>
      <c r="M67" s="16">
        <f>ALL!Q4</f>
        <v>8.0913000000000008E-9</v>
      </c>
      <c r="N67" s="16">
        <f>ALL!R4</f>
        <v>1.0287999999999999E-8</v>
      </c>
      <c r="O67" s="16">
        <f>ALL!S4</f>
        <v>1.6545E-8</v>
      </c>
      <c r="P67" s="16">
        <f>ALL!T4</f>
        <v>1.8688000000000002E-8</v>
      </c>
      <c r="Q67" s="16">
        <f>ALL!U4</f>
        <v>1.6283000000000001E-8</v>
      </c>
      <c r="R67" s="16">
        <f>ALL!V4</f>
        <v>1.2261999999999999E-8</v>
      </c>
      <c r="S67" s="16">
        <f>ALL!W4</f>
        <v>1.5364999999999999E-8</v>
      </c>
      <c r="T67" s="16">
        <f>ALL!X4</f>
        <v>1.7704000000000001E-8</v>
      </c>
      <c r="U67" s="16">
        <f>ALL!Y4</f>
        <v>1.8891E-8</v>
      </c>
      <c r="V67" s="16">
        <f>ALL!Z4</f>
        <v>1.9265000000000001E-8</v>
      </c>
      <c r="W67" s="16">
        <f>ALL!AA4</f>
        <v>1.9264E-8</v>
      </c>
      <c r="X67" s="16">
        <f>ALL!AB4</f>
        <v>1.9528000000000001E-8</v>
      </c>
      <c r="Y67" s="16">
        <f>ALL!AC4</f>
        <v>1.4852E-8</v>
      </c>
      <c r="Z67" s="16">
        <f>ALL!AD4</f>
        <v>1.8445999999999999E-8</v>
      </c>
      <c r="AA67" s="16">
        <f>ALL!AE4</f>
        <v>2.4019000000000002E-8</v>
      </c>
      <c r="AB67" s="16">
        <f>ALL!AF4</f>
        <v>2.8652999999999999E-8</v>
      </c>
      <c r="AC67" s="16">
        <f>ALL!AG4</f>
        <v>1.9151999999999998E-8</v>
      </c>
      <c r="AD67" s="16">
        <f>ALL!AH4</f>
        <v>2.0821999999999999E-8</v>
      </c>
      <c r="AE67" s="16">
        <f>ALL!AI4</f>
        <v>2.2121E-8</v>
      </c>
      <c r="AF67" s="16">
        <f>ALL!AJ4</f>
        <v>2.3125E-8</v>
      </c>
      <c r="AG67" s="16">
        <f>ALL!AK4</f>
        <v>2.3739999999999999E-8</v>
      </c>
      <c r="AH67" s="16">
        <f>ALL!AL4</f>
        <v>2.4061E-8</v>
      </c>
      <c r="AI67" s="16">
        <f>ALL!AM4</f>
        <v>0</v>
      </c>
      <c r="AJ67" s="16">
        <f>ALL!AN4</f>
        <v>0</v>
      </c>
      <c r="AK67" s="16">
        <f>ALL!AO4</f>
        <v>0</v>
      </c>
      <c r="AL67" s="16">
        <f>ALL!AP4</f>
        <v>0</v>
      </c>
      <c r="AM67" s="16">
        <f>ALL!AQ4</f>
        <v>0</v>
      </c>
      <c r="AN67" s="16">
        <f>ALL!AR4</f>
        <v>0</v>
      </c>
      <c r="AO67" s="16">
        <f>ALL!AS4</f>
        <v>0</v>
      </c>
      <c r="AP67" s="16">
        <f>ALL!AT4</f>
        <v>0</v>
      </c>
      <c r="AQ67" s="16">
        <f>ALL!AU4</f>
        <v>0</v>
      </c>
      <c r="AR67" s="16">
        <f>ALL!AV4</f>
        <v>0</v>
      </c>
      <c r="AS67" s="16">
        <f>ALL!AW4</f>
        <v>0</v>
      </c>
      <c r="AT67" s="16">
        <f>ALL!AX4</f>
        <v>0</v>
      </c>
      <c r="AU67" s="16">
        <f>ALL!AY4</f>
        <v>0</v>
      </c>
      <c r="AV67" s="16">
        <f>ALL!AZ4</f>
        <v>0</v>
      </c>
      <c r="AW67" s="16">
        <f>ALL!BA4</f>
        <v>0</v>
      </c>
      <c r="AX67" s="16">
        <f>ALL!BB4</f>
        <v>0</v>
      </c>
      <c r="AY67" s="16">
        <f>ALL!BC4</f>
        <v>0</v>
      </c>
      <c r="AZ67" s="16">
        <f>ALL!BD4</f>
        <v>0</v>
      </c>
      <c r="BA67" s="16">
        <f>ALL!BE4</f>
        <v>0</v>
      </c>
      <c r="BB67" s="16">
        <f>ALL!BF4</f>
        <v>0</v>
      </c>
      <c r="BC67" s="16">
        <f>ALL!BG4</f>
        <v>0</v>
      </c>
      <c r="BD67" s="16">
        <f>ALL!BH4</f>
        <v>0</v>
      </c>
      <c r="BE67" s="16">
        <f>ALL!BI4</f>
        <v>0</v>
      </c>
      <c r="BF67" s="16">
        <f>ALL!BJ4</f>
        <v>0</v>
      </c>
      <c r="BG67" s="16">
        <f>ALL!BK4</f>
        <v>0</v>
      </c>
      <c r="BH67" s="16">
        <f>ALL!BL4</f>
        <v>0</v>
      </c>
      <c r="BI67" s="16">
        <f>ALL!BM4</f>
        <v>0</v>
      </c>
      <c r="BJ67" s="16">
        <f>ALL!BN4</f>
        <v>0</v>
      </c>
      <c r="BK67" s="16">
        <f>ALL!BO4</f>
        <v>0</v>
      </c>
      <c r="BL67" s="16">
        <f>ALL!BP4</f>
        <v>0</v>
      </c>
      <c r="BM67" s="16">
        <f>ALL!BQ4</f>
        <v>0</v>
      </c>
      <c r="BN67" s="16">
        <f>ALL!BR4</f>
        <v>0</v>
      </c>
      <c r="BO67" s="16">
        <f>ALL!BS4</f>
        <v>0</v>
      </c>
      <c r="BP67" s="16">
        <f>ALL!BT4</f>
        <v>0</v>
      </c>
      <c r="BQ67" s="16">
        <f>ALL!BU4</f>
        <v>0</v>
      </c>
      <c r="BR67" s="16">
        <f>ALL!BV4</f>
        <v>0</v>
      </c>
      <c r="BS67" s="16">
        <f>ALL!BW4</f>
        <v>0</v>
      </c>
      <c r="BT67" s="16">
        <f>ALL!BX4</f>
        <v>0</v>
      </c>
    </row>
    <row r="68" spans="1:72" ht="21.75" hidden="1" outlineLevel="1" thickBot="1" x14ac:dyDescent="0.4">
      <c r="A68" s="88" t="str">
        <f>ALL!E5</f>
        <v>*GeSe</v>
      </c>
      <c r="B68" s="16">
        <f>ALL!F5</f>
        <v>5.0425999999999999E-11</v>
      </c>
      <c r="C68" s="16">
        <f>ALL!G5</f>
        <v>3.5906999999999998E-10</v>
      </c>
      <c r="D68" s="16">
        <f>ALL!H5</f>
        <v>4.9991000000000002E-9</v>
      </c>
      <c r="E68" s="16">
        <f>ALL!I5</f>
        <v>1.1377E-8</v>
      </c>
      <c r="F68" s="16">
        <f>ALL!J5</f>
        <v>1.5484000000000002E-8</v>
      </c>
      <c r="G68" s="16">
        <f>ALL!K5</f>
        <v>2.6606E-8</v>
      </c>
      <c r="H68" s="16">
        <f>ALL!L5</f>
        <v>2.3353000000000001E-8</v>
      </c>
      <c r="I68" s="16">
        <f>ALL!M5</f>
        <v>1.5670999999999999E-8</v>
      </c>
      <c r="J68" s="16">
        <f>ALL!N5</f>
        <v>7.0690999999999999E-9</v>
      </c>
      <c r="K68" s="16">
        <f>ALL!O5</f>
        <v>4.8526000000000004E-10</v>
      </c>
      <c r="L68" s="16">
        <f>ALL!P5</f>
        <v>2.4603000000000001E-13</v>
      </c>
      <c r="M68" s="16">
        <f>ALL!Q5</f>
        <v>1.3894000000000001E-18</v>
      </c>
      <c r="N68" s="16">
        <f>ALL!R5</f>
        <v>2.2517000000000001E-25</v>
      </c>
      <c r="O68" s="16">
        <f>ALL!S5</f>
        <v>1.5275000000000001E-32</v>
      </c>
      <c r="P68" s="16">
        <f>ALL!T5</f>
        <v>0</v>
      </c>
      <c r="Q68" s="16">
        <f>ALL!U5</f>
        <v>0</v>
      </c>
      <c r="R68" s="16">
        <f>ALL!V5</f>
        <v>0</v>
      </c>
      <c r="S68" s="16">
        <f>ALL!W5</f>
        <v>0</v>
      </c>
      <c r="T68" s="16">
        <f>ALL!X5</f>
        <v>0</v>
      </c>
      <c r="U68" s="16">
        <f>ALL!Y5</f>
        <v>0</v>
      </c>
      <c r="V68" s="16">
        <f>ALL!Z5</f>
        <v>0</v>
      </c>
      <c r="W68" s="16">
        <f>ALL!AA5</f>
        <v>0</v>
      </c>
      <c r="X68" s="16">
        <f>ALL!AB5</f>
        <v>0</v>
      </c>
      <c r="Y68" s="16">
        <f>ALL!AC5</f>
        <v>0</v>
      </c>
      <c r="Z68" s="16">
        <f>ALL!AD5</f>
        <v>0</v>
      </c>
      <c r="AA68" s="16">
        <f>ALL!AE5</f>
        <v>0</v>
      </c>
      <c r="AB68" s="16">
        <f>ALL!AF5</f>
        <v>0</v>
      </c>
      <c r="AC68" s="16">
        <f>ALL!AG5</f>
        <v>0</v>
      </c>
      <c r="AD68" s="16">
        <f>ALL!AH5</f>
        <v>0</v>
      </c>
      <c r="AE68" s="16">
        <f>ALL!AI5</f>
        <v>0</v>
      </c>
      <c r="AF68" s="16">
        <f>ALL!AJ5</f>
        <v>0</v>
      </c>
      <c r="AG68" s="16">
        <f>ALL!AK5</f>
        <v>0</v>
      </c>
      <c r="AH68" s="16">
        <f>ALL!AL5</f>
        <v>0</v>
      </c>
      <c r="AI68" s="16">
        <f>ALL!AM5</f>
        <v>0</v>
      </c>
      <c r="AJ68" s="16">
        <f>ALL!AN5</f>
        <v>0</v>
      </c>
      <c r="AK68" s="16">
        <f>ALL!AO5</f>
        <v>0</v>
      </c>
      <c r="AL68" s="16">
        <f>ALL!AP5</f>
        <v>0</v>
      </c>
      <c r="AM68" s="16">
        <f>ALL!AQ5</f>
        <v>0</v>
      </c>
      <c r="AN68" s="16">
        <f>ALL!AR5</f>
        <v>0</v>
      </c>
      <c r="AO68" s="16">
        <f>ALL!AS5</f>
        <v>0</v>
      </c>
      <c r="AP68" s="16">
        <f>ALL!AT5</f>
        <v>0</v>
      </c>
      <c r="AQ68" s="16">
        <f>ALL!AU5</f>
        <v>0</v>
      </c>
      <c r="AR68" s="16">
        <f>ALL!AV5</f>
        <v>0</v>
      </c>
      <c r="AS68" s="16">
        <f>ALL!AW5</f>
        <v>0</v>
      </c>
      <c r="AT68" s="16">
        <f>ALL!AX5</f>
        <v>0</v>
      </c>
      <c r="AU68" s="16">
        <f>ALL!AY5</f>
        <v>0</v>
      </c>
      <c r="AV68" s="16">
        <f>ALL!AZ5</f>
        <v>0</v>
      </c>
      <c r="AW68" s="16">
        <f>ALL!BA5</f>
        <v>0</v>
      </c>
      <c r="AX68" s="16">
        <f>ALL!BB5</f>
        <v>0</v>
      </c>
      <c r="AY68" s="16">
        <f>ALL!BC5</f>
        <v>0</v>
      </c>
      <c r="AZ68" s="16">
        <f>ALL!BD5</f>
        <v>0</v>
      </c>
      <c r="BA68" s="16">
        <f>ALL!BE5</f>
        <v>0</v>
      </c>
      <c r="BB68" s="16">
        <f>ALL!BF5</f>
        <v>0</v>
      </c>
      <c r="BC68" s="16">
        <f>ALL!BG5</f>
        <v>0</v>
      </c>
      <c r="BD68" s="16">
        <f>ALL!BH5</f>
        <v>0</v>
      </c>
      <c r="BE68" s="16">
        <f>ALL!BI5</f>
        <v>0</v>
      </c>
      <c r="BF68" s="16">
        <f>ALL!BJ5</f>
        <v>0</v>
      </c>
      <c r="BG68" s="16">
        <f>ALL!BK5</f>
        <v>0</v>
      </c>
      <c r="BH68" s="16">
        <f>ALL!BL5</f>
        <v>0</v>
      </c>
      <c r="BI68" s="16">
        <f>ALL!BM5</f>
        <v>0</v>
      </c>
      <c r="BJ68" s="16">
        <f>ALL!BN5</f>
        <v>0</v>
      </c>
      <c r="BK68" s="16">
        <f>ALL!BO5</f>
        <v>0</v>
      </c>
      <c r="BL68" s="16">
        <f>ALL!BP5</f>
        <v>0</v>
      </c>
      <c r="BM68" s="16">
        <f>ALL!BQ5</f>
        <v>0</v>
      </c>
      <c r="BN68" s="16">
        <f>ALL!BR5</f>
        <v>0</v>
      </c>
      <c r="BO68" s="16">
        <f>ALL!BS5</f>
        <v>0</v>
      </c>
      <c r="BP68" s="16">
        <f>ALL!BT5</f>
        <v>0</v>
      </c>
      <c r="BQ68" s="16">
        <f>ALL!BU5</f>
        <v>0</v>
      </c>
      <c r="BR68" s="16">
        <f>ALL!BV5</f>
        <v>0</v>
      </c>
      <c r="BS68" s="16">
        <f>ALL!BW5</f>
        <v>0</v>
      </c>
      <c r="BT68" s="16">
        <f>ALL!BX5</f>
        <v>0</v>
      </c>
    </row>
    <row r="69" spans="1:72" ht="21.75" hidden="1" outlineLevel="1" thickBot="1" x14ac:dyDescent="0.4">
      <c r="A69" s="88" t="str">
        <f>ALL!E6</f>
        <v>Ar</v>
      </c>
      <c r="B69" s="16">
        <f>ALL!F6</f>
        <v>0.2</v>
      </c>
      <c r="C69" s="16">
        <f>ALL!G6</f>
        <v>0.2</v>
      </c>
      <c r="D69" s="16">
        <f>ALL!H6</f>
        <v>0.2</v>
      </c>
      <c r="E69" s="16">
        <f>ALL!I6</f>
        <v>0.2</v>
      </c>
      <c r="F69" s="16">
        <f>ALL!J6</f>
        <v>0.2</v>
      </c>
      <c r="G69" s="16">
        <f>ALL!K6</f>
        <v>0.2</v>
      </c>
      <c r="H69" s="16">
        <f>ALL!L6</f>
        <v>0.2</v>
      </c>
      <c r="I69" s="16">
        <f>ALL!M6</f>
        <v>0.2</v>
      </c>
      <c r="J69" s="16">
        <f>ALL!N6</f>
        <v>0.2</v>
      </c>
      <c r="K69" s="16">
        <f>ALL!O6</f>
        <v>0.2</v>
      </c>
      <c r="L69" s="16">
        <f>ALL!P6</f>
        <v>0.2</v>
      </c>
      <c r="M69" s="16">
        <f>ALL!Q6</f>
        <v>0.2</v>
      </c>
      <c r="N69" s="16">
        <f>ALL!R6</f>
        <v>0.2</v>
      </c>
      <c r="O69" s="16">
        <f>ALL!S6</f>
        <v>0.2</v>
      </c>
      <c r="P69" s="16">
        <f>ALL!T6</f>
        <v>0.2</v>
      </c>
      <c r="Q69" s="16">
        <f>ALL!U6</f>
        <v>0.2</v>
      </c>
      <c r="R69" s="16">
        <f>ALL!V6</f>
        <v>0.2</v>
      </c>
      <c r="S69" s="16">
        <f>ALL!W6</f>
        <v>0.2</v>
      </c>
      <c r="T69" s="16">
        <f>ALL!X6</f>
        <v>0.2</v>
      </c>
      <c r="U69" s="16">
        <f>ALL!Y6</f>
        <v>0.2</v>
      </c>
      <c r="V69" s="16">
        <f>ALL!Z6</f>
        <v>0.2</v>
      </c>
      <c r="W69" s="16">
        <f>ALL!AA6</f>
        <v>0.2</v>
      </c>
      <c r="X69" s="16">
        <f>ALL!AB6</f>
        <v>0.2</v>
      </c>
      <c r="Y69" s="16">
        <f>ALL!AC6</f>
        <v>0.2</v>
      </c>
      <c r="Z69" s="16">
        <f>ALL!AD6</f>
        <v>0.2</v>
      </c>
      <c r="AA69" s="16">
        <f>ALL!AE6</f>
        <v>0.2</v>
      </c>
      <c r="AB69" s="16">
        <f>ALL!AF6</f>
        <v>0.2</v>
      </c>
      <c r="AC69" s="16">
        <f>ALL!AG6</f>
        <v>0.2</v>
      </c>
      <c r="AD69" s="16">
        <f>ALL!AH6</f>
        <v>0.2</v>
      </c>
      <c r="AE69" s="16">
        <f>ALL!AI6</f>
        <v>0.2</v>
      </c>
      <c r="AF69" s="16">
        <f>ALL!AJ6</f>
        <v>0.2</v>
      </c>
      <c r="AG69" s="16">
        <f>ALL!AK6</f>
        <v>0.2</v>
      </c>
      <c r="AH69" s="16">
        <f>ALL!AL6</f>
        <v>0.2</v>
      </c>
      <c r="AI69" s="16">
        <f>ALL!AM6</f>
        <v>0</v>
      </c>
      <c r="AJ69" s="16">
        <f>ALL!AN6</f>
        <v>0</v>
      </c>
      <c r="AK69" s="16">
        <f>ALL!AO6</f>
        <v>0</v>
      </c>
      <c r="AL69" s="16">
        <f>ALL!AP6</f>
        <v>0</v>
      </c>
      <c r="AM69" s="16">
        <f>ALL!AQ6</f>
        <v>0</v>
      </c>
      <c r="AN69" s="16">
        <f>ALL!AR6</f>
        <v>0</v>
      </c>
      <c r="AO69" s="16">
        <f>ALL!AS6</f>
        <v>0</v>
      </c>
      <c r="AP69" s="16">
        <f>ALL!AT6</f>
        <v>0</v>
      </c>
      <c r="AQ69" s="16">
        <f>ALL!AU6</f>
        <v>0</v>
      </c>
      <c r="AR69" s="16">
        <f>ALL!AV6</f>
        <v>0</v>
      </c>
      <c r="AS69" s="16">
        <f>ALL!AW6</f>
        <v>0</v>
      </c>
      <c r="AT69" s="16">
        <f>ALL!AX6</f>
        <v>0</v>
      </c>
      <c r="AU69" s="16">
        <f>ALL!AY6</f>
        <v>0</v>
      </c>
      <c r="AV69" s="16">
        <f>ALL!AZ6</f>
        <v>0</v>
      </c>
      <c r="AW69" s="16">
        <f>ALL!BA6</f>
        <v>0</v>
      </c>
      <c r="AX69" s="16">
        <f>ALL!BB6</f>
        <v>0</v>
      </c>
      <c r="AY69" s="16">
        <f>ALL!BC6</f>
        <v>0</v>
      </c>
      <c r="AZ69" s="16">
        <f>ALL!BD6</f>
        <v>0</v>
      </c>
      <c r="BA69" s="16">
        <f>ALL!BE6</f>
        <v>0</v>
      </c>
      <c r="BB69" s="16">
        <f>ALL!BF6</f>
        <v>0</v>
      </c>
      <c r="BC69" s="16">
        <f>ALL!BG6</f>
        <v>0</v>
      </c>
      <c r="BD69" s="16">
        <f>ALL!BH6</f>
        <v>0</v>
      </c>
      <c r="BE69" s="16">
        <f>ALL!BI6</f>
        <v>0</v>
      </c>
      <c r="BF69" s="16">
        <f>ALL!BJ6</f>
        <v>0</v>
      </c>
      <c r="BG69" s="16">
        <f>ALL!BK6</f>
        <v>0</v>
      </c>
      <c r="BH69" s="16">
        <f>ALL!BL6</f>
        <v>0</v>
      </c>
      <c r="BI69" s="16">
        <f>ALL!BM6</f>
        <v>0</v>
      </c>
      <c r="BJ69" s="16">
        <f>ALL!BN6</f>
        <v>0</v>
      </c>
      <c r="BK69" s="16">
        <f>ALL!BO6</f>
        <v>0</v>
      </c>
      <c r="BL69" s="16">
        <f>ALL!BP6</f>
        <v>0</v>
      </c>
      <c r="BM69" s="16">
        <f>ALL!BQ6</f>
        <v>0</v>
      </c>
      <c r="BN69" s="16">
        <f>ALL!BR6</f>
        <v>0</v>
      </c>
      <c r="BO69" s="16">
        <f>ALL!BS6</f>
        <v>0</v>
      </c>
      <c r="BP69" s="16">
        <f>ALL!BT6</f>
        <v>0</v>
      </c>
      <c r="BQ69" s="16">
        <f>ALL!BU6</f>
        <v>0</v>
      </c>
      <c r="BR69" s="16">
        <f>ALL!BV6</f>
        <v>0</v>
      </c>
      <c r="BS69" s="16">
        <f>ALL!BW6</f>
        <v>0</v>
      </c>
      <c r="BT69" s="16">
        <f>ALL!BX6</f>
        <v>0</v>
      </c>
    </row>
    <row r="70" spans="1:72" ht="21.75" hidden="1" outlineLevel="1" thickBot="1" x14ac:dyDescent="0.4">
      <c r="A70" s="88" t="str">
        <f>ALL!E7</f>
        <v>(DGeSe2</v>
      </c>
      <c r="B70" s="16">
        <f>ALL!F7</f>
        <v>0.11772000000000001</v>
      </c>
      <c r="C70" s="16">
        <f>ALL!G7</f>
        <v>0.11226</v>
      </c>
      <c r="D70" s="16">
        <f>ALL!H7</f>
        <v>9.8857E-2</v>
      </c>
      <c r="E70" s="16">
        <f>ALL!I7</f>
        <v>7.5493000000000005E-2</v>
      </c>
      <c r="F70" s="16">
        <f>ALL!J7</f>
        <v>4.7884000000000003E-2</v>
      </c>
      <c r="G70" s="16">
        <f>ALL!K7</f>
        <v>2.8065E-3</v>
      </c>
      <c r="H70" s="16">
        <f>ALL!L7</f>
        <v>1.3795999999999999E-3</v>
      </c>
      <c r="I70" s="16">
        <f>ALL!M7</f>
        <v>7.0160999999999997E-4</v>
      </c>
      <c r="J70" s="16">
        <f>ALL!N7</f>
        <v>3.6528999999999999E-4</v>
      </c>
      <c r="K70" s="16">
        <f>ALL!O7</f>
        <v>1.8887E-4</v>
      </c>
      <c r="L70" s="16">
        <f>ALL!P7</f>
        <v>9.2763999999999995E-5</v>
      </c>
      <c r="M70" s="16">
        <f>ALL!Q7</f>
        <v>4.1637999999999997E-5</v>
      </c>
      <c r="N70" s="16">
        <f>ALL!R7</f>
        <v>1.6872999999999999E-5</v>
      </c>
      <c r="O70" s="16">
        <f>ALL!S7</f>
        <v>6.2983000000000003E-6</v>
      </c>
      <c r="P70" s="16">
        <f>ALL!T7</f>
        <v>2.2473999999999999E-6</v>
      </c>
      <c r="Q70" s="16">
        <f>ALL!U7</f>
        <v>7.9329999999999999E-7</v>
      </c>
      <c r="R70" s="16">
        <f>ALL!V7</f>
        <v>2.8335000000000001E-7</v>
      </c>
      <c r="S70" s="16">
        <f>ALL!W7</f>
        <v>1.0365E-7</v>
      </c>
      <c r="T70" s="16">
        <f>ALL!X7</f>
        <v>3.9033999999999997E-8</v>
      </c>
      <c r="U70" s="16">
        <f>ALL!Y7</f>
        <v>1.5157000000000001E-8</v>
      </c>
      <c r="V70" s="16">
        <f>ALL!Z7</f>
        <v>6.0667000000000002E-9</v>
      </c>
      <c r="W70" s="16">
        <f>ALL!AA7</f>
        <v>2.5005999999999998E-9</v>
      </c>
      <c r="X70" s="16">
        <f>ALL!AB7</f>
        <v>9.4172000000000001E-11</v>
      </c>
      <c r="Y70" s="16">
        <f>ALL!AC7</f>
        <v>5.1854000000000001E-12</v>
      </c>
      <c r="Z70" s="16">
        <f>ALL!AD7</f>
        <v>4.0165999999999998E-13</v>
      </c>
      <c r="AA70" s="16">
        <f>ALL!AE7</f>
        <v>2.1891E-13</v>
      </c>
      <c r="AB70" s="16">
        <f>ALL!AF7</f>
        <v>1.2035000000000001E-13</v>
      </c>
      <c r="AC70" s="16">
        <f>ALL!AG7</f>
        <v>6.6755999999999998E-14</v>
      </c>
      <c r="AD70" s="16">
        <f>ALL!AH7</f>
        <v>3.7386E-14</v>
      </c>
      <c r="AE70" s="16">
        <f>ALL!AI7</f>
        <v>2.1146000000000001E-14</v>
      </c>
      <c r="AF70" s="16">
        <f>ALL!AJ7</f>
        <v>1.2082E-14</v>
      </c>
      <c r="AG70" s="16">
        <f>ALL!AK7</f>
        <v>6.9717000000000001E-15</v>
      </c>
      <c r="AH70" s="16">
        <f>ALL!AL7</f>
        <v>4.0621999999999996E-15</v>
      </c>
      <c r="AI70" s="16">
        <f>ALL!AM7</f>
        <v>0</v>
      </c>
      <c r="AJ70" s="16">
        <f>ALL!AN7</f>
        <v>0</v>
      </c>
      <c r="AK70" s="16">
        <f>ALL!AO7</f>
        <v>0</v>
      </c>
      <c r="AL70" s="16">
        <f>ALL!AP7</f>
        <v>0</v>
      </c>
      <c r="AM70" s="16">
        <f>ALL!AQ7</f>
        <v>0</v>
      </c>
      <c r="AN70" s="16">
        <f>ALL!AR7</f>
        <v>0</v>
      </c>
      <c r="AO70" s="16">
        <f>ALL!AS7</f>
        <v>0</v>
      </c>
      <c r="AP70" s="16">
        <f>ALL!AT7</f>
        <v>0</v>
      </c>
      <c r="AQ70" s="16">
        <f>ALL!AU7</f>
        <v>0</v>
      </c>
      <c r="AR70" s="16">
        <f>ALL!AV7</f>
        <v>0</v>
      </c>
      <c r="AS70" s="16">
        <f>ALL!AW7</f>
        <v>0</v>
      </c>
      <c r="AT70" s="16">
        <f>ALL!AX7</f>
        <v>0</v>
      </c>
      <c r="AU70" s="16">
        <f>ALL!AY7</f>
        <v>0</v>
      </c>
      <c r="AV70" s="16">
        <f>ALL!AZ7</f>
        <v>0</v>
      </c>
      <c r="AW70" s="16">
        <f>ALL!BA7</f>
        <v>0</v>
      </c>
      <c r="AX70" s="16">
        <f>ALL!BB7</f>
        <v>0</v>
      </c>
      <c r="AY70" s="16">
        <f>ALL!BC7</f>
        <v>0</v>
      </c>
      <c r="AZ70" s="16">
        <f>ALL!BD7</f>
        <v>0</v>
      </c>
      <c r="BA70" s="16">
        <f>ALL!BE7</f>
        <v>0</v>
      </c>
      <c r="BB70" s="16">
        <f>ALL!BF7</f>
        <v>0</v>
      </c>
      <c r="BC70" s="16">
        <f>ALL!BG7</f>
        <v>0</v>
      </c>
      <c r="BD70" s="16">
        <f>ALL!BH7</f>
        <v>0</v>
      </c>
      <c r="BE70" s="16">
        <f>ALL!BI7</f>
        <v>0</v>
      </c>
      <c r="BF70" s="16">
        <f>ALL!BJ7</f>
        <v>0</v>
      </c>
      <c r="BG70" s="16">
        <f>ALL!BK7</f>
        <v>0</v>
      </c>
      <c r="BH70" s="16">
        <f>ALL!BL7</f>
        <v>0</v>
      </c>
      <c r="BI70" s="16">
        <f>ALL!BM7</f>
        <v>0</v>
      </c>
      <c r="BJ70" s="16">
        <f>ALL!BN7</f>
        <v>0</v>
      </c>
      <c r="BK70" s="16">
        <f>ALL!BO7</f>
        <v>0</v>
      </c>
      <c r="BL70" s="16">
        <f>ALL!BP7</f>
        <v>0</v>
      </c>
      <c r="BM70" s="16">
        <f>ALL!BQ7</f>
        <v>0</v>
      </c>
      <c r="BN70" s="16">
        <f>ALL!BR7</f>
        <v>0</v>
      </c>
      <c r="BO70" s="16">
        <f>ALL!BS7</f>
        <v>0</v>
      </c>
      <c r="BP70" s="16">
        <f>ALL!BT7</f>
        <v>0</v>
      </c>
      <c r="BQ70" s="16">
        <f>ALL!BU7</f>
        <v>0</v>
      </c>
      <c r="BR70" s="16">
        <f>ALL!BV7</f>
        <v>0</v>
      </c>
      <c r="BS70" s="16">
        <f>ALL!BW7</f>
        <v>0</v>
      </c>
      <c r="BT70" s="16">
        <f>ALL!BX7</f>
        <v>0</v>
      </c>
    </row>
    <row r="71" spans="1:72" ht="21.75" hidden="1" outlineLevel="1" thickBot="1" x14ac:dyDescent="0.4">
      <c r="A71" s="88" t="str">
        <f>ALL!E8</f>
        <v>(DGeSe</v>
      </c>
      <c r="B71" s="16">
        <f>ALL!F8</f>
        <v>0.12228</v>
      </c>
      <c r="C71" s="16">
        <f>ALL!G8</f>
        <v>0.12773999999999999</v>
      </c>
      <c r="D71" s="16">
        <f>ALL!H8</f>
        <v>0.14113999999999999</v>
      </c>
      <c r="E71" s="16">
        <f>ALL!I8</f>
        <v>0.16450000000000001</v>
      </c>
      <c r="F71" s="16">
        <f>ALL!J8</f>
        <v>0.19209000000000001</v>
      </c>
      <c r="G71" s="16">
        <f>ALL!K8</f>
        <v>0.23471</v>
      </c>
      <c r="H71" s="16">
        <f>ALL!L8</f>
        <v>0.23205000000000001</v>
      </c>
      <c r="I71" s="16">
        <f>ALL!M8</f>
        <v>0.22372</v>
      </c>
      <c r="J71" s="16">
        <f>ALL!N8</f>
        <v>0.20701</v>
      </c>
      <c r="K71" s="16">
        <f>ALL!O8</f>
        <v>0.18007999999999999</v>
      </c>
      <c r="L71" s="16">
        <f>ALL!P8</f>
        <v>0.14408000000000001</v>
      </c>
      <c r="M71" s="16">
        <f>ALL!Q8</f>
        <v>0.10426000000000001</v>
      </c>
      <c r="N71" s="16">
        <f>ALL!R8</f>
        <v>6.8220000000000003E-2</v>
      </c>
      <c r="O71" s="16">
        <f>ALL!S8</f>
        <v>4.1203999999999998E-2</v>
      </c>
      <c r="P71" s="16">
        <f>ALL!T8</f>
        <v>2.3717999999999999E-2</v>
      </c>
      <c r="Q71" s="16">
        <f>ALL!U8</f>
        <v>1.3390000000000001E-2</v>
      </c>
      <c r="R71" s="16">
        <f>ALL!V8</f>
        <v>7.5570000000000003E-3</v>
      </c>
      <c r="S71" s="16">
        <f>ALL!W8</f>
        <v>4.3089000000000001E-3</v>
      </c>
      <c r="T71" s="16">
        <f>ALL!X8</f>
        <v>2.4943999999999999E-3</v>
      </c>
      <c r="U71" s="16">
        <f>ALL!Y8</f>
        <v>1.4687999999999999E-3</v>
      </c>
      <c r="V71" s="16">
        <f>ALL!Z8</f>
        <v>8.8009999999999998E-4</v>
      </c>
      <c r="W71" s="16">
        <f>ALL!AA8</f>
        <v>5.3644000000000001E-4</v>
      </c>
      <c r="X71" s="16">
        <f>ALL!AB8</f>
        <v>8.6570000000000006E-5</v>
      </c>
      <c r="Y71" s="16">
        <f>ALL!AC8</f>
        <v>1.7442E-5</v>
      </c>
      <c r="Z71" s="16">
        <f>ALL!AD8</f>
        <v>4.2738999999999999E-6</v>
      </c>
      <c r="AA71" s="16">
        <f>ALL!AE8</f>
        <v>3.0663000000000002E-6</v>
      </c>
      <c r="AB71" s="16">
        <f>ALL!AF8</f>
        <v>2.2118999999999999E-6</v>
      </c>
      <c r="AC71" s="16">
        <f>ALL!AG8</f>
        <v>1.6046000000000001E-6</v>
      </c>
      <c r="AD71" s="16">
        <f>ALL!AH8</f>
        <v>1.1708000000000001E-6</v>
      </c>
      <c r="AE71" s="16">
        <f>ALL!AI8</f>
        <v>8.5937E-7</v>
      </c>
      <c r="AF71" s="16">
        <f>ALL!AJ8</f>
        <v>6.3453999999999996E-7</v>
      </c>
      <c r="AG71" s="16">
        <f>ALL!AK8</f>
        <v>4.7128999999999998E-7</v>
      </c>
      <c r="AH71" s="16">
        <f>ALL!AL8</f>
        <v>3.5203000000000001E-7</v>
      </c>
      <c r="AI71" s="16">
        <f>ALL!AM8</f>
        <v>0</v>
      </c>
      <c r="AJ71" s="16">
        <f>ALL!AN8</f>
        <v>0</v>
      </c>
      <c r="AK71" s="16">
        <f>ALL!AO8</f>
        <v>0</v>
      </c>
      <c r="AL71" s="16">
        <f>ALL!AP8</f>
        <v>0</v>
      </c>
      <c r="AM71" s="16">
        <f>ALL!AQ8</f>
        <v>0</v>
      </c>
      <c r="AN71" s="16">
        <f>ALL!AR8</f>
        <v>0</v>
      </c>
      <c r="AO71" s="16">
        <f>ALL!AS8</f>
        <v>0</v>
      </c>
      <c r="AP71" s="16">
        <f>ALL!AT8</f>
        <v>0</v>
      </c>
      <c r="AQ71" s="16">
        <f>ALL!AU8</f>
        <v>0</v>
      </c>
      <c r="AR71" s="16">
        <f>ALL!AV8</f>
        <v>0</v>
      </c>
      <c r="AS71" s="16">
        <f>ALL!AW8</f>
        <v>0</v>
      </c>
      <c r="AT71" s="16">
        <f>ALL!AX8</f>
        <v>0</v>
      </c>
      <c r="AU71" s="16">
        <f>ALL!AY8</f>
        <v>0</v>
      </c>
      <c r="AV71" s="16">
        <f>ALL!AZ8</f>
        <v>0</v>
      </c>
      <c r="AW71" s="16">
        <f>ALL!BA8</f>
        <v>0</v>
      </c>
      <c r="AX71" s="16">
        <f>ALL!BB8</f>
        <v>0</v>
      </c>
      <c r="AY71" s="16">
        <f>ALL!BC8</f>
        <v>0</v>
      </c>
      <c r="AZ71" s="16">
        <f>ALL!BD8</f>
        <v>0</v>
      </c>
      <c r="BA71" s="16">
        <f>ALL!BE8</f>
        <v>0</v>
      </c>
      <c r="BB71" s="16">
        <f>ALL!BF8</f>
        <v>0</v>
      </c>
      <c r="BC71" s="16">
        <f>ALL!BG8</f>
        <v>0</v>
      </c>
      <c r="BD71" s="16">
        <f>ALL!BH8</f>
        <v>0</v>
      </c>
      <c r="BE71" s="16">
        <f>ALL!BI8</f>
        <v>0</v>
      </c>
      <c r="BF71" s="16">
        <f>ALL!BJ8</f>
        <v>0</v>
      </c>
      <c r="BG71" s="16">
        <f>ALL!BK8</f>
        <v>0</v>
      </c>
      <c r="BH71" s="16">
        <f>ALL!BL8</f>
        <v>0</v>
      </c>
      <c r="BI71" s="16">
        <f>ALL!BM8</f>
        <v>0</v>
      </c>
      <c r="BJ71" s="16">
        <f>ALL!BN8</f>
        <v>0</v>
      </c>
      <c r="BK71" s="16">
        <f>ALL!BO8</f>
        <v>0</v>
      </c>
      <c r="BL71" s="16">
        <f>ALL!BP8</f>
        <v>0</v>
      </c>
      <c r="BM71" s="16">
        <f>ALL!BQ8</f>
        <v>0</v>
      </c>
      <c r="BN71" s="16">
        <f>ALL!BR8</f>
        <v>0</v>
      </c>
      <c r="BO71" s="16">
        <f>ALL!BS8</f>
        <v>0</v>
      </c>
      <c r="BP71" s="16">
        <f>ALL!BT8</f>
        <v>0</v>
      </c>
      <c r="BQ71" s="16">
        <f>ALL!BU8</f>
        <v>0</v>
      </c>
      <c r="BR71" s="16">
        <f>ALL!BV8</f>
        <v>0</v>
      </c>
      <c r="BS71" s="16">
        <f>ALL!BW8</f>
        <v>0</v>
      </c>
      <c r="BT71" s="16">
        <f>ALL!BX8</f>
        <v>0</v>
      </c>
    </row>
    <row r="72" spans="1:72" ht="21.75" hidden="1" outlineLevel="1" thickBot="1" x14ac:dyDescent="0.4">
      <c r="A72" s="88" t="str">
        <f>ALL!E9</f>
        <v>(DGa2Sej</v>
      </c>
      <c r="B72" s="16">
        <f>ALL!F9</f>
        <v>3.9999E-2</v>
      </c>
      <c r="C72" s="16">
        <f>ALL!G9</f>
        <v>3.9996999999999998E-2</v>
      </c>
      <c r="D72" s="16">
        <f>ALL!H9</f>
        <v>3.9995000000000003E-2</v>
      </c>
      <c r="E72" s="16">
        <f>ALL!I9</f>
        <v>3.9989999999999998E-2</v>
      </c>
      <c r="F72" s="16">
        <f>ALL!J9</f>
        <v>3.9978E-2</v>
      </c>
      <c r="G72" s="16">
        <f>ALL!K9</f>
        <v>3.9584000000000001E-2</v>
      </c>
      <c r="H72" s="16">
        <f>ALL!L9</f>
        <v>3.9222E-2</v>
      </c>
      <c r="I72" s="16">
        <f>ALL!M9</f>
        <v>3.8613000000000001E-2</v>
      </c>
      <c r="J72" s="16">
        <f>ALL!N9</f>
        <v>3.7638999999999999E-2</v>
      </c>
      <c r="K72" s="16">
        <f>ALL!O9</f>
        <v>3.6138999999999998E-2</v>
      </c>
      <c r="L72" s="16">
        <f>ALL!P9</f>
        <v>3.3898999999999999E-2</v>
      </c>
      <c r="M72" s="16">
        <f>ALL!Q9</f>
        <v>3.0683999999999999E-2</v>
      </c>
      <c r="N72" s="16">
        <f>ALL!R9</f>
        <v>2.6362E-2</v>
      </c>
      <c r="O72" s="16">
        <f>ALL!S9</f>
        <v>2.1083000000000001E-2</v>
      </c>
      <c r="P72" s="16">
        <f>ALL!T9</f>
        <v>1.5407000000000001E-2</v>
      </c>
      <c r="Q72" s="16">
        <f>ALL!U9</f>
        <v>1.0189E-2</v>
      </c>
      <c r="R72" s="16">
        <f>ALL!V9</f>
        <v>6.1503E-3</v>
      </c>
      <c r="S72" s="16">
        <f>ALL!W9</f>
        <v>3.4772000000000002E-3</v>
      </c>
      <c r="T72" s="16">
        <f>ALL!X9</f>
        <v>1.8994999999999999E-3</v>
      </c>
      <c r="U72" s="16">
        <f>ALL!Y9</f>
        <v>1.0275E-3</v>
      </c>
      <c r="V72" s="16">
        <f>ALL!Z9</f>
        <v>5.5864E-4</v>
      </c>
      <c r="W72" s="16">
        <f>ALL!AA9</f>
        <v>3.0761999999999999E-4</v>
      </c>
      <c r="X72" s="16">
        <f>ALL!AB9</f>
        <v>3.2917999999999999E-5</v>
      </c>
      <c r="Y72" s="16">
        <f>ALL!AC9</f>
        <v>3.388E-6</v>
      </c>
      <c r="Z72" s="16">
        <f>ALL!AD9</f>
        <v>8.3001000000000003E-8</v>
      </c>
      <c r="AA72" s="16">
        <f>ALL!AE9</f>
        <v>2.3695000000000001E-8</v>
      </c>
      <c r="AB72" s="16">
        <f>ALL!AF9</f>
        <v>6.2944999999999997E-9</v>
      </c>
      <c r="AC72" s="16">
        <f>ALL!AG9</f>
        <v>1.6136999999999999E-9</v>
      </c>
      <c r="AD72" s="16">
        <f>ALL!AH9</f>
        <v>4.1002E-10</v>
      </c>
      <c r="AE72" s="16">
        <f>ALL!AI9</f>
        <v>1.0503E-10</v>
      </c>
      <c r="AF72" s="16">
        <f>ALL!AJ9</f>
        <v>2.7389999999999999E-11</v>
      </c>
      <c r="AG72" s="16">
        <f>ALL!AK9</f>
        <v>7.3112999999999994E-12</v>
      </c>
      <c r="AH72" s="16">
        <f>ALL!AL9</f>
        <v>2.0026E-12</v>
      </c>
      <c r="AI72" s="16">
        <f>ALL!AM9</f>
        <v>0</v>
      </c>
      <c r="AJ72" s="16">
        <f>ALL!AN9</f>
        <v>0</v>
      </c>
      <c r="AK72" s="16">
        <f>ALL!AO9</f>
        <v>0</v>
      </c>
      <c r="AL72" s="16">
        <f>ALL!AP9</f>
        <v>0</v>
      </c>
      <c r="AM72" s="16">
        <f>ALL!AQ9</f>
        <v>0</v>
      </c>
      <c r="AN72" s="16">
        <f>ALL!AR9</f>
        <v>0</v>
      </c>
      <c r="AO72" s="16">
        <f>ALL!AS9</f>
        <v>0</v>
      </c>
      <c r="AP72" s="16">
        <f>ALL!AT9</f>
        <v>0</v>
      </c>
      <c r="AQ72" s="16">
        <f>ALL!AU9</f>
        <v>0</v>
      </c>
      <c r="AR72" s="16">
        <f>ALL!AV9</f>
        <v>0</v>
      </c>
      <c r="AS72" s="16">
        <f>ALL!AW9</f>
        <v>0</v>
      </c>
      <c r="AT72" s="16">
        <f>ALL!AX9</f>
        <v>0</v>
      </c>
      <c r="AU72" s="16">
        <f>ALL!AY9</f>
        <v>0</v>
      </c>
      <c r="AV72" s="16">
        <f>ALL!AZ9</f>
        <v>0</v>
      </c>
      <c r="AW72" s="16">
        <f>ALL!BA9</f>
        <v>0</v>
      </c>
      <c r="AX72" s="16">
        <f>ALL!BB9</f>
        <v>0</v>
      </c>
      <c r="AY72" s="16">
        <f>ALL!BC9</f>
        <v>0</v>
      </c>
      <c r="AZ72" s="16">
        <f>ALL!BD9</f>
        <v>0</v>
      </c>
      <c r="BA72" s="16">
        <f>ALL!BE9</f>
        <v>0</v>
      </c>
      <c r="BB72" s="16">
        <f>ALL!BF9</f>
        <v>0</v>
      </c>
      <c r="BC72" s="16">
        <f>ALL!BG9</f>
        <v>0</v>
      </c>
      <c r="BD72" s="16">
        <f>ALL!BH9</f>
        <v>0</v>
      </c>
      <c r="BE72" s="16">
        <f>ALL!BI9</f>
        <v>0</v>
      </c>
      <c r="BF72" s="16">
        <f>ALL!BJ9</f>
        <v>0</v>
      </c>
      <c r="BG72" s="16">
        <f>ALL!BK9</f>
        <v>0</v>
      </c>
      <c r="BH72" s="16">
        <f>ALL!BL9</f>
        <v>0</v>
      </c>
      <c r="BI72" s="16">
        <f>ALL!BM9</f>
        <v>0</v>
      </c>
      <c r="BJ72" s="16">
        <f>ALL!BN9</f>
        <v>0</v>
      </c>
      <c r="BK72" s="16">
        <f>ALL!BO9</f>
        <v>0</v>
      </c>
      <c r="BL72" s="16">
        <f>ALL!BP9</f>
        <v>0</v>
      </c>
      <c r="BM72" s="16">
        <f>ALL!BQ9</f>
        <v>0</v>
      </c>
      <c r="BN72" s="16">
        <f>ALL!BR9</f>
        <v>0</v>
      </c>
      <c r="BO72" s="16">
        <f>ALL!BS9</f>
        <v>0</v>
      </c>
      <c r="BP72" s="16">
        <f>ALL!BT9</f>
        <v>0</v>
      </c>
      <c r="BQ72" s="16">
        <f>ALL!BU9</f>
        <v>0</v>
      </c>
      <c r="BR72" s="16">
        <f>ALL!BV9</f>
        <v>0</v>
      </c>
      <c r="BS72" s="16">
        <f>ALL!BW9</f>
        <v>0</v>
      </c>
      <c r="BT72" s="16">
        <f>ALL!BX9</f>
        <v>0</v>
      </c>
    </row>
    <row r="73" spans="1:72" ht="21.75" hidden="1" outlineLevel="1" thickBot="1" x14ac:dyDescent="0.4">
      <c r="A73" s="88" t="str">
        <f>ALL!E10</f>
        <v>(DGaSe</v>
      </c>
      <c r="B73" s="16">
        <f>ALL!F10</f>
        <v>2.7043000000000001E-6</v>
      </c>
      <c r="C73" s="16">
        <f>ALL!G10</f>
        <v>5.1414999999999998E-6</v>
      </c>
      <c r="D73" s="16">
        <f>ALL!H10</f>
        <v>9.9526000000000002E-6</v>
      </c>
      <c r="E73" s="16">
        <f>ALL!I10</f>
        <v>2.0440000000000001E-5</v>
      </c>
      <c r="F73" s="16">
        <f>ALL!J10</f>
        <v>4.4202000000000001E-5</v>
      </c>
      <c r="G73" s="16">
        <f>ALL!K10</f>
        <v>8.3197999999999996E-4</v>
      </c>
      <c r="H73" s="16">
        <f>ALL!L10</f>
        <v>1.5556999999999999E-3</v>
      </c>
      <c r="I73" s="16">
        <f>ALL!M10</f>
        <v>2.7734000000000001E-3</v>
      </c>
      <c r="J73" s="16">
        <f>ALL!N10</f>
        <v>4.7219999999999996E-3</v>
      </c>
      <c r="K73" s="16">
        <f>ALL!O10</f>
        <v>7.7216999999999997E-3</v>
      </c>
      <c r="L73" s="16">
        <f>ALL!P10</f>
        <v>1.2201999999999999E-2</v>
      </c>
      <c r="M73" s="16">
        <f>ALL!Q10</f>
        <v>1.8631999999999999E-2</v>
      </c>
      <c r="N73" s="16">
        <f>ALL!R10</f>
        <v>2.7276999999999999E-2</v>
      </c>
      <c r="O73" s="16">
        <f>ALL!S10</f>
        <v>3.7834E-2</v>
      </c>
      <c r="P73" s="16">
        <f>ALL!T10</f>
        <v>4.9186000000000001E-2</v>
      </c>
      <c r="Q73" s="16">
        <f>ALL!U10</f>
        <v>5.9621E-2</v>
      </c>
      <c r="R73" s="16">
        <f>ALL!V10</f>
        <v>6.7698999999999995E-2</v>
      </c>
      <c r="S73" s="16">
        <f>ALL!W10</f>
        <v>7.3044999999999999E-2</v>
      </c>
      <c r="T73" s="16">
        <f>ALL!X10</f>
        <v>7.6199000000000003E-2</v>
      </c>
      <c r="U73" s="16">
        <f>ALL!Y10</f>
        <v>7.7939999999999995E-2</v>
      </c>
      <c r="V73" s="16">
        <f>ALL!Z10</f>
        <v>7.8869999999999996E-2</v>
      </c>
      <c r="W73" s="16">
        <f>ALL!AA10</f>
        <v>7.9353000000000007E-2</v>
      </c>
      <c r="X73" s="16">
        <f>ALL!AB10</f>
        <v>7.9082E-2</v>
      </c>
      <c r="Y73" s="16">
        <f>ALL!AC10</f>
        <v>6.7571999999999993E-2</v>
      </c>
      <c r="Z73" s="16">
        <f>ALL!AD10</f>
        <v>2.5463E-2</v>
      </c>
      <c r="AA73" s="16">
        <f>ALL!AE10</f>
        <v>1.6709000000000002E-2</v>
      </c>
      <c r="AB73" s="16">
        <f>ALL!AF10</f>
        <v>1.0519000000000001E-2</v>
      </c>
      <c r="AC73" s="16">
        <f>ALL!AG10</f>
        <v>6.4719E-3</v>
      </c>
      <c r="AD73" s="16">
        <f>ALL!AH10</f>
        <v>3.9449999999999997E-3</v>
      </c>
      <c r="AE73" s="16">
        <f>ALL!AI10</f>
        <v>2.4034999999999998E-3</v>
      </c>
      <c r="AF73" s="16">
        <f>ALL!AJ10</f>
        <v>1.4714000000000001E-3</v>
      </c>
      <c r="AG73" s="16">
        <f>ALL!AK10</f>
        <v>9.0764999999999997E-4</v>
      </c>
      <c r="AH73" s="16">
        <f>ALL!AL10</f>
        <v>5.6503E-4</v>
      </c>
      <c r="AI73" s="16">
        <f>ALL!AM10</f>
        <v>0</v>
      </c>
      <c r="AJ73" s="16">
        <f>ALL!AN10</f>
        <v>0</v>
      </c>
      <c r="AK73" s="16">
        <f>ALL!AO10</f>
        <v>0</v>
      </c>
      <c r="AL73" s="16">
        <f>ALL!AP10</f>
        <v>0</v>
      </c>
      <c r="AM73" s="16">
        <f>ALL!AQ10</f>
        <v>0</v>
      </c>
      <c r="AN73" s="16">
        <f>ALL!AR10</f>
        <v>0</v>
      </c>
      <c r="AO73" s="16">
        <f>ALL!AS10</f>
        <v>0</v>
      </c>
      <c r="AP73" s="16">
        <f>ALL!AT10</f>
        <v>0</v>
      </c>
      <c r="AQ73" s="16">
        <f>ALL!AU10</f>
        <v>0</v>
      </c>
      <c r="AR73" s="16">
        <f>ALL!AV10</f>
        <v>0</v>
      </c>
      <c r="AS73" s="16">
        <f>ALL!AW10</f>
        <v>0</v>
      </c>
      <c r="AT73" s="16">
        <f>ALL!AX10</f>
        <v>0</v>
      </c>
      <c r="AU73" s="16">
        <f>ALL!AY10</f>
        <v>0</v>
      </c>
      <c r="AV73" s="16">
        <f>ALL!AZ10</f>
        <v>0</v>
      </c>
      <c r="AW73" s="16">
        <f>ALL!BA10</f>
        <v>0</v>
      </c>
      <c r="AX73" s="16">
        <f>ALL!BB10</f>
        <v>0</v>
      </c>
      <c r="AY73" s="16">
        <f>ALL!BC10</f>
        <v>0</v>
      </c>
      <c r="AZ73" s="16">
        <f>ALL!BD10</f>
        <v>0</v>
      </c>
      <c r="BA73" s="16">
        <f>ALL!BE10</f>
        <v>0</v>
      </c>
      <c r="BB73" s="16">
        <f>ALL!BF10</f>
        <v>0</v>
      </c>
      <c r="BC73" s="16">
        <f>ALL!BG10</f>
        <v>0</v>
      </c>
      <c r="BD73" s="16">
        <f>ALL!BH10</f>
        <v>0</v>
      </c>
      <c r="BE73" s="16">
        <f>ALL!BI10</f>
        <v>0</v>
      </c>
      <c r="BF73" s="16">
        <f>ALL!BJ10</f>
        <v>0</v>
      </c>
      <c r="BG73" s="16">
        <f>ALL!BK10</f>
        <v>0</v>
      </c>
      <c r="BH73" s="16">
        <f>ALL!BL10</f>
        <v>0</v>
      </c>
      <c r="BI73" s="16">
        <f>ALL!BM10</f>
        <v>0</v>
      </c>
      <c r="BJ73" s="16">
        <f>ALL!BN10</f>
        <v>0</v>
      </c>
      <c r="BK73" s="16">
        <f>ALL!BO10</f>
        <v>0</v>
      </c>
      <c r="BL73" s="16">
        <f>ALL!BP10</f>
        <v>0</v>
      </c>
      <c r="BM73" s="16">
        <f>ALL!BQ10</f>
        <v>0</v>
      </c>
      <c r="BN73" s="16">
        <f>ALL!BR10</f>
        <v>0</v>
      </c>
      <c r="BO73" s="16">
        <f>ALL!BS10</f>
        <v>0</v>
      </c>
      <c r="BP73" s="16">
        <f>ALL!BT10</f>
        <v>0</v>
      </c>
      <c r="BQ73" s="16">
        <f>ALL!BU10</f>
        <v>0</v>
      </c>
      <c r="BR73" s="16">
        <f>ALL!BV10</f>
        <v>0</v>
      </c>
      <c r="BS73" s="16">
        <f>ALL!BW10</f>
        <v>0</v>
      </c>
      <c r="BT73" s="16">
        <f>ALL!BX10</f>
        <v>0</v>
      </c>
    </row>
    <row r="74" spans="1:72" ht="21.75" hidden="1" outlineLevel="1" thickBot="1" x14ac:dyDescent="0.4">
      <c r="A74" s="88" t="str">
        <f>ALL!E11</f>
        <v>(DGe</v>
      </c>
      <c r="B74" s="16">
        <f>ALL!F11</f>
        <v>4.5573999999999998E-7</v>
      </c>
      <c r="C74" s="16">
        <f>ALL!G11</f>
        <v>9.7942000000000002E-7</v>
      </c>
      <c r="D74" s="16">
        <f>ALL!H11</f>
        <v>2.3769999999999999E-6</v>
      </c>
      <c r="E74" s="16">
        <f>ALL!I11</f>
        <v>6.9770000000000003E-6</v>
      </c>
      <c r="F74" s="16">
        <f>ALL!J11</f>
        <v>2.3535000000000001E-5</v>
      </c>
      <c r="G74" s="16">
        <f>ALL!K11</f>
        <v>2.4867999999999999E-3</v>
      </c>
      <c r="H74" s="16">
        <f>ALL!L11</f>
        <v>6.5661000000000001E-3</v>
      </c>
      <c r="I74" s="16">
        <f>ALL!M11</f>
        <v>1.5582E-2</v>
      </c>
      <c r="J74" s="16">
        <f>ALL!N11</f>
        <v>3.2625000000000001E-2</v>
      </c>
      <c r="K74" s="16">
        <f>ALL!O11</f>
        <v>5.9728000000000003E-2</v>
      </c>
      <c r="L74" s="16">
        <f>ALL!P11</f>
        <v>9.5829999999999999E-2</v>
      </c>
      <c r="M74" s="16">
        <f>ALL!Q11</f>
        <v>0.13569999999999999</v>
      </c>
      <c r="N74" s="16">
        <f>ALL!R11</f>
        <v>0.17176</v>
      </c>
      <c r="O74" s="16">
        <f>ALL!S11</f>
        <v>0.19878999999999999</v>
      </c>
      <c r="P74" s="16">
        <f>ALL!T11</f>
        <v>0.21628</v>
      </c>
      <c r="Q74" s="16">
        <f>ALL!U11</f>
        <v>0.22661000000000001</v>
      </c>
      <c r="R74" s="16">
        <f>ALL!V11</f>
        <v>0.23244000000000001</v>
      </c>
      <c r="S74" s="16">
        <f>ALL!W11</f>
        <v>0.23569000000000001</v>
      </c>
      <c r="T74" s="16">
        <f>ALL!X11</f>
        <v>0.23751</v>
      </c>
      <c r="U74" s="16">
        <f>ALL!Y11</f>
        <v>0.23852999999999999</v>
      </c>
      <c r="V74" s="16">
        <f>ALL!Z11</f>
        <v>0.23912</v>
      </c>
      <c r="W74" s="16">
        <f>ALL!AA11</f>
        <v>0.23946000000000001</v>
      </c>
      <c r="X74" s="16">
        <f>ALL!AB11</f>
        <v>0.23991000000000001</v>
      </c>
      <c r="Y74" s="16">
        <f>ALL!AC11</f>
        <v>0.23998</v>
      </c>
      <c r="Z74" s="16">
        <f>ALL!AD11</f>
        <v>0.24</v>
      </c>
      <c r="AA74" s="16">
        <f>ALL!AE11</f>
        <v>0.24</v>
      </c>
      <c r="AB74" s="16">
        <f>ALL!AF11</f>
        <v>0.24</v>
      </c>
      <c r="AC74" s="16">
        <f>ALL!AG11</f>
        <v>0.24</v>
      </c>
      <c r="AD74" s="16">
        <f>ALL!AH11</f>
        <v>0.24</v>
      </c>
      <c r="AE74" s="16">
        <f>ALL!AI11</f>
        <v>0.24</v>
      </c>
      <c r="AF74" s="16">
        <f>ALL!AJ11</f>
        <v>0.24</v>
      </c>
      <c r="AG74" s="16">
        <f>ALL!AK11</f>
        <v>0.24</v>
      </c>
      <c r="AH74" s="16">
        <f>ALL!AL11</f>
        <v>0.24</v>
      </c>
      <c r="AI74" s="16">
        <f>ALL!AM11</f>
        <v>0</v>
      </c>
      <c r="AJ74" s="16">
        <f>ALL!AN11</f>
        <v>0</v>
      </c>
      <c r="AK74" s="16">
        <f>ALL!AO11</f>
        <v>0</v>
      </c>
      <c r="AL74" s="16">
        <f>ALL!AP11</f>
        <v>0</v>
      </c>
      <c r="AM74" s="16">
        <f>ALL!AQ11</f>
        <v>0</v>
      </c>
      <c r="AN74" s="16">
        <f>ALL!AR11</f>
        <v>0</v>
      </c>
      <c r="AO74" s="16">
        <f>ALL!AS11</f>
        <v>0</v>
      </c>
      <c r="AP74" s="16">
        <f>ALL!AT11</f>
        <v>0</v>
      </c>
      <c r="AQ74" s="16">
        <f>ALL!AU11</f>
        <v>0</v>
      </c>
      <c r="AR74" s="16">
        <f>ALL!AV11</f>
        <v>0</v>
      </c>
      <c r="AS74" s="16">
        <f>ALL!AW11</f>
        <v>0</v>
      </c>
      <c r="AT74" s="16">
        <f>ALL!AX11</f>
        <v>0</v>
      </c>
      <c r="AU74" s="16">
        <f>ALL!AY11</f>
        <v>0</v>
      </c>
      <c r="AV74" s="16">
        <f>ALL!AZ11</f>
        <v>0</v>
      </c>
      <c r="AW74" s="16">
        <f>ALL!BA11</f>
        <v>0</v>
      </c>
      <c r="AX74" s="16">
        <f>ALL!BB11</f>
        <v>0</v>
      </c>
      <c r="AY74" s="16">
        <f>ALL!BC11</f>
        <v>0</v>
      </c>
      <c r="AZ74" s="16">
        <f>ALL!BD11</f>
        <v>0</v>
      </c>
      <c r="BA74" s="16">
        <f>ALL!BE11</f>
        <v>0</v>
      </c>
      <c r="BB74" s="16">
        <f>ALL!BF11</f>
        <v>0</v>
      </c>
      <c r="BC74" s="16">
        <f>ALL!BG11</f>
        <v>0</v>
      </c>
      <c r="BD74" s="16">
        <f>ALL!BH11</f>
        <v>0</v>
      </c>
      <c r="BE74" s="16">
        <f>ALL!BI11</f>
        <v>0</v>
      </c>
      <c r="BF74" s="16">
        <f>ALL!BJ11</f>
        <v>0</v>
      </c>
      <c r="BG74" s="16">
        <f>ALL!BK11</f>
        <v>0</v>
      </c>
      <c r="BH74" s="16">
        <f>ALL!BL11</f>
        <v>0</v>
      </c>
      <c r="BI74" s="16">
        <f>ALL!BM11</f>
        <v>0</v>
      </c>
      <c r="BJ74" s="16">
        <f>ALL!BN11</f>
        <v>0</v>
      </c>
      <c r="BK74" s="16">
        <f>ALL!BO11</f>
        <v>0</v>
      </c>
      <c r="BL74" s="16">
        <f>ALL!BP11</f>
        <v>0</v>
      </c>
      <c r="BM74" s="16">
        <f>ALL!BQ11</f>
        <v>0</v>
      </c>
      <c r="BN74" s="16">
        <f>ALL!BR11</f>
        <v>0</v>
      </c>
      <c r="BO74" s="16">
        <f>ALL!BS11</f>
        <v>0</v>
      </c>
      <c r="BP74" s="16">
        <f>ALL!BT11</f>
        <v>0</v>
      </c>
      <c r="BQ74" s="16">
        <f>ALL!BU11</f>
        <v>0</v>
      </c>
      <c r="BR74" s="16">
        <f>ALL!BV11</f>
        <v>0</v>
      </c>
      <c r="BS74" s="16">
        <f>ALL!BW11</f>
        <v>0</v>
      </c>
      <c r="BT74" s="16">
        <f>ALL!BX11</f>
        <v>0</v>
      </c>
    </row>
    <row r="75" spans="1:72" ht="21.75" hidden="1" outlineLevel="1" thickBot="1" x14ac:dyDescent="0.4">
      <c r="A75" s="88" t="str">
        <f>ALL!E12</f>
        <v>(DGa</v>
      </c>
      <c r="B75" s="16">
        <f>ALL!F12</f>
        <v>5.1747999999999996E-28</v>
      </c>
      <c r="C75" s="16">
        <f>ALL!G12</f>
        <v>1.9352999999999999E-26</v>
      </c>
      <c r="D75" s="16">
        <f>ALL!H12</f>
        <v>6.1775000000000004E-25</v>
      </c>
      <c r="E75" s="16">
        <f>ALL!I12</f>
        <v>1.9541999999999999E-23</v>
      </c>
      <c r="F75" s="16">
        <f>ALL!J12</f>
        <v>6.2668999999999996E-22</v>
      </c>
      <c r="G75" s="16">
        <f>ALL!K12</f>
        <v>1.8846000000000001E-16</v>
      </c>
      <c r="H75" s="16">
        <f>ALL!L12</f>
        <v>2.6924000000000001E-15</v>
      </c>
      <c r="I75" s="16">
        <f>ALL!M12</f>
        <v>3.1248E-14</v>
      </c>
      <c r="J75" s="16">
        <f>ALL!N12</f>
        <v>2.9683000000000001E-13</v>
      </c>
      <c r="K75" s="16">
        <f>ALL!O12</f>
        <v>2.3656999999999999E-12</v>
      </c>
      <c r="L75" s="16">
        <f>ALL!P12</f>
        <v>1.6410000000000001E-11</v>
      </c>
      <c r="M75" s="16">
        <f>ALL!Q12</f>
        <v>1.0201E-10</v>
      </c>
      <c r="N75" s="16">
        <f>ALL!R12</f>
        <v>5.7400999999999996E-10</v>
      </c>
      <c r="O75" s="16">
        <f>ALL!S12</f>
        <v>2.907E-9</v>
      </c>
      <c r="P75" s="16">
        <f>ALL!T12</f>
        <v>1.3103E-8</v>
      </c>
      <c r="Q75" s="16">
        <f>ALL!U12</f>
        <v>5.222E-8</v>
      </c>
      <c r="R75" s="16">
        <f>ALL!V12</f>
        <v>1.8493E-7</v>
      </c>
      <c r="S75" s="16">
        <f>ALL!W12</f>
        <v>5.9134E-7</v>
      </c>
      <c r="T75" s="16">
        <f>ALL!X12</f>
        <v>1.742E-6</v>
      </c>
      <c r="U75" s="16">
        <f>ALL!Y12</f>
        <v>4.809E-6</v>
      </c>
      <c r="V75" s="16">
        <f>ALL!Z12</f>
        <v>1.2591E-5</v>
      </c>
      <c r="W75" s="16">
        <f>ALL!AA12</f>
        <v>3.1511999999999999E-5</v>
      </c>
      <c r="X75" s="16">
        <f>ALL!AB12</f>
        <v>8.5201999999999999E-4</v>
      </c>
      <c r="Y75" s="16">
        <f>ALL!AC12</f>
        <v>1.2422000000000001E-2</v>
      </c>
      <c r="Z75" s="16">
        <f>ALL!AD12</f>
        <v>5.4536000000000001E-2</v>
      </c>
      <c r="AA75" s="16">
        <f>ALL!AE12</f>
        <v>6.3291E-2</v>
      </c>
      <c r="AB75" s="16">
        <f>ALL!AF12</f>
        <v>6.9481000000000001E-2</v>
      </c>
      <c r="AC75" s="16">
        <f>ALL!AG12</f>
        <v>7.3527999999999996E-2</v>
      </c>
      <c r="AD75" s="16">
        <f>ALL!AH12</f>
        <v>7.6054999999999998E-2</v>
      </c>
      <c r="AE75" s="16">
        <f>ALL!AI12</f>
        <v>7.7595999999999998E-2</v>
      </c>
      <c r="AF75" s="16">
        <f>ALL!AJ12</f>
        <v>7.8529000000000002E-2</v>
      </c>
      <c r="AG75" s="16">
        <f>ALL!AK12</f>
        <v>7.9091999999999996E-2</v>
      </c>
      <c r="AH75" s="16">
        <f>ALL!AL12</f>
        <v>7.9435000000000006E-2</v>
      </c>
      <c r="AI75" s="16">
        <f>ALL!AM12</f>
        <v>0</v>
      </c>
      <c r="AJ75" s="16">
        <f>ALL!AN12</f>
        <v>0</v>
      </c>
      <c r="AK75" s="16">
        <f>ALL!AO12</f>
        <v>0</v>
      </c>
      <c r="AL75" s="16">
        <f>ALL!AP12</f>
        <v>0</v>
      </c>
      <c r="AM75" s="16">
        <f>ALL!AQ12</f>
        <v>0</v>
      </c>
      <c r="AN75" s="16">
        <f>ALL!AR12</f>
        <v>0</v>
      </c>
      <c r="AO75" s="16">
        <f>ALL!AS12</f>
        <v>0</v>
      </c>
      <c r="AP75" s="16">
        <f>ALL!AT12</f>
        <v>0</v>
      </c>
      <c r="AQ75" s="16">
        <f>ALL!AU12</f>
        <v>0</v>
      </c>
      <c r="AR75" s="16">
        <f>ALL!AV12</f>
        <v>0</v>
      </c>
      <c r="AS75" s="16">
        <f>ALL!AW12</f>
        <v>0</v>
      </c>
      <c r="AT75" s="16">
        <f>ALL!AX12</f>
        <v>0</v>
      </c>
      <c r="AU75" s="16">
        <f>ALL!AY12</f>
        <v>0</v>
      </c>
      <c r="AV75" s="16">
        <f>ALL!AZ12</f>
        <v>0</v>
      </c>
      <c r="AW75" s="16">
        <f>ALL!BA12</f>
        <v>0</v>
      </c>
      <c r="AX75" s="16">
        <f>ALL!BB12</f>
        <v>0</v>
      </c>
      <c r="AY75" s="16">
        <f>ALL!BC12</f>
        <v>0</v>
      </c>
      <c r="AZ75" s="16">
        <f>ALL!BD12</f>
        <v>0</v>
      </c>
      <c r="BA75" s="16">
        <f>ALL!BE12</f>
        <v>0</v>
      </c>
      <c r="BB75" s="16">
        <f>ALL!BF12</f>
        <v>0</v>
      </c>
      <c r="BC75" s="16">
        <f>ALL!BG12</f>
        <v>0</v>
      </c>
      <c r="BD75" s="16">
        <f>ALL!BH12</f>
        <v>0</v>
      </c>
      <c r="BE75" s="16">
        <f>ALL!BI12</f>
        <v>0</v>
      </c>
      <c r="BF75" s="16">
        <f>ALL!BJ12</f>
        <v>0</v>
      </c>
      <c r="BG75" s="16">
        <f>ALL!BK12</f>
        <v>0</v>
      </c>
      <c r="BH75" s="16">
        <f>ALL!BL12</f>
        <v>0</v>
      </c>
      <c r="BI75" s="16">
        <f>ALL!BM12</f>
        <v>0</v>
      </c>
      <c r="BJ75" s="16">
        <f>ALL!BN12</f>
        <v>0</v>
      </c>
      <c r="BK75" s="16">
        <f>ALL!BO12</f>
        <v>0</v>
      </c>
      <c r="BL75" s="16">
        <f>ALL!BP12</f>
        <v>0</v>
      </c>
      <c r="BM75" s="16">
        <f>ALL!BQ12</f>
        <v>0</v>
      </c>
      <c r="BN75" s="16">
        <f>ALL!BR12</f>
        <v>0</v>
      </c>
      <c r="BO75" s="16">
        <f>ALL!BS12</f>
        <v>0</v>
      </c>
      <c r="BP75" s="16">
        <f>ALL!BT12</f>
        <v>0</v>
      </c>
      <c r="BQ75" s="16">
        <f>ALL!BU12</f>
        <v>0</v>
      </c>
      <c r="BR75" s="16">
        <f>ALL!BV12</f>
        <v>0</v>
      </c>
      <c r="BS75" s="16">
        <f>ALL!BW12</f>
        <v>0</v>
      </c>
      <c r="BT75" s="16">
        <f>ALL!BX12</f>
        <v>0</v>
      </c>
    </row>
    <row r="76" spans="1:72" ht="21.75" hidden="1" outlineLevel="1" thickBot="1" x14ac:dyDescent="0.4">
      <c r="A76" s="88" t="str">
        <f>ALL!E13</f>
        <v>(1)Se[A]</v>
      </c>
      <c r="B76" s="16">
        <f>ALL!F13</f>
        <v>6.2095000000000001E-10</v>
      </c>
      <c r="C76" s="16">
        <f>ALL!G13</f>
        <v>1.9735999999999999E-9</v>
      </c>
      <c r="D76" s="16">
        <f>ALL!H13</f>
        <v>4.9362000000000004E-9</v>
      </c>
      <c r="E76" s="16">
        <f>ALL!I13</f>
        <v>9.3578999999999997E-9</v>
      </c>
      <c r="F76" s="16">
        <f>ALL!J13</f>
        <v>1.3474E-8</v>
      </c>
      <c r="G76" s="16">
        <f>ALL!K13</f>
        <v>1.2793000000000001E-8</v>
      </c>
      <c r="H76" s="16">
        <f>ALL!L13</f>
        <v>1.15E-8</v>
      </c>
      <c r="I76" s="16">
        <f>ALL!M13</f>
        <v>1.0627E-8</v>
      </c>
      <c r="J76" s="16">
        <f>ALL!N13</f>
        <v>1.0274E-8</v>
      </c>
      <c r="K76" s="16">
        <f>ALL!O13</f>
        <v>1.0363999999999999E-8</v>
      </c>
      <c r="L76" s="16">
        <f>ALL!P13</f>
        <v>1.0645E-8</v>
      </c>
      <c r="M76" s="16">
        <f>ALL!Q13</f>
        <v>1.0786999999999999E-8</v>
      </c>
      <c r="N76" s="16">
        <f>ALL!R13</f>
        <v>1.054E-8</v>
      </c>
      <c r="O76" s="16">
        <f>ALL!S13</f>
        <v>9.8784999999999997E-9</v>
      </c>
      <c r="P76" s="16">
        <f>ALL!T13</f>
        <v>8.9458000000000003E-9</v>
      </c>
      <c r="Q76" s="16">
        <f>ALL!U13</f>
        <v>7.9083000000000001E-9</v>
      </c>
      <c r="R76" s="16">
        <f>ALL!V13</f>
        <v>6.8798999999999998E-9</v>
      </c>
      <c r="S76" s="16">
        <f>ALL!W13</f>
        <v>5.9239999999999998E-9</v>
      </c>
      <c r="T76" s="16">
        <f>ALL!X13</f>
        <v>5.0698E-9</v>
      </c>
      <c r="U76" s="16">
        <f>ALL!Y13</f>
        <v>4.3247999999999998E-9</v>
      </c>
      <c r="V76" s="16">
        <f>ALL!Z13</f>
        <v>3.6839000000000001E-9</v>
      </c>
      <c r="W76" s="16">
        <f>ALL!AA13</f>
        <v>3.1366000000000001E-9</v>
      </c>
      <c r="X76" s="16">
        <f>ALL!AB13</f>
        <v>1.6574999999999999E-9</v>
      </c>
      <c r="Y76" s="16">
        <f>ALL!AC13</f>
        <v>9.0996000000000003E-10</v>
      </c>
      <c r="Z76" s="16">
        <f>ALL!AD13</f>
        <v>5.4217E-10</v>
      </c>
      <c r="AA76" s="16">
        <f>ALL!AE13</f>
        <v>4.7478999999999997E-10</v>
      </c>
      <c r="AB76" s="16">
        <f>ALL!AF13</f>
        <v>4.1369999999999998E-10</v>
      </c>
      <c r="AC76" s="16">
        <f>ALL!AG13</f>
        <v>3.5906E-10</v>
      </c>
      <c r="AD76" s="16">
        <f>ALL!AH13</f>
        <v>3.1083999999999998E-10</v>
      </c>
      <c r="AE76" s="16">
        <f>ALL!AI13</f>
        <v>2.6873000000000001E-10</v>
      </c>
      <c r="AF76" s="16">
        <f>ALL!AJ13</f>
        <v>2.3219E-10</v>
      </c>
      <c r="AG76" s="16">
        <f>ALL!AK13</f>
        <v>2.0060000000000001E-10</v>
      </c>
      <c r="AH76" s="16">
        <f>ALL!AL13</f>
        <v>1.7333999999999999E-10</v>
      </c>
      <c r="AI76" s="16">
        <f>ALL!AM13</f>
        <v>0</v>
      </c>
      <c r="AJ76" s="16">
        <f>ALL!AN13</f>
        <v>0</v>
      </c>
      <c r="AK76" s="16">
        <f>ALL!AO13</f>
        <v>0</v>
      </c>
      <c r="AL76" s="16">
        <f>ALL!AP13</f>
        <v>0</v>
      </c>
      <c r="AM76" s="16">
        <f>ALL!AQ13</f>
        <v>0</v>
      </c>
      <c r="AN76" s="16">
        <f>ALL!AR13</f>
        <v>0</v>
      </c>
      <c r="AO76" s="16">
        <f>ALL!AS13</f>
        <v>0</v>
      </c>
      <c r="AP76" s="16">
        <f>ALL!AT13</f>
        <v>0</v>
      </c>
      <c r="AQ76" s="16">
        <f>ALL!AU13</f>
        <v>0</v>
      </c>
      <c r="AR76" s="16">
        <f>ALL!AV13</f>
        <v>0</v>
      </c>
      <c r="AS76" s="16">
        <f>ALL!AW13</f>
        <v>0</v>
      </c>
      <c r="AT76" s="16">
        <f>ALL!AX13</f>
        <v>0</v>
      </c>
      <c r="AU76" s="16">
        <f>ALL!AY13</f>
        <v>0</v>
      </c>
      <c r="AV76" s="16">
        <f>ALL!AZ13</f>
        <v>0</v>
      </c>
      <c r="AW76" s="16">
        <f>ALL!BA13</f>
        <v>0</v>
      </c>
      <c r="AX76" s="16">
        <f>ALL!BB13</f>
        <v>0</v>
      </c>
      <c r="AY76" s="16">
        <f>ALL!BC13</f>
        <v>0</v>
      </c>
      <c r="AZ76" s="16">
        <f>ALL!BD13</f>
        <v>0</v>
      </c>
      <c r="BA76" s="16">
        <f>ALL!BE13</f>
        <v>0</v>
      </c>
      <c r="BB76" s="16">
        <f>ALL!BF13</f>
        <v>0</v>
      </c>
      <c r="BC76" s="16">
        <f>ALL!BG13</f>
        <v>0</v>
      </c>
      <c r="BD76" s="16">
        <f>ALL!BH13</f>
        <v>0</v>
      </c>
      <c r="BE76" s="16">
        <f>ALL!BI13</f>
        <v>0</v>
      </c>
      <c r="BF76" s="16">
        <f>ALL!BJ13</f>
        <v>0</v>
      </c>
      <c r="BG76" s="16">
        <f>ALL!BK13</f>
        <v>0</v>
      </c>
      <c r="BH76" s="16">
        <f>ALL!BL13</f>
        <v>0</v>
      </c>
      <c r="BI76" s="16">
        <f>ALL!BM13</f>
        <v>0</v>
      </c>
      <c r="BJ76" s="16">
        <f>ALL!BN13</f>
        <v>0</v>
      </c>
      <c r="BK76" s="16">
        <f>ALL!BO13</f>
        <v>0</v>
      </c>
      <c r="BL76" s="16">
        <f>ALL!BP13</f>
        <v>0</v>
      </c>
      <c r="BM76" s="16">
        <f>ALL!BQ13</f>
        <v>0</v>
      </c>
      <c r="BN76" s="16">
        <f>ALL!BR13</f>
        <v>0</v>
      </c>
      <c r="BO76" s="16">
        <f>ALL!BS13</f>
        <v>0</v>
      </c>
      <c r="BP76" s="16">
        <f>ALL!BT13</f>
        <v>0</v>
      </c>
      <c r="BQ76" s="16">
        <f>ALL!BU13</f>
        <v>0</v>
      </c>
      <c r="BR76" s="16">
        <f>ALL!BV13</f>
        <v>0</v>
      </c>
      <c r="BS76" s="16">
        <f>ALL!BW13</f>
        <v>0</v>
      </c>
      <c r="BT76" s="16">
        <f>ALL!BX13</f>
        <v>0</v>
      </c>
    </row>
    <row r="77" spans="1:72" ht="21.75" hidden="1" outlineLevel="1" thickBot="1" x14ac:dyDescent="0.4">
      <c r="A77" s="88" t="str">
        <f>ALL!E14</f>
        <v>(1)Se[M]</v>
      </c>
      <c r="B77" s="16">
        <f>ALL!F14</f>
        <v>2.2807000000000001E-3</v>
      </c>
      <c r="C77" s="16">
        <f>ALL!G14</f>
        <v>7.7456000000000001E-3</v>
      </c>
      <c r="D77" s="16">
        <f>ALL!H14</f>
        <v>2.1149999999999999E-2</v>
      </c>
      <c r="E77" s="16">
        <f>ALL!I14</f>
        <v>4.4524000000000001E-2</v>
      </c>
      <c r="F77" s="16">
        <f>ALL!J14</f>
        <v>7.2162000000000004E-2</v>
      </c>
      <c r="G77" s="16">
        <f>ALL!K14</f>
        <v>0.1201</v>
      </c>
      <c r="H77" s="16">
        <f>ALL!L14</f>
        <v>0.12595999999999999</v>
      </c>
      <c r="I77" s="16">
        <f>ALL!M14</f>
        <v>0.13627</v>
      </c>
      <c r="J77" s="16">
        <f>ALL!N14</f>
        <v>0.15462000000000001</v>
      </c>
      <c r="K77" s="16">
        <f>ALL!O14</f>
        <v>0.18340000000000001</v>
      </c>
      <c r="L77" s="16">
        <f>ALL!P14</f>
        <v>0.22184000000000001</v>
      </c>
      <c r="M77" s="16">
        <f>ALL!Q14</f>
        <v>0.26496999999999998</v>
      </c>
      <c r="N77" s="16">
        <f>ALL!R14</f>
        <v>0.30537999999999998</v>
      </c>
      <c r="O77" s="16">
        <f>ALL!S14</f>
        <v>0.3377</v>
      </c>
      <c r="P77" s="16">
        <f>ALL!T14</f>
        <v>0.36087000000000002</v>
      </c>
      <c r="Q77" s="16">
        <f>ALL!U14</f>
        <v>0.37641999999999998</v>
      </c>
      <c r="R77" s="16">
        <f>ALL!V14</f>
        <v>0.38629000000000002</v>
      </c>
      <c r="S77" s="16">
        <f>ALL!W14</f>
        <v>0.39221</v>
      </c>
      <c r="T77" s="16">
        <f>ALL!X14</f>
        <v>0.39561000000000002</v>
      </c>
      <c r="U77" s="16">
        <f>ALL!Y14</f>
        <v>0.39750999999999997</v>
      </c>
      <c r="V77" s="16">
        <f>ALL!Z14</f>
        <v>0.39856999999999998</v>
      </c>
      <c r="W77" s="16">
        <f>ALL!AA14</f>
        <v>0.39918999999999999</v>
      </c>
      <c r="X77" s="16">
        <f>ALL!AB14</f>
        <v>0.40072999999999998</v>
      </c>
      <c r="Y77" s="16">
        <f>ALL!AC14</f>
        <v>0.41239999999999999</v>
      </c>
      <c r="Z77" s="16">
        <f>ALL!AD14</f>
        <v>0.45452999999999999</v>
      </c>
      <c r="AA77" s="16">
        <f>ALL!AE14</f>
        <v>0.46328999999999998</v>
      </c>
      <c r="AB77" s="16">
        <f>ALL!AF14</f>
        <v>0.46948000000000001</v>
      </c>
      <c r="AC77" s="16">
        <f>ALL!AG14</f>
        <v>0.47353000000000001</v>
      </c>
      <c r="AD77" s="16">
        <f>ALL!AH14</f>
        <v>0.47604999999999997</v>
      </c>
      <c r="AE77" s="16">
        <f>ALL!AI14</f>
        <v>0.47760000000000002</v>
      </c>
      <c r="AF77" s="16">
        <f>ALL!AJ14</f>
        <v>0.47853000000000001</v>
      </c>
      <c r="AG77" s="16">
        <f>ALL!AK14</f>
        <v>0.47909000000000002</v>
      </c>
      <c r="AH77" s="16">
        <f>ALL!AL14</f>
        <v>0.47943000000000002</v>
      </c>
      <c r="AI77" s="16">
        <f>ALL!AM14</f>
        <v>0</v>
      </c>
      <c r="AJ77" s="16">
        <f>ALL!AN14</f>
        <v>0</v>
      </c>
      <c r="AK77" s="16">
        <f>ALL!AO14</f>
        <v>0</v>
      </c>
      <c r="AL77" s="16">
        <f>ALL!AP14</f>
        <v>0</v>
      </c>
      <c r="AM77" s="16">
        <f>ALL!AQ14</f>
        <v>0</v>
      </c>
      <c r="AN77" s="16">
        <f>ALL!AR14</f>
        <v>0</v>
      </c>
      <c r="AO77" s="16">
        <f>ALL!AS14</f>
        <v>0</v>
      </c>
      <c r="AP77" s="16">
        <f>ALL!AT14</f>
        <v>0</v>
      </c>
      <c r="AQ77" s="16">
        <f>ALL!AU14</f>
        <v>0</v>
      </c>
      <c r="AR77" s="16">
        <f>ALL!AV14</f>
        <v>0</v>
      </c>
      <c r="AS77" s="16">
        <f>ALL!AW14</f>
        <v>0</v>
      </c>
      <c r="AT77" s="16">
        <f>ALL!AX14</f>
        <v>0</v>
      </c>
      <c r="AU77" s="16">
        <f>ALL!AY14</f>
        <v>0</v>
      </c>
      <c r="AV77" s="16">
        <f>ALL!AZ14</f>
        <v>0</v>
      </c>
      <c r="AW77" s="16">
        <f>ALL!BA14</f>
        <v>0</v>
      </c>
      <c r="AX77" s="16">
        <f>ALL!BB14</f>
        <v>0</v>
      </c>
      <c r="AY77" s="16">
        <f>ALL!BC14</f>
        <v>0</v>
      </c>
      <c r="AZ77" s="16">
        <f>ALL!BD14</f>
        <v>0</v>
      </c>
      <c r="BA77" s="16">
        <f>ALL!BE14</f>
        <v>0</v>
      </c>
      <c r="BB77" s="16">
        <f>ALL!BF14</f>
        <v>0</v>
      </c>
      <c r="BC77" s="16">
        <f>ALL!BG14</f>
        <v>0</v>
      </c>
      <c r="BD77" s="16">
        <f>ALL!BH14</f>
        <v>0</v>
      </c>
      <c r="BE77" s="16">
        <f>ALL!BI14</f>
        <v>0</v>
      </c>
      <c r="BF77" s="16">
        <f>ALL!BJ14</f>
        <v>0</v>
      </c>
      <c r="BG77" s="16">
        <f>ALL!BK14</f>
        <v>0</v>
      </c>
      <c r="BH77" s="16">
        <f>ALL!BL14</f>
        <v>0</v>
      </c>
      <c r="BI77" s="16">
        <f>ALL!BM14</f>
        <v>0</v>
      </c>
      <c r="BJ77" s="16">
        <f>ALL!BN14</f>
        <v>0</v>
      </c>
      <c r="BK77" s="16">
        <f>ALL!BO14</f>
        <v>0</v>
      </c>
      <c r="BL77" s="16">
        <f>ALL!BP14</f>
        <v>0</v>
      </c>
      <c r="BM77" s="16">
        <f>ALL!BQ14</f>
        <v>0</v>
      </c>
      <c r="BN77" s="16">
        <f>ALL!BR14</f>
        <v>0</v>
      </c>
      <c r="BO77" s="16">
        <f>ALL!BS14</f>
        <v>0</v>
      </c>
      <c r="BP77" s="16">
        <f>ALL!BT14</f>
        <v>0</v>
      </c>
      <c r="BQ77" s="16">
        <f>ALL!BU14</f>
        <v>0</v>
      </c>
      <c r="BR77" s="16">
        <f>ALL!BV14</f>
        <v>0</v>
      </c>
      <c r="BS77" s="16">
        <f>ALL!BW14</f>
        <v>0</v>
      </c>
      <c r="BT77" s="16">
        <f>ALL!BX14</f>
        <v>0</v>
      </c>
    </row>
    <row r="78" spans="1:72" ht="21.75" hidden="1" outlineLevel="1" thickBot="1" x14ac:dyDescent="0.4">
      <c r="A78" s="88" t="str">
        <f>ALL!E15</f>
        <v>(1)Se</v>
      </c>
      <c r="B78" s="16">
        <f>ALL!F15</f>
        <v>2.7022E-9</v>
      </c>
      <c r="C78" s="16">
        <f>ALL!G15</f>
        <v>7.5784000000000002E-9</v>
      </c>
      <c r="D78" s="16">
        <f>ALL!H15</f>
        <v>1.6939E-8</v>
      </c>
      <c r="E78" s="16">
        <f>ALL!I15</f>
        <v>2.9011000000000001E-8</v>
      </c>
      <c r="F78" s="16">
        <f>ALL!J15</f>
        <v>3.8093000000000002E-8</v>
      </c>
      <c r="G78" s="16">
        <f>ALL!K15</f>
        <v>2.6884000000000001E-8</v>
      </c>
      <c r="H78" s="16">
        <f>ALL!L15</f>
        <v>2.2758999999999999E-8</v>
      </c>
      <c r="I78" s="16">
        <f>ALL!M15</f>
        <v>1.9893999999999999E-8</v>
      </c>
      <c r="J78" s="16">
        <f>ALL!N15</f>
        <v>1.8266E-8</v>
      </c>
      <c r="K78" s="16">
        <f>ALL!O15</f>
        <v>1.7561000000000001E-8</v>
      </c>
      <c r="L78" s="16">
        <f>ALL!P15</f>
        <v>1.7249000000000001E-8</v>
      </c>
      <c r="M78" s="16">
        <f>ALL!Q15</f>
        <v>1.7409000000000001E-8</v>
      </c>
      <c r="N78" s="16">
        <f>ALL!R15</f>
        <v>1.7155E-8</v>
      </c>
      <c r="O78" s="16">
        <f>ALL!S15</f>
        <v>1.6222000000000001E-8</v>
      </c>
      <c r="P78" s="16">
        <f>ALL!T15</f>
        <v>1.4826999999999999E-8</v>
      </c>
      <c r="Q78" s="16">
        <f>ALL!U15</f>
        <v>1.3233E-8</v>
      </c>
      <c r="R78" s="16">
        <f>ALL!V15</f>
        <v>1.1625E-8</v>
      </c>
      <c r="S78" s="16">
        <f>ALL!W15</f>
        <v>1.0109E-8</v>
      </c>
      <c r="T78" s="16">
        <f>ALL!X15</f>
        <v>8.7381000000000007E-9</v>
      </c>
      <c r="U78" s="16">
        <f>ALL!Y15</f>
        <v>7.5290999999999996E-9</v>
      </c>
      <c r="V78" s="16">
        <f>ALL!Z15</f>
        <v>6.4780999999999998E-9</v>
      </c>
      <c r="W78" s="16">
        <f>ALL!AA15</f>
        <v>5.5714999999999996E-9</v>
      </c>
      <c r="X78" s="16">
        <f>ALL!AB15</f>
        <v>3.0642999999999999E-9</v>
      </c>
      <c r="Y78" s="16">
        <f>ALL!AC15</f>
        <v>1.7491999999999999E-9</v>
      </c>
      <c r="Z78" s="16">
        <f>ALL!AD15</f>
        <v>1.0823999999999999E-9</v>
      </c>
      <c r="AA78" s="16">
        <f>ALL!AE15</f>
        <v>9.5671999999999998E-10</v>
      </c>
      <c r="AB78" s="16">
        <f>ALL!AF15</f>
        <v>8.4134999999999999E-10</v>
      </c>
      <c r="AC78" s="16">
        <f>ALL!AG15</f>
        <v>7.3694000000000004E-10</v>
      </c>
      <c r="AD78" s="16">
        <f>ALL!AH15</f>
        <v>6.4383000000000004E-10</v>
      </c>
      <c r="AE78" s="16">
        <f>ALL!AI15</f>
        <v>5.6167999999999997E-10</v>
      </c>
      <c r="AF78" s="16">
        <f>ALL!AJ15</f>
        <v>4.8969999999999997E-10</v>
      </c>
      <c r="AG78" s="16">
        <f>ALL!AK15</f>
        <v>4.2689000000000001E-10</v>
      </c>
      <c r="AH78" s="16">
        <f>ALL!AL15</f>
        <v>3.7218999999999998E-10</v>
      </c>
      <c r="AI78" s="16">
        <f>ALL!AM15</f>
        <v>0</v>
      </c>
      <c r="AJ78" s="16">
        <f>ALL!AN15</f>
        <v>0</v>
      </c>
      <c r="AK78" s="16">
        <f>ALL!AO15</f>
        <v>0</v>
      </c>
      <c r="AL78" s="16">
        <f>ALL!AP15</f>
        <v>0</v>
      </c>
      <c r="AM78" s="16">
        <f>ALL!AQ15</f>
        <v>0</v>
      </c>
      <c r="AN78" s="16">
        <f>ALL!AR15</f>
        <v>0</v>
      </c>
      <c r="AO78" s="16">
        <f>ALL!AS15</f>
        <v>0</v>
      </c>
      <c r="AP78" s="16">
        <f>ALL!AT15</f>
        <v>0</v>
      </c>
      <c r="AQ78" s="16">
        <f>ALL!AU15</f>
        <v>0</v>
      </c>
      <c r="AR78" s="16">
        <f>ALL!AV15</f>
        <v>0</v>
      </c>
      <c r="AS78" s="16">
        <f>ALL!AW15</f>
        <v>0</v>
      </c>
      <c r="AT78" s="16">
        <f>ALL!AX15</f>
        <v>0</v>
      </c>
      <c r="AU78" s="16">
        <f>ALL!AY15</f>
        <v>0</v>
      </c>
      <c r="AV78" s="16">
        <f>ALL!AZ15</f>
        <v>0</v>
      </c>
      <c r="AW78" s="16">
        <f>ALL!BA15</f>
        <v>0</v>
      </c>
      <c r="AX78" s="16">
        <f>ALL!BB15</f>
        <v>0</v>
      </c>
      <c r="AY78" s="16">
        <f>ALL!BC15</f>
        <v>0</v>
      </c>
      <c r="AZ78" s="16">
        <f>ALL!BD15</f>
        <v>0</v>
      </c>
      <c r="BA78" s="16">
        <f>ALL!BE15</f>
        <v>0</v>
      </c>
      <c r="BB78" s="16">
        <f>ALL!BF15</f>
        <v>0</v>
      </c>
      <c r="BC78" s="16">
        <f>ALL!BG15</f>
        <v>0</v>
      </c>
      <c r="BD78" s="16">
        <f>ALL!BH15</f>
        <v>0</v>
      </c>
      <c r="BE78" s="16">
        <f>ALL!BI15</f>
        <v>0</v>
      </c>
      <c r="BF78" s="16">
        <f>ALL!BJ15</f>
        <v>0</v>
      </c>
      <c r="BG78" s="16">
        <f>ALL!BK15</f>
        <v>0</v>
      </c>
      <c r="BH78" s="16">
        <f>ALL!BL15</f>
        <v>0</v>
      </c>
      <c r="BI78" s="16">
        <f>ALL!BM15</f>
        <v>0</v>
      </c>
      <c r="BJ78" s="16">
        <f>ALL!BN15</f>
        <v>0</v>
      </c>
      <c r="BK78" s="16">
        <f>ALL!BO15</f>
        <v>0</v>
      </c>
      <c r="BL78" s="16">
        <f>ALL!BP15</f>
        <v>0</v>
      </c>
      <c r="BM78" s="16">
        <f>ALL!BQ15</f>
        <v>0</v>
      </c>
      <c r="BN78" s="16">
        <f>ALL!BR15</f>
        <v>0</v>
      </c>
      <c r="BO78" s="16">
        <f>ALL!BS15</f>
        <v>0</v>
      </c>
      <c r="BP78" s="16">
        <f>ALL!BT15</f>
        <v>0</v>
      </c>
      <c r="BQ78" s="16">
        <f>ALL!BU15</f>
        <v>0</v>
      </c>
      <c r="BR78" s="16">
        <f>ALL!BV15</f>
        <v>0</v>
      </c>
      <c r="BS78" s="16">
        <f>ALL!BW15</f>
        <v>0</v>
      </c>
      <c r="BT78" s="16">
        <f>ALL!BX15</f>
        <v>0</v>
      </c>
    </row>
    <row r="79" spans="1:72" ht="21.75" hidden="1" outlineLevel="1" thickBot="1" x14ac:dyDescent="0.4">
      <c r="A79" s="88" t="str">
        <f>ALL!E16</f>
        <v>(2)Ga[l]</v>
      </c>
      <c r="B79" s="16">
        <f>ALL!F16</f>
        <v>0</v>
      </c>
      <c r="C79" s="16">
        <f>ALL!G16</f>
        <v>0</v>
      </c>
      <c r="D79" s="16">
        <f>ALL!H16</f>
        <v>0</v>
      </c>
      <c r="E79" s="16">
        <f>ALL!I16</f>
        <v>0</v>
      </c>
      <c r="F79" s="16">
        <f>ALL!J16</f>
        <v>0</v>
      </c>
      <c r="G79" s="16">
        <f>ALL!K16</f>
        <v>0</v>
      </c>
      <c r="H79" s="16">
        <f>ALL!L16</f>
        <v>0</v>
      </c>
      <c r="I79" s="16">
        <f>ALL!M16</f>
        <v>0</v>
      </c>
      <c r="J79" s="16">
        <f>ALL!N16</f>
        <v>0</v>
      </c>
      <c r="K79" s="16">
        <f>ALL!O16</f>
        <v>0</v>
      </c>
      <c r="L79" s="16">
        <f>ALL!P16</f>
        <v>0</v>
      </c>
      <c r="M79" s="16">
        <f>ALL!Q16</f>
        <v>0</v>
      </c>
      <c r="N79" s="16">
        <f>ALL!R16</f>
        <v>0</v>
      </c>
      <c r="O79" s="16">
        <f>ALL!S16</f>
        <v>0</v>
      </c>
      <c r="P79" s="16">
        <f>ALL!T16</f>
        <v>0</v>
      </c>
      <c r="Q79" s="16">
        <f>ALL!U16</f>
        <v>0</v>
      </c>
      <c r="R79" s="16">
        <f>ALL!V16</f>
        <v>0</v>
      </c>
      <c r="S79" s="16">
        <f>ALL!W16</f>
        <v>0</v>
      </c>
      <c r="T79" s="16">
        <f>ALL!X16</f>
        <v>0</v>
      </c>
      <c r="U79" s="16">
        <f>ALL!Y16</f>
        <v>0</v>
      </c>
      <c r="V79" s="16">
        <f>ALL!Z16</f>
        <v>0</v>
      </c>
      <c r="W79" s="16">
        <f>ALL!AA16</f>
        <v>0</v>
      </c>
      <c r="X79" s="16">
        <f>ALL!AB16</f>
        <v>0</v>
      </c>
      <c r="Y79" s="16">
        <f>ALL!AC16</f>
        <v>2.6743000000000002E-28</v>
      </c>
      <c r="Z79" s="16">
        <f>ALL!AD16</f>
        <v>2.5268E-14</v>
      </c>
      <c r="AA79" s="16">
        <f>ALL!AE16</f>
        <v>1.6865999999999999E-12</v>
      </c>
      <c r="AB79" s="16">
        <f>ALL!AF16</f>
        <v>3.0434000000000001E-11</v>
      </c>
      <c r="AC79" s="16">
        <f>ALL!AG16</f>
        <v>1.2171999999999999E-10</v>
      </c>
      <c r="AD79" s="16">
        <f>ALL!AH16</f>
        <v>5.7717999999999997E-10</v>
      </c>
      <c r="AE79" s="16">
        <f>ALL!AI16</f>
        <v>1.9796000000000001E-9</v>
      </c>
      <c r="AF79" s="16">
        <f>ALL!AJ16</f>
        <v>5.5962000000000002E-9</v>
      </c>
      <c r="AG79" s="16">
        <f>ALL!AK16</f>
        <v>1.4063E-8</v>
      </c>
      <c r="AH79" s="16">
        <f>ALL!AL16</f>
        <v>3.2876000000000003E-8</v>
      </c>
      <c r="AI79" s="16">
        <f>ALL!AM16</f>
        <v>0</v>
      </c>
      <c r="AJ79" s="16">
        <f>ALL!AN16</f>
        <v>0</v>
      </c>
      <c r="AK79" s="16">
        <f>ALL!AO16</f>
        <v>0</v>
      </c>
      <c r="AL79" s="16">
        <f>ALL!AP16</f>
        <v>0</v>
      </c>
      <c r="AM79" s="16">
        <f>ALL!AQ16</f>
        <v>0</v>
      </c>
      <c r="AN79" s="16">
        <f>ALL!AR16</f>
        <v>0</v>
      </c>
      <c r="AO79" s="16">
        <f>ALL!AS16</f>
        <v>0</v>
      </c>
      <c r="AP79" s="16">
        <f>ALL!AT16</f>
        <v>0</v>
      </c>
      <c r="AQ79" s="16">
        <f>ALL!AU16</f>
        <v>0</v>
      </c>
      <c r="AR79" s="16">
        <f>ALL!AV16</f>
        <v>0</v>
      </c>
      <c r="AS79" s="16">
        <f>ALL!AW16</f>
        <v>0</v>
      </c>
      <c r="AT79" s="16">
        <f>ALL!AX16</f>
        <v>0</v>
      </c>
      <c r="AU79" s="16">
        <f>ALL!AY16</f>
        <v>0</v>
      </c>
      <c r="AV79" s="16">
        <f>ALL!AZ16</f>
        <v>0</v>
      </c>
      <c r="AW79" s="16">
        <f>ALL!BA16</f>
        <v>0</v>
      </c>
      <c r="AX79" s="16">
        <f>ALL!BB16</f>
        <v>0</v>
      </c>
      <c r="AY79" s="16">
        <f>ALL!BC16</f>
        <v>0</v>
      </c>
      <c r="AZ79" s="16">
        <f>ALL!BD16</f>
        <v>0</v>
      </c>
      <c r="BA79" s="16">
        <f>ALL!BE16</f>
        <v>0</v>
      </c>
      <c r="BB79" s="16">
        <f>ALL!BF16</f>
        <v>0</v>
      </c>
      <c r="BC79" s="16">
        <f>ALL!BG16</f>
        <v>0</v>
      </c>
      <c r="BD79" s="16">
        <f>ALL!BH16</f>
        <v>0</v>
      </c>
      <c r="BE79" s="16">
        <f>ALL!BI16</f>
        <v>0</v>
      </c>
      <c r="BF79" s="16">
        <f>ALL!BJ16</f>
        <v>0</v>
      </c>
      <c r="BG79" s="16">
        <f>ALL!BK16</f>
        <v>0</v>
      </c>
      <c r="BH79" s="16">
        <f>ALL!BL16</f>
        <v>0</v>
      </c>
      <c r="BI79" s="16">
        <f>ALL!BM16</f>
        <v>0</v>
      </c>
      <c r="BJ79" s="16">
        <f>ALL!BN16</f>
        <v>0</v>
      </c>
      <c r="BK79" s="16">
        <f>ALL!BO16</f>
        <v>0</v>
      </c>
      <c r="BL79" s="16">
        <f>ALL!BP16</f>
        <v>0</v>
      </c>
      <c r="BM79" s="16">
        <f>ALL!BQ16</f>
        <v>0</v>
      </c>
      <c r="BN79" s="16">
        <f>ALL!BR16</f>
        <v>0</v>
      </c>
      <c r="BO79" s="16">
        <f>ALL!BS16</f>
        <v>0</v>
      </c>
      <c r="BP79" s="16">
        <f>ALL!BT16</f>
        <v>0</v>
      </c>
      <c r="BQ79" s="16">
        <f>ALL!BU16</f>
        <v>0</v>
      </c>
      <c r="BR79" s="16">
        <f>ALL!BV16</f>
        <v>0</v>
      </c>
      <c r="BS79" s="16">
        <f>ALL!BW16</f>
        <v>0</v>
      </c>
      <c r="BT79" s="16">
        <f>ALL!BX16</f>
        <v>0</v>
      </c>
    </row>
    <row r="80" spans="1:72" ht="21.75" hidden="1" outlineLevel="1" thickBot="1" x14ac:dyDescent="0.4">
      <c r="A80" s="88" t="str">
        <f>ALL!E17</f>
        <v>H (Ar)</v>
      </c>
      <c r="B80" s="16">
        <f>ALL!F17</f>
        <v>-18.62</v>
      </c>
      <c r="C80" s="16">
        <f>ALL!G17</f>
        <v>-18.61</v>
      </c>
      <c r="D80" s="16">
        <f>ALL!H17</f>
        <v>-18.61</v>
      </c>
      <c r="E80" s="16">
        <f>ALL!I17</f>
        <v>-18.62</v>
      </c>
      <c r="F80" s="16">
        <f>ALL!J17</f>
        <v>-18.63</v>
      </c>
      <c r="G80" s="16">
        <f>ALL!K17</f>
        <v>-18.72</v>
      </c>
      <c r="H80" s="16">
        <f>ALL!L17</f>
        <v>-18.75</v>
      </c>
      <c r="I80" s="16">
        <f>ALL!M17</f>
        <v>-18.78</v>
      </c>
      <c r="J80" s="16">
        <f>ALL!N17</f>
        <v>-18.809999999999999</v>
      </c>
      <c r="K80" s="16">
        <f>ALL!O17</f>
        <v>-18.84</v>
      </c>
      <c r="L80" s="16">
        <f>ALL!P17</f>
        <v>-18.87</v>
      </c>
      <c r="M80" s="16">
        <f>ALL!Q17</f>
        <v>-18.899999999999999</v>
      </c>
      <c r="N80" s="16">
        <f>ALL!R17</f>
        <v>-18.940000000000001</v>
      </c>
      <c r="O80" s="16">
        <f>ALL!S17</f>
        <v>-18.97</v>
      </c>
      <c r="P80" s="16">
        <f>ALL!T17</f>
        <v>-19.010000000000002</v>
      </c>
      <c r="Q80" s="16">
        <f>ALL!U17</f>
        <v>-19.04</v>
      </c>
      <c r="R80" s="16">
        <f>ALL!V17</f>
        <v>-19.07</v>
      </c>
      <c r="S80" s="16">
        <f>ALL!W17</f>
        <v>-19.11</v>
      </c>
      <c r="T80" s="16">
        <f>ALL!X17</f>
        <v>-19.14</v>
      </c>
      <c r="U80" s="16">
        <f>ALL!Y17</f>
        <v>-19.18</v>
      </c>
      <c r="V80" s="16">
        <f>ALL!Z17</f>
        <v>-19.21</v>
      </c>
      <c r="W80" s="16">
        <f>ALL!AA17</f>
        <v>-19.25</v>
      </c>
      <c r="X80" s="16">
        <f>ALL!AB17</f>
        <v>-19.38</v>
      </c>
      <c r="Y80" s="16">
        <f>ALL!AC17</f>
        <v>-19.510000000000002</v>
      </c>
      <c r="Z80" s="16">
        <f>ALL!AD17</f>
        <v>-19.64</v>
      </c>
      <c r="AA80" s="16">
        <f>ALL!AE17</f>
        <v>-19.670000000000002</v>
      </c>
      <c r="AB80" s="16">
        <f>ALL!AF17</f>
        <v>-19.7</v>
      </c>
      <c r="AC80" s="16">
        <f>ALL!AG17</f>
        <v>-19.73</v>
      </c>
      <c r="AD80" s="16">
        <f>ALL!AH17</f>
        <v>-19.760000000000002</v>
      </c>
      <c r="AE80" s="16">
        <f>ALL!AI17</f>
        <v>-19.79</v>
      </c>
      <c r="AF80" s="16">
        <f>ALL!AJ17</f>
        <v>-19.82</v>
      </c>
      <c r="AG80" s="16">
        <f>ALL!AK17</f>
        <v>-19.850000000000001</v>
      </c>
      <c r="AH80" s="16">
        <f>ALL!AL17</f>
        <v>-19.88</v>
      </c>
      <c r="AI80" s="16">
        <f>ALL!AM17</f>
        <v>0</v>
      </c>
      <c r="AJ80" s="16">
        <f>ALL!AN17</f>
        <v>0</v>
      </c>
      <c r="AK80" s="16">
        <f>ALL!AO17</f>
        <v>0</v>
      </c>
      <c r="AL80" s="16">
        <f>ALL!AP17</f>
        <v>0</v>
      </c>
      <c r="AM80" s="16">
        <f>ALL!AQ17</f>
        <v>0</v>
      </c>
      <c r="AN80" s="16">
        <f>ALL!AR17</f>
        <v>0</v>
      </c>
      <c r="AO80" s="16">
        <f>ALL!AS17</f>
        <v>0</v>
      </c>
      <c r="AP80" s="16">
        <f>ALL!AT17</f>
        <v>0</v>
      </c>
      <c r="AQ80" s="16">
        <f>ALL!AU17</f>
        <v>0</v>
      </c>
      <c r="AR80" s="16">
        <f>ALL!AV17</f>
        <v>0</v>
      </c>
      <c r="AS80" s="16">
        <f>ALL!AW17</f>
        <v>0</v>
      </c>
      <c r="AT80" s="16">
        <f>ALL!AX17</f>
        <v>0</v>
      </c>
      <c r="AU80" s="16">
        <f>ALL!AY17</f>
        <v>0</v>
      </c>
      <c r="AV80" s="16">
        <f>ALL!AZ17</f>
        <v>0</v>
      </c>
      <c r="AW80" s="16">
        <f>ALL!BA17</f>
        <v>0</v>
      </c>
      <c r="AX80" s="16">
        <f>ALL!BB17</f>
        <v>0</v>
      </c>
      <c r="AY80" s="16">
        <f>ALL!BC17</f>
        <v>0</v>
      </c>
      <c r="AZ80" s="16">
        <f>ALL!BD17</f>
        <v>0</v>
      </c>
      <c r="BA80" s="16">
        <f>ALL!BE17</f>
        <v>0</v>
      </c>
      <c r="BB80" s="16">
        <f>ALL!BF17</f>
        <v>0</v>
      </c>
      <c r="BC80" s="16">
        <f>ALL!BG17</f>
        <v>0</v>
      </c>
      <c r="BD80" s="16">
        <f>ALL!BH17</f>
        <v>0</v>
      </c>
      <c r="BE80" s="16">
        <f>ALL!BI17</f>
        <v>0</v>
      </c>
      <c r="BF80" s="16">
        <f>ALL!BJ17</f>
        <v>0</v>
      </c>
      <c r="BG80" s="16">
        <f>ALL!BK17</f>
        <v>0</v>
      </c>
      <c r="BH80" s="16">
        <f>ALL!BL17</f>
        <v>0</v>
      </c>
      <c r="BI80" s="16">
        <f>ALL!BM17</f>
        <v>0</v>
      </c>
      <c r="BJ80" s="16">
        <f>ALL!BN17</f>
        <v>0</v>
      </c>
      <c r="BK80" s="16">
        <f>ALL!BO17</f>
        <v>0</v>
      </c>
      <c r="BL80" s="16">
        <f>ALL!BP17</f>
        <v>0</v>
      </c>
      <c r="BM80" s="16">
        <f>ALL!BQ17</f>
        <v>0</v>
      </c>
      <c r="BN80" s="16">
        <f>ALL!BR17</f>
        <v>0</v>
      </c>
      <c r="BO80" s="16">
        <f>ALL!BS17</f>
        <v>0</v>
      </c>
      <c r="BP80" s="16">
        <f>ALL!BT17</f>
        <v>0</v>
      </c>
      <c r="BQ80" s="16">
        <f>ALL!BU17</f>
        <v>0</v>
      </c>
      <c r="BR80" s="16">
        <f>ALL!BV17</f>
        <v>0</v>
      </c>
      <c r="BS80" s="16">
        <f>ALL!BW17</f>
        <v>0</v>
      </c>
      <c r="BT80" s="16">
        <f>ALL!BX17</f>
        <v>0</v>
      </c>
    </row>
    <row r="81" spans="1:72" ht="21.75" hidden="1" outlineLevel="1" thickBot="1" x14ac:dyDescent="0.4">
      <c r="A81" s="88" t="str">
        <f>ALL!E18</f>
        <v>H (Ga)</v>
      </c>
      <c r="B81" s="16">
        <f>ALL!F18</f>
        <v>-66.48</v>
      </c>
      <c r="C81" s="16">
        <f>ALL!G18</f>
        <v>-62.87</v>
      </c>
      <c r="D81" s="16">
        <f>ALL!H18</f>
        <v>-59.45</v>
      </c>
      <c r="E81" s="16">
        <f>ALL!I18</f>
        <v>-56.08</v>
      </c>
      <c r="F81" s="16">
        <f>ALL!J18</f>
        <v>-52.71</v>
      </c>
      <c r="G81" s="16">
        <f>ALL!K18</f>
        <v>-40.33</v>
      </c>
      <c r="H81" s="16">
        <f>ALL!L18</f>
        <v>-37.729999999999997</v>
      </c>
      <c r="I81" s="16">
        <f>ALL!M18</f>
        <v>-35.340000000000003</v>
      </c>
      <c r="J81" s="16">
        <f>ALL!N18</f>
        <v>-33.17</v>
      </c>
      <c r="K81" s="16">
        <f>ALL!O18</f>
        <v>-31.2</v>
      </c>
      <c r="L81" s="16">
        <f>ALL!P18</f>
        <v>-29.39</v>
      </c>
      <c r="M81" s="16">
        <f>ALL!Q18</f>
        <v>-27.69</v>
      </c>
      <c r="N81" s="16">
        <f>ALL!R18</f>
        <v>-26.08</v>
      </c>
      <c r="O81" s="16">
        <f>ALL!S18</f>
        <v>-24.57</v>
      </c>
      <c r="P81" s="16">
        <f>ALL!T18</f>
        <v>-23.15</v>
      </c>
      <c r="Q81" s="16">
        <f>ALL!U18</f>
        <v>-21.84</v>
      </c>
      <c r="R81" s="16">
        <f>ALL!V18</f>
        <v>-20.64</v>
      </c>
      <c r="S81" s="16">
        <f>ALL!W18</f>
        <v>-19.53</v>
      </c>
      <c r="T81" s="16">
        <f>ALL!X18</f>
        <v>-18.5</v>
      </c>
      <c r="U81" s="16">
        <f>ALL!Y18</f>
        <v>-17.53</v>
      </c>
      <c r="V81" s="16">
        <f>ALL!Z18</f>
        <v>-16.62</v>
      </c>
      <c r="W81" s="16">
        <f>ALL!AA18</f>
        <v>-15.74</v>
      </c>
      <c r="X81" s="16">
        <f>ALL!AB18</f>
        <v>-12.62</v>
      </c>
      <c r="Y81" s="16">
        <f>ALL!AC18</f>
        <v>-10.119999999999999</v>
      </c>
      <c r="Z81" s="16">
        <f>ALL!AD18</f>
        <v>-8.859</v>
      </c>
      <c r="AA81" s="16">
        <f>ALL!AE18</f>
        <v>-8.76</v>
      </c>
      <c r="AB81" s="16">
        <f>ALL!AF18</f>
        <v>-8.7140000000000004</v>
      </c>
      <c r="AC81" s="16">
        <f>ALL!AG18</f>
        <v>-8.7010000000000005</v>
      </c>
      <c r="AD81" s="16">
        <f>ALL!AH18</f>
        <v>-8.7080000000000002</v>
      </c>
      <c r="AE81" s="16">
        <f>ALL!AI18</f>
        <v>-8.7279999999999998</v>
      </c>
      <c r="AF81" s="16">
        <f>ALL!AJ18</f>
        <v>-8.7539999999999996</v>
      </c>
      <c r="AG81" s="16">
        <f>ALL!AK18</f>
        <v>-8.7850000000000001</v>
      </c>
      <c r="AH81" s="16">
        <f>ALL!AL18</f>
        <v>-8.8179999999999996</v>
      </c>
      <c r="AI81" s="16">
        <f>ALL!AM18</f>
        <v>0</v>
      </c>
      <c r="AJ81" s="16">
        <f>ALL!AN18</f>
        <v>0</v>
      </c>
      <c r="AK81" s="16">
        <f>ALL!AO18</f>
        <v>0</v>
      </c>
      <c r="AL81" s="16">
        <f>ALL!AP18</f>
        <v>0</v>
      </c>
      <c r="AM81" s="16">
        <f>ALL!AQ18</f>
        <v>0</v>
      </c>
      <c r="AN81" s="16">
        <f>ALL!AR18</f>
        <v>0</v>
      </c>
      <c r="AO81" s="16">
        <f>ALL!AS18</f>
        <v>0</v>
      </c>
      <c r="AP81" s="16">
        <f>ALL!AT18</f>
        <v>0</v>
      </c>
      <c r="AQ81" s="16">
        <f>ALL!AU18</f>
        <v>0</v>
      </c>
      <c r="AR81" s="16">
        <f>ALL!AV18</f>
        <v>0</v>
      </c>
      <c r="AS81" s="16">
        <f>ALL!AW18</f>
        <v>0</v>
      </c>
      <c r="AT81" s="16">
        <f>ALL!AX18</f>
        <v>0</v>
      </c>
      <c r="AU81" s="16">
        <f>ALL!AY18</f>
        <v>0</v>
      </c>
      <c r="AV81" s="16">
        <f>ALL!AZ18</f>
        <v>0</v>
      </c>
      <c r="AW81" s="16">
        <f>ALL!BA18</f>
        <v>0</v>
      </c>
      <c r="AX81" s="16">
        <f>ALL!BB18</f>
        <v>0</v>
      </c>
      <c r="AY81" s="16">
        <f>ALL!BC18</f>
        <v>0</v>
      </c>
      <c r="AZ81" s="16">
        <f>ALL!BD18</f>
        <v>0</v>
      </c>
      <c r="BA81" s="16">
        <f>ALL!BE18</f>
        <v>0</v>
      </c>
      <c r="BB81" s="16">
        <f>ALL!BF18</f>
        <v>0</v>
      </c>
      <c r="BC81" s="16">
        <f>ALL!BG18</f>
        <v>0</v>
      </c>
      <c r="BD81" s="16">
        <f>ALL!BH18</f>
        <v>0</v>
      </c>
      <c r="BE81" s="16">
        <f>ALL!BI18</f>
        <v>0</v>
      </c>
      <c r="BF81" s="16">
        <f>ALL!BJ18</f>
        <v>0</v>
      </c>
      <c r="BG81" s="16">
        <f>ALL!BK18</f>
        <v>0</v>
      </c>
      <c r="BH81" s="16">
        <f>ALL!BL18</f>
        <v>0</v>
      </c>
      <c r="BI81" s="16">
        <f>ALL!BM18</f>
        <v>0</v>
      </c>
      <c r="BJ81" s="16">
        <f>ALL!BN18</f>
        <v>0</v>
      </c>
      <c r="BK81" s="16">
        <f>ALL!BO18</f>
        <v>0</v>
      </c>
      <c r="BL81" s="16">
        <f>ALL!BP18</f>
        <v>0</v>
      </c>
      <c r="BM81" s="16">
        <f>ALL!BQ18</f>
        <v>0</v>
      </c>
      <c r="BN81" s="16">
        <f>ALL!BR18</f>
        <v>0</v>
      </c>
      <c r="BO81" s="16">
        <f>ALL!BS18</f>
        <v>0</v>
      </c>
      <c r="BP81" s="16">
        <f>ALL!BT18</f>
        <v>0</v>
      </c>
      <c r="BQ81" s="16">
        <f>ALL!BU18</f>
        <v>0</v>
      </c>
      <c r="BR81" s="16">
        <f>ALL!BV18</f>
        <v>0</v>
      </c>
      <c r="BS81" s="16">
        <f>ALL!BW18</f>
        <v>0</v>
      </c>
      <c r="BT81" s="16">
        <f>ALL!BX18</f>
        <v>0</v>
      </c>
    </row>
    <row r="82" spans="1:72" ht="21.75" hidden="1" outlineLevel="1" thickBot="1" x14ac:dyDescent="0.4">
      <c r="A82" s="88" t="str">
        <f>ALL!E19</f>
        <v>H (Ge)</v>
      </c>
      <c r="B82" s="16">
        <f>ALL!F19</f>
        <v>-17.09</v>
      </c>
      <c r="C82" s="16">
        <f>ALL!G19</f>
        <v>-16.329999999999998</v>
      </c>
      <c r="D82" s="16">
        <f>ALL!H19</f>
        <v>-15.49</v>
      </c>
      <c r="E82" s="16">
        <f>ALL!I19</f>
        <v>-14.5</v>
      </c>
      <c r="F82" s="16">
        <f>ALL!J19</f>
        <v>-13.38</v>
      </c>
      <c r="G82" s="16">
        <f>ALL!K19</f>
        <v>-8.9420000000000002</v>
      </c>
      <c r="H82" s="16">
        <f>ALL!L19</f>
        <v>-8.0190000000000001</v>
      </c>
      <c r="I82" s="16">
        <f>ALL!M19</f>
        <v>-7.2149999999999999</v>
      </c>
      <c r="J82" s="16">
        <f>ALL!N19</f>
        <v>-6.5570000000000004</v>
      </c>
      <c r="K82" s="16">
        <f>ALL!O19</f>
        <v>-6.056</v>
      </c>
      <c r="L82" s="16">
        <f>ALL!P19</f>
        <v>-5.7050000000000001</v>
      </c>
      <c r="M82" s="16">
        <f>ALL!Q19</f>
        <v>-5.4829999999999997</v>
      </c>
      <c r="N82" s="16">
        <f>ALL!R19</f>
        <v>-5.3639999999999999</v>
      </c>
      <c r="O82" s="16">
        <f>ALL!S19</f>
        <v>-5.319</v>
      </c>
      <c r="P82" s="16">
        <f>ALL!T19</f>
        <v>-5.319</v>
      </c>
      <c r="Q82" s="16">
        <f>ALL!U19</f>
        <v>-5.3440000000000003</v>
      </c>
      <c r="R82" s="16">
        <f>ALL!V19</f>
        <v>-5.3789999999999996</v>
      </c>
      <c r="S82" s="16">
        <f>ALL!W19</f>
        <v>-5.4180000000000001</v>
      </c>
      <c r="T82" s="16">
        <f>ALL!X19</f>
        <v>-5.4589999999999996</v>
      </c>
      <c r="U82" s="16">
        <f>ALL!Y19</f>
        <v>-5.4989999999999997</v>
      </c>
      <c r="V82" s="16">
        <f>ALL!Z19</f>
        <v>-5.54</v>
      </c>
      <c r="W82" s="16">
        <f>ALL!AA19</f>
        <v>-5.58</v>
      </c>
      <c r="X82" s="16">
        <f>ALL!AB19</f>
        <v>-5.7430000000000003</v>
      </c>
      <c r="Y82" s="16">
        <f>ALL!AC19</f>
        <v>-5.9169999999999998</v>
      </c>
      <c r="Z82" s="16">
        <f>ALL!AD19</f>
        <v>-6.1260000000000003</v>
      </c>
      <c r="AA82" s="16">
        <f>ALL!AE19</f>
        <v>-6.1749999999999998</v>
      </c>
      <c r="AB82" s="16">
        <f>ALL!AF19</f>
        <v>-6.2210000000000001</v>
      </c>
      <c r="AC82" s="16">
        <f>ALL!AG19</f>
        <v>-6.2629999999999999</v>
      </c>
      <c r="AD82" s="16">
        <f>ALL!AH19</f>
        <v>-6.3029999999999999</v>
      </c>
      <c r="AE82" s="16">
        <f>ALL!AI19</f>
        <v>-6.3419999999999996</v>
      </c>
      <c r="AF82" s="16">
        <f>ALL!AJ19</f>
        <v>-6.3789999999999996</v>
      </c>
      <c r="AG82" s="16">
        <f>ALL!AK19</f>
        <v>-6.4160000000000004</v>
      </c>
      <c r="AH82" s="16">
        <f>ALL!AL19</f>
        <v>-6.452</v>
      </c>
      <c r="AI82" s="16">
        <f>ALL!AM19</f>
        <v>0</v>
      </c>
      <c r="AJ82" s="16">
        <f>ALL!AN19</f>
        <v>0</v>
      </c>
      <c r="AK82" s="16">
        <f>ALL!AO19</f>
        <v>0</v>
      </c>
      <c r="AL82" s="16">
        <f>ALL!AP19</f>
        <v>0</v>
      </c>
      <c r="AM82" s="16">
        <f>ALL!AQ19</f>
        <v>0</v>
      </c>
      <c r="AN82" s="16">
        <f>ALL!AR19</f>
        <v>0</v>
      </c>
      <c r="AO82" s="16">
        <f>ALL!AS19</f>
        <v>0</v>
      </c>
      <c r="AP82" s="16">
        <f>ALL!AT19</f>
        <v>0</v>
      </c>
      <c r="AQ82" s="16">
        <f>ALL!AU19</f>
        <v>0</v>
      </c>
      <c r="AR82" s="16">
        <f>ALL!AV19</f>
        <v>0</v>
      </c>
      <c r="AS82" s="16">
        <f>ALL!AW19</f>
        <v>0</v>
      </c>
      <c r="AT82" s="16">
        <f>ALL!AX19</f>
        <v>0</v>
      </c>
      <c r="AU82" s="16">
        <f>ALL!AY19</f>
        <v>0</v>
      </c>
      <c r="AV82" s="16">
        <f>ALL!AZ19</f>
        <v>0</v>
      </c>
      <c r="AW82" s="16">
        <f>ALL!BA19</f>
        <v>0</v>
      </c>
      <c r="AX82" s="16">
        <f>ALL!BB19</f>
        <v>0</v>
      </c>
      <c r="AY82" s="16">
        <f>ALL!BC19</f>
        <v>0</v>
      </c>
      <c r="AZ82" s="16">
        <f>ALL!BD19</f>
        <v>0</v>
      </c>
      <c r="BA82" s="16">
        <f>ALL!BE19</f>
        <v>0</v>
      </c>
      <c r="BB82" s="16">
        <f>ALL!BF19</f>
        <v>0</v>
      </c>
      <c r="BC82" s="16">
        <f>ALL!BG19</f>
        <v>0</v>
      </c>
      <c r="BD82" s="16">
        <f>ALL!BH19</f>
        <v>0</v>
      </c>
      <c r="BE82" s="16">
        <f>ALL!BI19</f>
        <v>0</v>
      </c>
      <c r="BF82" s="16">
        <f>ALL!BJ19</f>
        <v>0</v>
      </c>
      <c r="BG82" s="16">
        <f>ALL!BK19</f>
        <v>0</v>
      </c>
      <c r="BH82" s="16">
        <f>ALL!BL19</f>
        <v>0</v>
      </c>
      <c r="BI82" s="16">
        <f>ALL!BM19</f>
        <v>0</v>
      </c>
      <c r="BJ82" s="16">
        <f>ALL!BN19</f>
        <v>0</v>
      </c>
      <c r="BK82" s="16">
        <f>ALL!BO19</f>
        <v>0</v>
      </c>
      <c r="BL82" s="16">
        <f>ALL!BP19</f>
        <v>0</v>
      </c>
      <c r="BM82" s="16">
        <f>ALL!BQ19</f>
        <v>0</v>
      </c>
      <c r="BN82" s="16">
        <f>ALL!BR19</f>
        <v>0</v>
      </c>
      <c r="BO82" s="16">
        <f>ALL!BS19</f>
        <v>0</v>
      </c>
      <c r="BP82" s="16">
        <f>ALL!BT19</f>
        <v>0</v>
      </c>
      <c r="BQ82" s="16">
        <f>ALL!BU19</f>
        <v>0</v>
      </c>
      <c r="BR82" s="16">
        <f>ALL!BV19</f>
        <v>0</v>
      </c>
      <c r="BS82" s="16">
        <f>ALL!BW19</f>
        <v>0</v>
      </c>
      <c r="BT82" s="16">
        <f>ALL!BX19</f>
        <v>0</v>
      </c>
    </row>
    <row r="83" spans="1:72" ht="21.75" hidden="1" outlineLevel="1" thickBot="1" x14ac:dyDescent="0.4">
      <c r="A83" s="88" t="str">
        <f>ALL!E20</f>
        <v>H (Se)</v>
      </c>
      <c r="B83" s="16">
        <f>ALL!F20</f>
        <v>-23.56</v>
      </c>
      <c r="C83" s="16">
        <f>ALL!G20</f>
        <v>-22.54</v>
      </c>
      <c r="D83" s="16">
        <f>ALL!H20</f>
        <v>-21.78</v>
      </c>
      <c r="E83" s="16">
        <f>ALL!I20</f>
        <v>-21.32</v>
      </c>
      <c r="F83" s="16">
        <f>ALL!J20</f>
        <v>-21.15</v>
      </c>
      <c r="G83" s="16">
        <f>ALL!K20</f>
        <v>-21.73</v>
      </c>
      <c r="H83" s="16">
        <f>ALL!L20</f>
        <v>-21.95</v>
      </c>
      <c r="I83" s="16">
        <f>ALL!M20</f>
        <v>-22.15</v>
      </c>
      <c r="J83" s="16">
        <f>ALL!N20</f>
        <v>-22.32</v>
      </c>
      <c r="K83" s="16">
        <f>ALL!O20</f>
        <v>-22.46</v>
      </c>
      <c r="L83" s="16">
        <f>ALL!P20</f>
        <v>-22.6</v>
      </c>
      <c r="M83" s="16">
        <f>ALL!Q20</f>
        <v>-22.76</v>
      </c>
      <c r="N83" s="16">
        <f>ALL!R20</f>
        <v>-22.95</v>
      </c>
      <c r="O83" s="16">
        <f>ALL!S20</f>
        <v>-23.15</v>
      </c>
      <c r="P83" s="16">
        <f>ALL!T20</f>
        <v>-23.37</v>
      </c>
      <c r="Q83" s="16">
        <f>ALL!U20</f>
        <v>-23.6</v>
      </c>
      <c r="R83" s="16">
        <f>ALL!V20</f>
        <v>-23.84</v>
      </c>
      <c r="S83" s="16">
        <f>ALL!W20</f>
        <v>-24.07</v>
      </c>
      <c r="T83" s="16">
        <f>ALL!X20</f>
        <v>-24.31</v>
      </c>
      <c r="U83" s="16">
        <f>ALL!Y20</f>
        <v>-24.54</v>
      </c>
      <c r="V83" s="16">
        <f>ALL!Z20</f>
        <v>-24.77</v>
      </c>
      <c r="W83" s="16">
        <f>ALL!AA20</f>
        <v>-25</v>
      </c>
      <c r="X83" s="16">
        <f>ALL!AB20</f>
        <v>-25.9</v>
      </c>
      <c r="Y83" s="16">
        <f>ALL!AC20</f>
        <v>-26.75</v>
      </c>
      <c r="Z83" s="16">
        <f>ALL!AD20</f>
        <v>-27.55</v>
      </c>
      <c r="AA83" s="16">
        <f>ALL!AE20</f>
        <v>-27.75</v>
      </c>
      <c r="AB83" s="16">
        <f>ALL!AF20</f>
        <v>-27.95</v>
      </c>
      <c r="AC83" s="16">
        <f>ALL!AG20</f>
        <v>-28.15</v>
      </c>
      <c r="AD83" s="16">
        <f>ALL!AH20</f>
        <v>-28.35</v>
      </c>
      <c r="AE83" s="16">
        <f>ALL!AI20</f>
        <v>-28.54</v>
      </c>
      <c r="AF83" s="16">
        <f>ALL!AJ20</f>
        <v>-28.74</v>
      </c>
      <c r="AG83" s="16">
        <f>ALL!AK20</f>
        <v>-28.94</v>
      </c>
      <c r="AH83" s="16">
        <f>ALL!AL20</f>
        <v>-29.13</v>
      </c>
      <c r="AI83" s="16">
        <f>ALL!AM20</f>
        <v>0</v>
      </c>
      <c r="AJ83" s="16">
        <f>ALL!AN20</f>
        <v>0</v>
      </c>
      <c r="AK83" s="16">
        <f>ALL!AO20</f>
        <v>0</v>
      </c>
      <c r="AL83" s="16">
        <f>ALL!AP20</f>
        <v>0</v>
      </c>
      <c r="AM83" s="16">
        <f>ALL!AQ20</f>
        <v>0</v>
      </c>
      <c r="AN83" s="16">
        <f>ALL!AR20</f>
        <v>0</v>
      </c>
      <c r="AO83" s="16">
        <f>ALL!AS20</f>
        <v>0</v>
      </c>
      <c r="AP83" s="16">
        <f>ALL!AT20</f>
        <v>0</v>
      </c>
      <c r="AQ83" s="16">
        <f>ALL!AU20</f>
        <v>0</v>
      </c>
      <c r="AR83" s="16">
        <f>ALL!AV20</f>
        <v>0</v>
      </c>
      <c r="AS83" s="16">
        <f>ALL!AW20</f>
        <v>0</v>
      </c>
      <c r="AT83" s="16">
        <f>ALL!AX20</f>
        <v>0</v>
      </c>
      <c r="AU83" s="16">
        <f>ALL!AY20</f>
        <v>0</v>
      </c>
      <c r="AV83" s="16">
        <f>ALL!AZ20</f>
        <v>0</v>
      </c>
      <c r="AW83" s="16">
        <f>ALL!BA20</f>
        <v>0</v>
      </c>
      <c r="AX83" s="16">
        <f>ALL!BB20</f>
        <v>0</v>
      </c>
      <c r="AY83" s="16">
        <f>ALL!BC20</f>
        <v>0</v>
      </c>
      <c r="AZ83" s="16">
        <f>ALL!BD20</f>
        <v>0</v>
      </c>
      <c r="BA83" s="16">
        <f>ALL!BE20</f>
        <v>0</v>
      </c>
      <c r="BB83" s="16">
        <f>ALL!BF20</f>
        <v>0</v>
      </c>
      <c r="BC83" s="16">
        <f>ALL!BG20</f>
        <v>0</v>
      </c>
      <c r="BD83" s="16">
        <f>ALL!BH20</f>
        <v>0</v>
      </c>
      <c r="BE83" s="16">
        <f>ALL!BI20</f>
        <v>0</v>
      </c>
      <c r="BF83" s="16">
        <f>ALL!BJ20</f>
        <v>0</v>
      </c>
      <c r="BG83" s="16">
        <f>ALL!BK20</f>
        <v>0</v>
      </c>
      <c r="BH83" s="16">
        <f>ALL!BL20</f>
        <v>0</v>
      </c>
      <c r="BI83" s="16">
        <f>ALL!BM20</f>
        <v>0</v>
      </c>
      <c r="BJ83" s="16">
        <f>ALL!BN20</f>
        <v>0</v>
      </c>
      <c r="BK83" s="16">
        <f>ALL!BO20</f>
        <v>0</v>
      </c>
      <c r="BL83" s="16">
        <f>ALL!BP20</f>
        <v>0</v>
      </c>
      <c r="BM83" s="16">
        <f>ALL!BQ20</f>
        <v>0</v>
      </c>
      <c r="BN83" s="16">
        <f>ALL!BR20</f>
        <v>0</v>
      </c>
      <c r="BO83" s="16">
        <f>ALL!BS20</f>
        <v>0</v>
      </c>
      <c r="BP83" s="16">
        <f>ALL!BT20</f>
        <v>0</v>
      </c>
      <c r="BQ83" s="16">
        <f>ALL!BU20</f>
        <v>0</v>
      </c>
      <c r="BR83" s="16">
        <f>ALL!BV20</f>
        <v>0</v>
      </c>
      <c r="BS83" s="16">
        <f>ALL!BW20</f>
        <v>0</v>
      </c>
      <c r="BT83" s="16">
        <f>ALL!BX20</f>
        <v>0</v>
      </c>
    </row>
    <row r="84" spans="1:72" ht="21.75" hidden="1" outlineLevel="1" thickBot="1" x14ac:dyDescent="0.4">
      <c r="A84" s="88">
        <f>ALL!E21</f>
        <v>0</v>
      </c>
      <c r="B84" s="16">
        <f>ALL!F21</f>
        <v>0</v>
      </c>
      <c r="C84" s="16">
        <f>ALL!G21</f>
        <v>0</v>
      </c>
      <c r="D84" s="16">
        <f>ALL!H21</f>
        <v>0</v>
      </c>
      <c r="E84" s="16">
        <f>ALL!I21</f>
        <v>0</v>
      </c>
      <c r="F84" s="16">
        <f>ALL!J21</f>
        <v>0</v>
      </c>
      <c r="G84" s="16">
        <f>ALL!K21</f>
        <v>0</v>
      </c>
      <c r="H84" s="16">
        <f>ALL!L21</f>
        <v>0</v>
      </c>
      <c r="I84" s="16">
        <f>ALL!M21</f>
        <v>0</v>
      </c>
      <c r="J84" s="16">
        <f>ALL!N21</f>
        <v>0</v>
      </c>
      <c r="K84" s="16">
        <f>ALL!O21</f>
        <v>0</v>
      </c>
      <c r="L84" s="16">
        <f>ALL!P21</f>
        <v>0</v>
      </c>
      <c r="M84" s="16">
        <f>ALL!Q21</f>
        <v>0</v>
      </c>
      <c r="N84" s="16">
        <f>ALL!R21</f>
        <v>0</v>
      </c>
      <c r="O84" s="16">
        <f>ALL!S21</f>
        <v>0</v>
      </c>
      <c r="P84" s="16">
        <f>ALL!T21</f>
        <v>0</v>
      </c>
      <c r="Q84" s="16">
        <f>ALL!U21</f>
        <v>0</v>
      </c>
      <c r="R84" s="16">
        <f>ALL!V21</f>
        <v>0</v>
      </c>
      <c r="S84" s="16">
        <f>ALL!W21</f>
        <v>0</v>
      </c>
      <c r="T84" s="16">
        <f>ALL!X21</f>
        <v>0</v>
      </c>
      <c r="U84" s="16">
        <f>ALL!Y21</f>
        <v>0</v>
      </c>
      <c r="V84" s="16">
        <f>ALL!Z21</f>
        <v>0</v>
      </c>
      <c r="W84" s="16">
        <f>ALL!AA21</f>
        <v>0</v>
      </c>
      <c r="X84" s="16">
        <f>ALL!AB21</f>
        <v>0</v>
      </c>
      <c r="Y84" s="16">
        <f>ALL!AC21</f>
        <v>0</v>
      </c>
      <c r="Z84" s="16">
        <f>ALL!AD21</f>
        <v>0</v>
      </c>
      <c r="AA84" s="16">
        <f>ALL!AE21</f>
        <v>0</v>
      </c>
      <c r="AB84" s="16">
        <f>ALL!AF21</f>
        <v>0</v>
      </c>
      <c r="AC84" s="16">
        <f>ALL!AG21</f>
        <v>0</v>
      </c>
      <c r="AD84" s="16">
        <f>ALL!AH21</f>
        <v>0</v>
      </c>
      <c r="AE84" s="16">
        <f>ALL!AI21</f>
        <v>0</v>
      </c>
      <c r="AF84" s="16">
        <f>ALL!AJ21</f>
        <v>0</v>
      </c>
      <c r="AG84" s="16">
        <f>ALL!AK21</f>
        <v>0</v>
      </c>
      <c r="AH84" s="16">
        <f>ALL!AL21</f>
        <v>0</v>
      </c>
      <c r="AI84" s="16">
        <f>ALL!AM21</f>
        <v>0</v>
      </c>
      <c r="AJ84" s="16">
        <f>ALL!AN21</f>
        <v>0</v>
      </c>
      <c r="AK84" s="16">
        <f>ALL!AO21</f>
        <v>0</v>
      </c>
      <c r="AL84" s="16">
        <f>ALL!AP21</f>
        <v>0</v>
      </c>
      <c r="AM84" s="16">
        <f>ALL!AQ21</f>
        <v>0</v>
      </c>
      <c r="AN84" s="16">
        <f>ALL!AR21</f>
        <v>0</v>
      </c>
      <c r="AO84" s="16">
        <f>ALL!AS21</f>
        <v>0</v>
      </c>
      <c r="AP84" s="16">
        <f>ALL!AT21</f>
        <v>0</v>
      </c>
      <c r="AQ84" s="16">
        <f>ALL!AU21</f>
        <v>0</v>
      </c>
      <c r="AR84" s="16">
        <f>ALL!AV21</f>
        <v>0</v>
      </c>
      <c r="AS84" s="16">
        <f>ALL!AW21</f>
        <v>0</v>
      </c>
      <c r="AT84" s="16">
        <f>ALL!AX21</f>
        <v>0</v>
      </c>
      <c r="AU84" s="16">
        <f>ALL!AY21</f>
        <v>0</v>
      </c>
      <c r="AV84" s="16">
        <f>ALL!AZ21</f>
        <v>0</v>
      </c>
      <c r="AW84" s="16">
        <f>ALL!BA21</f>
        <v>0</v>
      </c>
      <c r="AX84" s="16">
        <f>ALL!BB21</f>
        <v>0</v>
      </c>
      <c r="AY84" s="16">
        <f>ALL!BC21</f>
        <v>0</v>
      </c>
      <c r="AZ84" s="16">
        <f>ALL!BD21</f>
        <v>0</v>
      </c>
      <c r="BA84" s="16">
        <f>ALL!BE21</f>
        <v>0</v>
      </c>
      <c r="BB84" s="16">
        <f>ALL!BF21</f>
        <v>0</v>
      </c>
      <c r="BC84" s="16">
        <f>ALL!BG21</f>
        <v>0</v>
      </c>
      <c r="BD84" s="16">
        <f>ALL!BH21</f>
        <v>0</v>
      </c>
      <c r="BE84" s="16">
        <f>ALL!BI21</f>
        <v>0</v>
      </c>
      <c r="BF84" s="16">
        <f>ALL!BJ21</f>
        <v>0</v>
      </c>
      <c r="BG84" s="16">
        <f>ALL!BK21</f>
        <v>0</v>
      </c>
      <c r="BH84" s="16">
        <f>ALL!BL21</f>
        <v>0</v>
      </c>
      <c r="BI84" s="16">
        <f>ALL!BM21</f>
        <v>0</v>
      </c>
      <c r="BJ84" s="16">
        <f>ALL!BN21</f>
        <v>0</v>
      </c>
      <c r="BK84" s="16">
        <f>ALL!BO21</f>
        <v>0</v>
      </c>
      <c r="BL84" s="16">
        <f>ALL!BP21</f>
        <v>0</v>
      </c>
      <c r="BM84" s="16">
        <f>ALL!BQ21</f>
        <v>0</v>
      </c>
      <c r="BN84" s="16">
        <f>ALL!BR21</f>
        <v>0</v>
      </c>
      <c r="BO84" s="16">
        <f>ALL!BS21</f>
        <v>0</v>
      </c>
      <c r="BP84" s="16">
        <f>ALL!BT21</f>
        <v>0</v>
      </c>
      <c r="BQ84" s="16">
        <f>ALL!BU21</f>
        <v>0</v>
      </c>
      <c r="BR84" s="16">
        <f>ALL!BV21</f>
        <v>0</v>
      </c>
      <c r="BS84" s="16">
        <f>ALL!BW21</f>
        <v>0</v>
      </c>
      <c r="BT84" s="16">
        <f>ALL!BX21</f>
        <v>0</v>
      </c>
    </row>
    <row r="85" spans="1:72" ht="21.75" hidden="1" outlineLevel="1" thickBot="1" x14ac:dyDescent="0.4">
      <c r="A85" s="88">
        <f>ALL!E22</f>
        <v>0</v>
      </c>
      <c r="B85" s="16">
        <f>ALL!F22</f>
        <v>0</v>
      </c>
      <c r="C85" s="16">
        <f>ALL!G22</f>
        <v>0</v>
      </c>
      <c r="D85" s="16">
        <f>ALL!H22</f>
        <v>0</v>
      </c>
      <c r="E85" s="16">
        <f>ALL!I22</f>
        <v>0</v>
      </c>
      <c r="F85" s="16">
        <f>ALL!J22</f>
        <v>0</v>
      </c>
      <c r="G85" s="16">
        <f>ALL!K22</f>
        <v>0</v>
      </c>
      <c r="H85" s="16">
        <f>ALL!L22</f>
        <v>0</v>
      </c>
      <c r="I85" s="16">
        <f>ALL!M22</f>
        <v>0</v>
      </c>
      <c r="J85" s="16">
        <f>ALL!N22</f>
        <v>0</v>
      </c>
      <c r="K85" s="16">
        <f>ALL!O22</f>
        <v>0</v>
      </c>
      <c r="L85" s="16">
        <f>ALL!P22</f>
        <v>0</v>
      </c>
      <c r="M85" s="16">
        <f>ALL!Q22</f>
        <v>0</v>
      </c>
      <c r="N85" s="16">
        <f>ALL!R22</f>
        <v>0</v>
      </c>
      <c r="O85" s="16">
        <f>ALL!S22</f>
        <v>0</v>
      </c>
      <c r="P85" s="16">
        <f>ALL!T22</f>
        <v>0</v>
      </c>
      <c r="Q85" s="16">
        <f>ALL!U22</f>
        <v>0</v>
      </c>
      <c r="R85" s="16">
        <f>ALL!V22</f>
        <v>0</v>
      </c>
      <c r="S85" s="16">
        <f>ALL!W22</f>
        <v>0</v>
      </c>
      <c r="T85" s="16">
        <f>ALL!X22</f>
        <v>0</v>
      </c>
      <c r="U85" s="16">
        <f>ALL!Y22</f>
        <v>0</v>
      </c>
      <c r="V85" s="16">
        <f>ALL!Z22</f>
        <v>0</v>
      </c>
      <c r="W85" s="16">
        <f>ALL!AA22</f>
        <v>0</v>
      </c>
      <c r="X85" s="16">
        <f>ALL!AB22</f>
        <v>0</v>
      </c>
      <c r="Y85" s="16">
        <f>ALL!AC22</f>
        <v>0</v>
      </c>
      <c r="Z85" s="16">
        <f>ALL!AD22</f>
        <v>0</v>
      </c>
      <c r="AA85" s="16">
        <f>ALL!AE22</f>
        <v>0</v>
      </c>
      <c r="AB85" s="16">
        <f>ALL!AF22</f>
        <v>0</v>
      </c>
      <c r="AC85" s="16">
        <f>ALL!AG22</f>
        <v>0</v>
      </c>
      <c r="AD85" s="16">
        <f>ALL!AH22</f>
        <v>0</v>
      </c>
      <c r="AE85" s="16">
        <f>ALL!AI22</f>
        <v>0</v>
      </c>
      <c r="AF85" s="16">
        <f>ALL!AJ22</f>
        <v>0</v>
      </c>
      <c r="AG85" s="16">
        <f>ALL!AK22</f>
        <v>0</v>
      </c>
      <c r="AH85" s="16">
        <f>ALL!AL22</f>
        <v>0</v>
      </c>
      <c r="AI85" s="16">
        <f>ALL!AM22</f>
        <v>0</v>
      </c>
      <c r="AJ85" s="16">
        <f>ALL!AN22</f>
        <v>0</v>
      </c>
      <c r="AK85" s="16">
        <f>ALL!AO22</f>
        <v>0</v>
      </c>
      <c r="AL85" s="16">
        <f>ALL!AP22</f>
        <v>0</v>
      </c>
      <c r="AM85" s="16">
        <f>ALL!AQ22</f>
        <v>0</v>
      </c>
      <c r="AN85" s="16">
        <f>ALL!AR22</f>
        <v>0</v>
      </c>
      <c r="AO85" s="16">
        <f>ALL!AS22</f>
        <v>0</v>
      </c>
      <c r="AP85" s="16">
        <f>ALL!AT22</f>
        <v>0</v>
      </c>
      <c r="AQ85" s="16">
        <f>ALL!AU22</f>
        <v>0</v>
      </c>
      <c r="AR85" s="16">
        <f>ALL!AV22</f>
        <v>0</v>
      </c>
      <c r="AS85" s="16">
        <f>ALL!AW22</f>
        <v>0</v>
      </c>
      <c r="AT85" s="16">
        <f>ALL!AX22</f>
        <v>0</v>
      </c>
      <c r="AU85" s="16">
        <f>ALL!AY22</f>
        <v>0</v>
      </c>
      <c r="AV85" s="16">
        <f>ALL!AZ22</f>
        <v>0</v>
      </c>
      <c r="AW85" s="16">
        <f>ALL!BA22</f>
        <v>0</v>
      </c>
      <c r="AX85" s="16">
        <f>ALL!BB22</f>
        <v>0</v>
      </c>
      <c r="AY85" s="16">
        <f>ALL!BC22</f>
        <v>0</v>
      </c>
      <c r="AZ85" s="16">
        <f>ALL!BD22</f>
        <v>0</v>
      </c>
      <c r="BA85" s="16">
        <f>ALL!BE22</f>
        <v>0</v>
      </c>
      <c r="BB85" s="16">
        <f>ALL!BF22</f>
        <v>0</v>
      </c>
      <c r="BC85" s="16">
        <f>ALL!BG22</f>
        <v>0</v>
      </c>
      <c r="BD85" s="16">
        <f>ALL!BH22</f>
        <v>0</v>
      </c>
      <c r="BE85" s="16">
        <f>ALL!BI22</f>
        <v>0</v>
      </c>
      <c r="BF85" s="16">
        <f>ALL!BJ22</f>
        <v>0</v>
      </c>
      <c r="BG85" s="16">
        <f>ALL!BK22</f>
        <v>0</v>
      </c>
      <c r="BH85" s="16">
        <f>ALL!BL22</f>
        <v>0</v>
      </c>
      <c r="BI85" s="16">
        <f>ALL!BM22</f>
        <v>0</v>
      </c>
      <c r="BJ85" s="16">
        <f>ALL!BN22</f>
        <v>0</v>
      </c>
      <c r="BK85" s="16">
        <f>ALL!BO22</f>
        <v>0</v>
      </c>
      <c r="BL85" s="16">
        <f>ALL!BP22</f>
        <v>0</v>
      </c>
      <c r="BM85" s="16">
        <f>ALL!BQ22</f>
        <v>0</v>
      </c>
      <c r="BN85" s="16">
        <f>ALL!BR22</f>
        <v>0</v>
      </c>
      <c r="BO85" s="16">
        <f>ALL!BS22</f>
        <v>0</v>
      </c>
      <c r="BP85" s="16">
        <f>ALL!BT22</f>
        <v>0</v>
      </c>
      <c r="BQ85" s="16">
        <f>ALL!BU22</f>
        <v>0</v>
      </c>
      <c r="BR85" s="16">
        <f>ALL!BV22</f>
        <v>0</v>
      </c>
      <c r="BS85" s="16">
        <f>ALL!BW22</f>
        <v>0</v>
      </c>
      <c r="BT85" s="16">
        <f>ALL!BX22</f>
        <v>0</v>
      </c>
    </row>
    <row r="86" spans="1:72" ht="21.75" hidden="1" outlineLevel="1" thickBot="1" x14ac:dyDescent="0.4">
      <c r="A86" s="88">
        <f>ALL!E23</f>
        <v>0</v>
      </c>
      <c r="B86" s="16">
        <f>ALL!F23</f>
        <v>0</v>
      </c>
      <c r="C86" s="16">
        <f>ALL!G23</f>
        <v>0</v>
      </c>
      <c r="D86" s="16">
        <f>ALL!H23</f>
        <v>0</v>
      </c>
      <c r="E86" s="16">
        <f>ALL!I23</f>
        <v>0</v>
      </c>
      <c r="F86" s="16">
        <f>ALL!J23</f>
        <v>0</v>
      </c>
      <c r="G86" s="16">
        <f>ALL!K23</f>
        <v>0</v>
      </c>
      <c r="H86" s="16">
        <f>ALL!L23</f>
        <v>0</v>
      </c>
      <c r="I86" s="16">
        <f>ALL!M23</f>
        <v>0</v>
      </c>
      <c r="J86" s="16">
        <f>ALL!N23</f>
        <v>0</v>
      </c>
      <c r="K86" s="16">
        <f>ALL!O23</f>
        <v>0</v>
      </c>
      <c r="L86" s="16">
        <f>ALL!P23</f>
        <v>0</v>
      </c>
      <c r="M86" s="16">
        <f>ALL!Q23</f>
        <v>0</v>
      </c>
      <c r="N86" s="16">
        <f>ALL!R23</f>
        <v>0</v>
      </c>
      <c r="O86" s="16">
        <f>ALL!S23</f>
        <v>0</v>
      </c>
      <c r="P86" s="16">
        <f>ALL!T23</f>
        <v>0</v>
      </c>
      <c r="Q86" s="16">
        <f>ALL!U23</f>
        <v>0</v>
      </c>
      <c r="R86" s="16">
        <f>ALL!V23</f>
        <v>0</v>
      </c>
      <c r="S86" s="16">
        <f>ALL!W23</f>
        <v>0</v>
      </c>
      <c r="T86" s="16">
        <f>ALL!X23</f>
        <v>0</v>
      </c>
      <c r="U86" s="16">
        <f>ALL!Y23</f>
        <v>0</v>
      </c>
      <c r="V86" s="16">
        <f>ALL!Z23</f>
        <v>0</v>
      </c>
      <c r="W86" s="16">
        <f>ALL!AA23</f>
        <v>0</v>
      </c>
      <c r="X86" s="16">
        <f>ALL!AB23</f>
        <v>0</v>
      </c>
      <c r="Y86" s="16">
        <f>ALL!AC23</f>
        <v>0</v>
      </c>
      <c r="Z86" s="16">
        <f>ALL!AD23</f>
        <v>0</v>
      </c>
      <c r="AA86" s="16">
        <f>ALL!AE23</f>
        <v>0</v>
      </c>
      <c r="AB86" s="16">
        <f>ALL!AF23</f>
        <v>0</v>
      </c>
      <c r="AC86" s="16">
        <f>ALL!AG23</f>
        <v>0</v>
      </c>
      <c r="AD86" s="16">
        <f>ALL!AH23</f>
        <v>0</v>
      </c>
      <c r="AE86" s="16">
        <f>ALL!AI23</f>
        <v>0</v>
      </c>
      <c r="AF86" s="16">
        <f>ALL!AJ23</f>
        <v>0</v>
      </c>
      <c r="AG86" s="16">
        <f>ALL!AK23</f>
        <v>0</v>
      </c>
      <c r="AH86" s="16">
        <f>ALL!AL23</f>
        <v>0</v>
      </c>
      <c r="AI86" s="16">
        <f>ALL!AM23</f>
        <v>0</v>
      </c>
      <c r="AJ86" s="16">
        <f>ALL!AN23</f>
        <v>0</v>
      </c>
      <c r="AK86" s="16">
        <f>ALL!AO23</f>
        <v>0</v>
      </c>
      <c r="AL86" s="16">
        <f>ALL!AP23</f>
        <v>0</v>
      </c>
      <c r="AM86" s="16">
        <f>ALL!AQ23</f>
        <v>0</v>
      </c>
      <c r="AN86" s="16">
        <f>ALL!AR23</f>
        <v>0</v>
      </c>
      <c r="AO86" s="16">
        <f>ALL!AS23</f>
        <v>0</v>
      </c>
      <c r="AP86" s="16">
        <f>ALL!AT23</f>
        <v>0</v>
      </c>
      <c r="AQ86" s="16">
        <f>ALL!AU23</f>
        <v>0</v>
      </c>
      <c r="AR86" s="16">
        <f>ALL!AV23</f>
        <v>0</v>
      </c>
      <c r="AS86" s="16">
        <f>ALL!AW23</f>
        <v>0</v>
      </c>
      <c r="AT86" s="16">
        <f>ALL!AX23</f>
        <v>0</v>
      </c>
      <c r="AU86" s="16">
        <f>ALL!AY23</f>
        <v>0</v>
      </c>
      <c r="AV86" s="16">
        <f>ALL!AZ23</f>
        <v>0</v>
      </c>
      <c r="AW86" s="16">
        <f>ALL!BA23</f>
        <v>0</v>
      </c>
      <c r="AX86" s="16">
        <f>ALL!BB23</f>
        <v>0</v>
      </c>
      <c r="AY86" s="16">
        <f>ALL!BC23</f>
        <v>0</v>
      </c>
      <c r="AZ86" s="16">
        <f>ALL!BD23</f>
        <v>0</v>
      </c>
      <c r="BA86" s="16">
        <f>ALL!BE23</f>
        <v>0</v>
      </c>
      <c r="BB86" s="16">
        <f>ALL!BF23</f>
        <v>0</v>
      </c>
      <c r="BC86" s="16">
        <f>ALL!BG23</f>
        <v>0</v>
      </c>
      <c r="BD86" s="16">
        <f>ALL!BH23</f>
        <v>0</v>
      </c>
      <c r="BE86" s="16">
        <f>ALL!BI23</f>
        <v>0</v>
      </c>
      <c r="BF86" s="16">
        <f>ALL!BJ23</f>
        <v>0</v>
      </c>
      <c r="BG86" s="16">
        <f>ALL!BK23</f>
        <v>0</v>
      </c>
      <c r="BH86" s="16">
        <f>ALL!BL23</f>
        <v>0</v>
      </c>
      <c r="BI86" s="16">
        <f>ALL!BM23</f>
        <v>0</v>
      </c>
      <c r="BJ86" s="16">
        <f>ALL!BN23</f>
        <v>0</v>
      </c>
      <c r="BK86" s="16">
        <f>ALL!BO23</f>
        <v>0</v>
      </c>
      <c r="BL86" s="16">
        <f>ALL!BP23</f>
        <v>0</v>
      </c>
      <c r="BM86" s="16">
        <f>ALL!BQ23</f>
        <v>0</v>
      </c>
      <c r="BN86" s="16">
        <f>ALL!BR23</f>
        <v>0</v>
      </c>
      <c r="BO86" s="16">
        <f>ALL!BS23</f>
        <v>0</v>
      </c>
      <c r="BP86" s="16">
        <f>ALL!BT23</f>
        <v>0</v>
      </c>
      <c r="BQ86" s="16">
        <f>ALL!BU23</f>
        <v>0</v>
      </c>
      <c r="BR86" s="16">
        <f>ALL!BV23</f>
        <v>0</v>
      </c>
      <c r="BS86" s="16">
        <f>ALL!BW23</f>
        <v>0</v>
      </c>
      <c r="BT86" s="16">
        <f>ALL!BX23</f>
        <v>0</v>
      </c>
    </row>
    <row r="87" spans="1:72" ht="21.75" hidden="1" outlineLevel="1" thickBot="1" x14ac:dyDescent="0.4">
      <c r="A87" s="88">
        <f>ALL!E24</f>
        <v>0</v>
      </c>
      <c r="B87" s="16">
        <f>ALL!F24</f>
        <v>0</v>
      </c>
      <c r="C87" s="16">
        <f>ALL!G24</f>
        <v>0</v>
      </c>
      <c r="D87" s="16">
        <f>ALL!H24</f>
        <v>0</v>
      </c>
      <c r="E87" s="16">
        <f>ALL!I24</f>
        <v>0</v>
      </c>
      <c r="F87" s="16">
        <f>ALL!J24</f>
        <v>0</v>
      </c>
      <c r="G87" s="16">
        <f>ALL!K24</f>
        <v>0</v>
      </c>
      <c r="H87" s="16">
        <f>ALL!L24</f>
        <v>0</v>
      </c>
      <c r="I87" s="16">
        <f>ALL!M24</f>
        <v>0</v>
      </c>
      <c r="J87" s="16">
        <f>ALL!N24</f>
        <v>0</v>
      </c>
      <c r="K87" s="16">
        <f>ALL!O24</f>
        <v>0</v>
      </c>
      <c r="L87" s="16">
        <f>ALL!P24</f>
        <v>0</v>
      </c>
      <c r="M87" s="16">
        <f>ALL!Q24</f>
        <v>0</v>
      </c>
      <c r="N87" s="16">
        <f>ALL!R24</f>
        <v>0</v>
      </c>
      <c r="O87" s="16">
        <f>ALL!S24</f>
        <v>0</v>
      </c>
      <c r="P87" s="16">
        <f>ALL!T24</f>
        <v>0</v>
      </c>
      <c r="Q87" s="16">
        <f>ALL!U24</f>
        <v>0</v>
      </c>
      <c r="R87" s="16">
        <f>ALL!V24</f>
        <v>0</v>
      </c>
      <c r="S87" s="16">
        <f>ALL!W24</f>
        <v>0</v>
      </c>
      <c r="T87" s="16">
        <f>ALL!X24</f>
        <v>0</v>
      </c>
      <c r="U87" s="16">
        <f>ALL!Y24</f>
        <v>0</v>
      </c>
      <c r="V87" s="16">
        <f>ALL!Z24</f>
        <v>0</v>
      </c>
      <c r="W87" s="16">
        <f>ALL!AA24</f>
        <v>0</v>
      </c>
      <c r="X87" s="16">
        <f>ALL!AB24</f>
        <v>0</v>
      </c>
      <c r="Y87" s="16">
        <f>ALL!AC24</f>
        <v>0</v>
      </c>
      <c r="Z87" s="16">
        <f>ALL!AD24</f>
        <v>0</v>
      </c>
      <c r="AA87" s="16">
        <f>ALL!AE24</f>
        <v>0</v>
      </c>
      <c r="AB87" s="16">
        <f>ALL!AF24</f>
        <v>0</v>
      </c>
      <c r="AC87" s="16">
        <f>ALL!AG24</f>
        <v>0</v>
      </c>
      <c r="AD87" s="16">
        <f>ALL!AH24</f>
        <v>0</v>
      </c>
      <c r="AE87" s="16">
        <f>ALL!AI24</f>
        <v>0</v>
      </c>
      <c r="AF87" s="16">
        <f>ALL!AJ24</f>
        <v>0</v>
      </c>
      <c r="AG87" s="16">
        <f>ALL!AK24</f>
        <v>0</v>
      </c>
      <c r="AH87" s="16">
        <f>ALL!AL24</f>
        <v>0</v>
      </c>
      <c r="AI87" s="16">
        <f>ALL!AM24</f>
        <v>0</v>
      </c>
      <c r="AJ87" s="16">
        <f>ALL!AN24</f>
        <v>0</v>
      </c>
      <c r="AK87" s="16">
        <f>ALL!AO24</f>
        <v>0</v>
      </c>
      <c r="AL87" s="16">
        <f>ALL!AP24</f>
        <v>0</v>
      </c>
      <c r="AM87" s="16">
        <f>ALL!AQ24</f>
        <v>0</v>
      </c>
      <c r="AN87" s="16">
        <f>ALL!AR24</f>
        <v>0</v>
      </c>
      <c r="AO87" s="16">
        <f>ALL!AS24</f>
        <v>0</v>
      </c>
      <c r="AP87" s="16">
        <f>ALL!AT24</f>
        <v>0</v>
      </c>
      <c r="AQ87" s="16">
        <f>ALL!AU24</f>
        <v>0</v>
      </c>
      <c r="AR87" s="16">
        <f>ALL!AV24</f>
        <v>0</v>
      </c>
      <c r="AS87" s="16">
        <f>ALL!AW24</f>
        <v>0</v>
      </c>
      <c r="AT87" s="16">
        <f>ALL!AX24</f>
        <v>0</v>
      </c>
      <c r="AU87" s="16">
        <f>ALL!AY24</f>
        <v>0</v>
      </c>
      <c r="AV87" s="16">
        <f>ALL!AZ24</f>
        <v>0</v>
      </c>
      <c r="AW87" s="16">
        <f>ALL!BA24</f>
        <v>0</v>
      </c>
      <c r="AX87" s="16">
        <f>ALL!BB24</f>
        <v>0</v>
      </c>
      <c r="AY87" s="16">
        <f>ALL!BC24</f>
        <v>0</v>
      </c>
      <c r="AZ87" s="16">
        <f>ALL!BD24</f>
        <v>0</v>
      </c>
      <c r="BA87" s="16">
        <f>ALL!BE24</f>
        <v>0</v>
      </c>
      <c r="BB87" s="16">
        <f>ALL!BF24</f>
        <v>0</v>
      </c>
      <c r="BC87" s="16">
        <f>ALL!BG24</f>
        <v>0</v>
      </c>
      <c r="BD87" s="16">
        <f>ALL!BH24</f>
        <v>0</v>
      </c>
      <c r="BE87" s="16">
        <f>ALL!BI24</f>
        <v>0</v>
      </c>
      <c r="BF87" s="16">
        <f>ALL!BJ24</f>
        <v>0</v>
      </c>
      <c r="BG87" s="16">
        <f>ALL!BK24</f>
        <v>0</v>
      </c>
      <c r="BH87" s="16">
        <f>ALL!BL24</f>
        <v>0</v>
      </c>
      <c r="BI87" s="16">
        <f>ALL!BM24</f>
        <v>0</v>
      </c>
      <c r="BJ87" s="16">
        <f>ALL!BN24</f>
        <v>0</v>
      </c>
      <c r="BK87" s="16">
        <f>ALL!BO24</f>
        <v>0</v>
      </c>
      <c r="BL87" s="16">
        <f>ALL!BP24</f>
        <v>0</v>
      </c>
      <c r="BM87" s="16">
        <f>ALL!BQ24</f>
        <v>0</v>
      </c>
      <c r="BN87" s="16">
        <f>ALL!BR24</f>
        <v>0</v>
      </c>
      <c r="BO87" s="16">
        <f>ALL!BS24</f>
        <v>0</v>
      </c>
      <c r="BP87" s="16">
        <f>ALL!BT24</f>
        <v>0</v>
      </c>
      <c r="BQ87" s="16">
        <f>ALL!BU24</f>
        <v>0</v>
      </c>
      <c r="BR87" s="16">
        <f>ALL!BV24</f>
        <v>0</v>
      </c>
      <c r="BS87" s="16">
        <f>ALL!BW24</f>
        <v>0</v>
      </c>
      <c r="BT87" s="16">
        <f>ALL!BX24</f>
        <v>0</v>
      </c>
    </row>
    <row r="88" spans="1:72" ht="21.75" hidden="1" outlineLevel="1" thickBot="1" x14ac:dyDescent="0.4">
      <c r="A88" s="88">
        <f>ALL!E25</f>
        <v>0</v>
      </c>
      <c r="B88" s="16">
        <f>ALL!F25</f>
        <v>0</v>
      </c>
      <c r="C88" s="16">
        <f>ALL!G25</f>
        <v>0</v>
      </c>
      <c r="D88" s="16">
        <f>ALL!H25</f>
        <v>0</v>
      </c>
      <c r="E88" s="16">
        <f>ALL!I25</f>
        <v>0</v>
      </c>
      <c r="F88" s="16">
        <f>ALL!J25</f>
        <v>0</v>
      </c>
      <c r="G88" s="16">
        <f>ALL!K25</f>
        <v>0</v>
      </c>
      <c r="H88" s="16">
        <f>ALL!L25</f>
        <v>0</v>
      </c>
      <c r="I88" s="16">
        <f>ALL!M25</f>
        <v>0</v>
      </c>
      <c r="J88" s="16">
        <f>ALL!N25</f>
        <v>0</v>
      </c>
      <c r="K88" s="16">
        <f>ALL!O25</f>
        <v>0</v>
      </c>
      <c r="L88" s="16">
        <f>ALL!P25</f>
        <v>0</v>
      </c>
      <c r="M88" s="16">
        <f>ALL!Q25</f>
        <v>0</v>
      </c>
      <c r="N88" s="16">
        <f>ALL!R25</f>
        <v>0</v>
      </c>
      <c r="O88" s="16">
        <f>ALL!S25</f>
        <v>0</v>
      </c>
      <c r="P88" s="16">
        <f>ALL!T25</f>
        <v>0</v>
      </c>
      <c r="Q88" s="16">
        <f>ALL!U25</f>
        <v>0</v>
      </c>
      <c r="R88" s="16">
        <f>ALL!V25</f>
        <v>0</v>
      </c>
      <c r="S88" s="16">
        <f>ALL!W25</f>
        <v>0</v>
      </c>
      <c r="T88" s="16">
        <f>ALL!X25</f>
        <v>0</v>
      </c>
      <c r="U88" s="16">
        <f>ALL!Y25</f>
        <v>0</v>
      </c>
      <c r="V88" s="16">
        <f>ALL!Z25</f>
        <v>0</v>
      </c>
      <c r="W88" s="16">
        <f>ALL!AA25</f>
        <v>0</v>
      </c>
      <c r="X88" s="16">
        <f>ALL!AB25</f>
        <v>0</v>
      </c>
      <c r="Y88" s="16">
        <f>ALL!AC25</f>
        <v>0</v>
      </c>
      <c r="Z88" s="16">
        <f>ALL!AD25</f>
        <v>0</v>
      </c>
      <c r="AA88" s="16">
        <f>ALL!AE25</f>
        <v>0</v>
      </c>
      <c r="AB88" s="16">
        <f>ALL!AF25</f>
        <v>0</v>
      </c>
      <c r="AC88" s="16">
        <f>ALL!AG25</f>
        <v>0</v>
      </c>
      <c r="AD88" s="16">
        <f>ALL!AH25</f>
        <v>0</v>
      </c>
      <c r="AE88" s="16">
        <f>ALL!AI25</f>
        <v>0</v>
      </c>
      <c r="AF88" s="16">
        <f>ALL!AJ25</f>
        <v>0</v>
      </c>
      <c r="AG88" s="16">
        <f>ALL!AK25</f>
        <v>0</v>
      </c>
      <c r="AH88" s="16">
        <f>ALL!AL25</f>
        <v>0</v>
      </c>
      <c r="AI88" s="16">
        <f>ALL!AM25</f>
        <v>0</v>
      </c>
      <c r="AJ88" s="16">
        <f>ALL!AN25</f>
        <v>0</v>
      </c>
      <c r="AK88" s="16">
        <f>ALL!AO25</f>
        <v>0</v>
      </c>
      <c r="AL88" s="16">
        <f>ALL!AP25</f>
        <v>0</v>
      </c>
      <c r="AM88" s="16">
        <f>ALL!AQ25</f>
        <v>0</v>
      </c>
      <c r="AN88" s="16">
        <f>ALL!AR25</f>
        <v>0</v>
      </c>
      <c r="AO88" s="16">
        <f>ALL!AS25</f>
        <v>0</v>
      </c>
      <c r="AP88" s="16">
        <f>ALL!AT25</f>
        <v>0</v>
      </c>
      <c r="AQ88" s="16">
        <f>ALL!AU25</f>
        <v>0</v>
      </c>
      <c r="AR88" s="16">
        <f>ALL!AV25</f>
        <v>0</v>
      </c>
      <c r="AS88" s="16">
        <f>ALL!AW25</f>
        <v>0</v>
      </c>
      <c r="AT88" s="16">
        <f>ALL!AX25</f>
        <v>0</v>
      </c>
      <c r="AU88" s="16">
        <f>ALL!AY25</f>
        <v>0</v>
      </c>
      <c r="AV88" s="16">
        <f>ALL!AZ25</f>
        <v>0</v>
      </c>
      <c r="AW88" s="16">
        <f>ALL!BA25</f>
        <v>0</v>
      </c>
      <c r="AX88" s="16">
        <f>ALL!BB25</f>
        <v>0</v>
      </c>
      <c r="AY88" s="16">
        <f>ALL!BC25</f>
        <v>0</v>
      </c>
      <c r="AZ88" s="16">
        <f>ALL!BD25</f>
        <v>0</v>
      </c>
      <c r="BA88" s="16">
        <f>ALL!BE25</f>
        <v>0</v>
      </c>
      <c r="BB88" s="16">
        <f>ALL!BF25</f>
        <v>0</v>
      </c>
      <c r="BC88" s="16">
        <f>ALL!BG25</f>
        <v>0</v>
      </c>
      <c r="BD88" s="16">
        <f>ALL!BH25</f>
        <v>0</v>
      </c>
      <c r="BE88" s="16">
        <f>ALL!BI25</f>
        <v>0</v>
      </c>
      <c r="BF88" s="16">
        <f>ALL!BJ25</f>
        <v>0</v>
      </c>
      <c r="BG88" s="16">
        <f>ALL!BK25</f>
        <v>0</v>
      </c>
      <c r="BH88" s="16">
        <f>ALL!BL25</f>
        <v>0</v>
      </c>
      <c r="BI88" s="16">
        <f>ALL!BM25</f>
        <v>0</v>
      </c>
      <c r="BJ88" s="16">
        <f>ALL!BN25</f>
        <v>0</v>
      </c>
      <c r="BK88" s="16">
        <f>ALL!BO25</f>
        <v>0</v>
      </c>
      <c r="BL88" s="16">
        <f>ALL!BP25</f>
        <v>0</v>
      </c>
      <c r="BM88" s="16">
        <f>ALL!BQ25</f>
        <v>0</v>
      </c>
      <c r="BN88" s="16">
        <f>ALL!BR25</f>
        <v>0</v>
      </c>
      <c r="BO88" s="16">
        <f>ALL!BS25</f>
        <v>0</v>
      </c>
      <c r="BP88" s="16">
        <f>ALL!BT25</f>
        <v>0</v>
      </c>
      <c r="BQ88" s="16">
        <f>ALL!BU25</f>
        <v>0</v>
      </c>
      <c r="BR88" s="16">
        <f>ALL!BV25</f>
        <v>0</v>
      </c>
      <c r="BS88" s="16">
        <f>ALL!BW25</f>
        <v>0</v>
      </c>
      <c r="BT88" s="16">
        <f>ALL!BX25</f>
        <v>0</v>
      </c>
    </row>
    <row r="89" spans="1:72" ht="21.75" hidden="1" outlineLevel="1" thickBot="1" x14ac:dyDescent="0.4">
      <c r="A89" s="88">
        <f>ALL!E26</f>
        <v>0</v>
      </c>
      <c r="B89" s="16">
        <f>ALL!F26</f>
        <v>0</v>
      </c>
      <c r="C89" s="16">
        <f>ALL!G26</f>
        <v>0</v>
      </c>
      <c r="D89" s="16">
        <f>ALL!H26</f>
        <v>0</v>
      </c>
      <c r="E89" s="16">
        <f>ALL!I26</f>
        <v>0</v>
      </c>
      <c r="F89" s="16">
        <f>ALL!J26</f>
        <v>0</v>
      </c>
      <c r="G89" s="16">
        <f>ALL!K26</f>
        <v>0</v>
      </c>
      <c r="H89" s="16">
        <f>ALL!L26</f>
        <v>0</v>
      </c>
      <c r="I89" s="16">
        <f>ALL!M26</f>
        <v>0</v>
      </c>
      <c r="J89" s="16">
        <f>ALL!N26</f>
        <v>0</v>
      </c>
      <c r="K89" s="16">
        <f>ALL!O26</f>
        <v>0</v>
      </c>
      <c r="L89" s="16">
        <f>ALL!P26</f>
        <v>0</v>
      </c>
      <c r="M89" s="16">
        <f>ALL!Q26</f>
        <v>0</v>
      </c>
      <c r="N89" s="16">
        <f>ALL!R26</f>
        <v>0</v>
      </c>
      <c r="O89" s="16">
        <f>ALL!S26</f>
        <v>0</v>
      </c>
      <c r="P89" s="16">
        <f>ALL!T26</f>
        <v>0</v>
      </c>
      <c r="Q89" s="16">
        <f>ALL!U26</f>
        <v>0</v>
      </c>
      <c r="R89" s="16">
        <f>ALL!V26</f>
        <v>0</v>
      </c>
      <c r="S89" s="16">
        <f>ALL!W26</f>
        <v>0</v>
      </c>
      <c r="T89" s="16">
        <f>ALL!X26</f>
        <v>0</v>
      </c>
      <c r="U89" s="16">
        <f>ALL!Y26</f>
        <v>0</v>
      </c>
      <c r="V89" s="16">
        <f>ALL!Z26</f>
        <v>0</v>
      </c>
      <c r="W89" s="16">
        <f>ALL!AA26</f>
        <v>0</v>
      </c>
      <c r="X89" s="16">
        <f>ALL!AB26</f>
        <v>0</v>
      </c>
      <c r="Y89" s="16">
        <f>ALL!AC26</f>
        <v>0</v>
      </c>
      <c r="Z89" s="16">
        <f>ALL!AD26</f>
        <v>0</v>
      </c>
      <c r="AA89" s="16">
        <f>ALL!AE26</f>
        <v>0</v>
      </c>
      <c r="AB89" s="16">
        <f>ALL!AF26</f>
        <v>0</v>
      </c>
      <c r="AC89" s="16">
        <f>ALL!AG26</f>
        <v>0</v>
      </c>
      <c r="AD89" s="16">
        <f>ALL!AH26</f>
        <v>0</v>
      </c>
      <c r="AE89" s="16">
        <f>ALL!AI26</f>
        <v>0</v>
      </c>
      <c r="AF89" s="16">
        <f>ALL!AJ26</f>
        <v>0</v>
      </c>
      <c r="AG89" s="16">
        <f>ALL!AK26</f>
        <v>0</v>
      </c>
      <c r="AH89" s="16">
        <f>ALL!AL26</f>
        <v>0</v>
      </c>
      <c r="AI89" s="16">
        <f>ALL!AM26</f>
        <v>0</v>
      </c>
      <c r="AJ89" s="16">
        <f>ALL!AN26</f>
        <v>0</v>
      </c>
      <c r="AK89" s="16">
        <f>ALL!AO26</f>
        <v>0</v>
      </c>
      <c r="AL89" s="16">
        <f>ALL!AP26</f>
        <v>0</v>
      </c>
      <c r="AM89" s="16">
        <f>ALL!AQ26</f>
        <v>0</v>
      </c>
      <c r="AN89" s="16">
        <f>ALL!AR26</f>
        <v>0</v>
      </c>
      <c r="AO89" s="16">
        <f>ALL!AS26</f>
        <v>0</v>
      </c>
      <c r="AP89" s="16">
        <f>ALL!AT26</f>
        <v>0</v>
      </c>
      <c r="AQ89" s="16">
        <f>ALL!AU26</f>
        <v>0</v>
      </c>
      <c r="AR89" s="16">
        <f>ALL!AV26</f>
        <v>0</v>
      </c>
      <c r="AS89" s="16">
        <f>ALL!AW26</f>
        <v>0</v>
      </c>
      <c r="AT89" s="16">
        <f>ALL!AX26</f>
        <v>0</v>
      </c>
      <c r="AU89" s="16">
        <f>ALL!AY26</f>
        <v>0</v>
      </c>
      <c r="AV89" s="16">
        <f>ALL!AZ26</f>
        <v>0</v>
      </c>
      <c r="AW89" s="16">
        <f>ALL!BA26</f>
        <v>0</v>
      </c>
      <c r="AX89" s="16">
        <f>ALL!BB26</f>
        <v>0</v>
      </c>
      <c r="AY89" s="16">
        <f>ALL!BC26</f>
        <v>0</v>
      </c>
      <c r="AZ89" s="16">
        <f>ALL!BD26</f>
        <v>0</v>
      </c>
      <c r="BA89" s="16">
        <f>ALL!BE26</f>
        <v>0</v>
      </c>
      <c r="BB89" s="16">
        <f>ALL!BF26</f>
        <v>0</v>
      </c>
      <c r="BC89" s="16">
        <f>ALL!BG26</f>
        <v>0</v>
      </c>
      <c r="BD89" s="16">
        <f>ALL!BH26</f>
        <v>0</v>
      </c>
      <c r="BE89" s="16">
        <f>ALL!BI26</f>
        <v>0</v>
      </c>
      <c r="BF89" s="16">
        <f>ALL!BJ26</f>
        <v>0</v>
      </c>
      <c r="BG89" s="16">
        <f>ALL!BK26</f>
        <v>0</v>
      </c>
      <c r="BH89" s="16">
        <f>ALL!BL26</f>
        <v>0</v>
      </c>
      <c r="BI89" s="16">
        <f>ALL!BM26</f>
        <v>0</v>
      </c>
      <c r="BJ89" s="16">
        <f>ALL!BN26</f>
        <v>0</v>
      </c>
      <c r="BK89" s="16">
        <f>ALL!BO26</f>
        <v>0</v>
      </c>
      <c r="BL89" s="16">
        <f>ALL!BP26</f>
        <v>0</v>
      </c>
      <c r="BM89" s="16">
        <f>ALL!BQ26</f>
        <v>0</v>
      </c>
      <c r="BN89" s="16">
        <f>ALL!BR26</f>
        <v>0</v>
      </c>
      <c r="BO89" s="16">
        <f>ALL!BS26</f>
        <v>0</v>
      </c>
      <c r="BP89" s="16">
        <f>ALL!BT26</f>
        <v>0</v>
      </c>
      <c r="BQ89" s="16">
        <f>ALL!BU26</f>
        <v>0</v>
      </c>
      <c r="BR89" s="16">
        <f>ALL!BV26</f>
        <v>0</v>
      </c>
      <c r="BS89" s="16">
        <f>ALL!BW26</f>
        <v>0</v>
      </c>
      <c r="BT89" s="16">
        <f>ALL!BX26</f>
        <v>0</v>
      </c>
    </row>
    <row r="90" spans="1:72" ht="21.75" hidden="1" outlineLevel="1" thickBot="1" x14ac:dyDescent="0.4">
      <c r="A90" s="88">
        <f>ALL!E27</f>
        <v>0</v>
      </c>
      <c r="B90" s="16">
        <f>ALL!F27</f>
        <v>0</v>
      </c>
      <c r="C90" s="16">
        <f>ALL!G27</f>
        <v>0</v>
      </c>
      <c r="D90" s="16">
        <f>ALL!H27</f>
        <v>0</v>
      </c>
      <c r="E90" s="16">
        <f>ALL!I27</f>
        <v>0</v>
      </c>
      <c r="F90" s="16">
        <f>ALL!J27</f>
        <v>0</v>
      </c>
      <c r="G90" s="16">
        <f>ALL!K27</f>
        <v>0</v>
      </c>
      <c r="H90" s="16">
        <f>ALL!L27</f>
        <v>0</v>
      </c>
      <c r="I90" s="16">
        <f>ALL!M27</f>
        <v>0</v>
      </c>
      <c r="J90" s="16">
        <f>ALL!N27</f>
        <v>0</v>
      </c>
      <c r="K90" s="16">
        <f>ALL!O27</f>
        <v>0</v>
      </c>
      <c r="L90" s="16">
        <f>ALL!P27</f>
        <v>0</v>
      </c>
      <c r="M90" s="16">
        <f>ALL!Q27</f>
        <v>0</v>
      </c>
      <c r="N90" s="16">
        <f>ALL!R27</f>
        <v>0</v>
      </c>
      <c r="O90" s="16">
        <f>ALL!S27</f>
        <v>0</v>
      </c>
      <c r="P90" s="16">
        <f>ALL!T27</f>
        <v>0</v>
      </c>
      <c r="Q90" s="16">
        <f>ALL!U27</f>
        <v>0</v>
      </c>
      <c r="R90" s="16">
        <f>ALL!V27</f>
        <v>0</v>
      </c>
      <c r="S90" s="16">
        <f>ALL!W27</f>
        <v>0</v>
      </c>
      <c r="T90" s="16">
        <f>ALL!X27</f>
        <v>0</v>
      </c>
      <c r="U90" s="16">
        <f>ALL!Y27</f>
        <v>0</v>
      </c>
      <c r="V90" s="16">
        <f>ALL!Z27</f>
        <v>0</v>
      </c>
      <c r="W90" s="16">
        <f>ALL!AA27</f>
        <v>0</v>
      </c>
      <c r="X90" s="16">
        <f>ALL!AB27</f>
        <v>0</v>
      </c>
      <c r="Y90" s="16">
        <f>ALL!AC27</f>
        <v>0</v>
      </c>
      <c r="Z90" s="16">
        <f>ALL!AD27</f>
        <v>0</v>
      </c>
      <c r="AA90" s="16">
        <f>ALL!AE27</f>
        <v>0</v>
      </c>
      <c r="AB90" s="16">
        <f>ALL!AF27</f>
        <v>0</v>
      </c>
      <c r="AC90" s="16">
        <f>ALL!AG27</f>
        <v>0</v>
      </c>
      <c r="AD90" s="16">
        <f>ALL!AH27</f>
        <v>0</v>
      </c>
      <c r="AE90" s="16">
        <f>ALL!AI27</f>
        <v>0</v>
      </c>
      <c r="AF90" s="16">
        <f>ALL!AJ27</f>
        <v>0</v>
      </c>
      <c r="AG90" s="16">
        <f>ALL!AK27</f>
        <v>0</v>
      </c>
      <c r="AH90" s="16">
        <f>ALL!AL27</f>
        <v>0</v>
      </c>
      <c r="AI90" s="16">
        <f>ALL!AM27</f>
        <v>0</v>
      </c>
      <c r="AJ90" s="16">
        <f>ALL!AN27</f>
        <v>0</v>
      </c>
      <c r="AK90" s="16">
        <f>ALL!AO27</f>
        <v>0</v>
      </c>
      <c r="AL90" s="16">
        <f>ALL!AP27</f>
        <v>0</v>
      </c>
      <c r="AM90" s="16">
        <f>ALL!AQ27</f>
        <v>0</v>
      </c>
      <c r="AN90" s="16">
        <f>ALL!AR27</f>
        <v>0</v>
      </c>
      <c r="AO90" s="16">
        <f>ALL!AS27</f>
        <v>0</v>
      </c>
      <c r="AP90" s="16">
        <f>ALL!AT27</f>
        <v>0</v>
      </c>
      <c r="AQ90" s="16">
        <f>ALL!AU27</f>
        <v>0</v>
      </c>
      <c r="AR90" s="16">
        <f>ALL!AV27</f>
        <v>0</v>
      </c>
      <c r="AS90" s="16">
        <f>ALL!AW27</f>
        <v>0</v>
      </c>
      <c r="AT90" s="16">
        <f>ALL!AX27</f>
        <v>0</v>
      </c>
      <c r="AU90" s="16">
        <f>ALL!AY27</f>
        <v>0</v>
      </c>
      <c r="AV90" s="16">
        <f>ALL!AZ27</f>
        <v>0</v>
      </c>
      <c r="AW90" s="16">
        <f>ALL!BA27</f>
        <v>0</v>
      </c>
      <c r="AX90" s="16">
        <f>ALL!BB27</f>
        <v>0</v>
      </c>
      <c r="AY90" s="16">
        <f>ALL!BC27</f>
        <v>0</v>
      </c>
      <c r="AZ90" s="16">
        <f>ALL!BD27</f>
        <v>0</v>
      </c>
      <c r="BA90" s="16">
        <f>ALL!BE27</f>
        <v>0</v>
      </c>
      <c r="BB90" s="16">
        <f>ALL!BF27</f>
        <v>0</v>
      </c>
      <c r="BC90" s="16">
        <f>ALL!BG27</f>
        <v>0</v>
      </c>
      <c r="BD90" s="16">
        <f>ALL!BH27</f>
        <v>0</v>
      </c>
      <c r="BE90" s="16">
        <f>ALL!BI27</f>
        <v>0</v>
      </c>
      <c r="BF90" s="16">
        <f>ALL!BJ27</f>
        <v>0</v>
      </c>
      <c r="BG90" s="16">
        <f>ALL!BK27</f>
        <v>0</v>
      </c>
      <c r="BH90" s="16">
        <f>ALL!BL27</f>
        <v>0</v>
      </c>
      <c r="BI90" s="16">
        <f>ALL!BM27</f>
        <v>0</v>
      </c>
      <c r="BJ90" s="16">
        <f>ALL!BN27</f>
        <v>0</v>
      </c>
      <c r="BK90" s="16">
        <f>ALL!BO27</f>
        <v>0</v>
      </c>
      <c r="BL90" s="16">
        <f>ALL!BP27</f>
        <v>0</v>
      </c>
      <c r="BM90" s="16">
        <f>ALL!BQ27</f>
        <v>0</v>
      </c>
      <c r="BN90" s="16">
        <f>ALL!BR27</f>
        <v>0</v>
      </c>
      <c r="BO90" s="16">
        <f>ALL!BS27</f>
        <v>0</v>
      </c>
      <c r="BP90" s="16">
        <f>ALL!BT27</f>
        <v>0</v>
      </c>
      <c r="BQ90" s="16">
        <f>ALL!BU27</f>
        <v>0</v>
      </c>
      <c r="BR90" s="16">
        <f>ALL!BV27</f>
        <v>0</v>
      </c>
      <c r="BS90" s="16">
        <f>ALL!BW27</f>
        <v>0</v>
      </c>
      <c r="BT90" s="16">
        <f>ALL!BX27</f>
        <v>0</v>
      </c>
    </row>
    <row r="91" spans="1:72" ht="21.75" hidden="1" outlineLevel="1" thickBot="1" x14ac:dyDescent="0.4">
      <c r="A91" s="88">
        <f>ALL!E28</f>
        <v>0</v>
      </c>
      <c r="B91" s="16">
        <f>ALL!F28</f>
        <v>0</v>
      </c>
      <c r="C91" s="16">
        <f>ALL!G28</f>
        <v>0</v>
      </c>
      <c r="D91" s="16">
        <f>ALL!H28</f>
        <v>0</v>
      </c>
      <c r="E91" s="16">
        <f>ALL!I28</f>
        <v>0</v>
      </c>
      <c r="F91" s="16">
        <f>ALL!J28</f>
        <v>0</v>
      </c>
      <c r="G91" s="16">
        <f>ALL!K28</f>
        <v>0</v>
      </c>
      <c r="H91" s="16">
        <f>ALL!L28</f>
        <v>0</v>
      </c>
      <c r="I91" s="16">
        <f>ALL!M28</f>
        <v>0</v>
      </c>
      <c r="J91" s="16">
        <f>ALL!N28</f>
        <v>0</v>
      </c>
      <c r="K91" s="16">
        <f>ALL!O28</f>
        <v>0</v>
      </c>
      <c r="L91" s="16">
        <f>ALL!P28</f>
        <v>0</v>
      </c>
      <c r="M91" s="16">
        <f>ALL!Q28</f>
        <v>0</v>
      </c>
      <c r="N91" s="16">
        <f>ALL!R28</f>
        <v>0</v>
      </c>
      <c r="O91" s="16">
        <f>ALL!S28</f>
        <v>0</v>
      </c>
      <c r="P91" s="16">
        <f>ALL!T28</f>
        <v>0</v>
      </c>
      <c r="Q91" s="16">
        <f>ALL!U28</f>
        <v>0</v>
      </c>
      <c r="R91" s="16">
        <f>ALL!V28</f>
        <v>0</v>
      </c>
      <c r="S91" s="16">
        <f>ALL!W28</f>
        <v>0</v>
      </c>
      <c r="T91" s="16">
        <f>ALL!X28</f>
        <v>0</v>
      </c>
      <c r="U91" s="16">
        <f>ALL!Y28</f>
        <v>0</v>
      </c>
      <c r="V91" s="16">
        <f>ALL!Z28</f>
        <v>0</v>
      </c>
      <c r="W91" s="16">
        <f>ALL!AA28</f>
        <v>0</v>
      </c>
      <c r="X91" s="16">
        <f>ALL!AB28</f>
        <v>0</v>
      </c>
      <c r="Y91" s="16">
        <f>ALL!AC28</f>
        <v>0</v>
      </c>
      <c r="Z91" s="16">
        <f>ALL!AD28</f>
        <v>0</v>
      </c>
      <c r="AA91" s="16">
        <f>ALL!AE28</f>
        <v>0</v>
      </c>
      <c r="AB91" s="16">
        <f>ALL!AF28</f>
        <v>0</v>
      </c>
      <c r="AC91" s="16">
        <f>ALL!AG28</f>
        <v>0</v>
      </c>
      <c r="AD91" s="16">
        <f>ALL!AH28</f>
        <v>0</v>
      </c>
      <c r="AE91" s="16">
        <f>ALL!AI28</f>
        <v>0</v>
      </c>
      <c r="AF91" s="16">
        <f>ALL!AJ28</f>
        <v>0</v>
      </c>
      <c r="AG91" s="16">
        <f>ALL!AK28</f>
        <v>0</v>
      </c>
      <c r="AH91" s="16">
        <f>ALL!AL28</f>
        <v>0</v>
      </c>
      <c r="AI91" s="16">
        <f>ALL!AM28</f>
        <v>0</v>
      </c>
      <c r="AJ91" s="16">
        <f>ALL!AN28</f>
        <v>0</v>
      </c>
      <c r="AK91" s="16">
        <f>ALL!AO28</f>
        <v>0</v>
      </c>
      <c r="AL91" s="16">
        <f>ALL!AP28</f>
        <v>0</v>
      </c>
      <c r="AM91" s="16">
        <f>ALL!AQ28</f>
        <v>0</v>
      </c>
      <c r="AN91" s="16">
        <f>ALL!AR28</f>
        <v>0</v>
      </c>
      <c r="AO91" s="16">
        <f>ALL!AS28</f>
        <v>0</v>
      </c>
      <c r="AP91" s="16">
        <f>ALL!AT28</f>
        <v>0</v>
      </c>
      <c r="AQ91" s="16">
        <f>ALL!AU28</f>
        <v>0</v>
      </c>
      <c r="AR91" s="16">
        <f>ALL!AV28</f>
        <v>0</v>
      </c>
      <c r="AS91" s="16">
        <f>ALL!AW28</f>
        <v>0</v>
      </c>
      <c r="AT91" s="16">
        <f>ALL!AX28</f>
        <v>0</v>
      </c>
      <c r="AU91" s="16">
        <f>ALL!AY28</f>
        <v>0</v>
      </c>
      <c r="AV91" s="16">
        <f>ALL!AZ28</f>
        <v>0</v>
      </c>
      <c r="AW91" s="16">
        <f>ALL!BA28</f>
        <v>0</v>
      </c>
      <c r="AX91" s="16">
        <f>ALL!BB28</f>
        <v>0</v>
      </c>
      <c r="AY91" s="16">
        <f>ALL!BC28</f>
        <v>0</v>
      </c>
      <c r="AZ91" s="16">
        <f>ALL!BD28</f>
        <v>0</v>
      </c>
      <c r="BA91" s="16">
        <f>ALL!BE28</f>
        <v>0</v>
      </c>
      <c r="BB91" s="16">
        <f>ALL!BF28</f>
        <v>0</v>
      </c>
      <c r="BC91" s="16">
        <f>ALL!BG28</f>
        <v>0</v>
      </c>
      <c r="BD91" s="16">
        <f>ALL!BH28</f>
        <v>0</v>
      </c>
      <c r="BE91" s="16">
        <f>ALL!BI28</f>
        <v>0</v>
      </c>
      <c r="BF91" s="16">
        <f>ALL!BJ28</f>
        <v>0</v>
      </c>
      <c r="BG91" s="16">
        <f>ALL!BK28</f>
        <v>0</v>
      </c>
      <c r="BH91" s="16">
        <f>ALL!BL28</f>
        <v>0</v>
      </c>
      <c r="BI91" s="16">
        <f>ALL!BM28</f>
        <v>0</v>
      </c>
      <c r="BJ91" s="16">
        <f>ALL!BN28</f>
        <v>0</v>
      </c>
      <c r="BK91" s="16">
        <f>ALL!BO28</f>
        <v>0</v>
      </c>
      <c r="BL91" s="16">
        <f>ALL!BP28</f>
        <v>0</v>
      </c>
      <c r="BM91" s="16">
        <f>ALL!BQ28</f>
        <v>0</v>
      </c>
      <c r="BN91" s="16">
        <f>ALL!BR28</f>
        <v>0</v>
      </c>
      <c r="BO91" s="16">
        <f>ALL!BS28</f>
        <v>0</v>
      </c>
      <c r="BP91" s="16">
        <f>ALL!BT28</f>
        <v>0</v>
      </c>
      <c r="BQ91" s="16">
        <f>ALL!BU28</f>
        <v>0</v>
      </c>
      <c r="BR91" s="16">
        <f>ALL!BV28</f>
        <v>0</v>
      </c>
      <c r="BS91" s="16">
        <f>ALL!BW28</f>
        <v>0</v>
      </c>
      <c r="BT91" s="16">
        <f>ALL!BX28</f>
        <v>0</v>
      </c>
    </row>
    <row r="92" spans="1:72" ht="21.75" hidden="1" outlineLevel="1" thickBot="1" x14ac:dyDescent="0.4">
      <c r="A92" s="88">
        <f>ALL!E29</f>
        <v>0</v>
      </c>
      <c r="B92" s="16">
        <f>ALL!F29</f>
        <v>0</v>
      </c>
      <c r="C92" s="16">
        <f>ALL!G29</f>
        <v>0</v>
      </c>
      <c r="D92" s="16">
        <f>ALL!H29</f>
        <v>0</v>
      </c>
      <c r="E92" s="16">
        <f>ALL!I29</f>
        <v>0</v>
      </c>
      <c r="F92" s="16">
        <f>ALL!J29</f>
        <v>0</v>
      </c>
      <c r="G92" s="16">
        <f>ALL!K29</f>
        <v>0</v>
      </c>
      <c r="H92" s="16">
        <f>ALL!L29</f>
        <v>0</v>
      </c>
      <c r="I92" s="16">
        <f>ALL!M29</f>
        <v>0</v>
      </c>
      <c r="J92" s="16">
        <f>ALL!N29</f>
        <v>0</v>
      </c>
      <c r="K92" s="16">
        <f>ALL!O29</f>
        <v>0</v>
      </c>
      <c r="L92" s="16">
        <f>ALL!P29</f>
        <v>0</v>
      </c>
      <c r="M92" s="16">
        <f>ALL!Q29</f>
        <v>0</v>
      </c>
      <c r="N92" s="16">
        <f>ALL!R29</f>
        <v>0</v>
      </c>
      <c r="O92" s="16">
        <f>ALL!S29</f>
        <v>0</v>
      </c>
      <c r="P92" s="16">
        <f>ALL!T29</f>
        <v>0</v>
      </c>
      <c r="Q92" s="16">
        <f>ALL!U29</f>
        <v>0</v>
      </c>
      <c r="R92" s="16">
        <f>ALL!V29</f>
        <v>0</v>
      </c>
      <c r="S92" s="16">
        <f>ALL!W29</f>
        <v>0</v>
      </c>
      <c r="T92" s="16">
        <f>ALL!X29</f>
        <v>0</v>
      </c>
      <c r="U92" s="16">
        <f>ALL!Y29</f>
        <v>0</v>
      </c>
      <c r="V92" s="16">
        <f>ALL!Z29</f>
        <v>0</v>
      </c>
      <c r="W92" s="16">
        <f>ALL!AA29</f>
        <v>0</v>
      </c>
      <c r="X92" s="16">
        <f>ALL!AB29</f>
        <v>0</v>
      </c>
      <c r="Y92" s="16">
        <f>ALL!AC29</f>
        <v>0</v>
      </c>
      <c r="Z92" s="16">
        <f>ALL!AD29</f>
        <v>0</v>
      </c>
      <c r="AA92" s="16">
        <f>ALL!AE29</f>
        <v>0</v>
      </c>
      <c r="AB92" s="16">
        <f>ALL!AF29</f>
        <v>0</v>
      </c>
      <c r="AC92" s="16">
        <f>ALL!AG29</f>
        <v>0</v>
      </c>
      <c r="AD92" s="16">
        <f>ALL!AH29</f>
        <v>0</v>
      </c>
      <c r="AE92" s="16">
        <f>ALL!AI29</f>
        <v>0</v>
      </c>
      <c r="AF92" s="16">
        <f>ALL!AJ29</f>
        <v>0</v>
      </c>
      <c r="AG92" s="16">
        <f>ALL!AK29</f>
        <v>0</v>
      </c>
      <c r="AH92" s="16">
        <f>ALL!AL29</f>
        <v>0</v>
      </c>
      <c r="AI92" s="16">
        <f>ALL!AM29</f>
        <v>0</v>
      </c>
      <c r="AJ92" s="16">
        <f>ALL!AN29</f>
        <v>0</v>
      </c>
      <c r="AK92" s="16">
        <f>ALL!AO29</f>
        <v>0</v>
      </c>
      <c r="AL92" s="16">
        <f>ALL!AP29</f>
        <v>0</v>
      </c>
      <c r="AM92" s="16">
        <f>ALL!AQ29</f>
        <v>0</v>
      </c>
      <c r="AN92" s="16">
        <f>ALL!AR29</f>
        <v>0</v>
      </c>
      <c r="AO92" s="16">
        <f>ALL!AS29</f>
        <v>0</v>
      </c>
      <c r="AP92" s="16">
        <f>ALL!AT29</f>
        <v>0</v>
      </c>
      <c r="AQ92" s="16">
        <f>ALL!AU29</f>
        <v>0</v>
      </c>
      <c r="AR92" s="16">
        <f>ALL!AV29</f>
        <v>0</v>
      </c>
      <c r="AS92" s="16">
        <f>ALL!AW29</f>
        <v>0</v>
      </c>
      <c r="AT92" s="16">
        <f>ALL!AX29</f>
        <v>0</v>
      </c>
      <c r="AU92" s="16">
        <f>ALL!AY29</f>
        <v>0</v>
      </c>
      <c r="AV92" s="16">
        <f>ALL!AZ29</f>
        <v>0</v>
      </c>
      <c r="AW92" s="16">
        <f>ALL!BA29</f>
        <v>0</v>
      </c>
      <c r="AX92" s="16">
        <f>ALL!BB29</f>
        <v>0</v>
      </c>
      <c r="AY92" s="16">
        <f>ALL!BC29</f>
        <v>0</v>
      </c>
      <c r="AZ92" s="16">
        <f>ALL!BD29</f>
        <v>0</v>
      </c>
      <c r="BA92" s="16">
        <f>ALL!BE29</f>
        <v>0</v>
      </c>
      <c r="BB92" s="16">
        <f>ALL!BF29</f>
        <v>0</v>
      </c>
      <c r="BC92" s="16">
        <f>ALL!BG29</f>
        <v>0</v>
      </c>
      <c r="BD92" s="16">
        <f>ALL!BH29</f>
        <v>0</v>
      </c>
      <c r="BE92" s="16">
        <f>ALL!BI29</f>
        <v>0</v>
      </c>
      <c r="BF92" s="16">
        <f>ALL!BJ29</f>
        <v>0</v>
      </c>
      <c r="BG92" s="16">
        <f>ALL!BK29</f>
        <v>0</v>
      </c>
      <c r="BH92" s="16">
        <f>ALL!BL29</f>
        <v>0</v>
      </c>
      <c r="BI92" s="16">
        <f>ALL!BM29</f>
        <v>0</v>
      </c>
      <c r="BJ92" s="16">
        <f>ALL!BN29</f>
        <v>0</v>
      </c>
      <c r="BK92" s="16">
        <f>ALL!BO29</f>
        <v>0</v>
      </c>
      <c r="BL92" s="16">
        <f>ALL!BP29</f>
        <v>0</v>
      </c>
      <c r="BM92" s="16">
        <f>ALL!BQ29</f>
        <v>0</v>
      </c>
      <c r="BN92" s="16">
        <f>ALL!BR29</f>
        <v>0</v>
      </c>
      <c r="BO92" s="16">
        <f>ALL!BS29</f>
        <v>0</v>
      </c>
      <c r="BP92" s="16">
        <f>ALL!BT29</f>
        <v>0</v>
      </c>
      <c r="BQ92" s="16">
        <f>ALL!BU29</f>
        <v>0</v>
      </c>
      <c r="BR92" s="16">
        <f>ALL!BV29</f>
        <v>0</v>
      </c>
      <c r="BS92" s="16">
        <f>ALL!BW29</f>
        <v>0</v>
      </c>
      <c r="BT92" s="16">
        <f>ALL!BX29</f>
        <v>0</v>
      </c>
    </row>
    <row r="93" spans="1:72" ht="21.75" hidden="1" outlineLevel="1" thickBot="1" x14ac:dyDescent="0.4">
      <c r="A93" s="88">
        <f>ALL!E30</f>
        <v>0</v>
      </c>
      <c r="B93" s="16">
        <f>ALL!F30</f>
        <v>0</v>
      </c>
      <c r="C93" s="16">
        <f>ALL!G30</f>
        <v>0</v>
      </c>
      <c r="D93" s="16">
        <f>ALL!H30</f>
        <v>0</v>
      </c>
      <c r="E93" s="16">
        <f>ALL!I30</f>
        <v>0</v>
      </c>
      <c r="F93" s="16">
        <f>ALL!J30</f>
        <v>0</v>
      </c>
      <c r="G93" s="16">
        <f>ALL!K30</f>
        <v>0</v>
      </c>
      <c r="H93" s="16">
        <f>ALL!L30</f>
        <v>0</v>
      </c>
      <c r="I93" s="16">
        <f>ALL!M30</f>
        <v>0</v>
      </c>
      <c r="J93" s="16">
        <f>ALL!N30</f>
        <v>0</v>
      </c>
      <c r="K93" s="16">
        <f>ALL!O30</f>
        <v>0</v>
      </c>
      <c r="L93" s="16">
        <f>ALL!P30</f>
        <v>0</v>
      </c>
      <c r="M93" s="16">
        <f>ALL!Q30</f>
        <v>0</v>
      </c>
      <c r="N93" s="16">
        <f>ALL!R30</f>
        <v>0</v>
      </c>
      <c r="O93" s="16">
        <f>ALL!S30</f>
        <v>0</v>
      </c>
      <c r="P93" s="16">
        <f>ALL!T30</f>
        <v>0</v>
      </c>
      <c r="Q93" s="16">
        <f>ALL!U30</f>
        <v>0</v>
      </c>
      <c r="R93" s="16">
        <f>ALL!V30</f>
        <v>0</v>
      </c>
      <c r="S93" s="16">
        <f>ALL!W30</f>
        <v>0</v>
      </c>
      <c r="T93" s="16">
        <f>ALL!X30</f>
        <v>0</v>
      </c>
      <c r="U93" s="16">
        <f>ALL!Y30</f>
        <v>0</v>
      </c>
      <c r="V93" s="16">
        <f>ALL!Z30</f>
        <v>0</v>
      </c>
      <c r="W93" s="16">
        <f>ALL!AA30</f>
        <v>0</v>
      </c>
      <c r="X93" s="16">
        <f>ALL!AB30</f>
        <v>0</v>
      </c>
      <c r="Y93" s="16">
        <f>ALL!AC30</f>
        <v>0</v>
      </c>
      <c r="Z93" s="16">
        <f>ALL!AD30</f>
        <v>0</v>
      </c>
      <c r="AA93" s="16">
        <f>ALL!AE30</f>
        <v>0</v>
      </c>
      <c r="AB93" s="16">
        <f>ALL!AF30</f>
        <v>0</v>
      </c>
      <c r="AC93" s="16">
        <f>ALL!AG30</f>
        <v>0</v>
      </c>
      <c r="AD93" s="16">
        <f>ALL!AH30</f>
        <v>0</v>
      </c>
      <c r="AE93" s="16">
        <f>ALL!AI30</f>
        <v>0</v>
      </c>
      <c r="AF93" s="16">
        <f>ALL!AJ30</f>
        <v>0</v>
      </c>
      <c r="AG93" s="16">
        <f>ALL!AK30</f>
        <v>0</v>
      </c>
      <c r="AH93" s="16">
        <f>ALL!AL30</f>
        <v>0</v>
      </c>
      <c r="AI93" s="16">
        <f>ALL!AM30</f>
        <v>0</v>
      </c>
      <c r="AJ93" s="16">
        <f>ALL!AN30</f>
        <v>0</v>
      </c>
      <c r="AK93" s="16">
        <f>ALL!AO30</f>
        <v>0</v>
      </c>
      <c r="AL93" s="16">
        <f>ALL!AP30</f>
        <v>0</v>
      </c>
      <c r="AM93" s="16">
        <f>ALL!AQ30</f>
        <v>0</v>
      </c>
      <c r="AN93" s="16">
        <f>ALL!AR30</f>
        <v>0</v>
      </c>
      <c r="AO93" s="16">
        <f>ALL!AS30</f>
        <v>0</v>
      </c>
      <c r="AP93" s="16">
        <f>ALL!AT30</f>
        <v>0</v>
      </c>
      <c r="AQ93" s="16">
        <f>ALL!AU30</f>
        <v>0</v>
      </c>
      <c r="AR93" s="16">
        <f>ALL!AV30</f>
        <v>0</v>
      </c>
      <c r="AS93" s="16">
        <f>ALL!AW30</f>
        <v>0</v>
      </c>
      <c r="AT93" s="16">
        <f>ALL!AX30</f>
        <v>0</v>
      </c>
      <c r="AU93" s="16">
        <f>ALL!AY30</f>
        <v>0</v>
      </c>
      <c r="AV93" s="16">
        <f>ALL!AZ30</f>
        <v>0</v>
      </c>
      <c r="AW93" s="16">
        <f>ALL!BA30</f>
        <v>0</v>
      </c>
      <c r="AX93" s="16">
        <f>ALL!BB30</f>
        <v>0</v>
      </c>
      <c r="AY93" s="16">
        <f>ALL!BC30</f>
        <v>0</v>
      </c>
      <c r="AZ93" s="16">
        <f>ALL!BD30</f>
        <v>0</v>
      </c>
      <c r="BA93" s="16">
        <f>ALL!BE30</f>
        <v>0</v>
      </c>
      <c r="BB93" s="16">
        <f>ALL!BF30</f>
        <v>0</v>
      </c>
      <c r="BC93" s="16">
        <f>ALL!BG30</f>
        <v>0</v>
      </c>
      <c r="BD93" s="16">
        <f>ALL!BH30</f>
        <v>0</v>
      </c>
      <c r="BE93" s="16">
        <f>ALL!BI30</f>
        <v>0</v>
      </c>
      <c r="BF93" s="16">
        <f>ALL!BJ30</f>
        <v>0</v>
      </c>
      <c r="BG93" s="16">
        <f>ALL!BK30</f>
        <v>0</v>
      </c>
      <c r="BH93" s="16">
        <f>ALL!BL30</f>
        <v>0</v>
      </c>
      <c r="BI93" s="16">
        <f>ALL!BM30</f>
        <v>0</v>
      </c>
      <c r="BJ93" s="16">
        <f>ALL!BN30</f>
        <v>0</v>
      </c>
      <c r="BK93" s="16">
        <f>ALL!BO30</f>
        <v>0</v>
      </c>
      <c r="BL93" s="16">
        <f>ALL!BP30</f>
        <v>0</v>
      </c>
      <c r="BM93" s="16">
        <f>ALL!BQ30</f>
        <v>0</v>
      </c>
      <c r="BN93" s="16">
        <f>ALL!BR30</f>
        <v>0</v>
      </c>
      <c r="BO93" s="16">
        <f>ALL!BS30</f>
        <v>0</v>
      </c>
      <c r="BP93" s="16">
        <f>ALL!BT30</f>
        <v>0</v>
      </c>
      <c r="BQ93" s="16">
        <f>ALL!BU30</f>
        <v>0</v>
      </c>
      <c r="BR93" s="16">
        <f>ALL!BV30</f>
        <v>0</v>
      </c>
      <c r="BS93" s="16">
        <f>ALL!BW30</f>
        <v>0</v>
      </c>
      <c r="BT93" s="16">
        <f>ALL!BX30</f>
        <v>0</v>
      </c>
    </row>
    <row r="94" spans="1:72" ht="21.75" hidden="1" outlineLevel="1" thickBot="1" x14ac:dyDescent="0.4">
      <c r="A94" s="88">
        <f>ALL!E31</f>
        <v>0</v>
      </c>
      <c r="B94" s="16">
        <f>ALL!F31</f>
        <v>0</v>
      </c>
      <c r="C94" s="16">
        <f>ALL!G31</f>
        <v>0</v>
      </c>
      <c r="D94" s="16">
        <f>ALL!H31</f>
        <v>0</v>
      </c>
      <c r="E94" s="16">
        <f>ALL!I31</f>
        <v>0</v>
      </c>
      <c r="F94" s="16">
        <f>ALL!J31</f>
        <v>0</v>
      </c>
      <c r="G94" s="16">
        <f>ALL!K31</f>
        <v>0</v>
      </c>
      <c r="H94" s="16">
        <f>ALL!L31</f>
        <v>0</v>
      </c>
      <c r="I94" s="16">
        <f>ALL!M31</f>
        <v>0</v>
      </c>
      <c r="J94" s="16">
        <f>ALL!N31</f>
        <v>0</v>
      </c>
      <c r="K94" s="16">
        <f>ALL!O31</f>
        <v>0</v>
      </c>
      <c r="L94" s="16">
        <f>ALL!P31</f>
        <v>0</v>
      </c>
      <c r="M94" s="16">
        <f>ALL!Q31</f>
        <v>0</v>
      </c>
      <c r="N94" s="16">
        <f>ALL!R31</f>
        <v>0</v>
      </c>
      <c r="O94" s="16">
        <f>ALL!S31</f>
        <v>0</v>
      </c>
      <c r="P94" s="16">
        <f>ALL!T31</f>
        <v>0</v>
      </c>
      <c r="Q94" s="16">
        <f>ALL!U31</f>
        <v>0</v>
      </c>
      <c r="R94" s="16">
        <f>ALL!V31</f>
        <v>0</v>
      </c>
      <c r="S94" s="16">
        <f>ALL!W31</f>
        <v>0</v>
      </c>
      <c r="T94" s="16">
        <f>ALL!X31</f>
        <v>0</v>
      </c>
      <c r="U94" s="16">
        <f>ALL!Y31</f>
        <v>0</v>
      </c>
      <c r="V94" s="16">
        <f>ALL!Z31</f>
        <v>0</v>
      </c>
      <c r="W94" s="16">
        <f>ALL!AA31</f>
        <v>0</v>
      </c>
      <c r="X94" s="16">
        <f>ALL!AB31</f>
        <v>0</v>
      </c>
      <c r="Y94" s="16">
        <f>ALL!AC31</f>
        <v>0</v>
      </c>
      <c r="Z94" s="16">
        <f>ALL!AD31</f>
        <v>0</v>
      </c>
      <c r="AA94" s="16">
        <f>ALL!AE31</f>
        <v>0</v>
      </c>
      <c r="AB94" s="16">
        <f>ALL!AF31</f>
        <v>0</v>
      </c>
      <c r="AC94" s="16">
        <f>ALL!AG31</f>
        <v>0</v>
      </c>
      <c r="AD94" s="16">
        <f>ALL!AH31</f>
        <v>0</v>
      </c>
      <c r="AE94" s="16">
        <f>ALL!AI31</f>
        <v>0</v>
      </c>
      <c r="AF94" s="16">
        <f>ALL!AJ31</f>
        <v>0</v>
      </c>
      <c r="AG94" s="16">
        <f>ALL!AK31</f>
        <v>0</v>
      </c>
      <c r="AH94" s="16">
        <f>ALL!AL31</f>
        <v>0</v>
      </c>
      <c r="AI94" s="16">
        <f>ALL!AM31</f>
        <v>0</v>
      </c>
      <c r="AJ94" s="16">
        <f>ALL!AN31</f>
        <v>0</v>
      </c>
      <c r="AK94" s="16">
        <f>ALL!AO31</f>
        <v>0</v>
      </c>
      <c r="AL94" s="16">
        <f>ALL!AP31</f>
        <v>0</v>
      </c>
      <c r="AM94" s="16">
        <f>ALL!AQ31</f>
        <v>0</v>
      </c>
      <c r="AN94" s="16">
        <f>ALL!AR31</f>
        <v>0</v>
      </c>
      <c r="AO94" s="16">
        <f>ALL!AS31</f>
        <v>0</v>
      </c>
      <c r="AP94" s="16">
        <f>ALL!AT31</f>
        <v>0</v>
      </c>
      <c r="AQ94" s="16">
        <f>ALL!AU31</f>
        <v>0</v>
      </c>
      <c r="AR94" s="16">
        <f>ALL!AV31</f>
        <v>0</v>
      </c>
      <c r="AS94" s="16">
        <f>ALL!AW31</f>
        <v>0</v>
      </c>
      <c r="AT94" s="16">
        <f>ALL!AX31</f>
        <v>0</v>
      </c>
      <c r="AU94" s="16">
        <f>ALL!AY31</f>
        <v>0</v>
      </c>
      <c r="AV94" s="16">
        <f>ALL!AZ31</f>
        <v>0</v>
      </c>
      <c r="AW94" s="16">
        <f>ALL!BA31</f>
        <v>0</v>
      </c>
      <c r="AX94" s="16">
        <f>ALL!BB31</f>
        <v>0</v>
      </c>
      <c r="AY94" s="16">
        <f>ALL!BC31</f>
        <v>0</v>
      </c>
      <c r="AZ94" s="16">
        <f>ALL!BD31</f>
        <v>0</v>
      </c>
      <c r="BA94" s="16">
        <f>ALL!BE31</f>
        <v>0</v>
      </c>
      <c r="BB94" s="16">
        <f>ALL!BF31</f>
        <v>0</v>
      </c>
      <c r="BC94" s="16">
        <f>ALL!BG31</f>
        <v>0</v>
      </c>
      <c r="BD94" s="16">
        <f>ALL!BH31</f>
        <v>0</v>
      </c>
      <c r="BE94" s="16">
        <f>ALL!BI31</f>
        <v>0</v>
      </c>
      <c r="BF94" s="16">
        <f>ALL!BJ31</f>
        <v>0</v>
      </c>
      <c r="BG94" s="16">
        <f>ALL!BK31</f>
        <v>0</v>
      </c>
      <c r="BH94" s="16">
        <f>ALL!BL31</f>
        <v>0</v>
      </c>
      <c r="BI94" s="16">
        <f>ALL!BM31</f>
        <v>0</v>
      </c>
      <c r="BJ94" s="16">
        <f>ALL!BN31</f>
        <v>0</v>
      </c>
      <c r="BK94" s="16">
        <f>ALL!BO31</f>
        <v>0</v>
      </c>
      <c r="BL94" s="16">
        <f>ALL!BP31</f>
        <v>0</v>
      </c>
      <c r="BM94" s="16">
        <f>ALL!BQ31</f>
        <v>0</v>
      </c>
      <c r="BN94" s="16">
        <f>ALL!BR31</f>
        <v>0</v>
      </c>
      <c r="BO94" s="16">
        <f>ALL!BS31</f>
        <v>0</v>
      </c>
      <c r="BP94" s="16">
        <f>ALL!BT31</f>
        <v>0</v>
      </c>
      <c r="BQ94" s="16">
        <f>ALL!BU31</f>
        <v>0</v>
      </c>
      <c r="BR94" s="16">
        <f>ALL!BV31</f>
        <v>0</v>
      </c>
      <c r="BS94" s="16">
        <f>ALL!BW31</f>
        <v>0</v>
      </c>
      <c r="BT94" s="16">
        <f>ALL!BX31</f>
        <v>0</v>
      </c>
    </row>
    <row r="95" spans="1:72" ht="21.75" hidden="1" outlineLevel="1" thickBot="1" x14ac:dyDescent="0.4">
      <c r="A95" s="88">
        <f>ALL!E32</f>
        <v>0</v>
      </c>
      <c r="B95" s="16">
        <f>ALL!F32</f>
        <v>0</v>
      </c>
      <c r="C95" s="16">
        <f>ALL!G32</f>
        <v>0</v>
      </c>
      <c r="D95" s="16">
        <f>ALL!H32</f>
        <v>0</v>
      </c>
      <c r="E95" s="16">
        <f>ALL!I32</f>
        <v>0</v>
      </c>
      <c r="F95" s="16">
        <f>ALL!J32</f>
        <v>0</v>
      </c>
      <c r="G95" s="16">
        <f>ALL!K32</f>
        <v>0</v>
      </c>
      <c r="H95" s="16">
        <f>ALL!L32</f>
        <v>0</v>
      </c>
      <c r="I95" s="16">
        <f>ALL!M32</f>
        <v>0</v>
      </c>
      <c r="J95" s="16">
        <f>ALL!N32</f>
        <v>0</v>
      </c>
      <c r="K95" s="16">
        <f>ALL!O32</f>
        <v>0</v>
      </c>
      <c r="L95" s="16">
        <f>ALL!P32</f>
        <v>0</v>
      </c>
      <c r="M95" s="16">
        <f>ALL!Q32</f>
        <v>0</v>
      </c>
      <c r="N95" s="16">
        <f>ALL!R32</f>
        <v>0</v>
      </c>
      <c r="O95" s="16">
        <f>ALL!S32</f>
        <v>0</v>
      </c>
      <c r="P95" s="16">
        <f>ALL!T32</f>
        <v>0</v>
      </c>
      <c r="Q95" s="16">
        <f>ALL!U32</f>
        <v>0</v>
      </c>
      <c r="R95" s="16">
        <f>ALL!V32</f>
        <v>0</v>
      </c>
      <c r="S95" s="16">
        <f>ALL!W32</f>
        <v>0</v>
      </c>
      <c r="T95" s="16">
        <f>ALL!X32</f>
        <v>0</v>
      </c>
      <c r="U95" s="16">
        <f>ALL!Y32</f>
        <v>0</v>
      </c>
      <c r="V95" s="16">
        <f>ALL!Z32</f>
        <v>0</v>
      </c>
      <c r="W95" s="16">
        <f>ALL!AA32</f>
        <v>0</v>
      </c>
      <c r="X95" s="16">
        <f>ALL!AB32</f>
        <v>0</v>
      </c>
      <c r="Y95" s="16">
        <f>ALL!AC32</f>
        <v>0</v>
      </c>
      <c r="Z95" s="16">
        <f>ALL!AD32</f>
        <v>0</v>
      </c>
      <c r="AA95" s="16">
        <f>ALL!AE32</f>
        <v>0</v>
      </c>
      <c r="AB95" s="16">
        <f>ALL!AF32</f>
        <v>0</v>
      </c>
      <c r="AC95" s="16">
        <f>ALL!AG32</f>
        <v>0</v>
      </c>
      <c r="AD95" s="16">
        <f>ALL!AH32</f>
        <v>0</v>
      </c>
      <c r="AE95" s="16">
        <f>ALL!AI32</f>
        <v>0</v>
      </c>
      <c r="AF95" s="16">
        <f>ALL!AJ32</f>
        <v>0</v>
      </c>
      <c r="AG95" s="16">
        <f>ALL!AK32</f>
        <v>0</v>
      </c>
      <c r="AH95" s="16">
        <f>ALL!AL32</f>
        <v>0</v>
      </c>
      <c r="AI95" s="16">
        <f>ALL!AM32</f>
        <v>0</v>
      </c>
      <c r="AJ95" s="16">
        <f>ALL!AN32</f>
        <v>0</v>
      </c>
      <c r="AK95" s="16">
        <f>ALL!AO32</f>
        <v>0</v>
      </c>
      <c r="AL95" s="16">
        <f>ALL!AP32</f>
        <v>0</v>
      </c>
      <c r="AM95" s="16">
        <f>ALL!AQ32</f>
        <v>0</v>
      </c>
      <c r="AN95" s="16">
        <f>ALL!AR32</f>
        <v>0</v>
      </c>
      <c r="AO95" s="16">
        <f>ALL!AS32</f>
        <v>0</v>
      </c>
      <c r="AP95" s="16">
        <f>ALL!AT32</f>
        <v>0</v>
      </c>
      <c r="AQ95" s="16">
        <f>ALL!AU32</f>
        <v>0</v>
      </c>
      <c r="AR95" s="16">
        <f>ALL!AV32</f>
        <v>0</v>
      </c>
      <c r="AS95" s="16">
        <f>ALL!AW32</f>
        <v>0</v>
      </c>
      <c r="AT95" s="16">
        <f>ALL!AX32</f>
        <v>0</v>
      </c>
      <c r="AU95" s="16">
        <f>ALL!AY32</f>
        <v>0</v>
      </c>
      <c r="AV95" s="16">
        <f>ALL!AZ32</f>
        <v>0</v>
      </c>
      <c r="AW95" s="16">
        <f>ALL!BA32</f>
        <v>0</v>
      </c>
      <c r="AX95" s="16">
        <f>ALL!BB32</f>
        <v>0</v>
      </c>
      <c r="AY95" s="16">
        <f>ALL!BC32</f>
        <v>0</v>
      </c>
      <c r="AZ95" s="16">
        <f>ALL!BD32</f>
        <v>0</v>
      </c>
      <c r="BA95" s="16">
        <f>ALL!BE32</f>
        <v>0</v>
      </c>
      <c r="BB95" s="16">
        <f>ALL!BF32</f>
        <v>0</v>
      </c>
      <c r="BC95" s="16">
        <f>ALL!BG32</f>
        <v>0</v>
      </c>
      <c r="BD95" s="16">
        <f>ALL!BH32</f>
        <v>0</v>
      </c>
      <c r="BE95" s="16">
        <f>ALL!BI32</f>
        <v>0</v>
      </c>
      <c r="BF95" s="16">
        <f>ALL!BJ32</f>
        <v>0</v>
      </c>
      <c r="BG95" s="16">
        <f>ALL!BK32</f>
        <v>0</v>
      </c>
      <c r="BH95" s="16">
        <f>ALL!BL32</f>
        <v>0</v>
      </c>
      <c r="BI95" s="16">
        <f>ALL!BM32</f>
        <v>0</v>
      </c>
      <c r="BJ95" s="16">
        <f>ALL!BN32</f>
        <v>0</v>
      </c>
      <c r="BK95" s="16">
        <f>ALL!BO32</f>
        <v>0</v>
      </c>
      <c r="BL95" s="16">
        <f>ALL!BP32</f>
        <v>0</v>
      </c>
      <c r="BM95" s="16">
        <f>ALL!BQ32</f>
        <v>0</v>
      </c>
      <c r="BN95" s="16">
        <f>ALL!BR32</f>
        <v>0</v>
      </c>
      <c r="BO95" s="16">
        <f>ALL!BS32</f>
        <v>0</v>
      </c>
      <c r="BP95" s="16">
        <f>ALL!BT32</f>
        <v>0</v>
      </c>
      <c r="BQ95" s="16">
        <f>ALL!BU32</f>
        <v>0</v>
      </c>
      <c r="BR95" s="16">
        <f>ALL!BV32</f>
        <v>0</v>
      </c>
      <c r="BS95" s="16">
        <f>ALL!BW32</f>
        <v>0</v>
      </c>
      <c r="BT95" s="16">
        <f>ALL!BX32</f>
        <v>0</v>
      </c>
    </row>
    <row r="96" spans="1:72" ht="21.75" hidden="1" outlineLevel="1" thickBot="1" x14ac:dyDescent="0.4">
      <c r="A96" s="88">
        <f>ALL!E33</f>
        <v>1</v>
      </c>
      <c r="B96" s="16">
        <f>ALL!F33</f>
        <v>0</v>
      </c>
      <c r="C96" s="16">
        <f>ALL!G33</f>
        <v>0</v>
      </c>
      <c r="D96" s="16">
        <f>ALL!H33</f>
        <v>0</v>
      </c>
      <c r="E96" s="16">
        <f>ALL!I33</f>
        <v>0</v>
      </c>
      <c r="F96" s="16">
        <f>ALL!J33</f>
        <v>0</v>
      </c>
      <c r="G96" s="16">
        <f>ALL!K33</f>
        <v>0</v>
      </c>
      <c r="H96" s="16">
        <f>ALL!L33</f>
        <v>0</v>
      </c>
      <c r="I96" s="16">
        <f>ALL!M33</f>
        <v>0</v>
      </c>
      <c r="J96" s="16">
        <f>ALL!N33</f>
        <v>0</v>
      </c>
      <c r="K96" s="16">
        <f>ALL!O33</f>
        <v>0</v>
      </c>
      <c r="L96" s="16">
        <f>ALL!P33</f>
        <v>0</v>
      </c>
      <c r="M96" s="16">
        <f>ALL!Q33</f>
        <v>0</v>
      </c>
      <c r="N96" s="16">
        <f>ALL!R33</f>
        <v>0</v>
      </c>
      <c r="O96" s="16">
        <f>ALL!S33</f>
        <v>0</v>
      </c>
      <c r="P96" s="16">
        <f>ALL!T33</f>
        <v>0</v>
      </c>
      <c r="Q96" s="16">
        <f>ALL!U33</f>
        <v>0</v>
      </c>
      <c r="R96" s="16">
        <f>ALL!V33</f>
        <v>0</v>
      </c>
      <c r="S96" s="16">
        <f>ALL!W33</f>
        <v>0</v>
      </c>
      <c r="T96" s="16">
        <f>ALL!X33</f>
        <v>0</v>
      </c>
      <c r="U96" s="16">
        <f>ALL!Y33</f>
        <v>0</v>
      </c>
      <c r="V96" s="16">
        <f>ALL!Z33</f>
        <v>0</v>
      </c>
      <c r="W96" s="16">
        <f>ALL!AA33</f>
        <v>0</v>
      </c>
      <c r="X96" s="16">
        <f>ALL!AB33</f>
        <v>0</v>
      </c>
      <c r="Y96" s="16">
        <f>ALL!AC33</f>
        <v>0</v>
      </c>
      <c r="Z96" s="16">
        <f>ALL!AD33</f>
        <v>0</v>
      </c>
      <c r="AA96" s="16">
        <f>ALL!AE33</f>
        <v>0</v>
      </c>
      <c r="AB96" s="16">
        <f>ALL!AF33</f>
        <v>0</v>
      </c>
      <c r="AC96" s="16">
        <f>ALL!AG33</f>
        <v>0</v>
      </c>
      <c r="AD96" s="16">
        <f>ALL!AH33</f>
        <v>0</v>
      </c>
      <c r="AE96" s="16">
        <f>ALL!AI33</f>
        <v>0</v>
      </c>
      <c r="AF96" s="16">
        <f>ALL!AJ33</f>
        <v>0</v>
      </c>
      <c r="AG96" s="16">
        <f>ALL!AK33</f>
        <v>0</v>
      </c>
      <c r="AH96" s="16">
        <f>ALL!AL33</f>
        <v>0</v>
      </c>
      <c r="AI96" s="16">
        <f>ALL!AM33</f>
        <v>0</v>
      </c>
      <c r="AJ96" s="16">
        <f>ALL!AN33</f>
        <v>0</v>
      </c>
      <c r="AK96" s="16">
        <f>ALL!AO33</f>
        <v>0</v>
      </c>
      <c r="AL96" s="16">
        <f>ALL!AP33</f>
        <v>0</v>
      </c>
      <c r="AM96" s="16">
        <f>ALL!AQ33</f>
        <v>0</v>
      </c>
      <c r="AN96" s="16">
        <f>ALL!AR33</f>
        <v>0</v>
      </c>
      <c r="AO96" s="16">
        <f>ALL!AS33</f>
        <v>0</v>
      </c>
      <c r="AP96" s="16">
        <f>ALL!AT33</f>
        <v>0</v>
      </c>
      <c r="AQ96" s="16">
        <f>ALL!AU33</f>
        <v>0</v>
      </c>
      <c r="AR96" s="16">
        <f>ALL!AV33</f>
        <v>0</v>
      </c>
      <c r="AS96" s="16">
        <f>ALL!AW33</f>
        <v>0</v>
      </c>
      <c r="AT96" s="16">
        <f>ALL!AX33</f>
        <v>0</v>
      </c>
      <c r="AU96" s="16">
        <f>ALL!AY33</f>
        <v>0</v>
      </c>
      <c r="AV96" s="16">
        <f>ALL!AZ33</f>
        <v>0</v>
      </c>
      <c r="AW96" s="16">
        <f>ALL!BA33</f>
        <v>0</v>
      </c>
      <c r="AX96" s="16">
        <f>ALL!BB33</f>
        <v>0</v>
      </c>
      <c r="AY96" s="16">
        <f>ALL!BC33</f>
        <v>0</v>
      </c>
      <c r="AZ96" s="16">
        <f>ALL!BD33</f>
        <v>0</v>
      </c>
      <c r="BA96" s="16">
        <f>ALL!BE33</f>
        <v>0</v>
      </c>
      <c r="BB96" s="16">
        <f>ALL!BF33</f>
        <v>0</v>
      </c>
      <c r="BC96" s="16">
        <f>ALL!BG33</f>
        <v>0</v>
      </c>
      <c r="BD96" s="16">
        <f>ALL!BH33</f>
        <v>0</v>
      </c>
      <c r="BE96" s="16">
        <f>ALL!BI33</f>
        <v>0</v>
      </c>
      <c r="BF96" s="16">
        <f>ALL!BJ33</f>
        <v>0</v>
      </c>
      <c r="BG96" s="16">
        <f>ALL!BK33</f>
        <v>0</v>
      </c>
      <c r="BH96" s="16">
        <f>ALL!BL33</f>
        <v>0</v>
      </c>
      <c r="BI96" s="16">
        <f>ALL!BM33</f>
        <v>0</v>
      </c>
      <c r="BJ96" s="16">
        <f>ALL!BN33</f>
        <v>0</v>
      </c>
      <c r="BK96" s="16">
        <f>ALL!BO33</f>
        <v>0</v>
      </c>
      <c r="BL96" s="16">
        <f>ALL!BP33</f>
        <v>0</v>
      </c>
      <c r="BM96" s="16">
        <f>ALL!BQ33</f>
        <v>0</v>
      </c>
      <c r="BN96" s="16">
        <f>ALL!BR33</f>
        <v>0</v>
      </c>
      <c r="BO96" s="16">
        <f>ALL!BS33</f>
        <v>0</v>
      </c>
      <c r="BP96" s="16">
        <f>ALL!BT33</f>
        <v>0</v>
      </c>
      <c r="BQ96" s="16">
        <f>ALL!BU33</f>
        <v>0</v>
      </c>
      <c r="BR96" s="16">
        <f>ALL!BV33</f>
        <v>0</v>
      </c>
      <c r="BS96" s="16">
        <f>ALL!BW33</f>
        <v>0</v>
      </c>
      <c r="BT96" s="16">
        <f>ALL!BX33</f>
        <v>0</v>
      </c>
    </row>
    <row r="97" spans="1:72" ht="21.75" collapsed="1" thickTop="1" x14ac:dyDescent="0.35">
      <c r="A97" s="94"/>
      <c r="B97" s="94"/>
      <c r="C97" s="94"/>
      <c r="D97" s="94"/>
      <c r="E97" s="94"/>
      <c r="F97" s="94"/>
      <c r="G97" s="94"/>
      <c r="H97" s="94"/>
      <c r="I97" s="94"/>
      <c r="J97" s="94"/>
      <c r="K97" s="94"/>
      <c r="L97" s="94"/>
      <c r="M97" s="94"/>
      <c r="N97" s="94"/>
      <c r="O97" s="94"/>
      <c r="P97" s="94"/>
      <c r="Q97" s="94"/>
      <c r="R97" s="94"/>
      <c r="S97" s="94"/>
      <c r="T97" s="94"/>
      <c r="U97" s="94"/>
      <c r="V97" s="94"/>
      <c r="W97" s="94"/>
      <c r="X97" s="94"/>
      <c r="Y97" s="94"/>
      <c r="Z97" s="94"/>
      <c r="AA97" s="94"/>
      <c r="AB97" s="94"/>
      <c r="AC97" s="94"/>
      <c r="AD97" s="94"/>
      <c r="AE97" s="94"/>
      <c r="AF97" s="94"/>
      <c r="AG97" s="94"/>
      <c r="AH97" s="94"/>
      <c r="AI97" s="94"/>
      <c r="AJ97" s="94"/>
      <c r="AK97" s="94"/>
      <c r="AL97" s="94"/>
      <c r="AM97" s="94"/>
      <c r="AN97" s="94"/>
      <c r="AO97" s="94"/>
      <c r="AP97" s="94"/>
      <c r="AQ97" s="94"/>
      <c r="AR97" s="94"/>
      <c r="AS97" s="94"/>
      <c r="AT97" s="94"/>
      <c r="AU97" s="94"/>
      <c r="AV97" s="94"/>
      <c r="AW97" s="94"/>
      <c r="AX97" s="94"/>
      <c r="AY97" s="94"/>
      <c r="AZ97" s="94"/>
      <c r="BA97" s="94"/>
      <c r="BB97" s="94"/>
      <c r="BC97" s="94"/>
      <c r="BD97" s="94"/>
      <c r="BE97" s="94"/>
      <c r="BF97" s="94"/>
      <c r="BG97" s="94"/>
      <c r="BH97" s="94"/>
      <c r="BI97" s="94"/>
      <c r="BJ97" s="94"/>
      <c r="BK97" s="94"/>
      <c r="BL97" s="94"/>
      <c r="BM97" s="94"/>
      <c r="BN97" s="94"/>
      <c r="BO97" s="94"/>
      <c r="BP97" s="94"/>
      <c r="BQ97" s="94"/>
      <c r="BR97" s="94"/>
      <c r="BS97" s="94"/>
      <c r="BT97" s="94"/>
    </row>
    <row r="98" spans="1:72" x14ac:dyDescent="0.35">
      <c r="A98" s="48"/>
      <c r="B98" s="48"/>
    </row>
    <row r="99" spans="1:72" ht="29.25" thickBot="1" x14ac:dyDescent="0.5">
      <c r="A99" s="97" t="s">
        <v>50</v>
      </c>
      <c r="B99" s="95"/>
      <c r="C99" s="96"/>
      <c r="D99" s="96"/>
      <c r="E99" s="96"/>
      <c r="F99" s="95"/>
      <c r="G99" s="95"/>
      <c r="H99" s="95"/>
      <c r="I99" s="95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  <c r="AB99" s="95"/>
      <c r="AC99" s="95"/>
      <c r="AD99" s="95"/>
      <c r="AE99" s="95"/>
      <c r="AF99" s="95"/>
      <c r="AG99" s="95"/>
      <c r="AH99" s="95"/>
      <c r="AI99" s="95"/>
      <c r="AJ99" s="95"/>
      <c r="AK99" s="95"/>
      <c r="AL99" s="95"/>
      <c r="AM99" s="95"/>
      <c r="AN99" s="95"/>
      <c r="AO99" s="95"/>
      <c r="AP99" s="95"/>
      <c r="AQ99" s="95"/>
      <c r="AR99" s="95"/>
      <c r="AS99" s="95"/>
      <c r="AT99" s="95"/>
      <c r="AU99" s="95"/>
      <c r="AV99" s="95"/>
      <c r="AW99" s="95"/>
      <c r="AX99" s="95"/>
      <c r="AY99" s="95"/>
      <c r="AZ99" s="95"/>
      <c r="BA99" s="95"/>
      <c r="BB99" s="95"/>
      <c r="BC99" s="95"/>
      <c r="BD99" s="95"/>
      <c r="BE99" s="95"/>
      <c r="BF99" s="95"/>
      <c r="BG99" s="95"/>
      <c r="BH99" s="95"/>
      <c r="BI99" s="95"/>
      <c r="BJ99" s="95"/>
      <c r="BK99" s="95"/>
      <c r="BL99" s="95"/>
      <c r="BM99" s="95"/>
      <c r="BN99" s="95"/>
      <c r="BO99" s="95"/>
      <c r="BP99" s="95"/>
      <c r="BQ99" s="95"/>
      <c r="BR99" s="95"/>
      <c r="BS99" s="95"/>
      <c r="BT99" s="95"/>
    </row>
    <row r="100" spans="1:72" ht="22.5" thickTop="1" thickBot="1" x14ac:dyDescent="0.4">
      <c r="A100" s="91" t="s">
        <v>28</v>
      </c>
      <c r="B100" s="63">
        <v>300</v>
      </c>
      <c r="C100" s="63">
        <v>310</v>
      </c>
      <c r="D100" s="63">
        <v>320</v>
      </c>
      <c r="E100" s="63">
        <v>330</v>
      </c>
      <c r="F100" s="63">
        <v>340</v>
      </c>
      <c r="G100" s="63">
        <v>350</v>
      </c>
      <c r="H100" s="63">
        <v>360</v>
      </c>
      <c r="I100" s="63">
        <v>370</v>
      </c>
      <c r="J100" s="63">
        <v>380</v>
      </c>
      <c r="K100" s="63">
        <v>390</v>
      </c>
      <c r="L100" s="63">
        <v>400</v>
      </c>
      <c r="M100" s="63">
        <v>410</v>
      </c>
      <c r="N100" s="63">
        <v>420</v>
      </c>
      <c r="O100" s="63">
        <v>430</v>
      </c>
      <c r="P100" s="63">
        <v>440</v>
      </c>
      <c r="Q100" s="63">
        <v>450</v>
      </c>
      <c r="R100" s="63">
        <v>460</v>
      </c>
      <c r="S100" s="63">
        <v>470</v>
      </c>
      <c r="T100" s="63">
        <v>480</v>
      </c>
      <c r="U100" s="63">
        <v>490</v>
      </c>
      <c r="V100" s="63">
        <v>500</v>
      </c>
      <c r="W100" s="63">
        <v>510</v>
      </c>
      <c r="X100" s="63">
        <v>520</v>
      </c>
      <c r="Y100" s="63">
        <v>530</v>
      </c>
      <c r="Z100" s="63">
        <v>540</v>
      </c>
      <c r="AA100" s="63">
        <v>550</v>
      </c>
      <c r="AB100" s="63">
        <v>560</v>
      </c>
      <c r="AC100" s="63">
        <v>570</v>
      </c>
      <c r="AD100" s="63">
        <v>580</v>
      </c>
      <c r="AE100" s="63">
        <v>590</v>
      </c>
      <c r="AF100" s="63">
        <v>600</v>
      </c>
      <c r="AG100" s="63">
        <v>610</v>
      </c>
      <c r="AH100" s="63">
        <v>620</v>
      </c>
      <c r="AI100" s="63">
        <v>630</v>
      </c>
      <c r="AJ100" s="63">
        <v>640</v>
      </c>
      <c r="AK100" s="63">
        <v>650</v>
      </c>
      <c r="AL100" s="63">
        <v>660</v>
      </c>
      <c r="AM100" s="63">
        <v>670</v>
      </c>
      <c r="AN100" s="63">
        <v>680</v>
      </c>
      <c r="AO100" s="63">
        <v>690</v>
      </c>
      <c r="AP100" s="63">
        <v>700</v>
      </c>
      <c r="AQ100" s="63">
        <v>710</v>
      </c>
      <c r="AR100" s="63">
        <v>720</v>
      </c>
      <c r="AS100" s="63">
        <v>730</v>
      </c>
      <c r="AT100" s="63">
        <v>740</v>
      </c>
      <c r="AU100" s="63">
        <v>750</v>
      </c>
      <c r="AV100" s="63">
        <v>760</v>
      </c>
      <c r="AW100" s="63">
        <v>770</v>
      </c>
      <c r="AX100" s="63">
        <v>780</v>
      </c>
      <c r="AY100" s="63">
        <v>790</v>
      </c>
      <c r="AZ100" s="63">
        <v>800</v>
      </c>
      <c r="BA100" s="63">
        <v>810</v>
      </c>
      <c r="BB100" s="63">
        <v>820</v>
      </c>
      <c r="BC100" s="63">
        <v>830</v>
      </c>
      <c r="BD100" s="63">
        <v>840</v>
      </c>
      <c r="BE100" s="63">
        <v>850</v>
      </c>
      <c r="BF100" s="63">
        <v>860</v>
      </c>
      <c r="BG100" s="63">
        <v>870</v>
      </c>
      <c r="BH100" s="63">
        <v>880</v>
      </c>
      <c r="BI100" s="63">
        <v>890</v>
      </c>
      <c r="BJ100" s="63">
        <v>900</v>
      </c>
      <c r="BK100" s="63">
        <v>910</v>
      </c>
      <c r="BL100" s="63">
        <v>920</v>
      </c>
      <c r="BM100" s="63">
        <v>930</v>
      </c>
      <c r="BN100" s="63">
        <v>940</v>
      </c>
      <c r="BO100" s="63">
        <v>950</v>
      </c>
      <c r="BP100" s="63">
        <v>960</v>
      </c>
      <c r="BQ100" s="63">
        <v>970</v>
      </c>
      <c r="BR100" s="63">
        <v>980</v>
      </c>
      <c r="BS100" s="63">
        <v>990</v>
      </c>
      <c r="BT100" s="63">
        <v>1000</v>
      </c>
    </row>
    <row r="101" spans="1:72" ht="22.5" thickTop="1" thickBot="1" x14ac:dyDescent="0.4">
      <c r="A101" s="88" t="s">
        <v>51</v>
      </c>
      <c r="B101" s="36">
        <v>4.0122484763636409E-11</v>
      </c>
      <c r="C101" s="36">
        <v>4.4496089090909203E-10</v>
      </c>
      <c r="D101" s="36">
        <v>1.4468027090909102E-9</v>
      </c>
      <c r="E101" s="36">
        <v>1.5836322181818206E-7</v>
      </c>
      <c r="F101" s="36">
        <v>5.8185203482425066E-3</v>
      </c>
      <c r="G101" s="36">
        <v>7.8545577451272802E-2</v>
      </c>
      <c r="H101" s="36">
        <v>0.12</v>
      </c>
      <c r="I101" s="36">
        <v>0.12</v>
      </c>
      <c r="J101" s="36">
        <v>0.12</v>
      </c>
      <c r="K101" s="36">
        <v>0.12</v>
      </c>
      <c r="L101" s="36">
        <v>0.12</v>
      </c>
      <c r="M101" s="36">
        <v>0.12</v>
      </c>
      <c r="N101" s="36">
        <v>0.12</v>
      </c>
      <c r="O101" s="36">
        <v>0.12</v>
      </c>
      <c r="P101" s="36">
        <v>0.12</v>
      </c>
      <c r="Q101" s="36">
        <v>0.12</v>
      </c>
      <c r="R101" s="36">
        <v>0.12</v>
      </c>
      <c r="S101" s="36">
        <v>0.12</v>
      </c>
      <c r="T101" s="36">
        <v>0.12</v>
      </c>
      <c r="U101" s="36">
        <v>0.12</v>
      </c>
      <c r="V101" s="36">
        <v>0.12</v>
      </c>
      <c r="W101" s="36">
        <v>0.20145454545454577</v>
      </c>
      <c r="X101" s="36">
        <v>0.34690909090909122</v>
      </c>
      <c r="Y101" s="36">
        <v>0.36</v>
      </c>
      <c r="Z101" s="36">
        <v>0.36</v>
      </c>
      <c r="AA101" s="36">
        <v>0.36</v>
      </c>
      <c r="AB101" s="36">
        <v>0.36</v>
      </c>
      <c r="AC101" s="36">
        <v>0.36</v>
      </c>
      <c r="AD101" s="36">
        <v>0.36</v>
      </c>
      <c r="AE101" s="36">
        <v>0.36727272727272725</v>
      </c>
      <c r="AF101" s="36">
        <v>0.39151515151515154</v>
      </c>
      <c r="AG101" s="36">
        <v>0.4</v>
      </c>
      <c r="AH101" s="36">
        <v>0.4</v>
      </c>
      <c r="AI101" s="36">
        <v>0.4</v>
      </c>
      <c r="AJ101" s="36">
        <v>0.4</v>
      </c>
      <c r="AK101" s="36">
        <v>0.4</v>
      </c>
      <c r="AL101" s="36">
        <v>0.4</v>
      </c>
      <c r="AM101" s="36">
        <v>0.4</v>
      </c>
      <c r="AN101" s="36">
        <v>0.4</v>
      </c>
      <c r="AO101" s="36">
        <v>0.4</v>
      </c>
      <c r="AP101" s="36">
        <v>0.4</v>
      </c>
      <c r="AQ101" s="36">
        <v>0.4</v>
      </c>
      <c r="AR101" s="36">
        <v>0.4</v>
      </c>
      <c r="AS101" s="36">
        <v>0.4</v>
      </c>
      <c r="AT101" s="36">
        <v>0.4</v>
      </c>
      <c r="AU101" s="36">
        <v>0.4</v>
      </c>
      <c r="AV101" s="36">
        <v>0.4</v>
      </c>
      <c r="AW101" s="36">
        <v>0.4</v>
      </c>
      <c r="AX101" s="36">
        <v>0.4</v>
      </c>
      <c r="AY101" s="36">
        <v>0.4</v>
      </c>
      <c r="AZ101" s="36">
        <v>0.4</v>
      </c>
      <c r="BA101" s="36">
        <v>0.43881333333333356</v>
      </c>
      <c r="BB101" s="36">
        <v>0.4782957575757576</v>
      </c>
      <c r="BC101" s="36">
        <v>0.47944727272727272</v>
      </c>
      <c r="BD101" s="36">
        <v>0.48</v>
      </c>
      <c r="BE101" s="36">
        <v>0.48</v>
      </c>
      <c r="BF101" s="36">
        <v>0.48</v>
      </c>
      <c r="BG101" s="36">
        <v>0.48</v>
      </c>
      <c r="BH101" s="36">
        <v>0.48</v>
      </c>
      <c r="BI101" s="36">
        <v>0.48</v>
      </c>
      <c r="BJ101" s="36">
        <v>0.48</v>
      </c>
      <c r="BK101" s="36">
        <v>0.48</v>
      </c>
      <c r="BL101" s="36">
        <v>0.48</v>
      </c>
      <c r="BM101" s="36">
        <v>0.48</v>
      </c>
      <c r="BN101" s="36">
        <v>0.48</v>
      </c>
      <c r="BO101" s="36">
        <v>0.48</v>
      </c>
      <c r="BP101" s="36">
        <v>0.48</v>
      </c>
      <c r="BQ101" s="36">
        <v>0.48</v>
      </c>
      <c r="BR101" s="36">
        <v>0.48</v>
      </c>
      <c r="BS101" s="36">
        <v>0.48</v>
      </c>
      <c r="BT101" s="36">
        <v>0.48</v>
      </c>
    </row>
    <row r="102" spans="1:72" ht="21.75" thickBot="1" x14ac:dyDescent="0.4">
      <c r="A102" s="88" t="s">
        <v>52</v>
      </c>
      <c r="B102" s="36">
        <v>0</v>
      </c>
      <c r="C102" s="36">
        <v>0</v>
      </c>
      <c r="D102" s="36">
        <v>0</v>
      </c>
      <c r="E102" s="36">
        <v>0</v>
      </c>
      <c r="F102" s="36">
        <v>0</v>
      </c>
      <c r="G102" s="36">
        <v>0</v>
      </c>
      <c r="H102" s="36">
        <v>0</v>
      </c>
      <c r="I102" s="36">
        <v>0</v>
      </c>
      <c r="J102" s="36">
        <v>9.4775333333333184E-34</v>
      </c>
      <c r="K102" s="36">
        <v>3.7209473377436009E-27</v>
      </c>
      <c r="L102" s="36">
        <v>3.4728824894773901E-26</v>
      </c>
      <c r="M102" s="36">
        <v>1.9889319213313171E-11</v>
      </c>
      <c r="N102" s="36">
        <v>6.2207019667170965E-11</v>
      </c>
      <c r="O102" s="36">
        <v>1.0452472012102877E-10</v>
      </c>
      <c r="P102" s="36">
        <v>1.4684242057488658E-10</v>
      </c>
      <c r="Q102" s="36">
        <v>1.8916012102874438E-10</v>
      </c>
      <c r="R102" s="36">
        <v>2.3147782148260218E-10</v>
      </c>
      <c r="S102" s="36">
        <v>2.7379552193645998E-10</v>
      </c>
      <c r="T102" s="36">
        <v>8.7112896969697131E-10</v>
      </c>
      <c r="U102" s="36">
        <v>5.1064036363636761E-9</v>
      </c>
      <c r="V102" s="36">
        <v>2.2687373333333375E-8</v>
      </c>
      <c r="W102" s="36">
        <v>8.145456555216396E-2</v>
      </c>
      <c r="X102" s="36">
        <v>0.22690909256852759</v>
      </c>
      <c r="Y102" s="36">
        <v>0.24</v>
      </c>
      <c r="Z102" s="36">
        <v>0.24</v>
      </c>
      <c r="AA102" s="36">
        <v>0.24</v>
      </c>
      <c r="AB102" s="36">
        <v>0.24</v>
      </c>
      <c r="AC102" s="36">
        <v>0.24</v>
      </c>
      <c r="AD102" s="36">
        <v>0.24</v>
      </c>
      <c r="AE102" s="36">
        <v>0.24</v>
      </c>
      <c r="AF102" s="36">
        <v>0.24</v>
      </c>
      <c r="AG102" s="36">
        <v>0.24</v>
      </c>
      <c r="AH102" s="36">
        <v>0.24</v>
      </c>
      <c r="AI102" s="36">
        <v>0.24</v>
      </c>
      <c r="AJ102" s="36">
        <v>0.24</v>
      </c>
      <c r="AK102" s="36">
        <v>0.24</v>
      </c>
      <c r="AL102" s="36">
        <v>0.24</v>
      </c>
      <c r="AM102" s="36">
        <v>0.24</v>
      </c>
      <c r="AN102" s="36">
        <v>0.24</v>
      </c>
      <c r="AO102" s="36">
        <v>0.24</v>
      </c>
      <c r="AP102" s="36">
        <v>0.24</v>
      </c>
      <c r="AQ102" s="36">
        <v>0.24</v>
      </c>
      <c r="AR102" s="36">
        <v>0.24</v>
      </c>
      <c r="AS102" s="36">
        <v>0.24</v>
      </c>
      <c r="AT102" s="36">
        <v>0.24</v>
      </c>
      <c r="AU102" s="36">
        <v>0.24</v>
      </c>
      <c r="AV102" s="36">
        <v>0.24</v>
      </c>
      <c r="AW102" s="36">
        <v>0.24</v>
      </c>
      <c r="AX102" s="36">
        <v>0.24</v>
      </c>
      <c r="AY102" s="36">
        <v>0.24</v>
      </c>
      <c r="AZ102" s="36">
        <v>0.24</v>
      </c>
      <c r="BA102" s="36">
        <v>0.23194909090909085</v>
      </c>
      <c r="BB102" s="36">
        <v>0.22352078787878787</v>
      </c>
      <c r="BC102" s="36">
        <v>0.22187836363636362</v>
      </c>
      <c r="BD102" s="36">
        <v>0.22027060606060606</v>
      </c>
      <c r="BE102" s="36">
        <v>0.21869484848484846</v>
      </c>
      <c r="BF102" s="36">
        <v>0.21694509090909089</v>
      </c>
      <c r="BG102" s="36">
        <v>0.21502680786686837</v>
      </c>
      <c r="BH102" s="36">
        <v>0.21260320726172466</v>
      </c>
      <c r="BI102" s="36">
        <v>0.21017960665658092</v>
      </c>
      <c r="BJ102" s="36">
        <v>0.20775600605143721</v>
      </c>
      <c r="BK102" s="36">
        <v>0.2053324054462935</v>
      </c>
      <c r="BL102" s="36">
        <v>0.20290880484114976</v>
      </c>
      <c r="BM102" s="36">
        <v>0.20048520423600605</v>
      </c>
      <c r="BN102" s="36">
        <v>0.19751036363636362</v>
      </c>
      <c r="BO102" s="36">
        <v>0.19418309090909089</v>
      </c>
      <c r="BP102" s="36">
        <v>0.19040084337349397</v>
      </c>
      <c r="BQ102" s="36">
        <v>0.18640909090909091</v>
      </c>
      <c r="BR102" s="36">
        <v>0.18197272727272726</v>
      </c>
      <c r="BS102" s="36">
        <v>0.17705181818181817</v>
      </c>
      <c r="BT102" s="36">
        <v>0.17186999999999999</v>
      </c>
    </row>
    <row r="103" spans="1:72" ht="21.75" thickBot="1" x14ac:dyDescent="0.4">
      <c r="A103" s="88" t="s">
        <v>67</v>
      </c>
      <c r="B103" s="36">
        <v>0.04</v>
      </c>
      <c r="C103" s="36">
        <v>0.04</v>
      </c>
      <c r="D103" s="36">
        <v>0.04</v>
      </c>
      <c r="E103" s="36">
        <v>0.04</v>
      </c>
      <c r="F103" s="36">
        <v>0.04</v>
      </c>
      <c r="G103" s="36">
        <v>0.04</v>
      </c>
      <c r="H103" s="36">
        <v>0.04</v>
      </c>
      <c r="I103" s="36">
        <v>0.04</v>
      </c>
      <c r="J103" s="36">
        <v>0.04</v>
      </c>
      <c r="K103" s="36">
        <v>0.04</v>
      </c>
      <c r="L103" s="36">
        <v>0.04</v>
      </c>
      <c r="M103" s="36">
        <v>0.04</v>
      </c>
      <c r="N103" s="36">
        <v>0.04</v>
      </c>
      <c r="O103" s="36">
        <v>0.04</v>
      </c>
      <c r="P103" s="36">
        <v>0.04</v>
      </c>
      <c r="Q103" s="36">
        <v>0.04</v>
      </c>
      <c r="R103" s="36">
        <v>0.04</v>
      </c>
      <c r="S103" s="36">
        <v>0.04</v>
      </c>
      <c r="T103" s="36">
        <v>0.04</v>
      </c>
      <c r="U103" s="36">
        <v>0.04</v>
      </c>
      <c r="V103" s="36">
        <v>0.04</v>
      </c>
      <c r="W103" s="36">
        <v>0.04</v>
      </c>
      <c r="X103" s="36">
        <v>0.04</v>
      </c>
      <c r="Y103" s="36">
        <v>0.04</v>
      </c>
      <c r="Z103" s="36">
        <v>0.04</v>
      </c>
      <c r="AA103" s="36">
        <v>0.04</v>
      </c>
      <c r="AB103" s="36">
        <v>0.04</v>
      </c>
      <c r="AC103" s="36">
        <v>0.04</v>
      </c>
      <c r="AD103" s="36">
        <v>0.04</v>
      </c>
      <c r="AE103" s="36">
        <v>3.2727300083636363E-2</v>
      </c>
      <c r="AF103" s="36">
        <v>8.4849670290909132E-3</v>
      </c>
      <c r="AG103" s="36">
        <v>9.2012587349397678E-8</v>
      </c>
      <c r="AH103" s="36">
        <v>2.0934909638556205E-9</v>
      </c>
      <c r="AI103" s="36">
        <v>6.0522000000000135E-10</v>
      </c>
      <c r="AJ103" s="36">
        <v>1.7152876363636392E-10</v>
      </c>
      <c r="AK103" s="36">
        <v>5.1025127272727563E-11</v>
      </c>
      <c r="AL103" s="36">
        <v>9.3014254545454674E-12</v>
      </c>
      <c r="AM103" s="36">
        <v>3.2052853252647528E-12</v>
      </c>
      <c r="AN103" s="36">
        <v>2.7174184568835376E-12</v>
      </c>
      <c r="AO103" s="36">
        <v>2.2295515885023228E-12</v>
      </c>
      <c r="AP103" s="36">
        <v>1.741684720121108E-12</v>
      </c>
      <c r="AQ103" s="36">
        <v>1.2538178517398928E-12</v>
      </c>
      <c r="AR103" s="36">
        <v>7.65950983358678E-13</v>
      </c>
      <c r="AS103" s="36">
        <v>2.780841149774632E-13</v>
      </c>
      <c r="AT103" s="36">
        <v>1.2466971230242472E-25</v>
      </c>
      <c r="AU103" s="36">
        <v>2.2482996726667122E-26</v>
      </c>
      <c r="AV103" s="36">
        <v>1.011994545454551E-30</v>
      </c>
      <c r="AW103" s="36">
        <v>0</v>
      </c>
      <c r="AX103" s="36">
        <v>0</v>
      </c>
      <c r="AY103" s="36">
        <v>0</v>
      </c>
      <c r="AZ103" s="36">
        <v>0</v>
      </c>
      <c r="BA103" s="36">
        <v>0</v>
      </c>
      <c r="BB103" s="36">
        <v>0</v>
      </c>
      <c r="BC103" s="36">
        <v>0</v>
      </c>
      <c r="BD103" s="36">
        <v>0</v>
      </c>
      <c r="BE103" s="36">
        <v>0</v>
      </c>
      <c r="BF103" s="36">
        <v>0</v>
      </c>
      <c r="BG103" s="36">
        <v>0</v>
      </c>
      <c r="BH103" s="36">
        <v>0</v>
      </c>
      <c r="BI103" s="36">
        <v>0</v>
      </c>
      <c r="BJ103" s="36">
        <v>0</v>
      </c>
      <c r="BK103" s="36">
        <v>0</v>
      </c>
      <c r="BL103" s="36">
        <v>0</v>
      </c>
      <c r="BM103" s="36">
        <v>0</v>
      </c>
      <c r="BN103" s="36">
        <v>0</v>
      </c>
      <c r="BO103" s="36">
        <v>0</v>
      </c>
      <c r="BP103" s="36">
        <v>0</v>
      </c>
      <c r="BQ103" s="36">
        <v>0</v>
      </c>
      <c r="BR103" s="36">
        <v>0</v>
      </c>
      <c r="BS103" s="36">
        <v>0</v>
      </c>
      <c r="BT103" s="36">
        <v>0</v>
      </c>
    </row>
    <row r="104" spans="1:72" ht="21.75" thickBot="1" x14ac:dyDescent="0.4">
      <c r="A104" s="88" t="s">
        <v>61</v>
      </c>
      <c r="B104" s="36">
        <v>0</v>
      </c>
      <c r="C104" s="36">
        <v>0</v>
      </c>
      <c r="D104" s="36">
        <v>0</v>
      </c>
      <c r="E104" s="36">
        <v>0</v>
      </c>
      <c r="F104" s="36">
        <v>0</v>
      </c>
      <c r="G104" s="36">
        <v>0</v>
      </c>
      <c r="H104" s="36">
        <v>0</v>
      </c>
      <c r="I104" s="36">
        <v>0</v>
      </c>
      <c r="J104" s="36">
        <v>0</v>
      </c>
      <c r="K104" s="36">
        <v>0</v>
      </c>
      <c r="L104" s="36">
        <v>0</v>
      </c>
      <c r="M104" s="36">
        <v>0</v>
      </c>
      <c r="N104" s="36">
        <v>0</v>
      </c>
      <c r="O104" s="36">
        <v>0</v>
      </c>
      <c r="P104" s="36">
        <v>0</v>
      </c>
      <c r="Q104" s="36">
        <v>0</v>
      </c>
      <c r="R104" s="36">
        <v>0</v>
      </c>
      <c r="S104" s="36">
        <v>0</v>
      </c>
      <c r="T104" s="36">
        <v>0</v>
      </c>
      <c r="U104" s="36">
        <v>0</v>
      </c>
      <c r="V104" s="36">
        <v>0</v>
      </c>
      <c r="W104" s="36">
        <v>0</v>
      </c>
      <c r="X104" s="36">
        <v>0</v>
      </c>
      <c r="Y104" s="36">
        <v>0</v>
      </c>
      <c r="Z104" s="36">
        <v>0</v>
      </c>
      <c r="AA104" s="36">
        <v>0</v>
      </c>
      <c r="AB104" s="36">
        <v>0</v>
      </c>
      <c r="AC104" s="36">
        <v>0</v>
      </c>
      <c r="AD104" s="36">
        <v>0</v>
      </c>
      <c r="AE104" s="36">
        <v>0</v>
      </c>
      <c r="AF104" s="36">
        <v>0</v>
      </c>
      <c r="AG104" s="36">
        <v>0</v>
      </c>
      <c r="AH104" s="36">
        <v>0</v>
      </c>
      <c r="AI104" s="36">
        <v>0</v>
      </c>
      <c r="AJ104" s="36">
        <v>0</v>
      </c>
      <c r="AK104" s="36">
        <v>0</v>
      </c>
      <c r="AL104" s="36">
        <v>0</v>
      </c>
      <c r="AM104" s="36">
        <v>3.4433888048409526E-29</v>
      </c>
      <c r="AN104" s="36">
        <v>8.9528108925869658E-28</v>
      </c>
      <c r="AO104" s="36">
        <v>1.7561282904689835E-27</v>
      </c>
      <c r="AP104" s="36">
        <v>2.6169754916792708E-27</v>
      </c>
      <c r="AQ104" s="36">
        <v>3.4778226928895578E-27</v>
      </c>
      <c r="AR104" s="36">
        <v>4.3386698940998448E-27</v>
      </c>
      <c r="AS104" s="36">
        <v>5.1995170953101317E-27</v>
      </c>
      <c r="AT104" s="36">
        <v>8.3405517818180944E-25</v>
      </c>
      <c r="AU104" s="36">
        <v>2.7604853599999911E-24</v>
      </c>
      <c r="AV104" s="36">
        <v>2.7552517636363479E-22</v>
      </c>
      <c r="AW104" s="36">
        <v>1.5058913939393614E-21</v>
      </c>
      <c r="AX104" s="36">
        <v>8.6335944242423924E-21</v>
      </c>
      <c r="AY104" s="36">
        <v>1.64338072289156E-19</v>
      </c>
      <c r="AZ104" s="36">
        <v>4.8100072289156739E-19</v>
      </c>
      <c r="BA104" s="36">
        <v>3.0472341818181691E-19</v>
      </c>
      <c r="BB104" s="36">
        <v>2.0336121218275148E-10</v>
      </c>
      <c r="BC104" s="36">
        <v>1.3996036363835989E-9</v>
      </c>
      <c r="BD104" s="36">
        <v>1.0271487272727344E-8</v>
      </c>
      <c r="BE104" s="36">
        <v>2.6228578181818253E-8</v>
      </c>
      <c r="BF104" s="36">
        <v>3.5589381818181855E-8</v>
      </c>
      <c r="BG104" s="36">
        <v>4.2250305597579427E-8</v>
      </c>
      <c r="BH104" s="36">
        <v>4.2833512859304087E-8</v>
      </c>
      <c r="BI104" s="36">
        <v>4.3416720121028747E-8</v>
      </c>
      <c r="BJ104" s="36">
        <v>4.3999927382753407E-8</v>
      </c>
      <c r="BK104" s="36">
        <v>4.4583134644478067E-8</v>
      </c>
      <c r="BL104" s="36">
        <v>4.5166341906202727E-8</v>
      </c>
      <c r="BM104" s="36">
        <v>4.5749549167927387E-8</v>
      </c>
      <c r="BN104" s="36">
        <v>4.4567345454545453E-8</v>
      </c>
      <c r="BO104" s="36">
        <v>4.2256436363636358E-8</v>
      </c>
      <c r="BP104" s="36">
        <v>2.6851999999999985E-8</v>
      </c>
      <c r="BQ104" s="36">
        <v>1.3646309090909091E-8</v>
      </c>
      <c r="BR104" s="36">
        <v>6.8440060606060596E-9</v>
      </c>
      <c r="BS104" s="36">
        <v>2.9135448484848485E-9</v>
      </c>
      <c r="BT104" s="36">
        <v>5.2946000000000036E-10</v>
      </c>
    </row>
    <row r="105" spans="1:72" ht="21.75" thickBot="1" x14ac:dyDescent="0.4">
      <c r="A105" s="88" t="s">
        <v>68</v>
      </c>
      <c r="B105" s="36">
        <v>0.12</v>
      </c>
      <c r="C105" s="36">
        <v>0.12</v>
      </c>
      <c r="D105" s="36">
        <v>0.12</v>
      </c>
      <c r="E105" s="36">
        <v>0.12</v>
      </c>
      <c r="F105" s="36">
        <v>0.11418181839080718</v>
      </c>
      <c r="G105" s="36">
        <v>4.145454827589809E-2</v>
      </c>
      <c r="H105" s="36">
        <v>3.2263518674698782E-9</v>
      </c>
      <c r="I105" s="36">
        <v>7.0530969879518313E-10</v>
      </c>
      <c r="J105" s="36">
        <v>6.9458380000000084E-11</v>
      </c>
      <c r="K105" s="36">
        <v>5.0540360727272767E-12</v>
      </c>
      <c r="L105" s="36">
        <v>1.7951700121212162E-12</v>
      </c>
      <c r="M105" s="36">
        <v>6.3137963801403633E-14</v>
      </c>
      <c r="N105" s="36">
        <v>5.2854908059709232E-14</v>
      </c>
      <c r="O105" s="36">
        <v>4.2571852318014825E-14</v>
      </c>
      <c r="P105" s="36">
        <v>3.2288796576320418E-14</v>
      </c>
      <c r="Q105" s="36">
        <v>2.200574083462601E-14</v>
      </c>
      <c r="R105" s="36">
        <v>1.1722685092931603E-14</v>
      </c>
      <c r="S105" s="36">
        <v>1.4396293512372023E-15</v>
      </c>
      <c r="T105" s="36">
        <v>7.4087636363640254E-22</v>
      </c>
      <c r="U105" s="36">
        <v>6.8757818181818073E-35</v>
      </c>
      <c r="V105" s="36">
        <v>2.1009333333333221E-35</v>
      </c>
      <c r="W105" s="36">
        <v>0</v>
      </c>
      <c r="X105" s="36">
        <v>0</v>
      </c>
      <c r="Y105" s="36">
        <v>0</v>
      </c>
      <c r="Z105" s="36">
        <v>0</v>
      </c>
      <c r="AA105" s="36">
        <v>0</v>
      </c>
      <c r="AB105" s="36">
        <v>0</v>
      </c>
      <c r="AC105" s="36">
        <v>0</v>
      </c>
      <c r="AD105" s="36">
        <v>0</v>
      </c>
      <c r="AE105" s="36">
        <v>0</v>
      </c>
      <c r="AF105" s="36">
        <v>0</v>
      </c>
      <c r="AG105" s="36">
        <v>0</v>
      </c>
      <c r="AH105" s="36">
        <v>0</v>
      </c>
      <c r="AI105" s="36">
        <v>0</v>
      </c>
      <c r="AJ105" s="36">
        <v>0</v>
      </c>
      <c r="AK105" s="36">
        <v>0</v>
      </c>
      <c r="AL105" s="36">
        <v>0</v>
      </c>
      <c r="AM105" s="36">
        <v>0</v>
      </c>
      <c r="AN105" s="36">
        <v>0</v>
      </c>
      <c r="AO105" s="36">
        <v>0</v>
      </c>
      <c r="AP105" s="36">
        <v>0</v>
      </c>
      <c r="AQ105" s="36">
        <v>0</v>
      </c>
      <c r="AR105" s="36">
        <v>0</v>
      </c>
      <c r="AS105" s="36">
        <v>0</v>
      </c>
      <c r="AT105" s="36">
        <v>0</v>
      </c>
      <c r="AU105" s="36">
        <v>0</v>
      </c>
      <c r="AV105" s="36">
        <v>0</v>
      </c>
      <c r="AW105" s="36">
        <v>0</v>
      </c>
      <c r="AX105" s="36">
        <v>0</v>
      </c>
      <c r="AY105" s="36">
        <v>0</v>
      </c>
      <c r="AZ105" s="36">
        <v>0</v>
      </c>
      <c r="BA105" s="36">
        <v>0</v>
      </c>
      <c r="BB105" s="36">
        <v>0</v>
      </c>
      <c r="BC105" s="36">
        <v>0</v>
      </c>
      <c r="BD105" s="36">
        <v>0</v>
      </c>
      <c r="BE105" s="36">
        <v>0</v>
      </c>
      <c r="BF105" s="36">
        <v>0</v>
      </c>
      <c r="BG105" s="36">
        <v>0</v>
      </c>
      <c r="BH105" s="36">
        <v>0</v>
      </c>
      <c r="BI105" s="36">
        <v>0</v>
      </c>
      <c r="BJ105" s="36">
        <v>0</v>
      </c>
      <c r="BK105" s="36">
        <v>0</v>
      </c>
      <c r="BL105" s="36">
        <v>0</v>
      </c>
      <c r="BM105" s="36">
        <v>0</v>
      </c>
      <c r="BN105" s="36">
        <v>0</v>
      </c>
      <c r="BO105" s="36">
        <v>0</v>
      </c>
      <c r="BP105" s="36">
        <v>0</v>
      </c>
      <c r="BQ105" s="36">
        <v>0</v>
      </c>
      <c r="BR105" s="36">
        <v>0</v>
      </c>
      <c r="BS105" s="36">
        <v>0</v>
      </c>
      <c r="BT105" s="36">
        <v>0</v>
      </c>
    </row>
    <row r="106" spans="1:72" ht="21.75" thickBot="1" x14ac:dyDescent="0.4">
      <c r="A106" s="88" t="s">
        <v>53</v>
      </c>
      <c r="B106" s="36">
        <v>0</v>
      </c>
      <c r="C106" s="36">
        <v>0</v>
      </c>
      <c r="D106" s="36">
        <v>0</v>
      </c>
      <c r="E106" s="36">
        <v>0</v>
      </c>
      <c r="F106" s="36">
        <v>0</v>
      </c>
      <c r="G106" s="36">
        <v>0</v>
      </c>
      <c r="H106" s="36">
        <v>0</v>
      </c>
      <c r="I106" s="36">
        <v>0</v>
      </c>
      <c r="J106" s="36">
        <v>1.4189933333333312E-30</v>
      </c>
      <c r="K106" s="36">
        <v>6.7565728649090263E-26</v>
      </c>
      <c r="L106" s="36">
        <v>6.3058812822484776E-25</v>
      </c>
      <c r="M106" s="36">
        <v>4.3909092293046825E-15</v>
      </c>
      <c r="N106" s="36">
        <v>1.3733269289678517E-14</v>
      </c>
      <c r="O106" s="36">
        <v>2.3075629350052353E-14</v>
      </c>
      <c r="P106" s="36">
        <v>3.2417989410426183E-14</v>
      </c>
      <c r="Q106" s="36">
        <v>4.1760349470800024E-14</v>
      </c>
      <c r="R106" s="36">
        <v>5.1102709531173858E-14</v>
      </c>
      <c r="S106" s="36">
        <v>6.0445069591547691E-14</v>
      </c>
      <c r="T106" s="36">
        <v>2.959639235151507E-14</v>
      </c>
      <c r="U106" s="36">
        <v>4.9905163636572299E-17</v>
      </c>
      <c r="V106" s="36">
        <v>1.5248800001202663E-17</v>
      </c>
      <c r="W106" s="36">
        <v>1.0834599999999976E-27</v>
      </c>
      <c r="X106" s="36">
        <v>8.9459999999997778E-29</v>
      </c>
      <c r="Y106" s="36">
        <v>2.1785180722891592E-18</v>
      </c>
      <c r="Z106" s="36">
        <v>6.5104548826424235E-11</v>
      </c>
      <c r="AA106" s="36">
        <v>3.2552272823612119E-10</v>
      </c>
      <c r="AB106" s="36">
        <v>5.4156209090909096E-9</v>
      </c>
      <c r="AC106" s="36">
        <v>1.3725505757575759E-8</v>
      </c>
      <c r="AD106" s="36">
        <v>9.1896484848484868E-8</v>
      </c>
      <c r="AE106" s="36">
        <v>1.4545576609999999E-2</v>
      </c>
      <c r="AF106" s="36">
        <v>6.3030334676666674E-2</v>
      </c>
      <c r="AG106" s="36">
        <v>0.08</v>
      </c>
      <c r="AH106" s="36">
        <v>0.08</v>
      </c>
      <c r="AI106" s="36">
        <v>0.08</v>
      </c>
      <c r="AJ106" s="36">
        <v>0.08</v>
      </c>
      <c r="AK106" s="36">
        <v>0.08</v>
      </c>
      <c r="AL106" s="36">
        <v>0.08</v>
      </c>
      <c r="AM106" s="36">
        <v>0.08</v>
      </c>
      <c r="AN106" s="36">
        <v>0.08</v>
      </c>
      <c r="AO106" s="36">
        <v>0.08</v>
      </c>
      <c r="AP106" s="36">
        <v>0.08</v>
      </c>
      <c r="AQ106" s="36">
        <v>0.08</v>
      </c>
      <c r="AR106" s="36">
        <v>0.08</v>
      </c>
      <c r="AS106" s="36">
        <v>0.08</v>
      </c>
      <c r="AT106" s="36">
        <v>0.08</v>
      </c>
      <c r="AU106" s="36">
        <v>0.08</v>
      </c>
      <c r="AV106" s="36">
        <v>0.08</v>
      </c>
      <c r="AW106" s="36">
        <v>0.08</v>
      </c>
      <c r="AX106" s="36">
        <v>0.08</v>
      </c>
      <c r="AY106" s="36">
        <v>0.08</v>
      </c>
      <c r="AZ106" s="36">
        <v>0.08</v>
      </c>
      <c r="BA106" s="36">
        <v>4.1186368484848267E-2</v>
      </c>
      <c r="BB106" s="36">
        <v>1.7037053191939343E-3</v>
      </c>
      <c r="BC106" s="36">
        <v>5.5256013798181294E-4</v>
      </c>
      <c r="BD106" s="36">
        <v>7.3314821818181544E-9</v>
      </c>
      <c r="BE106" s="36">
        <v>1.3324094545454276E-9</v>
      </c>
      <c r="BF106" s="36">
        <v>2.6120366918181658E-10</v>
      </c>
      <c r="BG106" s="36">
        <v>1.406090015128592E-14</v>
      </c>
      <c r="BH106" s="36">
        <v>1.1860446293494696E-14</v>
      </c>
      <c r="BI106" s="36">
        <v>9.6599924357034704E-15</v>
      </c>
      <c r="BJ106" s="36">
        <v>7.4595385779122465E-15</v>
      </c>
      <c r="BK106" s="36">
        <v>5.2590847201210225E-15</v>
      </c>
      <c r="BL106" s="36">
        <v>3.058630862329797E-15</v>
      </c>
      <c r="BM106" s="36">
        <v>8.5817700453857299E-16</v>
      </c>
      <c r="BN106" s="36">
        <v>0</v>
      </c>
      <c r="BO106" s="36">
        <v>0</v>
      </c>
      <c r="BP106" s="36">
        <v>0</v>
      </c>
      <c r="BQ106" s="36">
        <v>0</v>
      </c>
      <c r="BR106" s="36">
        <v>0</v>
      </c>
      <c r="BS106" s="36">
        <v>0</v>
      </c>
      <c r="BT106" s="36">
        <v>0</v>
      </c>
    </row>
    <row r="107" spans="1:72" ht="21.75" thickBot="1" x14ac:dyDescent="0.4">
      <c r="A107" s="88" t="s">
        <v>54</v>
      </c>
      <c r="B107" s="36">
        <v>0</v>
      </c>
      <c r="C107" s="36">
        <v>0</v>
      </c>
      <c r="D107" s="36">
        <v>0</v>
      </c>
      <c r="E107" s="36">
        <v>0</v>
      </c>
      <c r="F107" s="36">
        <v>0</v>
      </c>
      <c r="G107" s="36">
        <v>0</v>
      </c>
      <c r="H107" s="36">
        <v>0</v>
      </c>
      <c r="I107" s="36">
        <v>0</v>
      </c>
      <c r="J107" s="36">
        <v>0</v>
      </c>
      <c r="K107" s="36">
        <v>0</v>
      </c>
      <c r="L107" s="36">
        <v>0</v>
      </c>
      <c r="M107" s="36">
        <v>9.8429803328290279E-33</v>
      </c>
      <c r="N107" s="36">
        <v>3.078549167927382E-32</v>
      </c>
      <c r="O107" s="36">
        <v>5.1728003025718609E-32</v>
      </c>
      <c r="P107" s="36">
        <v>7.2670514372163404E-32</v>
      </c>
      <c r="Q107" s="36">
        <v>9.3613025718608199E-32</v>
      </c>
      <c r="R107" s="36">
        <v>1.1455553706505298E-31</v>
      </c>
      <c r="S107" s="36">
        <v>1.3549804841149778E-31</v>
      </c>
      <c r="T107" s="36">
        <v>6.6278606060605875E-32</v>
      </c>
      <c r="U107" s="36">
        <v>0</v>
      </c>
      <c r="V107" s="36">
        <v>0</v>
      </c>
      <c r="W107" s="36">
        <v>0</v>
      </c>
      <c r="X107" s="36">
        <v>0</v>
      </c>
      <c r="Y107" s="36">
        <v>0</v>
      </c>
      <c r="Z107" s="36">
        <v>3.9242424242424246E-35</v>
      </c>
      <c r="AA107" s="36">
        <v>1.9621212121212122E-34</v>
      </c>
      <c r="AB107" s="36">
        <v>1.6481818181818182E-34</v>
      </c>
      <c r="AC107" s="36">
        <v>7.8484848484848385E-36</v>
      </c>
      <c r="AD107" s="36">
        <v>0</v>
      </c>
      <c r="AE107" s="36">
        <v>0</v>
      </c>
      <c r="AF107" s="36">
        <v>0</v>
      </c>
      <c r="AG107" s="36">
        <v>0</v>
      </c>
      <c r="AH107" s="36">
        <v>0</v>
      </c>
      <c r="AI107" s="36">
        <v>1.7481599999999957E-22</v>
      </c>
      <c r="AJ107" s="36">
        <v>1.8245661625212001E-17</v>
      </c>
      <c r="AK107" s="36">
        <v>7.1908515346424115E-17</v>
      </c>
      <c r="AL107" s="36">
        <v>1.4228351650909046E-13</v>
      </c>
      <c r="AM107" s="36">
        <v>3.4509718608169414E-13</v>
      </c>
      <c r="AN107" s="36">
        <v>4.6952683812405417E-13</v>
      </c>
      <c r="AO107" s="36">
        <v>5.939564901664141E-13</v>
      </c>
      <c r="AP107" s="36">
        <v>7.1838614220877423E-13</v>
      </c>
      <c r="AQ107" s="36">
        <v>8.4281579425113416E-13</v>
      </c>
      <c r="AR107" s="36">
        <v>9.6724544629349429E-13</v>
      </c>
      <c r="AS107" s="36">
        <v>1.0916750983358542E-12</v>
      </c>
      <c r="AT107" s="36">
        <v>1.0477066060606072E-12</v>
      </c>
      <c r="AU107" s="36">
        <v>7.8051266666666788E-13</v>
      </c>
      <c r="AV107" s="36">
        <v>4.0931352727272913E-13</v>
      </c>
      <c r="AW107" s="36">
        <v>5.6056281254545627E-14</v>
      </c>
      <c r="AX107" s="36">
        <v>1.9189213981818354E-14</v>
      </c>
      <c r="AY107" s="36">
        <v>1.303615663559395E-17</v>
      </c>
      <c r="AZ107" s="36">
        <v>1.9885662930812397E-18</v>
      </c>
      <c r="BA107" s="36">
        <v>1.5809739393939309E-26</v>
      </c>
      <c r="BB107" s="36">
        <v>8.2071878787880986E-18</v>
      </c>
      <c r="BC107" s="36">
        <v>5.648476363636386E-17</v>
      </c>
      <c r="BD107" s="36">
        <v>6.3944296977903582E-11</v>
      </c>
      <c r="BE107" s="36">
        <v>1.869139456700248E-10</v>
      </c>
      <c r="BF107" s="36">
        <v>2.1600800000000007E-10</v>
      </c>
      <c r="BG107" s="36">
        <v>2.3325167927382764E-10</v>
      </c>
      <c r="BH107" s="36">
        <v>2.5821385779122553E-10</v>
      </c>
      <c r="BI107" s="36">
        <v>2.8317603630862337E-10</v>
      </c>
      <c r="BJ107" s="36">
        <v>3.0813821482602127E-10</v>
      </c>
      <c r="BK107" s="36">
        <v>3.3310039334341916E-10</v>
      </c>
      <c r="BL107" s="36">
        <v>3.58062571860817E-10</v>
      </c>
      <c r="BM107" s="36">
        <v>3.8302475037821489E-10</v>
      </c>
      <c r="BN107" s="36">
        <v>8.6576509090909274E-10</v>
      </c>
      <c r="BO107" s="36">
        <v>1.6411832727272747E-9</v>
      </c>
      <c r="BP107" s="36">
        <v>2.2457132530120486E-9</v>
      </c>
      <c r="BQ107" s="36">
        <v>3.036172727272727E-9</v>
      </c>
      <c r="BR107" s="36">
        <v>4.2770818181818183E-9</v>
      </c>
      <c r="BS107" s="36">
        <v>4.5253424242424245E-9</v>
      </c>
      <c r="BT107" s="36">
        <v>4.2391000000000004E-9</v>
      </c>
    </row>
    <row r="108" spans="1:72" ht="21.75" thickBot="1" x14ac:dyDescent="0.4">
      <c r="A108" s="88" t="s">
        <v>55</v>
      </c>
      <c r="B108" s="36">
        <v>0.12</v>
      </c>
      <c r="C108" s="36">
        <v>0.12</v>
      </c>
      <c r="D108" s="36">
        <v>0.12</v>
      </c>
      <c r="E108" s="36">
        <v>0.12</v>
      </c>
      <c r="F108" s="36">
        <v>0.12581818181818188</v>
      </c>
      <c r="G108" s="36">
        <v>0.19854545454545464</v>
      </c>
      <c r="H108" s="36">
        <v>0.24</v>
      </c>
      <c r="I108" s="36">
        <v>0.24</v>
      </c>
      <c r="J108" s="36">
        <v>0.24</v>
      </c>
      <c r="K108" s="36">
        <v>0.24</v>
      </c>
      <c r="L108" s="36">
        <v>0.24</v>
      </c>
      <c r="M108" s="36">
        <v>0.24</v>
      </c>
      <c r="N108" s="36">
        <v>0.24</v>
      </c>
      <c r="O108" s="36">
        <v>0.24</v>
      </c>
      <c r="P108" s="36">
        <v>0.24</v>
      </c>
      <c r="Q108" s="36">
        <v>0.24</v>
      </c>
      <c r="R108" s="36">
        <v>0.24</v>
      </c>
      <c r="S108" s="36">
        <v>0.24</v>
      </c>
      <c r="T108" s="36">
        <v>0.24</v>
      </c>
      <c r="U108" s="36">
        <v>0.24</v>
      </c>
      <c r="V108" s="36">
        <v>0.24</v>
      </c>
      <c r="W108" s="36">
        <v>0.15854551267006028</v>
      </c>
      <c r="X108" s="36">
        <v>1.3091071009454225E-2</v>
      </c>
      <c r="Y108" s="36">
        <v>7.8679505421686649E-8</v>
      </c>
      <c r="Z108" s="36">
        <v>2.0281442424242425E-9</v>
      </c>
      <c r="AA108" s="36">
        <v>6.3312121212121203E-10</v>
      </c>
      <c r="AB108" s="36">
        <v>4.7798545472282182E-11</v>
      </c>
      <c r="AC108" s="36">
        <v>2.2761212594191502E-12</v>
      </c>
      <c r="AD108" s="36">
        <v>2.0692848484848481E-20</v>
      </c>
      <c r="AE108" s="36">
        <v>0</v>
      </c>
      <c r="AF108" s="36">
        <v>0</v>
      </c>
      <c r="AG108" s="36">
        <v>0</v>
      </c>
      <c r="AH108" s="36">
        <v>0</v>
      </c>
      <c r="AI108" s="36">
        <v>9.8105999999999776E-27</v>
      </c>
      <c r="AJ108" s="36">
        <v>1.0627163521212051E-23</v>
      </c>
      <c r="AK108" s="36">
        <v>4.1835435642424169E-23</v>
      </c>
      <c r="AL108" s="36">
        <v>5.2605876363636189E-21</v>
      </c>
      <c r="AM108" s="36">
        <v>1.2432308623298038E-20</v>
      </c>
      <c r="AN108" s="36">
        <v>1.0540024205748888E-20</v>
      </c>
      <c r="AO108" s="36">
        <v>8.647739788199739E-21</v>
      </c>
      <c r="AP108" s="36">
        <v>6.7554553706505879E-21</v>
      </c>
      <c r="AQ108" s="36">
        <v>4.8631709531014383E-21</v>
      </c>
      <c r="AR108" s="36">
        <v>2.970886535552288E-21</v>
      </c>
      <c r="AS108" s="36">
        <v>1.0786021180031377E-21</v>
      </c>
      <c r="AT108" s="36">
        <v>8.3181818181818497E-35</v>
      </c>
      <c r="AU108" s="36">
        <v>1.5000000000000312E-35</v>
      </c>
      <c r="AV108" s="36">
        <v>0</v>
      </c>
      <c r="AW108" s="36">
        <v>0</v>
      </c>
      <c r="AX108" s="36">
        <v>0</v>
      </c>
      <c r="AY108" s="36">
        <v>0</v>
      </c>
      <c r="AZ108" s="36">
        <v>0</v>
      </c>
      <c r="BA108" s="36">
        <v>0</v>
      </c>
      <c r="BB108" s="36">
        <v>0</v>
      </c>
      <c r="BC108" s="36">
        <v>0</v>
      </c>
      <c r="BD108" s="36">
        <v>0</v>
      </c>
      <c r="BE108" s="36">
        <v>0</v>
      </c>
      <c r="BF108" s="36">
        <v>0</v>
      </c>
      <c r="BG108" s="36">
        <v>0</v>
      </c>
      <c r="BH108" s="36">
        <v>0</v>
      </c>
      <c r="BI108" s="36">
        <v>0</v>
      </c>
      <c r="BJ108" s="36">
        <v>0</v>
      </c>
      <c r="BK108" s="36">
        <v>0</v>
      </c>
      <c r="BL108" s="36">
        <v>0</v>
      </c>
      <c r="BM108" s="36">
        <v>0</v>
      </c>
      <c r="BN108" s="36">
        <v>0</v>
      </c>
      <c r="BO108" s="36">
        <v>0</v>
      </c>
      <c r="BP108" s="36">
        <v>0</v>
      </c>
      <c r="BQ108" s="36">
        <v>0</v>
      </c>
      <c r="BR108" s="36">
        <v>0</v>
      </c>
      <c r="BS108" s="36">
        <v>0</v>
      </c>
      <c r="BT108" s="36">
        <v>0</v>
      </c>
    </row>
    <row r="109" spans="1:72" ht="21.75" thickBot="1" x14ac:dyDescent="0.4">
      <c r="A109" s="88" t="s">
        <v>69</v>
      </c>
      <c r="B109" s="36">
        <v>0</v>
      </c>
      <c r="C109" s="36">
        <v>0</v>
      </c>
      <c r="D109" s="36">
        <v>0</v>
      </c>
      <c r="E109" s="36">
        <v>0</v>
      </c>
      <c r="F109" s="36">
        <v>0</v>
      </c>
      <c r="G109" s="36">
        <v>0</v>
      </c>
      <c r="H109" s="36">
        <v>0</v>
      </c>
      <c r="I109" s="36">
        <v>0</v>
      </c>
      <c r="J109" s="36">
        <v>0</v>
      </c>
      <c r="K109" s="36">
        <v>0</v>
      </c>
      <c r="L109" s="36">
        <v>0</v>
      </c>
      <c r="M109" s="36">
        <v>4.7752284417549078E-33</v>
      </c>
      <c r="N109" s="36">
        <v>1.4935288956127075E-32</v>
      </c>
      <c r="O109" s="36">
        <v>2.5095349470499246E-32</v>
      </c>
      <c r="P109" s="36">
        <v>3.5255409984871412E-32</v>
      </c>
      <c r="Q109" s="36">
        <v>4.5415470499243583E-32</v>
      </c>
      <c r="R109" s="36">
        <v>5.5575531013615749E-32</v>
      </c>
      <c r="S109" s="36">
        <v>6.573559152798792E-32</v>
      </c>
      <c r="T109" s="36">
        <v>4.1267968606060713E-30</v>
      </c>
      <c r="U109" s="36">
        <v>9.4366327272728209E-29</v>
      </c>
      <c r="V109" s="36">
        <v>5.0632026666666759E-28</v>
      </c>
      <c r="W109" s="36">
        <v>1.6155261939394003E-26</v>
      </c>
      <c r="X109" s="36">
        <v>4.3776122545454608E-26</v>
      </c>
      <c r="Y109" s="36">
        <v>1.3641382530120496E-24</v>
      </c>
      <c r="Z109" s="36">
        <v>1.7886618181818183E-23</v>
      </c>
      <c r="AA109" s="36">
        <v>7.9631890909090907E-23</v>
      </c>
      <c r="AB109" s="36">
        <v>1.3894463636363638E-21</v>
      </c>
      <c r="AC109" s="36">
        <v>3.5313069696969699E-21</v>
      </c>
      <c r="AD109" s="36">
        <v>6.236659393939394E-20</v>
      </c>
      <c r="AE109" s="36">
        <v>4.7974181818181818E-19</v>
      </c>
      <c r="AF109" s="36">
        <v>1.7267478787878789E-18</v>
      </c>
      <c r="AG109" s="36">
        <v>1.0295169879518059E-17</v>
      </c>
      <c r="AH109" s="36">
        <v>2.2805892771084307E-17</v>
      </c>
      <c r="AI109" s="36">
        <v>1.3901239999999973E-16</v>
      </c>
      <c r="AJ109" s="36">
        <v>5.4968242424242201E-16</v>
      </c>
      <c r="AK109" s="36">
        <v>1.5299248484848462E-15</v>
      </c>
      <c r="AL109" s="36">
        <v>6.948247272727256E-15</v>
      </c>
      <c r="AM109" s="36">
        <v>1.3806361270801109E-13</v>
      </c>
      <c r="AN109" s="36">
        <v>3.2380539304084641E-12</v>
      </c>
      <c r="AO109" s="36">
        <v>6.3380442481089176E-12</v>
      </c>
      <c r="AP109" s="36">
        <v>9.4380345658093712E-12</v>
      </c>
      <c r="AQ109" s="36">
        <v>1.2538024883509825E-11</v>
      </c>
      <c r="AR109" s="36">
        <v>1.5638015201210277E-11</v>
      </c>
      <c r="AS109" s="36">
        <v>1.8738005518910729E-11</v>
      </c>
      <c r="AT109" s="36">
        <v>4.2522303030302796E-11</v>
      </c>
      <c r="AU109" s="36">
        <v>9.3725333333333104E-11</v>
      </c>
      <c r="AV109" s="36">
        <v>2.933670909090898E-10</v>
      </c>
      <c r="AW109" s="36">
        <v>6.4269187878787391E-10</v>
      </c>
      <c r="AX109" s="36">
        <v>1.7135524848484799E-9</v>
      </c>
      <c r="AY109" s="36">
        <v>4.4081349397590272E-9</v>
      </c>
      <c r="AZ109" s="36">
        <v>8.8617493975903763E-9</v>
      </c>
      <c r="BA109" s="36">
        <v>2.3639480000000078E-8</v>
      </c>
      <c r="BB109" s="36">
        <v>3.7759624242424239E-8</v>
      </c>
      <c r="BC109" s="36">
        <v>3.7604472727272728E-8</v>
      </c>
      <c r="BD109" s="36">
        <v>3.7317272727272722E-8</v>
      </c>
      <c r="BE109" s="36">
        <v>3.6908181818181817E-8</v>
      </c>
      <c r="BF109" s="36">
        <v>3.6274472727272722E-8</v>
      </c>
      <c r="BG109" s="36">
        <v>3.5496290468986376E-8</v>
      </c>
      <c r="BH109" s="36">
        <v>3.4324883509833575E-8</v>
      </c>
      <c r="BI109" s="36">
        <v>3.3153476550680781E-8</v>
      </c>
      <c r="BJ109" s="36">
        <v>3.198206959152798E-8</v>
      </c>
      <c r="BK109" s="36">
        <v>3.0810662632375186E-8</v>
      </c>
      <c r="BL109" s="36">
        <v>2.9639255673222385E-8</v>
      </c>
      <c r="BM109" s="36">
        <v>2.8467848714069588E-8</v>
      </c>
      <c r="BN109" s="36">
        <v>2.709193333333333E-8</v>
      </c>
      <c r="BO109" s="36">
        <v>2.5585266666666661E-8</v>
      </c>
      <c r="BP109" s="36">
        <v>2.4030638554216866E-8</v>
      </c>
      <c r="BQ109" s="36">
        <v>2.2464454545454547E-8</v>
      </c>
      <c r="BR109" s="36">
        <v>2.0875969696969696E-8</v>
      </c>
      <c r="BS109" s="36">
        <v>1.9294575757575758E-8</v>
      </c>
      <c r="BT109" s="36">
        <v>1.7716999999999999E-8</v>
      </c>
    </row>
    <row r="110" spans="1:72" ht="21.75" thickBot="1" x14ac:dyDescent="0.4">
      <c r="A110" s="88" t="s">
        <v>1</v>
      </c>
      <c r="B110" s="36">
        <v>0.2</v>
      </c>
      <c r="C110" s="36">
        <v>0.2</v>
      </c>
      <c r="D110" s="36">
        <v>0.2</v>
      </c>
      <c r="E110" s="36">
        <v>0.2</v>
      </c>
      <c r="F110" s="36">
        <v>0.2</v>
      </c>
      <c r="G110" s="36">
        <v>0.2</v>
      </c>
      <c r="H110" s="36">
        <v>0.2</v>
      </c>
      <c r="I110" s="36">
        <v>0.2</v>
      </c>
      <c r="J110" s="36">
        <v>0.2</v>
      </c>
      <c r="K110" s="36">
        <v>0.2</v>
      </c>
      <c r="L110" s="36">
        <v>0.2</v>
      </c>
      <c r="M110" s="36">
        <v>0.2</v>
      </c>
      <c r="N110" s="36">
        <v>0.2</v>
      </c>
      <c r="O110" s="36">
        <v>0.2</v>
      </c>
      <c r="P110" s="36">
        <v>0.2</v>
      </c>
      <c r="Q110" s="36">
        <v>0.2</v>
      </c>
      <c r="R110" s="36">
        <v>0.2</v>
      </c>
      <c r="S110" s="36">
        <v>0.2</v>
      </c>
      <c r="T110" s="36">
        <v>0.2</v>
      </c>
      <c r="U110" s="36">
        <v>0.2</v>
      </c>
      <c r="V110" s="36">
        <v>0.2</v>
      </c>
      <c r="W110" s="36">
        <v>0.2</v>
      </c>
      <c r="X110" s="36">
        <v>0.2</v>
      </c>
      <c r="Y110" s="36">
        <v>0.2</v>
      </c>
      <c r="Z110" s="36">
        <v>0.2</v>
      </c>
      <c r="AA110" s="36">
        <v>0.2</v>
      </c>
      <c r="AB110" s="36">
        <v>0.2</v>
      </c>
      <c r="AC110" s="36">
        <v>0.2</v>
      </c>
      <c r="AD110" s="36">
        <v>0.2</v>
      </c>
      <c r="AE110" s="36">
        <v>0.2</v>
      </c>
      <c r="AF110" s="36">
        <v>0.2</v>
      </c>
      <c r="AG110" s="36">
        <v>0.2</v>
      </c>
      <c r="AH110" s="36">
        <v>0.2</v>
      </c>
      <c r="AI110" s="36">
        <v>0.2</v>
      </c>
      <c r="AJ110" s="36">
        <v>0.2</v>
      </c>
      <c r="AK110" s="36">
        <v>0.2</v>
      </c>
      <c r="AL110" s="36">
        <v>0.2</v>
      </c>
      <c r="AM110" s="36">
        <v>0.2</v>
      </c>
      <c r="AN110" s="36">
        <v>0.2</v>
      </c>
      <c r="AO110" s="36">
        <v>0.2</v>
      </c>
      <c r="AP110" s="36">
        <v>0.2</v>
      </c>
      <c r="AQ110" s="36">
        <v>0.2</v>
      </c>
      <c r="AR110" s="36">
        <v>0.2</v>
      </c>
      <c r="AS110" s="36">
        <v>0.2</v>
      </c>
      <c r="AT110" s="36">
        <v>0.2</v>
      </c>
      <c r="AU110" s="36">
        <v>0.2</v>
      </c>
      <c r="AV110" s="36">
        <v>0.2</v>
      </c>
      <c r="AW110" s="36">
        <v>0.2</v>
      </c>
      <c r="AX110" s="36">
        <v>0.2</v>
      </c>
      <c r="AY110" s="36">
        <v>0.2</v>
      </c>
      <c r="AZ110" s="36">
        <v>0.2</v>
      </c>
      <c r="BA110" s="36">
        <v>0.2</v>
      </c>
      <c r="BB110" s="36">
        <v>0.2</v>
      </c>
      <c r="BC110" s="36">
        <v>0.2</v>
      </c>
      <c r="BD110" s="36">
        <v>0.2</v>
      </c>
      <c r="BE110" s="36">
        <v>0.2</v>
      </c>
      <c r="BF110" s="36">
        <v>0.2</v>
      </c>
      <c r="BG110" s="36">
        <v>0.2</v>
      </c>
      <c r="BH110" s="36">
        <v>0.2</v>
      </c>
      <c r="BI110" s="36">
        <v>0.2</v>
      </c>
      <c r="BJ110" s="36">
        <v>0.2</v>
      </c>
      <c r="BK110" s="36">
        <v>0.2</v>
      </c>
      <c r="BL110" s="36">
        <v>0.2</v>
      </c>
      <c r="BM110" s="36">
        <v>0.2</v>
      </c>
      <c r="BN110" s="36">
        <v>0.2</v>
      </c>
      <c r="BO110" s="36">
        <v>0.2</v>
      </c>
      <c r="BP110" s="36">
        <v>0.2</v>
      </c>
      <c r="BQ110" s="36">
        <v>0.2</v>
      </c>
      <c r="BR110" s="36">
        <v>0.2</v>
      </c>
      <c r="BS110" s="36">
        <v>0.2</v>
      </c>
      <c r="BT110" s="36">
        <v>0.2</v>
      </c>
    </row>
    <row r="111" spans="1:72" ht="21.75" thickBot="1" x14ac:dyDescent="0.4">
      <c r="A111" s="88" t="s">
        <v>63</v>
      </c>
      <c r="B111" s="36">
        <v>0</v>
      </c>
      <c r="C111" s="36">
        <v>0</v>
      </c>
      <c r="D111" s="36">
        <v>0</v>
      </c>
      <c r="E111" s="36">
        <v>0</v>
      </c>
      <c r="F111" s="36">
        <v>0</v>
      </c>
      <c r="G111" s="36">
        <v>0</v>
      </c>
      <c r="H111" s="36">
        <v>0</v>
      </c>
      <c r="I111" s="36">
        <v>0</v>
      </c>
      <c r="J111" s="36">
        <v>3.0726733333333287E-34</v>
      </c>
      <c r="K111" s="36">
        <v>5.8647963509090362E-31</v>
      </c>
      <c r="L111" s="36">
        <v>5.4683230108484795E-30</v>
      </c>
      <c r="M111" s="36">
        <v>5.8107217087170821E-22</v>
      </c>
      <c r="N111" s="36">
        <v>1.817395921544069E-21</v>
      </c>
      <c r="O111" s="36">
        <v>3.0537196722164296E-21</v>
      </c>
      <c r="P111" s="36">
        <v>4.2900434228887903E-21</v>
      </c>
      <c r="Q111" s="36">
        <v>5.5263671735611517E-21</v>
      </c>
      <c r="R111" s="36">
        <v>6.7626909242335124E-21</v>
      </c>
      <c r="S111" s="36">
        <v>7.999014674905873E-21</v>
      </c>
      <c r="T111" s="36">
        <v>3.9157727284848382E-21</v>
      </c>
      <c r="U111" s="36">
        <v>5.1409745454548644E-24</v>
      </c>
      <c r="V111" s="36">
        <v>1.5708533333352117E-24</v>
      </c>
      <c r="W111" s="36">
        <v>1.6992109090909056E-36</v>
      </c>
      <c r="X111" s="36">
        <v>1.4030181818181455E-37</v>
      </c>
      <c r="Y111" s="36">
        <v>0</v>
      </c>
      <c r="Z111" s="36">
        <v>4.9569696969696967E-29</v>
      </c>
      <c r="AA111" s="36">
        <v>2.4784848484848483E-28</v>
      </c>
      <c r="AB111" s="36">
        <v>2.0819272903956365E-28</v>
      </c>
      <c r="AC111" s="36">
        <v>9.9139441055030448E-30</v>
      </c>
      <c r="AD111" s="36">
        <v>2.0613090909090906E-36</v>
      </c>
      <c r="AE111" s="36">
        <v>0</v>
      </c>
      <c r="AF111" s="36">
        <v>0</v>
      </c>
      <c r="AG111" s="36">
        <v>2.0264728915662624E-36</v>
      </c>
      <c r="AH111" s="36">
        <v>5.1441234939758971E-36</v>
      </c>
      <c r="AI111" s="36">
        <v>6.9486000000000036E-22</v>
      </c>
      <c r="AJ111" s="36">
        <v>4.560625279454515E-17</v>
      </c>
      <c r="AK111" s="36">
        <v>1.7973888424909059E-16</v>
      </c>
      <c r="AL111" s="36">
        <v>3.3358694981818071E-13</v>
      </c>
      <c r="AM111" s="36">
        <v>1.0592069591527839E-12</v>
      </c>
      <c r="AN111" s="36">
        <v>7.6043809379727524E-12</v>
      </c>
      <c r="AO111" s="36">
        <v>1.414955491679272E-11</v>
      </c>
      <c r="AP111" s="36">
        <v>2.069472889561269E-11</v>
      </c>
      <c r="AQ111" s="36">
        <v>2.7239902874432658E-11</v>
      </c>
      <c r="AR111" s="36">
        <v>3.3785076853252623E-11</v>
      </c>
      <c r="AS111" s="36">
        <v>4.0330250832072591E-11</v>
      </c>
      <c r="AT111" s="36">
        <v>8.1494193939393535E-11</v>
      </c>
      <c r="AU111" s="36">
        <v>1.6854813333333293E-10</v>
      </c>
      <c r="AV111" s="36">
        <v>4.2458363636363501E-10</v>
      </c>
      <c r="AW111" s="36">
        <v>7.3908242424242254E-10</v>
      </c>
      <c r="AX111" s="36">
        <v>1.1258703030303014E-9</v>
      </c>
      <c r="AY111" s="36">
        <v>7.4568313253011812E-9</v>
      </c>
      <c r="AZ111" s="36">
        <v>2.0227313253012093E-8</v>
      </c>
      <c r="BA111" s="36">
        <v>3.8813841634291128E-2</v>
      </c>
      <c r="BB111" s="36">
        <v>7.829665454545455E-2</v>
      </c>
      <c r="BC111" s="36">
        <v>7.9447563636363641E-2</v>
      </c>
      <c r="BD111" s="36">
        <v>0.08</v>
      </c>
      <c r="BE111" s="36">
        <v>0.08</v>
      </c>
      <c r="BF111" s="36">
        <v>0.08</v>
      </c>
      <c r="BG111" s="36">
        <v>0.08</v>
      </c>
      <c r="BH111" s="36">
        <v>0.08</v>
      </c>
      <c r="BI111" s="36">
        <v>0.08</v>
      </c>
      <c r="BJ111" s="36">
        <v>0.08</v>
      </c>
      <c r="BK111" s="36">
        <v>0.08</v>
      </c>
      <c r="BL111" s="36">
        <v>0.08</v>
      </c>
      <c r="BM111" s="36">
        <v>0.08</v>
      </c>
      <c r="BN111" s="36">
        <v>0.08</v>
      </c>
      <c r="BO111" s="36">
        <v>0.08</v>
      </c>
      <c r="BP111" s="36">
        <v>0.08</v>
      </c>
      <c r="BQ111" s="36">
        <v>0.08</v>
      </c>
      <c r="BR111" s="36">
        <v>0.08</v>
      </c>
      <c r="BS111" s="36">
        <v>0.08</v>
      </c>
      <c r="BT111" s="36">
        <v>0.08</v>
      </c>
    </row>
    <row r="112" spans="1:72" ht="21.75" thickBot="1" x14ac:dyDescent="0.4">
      <c r="A112" s="88" t="s">
        <v>64</v>
      </c>
      <c r="B112" s="36">
        <v>5.0933624242424188E-27</v>
      </c>
      <c r="C112" s="36">
        <v>1.4913648484848473E-27</v>
      </c>
      <c r="D112" s="36">
        <v>3.1706181818181696E-28</v>
      </c>
      <c r="E112" s="36">
        <v>0</v>
      </c>
      <c r="F112" s="36">
        <v>0</v>
      </c>
      <c r="G112" s="36">
        <v>0</v>
      </c>
      <c r="H112" s="36">
        <v>1.2169259036144594E-26</v>
      </c>
      <c r="I112" s="36">
        <v>4.0469861445783111E-26</v>
      </c>
      <c r="J112" s="36">
        <v>2.4067869172213292E-19</v>
      </c>
      <c r="K112" s="36">
        <v>3.0690595272726992E-17</v>
      </c>
      <c r="L112" s="36">
        <v>2.8214772254545429E-16</v>
      </c>
      <c r="M112" s="36">
        <v>3.0954176518608111E-12</v>
      </c>
      <c r="N112" s="36">
        <v>9.6805287834795737E-12</v>
      </c>
      <c r="O112" s="36">
        <v>1.6265639915098336E-11</v>
      </c>
      <c r="P112" s="36">
        <v>2.2850751046717101E-11</v>
      </c>
      <c r="Q112" s="36">
        <v>2.9435862178335862E-11</v>
      </c>
      <c r="R112" s="36">
        <v>3.6020973309954626E-11</v>
      </c>
      <c r="S112" s="36">
        <v>4.260608444157339E-11</v>
      </c>
      <c r="T112" s="36">
        <v>2.0843000162424183E-11</v>
      </c>
      <c r="U112" s="36">
        <v>3.8869527272727604E-15</v>
      </c>
      <c r="V112" s="36">
        <v>1.1876800000002197E-15</v>
      </c>
      <c r="W112" s="36">
        <v>2.0375733333333293E-28</v>
      </c>
      <c r="X112" s="36">
        <v>1.6823999999999587E-29</v>
      </c>
      <c r="Y112" s="36">
        <v>3.2704084337349434E-31</v>
      </c>
      <c r="Z112" s="36">
        <v>8.4765156577042423E-24</v>
      </c>
      <c r="AA112" s="36">
        <v>4.2382575902201214E-23</v>
      </c>
      <c r="AB112" s="36">
        <v>3.5601363672702913E-23</v>
      </c>
      <c r="AC112" s="36">
        <v>1.6953031272077559E-24</v>
      </c>
      <c r="AD112" s="36">
        <v>4.2395818181818187E-32</v>
      </c>
      <c r="AE112" s="36">
        <v>0</v>
      </c>
      <c r="AF112" s="36">
        <v>0</v>
      </c>
      <c r="AG112" s="36">
        <v>1.9438132530120455E-34</v>
      </c>
      <c r="AH112" s="36">
        <v>4.934295180722885E-34</v>
      </c>
      <c r="AI112" s="36">
        <v>1.5739800000000163E-20</v>
      </c>
      <c r="AJ112" s="36">
        <v>2.5866810013939223E-16</v>
      </c>
      <c r="AK112" s="36">
        <v>1.0193794740787861E-15</v>
      </c>
      <c r="AL112" s="36">
        <v>5.0075029818181656E-13</v>
      </c>
      <c r="AM112" s="36">
        <v>1.1916027534039337E-12</v>
      </c>
      <c r="AN112" s="36">
        <v>1.0891715885022697E-12</v>
      </c>
      <c r="AO112" s="36">
        <v>9.8674042360060542E-13</v>
      </c>
      <c r="AP112" s="36">
        <v>8.8430925869894138E-13</v>
      </c>
      <c r="AQ112" s="36">
        <v>7.8187809379727724E-13</v>
      </c>
      <c r="AR112" s="36">
        <v>6.7944692889561309E-13</v>
      </c>
      <c r="AS112" s="36">
        <v>5.7701576399394905E-13</v>
      </c>
      <c r="AT112" s="36">
        <v>5.7356054545454484E-13</v>
      </c>
      <c r="AU112" s="36">
        <v>7.0130599999999948E-13</v>
      </c>
      <c r="AV112" s="36">
        <v>8.1780999999999942E-13</v>
      </c>
      <c r="AW112" s="36">
        <v>8.9348509090909166E-13</v>
      </c>
      <c r="AX112" s="36">
        <v>7.1713963636363711E-13</v>
      </c>
      <c r="AY112" s="36">
        <v>1.5676742168674661E-12</v>
      </c>
      <c r="AZ112" s="36">
        <v>3.5306621686747056E-12</v>
      </c>
      <c r="BA112" s="36">
        <v>2.562477105284863E-6</v>
      </c>
      <c r="BB112" s="36">
        <v>5.0395593939393904E-6</v>
      </c>
      <c r="BC112" s="36">
        <v>4.3534381818181788E-6</v>
      </c>
      <c r="BD112" s="36">
        <v>3.730536363636361E-6</v>
      </c>
      <c r="BE112" s="36">
        <v>3.1659909090909063E-6</v>
      </c>
      <c r="BF112" s="36">
        <v>2.7262509090909071E-6</v>
      </c>
      <c r="BG112" s="36">
        <v>2.3494559152798783E-6</v>
      </c>
      <c r="BH112" s="36">
        <v>2.1297100756429644E-6</v>
      </c>
      <c r="BI112" s="36">
        <v>1.9099642360060506E-6</v>
      </c>
      <c r="BJ112" s="36">
        <v>1.6902183963691369E-6</v>
      </c>
      <c r="BK112" s="36">
        <v>1.4704725567322233E-6</v>
      </c>
      <c r="BL112" s="36">
        <v>1.2507267170953094E-6</v>
      </c>
      <c r="BM112" s="36">
        <v>1.0309808774583957E-6</v>
      </c>
      <c r="BN112" s="36">
        <v>8.7883806060606028E-7</v>
      </c>
      <c r="BO112" s="36">
        <v>7.6991684848484817E-7</v>
      </c>
      <c r="BP112" s="36">
        <v>6.8465397590361432E-7</v>
      </c>
      <c r="BQ112" s="36">
        <v>6.0574909090909088E-7</v>
      </c>
      <c r="BR112" s="36">
        <v>5.3937939393939392E-7</v>
      </c>
      <c r="BS112" s="36">
        <v>4.8222000000000004E-7</v>
      </c>
      <c r="BT112" s="36">
        <v>4.3001999999999998E-7</v>
      </c>
    </row>
    <row r="113" spans="1:72" ht="21.75" thickBot="1" x14ac:dyDescent="0.4">
      <c r="A113" s="88" t="s">
        <v>70</v>
      </c>
      <c r="B113" s="36">
        <v>2.40997515151515E-34</v>
      </c>
      <c r="C113" s="36">
        <v>1.3060987878787867E-34</v>
      </c>
      <c r="D113" s="36">
        <v>2.7767454545454423E-35</v>
      </c>
      <c r="E113" s="36">
        <v>0</v>
      </c>
      <c r="F113" s="36">
        <v>0</v>
      </c>
      <c r="G113" s="36">
        <v>0</v>
      </c>
      <c r="H113" s="36">
        <v>9.1994096385542283E-32</v>
      </c>
      <c r="I113" s="36">
        <v>3.0593385542168653E-31</v>
      </c>
      <c r="J113" s="36">
        <v>7.1843335227413237E-24</v>
      </c>
      <c r="K113" s="36">
        <v>3.2474389999999696E-21</v>
      </c>
      <c r="L113" s="36">
        <v>3.0181138999999976E-20</v>
      </c>
      <c r="M113" s="36">
        <v>2.5326001960641405E-14</v>
      </c>
      <c r="N113" s="36">
        <v>7.9211017927963675E-14</v>
      </c>
      <c r="O113" s="36">
        <v>1.3309603389528592E-13</v>
      </c>
      <c r="P113" s="36">
        <v>1.869810498626082E-13</v>
      </c>
      <c r="Q113" s="36">
        <v>2.4086606582993048E-13</v>
      </c>
      <c r="R113" s="36">
        <v>2.9475108179725273E-13</v>
      </c>
      <c r="S113" s="36">
        <v>3.4863609776457503E-13</v>
      </c>
      <c r="T113" s="36">
        <v>1.7058277193939347E-13</v>
      </c>
      <c r="U113" s="36">
        <v>8.054836363636547E-17</v>
      </c>
      <c r="V113" s="36">
        <v>2.4612000000011159E-17</v>
      </c>
      <c r="W113" s="36">
        <v>1.0168048484848464E-29</v>
      </c>
      <c r="X113" s="36">
        <v>8.3956363636361568E-31</v>
      </c>
      <c r="Y113" s="36">
        <v>8.283192771084347E-32</v>
      </c>
      <c r="Z113" s="36">
        <v>4.55909103729697E-24</v>
      </c>
      <c r="AA113" s="36">
        <v>2.279545458208485E-23</v>
      </c>
      <c r="AB113" s="36">
        <v>1.9148181858258182E-23</v>
      </c>
      <c r="AC113" s="36">
        <v>9.1181828868848721E-25</v>
      </c>
      <c r="AD113" s="36">
        <v>4.6755757575757586E-32</v>
      </c>
      <c r="AE113" s="36">
        <v>0</v>
      </c>
      <c r="AF113" s="36">
        <v>0</v>
      </c>
      <c r="AG113" s="36">
        <v>1.5383072289156606E-33</v>
      </c>
      <c r="AH113" s="36">
        <v>3.9049337349397536E-33</v>
      </c>
      <c r="AI113" s="36">
        <v>2.2770600000000107E-19</v>
      </c>
      <c r="AJ113" s="36">
        <v>6.6816103988484406E-15</v>
      </c>
      <c r="AK113" s="36">
        <v>2.6332289483696925E-14</v>
      </c>
      <c r="AL113" s="36">
        <v>2.2579773963636287E-11</v>
      </c>
      <c r="AM113" s="36">
        <v>5.4712481089258651E-11</v>
      </c>
      <c r="AN113" s="36">
        <v>7.3774508320726124E-11</v>
      </c>
      <c r="AO113" s="36">
        <v>9.2836535552193591E-11</v>
      </c>
      <c r="AP113" s="36">
        <v>1.1189856278366106E-10</v>
      </c>
      <c r="AQ113" s="36">
        <v>1.3096059001512851E-10</v>
      </c>
      <c r="AR113" s="36">
        <v>1.50022617246596E-10</v>
      </c>
      <c r="AS113" s="36">
        <v>1.6908464447806347E-10</v>
      </c>
      <c r="AT113" s="36">
        <v>2.3839090909090851E-10</v>
      </c>
      <c r="AU113" s="36">
        <v>3.7429999999999942E-10</v>
      </c>
      <c r="AV113" s="36">
        <v>5.9094618181818068E-10</v>
      </c>
      <c r="AW113" s="36">
        <v>8.0298321212121202E-10</v>
      </c>
      <c r="AX113" s="36">
        <v>8.317771515151514E-10</v>
      </c>
      <c r="AY113" s="36">
        <v>2.9317572289156548E-9</v>
      </c>
      <c r="AZ113" s="36">
        <v>7.2755222891566424E-9</v>
      </c>
      <c r="BA113" s="36">
        <v>8.0464404167527731E-3</v>
      </c>
      <c r="BB113" s="36">
        <v>1.6471036363636372E-2</v>
      </c>
      <c r="BC113" s="36">
        <v>1.8118309090909099E-2</v>
      </c>
      <c r="BD113" s="36">
        <v>1.9728709090909097E-2</v>
      </c>
      <c r="BE113" s="36">
        <v>2.1305072727272736E-2</v>
      </c>
      <c r="BF113" s="36">
        <v>2.3051218181818191E-2</v>
      </c>
      <c r="BG113" s="36">
        <v>2.4966391830559768E-2</v>
      </c>
      <c r="BH113" s="36">
        <v>2.7390900151285941E-2</v>
      </c>
      <c r="BI113" s="36">
        <v>2.9815408472012112E-2</v>
      </c>
      <c r="BJ113" s="36">
        <v>3.2239916792738285E-2</v>
      </c>
      <c r="BK113" s="36">
        <v>3.4664425113464459E-2</v>
      </c>
      <c r="BL113" s="36">
        <v>3.7088933434190632E-2</v>
      </c>
      <c r="BM113" s="36">
        <v>3.9513441754916799E-2</v>
      </c>
      <c r="BN113" s="36">
        <v>4.2487527272727282E-2</v>
      </c>
      <c r="BO113" s="36">
        <v>4.5812981818181824E-2</v>
      </c>
      <c r="BP113" s="36">
        <v>4.9596891566265067E-2</v>
      </c>
      <c r="BQ113" s="36">
        <v>5.3589181818181821E-2</v>
      </c>
      <c r="BR113" s="36">
        <v>5.8023121212121213E-2</v>
      </c>
      <c r="BS113" s="36">
        <v>6.2943575757575768E-2</v>
      </c>
      <c r="BT113" s="36">
        <v>6.8126000000000006E-2</v>
      </c>
    </row>
    <row r="114" spans="1:72" ht="21.75" thickBot="1" x14ac:dyDescent="0.4">
      <c r="A114" s="88" t="s">
        <v>26</v>
      </c>
      <c r="B114" s="36">
        <v>-18.61</v>
      </c>
      <c r="C114" s="36">
        <v>-18.612303030303028</v>
      </c>
      <c r="D114" s="36">
        <v>-18.618363636363636</v>
      </c>
      <c r="E114" s="36">
        <v>-18.624424242424244</v>
      </c>
      <c r="F114" s="36">
        <v>-18.630969696969697</v>
      </c>
      <c r="G114" s="36">
        <v>-18.643090909090908</v>
      </c>
      <c r="H114" s="36">
        <v>-18.655180722891565</v>
      </c>
      <c r="I114" s="36">
        <v>-18.667228915662651</v>
      </c>
      <c r="J114" s="36">
        <v>-18.679333333333336</v>
      </c>
      <c r="K114" s="36">
        <v>-18.692181818181819</v>
      </c>
      <c r="L114" s="36">
        <v>-18.710363636363635</v>
      </c>
      <c r="M114" s="36">
        <v>-18.728532526475036</v>
      </c>
      <c r="N114" s="36">
        <v>-18.746686838124052</v>
      </c>
      <c r="O114" s="36">
        <v>-18.764841149773069</v>
      </c>
      <c r="P114" s="36">
        <v>-18.782995461422086</v>
      </c>
      <c r="Q114" s="36">
        <v>-18.801149773071103</v>
      </c>
      <c r="R114" s="36">
        <v>-18.81930408472012</v>
      </c>
      <c r="S114" s="36">
        <v>-18.837458396369136</v>
      </c>
      <c r="T114" s="36">
        <v>-18.855636363636364</v>
      </c>
      <c r="U114" s="36">
        <v>-18.873818181818184</v>
      </c>
      <c r="V114" s="36">
        <v>-18.891999999999999</v>
      </c>
      <c r="W114" s="36">
        <v>-18.913575757575757</v>
      </c>
      <c r="X114" s="36">
        <v>-18.937818181818184</v>
      </c>
      <c r="Y114" s="36">
        <v>-18.95644578313253</v>
      </c>
      <c r="Z114" s="36">
        <v>-18.976060606060607</v>
      </c>
      <c r="AA114" s="36">
        <v>-19.00030303030303</v>
      </c>
      <c r="AB114" s="36">
        <v>-19.020909090909093</v>
      </c>
      <c r="AC114" s="36">
        <v>-19.039090909090909</v>
      </c>
      <c r="AD114" s="36">
        <v>-19.057272727272728</v>
      </c>
      <c r="AE114" s="36">
        <v>-19.077272727272728</v>
      </c>
      <c r="AF114" s="36">
        <v>-19.101515151515152</v>
      </c>
      <c r="AG114" s="36">
        <v>-19.121746987951806</v>
      </c>
      <c r="AH114" s="36">
        <v>-19.139819277108433</v>
      </c>
      <c r="AI114" s="36">
        <v>-19.164000000000001</v>
      </c>
      <c r="AJ114" s="36">
        <v>-19.186181818181819</v>
      </c>
      <c r="AK114" s="36">
        <v>-19.204363636363638</v>
      </c>
      <c r="AL114" s="36">
        <v>-19.226727272727274</v>
      </c>
      <c r="AM114" s="36">
        <v>-19.250786686838126</v>
      </c>
      <c r="AN114" s="36">
        <v>-19.270453857791225</v>
      </c>
      <c r="AO114" s="36">
        <v>-19.290121028744327</v>
      </c>
      <c r="AP114" s="36">
        <v>-19.309788199697426</v>
      </c>
      <c r="AQ114" s="36">
        <v>-19.329455370650528</v>
      </c>
      <c r="AR114" s="36">
        <v>-19.349122541603631</v>
      </c>
      <c r="AS114" s="36">
        <v>-19.36878971255673</v>
      </c>
      <c r="AT114" s="36">
        <v>-19.390424242424242</v>
      </c>
      <c r="AU114" s="36">
        <v>-19.414666666666669</v>
      </c>
      <c r="AV114" s="36">
        <v>-19.43418181818182</v>
      </c>
      <c r="AW114" s="36">
        <v>-19.452363636363636</v>
      </c>
      <c r="AX114" s="36">
        <v>-19.470545454545455</v>
      </c>
      <c r="AY114" s="36">
        <v>-19.488674698795183</v>
      </c>
      <c r="AZ114" s="36">
        <v>-19.506746987951807</v>
      </c>
      <c r="BA114" s="36">
        <v>-19.52987878787879</v>
      </c>
      <c r="BB114" s="36">
        <v>-19.553090909090908</v>
      </c>
      <c r="BC114" s="36">
        <v>-19.571272727272728</v>
      </c>
      <c r="BD114" s="36">
        <v>-19.589454545454544</v>
      </c>
      <c r="BE114" s="36">
        <v>-19.607636363636363</v>
      </c>
      <c r="BF114" s="36">
        <v>-19.625818181818182</v>
      </c>
      <c r="BG114" s="36">
        <v>-19.643993948562784</v>
      </c>
      <c r="BH114" s="36">
        <v>-19.662148260211801</v>
      </c>
      <c r="BI114" s="36">
        <v>-19.680302571860818</v>
      </c>
      <c r="BJ114" s="36">
        <v>-19.698456883509834</v>
      </c>
      <c r="BK114" s="36">
        <v>-19.716611195158851</v>
      </c>
      <c r="BL114" s="36">
        <v>-19.734765506807868</v>
      </c>
      <c r="BM114" s="36">
        <v>-19.752919818456885</v>
      </c>
      <c r="BN114" s="36">
        <v>-19.771090909090908</v>
      </c>
      <c r="BO114" s="36">
        <v>-19.789272727272728</v>
      </c>
      <c r="BP114" s="36">
        <v>-19.807349397590361</v>
      </c>
      <c r="BQ114" s="36">
        <v>-19.825454545454544</v>
      </c>
      <c r="BR114" s="36">
        <v>-19.843636363636364</v>
      </c>
      <c r="BS114" s="36">
        <v>-19.861818181818183</v>
      </c>
      <c r="BT114" s="36">
        <v>-19.88</v>
      </c>
    </row>
    <row r="115" spans="1:72" ht="21.75" thickBot="1" x14ac:dyDescent="0.4">
      <c r="A115" s="88" t="s">
        <v>5</v>
      </c>
      <c r="B115" s="36">
        <v>-60.144848484848481</v>
      </c>
      <c r="C115" s="36">
        <v>-58.339757575757574</v>
      </c>
      <c r="D115" s="36">
        <v>-56.654909090909094</v>
      </c>
      <c r="E115" s="36">
        <v>-55.098363636363636</v>
      </c>
      <c r="F115" s="36">
        <v>-53.546121212121207</v>
      </c>
      <c r="G115" s="36">
        <v>-51.49763636363636</v>
      </c>
      <c r="H115" s="36">
        <v>-49.457048192771083</v>
      </c>
      <c r="I115" s="36">
        <v>-47.426927710843373</v>
      </c>
      <c r="J115" s="36">
        <v>-45.513333333333335</v>
      </c>
      <c r="K115" s="36">
        <v>-43.650545454545458</v>
      </c>
      <c r="L115" s="36">
        <v>-41.905090909090909</v>
      </c>
      <c r="M115" s="36">
        <v>-40.293131618759453</v>
      </c>
      <c r="N115" s="36">
        <v>-38.831709531013615</v>
      </c>
      <c r="O115" s="36">
        <v>-37.370287443267777</v>
      </c>
      <c r="P115" s="36">
        <v>-35.908865355521932</v>
      </c>
      <c r="Q115" s="36">
        <v>-34.447443267776094</v>
      </c>
      <c r="R115" s="36">
        <v>-32.986021180030257</v>
      </c>
      <c r="S115" s="36">
        <v>-31.524599092284415</v>
      </c>
      <c r="T115" s="36">
        <v>-30.256727272727272</v>
      </c>
      <c r="U115" s="36">
        <v>-29.034363636363636</v>
      </c>
      <c r="V115" s="36">
        <v>-27.864666666666665</v>
      </c>
      <c r="W115" s="36">
        <v>-26.732303030303029</v>
      </c>
      <c r="X115" s="36">
        <v>-25.629272727272728</v>
      </c>
      <c r="Y115" s="36">
        <v>-24.58710843373494</v>
      </c>
      <c r="Z115" s="36">
        <v>-23.563030303030303</v>
      </c>
      <c r="AA115" s="36">
        <v>-22.575151515151514</v>
      </c>
      <c r="AB115" s="36">
        <v>-21.616363636363637</v>
      </c>
      <c r="AC115" s="36">
        <v>-20.676969696969696</v>
      </c>
      <c r="AD115" s="36">
        <v>-19.783636363636361</v>
      </c>
      <c r="AE115" s="36">
        <v>-18.921818181818182</v>
      </c>
      <c r="AF115" s="36">
        <v>-18.127878787878789</v>
      </c>
      <c r="AG115" s="36">
        <v>-17.45843373493976</v>
      </c>
      <c r="AH115" s="36">
        <v>-16.856024096385546</v>
      </c>
      <c r="AI115" s="36">
        <v>-16.28</v>
      </c>
      <c r="AJ115" s="36">
        <v>-15.714545454545457</v>
      </c>
      <c r="AK115" s="36">
        <v>-15.16909090909091</v>
      </c>
      <c r="AL115" s="36">
        <v>-14.63618181818182</v>
      </c>
      <c r="AM115" s="36">
        <v>-14.111059001512862</v>
      </c>
      <c r="AN115" s="36">
        <v>-13.637534039334344</v>
      </c>
      <c r="AO115" s="36">
        <v>-13.164009077155827</v>
      </c>
      <c r="AP115" s="36">
        <v>-12.690484114977309</v>
      </c>
      <c r="AQ115" s="36">
        <v>-12.216959152798792</v>
      </c>
      <c r="AR115" s="36">
        <v>-11.743434190620274</v>
      </c>
      <c r="AS115" s="36">
        <v>-11.269909228441756</v>
      </c>
      <c r="AT115" s="36">
        <v>-10.814969696969699</v>
      </c>
      <c r="AU115" s="36">
        <v>-10.384666666666668</v>
      </c>
      <c r="AV115" s="36">
        <v>-9.9666545454545474</v>
      </c>
      <c r="AW115" s="36">
        <v>-9.5541575757575767</v>
      </c>
      <c r="AX115" s="36">
        <v>-9.1553696969696983</v>
      </c>
      <c r="AY115" s="36">
        <v>-8.7643855421686752</v>
      </c>
      <c r="AZ115" s="36">
        <v>-8.3818554216867458</v>
      </c>
      <c r="BA115" s="36">
        <v>-8.0158121212121198</v>
      </c>
      <c r="BB115" s="36">
        <v>-7.7234484848484852</v>
      </c>
      <c r="BC115" s="36">
        <v>-7.7731454545454541</v>
      </c>
      <c r="BD115" s="36">
        <v>-7.8228424242424239</v>
      </c>
      <c r="BE115" s="36">
        <v>-7.8725393939393937</v>
      </c>
      <c r="BF115" s="36">
        <v>-7.9232909090909089</v>
      </c>
      <c r="BG115" s="36">
        <v>-7.9748487140695916</v>
      </c>
      <c r="BH115" s="36">
        <v>-8.0287065052950073</v>
      </c>
      <c r="BI115" s="36">
        <v>-8.0825642965204239</v>
      </c>
      <c r="BJ115" s="36">
        <v>-8.1364220877458404</v>
      </c>
      <c r="BK115" s="36">
        <v>-8.190279878971257</v>
      </c>
      <c r="BL115" s="36">
        <v>-8.2441376701966718</v>
      </c>
      <c r="BM115" s="36">
        <v>-8.2979954614220883</v>
      </c>
      <c r="BN115" s="36">
        <v>-8.3544909090909094</v>
      </c>
      <c r="BO115" s="36">
        <v>-8.4126727272727262</v>
      </c>
      <c r="BP115" s="36">
        <v>-8.472253012048192</v>
      </c>
      <c r="BQ115" s="36">
        <v>-8.5329090909090901</v>
      </c>
      <c r="BR115" s="36">
        <v>-8.5959393939393944</v>
      </c>
      <c r="BS115" s="36">
        <v>-8.6605454545454545</v>
      </c>
      <c r="BT115" s="36">
        <v>-8.7260000000000009</v>
      </c>
    </row>
    <row r="116" spans="1:72" ht="21.75" thickBot="1" x14ac:dyDescent="0.4">
      <c r="A116" s="88" t="s">
        <v>6</v>
      </c>
      <c r="B116" s="36">
        <v>-15.300424242424242</v>
      </c>
      <c r="C116" s="36">
        <v>-14.974848484848485</v>
      </c>
      <c r="D116" s="36">
        <v>-14.671818181818182</v>
      </c>
      <c r="E116" s="36">
        <v>-14.399757575757576</v>
      </c>
      <c r="F116" s="36">
        <v>-14.105212121212121</v>
      </c>
      <c r="G116" s="36">
        <v>-13.420363636363636</v>
      </c>
      <c r="H116" s="36">
        <v>-12.711385542168674</v>
      </c>
      <c r="I116" s="36">
        <v>-11.970421686746988</v>
      </c>
      <c r="J116" s="36">
        <v>-11.272666666666668</v>
      </c>
      <c r="K116" s="36">
        <v>-10.593127272727273</v>
      </c>
      <c r="L116" s="36">
        <v>-9.9525212121212121</v>
      </c>
      <c r="M116" s="36">
        <v>-9.3588018154311658</v>
      </c>
      <c r="N116" s="36">
        <v>-8.8179546142208771</v>
      </c>
      <c r="O116" s="36">
        <v>-8.2771074130105902</v>
      </c>
      <c r="P116" s="36">
        <v>-7.7362602118003023</v>
      </c>
      <c r="Q116" s="36">
        <v>-7.1954130105900145</v>
      </c>
      <c r="R116" s="36">
        <v>-6.6545658093797275</v>
      </c>
      <c r="S116" s="36">
        <v>-6.1137186081694388</v>
      </c>
      <c r="T116" s="36">
        <v>-5.6392727272727265</v>
      </c>
      <c r="U116" s="36">
        <v>-5.1809818181818166</v>
      </c>
      <c r="V116" s="36">
        <v>-4.742799999999999</v>
      </c>
      <c r="W116" s="36">
        <v>-4.4023636363636358</v>
      </c>
      <c r="X116" s="36">
        <v>-4.1387272727272721</v>
      </c>
      <c r="Y116" s="36">
        <v>-4.1369277108433735</v>
      </c>
      <c r="Z116" s="36">
        <v>-4.1610606060606061</v>
      </c>
      <c r="AA116" s="36">
        <v>-4.1853030303030305</v>
      </c>
      <c r="AB116" s="36">
        <v>-4.2099090909090906</v>
      </c>
      <c r="AC116" s="36">
        <v>-4.2347575757575759</v>
      </c>
      <c r="AD116" s="36">
        <v>-4.2590303030303032</v>
      </c>
      <c r="AE116" s="36">
        <v>-4.2834545454545454</v>
      </c>
      <c r="AF116" s="36">
        <v>-4.3083030303030307</v>
      </c>
      <c r="AG116" s="36">
        <v>-4.3330542168674695</v>
      </c>
      <c r="AH116" s="36">
        <v>-4.3577530120481924</v>
      </c>
      <c r="AI116" s="36">
        <v>-4.3826000000000001</v>
      </c>
      <c r="AJ116" s="36">
        <v>-4.4074484848484845</v>
      </c>
      <c r="AK116" s="36">
        <v>-4.4322969696969698</v>
      </c>
      <c r="AL116" s="36">
        <v>-4.4571454545454543</v>
      </c>
      <c r="AM116" s="36">
        <v>-4.4819803328290471</v>
      </c>
      <c r="AN116" s="36">
        <v>-4.5064886535552189</v>
      </c>
      <c r="AO116" s="36">
        <v>-4.5309969742813916</v>
      </c>
      <c r="AP116" s="36">
        <v>-4.5555052950075643</v>
      </c>
      <c r="AQ116" s="36">
        <v>-4.5800136157337361</v>
      </c>
      <c r="AR116" s="36">
        <v>-4.6045219364599088</v>
      </c>
      <c r="AS116" s="36">
        <v>-4.6290302571860815</v>
      </c>
      <c r="AT116" s="36">
        <v>-4.6534242424242418</v>
      </c>
      <c r="AU116" s="36">
        <v>-4.6776666666666662</v>
      </c>
      <c r="AV116" s="36">
        <v>-4.7014363636363639</v>
      </c>
      <c r="AW116" s="36">
        <v>-4.7251515151515155</v>
      </c>
      <c r="AX116" s="36">
        <v>-4.7493939393939391</v>
      </c>
      <c r="AY116" s="36">
        <v>-4.7732771084337342</v>
      </c>
      <c r="AZ116" s="36">
        <v>-4.7967710843373492</v>
      </c>
      <c r="BA116" s="36">
        <v>-4.8203818181818185</v>
      </c>
      <c r="BB116" s="36">
        <v>-4.8439151515151515</v>
      </c>
      <c r="BC116" s="36">
        <v>-4.8669454545454549</v>
      </c>
      <c r="BD116" s="36">
        <v>-4.8902909090909095</v>
      </c>
      <c r="BE116" s="36">
        <v>-4.9139272727272729</v>
      </c>
      <c r="BF116" s="36">
        <v>-4.9370363636363637</v>
      </c>
      <c r="BG116" s="36">
        <v>-4.9599591527987901</v>
      </c>
      <c r="BH116" s="36">
        <v>-4.9825007564296522</v>
      </c>
      <c r="BI116" s="36">
        <v>-5.0050423600605143</v>
      </c>
      <c r="BJ116" s="36">
        <v>-5.0275839636913773</v>
      </c>
      <c r="BK116" s="36">
        <v>-5.0501255673222394</v>
      </c>
      <c r="BL116" s="36">
        <v>-5.0726671709531015</v>
      </c>
      <c r="BM116" s="36">
        <v>-5.0952087745839636</v>
      </c>
      <c r="BN116" s="36">
        <v>-5.1176787878787877</v>
      </c>
      <c r="BO116" s="36">
        <v>-5.1401030303030302</v>
      </c>
      <c r="BP116" s="36">
        <v>-5.1618192771084335</v>
      </c>
      <c r="BQ116" s="36">
        <v>-5.1835454545454542</v>
      </c>
      <c r="BR116" s="36">
        <v>-5.2053636363636366</v>
      </c>
      <c r="BS116" s="36">
        <v>-5.2271818181818182</v>
      </c>
      <c r="BT116" s="36">
        <v>-5.2489999999999997</v>
      </c>
    </row>
    <row r="117" spans="1:72" ht="21.75" thickBot="1" x14ac:dyDescent="0.4">
      <c r="A117" s="88" t="s">
        <v>7</v>
      </c>
      <c r="B117" s="36">
        <v>-21.792000000000002</v>
      </c>
      <c r="C117" s="36">
        <v>-21.217333333333332</v>
      </c>
      <c r="D117" s="36">
        <v>-20.683999999999997</v>
      </c>
      <c r="E117" s="36">
        <v>-20.194909090909089</v>
      </c>
      <c r="F117" s="36">
        <v>-19.761939393939397</v>
      </c>
      <c r="G117" s="36">
        <v>-19.78618181818182</v>
      </c>
      <c r="H117" s="36">
        <v>-19.862168674698797</v>
      </c>
      <c r="I117" s="36">
        <v>-20.006746987951807</v>
      </c>
      <c r="J117" s="36">
        <v>-20.152000000000001</v>
      </c>
      <c r="K117" s="36">
        <v>-20.298181818181821</v>
      </c>
      <c r="L117" s="36">
        <v>-20.449696969696969</v>
      </c>
      <c r="M117" s="36">
        <v>-20.601104387291983</v>
      </c>
      <c r="N117" s="36">
        <v>-20.752390317700456</v>
      </c>
      <c r="O117" s="36">
        <v>-20.903676248108926</v>
      </c>
      <c r="P117" s="36">
        <v>-21.0549621785174</v>
      </c>
      <c r="Q117" s="36">
        <v>-21.20624810892587</v>
      </c>
      <c r="R117" s="36">
        <v>-21.357534039334343</v>
      </c>
      <c r="S117" s="36">
        <v>-21.508819969742817</v>
      </c>
      <c r="T117" s="36">
        <v>-21.66030303030303</v>
      </c>
      <c r="U117" s="36">
        <v>-21.810545454545455</v>
      </c>
      <c r="V117" s="36">
        <v>-21.956</v>
      </c>
      <c r="W117" s="36">
        <v>-22.104848484848485</v>
      </c>
      <c r="X117" s="36">
        <v>-22.256363636363638</v>
      </c>
      <c r="Y117" s="36">
        <v>-22.407048192771086</v>
      </c>
      <c r="Z117" s="36">
        <v>-22.556363636363635</v>
      </c>
      <c r="AA117" s="36">
        <v>-22.701818181818183</v>
      </c>
      <c r="AB117" s="36">
        <v>-22.847272727272728</v>
      </c>
      <c r="AC117" s="36">
        <v>-22.992727272727272</v>
      </c>
      <c r="AD117" s="36">
        <v>-23.138181818181817</v>
      </c>
      <c r="AE117" s="36">
        <v>-23.283636363636361</v>
      </c>
      <c r="AF117" s="36">
        <v>-23.42909090909091</v>
      </c>
      <c r="AG117" s="36">
        <v>-23.573975903614457</v>
      </c>
      <c r="AH117" s="36">
        <v>-23.718554216867467</v>
      </c>
      <c r="AI117" s="36">
        <v>-23.858000000000001</v>
      </c>
      <c r="AJ117" s="36">
        <v>-23.997393939393938</v>
      </c>
      <c r="AK117" s="36">
        <v>-24.136787878787878</v>
      </c>
      <c r="AL117" s="36">
        <v>-24.276181818181819</v>
      </c>
      <c r="AM117" s="36">
        <v>-24.415446293494703</v>
      </c>
      <c r="AN117" s="36">
        <v>-24.551603630862328</v>
      </c>
      <c r="AO117" s="36">
        <v>-24.687760968229952</v>
      </c>
      <c r="AP117" s="36">
        <v>-24.82391830559758</v>
      </c>
      <c r="AQ117" s="36">
        <v>-24.960075642965204</v>
      </c>
      <c r="AR117" s="36">
        <v>-25.096232980332829</v>
      </c>
      <c r="AS117" s="36">
        <v>-25.232390317700453</v>
      </c>
      <c r="AT117" s="36">
        <v>-25.367333333333331</v>
      </c>
      <c r="AU117" s="36">
        <v>-25.500666666666667</v>
      </c>
      <c r="AV117" s="36">
        <v>-25.634</v>
      </c>
      <c r="AW117" s="36">
        <v>-25.767333333333333</v>
      </c>
      <c r="AX117" s="36">
        <v>-25.900666666666666</v>
      </c>
      <c r="AY117" s="36">
        <v>-26.030722891566263</v>
      </c>
      <c r="AZ117" s="36">
        <v>-26.15722891566265</v>
      </c>
      <c r="BA117" s="36">
        <v>-26.284363636363636</v>
      </c>
      <c r="BB117" s="36">
        <v>-26.411636363636365</v>
      </c>
      <c r="BC117" s="36">
        <v>-26.538909090909094</v>
      </c>
      <c r="BD117" s="36">
        <v>-26.666181818181819</v>
      </c>
      <c r="BE117" s="36">
        <v>-26.793454545454544</v>
      </c>
      <c r="BF117" s="36">
        <v>-26.920727272727273</v>
      </c>
      <c r="BG117" s="36">
        <v>-27.046959152798788</v>
      </c>
      <c r="BH117" s="36">
        <v>-27.169500756429652</v>
      </c>
      <c r="BI117" s="36">
        <v>-27.292042360060513</v>
      </c>
      <c r="BJ117" s="36">
        <v>-27.414583963691378</v>
      </c>
      <c r="BK117" s="36">
        <v>-27.537125567322239</v>
      </c>
      <c r="BL117" s="36">
        <v>-27.659667170953099</v>
      </c>
      <c r="BM117" s="36">
        <v>-27.782208774583964</v>
      </c>
      <c r="BN117" s="36">
        <v>-27.903939393939392</v>
      </c>
      <c r="BO117" s="36">
        <v>-28.025151515151517</v>
      </c>
      <c r="BP117" s="36">
        <v>-28.145662650602411</v>
      </c>
      <c r="BQ117" s="36">
        <v>-28.264545454545456</v>
      </c>
      <c r="BR117" s="36">
        <v>-28.379696969696973</v>
      </c>
      <c r="BS117" s="36">
        <v>-28.49878787878788</v>
      </c>
      <c r="BT117" s="36">
        <v>-28.62</v>
      </c>
    </row>
    <row r="118" spans="1:72" ht="21.75" thickBot="1" x14ac:dyDescent="0.4">
      <c r="A118" s="88"/>
    </row>
    <row r="119" spans="1:72" ht="21.75" thickBot="1" x14ac:dyDescent="0.4">
      <c r="A119" s="88"/>
    </row>
    <row r="120" spans="1:72" ht="21.75" thickBot="1" x14ac:dyDescent="0.4">
      <c r="A120" s="93"/>
    </row>
    <row r="121" spans="1:72" ht="21.75" thickBot="1" x14ac:dyDescent="0.4">
      <c r="A121" s="93"/>
    </row>
    <row r="122" spans="1:72" ht="21.75" thickBot="1" x14ac:dyDescent="0.4">
      <c r="A122" s="93"/>
    </row>
    <row r="123" spans="1:72" ht="21.75" thickBot="1" x14ac:dyDescent="0.4">
      <c r="A123" s="93"/>
    </row>
    <row r="124" spans="1:72" ht="21.75" thickBot="1" x14ac:dyDescent="0.4">
      <c r="A124" s="93"/>
    </row>
    <row r="125" spans="1:72" ht="21.75" thickBot="1" x14ac:dyDescent="0.4">
      <c r="A125" s="93"/>
    </row>
    <row r="126" spans="1:72" ht="21.75" thickBot="1" x14ac:dyDescent="0.4">
      <c r="A126" s="93"/>
    </row>
    <row r="127" spans="1:72" ht="21.75" thickBot="1" x14ac:dyDescent="0.4">
      <c r="A127" s="93"/>
    </row>
    <row r="128" spans="1:72" ht="21.75" thickBot="1" x14ac:dyDescent="0.4">
      <c r="A128" s="93"/>
    </row>
    <row r="129" spans="1:72" ht="21.75" thickBot="1" x14ac:dyDescent="0.4">
      <c r="A129" s="93"/>
    </row>
    <row r="130" spans="1:72" ht="22.5" thickTop="1" thickBot="1" x14ac:dyDescent="0.4">
      <c r="A130" s="4" t="s">
        <v>39</v>
      </c>
      <c r="B130" s="4">
        <v>0</v>
      </c>
      <c r="C130" s="4">
        <v>0</v>
      </c>
      <c r="D130" s="4">
        <v>0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  <c r="J130" s="4">
        <v>0</v>
      </c>
      <c r="K130" s="4">
        <v>0</v>
      </c>
      <c r="L130" s="4">
        <v>0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  <c r="X130" s="4">
        <v>0</v>
      </c>
      <c r="Y130" s="4">
        <v>0</v>
      </c>
      <c r="Z130" s="4">
        <v>0</v>
      </c>
      <c r="AA130" s="4">
        <v>0</v>
      </c>
      <c r="AB130" s="4">
        <v>0</v>
      </c>
      <c r="AC130" s="4">
        <v>0</v>
      </c>
      <c r="AD130" s="4">
        <v>0</v>
      </c>
      <c r="AE130" s="4">
        <v>0</v>
      </c>
      <c r="AF130" s="4">
        <v>0</v>
      </c>
      <c r="AG130" s="4">
        <v>0</v>
      </c>
      <c r="AH130" s="4">
        <v>0</v>
      </c>
      <c r="AI130" s="4">
        <v>0</v>
      </c>
      <c r="AJ130" s="4">
        <v>0</v>
      </c>
      <c r="AK130" s="4">
        <v>0</v>
      </c>
      <c r="AL130" s="4">
        <v>0</v>
      </c>
      <c r="AM130" s="4">
        <v>0</v>
      </c>
      <c r="AN130" s="4">
        <v>0</v>
      </c>
      <c r="AO130" s="4">
        <v>0</v>
      </c>
      <c r="AP130" s="4">
        <v>0</v>
      </c>
      <c r="AQ130" s="4">
        <v>0</v>
      </c>
      <c r="AR130" s="4">
        <v>0</v>
      </c>
      <c r="AS130" s="4">
        <v>0</v>
      </c>
      <c r="AT130" s="4">
        <v>0</v>
      </c>
      <c r="AU130" s="4">
        <v>0</v>
      </c>
      <c r="AV130" s="4">
        <v>0</v>
      </c>
      <c r="AW130" s="4">
        <v>0</v>
      </c>
      <c r="AX130" s="4">
        <v>0</v>
      </c>
      <c r="AY130" s="4">
        <v>0</v>
      </c>
      <c r="AZ130" s="4">
        <v>0</v>
      </c>
      <c r="BA130" s="4">
        <v>0</v>
      </c>
      <c r="BB130" s="4">
        <v>0</v>
      </c>
      <c r="BC130" s="4">
        <v>0</v>
      </c>
      <c r="BD130" s="4">
        <v>0</v>
      </c>
      <c r="BE130" s="4">
        <v>0</v>
      </c>
      <c r="BF130" s="4">
        <v>0</v>
      </c>
      <c r="BG130" s="4">
        <v>0</v>
      </c>
      <c r="BH130" s="4">
        <v>0</v>
      </c>
      <c r="BI130" s="4">
        <v>0</v>
      </c>
      <c r="BJ130" s="4">
        <v>0</v>
      </c>
      <c r="BK130" s="4">
        <v>0</v>
      </c>
      <c r="BL130" s="4">
        <v>0</v>
      </c>
      <c r="BM130" s="4">
        <v>0</v>
      </c>
      <c r="BN130" s="4">
        <v>0</v>
      </c>
      <c r="BO130" s="4">
        <v>0</v>
      </c>
      <c r="BP130" s="4">
        <v>0</v>
      </c>
      <c r="BQ130" s="4"/>
      <c r="BR130" s="4"/>
      <c r="BS130" s="4">
        <v>0</v>
      </c>
      <c r="BT130" s="4">
        <v>0</v>
      </c>
    </row>
    <row r="131" spans="1:72" ht="22.5" thickTop="1" thickBot="1" x14ac:dyDescent="0.4"/>
    <row r="132" spans="1:72" ht="22.5" thickTop="1" thickBot="1" x14ac:dyDescent="0.4">
      <c r="A132" s="4" t="s">
        <v>29</v>
      </c>
      <c r="B132" s="4">
        <v>300</v>
      </c>
      <c r="C132" s="4">
        <v>310</v>
      </c>
      <c r="D132" s="4">
        <v>320</v>
      </c>
      <c r="E132" s="4">
        <v>330</v>
      </c>
      <c r="F132" s="4">
        <v>340</v>
      </c>
      <c r="G132" s="4">
        <v>350</v>
      </c>
      <c r="H132" s="4">
        <v>360</v>
      </c>
      <c r="I132" s="4">
        <v>370</v>
      </c>
      <c r="J132" s="4">
        <v>380</v>
      </c>
      <c r="K132" s="4">
        <v>390</v>
      </c>
      <c r="L132" s="4">
        <v>400</v>
      </c>
      <c r="M132" s="4">
        <v>410</v>
      </c>
      <c r="N132" s="4">
        <v>420</v>
      </c>
      <c r="O132" s="4">
        <v>430</v>
      </c>
      <c r="P132" s="4">
        <v>440</v>
      </c>
      <c r="Q132" s="4">
        <v>450</v>
      </c>
      <c r="R132" s="4">
        <v>460</v>
      </c>
      <c r="S132" s="4">
        <v>470</v>
      </c>
      <c r="T132" s="4">
        <v>480</v>
      </c>
      <c r="U132" s="4">
        <v>490</v>
      </c>
      <c r="V132" s="4">
        <v>500</v>
      </c>
      <c r="W132" s="4">
        <v>510</v>
      </c>
      <c r="X132" s="4">
        <v>520</v>
      </c>
      <c r="Y132" s="4">
        <v>530</v>
      </c>
      <c r="Z132" s="4">
        <v>540</v>
      </c>
      <c r="AA132" s="4">
        <v>550</v>
      </c>
      <c r="AB132" s="4">
        <v>560</v>
      </c>
      <c r="AC132" s="4">
        <v>570</v>
      </c>
      <c r="AD132" s="4">
        <v>580</v>
      </c>
      <c r="AE132" s="4">
        <v>590</v>
      </c>
      <c r="AF132" s="4">
        <v>600</v>
      </c>
      <c r="AG132" s="4">
        <v>610</v>
      </c>
      <c r="AH132" s="4">
        <v>620</v>
      </c>
      <c r="AI132" s="4">
        <v>630</v>
      </c>
      <c r="AJ132" s="4">
        <v>640</v>
      </c>
      <c r="AK132" s="4">
        <v>650</v>
      </c>
      <c r="AL132" s="4">
        <v>660</v>
      </c>
      <c r="AM132" s="4">
        <v>670</v>
      </c>
      <c r="AN132" s="4">
        <v>680</v>
      </c>
      <c r="AO132" s="4">
        <v>690</v>
      </c>
      <c r="AP132" s="4">
        <v>700</v>
      </c>
      <c r="AQ132" s="4">
        <v>710</v>
      </c>
      <c r="AR132" s="4">
        <v>720</v>
      </c>
      <c r="AS132" s="4">
        <v>730</v>
      </c>
      <c r="AT132" s="4">
        <v>740</v>
      </c>
      <c r="AU132" s="4">
        <v>750</v>
      </c>
      <c r="AV132" s="4">
        <v>760</v>
      </c>
      <c r="AW132" s="4">
        <v>770</v>
      </c>
      <c r="AX132" s="4">
        <v>780</v>
      </c>
      <c r="AY132" s="4">
        <v>790</v>
      </c>
      <c r="AZ132" s="4">
        <v>800</v>
      </c>
      <c r="BA132" s="4">
        <v>810</v>
      </c>
      <c r="BB132" s="4">
        <v>820</v>
      </c>
      <c r="BC132" s="4">
        <v>830</v>
      </c>
      <c r="BD132" s="4">
        <v>840</v>
      </c>
      <c r="BE132" s="4">
        <v>850</v>
      </c>
      <c r="BF132" s="4">
        <v>860</v>
      </c>
      <c r="BG132" s="4">
        <v>870</v>
      </c>
      <c r="BH132" s="4">
        <v>880</v>
      </c>
      <c r="BI132" s="4">
        <v>890</v>
      </c>
      <c r="BJ132" s="4">
        <v>900</v>
      </c>
      <c r="BK132" s="4">
        <v>910</v>
      </c>
      <c r="BL132" s="4">
        <v>920</v>
      </c>
      <c r="BM132" s="4">
        <v>930</v>
      </c>
      <c r="BN132" s="4">
        <v>940</v>
      </c>
      <c r="BO132" s="4">
        <v>950</v>
      </c>
      <c r="BP132" s="4">
        <v>960</v>
      </c>
      <c r="BQ132" s="4">
        <v>970</v>
      </c>
      <c r="BR132" s="4">
        <v>980</v>
      </c>
      <c r="BS132" s="4">
        <v>990</v>
      </c>
      <c r="BT132" s="4">
        <v>1000</v>
      </c>
    </row>
    <row r="133" spans="1:72" ht="22.5" thickTop="1" thickBot="1" x14ac:dyDescent="0.4">
      <c r="A133" s="88" t="s">
        <v>51</v>
      </c>
      <c r="B133" s="36">
        <v>1.6735315156149013E-23</v>
      </c>
      <c r="C133" s="36">
        <v>3.0091301472727363E-20</v>
      </c>
      <c r="D133" s="36">
        <v>1.0920838692727282E-19</v>
      </c>
      <c r="E133" s="36">
        <v>2.2640414545454577E-18</v>
      </c>
      <c r="F133" s="36">
        <v>1.2732251739788308E-17</v>
      </c>
      <c r="G133" s="36">
        <v>1.0997539848714078E-16</v>
      </c>
      <c r="H133" s="36">
        <v>2.0721854523449323E-16</v>
      </c>
      <c r="I133" s="36">
        <v>3.044616919818457E-16</v>
      </c>
      <c r="J133" s="36">
        <v>4.0170483872919815E-16</v>
      </c>
      <c r="K133" s="36">
        <v>4.989479854765506E-16</v>
      </c>
      <c r="L133" s="36">
        <v>5.9619113222390305E-16</v>
      </c>
      <c r="M133" s="36">
        <v>2.0334523636363604E-15</v>
      </c>
      <c r="N133" s="36">
        <v>4.9817978181818147E-15</v>
      </c>
      <c r="O133" s="36">
        <v>1.0748446969696955E-13</v>
      </c>
      <c r="P133" s="36">
        <v>3.6167728915662492E-12</v>
      </c>
      <c r="Q133" s="36">
        <v>2.3652495783132553E-11</v>
      </c>
      <c r="R133" s="36">
        <v>5.6734109090909323E-10</v>
      </c>
      <c r="S133" s="36">
        <v>1.6141471515151537E-9</v>
      </c>
      <c r="T133" s="36">
        <v>3.6844939393939443E-9</v>
      </c>
      <c r="U133" s="36">
        <v>5.7876490909090949E-9</v>
      </c>
      <c r="V133" s="36">
        <v>7.3874066666666711E-9</v>
      </c>
      <c r="W133" s="36">
        <v>8.8368466666666702E-9</v>
      </c>
      <c r="X133" s="36">
        <v>1.0168180000000002E-8</v>
      </c>
      <c r="Y133" s="36">
        <v>1.3718042168674703E-8</v>
      </c>
      <c r="Z133" s="36">
        <v>1.686969696969697E-8</v>
      </c>
      <c r="AA133" s="36">
        <v>1.8168484848484851E-8</v>
      </c>
      <c r="AB133" s="36">
        <v>1.7813454545454547E-8</v>
      </c>
      <c r="AC133" s="36">
        <v>1.6355878787878789E-8</v>
      </c>
      <c r="AD133" s="36">
        <v>1.3967878787878787E-8</v>
      </c>
      <c r="AE133" s="36">
        <v>1.2826181818181817E-8</v>
      </c>
      <c r="AF133" s="36">
        <v>1.4706787878787877E-8</v>
      </c>
      <c r="AG133" s="36">
        <v>1.6280873493975901E-8</v>
      </c>
      <c r="AH133" s="36">
        <v>1.7689909638554213E-8</v>
      </c>
      <c r="AI133" s="36">
        <v>1.8416199999999999E-8</v>
      </c>
      <c r="AJ133" s="36">
        <v>1.8968066666666667E-8</v>
      </c>
      <c r="AK133" s="36">
        <v>1.9194733333333334E-8</v>
      </c>
      <c r="AL133" s="36">
        <v>1.926458181818182E-8</v>
      </c>
      <c r="AM133" s="36">
        <v>1.9265597579425112E-8</v>
      </c>
      <c r="AN133" s="36">
        <v>1.930553706505295E-8</v>
      </c>
      <c r="AO133" s="36">
        <v>1.9345476550680787E-8</v>
      </c>
      <c r="AP133" s="36">
        <v>1.9385416036308625E-8</v>
      </c>
      <c r="AQ133" s="36">
        <v>1.9425355521936462E-8</v>
      </c>
      <c r="AR133" s="36">
        <v>1.9465295007564296E-8</v>
      </c>
      <c r="AS133" s="36">
        <v>1.9505234493192133E-8</v>
      </c>
      <c r="AT133" s="36">
        <v>1.9223812405446296E-8</v>
      </c>
      <c r="AU133" s="36">
        <v>1.851639939485628E-8</v>
      </c>
      <c r="AV133" s="36">
        <v>1.7808986384266264E-8</v>
      </c>
      <c r="AW133" s="36">
        <v>1.7101573373676247E-8</v>
      </c>
      <c r="AX133" s="36">
        <v>1.6394160363086231E-8</v>
      </c>
      <c r="AY133" s="36">
        <v>1.5686747352496217E-8</v>
      </c>
      <c r="AZ133" s="36">
        <v>1.4979334341906198E-8</v>
      </c>
      <c r="BA133" s="36">
        <v>1.5298527272727276E-8</v>
      </c>
      <c r="BB133" s="36">
        <v>1.584307272727273E-8</v>
      </c>
      <c r="BC133" s="36">
        <v>1.6387618181818185E-8</v>
      </c>
      <c r="BD133" s="36">
        <v>1.6932163636363639E-8</v>
      </c>
      <c r="BE133" s="36">
        <v>1.7476709090909093E-8</v>
      </c>
      <c r="BF133" s="36">
        <v>1.8021254545454547E-8</v>
      </c>
      <c r="BG133" s="36">
        <v>1.9184590361445798E-8</v>
      </c>
      <c r="BH133" s="36">
        <v>2.2541819277108446E-8</v>
      </c>
      <c r="BI133" s="36">
        <v>2.5591751515151521E-8</v>
      </c>
      <c r="BJ133" s="36">
        <v>2.8400236363636368E-8</v>
      </c>
      <c r="BK133" s="36">
        <v>2.3413054545454533E-8</v>
      </c>
      <c r="BL133" s="36">
        <v>1.9415151515151516E-8</v>
      </c>
      <c r="BM133" s="36">
        <v>2.0427272727272728E-8</v>
      </c>
      <c r="BN133" s="36">
        <v>2.1302236363636366E-8</v>
      </c>
      <c r="BO133" s="36">
        <v>2.2089509090909092E-8</v>
      </c>
      <c r="BP133" s="36">
        <v>2.2701626506024097E-8</v>
      </c>
      <c r="BQ133" s="36">
        <v>2.3236818181818183E-8</v>
      </c>
      <c r="BR133" s="36">
        <v>2.3609545454545456E-8</v>
      </c>
      <c r="BS133" s="36">
        <v>2.3866454545454545E-8</v>
      </c>
      <c r="BT133" s="36">
        <v>2.4061E-8</v>
      </c>
    </row>
    <row r="134" spans="1:72" ht="21.75" thickBot="1" x14ac:dyDescent="0.4">
      <c r="A134" s="88" t="s">
        <v>55</v>
      </c>
      <c r="B134" s="36">
        <v>3.2555735757575792E-9</v>
      </c>
      <c r="C134" s="36">
        <v>6.4679496969697017E-9</v>
      </c>
      <c r="D134" s="36">
        <v>1.0333343636363642E-8</v>
      </c>
      <c r="E134" s="36">
        <v>1.3194036363636367E-8</v>
      </c>
      <c r="F134" s="36">
        <v>1.5618608169440246E-8</v>
      </c>
      <c r="G134" s="36">
        <v>1.7301210287443269E-8</v>
      </c>
      <c r="H134" s="36">
        <v>1.8983812405446296E-8</v>
      </c>
      <c r="I134" s="36">
        <v>2.0666414523449319E-8</v>
      </c>
      <c r="J134" s="36">
        <v>2.2349016641452346E-8</v>
      </c>
      <c r="K134" s="36">
        <v>2.4031618759455369E-8</v>
      </c>
      <c r="L134" s="36">
        <v>2.5714220877458396E-8</v>
      </c>
      <c r="M134" s="36">
        <v>2.567938787878788E-8</v>
      </c>
      <c r="N134" s="36">
        <v>2.3707872727272731E-8</v>
      </c>
      <c r="O134" s="36">
        <v>1.9535278787878792E-8</v>
      </c>
      <c r="P134" s="36">
        <v>1.4790082530120485E-8</v>
      </c>
      <c r="Q134" s="36">
        <v>9.6082150602409582E-9</v>
      </c>
      <c r="R134" s="36">
        <v>5.0340949090908996E-9</v>
      </c>
      <c r="S134" s="36">
        <v>1.0438888484848395E-9</v>
      </c>
      <c r="T134" s="36">
        <v>2.3246483987878717E-10</v>
      </c>
      <c r="U134" s="36">
        <v>2.1471726774181785E-13</v>
      </c>
      <c r="V134" s="36">
        <v>6.5609018893332971E-14</v>
      </c>
      <c r="W134" s="36">
        <v>9.1784613702739211E-19</v>
      </c>
      <c r="X134" s="36">
        <v>7.5785667433452768E-20</v>
      </c>
      <c r="Y134" s="36">
        <v>1.0173344210858421E-25</v>
      </c>
      <c r="Z134" s="36">
        <v>1.2960606060606063E-32</v>
      </c>
      <c r="AA134" s="36">
        <v>3.7030303030303034E-33</v>
      </c>
      <c r="AB134" s="36">
        <v>0</v>
      </c>
      <c r="AC134" s="36">
        <v>0</v>
      </c>
      <c r="AD134" s="36">
        <v>0</v>
      </c>
      <c r="AE134" s="36">
        <v>0</v>
      </c>
      <c r="AF134" s="36">
        <v>0</v>
      </c>
      <c r="AG134" s="36">
        <v>0</v>
      </c>
      <c r="AH134" s="36">
        <v>0</v>
      </c>
      <c r="AI134" s="36">
        <v>0</v>
      </c>
      <c r="AJ134" s="36">
        <v>0</v>
      </c>
      <c r="AK134" s="36">
        <v>0</v>
      </c>
      <c r="AL134" s="36">
        <v>0</v>
      </c>
      <c r="AM134" s="36">
        <v>0</v>
      </c>
      <c r="AN134" s="36">
        <v>0</v>
      </c>
      <c r="AO134" s="36">
        <v>0</v>
      </c>
      <c r="AP134" s="36">
        <v>0</v>
      </c>
      <c r="AQ134" s="36">
        <v>0</v>
      </c>
      <c r="AR134" s="36">
        <v>0</v>
      </c>
      <c r="AS134" s="36">
        <v>0</v>
      </c>
      <c r="AT134" s="36">
        <v>0</v>
      </c>
      <c r="AU134" s="36">
        <v>0</v>
      </c>
      <c r="AV134" s="36">
        <v>0</v>
      </c>
      <c r="AW134" s="36">
        <v>0</v>
      </c>
      <c r="AX134" s="36">
        <v>0</v>
      </c>
      <c r="AY134" s="36">
        <v>0</v>
      </c>
      <c r="AZ134" s="36">
        <v>0</v>
      </c>
      <c r="BA134" s="36">
        <v>0</v>
      </c>
      <c r="BB134" s="36">
        <v>0</v>
      </c>
      <c r="BC134" s="36">
        <v>0</v>
      </c>
      <c r="BD134" s="36">
        <v>0</v>
      </c>
      <c r="BE134" s="36">
        <v>0</v>
      </c>
      <c r="BF134" s="36">
        <v>0</v>
      </c>
      <c r="BG134" s="36">
        <v>0</v>
      </c>
      <c r="BH134" s="36">
        <v>0</v>
      </c>
      <c r="BI134" s="36">
        <v>0</v>
      </c>
      <c r="BJ134" s="36">
        <v>0</v>
      </c>
      <c r="BK134" s="36">
        <v>0</v>
      </c>
      <c r="BL134" s="36">
        <v>0</v>
      </c>
      <c r="BM134" s="36">
        <v>0</v>
      </c>
      <c r="BN134" s="36">
        <v>0</v>
      </c>
      <c r="BO134" s="36">
        <v>0</v>
      </c>
      <c r="BP134" s="36">
        <v>0</v>
      </c>
      <c r="BQ134" s="36">
        <v>0</v>
      </c>
      <c r="BR134" s="36">
        <v>0</v>
      </c>
      <c r="BS134" s="36">
        <v>0</v>
      </c>
      <c r="BT134" s="36">
        <v>0</v>
      </c>
    </row>
    <row r="135" spans="1:72" ht="21.75" thickBot="1" x14ac:dyDescent="0.4">
      <c r="A135" s="88" t="s">
        <v>1</v>
      </c>
      <c r="B135" s="36">
        <v>0.2</v>
      </c>
      <c r="C135" s="36">
        <v>0.2</v>
      </c>
      <c r="D135" s="36">
        <v>0.2</v>
      </c>
      <c r="E135" s="36">
        <v>0.2</v>
      </c>
      <c r="F135" s="36">
        <v>0.2</v>
      </c>
      <c r="G135" s="36">
        <v>0.2</v>
      </c>
      <c r="H135" s="36">
        <v>0.2</v>
      </c>
      <c r="I135" s="36">
        <v>0.2</v>
      </c>
      <c r="J135" s="36">
        <v>0.2</v>
      </c>
      <c r="K135" s="36">
        <v>0.2</v>
      </c>
      <c r="L135" s="36">
        <v>0.2</v>
      </c>
      <c r="M135" s="36">
        <v>0.2</v>
      </c>
      <c r="N135" s="36">
        <v>0.2</v>
      </c>
      <c r="O135" s="36">
        <v>0.2</v>
      </c>
      <c r="P135" s="36">
        <v>0.2</v>
      </c>
      <c r="Q135" s="36">
        <v>0.2</v>
      </c>
      <c r="R135" s="36">
        <v>0.2</v>
      </c>
      <c r="S135" s="36">
        <v>0.2</v>
      </c>
      <c r="T135" s="36">
        <v>0.2</v>
      </c>
      <c r="U135" s="36">
        <v>0.2</v>
      </c>
      <c r="V135" s="36">
        <v>0.2</v>
      </c>
      <c r="W135" s="36">
        <v>0.2</v>
      </c>
      <c r="X135" s="36">
        <v>0.2</v>
      </c>
      <c r="Y135" s="36">
        <v>0.2</v>
      </c>
      <c r="Z135" s="36">
        <v>0.2</v>
      </c>
      <c r="AA135" s="36">
        <v>0.2</v>
      </c>
      <c r="AB135" s="36">
        <v>0.2</v>
      </c>
      <c r="AC135" s="36">
        <v>0.2</v>
      </c>
      <c r="AD135" s="36">
        <v>0.2</v>
      </c>
      <c r="AE135" s="36">
        <v>0.2</v>
      </c>
      <c r="AF135" s="36">
        <v>0.2</v>
      </c>
      <c r="AG135" s="36">
        <v>0.2</v>
      </c>
      <c r="AH135" s="36">
        <v>0.2</v>
      </c>
      <c r="AI135" s="36">
        <v>0.2</v>
      </c>
      <c r="AJ135" s="36">
        <v>0.2</v>
      </c>
      <c r="AK135" s="36">
        <v>0.2</v>
      </c>
      <c r="AL135" s="36">
        <v>0.2</v>
      </c>
      <c r="AM135" s="36">
        <v>0.2</v>
      </c>
      <c r="AN135" s="36">
        <v>0.2</v>
      </c>
      <c r="AO135" s="36">
        <v>0.2</v>
      </c>
      <c r="AP135" s="36">
        <v>0.2</v>
      </c>
      <c r="AQ135" s="36">
        <v>0.2</v>
      </c>
      <c r="AR135" s="36">
        <v>0.2</v>
      </c>
      <c r="AS135" s="36">
        <v>0.2</v>
      </c>
      <c r="AT135" s="36">
        <v>0.2</v>
      </c>
      <c r="AU135" s="36">
        <v>0.2</v>
      </c>
      <c r="AV135" s="36">
        <v>0.2</v>
      </c>
      <c r="AW135" s="36">
        <v>0.2</v>
      </c>
      <c r="AX135" s="36">
        <v>0.2</v>
      </c>
      <c r="AY135" s="36">
        <v>0.2</v>
      </c>
      <c r="AZ135" s="36">
        <v>0.2</v>
      </c>
      <c r="BA135" s="36">
        <v>0.2</v>
      </c>
      <c r="BB135" s="36">
        <v>0.2</v>
      </c>
      <c r="BC135" s="36">
        <v>0.2</v>
      </c>
      <c r="BD135" s="36">
        <v>0.2</v>
      </c>
      <c r="BE135" s="36">
        <v>0.2</v>
      </c>
      <c r="BF135" s="36">
        <v>0.2</v>
      </c>
      <c r="BG135" s="36">
        <v>0.2</v>
      </c>
      <c r="BH135" s="36">
        <v>0.2</v>
      </c>
      <c r="BI135" s="36">
        <v>0.2</v>
      </c>
      <c r="BJ135" s="36">
        <v>0.2</v>
      </c>
      <c r="BK135" s="36">
        <v>0.2</v>
      </c>
      <c r="BL135" s="36">
        <v>0.2</v>
      </c>
      <c r="BM135" s="36">
        <v>0.2</v>
      </c>
      <c r="BN135" s="36">
        <v>0.2</v>
      </c>
      <c r="BO135" s="36">
        <v>0.2</v>
      </c>
      <c r="BP135" s="36">
        <v>0.2</v>
      </c>
      <c r="BQ135" s="36">
        <v>0.2</v>
      </c>
      <c r="BR135" s="36">
        <v>0.2</v>
      </c>
      <c r="BS135" s="36">
        <v>0.2</v>
      </c>
      <c r="BT135" s="36">
        <v>0.2</v>
      </c>
    </row>
    <row r="136" spans="1:72" ht="21.75" thickBot="1" x14ac:dyDescent="0.4">
      <c r="A136" s="88" t="s">
        <v>82</v>
      </c>
      <c r="B136" s="36">
        <v>0.10389327878787878</v>
      </c>
      <c r="C136" s="36">
        <v>9.3476199999999982E-2</v>
      </c>
      <c r="D136" s="36">
        <v>7.9316199999999989E-2</v>
      </c>
      <c r="E136" s="36">
        <v>6.3278109090909071E-2</v>
      </c>
      <c r="F136" s="36">
        <v>4.7338432677760965E-2</v>
      </c>
      <c r="G136" s="36">
        <v>4.0518841149773069E-2</v>
      </c>
      <c r="H136" s="36">
        <v>3.3699249621785173E-2</v>
      </c>
      <c r="I136" s="36">
        <v>2.6879658093797276E-2</v>
      </c>
      <c r="J136" s="36">
        <v>2.006006656580938E-2</v>
      </c>
      <c r="K136" s="36">
        <v>1.3240475037821484E-2</v>
      </c>
      <c r="L136" s="36">
        <v>6.4208835098335873E-3</v>
      </c>
      <c r="M136" s="36">
        <v>2.4000496969696977E-3</v>
      </c>
      <c r="N136" s="36">
        <v>1.5352618181818192E-3</v>
      </c>
      <c r="O136" s="36">
        <v>1.0426595151515157E-3</v>
      </c>
      <c r="P136" s="36">
        <v>6.671675903614459E-4</v>
      </c>
      <c r="Q136" s="36">
        <v>4.645651807228913E-4</v>
      </c>
      <c r="R136" s="36">
        <v>3.1076018181818159E-4</v>
      </c>
      <c r="S136" s="36">
        <v>2.0383896969696945E-4</v>
      </c>
      <c r="T136" s="36">
        <v>1.3877838787878773E-4</v>
      </c>
      <c r="U136" s="36">
        <v>8.6257054545454468E-5</v>
      </c>
      <c r="V136" s="36">
        <v>5.5271599999999927E-5</v>
      </c>
      <c r="W136" s="36">
        <v>3.3232909090909054E-5</v>
      </c>
      <c r="X136" s="36">
        <v>1.8223818181818145E-5</v>
      </c>
      <c r="Y136" s="36">
        <v>1.1076025903614452E-5</v>
      </c>
      <c r="Z136" s="36">
        <v>5.6845272727272729E-6</v>
      </c>
      <c r="AA136" s="36">
        <v>3.2294363636363638E-6</v>
      </c>
      <c r="AB136" s="36">
        <v>1.7186363636363636E-6</v>
      </c>
      <c r="AC136" s="36">
        <v>8.3736363636363636E-7</v>
      </c>
      <c r="AD136" s="36">
        <v>4.9969242424242433E-7</v>
      </c>
      <c r="AE136" s="36">
        <v>2.5067727272727273E-7</v>
      </c>
      <c r="AF136" s="36">
        <v>1.4176818181818184E-7</v>
      </c>
      <c r="AG136" s="36">
        <v>7.8348554216867519E-8</v>
      </c>
      <c r="AH136" s="36">
        <v>3.9423253012048289E-8</v>
      </c>
      <c r="AI136" s="36">
        <v>2.4707800000000034E-8</v>
      </c>
      <c r="AJ136" s="36">
        <v>1.3283847272727287E-8</v>
      </c>
      <c r="AK136" s="36">
        <v>7.7745745454545592E-9</v>
      </c>
      <c r="AL136" s="36">
        <v>4.5754218181818237E-9</v>
      </c>
      <c r="AM136" s="36">
        <v>2.4860376520423605E-9</v>
      </c>
      <c r="AN136" s="36">
        <v>2.1219789531013622E-9</v>
      </c>
      <c r="AO136" s="36">
        <v>1.7579202541603642E-9</v>
      </c>
      <c r="AP136" s="36">
        <v>1.3938615552193656E-9</v>
      </c>
      <c r="AQ136" s="36">
        <v>1.0298028562783674E-9</v>
      </c>
      <c r="AR136" s="36">
        <v>6.6574415733736903E-10</v>
      </c>
      <c r="AS136" s="36">
        <v>3.0168545839637065E-10</v>
      </c>
      <c r="AT136" s="36">
        <v>8.8383159152798849E-11</v>
      </c>
      <c r="AU136" s="36">
        <v>7.4920738577912292E-11</v>
      </c>
      <c r="AV136" s="36">
        <v>6.1458318003025735E-11</v>
      </c>
      <c r="AW136" s="36">
        <v>4.7995897428139184E-11</v>
      </c>
      <c r="AX136" s="36">
        <v>3.4533476853252621E-11</v>
      </c>
      <c r="AY136" s="36">
        <v>2.1071056278366077E-11</v>
      </c>
      <c r="AZ136" s="36">
        <v>7.60863570347952E-12</v>
      </c>
      <c r="BA136" s="36">
        <v>4.591056545454542E-12</v>
      </c>
      <c r="BB136" s="36">
        <v>3.8662474545454517E-12</v>
      </c>
      <c r="BC136" s="36">
        <v>3.1414383636363602E-12</v>
      </c>
      <c r="BD136" s="36">
        <v>2.4166292727272695E-12</v>
      </c>
      <c r="BE136" s="36">
        <v>1.6918201818181784E-12</v>
      </c>
      <c r="BF136" s="36">
        <v>9.6701109090908733E-13</v>
      </c>
      <c r="BG136" s="36">
        <v>3.774401204819272E-13</v>
      </c>
      <c r="BH136" s="36">
        <v>2.6734975903614426E-13</v>
      </c>
      <c r="BI136" s="36">
        <v>1.854593333333332E-13</v>
      </c>
      <c r="BJ136" s="36">
        <v>1.2572599999999987E-13</v>
      </c>
      <c r="BK136" s="36">
        <v>9.0792096969696904E-14</v>
      </c>
      <c r="BL136" s="36">
        <v>6.2127999999999965E-14</v>
      </c>
      <c r="BM136" s="36">
        <v>4.4327999999999961E-14</v>
      </c>
      <c r="BN136" s="36">
        <v>3.1382121212121193E-14</v>
      </c>
      <c r="BO136" s="36">
        <v>2.153969696969695E-14</v>
      </c>
      <c r="BP136" s="36">
        <v>1.5904168674698789E-14</v>
      </c>
      <c r="BQ136" s="36">
        <v>1.1152854545454546E-14</v>
      </c>
      <c r="BR136" s="36">
        <v>8.0557030303030312E-15</v>
      </c>
      <c r="BS136" s="36">
        <v>5.8255333333333333E-15</v>
      </c>
      <c r="BT136" s="36">
        <v>4.0621999999999996E-15</v>
      </c>
    </row>
    <row r="137" spans="1:72" ht="21.75" thickBot="1" x14ac:dyDescent="0.4">
      <c r="A137" s="88" t="s">
        <v>71</v>
      </c>
      <c r="B137" s="36">
        <v>0.1361048484848485</v>
      </c>
      <c r="C137" s="36">
        <v>0.14651987878787881</v>
      </c>
      <c r="D137" s="36">
        <v>0.16067745454545457</v>
      </c>
      <c r="E137" s="36">
        <v>0.17670648484848486</v>
      </c>
      <c r="F137" s="36">
        <v>0.19260582450832076</v>
      </c>
      <c r="G137" s="36">
        <v>0.19905363086232983</v>
      </c>
      <c r="H137" s="36">
        <v>0.2055014372163389</v>
      </c>
      <c r="I137" s="36">
        <v>0.21194924357034797</v>
      </c>
      <c r="J137" s="36">
        <v>0.21839704992435705</v>
      </c>
      <c r="K137" s="36">
        <v>0.22484485627836612</v>
      </c>
      <c r="L137" s="36">
        <v>0.23129266263237519</v>
      </c>
      <c r="M137" s="36">
        <v>0.23395230303030304</v>
      </c>
      <c r="N137" s="36">
        <v>0.23234018181818183</v>
      </c>
      <c r="O137" s="36">
        <v>0.22791024242424243</v>
      </c>
      <c r="P137" s="36">
        <v>0.22200873493975903</v>
      </c>
      <c r="Q137" s="36">
        <v>0.21194246987951806</v>
      </c>
      <c r="R137" s="36">
        <v>0.19868618181818179</v>
      </c>
      <c r="S137" s="36">
        <v>0.18236496969696964</v>
      </c>
      <c r="T137" s="36">
        <v>0.16131636363636359</v>
      </c>
      <c r="U137" s="36">
        <v>0.13901199999999997</v>
      </c>
      <c r="V137" s="36">
        <v>0.11487866666666663</v>
      </c>
      <c r="W137" s="36">
        <v>9.2028242424242374E-2</v>
      </c>
      <c r="X137" s="36">
        <v>7.0185818181818127E-2</v>
      </c>
      <c r="Y137" s="36">
        <v>5.3410024096385525E-2</v>
      </c>
      <c r="Z137" s="36">
        <v>3.855460606060606E-2</v>
      </c>
      <c r="AA137" s="36">
        <v>2.7957030303030303E-2</v>
      </c>
      <c r="AB137" s="36">
        <v>1.9962363636363636E-2</v>
      </c>
      <c r="AC137" s="36">
        <v>1.3702969696969698E-2</v>
      </c>
      <c r="AD137" s="36">
        <v>1.003160606060606E-2</v>
      </c>
      <c r="AE137" s="36">
        <v>6.9664363636363635E-3</v>
      </c>
      <c r="AF137" s="36">
        <v>4.9978909090909098E-3</v>
      </c>
      <c r="AG137" s="36">
        <v>3.5984030120481936E-3</v>
      </c>
      <c r="AH137" s="36">
        <v>2.5053307228915687E-3</v>
      </c>
      <c r="AI137" s="36">
        <v>1.8790400000000015E-3</v>
      </c>
      <c r="AJ137" s="36">
        <v>1.347492121212122E-3</v>
      </c>
      <c r="AK137" s="36">
        <v>9.9070424242424324E-4</v>
      </c>
      <c r="AL137" s="36">
        <v>7.3638763636363683E-4</v>
      </c>
      <c r="AM137" s="36">
        <v>5.337176399394858E-4</v>
      </c>
      <c r="AN137" s="36">
        <v>4.6565863842662654E-4</v>
      </c>
      <c r="AO137" s="36">
        <v>3.9759963691376722E-4</v>
      </c>
      <c r="AP137" s="36">
        <v>3.2954063540090791E-4</v>
      </c>
      <c r="AQ137" s="36">
        <v>2.6148163388804864E-4</v>
      </c>
      <c r="AR137" s="36">
        <v>1.9342263237518938E-4</v>
      </c>
      <c r="AS137" s="36">
        <v>1.2536363086233007E-4</v>
      </c>
      <c r="AT137" s="36">
        <v>8.2073019667170993E-5</v>
      </c>
      <c r="AU137" s="36">
        <v>7.1614925869894136E-5</v>
      </c>
      <c r="AV137" s="36">
        <v>6.1156832072617264E-5</v>
      </c>
      <c r="AW137" s="36">
        <v>5.0698738275340393E-5</v>
      </c>
      <c r="AX137" s="36">
        <v>4.0240644478063521E-5</v>
      </c>
      <c r="AY137" s="36">
        <v>2.9782550680786656E-5</v>
      </c>
      <c r="AZ137" s="36">
        <v>1.9324456883509792E-5</v>
      </c>
      <c r="BA137" s="36">
        <v>1.5805963333333326E-5</v>
      </c>
      <c r="BB137" s="36">
        <v>1.3810796666666659E-5</v>
      </c>
      <c r="BC137" s="36">
        <v>1.1815629999999991E-5</v>
      </c>
      <c r="BD137" s="36">
        <v>9.8204633333333237E-6</v>
      </c>
      <c r="BE137" s="36">
        <v>7.825296666666658E-6</v>
      </c>
      <c r="BF137" s="36">
        <v>5.8301299999999922E-6</v>
      </c>
      <c r="BG137" s="36">
        <v>4.1138566265060206E-6</v>
      </c>
      <c r="BH137" s="36">
        <v>3.3863867469879499E-6</v>
      </c>
      <c r="BI137" s="36">
        <v>2.7763218181818171E-6</v>
      </c>
      <c r="BJ137" s="36">
        <v>2.2585036363636352E-6</v>
      </c>
      <c r="BK137" s="36">
        <v>1.8769648484848475E-6</v>
      </c>
      <c r="BL137" s="36">
        <v>1.5362436363636358E-6</v>
      </c>
      <c r="BM137" s="36">
        <v>1.273334545454545E-6</v>
      </c>
      <c r="BN137" s="36">
        <v>1.0556652727272724E-6</v>
      </c>
      <c r="BO137" s="36">
        <v>8.6691981818181775E-7</v>
      </c>
      <c r="BP137" s="36">
        <v>7.2934783132530101E-7</v>
      </c>
      <c r="BQ137" s="36">
        <v>6.0485818181818178E-7</v>
      </c>
      <c r="BR137" s="36">
        <v>5.0591878787878786E-7</v>
      </c>
      <c r="BS137" s="36">
        <v>4.2430878787878785E-7</v>
      </c>
      <c r="BT137" s="36">
        <v>3.5203000000000001E-7</v>
      </c>
    </row>
    <row r="138" spans="1:72" ht="21.75" thickBot="1" x14ac:dyDescent="0.4">
      <c r="A138" s="88" t="s">
        <v>83</v>
      </c>
      <c r="B138" s="36">
        <v>3.9995751515151515E-2</v>
      </c>
      <c r="C138" s="36">
        <v>3.9993848484848486E-2</v>
      </c>
      <c r="D138" s="36">
        <v>3.9990818181818183E-2</v>
      </c>
      <c r="E138" s="36">
        <v>3.998469090909091E-2</v>
      </c>
      <c r="F138" s="36">
        <v>3.9973231467473523E-2</v>
      </c>
      <c r="G138" s="36">
        <v>3.9913624810892584E-2</v>
      </c>
      <c r="H138" s="36">
        <v>3.9854018154311652E-2</v>
      </c>
      <c r="I138" s="36">
        <v>3.9794411497730713E-2</v>
      </c>
      <c r="J138" s="36">
        <v>3.9734804841149773E-2</v>
      </c>
      <c r="K138" s="36">
        <v>3.9675198184568834E-2</v>
      </c>
      <c r="L138" s="36">
        <v>3.9615591527987895E-2</v>
      </c>
      <c r="M138" s="36">
        <v>3.9480884848484853E-2</v>
      </c>
      <c r="N138" s="36">
        <v>3.926149090909091E-2</v>
      </c>
      <c r="O138" s="36">
        <v>3.8919345454545458E-2</v>
      </c>
      <c r="P138" s="36">
        <v>3.8513253012048193E-2</v>
      </c>
      <c r="Q138" s="36">
        <v>3.7926506024096383E-2</v>
      </c>
      <c r="R138" s="36">
        <v>3.7175363636363631E-2</v>
      </c>
      <c r="S138" s="36">
        <v>3.6266272727272723E-2</v>
      </c>
      <c r="T138" s="36">
        <v>3.4971484848484842E-2</v>
      </c>
      <c r="U138" s="36">
        <v>3.3489818181818176E-2</v>
      </c>
      <c r="V138" s="36">
        <v>3.1541333333333331E-2</v>
      </c>
      <c r="W138" s="36">
        <v>2.9217139393939388E-2</v>
      </c>
      <c r="X138" s="36">
        <v>2.6597745454545449E-2</v>
      </c>
      <c r="Y138" s="36">
        <v>2.346809036144578E-2</v>
      </c>
      <c r="Z138" s="36">
        <v>2.0223000000000001E-2</v>
      </c>
      <c r="AA138" s="36">
        <v>1.6782999999999999E-2</v>
      </c>
      <c r="AB138" s="36">
        <v>1.3509545454545455E-2</v>
      </c>
      <c r="AC138" s="36">
        <v>1.0347121212121212E-2</v>
      </c>
      <c r="AD138" s="36">
        <v>7.8636878787878787E-3</v>
      </c>
      <c r="AE138" s="36">
        <v>5.6642818181818185E-3</v>
      </c>
      <c r="AF138" s="36">
        <v>4.0442212121212118E-3</v>
      </c>
      <c r="AG138" s="36">
        <v>2.8594259036144589E-3</v>
      </c>
      <c r="AH138" s="36">
        <v>1.9090042168674718E-3</v>
      </c>
      <c r="AI138" s="36">
        <v>1.3763000000000013E-3</v>
      </c>
      <c r="AJ138" s="36">
        <v>9.3088642424242485E-4</v>
      </c>
      <c r="AK138" s="36">
        <v>6.4672884848484917E-4</v>
      </c>
      <c r="AL138" s="36">
        <v>4.5366800000000033E-4</v>
      </c>
      <c r="AM138" s="36">
        <v>3.0595765809379738E-4</v>
      </c>
      <c r="AN138" s="36">
        <v>2.643991104387293E-4</v>
      </c>
      <c r="AO138" s="36">
        <v>2.2284056278366123E-4</v>
      </c>
      <c r="AP138" s="36">
        <v>1.8128201512859315E-4</v>
      </c>
      <c r="AQ138" s="36">
        <v>1.397234674735251E-4</v>
      </c>
      <c r="AR138" s="36">
        <v>9.8164919818457028E-5</v>
      </c>
      <c r="AS138" s="36">
        <v>5.660637216338898E-5</v>
      </c>
      <c r="AT138" s="36">
        <v>3.0996986384266278E-5</v>
      </c>
      <c r="AU138" s="36">
        <v>2.6529512859304093E-5</v>
      </c>
      <c r="AV138" s="36">
        <v>2.2062039334341909E-5</v>
      </c>
      <c r="AW138" s="36">
        <v>1.7594565809379727E-5</v>
      </c>
      <c r="AX138" s="36">
        <v>1.3127092284417543E-5</v>
      </c>
      <c r="AY138" s="36">
        <v>8.6596187594553582E-6</v>
      </c>
      <c r="AZ138" s="36">
        <v>4.1921452344931735E-6</v>
      </c>
      <c r="BA138" s="36">
        <v>2.9773789121212098E-6</v>
      </c>
      <c r="BB138" s="36">
        <v>2.4766214878787855E-6</v>
      </c>
      <c r="BC138" s="36">
        <v>1.9758640636363612E-6</v>
      </c>
      <c r="BD138" s="36">
        <v>1.4751066393939374E-6</v>
      </c>
      <c r="BE138" s="36">
        <v>9.7434921515151307E-7</v>
      </c>
      <c r="BF138" s="36">
        <v>4.7359179090908878E-7</v>
      </c>
      <c r="BG138" s="36">
        <v>7.514116867469864E-8</v>
      </c>
      <c r="BH138" s="36">
        <v>3.9414662650602312E-8</v>
      </c>
      <c r="BI138" s="36">
        <v>1.7789375757575735E-8</v>
      </c>
      <c r="BJ138" s="36">
        <v>7.2436181818181591E-9</v>
      </c>
      <c r="BK138" s="36">
        <v>3.7129678787878722E-9</v>
      </c>
      <c r="BL138" s="36">
        <v>1.4240292121212105E-9</v>
      </c>
      <c r="BM138" s="36">
        <v>6.9452618181818013E-10</v>
      </c>
      <c r="BN138" s="36">
        <v>2.9726612121212078E-10</v>
      </c>
      <c r="BO138" s="36">
        <v>1.1242369696969652E-10</v>
      </c>
      <c r="BP138" s="36">
        <v>6.0129759036144536E-11</v>
      </c>
      <c r="BQ138" s="36">
        <v>2.373932727272727E-11</v>
      </c>
      <c r="BR138" s="36">
        <v>1.157041818181818E-11</v>
      </c>
      <c r="BS138" s="36">
        <v>5.2199939393939392E-12</v>
      </c>
      <c r="BT138" s="36">
        <v>2.0025999999999996E-12</v>
      </c>
    </row>
    <row r="139" spans="1:72" ht="21.75" thickBot="1" x14ac:dyDescent="0.4">
      <c r="A139" s="88" t="s">
        <v>72</v>
      </c>
      <c r="B139" s="36">
        <v>8.144792727272731E-6</v>
      </c>
      <c r="C139" s="36">
        <v>1.2367880000000008E-5</v>
      </c>
      <c r="D139" s="36">
        <v>1.8723880000000007E-5</v>
      </c>
      <c r="E139" s="36">
        <v>3.0952884848484866E-5</v>
      </c>
      <c r="F139" s="36">
        <v>5.3736378214826152E-5</v>
      </c>
      <c r="G139" s="36">
        <v>1.7291610590015134E-4</v>
      </c>
      <c r="H139" s="36">
        <v>2.9209583358547661E-4</v>
      </c>
      <c r="I139" s="36">
        <v>4.1127556127080182E-4</v>
      </c>
      <c r="J139" s="36">
        <v>5.3045528895612703E-4</v>
      </c>
      <c r="K139" s="36">
        <v>6.4963501664145218E-4</v>
      </c>
      <c r="L139" s="36">
        <v>7.6881474432677745E-4</v>
      </c>
      <c r="M139" s="36">
        <v>1.038130545454545E-3</v>
      </c>
      <c r="N139" s="36">
        <v>1.4767487272727268E-3</v>
      </c>
      <c r="O139" s="36">
        <v>2.1608599999999993E-3</v>
      </c>
      <c r="P139" s="36">
        <v>2.9729554216867461E-3</v>
      </c>
      <c r="Q139" s="36">
        <v>4.1468108433734951E-3</v>
      </c>
      <c r="R139" s="36">
        <v>5.6491800000000036E-3</v>
      </c>
      <c r="S139" s="36">
        <v>7.4671800000000038E-3</v>
      </c>
      <c r="T139" s="36">
        <v>1.0056886666666673E-2</v>
      </c>
      <c r="U139" s="36">
        <v>1.3020363636363644E-2</v>
      </c>
      <c r="V139" s="36">
        <v>1.691733333333334E-2</v>
      </c>
      <c r="W139" s="36">
        <v>2.1566060606060616E-2</v>
      </c>
      <c r="X139" s="36">
        <v>2.6805454545454556E-2</v>
      </c>
      <c r="Y139" s="36">
        <v>3.3064271084337356E-2</v>
      </c>
      <c r="Z139" s="36">
        <v>3.9553999999999999E-2</v>
      </c>
      <c r="AA139" s="36">
        <v>4.6434000000000003E-2</v>
      </c>
      <c r="AB139" s="36">
        <v>5.2980545454545454E-2</v>
      </c>
      <c r="AC139" s="36">
        <v>5.930478787878788E-2</v>
      </c>
      <c r="AD139" s="36">
        <v>6.4271969696969689E-2</v>
      </c>
      <c r="AE139" s="36">
        <v>6.8670999999999996E-2</v>
      </c>
      <c r="AF139" s="36">
        <v>7.1911000000000003E-2</v>
      </c>
      <c r="AG139" s="36">
        <v>7.4279999999999999E-2</v>
      </c>
      <c r="AH139" s="36">
        <v>7.6179999999999998E-2</v>
      </c>
      <c r="AI139" s="36">
        <v>7.7243599999999996E-2</v>
      </c>
      <c r="AJ139" s="36">
        <v>7.8131636363636361E-2</v>
      </c>
      <c r="AK139" s="36">
        <v>7.8695272727272725E-2</v>
      </c>
      <c r="AL139" s="36">
        <v>7.9071981818181813E-2</v>
      </c>
      <c r="AM139" s="36">
        <v>7.9351360060514381E-2</v>
      </c>
      <c r="AN139" s="36">
        <v>7.9310361573373678E-2</v>
      </c>
      <c r="AO139" s="36">
        <v>7.9269363086232988E-2</v>
      </c>
      <c r="AP139" s="36">
        <v>7.9228364599092285E-2</v>
      </c>
      <c r="AQ139" s="36">
        <v>7.9187366111951596E-2</v>
      </c>
      <c r="AR139" s="36">
        <v>7.9146367624810893E-2</v>
      </c>
      <c r="AS139" s="36">
        <v>7.9105369137670203E-2</v>
      </c>
      <c r="AT139" s="36">
        <v>7.8333240544629354E-2</v>
      </c>
      <c r="AU139" s="36">
        <v>7.6591939485627841E-2</v>
      </c>
      <c r="AV139" s="36">
        <v>7.4850638426626329E-2</v>
      </c>
      <c r="AW139" s="36">
        <v>7.3109337367624802E-2</v>
      </c>
      <c r="AX139" s="36">
        <v>7.1368036308623289E-2</v>
      </c>
      <c r="AY139" s="36">
        <v>6.9626735249621777E-2</v>
      </c>
      <c r="AZ139" s="36">
        <v>6.7885434190620264E-2</v>
      </c>
      <c r="BA139" s="36">
        <v>6.2340275757575725E-2</v>
      </c>
      <c r="BB139" s="36">
        <v>5.5960124242424206E-2</v>
      </c>
      <c r="BC139" s="36">
        <v>4.9579972727272693E-2</v>
      </c>
      <c r="BD139" s="36">
        <v>4.3199821212121181E-2</v>
      </c>
      <c r="BE139" s="36">
        <v>3.6819669696969662E-2</v>
      </c>
      <c r="BF139" s="36">
        <v>3.043951818181815E-2</v>
      </c>
      <c r="BG139" s="36">
        <v>2.4302831325301182E-2</v>
      </c>
      <c r="BH139" s="36">
        <v>1.9029337349397577E-2</v>
      </c>
      <c r="BI139" s="36">
        <v>1.4608151515151508E-2</v>
      </c>
      <c r="BJ139" s="36">
        <v>1.0856636363636357E-2</v>
      </c>
      <c r="BK139" s="36">
        <v>8.2869630303030253E-3</v>
      </c>
      <c r="BL139" s="36">
        <v>6.0737218181818146E-3</v>
      </c>
      <c r="BM139" s="36">
        <v>4.5422672727272687E-3</v>
      </c>
      <c r="BN139" s="36">
        <v>3.3751121212121189E-3</v>
      </c>
      <c r="BO139" s="36">
        <v>2.4408696969696947E-3</v>
      </c>
      <c r="BP139" s="36">
        <v>1.8644542168674695E-3</v>
      </c>
      <c r="BQ139" s="36">
        <v>1.3689000000000002E-3</v>
      </c>
      <c r="BR139" s="36">
        <v>1.0272333333333334E-3</v>
      </c>
      <c r="BS139" s="36">
        <v>7.7267848484848488E-4</v>
      </c>
      <c r="BT139" s="36">
        <v>5.6503E-4</v>
      </c>
    </row>
    <row r="140" spans="1:72" ht="21.75" thickBot="1" x14ac:dyDescent="0.4">
      <c r="A140" s="88" t="s">
        <v>73</v>
      </c>
      <c r="B140" s="36">
        <v>1.8518487272727281E-6</v>
      </c>
      <c r="C140" s="36">
        <v>3.4363939393939423E-6</v>
      </c>
      <c r="D140" s="36">
        <v>6.2242727272727299E-6</v>
      </c>
      <c r="E140" s="36">
        <v>1.4302660606060617E-5</v>
      </c>
      <c r="F140" s="36">
        <v>5.3347586989410396E-5</v>
      </c>
      <c r="G140" s="36">
        <v>4.2600492435703504E-4</v>
      </c>
      <c r="H140" s="36">
        <v>7.9866226172465974E-4</v>
      </c>
      <c r="I140" s="36">
        <v>1.1713195990922846E-3</v>
      </c>
      <c r="J140" s="36">
        <v>1.543976936459909E-3</v>
      </c>
      <c r="K140" s="36">
        <v>1.9166342738275337E-3</v>
      </c>
      <c r="L140" s="36">
        <v>2.2892916111951584E-3</v>
      </c>
      <c r="M140" s="36">
        <v>3.6487824242424213E-3</v>
      </c>
      <c r="N140" s="36">
        <v>6.1210854545454517E-3</v>
      </c>
      <c r="O140" s="36">
        <v>1.1046729090909084E-2</v>
      </c>
      <c r="P140" s="36">
        <v>1.732736746987951E-2</v>
      </c>
      <c r="Q140" s="36">
        <v>2.7594234939759051E-2</v>
      </c>
      <c r="R140" s="36">
        <v>4.1002290909090952E-2</v>
      </c>
      <c r="S140" s="36">
        <v>5.7428351515151556E-2</v>
      </c>
      <c r="T140" s="36">
        <v>7.8544800000000053E-2</v>
      </c>
      <c r="U140" s="36">
        <v>0.10090436363636369</v>
      </c>
      <c r="V140" s="36">
        <v>0.12506800000000004</v>
      </c>
      <c r="W140" s="36">
        <v>0.14793854545454549</v>
      </c>
      <c r="X140" s="36">
        <v>0.16979309090909095</v>
      </c>
      <c r="Y140" s="36">
        <v>0.18657765060240966</v>
      </c>
      <c r="Z140" s="36">
        <v>0.20144000000000001</v>
      </c>
      <c r="AA140" s="36">
        <v>0.21204000000000001</v>
      </c>
      <c r="AB140" s="36">
        <v>0.22003636363636364</v>
      </c>
      <c r="AC140" s="36">
        <v>0.22629696969696969</v>
      </c>
      <c r="AD140" s="36">
        <v>0.22996666666666668</v>
      </c>
      <c r="AE140" s="36">
        <v>0.23303090909090909</v>
      </c>
      <c r="AF140" s="36">
        <v>0.23500060606060608</v>
      </c>
      <c r="AG140" s="36">
        <v>0.23640265060240964</v>
      </c>
      <c r="AH140" s="36">
        <v>0.23749903614457832</v>
      </c>
      <c r="AI140" s="36">
        <v>0.238122</v>
      </c>
      <c r="AJ140" s="36">
        <v>0.23865157575757576</v>
      </c>
      <c r="AK140" s="36">
        <v>0.23900915151515151</v>
      </c>
      <c r="AL140" s="36">
        <v>0.23926218181818182</v>
      </c>
      <c r="AM140" s="36">
        <v>0.23946272314674735</v>
      </c>
      <c r="AN140" s="36">
        <v>0.23953080181543118</v>
      </c>
      <c r="AO140" s="36">
        <v>0.23959888048411498</v>
      </c>
      <c r="AP140" s="36">
        <v>0.23966695915279879</v>
      </c>
      <c r="AQ140" s="36">
        <v>0.23973503782148262</v>
      </c>
      <c r="AR140" s="36">
        <v>0.23980311649016642</v>
      </c>
      <c r="AS140" s="36">
        <v>0.23987119515885025</v>
      </c>
      <c r="AT140" s="36">
        <v>0.2399145537065053</v>
      </c>
      <c r="AU140" s="36">
        <v>0.2399251437216339</v>
      </c>
      <c r="AV140" s="36">
        <v>0.2399357337367625</v>
      </c>
      <c r="AW140" s="36">
        <v>0.23994632375189107</v>
      </c>
      <c r="AX140" s="36">
        <v>0.23995691376701966</v>
      </c>
      <c r="AY140" s="36">
        <v>0.23996750378214826</v>
      </c>
      <c r="AZ140" s="36">
        <v>0.23997809379727686</v>
      </c>
      <c r="BA140" s="36">
        <v>0.23998248484848483</v>
      </c>
      <c r="BB140" s="36">
        <v>0.23998551515151514</v>
      </c>
      <c r="BC140" s="36">
        <v>0.23998854545454545</v>
      </c>
      <c r="BD140" s="36">
        <v>0.23999157575757576</v>
      </c>
      <c r="BE140" s="36">
        <v>0.23999460606060605</v>
      </c>
      <c r="BF140" s="36">
        <v>0.23999763636363636</v>
      </c>
      <c r="BG140" s="36">
        <v>0.24</v>
      </c>
      <c r="BH140" s="36">
        <v>0.24</v>
      </c>
      <c r="BI140" s="36">
        <v>0.24</v>
      </c>
      <c r="BJ140" s="36">
        <v>0.24</v>
      </c>
      <c r="BK140" s="36">
        <v>0.24</v>
      </c>
      <c r="BL140" s="36">
        <v>0.24</v>
      </c>
      <c r="BM140" s="36">
        <v>0.24</v>
      </c>
      <c r="BN140" s="36">
        <v>0.24</v>
      </c>
      <c r="BO140" s="36">
        <v>0.24</v>
      </c>
      <c r="BP140" s="36">
        <v>0.24</v>
      </c>
      <c r="BQ140" s="36">
        <v>0.24</v>
      </c>
      <c r="BR140" s="36">
        <v>0.24</v>
      </c>
      <c r="BS140" s="36">
        <v>0.24</v>
      </c>
      <c r="BT140" s="36">
        <v>0.24</v>
      </c>
    </row>
    <row r="141" spans="1:72" ht="21.75" thickBot="1" x14ac:dyDescent="0.4">
      <c r="A141" s="88" t="s">
        <v>74</v>
      </c>
      <c r="B141" s="36">
        <v>3.9289779393939436E-25</v>
      </c>
      <c r="C141" s="36">
        <v>4.9760621212121333E-24</v>
      </c>
      <c r="D141" s="36">
        <v>1.6445304545454558E-23</v>
      </c>
      <c r="E141" s="36">
        <v>2.8815899393939435E-22</v>
      </c>
      <c r="F141" s="36">
        <v>2.2815268208321047E-18</v>
      </c>
      <c r="G141" s="36">
        <v>3.0792778456233002E-17</v>
      </c>
      <c r="H141" s="36">
        <v>5.9304030091633909E-17</v>
      </c>
      <c r="I141" s="36">
        <v>8.7815281727034804E-17</v>
      </c>
      <c r="J141" s="36">
        <v>1.1632653336243571E-16</v>
      </c>
      <c r="K141" s="36">
        <v>1.4483778499783661E-16</v>
      </c>
      <c r="L141" s="36">
        <v>1.733490366332375E-16</v>
      </c>
      <c r="M141" s="36">
        <v>9.0170351515151355E-16</v>
      </c>
      <c r="N141" s="36">
        <v>2.4192429090909073E-15</v>
      </c>
      <c r="O141" s="36">
        <v>1.6883667878787857E-14</v>
      </c>
      <c r="P141" s="36">
        <v>5.84461566265059E-14</v>
      </c>
      <c r="Q141" s="36">
        <v>2.1843531325301226E-13</v>
      </c>
      <c r="R141" s="36">
        <v>9.3629890909091196E-13</v>
      </c>
      <c r="S141" s="36">
        <v>2.1901595151515179E-12</v>
      </c>
      <c r="T141" s="36">
        <v>9.6857593939394146E-12</v>
      </c>
      <c r="U141" s="36">
        <v>2.7304545454545575E-11</v>
      </c>
      <c r="V141" s="36">
        <v>7.9183333333333453E-11</v>
      </c>
      <c r="W141" s="36">
        <v>2.6220393939394003E-10</v>
      </c>
      <c r="X141" s="36">
        <v>5.4826454545454599E-10</v>
      </c>
      <c r="Y141" s="36">
        <v>1.8529382530120499E-9</v>
      </c>
      <c r="Z141" s="36">
        <v>4.4518484848484852E-9</v>
      </c>
      <c r="AA141" s="36">
        <v>1.0631242424242426E-8</v>
      </c>
      <c r="AB141" s="36">
        <v>2.7327363636363635E-8</v>
      </c>
      <c r="AC141" s="36">
        <v>5.1034636363636363E-8</v>
      </c>
      <c r="AD141" s="36">
        <v>1.2862878787878787E-7</v>
      </c>
      <c r="AE141" s="36">
        <v>2.5882272727272727E-7</v>
      </c>
      <c r="AF141" s="36">
        <v>5.0513181818181822E-7</v>
      </c>
      <c r="AG141" s="36">
        <v>1.0418996385542163E-6</v>
      </c>
      <c r="AH141" s="36">
        <v>1.7350683132530105E-6</v>
      </c>
      <c r="AI141" s="36">
        <v>3.582199999999996E-6</v>
      </c>
      <c r="AJ141" s="36">
        <v>6.4125636363636262E-6</v>
      </c>
      <c r="AK141" s="36">
        <v>1.1128927272727263E-5</v>
      </c>
      <c r="AL141" s="36">
        <v>2.0503418181818157E-5</v>
      </c>
      <c r="AM141" s="36">
        <v>3.6477252647503501E-5</v>
      </c>
      <c r="AN141" s="36">
        <v>1.6060856883509799E-4</v>
      </c>
      <c r="AO141" s="36">
        <v>2.8473988502269245E-4</v>
      </c>
      <c r="AP141" s="36">
        <v>4.0887120121028698E-4</v>
      </c>
      <c r="AQ141" s="36">
        <v>5.3300251739788157E-4</v>
      </c>
      <c r="AR141" s="36">
        <v>6.5713383358547599E-4</v>
      </c>
      <c r="AS141" s="36">
        <v>7.8126514977307053E-4</v>
      </c>
      <c r="AT141" s="36">
        <v>1.6046813313161808E-3</v>
      </c>
      <c r="AU141" s="36">
        <v>3.3550565204235961E-3</v>
      </c>
      <c r="AV141" s="36">
        <v>5.1054317095310126E-3</v>
      </c>
      <c r="AW141" s="36">
        <v>6.8558068986384274E-3</v>
      </c>
      <c r="AX141" s="36">
        <v>8.6061820877458423E-3</v>
      </c>
      <c r="AY141" s="36">
        <v>1.035655727685326E-2</v>
      </c>
      <c r="AZ141" s="36">
        <v>1.2106932465960675E-2</v>
      </c>
      <c r="BA141" s="36">
        <v>1.7654345454545486E-2</v>
      </c>
      <c r="BB141" s="36">
        <v>2.4035254545454576E-2</v>
      </c>
      <c r="BC141" s="36">
        <v>3.0416163636363666E-2</v>
      </c>
      <c r="BD141" s="36">
        <v>3.6797072727272756E-2</v>
      </c>
      <c r="BE141" s="36">
        <v>4.3177981818181846E-2</v>
      </c>
      <c r="BF141" s="36">
        <v>4.9558890909090943E-2</v>
      </c>
      <c r="BG141" s="36">
        <v>5.5696301204819304E-2</v>
      </c>
      <c r="BH141" s="36">
        <v>6.0970397590361464E-2</v>
      </c>
      <c r="BI141" s="36">
        <v>6.5391848484848497E-2</v>
      </c>
      <c r="BJ141" s="36">
        <v>6.9143363636363642E-2</v>
      </c>
      <c r="BK141" s="36">
        <v>7.1712981818181823E-2</v>
      </c>
      <c r="BL141" s="36">
        <v>7.3926193939393939E-2</v>
      </c>
      <c r="BM141" s="36">
        <v>7.5457709090909098E-2</v>
      </c>
      <c r="BN141" s="36">
        <v>7.6624703030303026E-2</v>
      </c>
      <c r="BO141" s="36">
        <v>7.755864242424243E-2</v>
      </c>
      <c r="BP141" s="36">
        <v>7.8135566265060241E-2</v>
      </c>
      <c r="BQ141" s="36">
        <v>7.8631363636363638E-2</v>
      </c>
      <c r="BR141" s="36">
        <v>7.8972575757575755E-2</v>
      </c>
      <c r="BS141" s="36">
        <v>7.9227121212121207E-2</v>
      </c>
      <c r="BT141" s="36">
        <v>7.9435000000000006E-2</v>
      </c>
    </row>
    <row r="142" spans="1:72" ht="21.75" thickBot="1" x14ac:dyDescent="0.4">
      <c r="A142" s="88" t="s">
        <v>80</v>
      </c>
      <c r="B142" s="36">
        <v>3.8229806060606086E-9</v>
      </c>
      <c r="C142" s="36">
        <v>5.9545309090909122E-9</v>
      </c>
      <c r="D142" s="36">
        <v>8.6343490909090934E-9</v>
      </c>
      <c r="E142" s="36">
        <v>1.1178962424242427E-8</v>
      </c>
      <c r="F142" s="36">
        <v>1.3465757942511346E-8</v>
      </c>
      <c r="G142" s="36">
        <v>1.3362732223903178E-8</v>
      </c>
      <c r="H142" s="36">
        <v>1.3259706505295008E-8</v>
      </c>
      <c r="I142" s="36">
        <v>1.3156680786686838E-8</v>
      </c>
      <c r="J142" s="36">
        <v>1.305365506807867E-8</v>
      </c>
      <c r="K142" s="36">
        <v>1.29506293494705E-8</v>
      </c>
      <c r="L142" s="36">
        <v>1.284760363086233E-8</v>
      </c>
      <c r="M142" s="36">
        <v>1.2424690909090911E-8</v>
      </c>
      <c r="N142" s="36">
        <v>1.1641054545454546E-8</v>
      </c>
      <c r="O142" s="36">
        <v>1.1066145454545456E-8</v>
      </c>
      <c r="P142" s="36">
        <v>1.0590849397590362E-8</v>
      </c>
      <c r="Q142" s="36">
        <v>1.0378198795180723E-8</v>
      </c>
      <c r="R142" s="36">
        <v>1.0301818181818182E-8</v>
      </c>
      <c r="S142" s="36">
        <v>1.0356363636363636E-8</v>
      </c>
      <c r="T142" s="36">
        <v>1.0510460606060606E-8</v>
      </c>
      <c r="U142" s="36">
        <v>1.0663072727272728E-8</v>
      </c>
      <c r="V142" s="36">
        <v>1.0749133333333333E-8</v>
      </c>
      <c r="W142" s="36">
        <v>1.0703169696969696E-8</v>
      </c>
      <c r="X142" s="36">
        <v>1.0553472727272728E-8</v>
      </c>
      <c r="Y142" s="36">
        <v>1.017737048192771E-8</v>
      </c>
      <c r="Z142" s="36">
        <v>9.7371818181818185E-9</v>
      </c>
      <c r="AA142" s="36">
        <v>9.1719090909090917E-9</v>
      </c>
      <c r="AB142" s="36">
        <v>8.5685272727272732E-9</v>
      </c>
      <c r="AC142" s="36">
        <v>7.9397393939393932E-9</v>
      </c>
      <c r="AD142" s="36">
        <v>7.3161909090909089E-9</v>
      </c>
      <c r="AE142" s="36">
        <v>6.7060999999999994E-9</v>
      </c>
      <c r="AF142" s="36">
        <v>6.1267666666666662E-9</v>
      </c>
      <c r="AG142" s="36">
        <v>5.5895240963855429E-9</v>
      </c>
      <c r="AH142" s="36">
        <v>5.0749457831325317E-9</v>
      </c>
      <c r="AI142" s="36">
        <v>4.622800000000001E-9</v>
      </c>
      <c r="AJ142" s="36">
        <v>4.1927357575757585E-9</v>
      </c>
      <c r="AK142" s="36">
        <v>3.8043115151515158E-9</v>
      </c>
      <c r="AL142" s="36">
        <v>3.4550290909090919E-9</v>
      </c>
      <c r="AM142" s="36">
        <v>3.1276493192133139E-9</v>
      </c>
      <c r="AN142" s="36">
        <v>2.903882299546143E-9</v>
      </c>
      <c r="AO142" s="36">
        <v>2.680115279878972E-9</v>
      </c>
      <c r="AP142" s="36">
        <v>2.456348260211801E-9</v>
      </c>
      <c r="AQ142" s="36">
        <v>2.2325812405446301E-9</v>
      </c>
      <c r="AR142" s="36">
        <v>2.0088142208774591E-9</v>
      </c>
      <c r="AS142" s="36">
        <v>1.7850472012102884E-9</v>
      </c>
      <c r="AT142" s="36">
        <v>1.6088703177004543E-9</v>
      </c>
      <c r="AU142" s="36">
        <v>1.495778033282905E-9</v>
      </c>
      <c r="AV142" s="36">
        <v>1.3826857488653557E-9</v>
      </c>
      <c r="AW142" s="36">
        <v>1.2695934644478063E-9</v>
      </c>
      <c r="AX142" s="36">
        <v>1.156501180030257E-9</v>
      </c>
      <c r="AY142" s="36">
        <v>1.0434088956127077E-9</v>
      </c>
      <c r="AZ142" s="36">
        <v>9.3031661119515847E-10</v>
      </c>
      <c r="BA142" s="36">
        <v>8.6426487878787858E-10</v>
      </c>
      <c r="BB142" s="36">
        <v>8.0853912121212099E-10</v>
      </c>
      <c r="BC142" s="36">
        <v>7.528133636363634E-10</v>
      </c>
      <c r="BD142" s="36">
        <v>6.9708760606060581E-10</v>
      </c>
      <c r="BE142" s="36">
        <v>6.4136184848484822E-10</v>
      </c>
      <c r="BF142" s="36">
        <v>5.8563609090909063E-10</v>
      </c>
      <c r="BG142" s="36">
        <v>5.3324012048192755E-10</v>
      </c>
      <c r="BH142" s="36">
        <v>4.9264975903614445E-10</v>
      </c>
      <c r="BI142" s="36">
        <v>4.5405642424242413E-10</v>
      </c>
      <c r="BJ142" s="36">
        <v>4.1703218181818171E-10</v>
      </c>
      <c r="BK142" s="36">
        <v>3.8356521212121205E-10</v>
      </c>
      <c r="BL142" s="36">
        <v>3.514616969696969E-10</v>
      </c>
      <c r="BM142" s="36">
        <v>3.2223745454545448E-10</v>
      </c>
      <c r="BN142" s="36">
        <v>2.9527206060606053E-10</v>
      </c>
      <c r="BO142" s="36">
        <v>2.6975084848484845E-10</v>
      </c>
      <c r="BP142" s="36">
        <v>2.4759843373493976E-10</v>
      </c>
      <c r="BQ142" s="36">
        <v>2.2644636363636365E-10</v>
      </c>
      <c r="BR142" s="36">
        <v>2.0730090909090909E-10</v>
      </c>
      <c r="BS142" s="36">
        <v>1.8986121212121213E-10</v>
      </c>
      <c r="BT142" s="36">
        <v>1.7333999999999999E-10</v>
      </c>
    </row>
    <row r="143" spans="1:72" ht="21.75" thickBot="1" x14ac:dyDescent="0.4">
      <c r="A143" s="88" t="s">
        <v>84</v>
      </c>
      <c r="B143" s="36">
        <v>1.6113195151515158E-2</v>
      </c>
      <c r="C143" s="36">
        <v>2.6533103030303047E-2</v>
      </c>
      <c r="D143" s="36">
        <v>4.0699163636363653E-2</v>
      </c>
      <c r="E143" s="36">
        <v>5.6751721212121235E-2</v>
      </c>
      <c r="F143" s="36">
        <v>7.2742187594553712E-2</v>
      </c>
      <c r="G143" s="36">
        <v>7.9994532526475051E-2</v>
      </c>
      <c r="H143" s="36">
        <v>8.7246877458396377E-2</v>
      </c>
      <c r="I143" s="36">
        <v>9.4499222390317703E-2</v>
      </c>
      <c r="J143" s="36">
        <v>0.10175156732223903</v>
      </c>
      <c r="K143" s="36">
        <v>0.10900391225416037</v>
      </c>
      <c r="L143" s="36">
        <v>0.11625625718608168</v>
      </c>
      <c r="M143" s="36">
        <v>0.12176921212121211</v>
      </c>
      <c r="N143" s="36">
        <v>0.12532072727272725</v>
      </c>
      <c r="O143" s="36">
        <v>0.13108375757575758</v>
      </c>
      <c r="P143" s="36">
        <v>0.13814921686746987</v>
      </c>
      <c r="Q143" s="36">
        <v>0.14920343373493977</v>
      </c>
      <c r="R143" s="36">
        <v>0.16351563636363642</v>
      </c>
      <c r="S143" s="36">
        <v>0.18095806060606065</v>
      </c>
      <c r="T143" s="36">
        <v>0.203435393939394</v>
      </c>
      <c r="U143" s="36">
        <v>0.2273292727272728</v>
      </c>
      <c r="V143" s="36">
        <v>0.25346866666666673</v>
      </c>
      <c r="W143" s="36">
        <v>0.27868490909090915</v>
      </c>
      <c r="X143" s="36">
        <v>0.30317581818181821</v>
      </c>
      <c r="Y143" s="36">
        <v>0.32309759036144581</v>
      </c>
      <c r="Z143" s="36">
        <v>0.34121060606060605</v>
      </c>
      <c r="AA143" s="36">
        <v>0.35525303030303035</v>
      </c>
      <c r="AB143" s="36">
        <v>0.36652454545454544</v>
      </c>
      <c r="AC143" s="36">
        <v>0.37594878787878788</v>
      </c>
      <c r="AD143" s="36">
        <v>0.38210272727272726</v>
      </c>
      <c r="AE143" s="36">
        <v>0.38736636363636368</v>
      </c>
      <c r="AF143" s="36">
        <v>0.39095424242424243</v>
      </c>
      <c r="AG143" s="36">
        <v>0.39354132530120484</v>
      </c>
      <c r="AH143" s="36">
        <v>0.39558951807228915</v>
      </c>
      <c r="AI143" s="36">
        <v>0.39674999999999999</v>
      </c>
      <c r="AJ143" s="36">
        <v>0.39772842424242422</v>
      </c>
      <c r="AK143" s="36">
        <v>0.39837084848484844</v>
      </c>
      <c r="AL143" s="36">
        <v>0.3988292727272727</v>
      </c>
      <c r="AM143" s="36">
        <v>0.39919931921331314</v>
      </c>
      <c r="AN143" s="36">
        <v>0.39943229954614218</v>
      </c>
      <c r="AO143" s="36">
        <v>0.39966527987897121</v>
      </c>
      <c r="AP143" s="36">
        <v>0.3998982602118003</v>
      </c>
      <c r="AQ143" s="36">
        <v>0.40013124054462934</v>
      </c>
      <c r="AR143" s="36">
        <v>0.40036422087745838</v>
      </c>
      <c r="AS143" s="36">
        <v>0.40059720121028741</v>
      </c>
      <c r="AT143" s="36">
        <v>0.40148916792738271</v>
      </c>
      <c r="AU143" s="36">
        <v>0.40325467473524962</v>
      </c>
      <c r="AV143" s="36">
        <v>0.40502018154311648</v>
      </c>
      <c r="AW143" s="36">
        <v>0.40678568835098333</v>
      </c>
      <c r="AX143" s="36">
        <v>0.40855119515885019</v>
      </c>
      <c r="AY143" s="36">
        <v>0.4103167019667171</v>
      </c>
      <c r="AZ143" s="36">
        <v>0.41208220877458396</v>
      </c>
      <c r="BA143" s="36">
        <v>0.41763433333333333</v>
      </c>
      <c r="BB143" s="36">
        <v>0.42401766666666668</v>
      </c>
      <c r="BC143" s="36">
        <v>0.43040100000000003</v>
      </c>
      <c r="BD143" s="36">
        <v>0.43678433333333333</v>
      </c>
      <c r="BE143" s="36">
        <v>0.44316766666666668</v>
      </c>
      <c r="BF143" s="36">
        <v>0.44955100000000003</v>
      </c>
      <c r="BG143" s="36">
        <v>0.45569096385542168</v>
      </c>
      <c r="BH143" s="36">
        <v>0.46096807228915665</v>
      </c>
      <c r="BI143" s="36">
        <v>0.46539084848484846</v>
      </c>
      <c r="BJ143" s="36">
        <v>0.46914236363636364</v>
      </c>
      <c r="BK143" s="36">
        <v>0.47171363636363639</v>
      </c>
      <c r="BL143" s="36">
        <v>0.47392709090909091</v>
      </c>
      <c r="BM143" s="36">
        <v>0.47545436363636362</v>
      </c>
      <c r="BN143" s="36">
        <v>0.47662303030303027</v>
      </c>
      <c r="BO143" s="36">
        <v>0.47756242424242429</v>
      </c>
      <c r="BP143" s="36">
        <v>0.47813783132530124</v>
      </c>
      <c r="BQ143" s="36">
        <v>0.47863181818181821</v>
      </c>
      <c r="BR143" s="36">
        <v>0.47897121212121213</v>
      </c>
      <c r="BS143" s="36">
        <v>0.47922393939393942</v>
      </c>
      <c r="BT143" s="36">
        <v>0.47943000000000002</v>
      </c>
    </row>
    <row r="144" spans="1:72" ht="21.75" thickBot="1" x14ac:dyDescent="0.4">
      <c r="A144" s="88" t="s">
        <v>85</v>
      </c>
      <c r="B144" s="36">
        <v>1.3421683636363642E-8</v>
      </c>
      <c r="C144" s="36">
        <v>1.9719218181818192E-8</v>
      </c>
      <c r="D144" s="36">
        <v>2.7035581818181827E-8</v>
      </c>
      <c r="E144" s="36">
        <v>3.3029096969696978E-8</v>
      </c>
      <c r="F144" s="36">
        <v>3.7957338880484114E-8</v>
      </c>
      <c r="G144" s="36">
        <v>3.6261574886535554E-8</v>
      </c>
      <c r="H144" s="36">
        <v>3.4565810892586994E-8</v>
      </c>
      <c r="I144" s="36">
        <v>3.2870046898638427E-8</v>
      </c>
      <c r="J144" s="36">
        <v>3.1174282904689867E-8</v>
      </c>
      <c r="K144" s="36">
        <v>2.9478518910741304E-8</v>
      </c>
      <c r="L144" s="36">
        <v>2.778275491679274E-8</v>
      </c>
      <c r="M144" s="36">
        <v>2.5709000000000002E-8</v>
      </c>
      <c r="N144" s="36">
        <v>2.3209000000000003E-8</v>
      </c>
      <c r="O144" s="36">
        <v>2.1335181818181821E-8</v>
      </c>
      <c r="P144" s="36">
        <v>1.9727277108433734E-8</v>
      </c>
      <c r="Q144" s="36">
        <v>1.8746554216867469E-8</v>
      </c>
      <c r="R144" s="36">
        <v>1.8048090909090908E-8</v>
      </c>
      <c r="S144" s="36">
        <v>1.7620818181818181E-8</v>
      </c>
      <c r="T144" s="36">
        <v>1.7398381818181818E-8</v>
      </c>
      <c r="U144" s="36">
        <v>1.7269363636363638E-8</v>
      </c>
      <c r="V144" s="36">
        <v>1.7366333333333334E-8</v>
      </c>
      <c r="W144" s="36">
        <v>1.7322793939393938E-8</v>
      </c>
      <c r="X144" s="36">
        <v>1.7168854545454545E-8</v>
      </c>
      <c r="Y144" s="36">
        <v>1.6643536144578314E-8</v>
      </c>
      <c r="Z144" s="36">
        <v>1.6010636363636366E-8</v>
      </c>
      <c r="AA144" s="36">
        <v>1.5165181818181819E-8</v>
      </c>
      <c r="AB144" s="36">
        <v>1.4247363636363636E-8</v>
      </c>
      <c r="AC144" s="36">
        <v>1.3281303030303031E-8</v>
      </c>
      <c r="AD144" s="36">
        <v>1.2307181818181818E-8</v>
      </c>
      <c r="AE144" s="36">
        <v>1.1349363636363637E-8</v>
      </c>
      <c r="AF144" s="36">
        <v>1.0430575757575757E-8</v>
      </c>
      <c r="AG144" s="36">
        <v>9.5722018072289161E-9</v>
      </c>
      <c r="AH144" s="36">
        <v>8.7463584337349428E-9</v>
      </c>
      <c r="AI144" s="36">
        <v>8.0127000000000023E-9</v>
      </c>
      <c r="AJ144" s="36">
        <v>7.3125303030303041E-9</v>
      </c>
      <c r="AK144" s="36">
        <v>6.675560606060607E-9</v>
      </c>
      <c r="AL144" s="36">
        <v>6.0989763636363648E-9</v>
      </c>
      <c r="AM144" s="36">
        <v>5.5563278366111956E-9</v>
      </c>
      <c r="AN144" s="36">
        <v>5.1770237518910746E-9</v>
      </c>
      <c r="AO144" s="36">
        <v>4.7977196671709536E-9</v>
      </c>
      <c r="AP144" s="36">
        <v>4.4184155824508326E-9</v>
      </c>
      <c r="AQ144" s="36">
        <v>4.0391114977307125E-9</v>
      </c>
      <c r="AR144" s="36">
        <v>3.6598074130105915E-9</v>
      </c>
      <c r="AS144" s="36">
        <v>3.2805033282904705E-9</v>
      </c>
      <c r="AT144" s="36">
        <v>2.9787488653555227E-9</v>
      </c>
      <c r="AU144" s="36">
        <v>2.779792738275341E-9</v>
      </c>
      <c r="AV144" s="36">
        <v>2.5808366111951589E-9</v>
      </c>
      <c r="AW144" s="36">
        <v>2.3818804841149772E-9</v>
      </c>
      <c r="AX144" s="36">
        <v>2.1829243570347955E-9</v>
      </c>
      <c r="AY144" s="36">
        <v>1.9839682299546133E-9</v>
      </c>
      <c r="AZ144" s="36">
        <v>1.7850121028744318E-9</v>
      </c>
      <c r="BA144" s="36">
        <v>1.666355151515151E-9</v>
      </c>
      <c r="BB144" s="36">
        <v>1.5653248484848479E-9</v>
      </c>
      <c r="BC144" s="36">
        <v>1.4642945454545448E-9</v>
      </c>
      <c r="BD144" s="36">
        <v>1.363264242424242E-9</v>
      </c>
      <c r="BE144" s="36">
        <v>1.2622339393939389E-9</v>
      </c>
      <c r="BF144" s="36">
        <v>1.1612036363636358E-9</v>
      </c>
      <c r="BG144" s="36">
        <v>1.0657436144578308E-9</v>
      </c>
      <c r="BH144" s="36">
        <v>9.9003277108433708E-10</v>
      </c>
      <c r="BI144" s="36">
        <v>9.1756412121212104E-10</v>
      </c>
      <c r="BJ144" s="36">
        <v>8.4764290909090898E-10</v>
      </c>
      <c r="BK144" s="36">
        <v>7.837663030303029E-10</v>
      </c>
      <c r="BL144" s="36">
        <v>7.2226812121212113E-10</v>
      </c>
      <c r="BM144" s="36">
        <v>6.6583781818181809E-10</v>
      </c>
      <c r="BN144" s="36">
        <v>6.1345939393939384E-10</v>
      </c>
      <c r="BO144" s="36">
        <v>5.6367151515151499E-10</v>
      </c>
      <c r="BP144" s="36">
        <v>5.2005301204819272E-10</v>
      </c>
      <c r="BQ144" s="36">
        <v>4.7828000000000003E-10</v>
      </c>
      <c r="BR144" s="36">
        <v>4.4021333333333332E-10</v>
      </c>
      <c r="BS144" s="36">
        <v>4.0534151515151513E-10</v>
      </c>
      <c r="BT144" s="36">
        <v>3.7218999999999998E-10</v>
      </c>
    </row>
    <row r="145" spans="1:72" ht="21.75" thickBot="1" x14ac:dyDescent="0.4">
      <c r="A145" s="88" t="s">
        <v>77</v>
      </c>
      <c r="B145" s="36">
        <v>0</v>
      </c>
      <c r="C145" s="36">
        <v>0</v>
      </c>
      <c r="D145" s="36">
        <v>0</v>
      </c>
      <c r="E145" s="36">
        <v>0</v>
      </c>
      <c r="F145" s="36">
        <v>0</v>
      </c>
      <c r="G145" s="36">
        <v>0</v>
      </c>
      <c r="H145" s="36">
        <v>0</v>
      </c>
      <c r="I145" s="36">
        <v>0</v>
      </c>
      <c r="J145" s="36">
        <v>0</v>
      </c>
      <c r="K145" s="36">
        <v>0</v>
      </c>
      <c r="L145" s="36">
        <v>0</v>
      </c>
      <c r="M145" s="36">
        <v>0</v>
      </c>
      <c r="N145" s="36">
        <v>0</v>
      </c>
      <c r="O145" s="36">
        <v>0</v>
      </c>
      <c r="P145" s="36">
        <v>0</v>
      </c>
      <c r="Q145" s="36">
        <v>0</v>
      </c>
      <c r="R145" s="36">
        <v>0</v>
      </c>
      <c r="S145" s="36">
        <v>0</v>
      </c>
      <c r="T145" s="36">
        <v>0</v>
      </c>
      <c r="U145" s="36">
        <v>0</v>
      </c>
      <c r="V145" s="36">
        <v>0</v>
      </c>
      <c r="W145" s="36">
        <v>0</v>
      </c>
      <c r="X145" s="36">
        <v>0</v>
      </c>
      <c r="Y145" s="36">
        <v>0</v>
      </c>
      <c r="Z145" s="36">
        <v>0</v>
      </c>
      <c r="AA145" s="36">
        <v>0</v>
      </c>
      <c r="AB145" s="36">
        <v>0</v>
      </c>
      <c r="AC145" s="36">
        <v>0</v>
      </c>
      <c r="AD145" s="36">
        <v>0</v>
      </c>
      <c r="AE145" s="36">
        <v>0</v>
      </c>
      <c r="AF145" s="36">
        <v>0</v>
      </c>
      <c r="AG145" s="36">
        <v>0</v>
      </c>
      <c r="AH145" s="36">
        <v>0</v>
      </c>
      <c r="AI145" s="36">
        <v>0</v>
      </c>
      <c r="AJ145" s="36">
        <v>0</v>
      </c>
      <c r="AK145" s="36">
        <v>0</v>
      </c>
      <c r="AL145" s="36">
        <v>0</v>
      </c>
      <c r="AM145" s="36">
        <v>0</v>
      </c>
      <c r="AN145" s="36">
        <v>0</v>
      </c>
      <c r="AO145" s="36">
        <v>0</v>
      </c>
      <c r="AP145" s="36">
        <v>0</v>
      </c>
      <c r="AQ145" s="36">
        <v>0</v>
      </c>
      <c r="AR145" s="36">
        <v>0</v>
      </c>
      <c r="AS145" s="36">
        <v>0</v>
      </c>
      <c r="AT145" s="36">
        <v>1.739711043872904E-29</v>
      </c>
      <c r="AU145" s="36">
        <v>5.7855506807866774E-29</v>
      </c>
      <c r="AV145" s="36">
        <v>9.8313903177004503E-29</v>
      </c>
      <c r="AW145" s="36">
        <v>1.3877229954614222E-28</v>
      </c>
      <c r="AX145" s="36">
        <v>1.7923069591527995E-28</v>
      </c>
      <c r="AY145" s="36">
        <v>2.196890922844177E-28</v>
      </c>
      <c r="AZ145" s="36">
        <v>2.6014748865355543E-28</v>
      </c>
      <c r="BA145" s="36">
        <v>3.1393575757578274E-15</v>
      </c>
      <c r="BB145" s="36">
        <v>6.9678424242426355E-15</v>
      </c>
      <c r="BC145" s="36">
        <v>1.0796327272727445E-14</v>
      </c>
      <c r="BD145" s="36">
        <v>1.4624812121212252E-14</v>
      </c>
      <c r="BE145" s="36">
        <v>1.8453296969697059E-14</v>
      </c>
      <c r="BF145" s="36">
        <v>2.2281781818181867E-14</v>
      </c>
      <c r="BG145" s="36">
        <v>2.4544453012048614E-13</v>
      </c>
      <c r="BH145" s="36">
        <v>1.2462469397590391E-12</v>
      </c>
      <c r="BI145" s="36">
        <v>1.1443293333333371E-11</v>
      </c>
      <c r="BJ145" s="36">
        <v>2.8865960000000039E-11</v>
      </c>
      <c r="BK145" s="36">
        <v>8.0779612121212242E-11</v>
      </c>
      <c r="BL145" s="36">
        <v>1.9348945454545518E-10</v>
      </c>
      <c r="BM145" s="36">
        <v>4.6952581818181878E-10</v>
      </c>
      <c r="BN145" s="36">
        <v>1.0956504242424264E-9</v>
      </c>
      <c r="BO145" s="36">
        <v>1.9456019393939417E-9</v>
      </c>
      <c r="BP145" s="36">
        <v>4.0711277108433757E-9</v>
      </c>
      <c r="BQ145" s="36">
        <v>7.1356181818181823E-9</v>
      </c>
      <c r="BR145" s="36">
        <v>1.2267012121212121E-8</v>
      </c>
      <c r="BS145" s="36">
        <v>2.147418181818182E-8</v>
      </c>
      <c r="BT145" s="36">
        <v>3.2876000000000003E-8</v>
      </c>
    </row>
    <row r="146" spans="1:72" ht="21.75" thickBot="1" x14ac:dyDescent="0.4">
      <c r="A146" s="88" t="s">
        <v>26</v>
      </c>
      <c r="B146" s="36">
        <v>-18.61</v>
      </c>
      <c r="C146" s="36">
        <v>-18.612303030303028</v>
      </c>
      <c r="D146" s="36">
        <v>-18.618363636363636</v>
      </c>
      <c r="E146" s="36">
        <v>-18.624424242424244</v>
      </c>
      <c r="F146" s="36">
        <v>-18.631089258698939</v>
      </c>
      <c r="G146" s="36">
        <v>-18.644704992435702</v>
      </c>
      <c r="H146" s="36">
        <v>-18.658320726172466</v>
      </c>
      <c r="I146" s="36">
        <v>-18.671936459909226</v>
      </c>
      <c r="J146" s="36">
        <v>-18.685552193645989</v>
      </c>
      <c r="K146" s="36">
        <v>-18.699167927382753</v>
      </c>
      <c r="L146" s="36">
        <v>-18.712783661119516</v>
      </c>
      <c r="M146" s="36">
        <v>-18.728545454545454</v>
      </c>
      <c r="N146" s="36">
        <v>-18.746727272727274</v>
      </c>
      <c r="O146" s="36">
        <v>-18.764909090909093</v>
      </c>
      <c r="P146" s="36">
        <v>-18.783072289156628</v>
      </c>
      <c r="Q146" s="36">
        <v>-18.801144578313252</v>
      </c>
      <c r="R146" s="36">
        <v>-18.819272727272725</v>
      </c>
      <c r="S146" s="36">
        <v>-18.837454545454545</v>
      </c>
      <c r="T146" s="36">
        <v>-18.855636363636364</v>
      </c>
      <c r="U146" s="36">
        <v>-18.873818181818184</v>
      </c>
      <c r="V146" s="36">
        <v>-18.891999999999999</v>
      </c>
      <c r="W146" s="36">
        <v>-18.913575757575757</v>
      </c>
      <c r="X146" s="36">
        <v>-18.937818181818184</v>
      </c>
      <c r="Y146" s="36">
        <v>-18.95644578313253</v>
      </c>
      <c r="Z146" s="36">
        <v>-18.976060606060607</v>
      </c>
      <c r="AA146" s="36">
        <v>-19.00030303030303</v>
      </c>
      <c r="AB146" s="36">
        <v>-19.020909090909093</v>
      </c>
      <c r="AC146" s="36">
        <v>-19.039090909090909</v>
      </c>
      <c r="AD146" s="36">
        <v>-19.057272727272728</v>
      </c>
      <c r="AE146" s="36">
        <v>-19.077272727272728</v>
      </c>
      <c r="AF146" s="36">
        <v>-19.101515151515152</v>
      </c>
      <c r="AG146" s="36">
        <v>-19.121746987951806</v>
      </c>
      <c r="AH146" s="36">
        <v>-19.139819277108433</v>
      </c>
      <c r="AI146" s="36">
        <v>-19.164000000000001</v>
      </c>
      <c r="AJ146" s="36">
        <v>-19.186181818181819</v>
      </c>
      <c r="AK146" s="36">
        <v>-19.204363636363638</v>
      </c>
      <c r="AL146" s="36">
        <v>-19.226727272727274</v>
      </c>
      <c r="AM146" s="36">
        <v>-19.250786686838126</v>
      </c>
      <c r="AN146" s="36">
        <v>-19.270453857791225</v>
      </c>
      <c r="AO146" s="36">
        <v>-19.290121028744327</v>
      </c>
      <c r="AP146" s="36">
        <v>-19.309788199697426</v>
      </c>
      <c r="AQ146" s="36">
        <v>-19.329455370650528</v>
      </c>
      <c r="AR146" s="36">
        <v>-19.349122541603631</v>
      </c>
      <c r="AS146" s="36">
        <v>-19.36878971255673</v>
      </c>
      <c r="AT146" s="36">
        <v>-19.388456883509832</v>
      </c>
      <c r="AU146" s="36">
        <v>-19.408124054462935</v>
      </c>
      <c r="AV146" s="36">
        <v>-19.427791225416037</v>
      </c>
      <c r="AW146" s="36">
        <v>-19.447458396369139</v>
      </c>
      <c r="AX146" s="36">
        <v>-19.467125567322238</v>
      </c>
      <c r="AY146" s="36">
        <v>-19.486792738275341</v>
      </c>
      <c r="AZ146" s="36">
        <v>-19.506459909228443</v>
      </c>
      <c r="BA146" s="36">
        <v>-19.526151515151518</v>
      </c>
      <c r="BB146" s="36">
        <v>-19.545848484848488</v>
      </c>
      <c r="BC146" s="36">
        <v>-19.565545454545457</v>
      </c>
      <c r="BD146" s="36">
        <v>-19.585242424242427</v>
      </c>
      <c r="BE146" s="36">
        <v>-19.604939393939397</v>
      </c>
      <c r="BF146" s="36">
        <v>-19.624636363636366</v>
      </c>
      <c r="BG146" s="36">
        <v>-19.643975903614457</v>
      </c>
      <c r="BH146" s="36">
        <v>-19.662048192771085</v>
      </c>
      <c r="BI146" s="36">
        <v>-19.680181818181818</v>
      </c>
      <c r="BJ146" s="36">
        <v>-19.698363636363634</v>
      </c>
      <c r="BK146" s="36">
        <v>-19.716545454545454</v>
      </c>
      <c r="BL146" s="36">
        <v>-19.734727272727273</v>
      </c>
      <c r="BM146" s="36">
        <v>-19.752909090909093</v>
      </c>
      <c r="BN146" s="36">
        <v>-19.771090909090908</v>
      </c>
      <c r="BO146" s="36">
        <v>-19.789272727272728</v>
      </c>
      <c r="BP146" s="36">
        <v>-19.807349397590361</v>
      </c>
      <c r="BQ146" s="36">
        <v>-19.825454545454544</v>
      </c>
      <c r="BR146" s="36">
        <v>-19.843636363636364</v>
      </c>
      <c r="BS146" s="36">
        <v>-19.861818181818183</v>
      </c>
      <c r="BT146" s="36">
        <v>-19.88</v>
      </c>
    </row>
    <row r="147" spans="1:72" ht="21.75" thickBot="1" x14ac:dyDescent="0.4">
      <c r="A147" s="88" t="s">
        <v>5</v>
      </c>
      <c r="B147" s="36">
        <v>-60.735090909090907</v>
      </c>
      <c r="C147" s="36">
        <v>-58.673878787878785</v>
      </c>
      <c r="D147" s="36">
        <v>-56.631454545454545</v>
      </c>
      <c r="E147" s="36">
        <v>-54.589030303030299</v>
      </c>
      <c r="F147" s="36">
        <v>-52.560166414523451</v>
      </c>
      <c r="G147" s="36">
        <v>-50.687246596066565</v>
      </c>
      <c r="H147" s="36">
        <v>-48.814326777609679</v>
      </c>
      <c r="I147" s="36">
        <v>-46.9414069591528</v>
      </c>
      <c r="J147" s="36">
        <v>-45.068487140695915</v>
      </c>
      <c r="K147" s="36">
        <v>-43.195567322239029</v>
      </c>
      <c r="L147" s="36">
        <v>-41.32264750378215</v>
      </c>
      <c r="M147" s="36">
        <v>-39.589393939393936</v>
      </c>
      <c r="N147" s="36">
        <v>-38.013636363636365</v>
      </c>
      <c r="O147" s="36">
        <v>-36.542242424242424</v>
      </c>
      <c r="P147" s="36">
        <v>-35.117771084337356</v>
      </c>
      <c r="Q147" s="36">
        <v>-33.810542168674701</v>
      </c>
      <c r="R147" s="36">
        <v>-32.561090909090908</v>
      </c>
      <c r="S147" s="36">
        <v>-31.367151515151512</v>
      </c>
      <c r="T147" s="36">
        <v>-30.256606060606057</v>
      </c>
      <c r="U147" s="36">
        <v>-29.173636363636362</v>
      </c>
      <c r="V147" s="36">
        <v>-28.143333333333331</v>
      </c>
      <c r="W147" s="36">
        <v>-27.143575757575757</v>
      </c>
      <c r="X147" s="36">
        <v>-26.167818181818177</v>
      </c>
      <c r="Y147" s="36">
        <v>-25.252228915662648</v>
      </c>
      <c r="Z147" s="36">
        <v>-24.354848484848485</v>
      </c>
      <c r="AA147" s="36">
        <v>-23.494242424242422</v>
      </c>
      <c r="AB147" s="36">
        <v>-22.673636363636362</v>
      </c>
      <c r="AC147" s="36">
        <v>-21.879696969696969</v>
      </c>
      <c r="AD147" s="36">
        <v>-21.149090909090908</v>
      </c>
      <c r="AE147" s="36">
        <v>-20.438181818181818</v>
      </c>
      <c r="AF147" s="36">
        <v>-19.765454545454546</v>
      </c>
      <c r="AG147" s="36">
        <v>-19.126686746987954</v>
      </c>
      <c r="AH147" s="36">
        <v>-18.506204819277109</v>
      </c>
      <c r="AI147" s="36">
        <v>-17.918000000000003</v>
      </c>
      <c r="AJ147" s="36">
        <v>-17.342484848484851</v>
      </c>
      <c r="AK147" s="36">
        <v>-16.7909696969697</v>
      </c>
      <c r="AL147" s="36">
        <v>-16.252000000000002</v>
      </c>
      <c r="AM147" s="36">
        <v>-15.721119515885023</v>
      </c>
      <c r="AN147" s="36">
        <v>-15.249107413010591</v>
      </c>
      <c r="AO147" s="36">
        <v>-14.77709531013616</v>
      </c>
      <c r="AP147" s="36">
        <v>-14.305083207261726</v>
      </c>
      <c r="AQ147" s="36">
        <v>-13.833071104387294</v>
      </c>
      <c r="AR147" s="36">
        <v>-13.36105900151286</v>
      </c>
      <c r="AS147" s="36">
        <v>-12.889046898638428</v>
      </c>
      <c r="AT147" s="36">
        <v>-12.457367624810892</v>
      </c>
      <c r="AU147" s="36">
        <v>-12.079152798789712</v>
      </c>
      <c r="AV147" s="36">
        <v>-11.700937972768532</v>
      </c>
      <c r="AW147" s="36">
        <v>-11.322723146747352</v>
      </c>
      <c r="AX147" s="36">
        <v>-10.944508320726172</v>
      </c>
      <c r="AY147" s="36">
        <v>-10.56629349470499</v>
      </c>
      <c r="AZ147" s="36">
        <v>-10.18807866868381</v>
      </c>
      <c r="BA147" s="36">
        <v>-9.9633303030303022</v>
      </c>
      <c r="BB147" s="36">
        <v>-9.7722696969696958</v>
      </c>
      <c r="BC147" s="36">
        <v>-9.5812090909090895</v>
      </c>
      <c r="BD147" s="36">
        <v>-9.3901484848484831</v>
      </c>
      <c r="BE147" s="36">
        <v>-9.1990878787878785</v>
      </c>
      <c r="BF147" s="36">
        <v>-9.0080272727272721</v>
      </c>
      <c r="BG147" s="36">
        <v>-8.8458795180722891</v>
      </c>
      <c r="BH147" s="36">
        <v>-8.7862409638554215</v>
      </c>
      <c r="BI147" s="36">
        <v>-8.7443878787878795</v>
      </c>
      <c r="BJ147" s="36">
        <v>-8.7165090909090921</v>
      </c>
      <c r="BK147" s="36">
        <v>-8.7068303030303031</v>
      </c>
      <c r="BL147" s="36">
        <v>-8.7021030303030305</v>
      </c>
      <c r="BM147" s="36">
        <v>-8.7063454545454544</v>
      </c>
      <c r="BN147" s="36">
        <v>-8.7153939393939392</v>
      </c>
      <c r="BO147" s="36">
        <v>-8.727515151515151</v>
      </c>
      <c r="BP147" s="36">
        <v>-8.7430361445783138</v>
      </c>
      <c r="BQ147" s="36">
        <v>-8.7596363636363641</v>
      </c>
      <c r="BR147" s="36">
        <v>-8.7784242424242418</v>
      </c>
      <c r="BS147" s="36">
        <v>-8.798</v>
      </c>
      <c r="BT147" s="36">
        <v>-8.8179999999999996</v>
      </c>
    </row>
    <row r="148" spans="1:72" ht="21.75" thickBot="1" x14ac:dyDescent="0.4">
      <c r="A148" s="88" t="s">
        <v>6</v>
      </c>
      <c r="B148" s="36">
        <v>-15.805636363636363</v>
      </c>
      <c r="C148" s="36">
        <v>-15.261999999999999</v>
      </c>
      <c r="D148" s="36">
        <v>-14.661999999999999</v>
      </c>
      <c r="E148" s="36">
        <v>-14.004484848484848</v>
      </c>
      <c r="F148" s="36">
        <v>-13.326287443267777</v>
      </c>
      <c r="G148" s="36">
        <v>-12.654880484114978</v>
      </c>
      <c r="H148" s="36">
        <v>-11.983473524962179</v>
      </c>
      <c r="I148" s="36">
        <v>-11.31206656580938</v>
      </c>
      <c r="J148" s="36">
        <v>-10.64065960665658</v>
      </c>
      <c r="K148" s="36">
        <v>-9.969252647503783</v>
      </c>
      <c r="L148" s="36">
        <v>-9.2978456883509839</v>
      </c>
      <c r="M148" s="36">
        <v>-8.67908484848485</v>
      </c>
      <c r="N148" s="36">
        <v>-8.1196909090909095</v>
      </c>
      <c r="O148" s="36">
        <v>-7.619436363636364</v>
      </c>
      <c r="P148" s="36">
        <v>-7.1476144578313257</v>
      </c>
      <c r="Q148" s="36">
        <v>-6.7512289156626508</v>
      </c>
      <c r="R148" s="36">
        <v>-6.4021454545454546</v>
      </c>
      <c r="S148" s="36">
        <v>-6.09850909090909</v>
      </c>
      <c r="T148" s="36">
        <v>-5.8730545454545453</v>
      </c>
      <c r="U148" s="36">
        <v>-5.6767454545454541</v>
      </c>
      <c r="V148" s="36">
        <v>-5.5421999999999993</v>
      </c>
      <c r="W148" s="36">
        <v>-5.4426121212121208</v>
      </c>
      <c r="X148" s="36">
        <v>-5.3704909090909085</v>
      </c>
      <c r="Y148" s="36">
        <v>-5.3393313253012051</v>
      </c>
      <c r="Z148" s="36">
        <v>-5.319</v>
      </c>
      <c r="AA148" s="36">
        <v>-5.319</v>
      </c>
      <c r="AB148" s="36">
        <v>-5.3280909090909088</v>
      </c>
      <c r="AC148" s="36">
        <v>-5.3432424242424243</v>
      </c>
      <c r="AD148" s="36">
        <v>-5.3641515151515149</v>
      </c>
      <c r="AE148" s="36">
        <v>-5.3860909090909086</v>
      </c>
      <c r="AF148" s="36">
        <v>-5.4097272727272729</v>
      </c>
      <c r="AG148" s="36">
        <v>-5.4340542168674695</v>
      </c>
      <c r="AH148" s="36">
        <v>-5.4587530120481924</v>
      </c>
      <c r="AI148" s="36">
        <v>-5.4829999999999997</v>
      </c>
      <c r="AJ148" s="36">
        <v>-5.5074484848484841</v>
      </c>
      <c r="AK148" s="36">
        <v>-5.5322969696969695</v>
      </c>
      <c r="AL148" s="36">
        <v>-5.5567272727272723</v>
      </c>
      <c r="AM148" s="36">
        <v>-5.5809863842662635</v>
      </c>
      <c r="AN148" s="36">
        <v>-5.6056459909228442</v>
      </c>
      <c r="AO148" s="36">
        <v>-5.6303055975794249</v>
      </c>
      <c r="AP148" s="36">
        <v>-5.6549652042360066</v>
      </c>
      <c r="AQ148" s="36">
        <v>-5.6796248108925873</v>
      </c>
      <c r="AR148" s="36">
        <v>-5.704284417549168</v>
      </c>
      <c r="AS148" s="36">
        <v>-5.7289440242057488</v>
      </c>
      <c r="AT148" s="36">
        <v>-5.7543192133131624</v>
      </c>
      <c r="AU148" s="36">
        <v>-5.7806429652042359</v>
      </c>
      <c r="AV148" s="36">
        <v>-5.8069667170953103</v>
      </c>
      <c r="AW148" s="36">
        <v>-5.8332904689863847</v>
      </c>
      <c r="AX148" s="36">
        <v>-5.8596142208774582</v>
      </c>
      <c r="AY148" s="36">
        <v>-5.8859379727685326</v>
      </c>
      <c r="AZ148" s="36">
        <v>-5.912261724659607</v>
      </c>
      <c r="BA148" s="36">
        <v>-5.942966666666667</v>
      </c>
      <c r="BB148" s="36">
        <v>-5.9746333333333332</v>
      </c>
      <c r="BC148" s="36">
        <v>-6.0063000000000004</v>
      </c>
      <c r="BD148" s="36">
        <v>-6.0379666666666667</v>
      </c>
      <c r="BE148" s="36">
        <v>-6.0696333333333339</v>
      </c>
      <c r="BF148" s="36">
        <v>-6.1013000000000002</v>
      </c>
      <c r="BG148" s="36">
        <v>-6.132493975903615</v>
      </c>
      <c r="BH148" s="36">
        <v>-6.1620120481927714</v>
      </c>
      <c r="BI148" s="36">
        <v>-6.190612121212121</v>
      </c>
      <c r="BJ148" s="36">
        <v>-6.2184909090909093</v>
      </c>
      <c r="BK148" s="36">
        <v>-6.2441636363636368</v>
      </c>
      <c r="BL148" s="36">
        <v>-6.2693030303030302</v>
      </c>
      <c r="BM148" s="36">
        <v>-6.2935454545454546</v>
      </c>
      <c r="BN148" s="36">
        <v>-6.3174181818181818</v>
      </c>
      <c r="BO148" s="36">
        <v>-6.3410545454545453</v>
      </c>
      <c r="BP148" s="36">
        <v>-6.363397590361445</v>
      </c>
      <c r="BQ148" s="36">
        <v>-6.385727272727272</v>
      </c>
      <c r="BR148" s="36">
        <v>-6.4081515151515154</v>
      </c>
      <c r="BS148" s="36">
        <v>-6.4301818181818184</v>
      </c>
      <c r="BT148" s="36">
        <v>-6.452</v>
      </c>
    </row>
    <row r="149" spans="1:72" ht="21.75" thickBot="1" x14ac:dyDescent="0.4">
      <c r="A149" s="88" t="s">
        <v>7</v>
      </c>
      <c r="B149" s="36">
        <v>-22.065575757575758</v>
      </c>
      <c r="C149" s="36">
        <v>-21.674060606060607</v>
      </c>
      <c r="D149" s="36">
        <v>-21.395272727272726</v>
      </c>
      <c r="E149" s="36">
        <v>-21.244787878787879</v>
      </c>
      <c r="F149" s="36">
        <v>-21.157019667170953</v>
      </c>
      <c r="G149" s="36">
        <v>-21.244765506807866</v>
      </c>
      <c r="H149" s="36">
        <v>-21.332511346444779</v>
      </c>
      <c r="I149" s="36">
        <v>-21.420257186081695</v>
      </c>
      <c r="J149" s="36">
        <v>-21.508003025718608</v>
      </c>
      <c r="K149" s="36">
        <v>-21.595748865355521</v>
      </c>
      <c r="L149" s="36">
        <v>-21.683494704992437</v>
      </c>
      <c r="M149" s="36">
        <v>-21.792666666666666</v>
      </c>
      <c r="N149" s="36">
        <v>-21.925999999999998</v>
      </c>
      <c r="O149" s="36">
        <v>-22.049393939393937</v>
      </c>
      <c r="P149" s="36">
        <v>-22.167409638554215</v>
      </c>
      <c r="Q149" s="36">
        <v>-22.269819277108432</v>
      </c>
      <c r="R149" s="36">
        <v>-22.363272727272729</v>
      </c>
      <c r="S149" s="36">
        <v>-22.448121212121212</v>
      </c>
      <c r="T149" s="36">
        <v>-22.532969696969698</v>
      </c>
      <c r="U149" s="36">
        <v>-22.620363636363638</v>
      </c>
      <c r="V149" s="36">
        <v>-22.717333333333336</v>
      </c>
      <c r="W149" s="36">
        <v>-22.82448484848485</v>
      </c>
      <c r="X149" s="36">
        <v>-22.939636363636364</v>
      </c>
      <c r="Y149" s="36">
        <v>-23.059638554216868</v>
      </c>
      <c r="Z149" s="36">
        <v>-23.183333333333334</v>
      </c>
      <c r="AA149" s="36">
        <v>-23.316666666666666</v>
      </c>
      <c r="AB149" s="36">
        <v>-23.453636363636363</v>
      </c>
      <c r="AC149" s="36">
        <v>-23.593030303030304</v>
      </c>
      <c r="AD149" s="36">
        <v>-23.738181818181818</v>
      </c>
      <c r="AE149" s="36">
        <v>-23.881818181818183</v>
      </c>
      <c r="AF149" s="36">
        <v>-24.02121212121212</v>
      </c>
      <c r="AG149" s="36">
        <v>-24.163975903614457</v>
      </c>
      <c r="AH149" s="36">
        <v>-24.308554216867467</v>
      </c>
      <c r="AI149" s="36">
        <v>-24.448</v>
      </c>
      <c r="AJ149" s="36">
        <v>-24.587393939393937</v>
      </c>
      <c r="AK149" s="36">
        <v>-24.726787878787878</v>
      </c>
      <c r="AL149" s="36">
        <v>-24.866181818181818</v>
      </c>
      <c r="AM149" s="36">
        <v>-25.005446293494703</v>
      </c>
      <c r="AN149" s="36">
        <v>-25.141603630862328</v>
      </c>
      <c r="AO149" s="36">
        <v>-25.277760968229956</v>
      </c>
      <c r="AP149" s="36">
        <v>-25.41391830559758</v>
      </c>
      <c r="AQ149" s="36">
        <v>-25.550075642965204</v>
      </c>
      <c r="AR149" s="36">
        <v>-25.686232980332829</v>
      </c>
      <c r="AS149" s="36">
        <v>-25.822390317700453</v>
      </c>
      <c r="AT149" s="36">
        <v>-25.955295007564295</v>
      </c>
      <c r="AU149" s="36">
        <v>-26.083888048411495</v>
      </c>
      <c r="AV149" s="36">
        <v>-26.212481089258699</v>
      </c>
      <c r="AW149" s="36">
        <v>-26.341074130105898</v>
      </c>
      <c r="AX149" s="36">
        <v>-26.469667170953102</v>
      </c>
      <c r="AY149" s="36">
        <v>-26.598260211800302</v>
      </c>
      <c r="AZ149" s="36">
        <v>-26.726853252647505</v>
      </c>
      <c r="BA149" s="36">
        <v>-26.849393939393941</v>
      </c>
      <c r="BB149" s="36">
        <v>-26.970606060606062</v>
      </c>
      <c r="BC149" s="36">
        <v>-27.091818181818184</v>
      </c>
      <c r="BD149" s="36">
        <v>-27.213030303030305</v>
      </c>
      <c r="BE149" s="36">
        <v>-27.334242424242426</v>
      </c>
      <c r="BF149" s="36">
        <v>-27.455454545454547</v>
      </c>
      <c r="BG149" s="36">
        <v>-27.576506024096386</v>
      </c>
      <c r="BH149" s="36">
        <v>-27.69698795180723</v>
      </c>
      <c r="BI149" s="36">
        <v>-27.817878787878787</v>
      </c>
      <c r="BJ149" s="36">
        <v>-27.939090909090908</v>
      </c>
      <c r="BK149" s="36">
        <v>-28.060303030303029</v>
      </c>
      <c r="BL149" s="36">
        <v>-28.18151515151515</v>
      </c>
      <c r="BM149" s="36">
        <v>-28.302727272727275</v>
      </c>
      <c r="BN149" s="36">
        <v>-28.420242424242424</v>
      </c>
      <c r="BO149" s="36">
        <v>-28.535393939393938</v>
      </c>
      <c r="BP149" s="36">
        <v>-28.655662650602409</v>
      </c>
      <c r="BQ149" s="36">
        <v>-28.776363636363634</v>
      </c>
      <c r="BR149" s="36">
        <v>-28.897575757575758</v>
      </c>
      <c r="BS149" s="36">
        <v>-29.014848484848486</v>
      </c>
      <c r="BT149" s="36">
        <v>-29.13</v>
      </c>
    </row>
    <row r="150" spans="1:72" ht="21.75" thickBot="1" x14ac:dyDescent="0.4">
      <c r="A150" s="88"/>
    </row>
    <row r="151" spans="1:72" ht="21.75" thickBot="1" x14ac:dyDescent="0.4">
      <c r="A151" s="88"/>
    </row>
    <row r="152" spans="1:72" ht="21.75" thickBot="1" x14ac:dyDescent="0.4">
      <c r="A152" s="88"/>
    </row>
    <row r="153" spans="1:72" ht="21.75" thickBot="1" x14ac:dyDescent="0.4">
      <c r="A153" s="88"/>
    </row>
    <row r="154" spans="1:72" ht="21.75" thickBot="1" x14ac:dyDescent="0.4">
      <c r="A154" s="88"/>
    </row>
    <row r="155" spans="1:72" ht="21.75" thickBot="1" x14ac:dyDescent="0.4">
      <c r="A155" s="88"/>
    </row>
    <row r="156" spans="1:72" ht="21.75" thickBot="1" x14ac:dyDescent="0.4">
      <c r="A156" s="88"/>
    </row>
    <row r="157" spans="1:72" ht="21.75" thickBot="1" x14ac:dyDescent="0.4">
      <c r="A157" s="88"/>
    </row>
    <row r="158" spans="1:72" ht="21.75" thickBot="1" x14ac:dyDescent="0.4">
      <c r="A158" s="88"/>
    </row>
    <row r="159" spans="1:72" ht="21.75" thickBot="1" x14ac:dyDescent="0.4">
      <c r="A159" s="88"/>
    </row>
    <row r="160" spans="1:72" ht="21.75" thickBot="1" x14ac:dyDescent="0.4">
      <c r="A160" s="88"/>
    </row>
    <row r="161" spans="1:72" ht="21.75" thickBot="1" x14ac:dyDescent="0.4">
      <c r="A161" s="88" t="s">
        <v>40</v>
      </c>
      <c r="B161" s="36">
        <v>0</v>
      </c>
      <c r="C161" s="36">
        <v>0</v>
      </c>
      <c r="D161" s="36">
        <v>0</v>
      </c>
      <c r="E161" s="36">
        <v>0</v>
      </c>
      <c r="F161" s="36">
        <v>0</v>
      </c>
      <c r="G161" s="36">
        <v>0</v>
      </c>
      <c r="H161" s="36">
        <v>0</v>
      </c>
      <c r="I161" s="36">
        <v>0</v>
      </c>
      <c r="J161" s="36">
        <v>0</v>
      </c>
      <c r="K161" s="36">
        <v>0</v>
      </c>
      <c r="L161" s="36">
        <v>0</v>
      </c>
      <c r="M161" s="36">
        <v>0</v>
      </c>
      <c r="N161" s="36">
        <v>0</v>
      </c>
      <c r="O161" s="36">
        <v>0</v>
      </c>
      <c r="P161" s="36">
        <v>0</v>
      </c>
      <c r="Q161" s="36">
        <v>0</v>
      </c>
      <c r="R161" s="36">
        <v>0</v>
      </c>
      <c r="S161" s="36">
        <v>0</v>
      </c>
      <c r="T161" s="36">
        <v>0</v>
      </c>
      <c r="U161" s="36">
        <v>0</v>
      </c>
      <c r="V161" s="36">
        <v>0</v>
      </c>
      <c r="W161" s="36">
        <v>0</v>
      </c>
      <c r="X161" s="36">
        <v>0</v>
      </c>
      <c r="Y161" s="36">
        <v>0</v>
      </c>
      <c r="Z161" s="36">
        <v>0</v>
      </c>
      <c r="AA161" s="36">
        <v>0</v>
      </c>
      <c r="AB161" s="36">
        <v>0</v>
      </c>
      <c r="AC161" s="36">
        <v>0</v>
      </c>
      <c r="AD161" s="36">
        <v>0</v>
      </c>
      <c r="AE161" s="36">
        <v>0</v>
      </c>
      <c r="AF161" s="36">
        <v>0</v>
      </c>
      <c r="AG161" s="36">
        <v>0</v>
      </c>
      <c r="AH161" s="36">
        <v>0</v>
      </c>
      <c r="AI161" s="36">
        <v>0</v>
      </c>
      <c r="AJ161" s="36">
        <v>0</v>
      </c>
      <c r="AK161" s="36">
        <v>0</v>
      </c>
      <c r="AL161" s="36">
        <v>0</v>
      </c>
      <c r="AM161" s="36">
        <v>0</v>
      </c>
      <c r="AN161" s="36">
        <v>0</v>
      </c>
      <c r="AO161" s="36">
        <v>0</v>
      </c>
      <c r="AP161" s="36">
        <v>0</v>
      </c>
      <c r="AQ161" s="36">
        <v>0</v>
      </c>
      <c r="AR161" s="36">
        <v>0</v>
      </c>
      <c r="AS161" s="36">
        <v>0</v>
      </c>
      <c r="AT161" s="36">
        <v>0</v>
      </c>
      <c r="AU161" s="36">
        <v>0</v>
      </c>
      <c r="AV161" s="36">
        <v>0</v>
      </c>
      <c r="AW161" s="36">
        <v>0</v>
      </c>
      <c r="AX161" s="36">
        <v>0</v>
      </c>
      <c r="AY161" s="36">
        <v>0</v>
      </c>
      <c r="AZ161" s="36">
        <v>0</v>
      </c>
      <c r="BA161" s="36">
        <v>0</v>
      </c>
      <c r="BB161" s="36">
        <v>0</v>
      </c>
      <c r="BC161" s="36">
        <v>0</v>
      </c>
      <c r="BD161" s="36">
        <v>0</v>
      </c>
      <c r="BE161" s="36">
        <v>0</v>
      </c>
      <c r="BF161" s="36">
        <v>0</v>
      </c>
      <c r="BG161" s="36">
        <v>0</v>
      </c>
      <c r="BH161" s="36">
        <v>0</v>
      </c>
      <c r="BI161" s="36">
        <v>0</v>
      </c>
      <c r="BJ161" s="36">
        <v>0</v>
      </c>
      <c r="BK161" s="36">
        <v>0</v>
      </c>
      <c r="BL161" s="36">
        <v>0</v>
      </c>
      <c r="BM161" s="36">
        <v>0</v>
      </c>
      <c r="BN161" s="36">
        <v>0</v>
      </c>
      <c r="BO161" s="36">
        <v>0</v>
      </c>
      <c r="BP161" s="36">
        <v>0</v>
      </c>
      <c r="BS161" s="36">
        <v>0</v>
      </c>
      <c r="BT161" s="36"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valuating_Python">
                <anchor moveWithCells="1" sizeWithCells="1">
                  <from>
                    <xdr:col>4</xdr:col>
                    <xdr:colOff>447675</xdr:colOff>
                    <xdr:row>0</xdr:row>
                    <xdr:rowOff>47625</xdr:rowOff>
                  </from>
                  <to>
                    <xdr:col>73</xdr:col>
                    <xdr:colOff>819150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14FF-35CA-4718-83C3-F5F9B7E0B30A}">
  <sheetPr codeName="Лист6"/>
  <dimension ref="A1:L22"/>
  <sheetViews>
    <sheetView workbookViewId="0">
      <pane xSplit="1" topLeftCell="B1" activePane="topRight" state="frozen"/>
      <selection pane="topRight" activeCell="A22" sqref="A22"/>
    </sheetView>
  </sheetViews>
  <sheetFormatPr defaultRowHeight="21" x14ac:dyDescent="0.35"/>
  <cols>
    <col min="1" max="1" width="4.81640625" customWidth="1"/>
  </cols>
  <sheetData>
    <row r="1" spans="1:12" ht="28.5" x14ac:dyDescent="0.45">
      <c r="A1" s="43">
        <v>0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</row>
    <row r="2" spans="1:12" ht="21.75" customHeight="1" x14ac:dyDescent="0.35">
      <c r="A2" s="44" t="s">
        <v>30</v>
      </c>
      <c r="B2" s="51"/>
      <c r="C2" s="49"/>
      <c r="D2" s="49"/>
      <c r="E2" s="49"/>
      <c r="F2" s="49"/>
      <c r="G2" s="49"/>
      <c r="H2" s="49"/>
      <c r="I2" s="49"/>
      <c r="J2" s="49"/>
      <c r="K2" s="49"/>
      <c r="L2" s="49"/>
    </row>
    <row r="3" spans="1:12" x14ac:dyDescent="0.35">
      <c r="B3" s="50"/>
      <c r="C3" s="49"/>
      <c r="D3" s="49"/>
      <c r="E3" s="49"/>
      <c r="F3" s="50"/>
      <c r="G3" s="49"/>
      <c r="H3" s="49"/>
      <c r="I3" s="49"/>
      <c r="J3" s="50"/>
      <c r="K3" s="49"/>
      <c r="L3" s="49"/>
    </row>
    <row r="4" spans="1:12" x14ac:dyDescent="0.35">
      <c r="B4" s="51"/>
      <c r="C4" s="49"/>
      <c r="D4" s="49"/>
      <c r="E4" s="49"/>
      <c r="F4" s="49"/>
      <c r="G4" s="49"/>
      <c r="H4" s="49"/>
      <c r="I4" s="49"/>
      <c r="J4" s="49"/>
      <c r="K4" s="49"/>
      <c r="L4" s="49"/>
    </row>
    <row r="5" spans="1:12" x14ac:dyDescent="0.35">
      <c r="B5" s="50"/>
      <c r="C5" s="49"/>
      <c r="D5" s="49"/>
      <c r="E5" s="49"/>
      <c r="F5" s="50"/>
      <c r="G5" s="49"/>
      <c r="H5" s="49"/>
      <c r="I5" s="49"/>
      <c r="J5" s="50"/>
      <c r="K5" s="49"/>
      <c r="L5" s="49"/>
    </row>
    <row r="6" spans="1:12" x14ac:dyDescent="0.35">
      <c r="B6" s="51"/>
      <c r="C6" s="49"/>
      <c r="D6" s="49"/>
      <c r="E6" s="49"/>
      <c r="F6" s="49"/>
      <c r="G6" s="49"/>
      <c r="H6" s="49"/>
      <c r="I6" s="49"/>
      <c r="J6" s="49"/>
      <c r="K6" s="49"/>
      <c r="L6" s="49"/>
    </row>
    <row r="7" spans="1:12" x14ac:dyDescent="0.35">
      <c r="B7" s="50"/>
      <c r="C7" s="49"/>
      <c r="D7" s="49"/>
      <c r="E7" s="49"/>
      <c r="F7" s="49"/>
      <c r="G7" s="49"/>
      <c r="H7" s="49"/>
      <c r="I7" s="49"/>
      <c r="J7" s="50"/>
      <c r="K7" s="49"/>
      <c r="L7" s="49"/>
    </row>
    <row r="8" spans="1:12" x14ac:dyDescent="0.35">
      <c r="B8" s="51"/>
      <c r="C8" s="49"/>
      <c r="D8" s="49"/>
      <c r="E8" s="49"/>
      <c r="F8" s="49"/>
      <c r="G8" s="49"/>
      <c r="H8" s="49"/>
      <c r="I8" s="49"/>
      <c r="J8" s="49"/>
      <c r="K8" s="49"/>
      <c r="L8" s="49"/>
    </row>
    <row r="9" spans="1:12" x14ac:dyDescent="0.35">
      <c r="B9" s="51"/>
      <c r="C9" s="49"/>
      <c r="D9" s="49"/>
      <c r="E9" s="49"/>
      <c r="F9" s="49"/>
      <c r="G9" s="49"/>
      <c r="H9" s="49"/>
      <c r="I9" s="49"/>
      <c r="J9" s="50"/>
      <c r="K9" s="49"/>
      <c r="L9" s="49"/>
    </row>
    <row r="10" spans="1:12" x14ac:dyDescent="0.35">
      <c r="B10" s="50"/>
      <c r="C10" s="49"/>
      <c r="D10" s="49"/>
      <c r="E10" s="49"/>
      <c r="F10" s="49"/>
      <c r="G10" s="49"/>
      <c r="H10" s="49"/>
      <c r="I10" s="49"/>
      <c r="J10" s="49"/>
      <c r="K10" s="49"/>
      <c r="L10" s="49"/>
    </row>
    <row r="11" spans="1:12" x14ac:dyDescent="0.35">
      <c r="B11" s="51"/>
      <c r="C11" s="49"/>
      <c r="D11" s="49"/>
      <c r="E11" s="49"/>
      <c r="F11" s="49"/>
      <c r="G11" s="49"/>
      <c r="H11" s="49"/>
      <c r="I11" s="49"/>
      <c r="J11" s="50"/>
      <c r="K11" s="49"/>
      <c r="L11" s="49"/>
    </row>
    <row r="12" spans="1:12" x14ac:dyDescent="0.35">
      <c r="B12" s="50"/>
      <c r="C12" s="49"/>
      <c r="D12" s="49"/>
      <c r="E12" s="49"/>
      <c r="F12" s="49"/>
      <c r="G12" s="49"/>
      <c r="H12" s="49"/>
      <c r="I12" s="49"/>
      <c r="J12" s="49"/>
      <c r="K12" s="49"/>
      <c r="L12" s="49"/>
    </row>
    <row r="13" spans="1:12" x14ac:dyDescent="0.35">
      <c r="B13" s="51"/>
      <c r="C13" s="49"/>
      <c r="D13" s="49"/>
      <c r="E13" s="49"/>
      <c r="F13" s="50"/>
      <c r="G13" s="49"/>
      <c r="H13" s="49"/>
      <c r="I13" s="49"/>
      <c r="J13" s="50"/>
      <c r="K13" s="49"/>
      <c r="L13" s="49"/>
    </row>
    <row r="14" spans="1:12" x14ac:dyDescent="0.35">
      <c r="B14" s="50"/>
      <c r="C14" s="49"/>
      <c r="D14" s="49"/>
      <c r="E14" s="49"/>
      <c r="F14" s="49"/>
      <c r="G14" s="49"/>
      <c r="H14" s="49"/>
      <c r="I14" s="49"/>
      <c r="J14" s="49"/>
      <c r="K14" s="49"/>
      <c r="L14" s="49"/>
    </row>
    <row r="15" spans="1:12" x14ac:dyDescent="0.35">
      <c r="B15" s="51"/>
      <c r="C15" s="49"/>
      <c r="D15" s="49"/>
      <c r="E15" s="49"/>
      <c r="F15" s="49"/>
      <c r="G15" s="49"/>
      <c r="H15" s="49"/>
      <c r="I15" s="49"/>
      <c r="J15" s="50"/>
      <c r="K15" s="49"/>
      <c r="L15" s="49"/>
    </row>
    <row r="16" spans="1:12" x14ac:dyDescent="0.35">
      <c r="B16" s="51"/>
      <c r="C16" s="49"/>
      <c r="D16" s="49"/>
      <c r="E16" s="49"/>
      <c r="F16" s="49"/>
      <c r="G16" s="49"/>
      <c r="H16" s="49"/>
      <c r="I16" s="49"/>
      <c r="J16" s="49"/>
      <c r="K16" s="49"/>
      <c r="L16" s="49"/>
    </row>
    <row r="17" spans="1:12" x14ac:dyDescent="0.35">
      <c r="B17" s="50"/>
      <c r="C17" s="49"/>
      <c r="D17" s="49"/>
      <c r="E17" s="49"/>
      <c r="F17" s="50"/>
      <c r="G17" s="49"/>
      <c r="H17" s="49"/>
      <c r="I17" s="49"/>
      <c r="J17" s="50"/>
      <c r="K17" s="49"/>
      <c r="L17" s="49"/>
    </row>
    <row r="18" spans="1:12" x14ac:dyDescent="0.35">
      <c r="B18" s="51"/>
      <c r="C18" s="49"/>
      <c r="D18" s="49"/>
      <c r="E18" s="49"/>
      <c r="F18" s="49"/>
      <c r="G18" s="49"/>
      <c r="H18" s="49"/>
      <c r="I18" s="49"/>
      <c r="J18" s="49"/>
      <c r="K18" s="49"/>
      <c r="L18" s="49"/>
    </row>
    <row r="19" spans="1:12" x14ac:dyDescent="0.35">
      <c r="B19" s="51"/>
      <c r="C19" s="49"/>
      <c r="D19" s="49"/>
      <c r="E19" s="49"/>
      <c r="F19" s="50"/>
      <c r="G19" s="49"/>
      <c r="H19" s="49"/>
      <c r="I19" s="49"/>
      <c r="J19" s="50"/>
      <c r="K19" s="49"/>
      <c r="L19" s="49"/>
    </row>
    <row r="20" spans="1:12" x14ac:dyDescent="0.35">
      <c r="B20" s="50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2" spans="1:12" x14ac:dyDescent="0.35">
      <c r="A22" t="e">
        <f>$A$1:$AZ$21</f>
        <v>#VALUE!</v>
      </c>
    </row>
  </sheetData>
  <conditionalFormatting sqref="A1:Z1 A21 A2:L20">
    <cfRule type="expression" dxfId="2" priority="1">
      <formula>ISNUMBER(A1)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orting_data">
                <anchor moveWithCells="1" sizeWithCells="1">
                  <from>
                    <xdr:col>0</xdr:col>
                    <xdr:colOff>28575</xdr:colOff>
                    <xdr:row>2</xdr:row>
                    <xdr:rowOff>47625</xdr:rowOff>
                  </from>
                  <to>
                    <xdr:col>0</xdr:col>
                    <xdr:colOff>419100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12</vt:i4>
      </vt:variant>
    </vt:vector>
  </HeadingPairs>
  <TitlesOfParts>
    <vt:vector size="21" baseType="lpstr">
      <vt:lpstr>Values</vt:lpstr>
      <vt:lpstr>ALL</vt:lpstr>
      <vt:lpstr>dall</vt:lpstr>
      <vt:lpstr>FLUID</vt:lpstr>
      <vt:lpstr>SOLID</vt:lpstr>
      <vt:lpstr>dsolid</vt:lpstr>
      <vt:lpstr>Gibbs-EVAL</vt:lpstr>
      <vt:lpstr>Mass-EVAL</vt:lpstr>
      <vt:lpstr>data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2021-02-28T18:39:35Z</dcterms:created>
  <dcterms:modified xsi:type="dcterms:W3CDTF">2021-04-11T15:20:27Z</dcterms:modified>
</cp:coreProperties>
</file>